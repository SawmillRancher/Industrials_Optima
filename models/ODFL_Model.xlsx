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name="Model" sheetId="1" state="visible" r:id="rId1"/>
    <sheet name="Bull-Base-Bear" sheetId="2" state="visible" r:id="rId2"/>
    <sheet name="DCF" sheetId="3" state="visible" r:id="rId3"/>
    <sheet name="Charts" sheetId="4" state="visible" r:id="rId4"/>
  </sheets>
  <definedNames/>
  <calcPr calcId="191029" fullCalcOnLoad="1" iterate="1" iterateDelta="0.0001"/>
</workbook>
</file>

<file path=xl/styles.xml><?xml version="1.0" encoding="utf-8"?>
<styleSheet xmlns="http://schemas.openxmlformats.org/spreadsheetml/2006/main">
  <numFmts count="17">
    <numFmt numFmtId="164" formatCode="#,##0.0;\(#,##0.0\);\-"/>
    <numFmt numFmtId="165" formatCode="0%;\(0%\);&quot;n/m&quot;"/>
    <numFmt numFmtId="166" formatCode="0.0%;\(0.0%\);\-"/>
    <numFmt numFmtId="167" formatCode="#,##0;\(#,##0\);\-"/>
    <numFmt numFmtId="168" formatCode="0.00;\(0.00\);\-"/>
    <numFmt numFmtId="169" formatCode="0.000\x;\(0.000&quot;x)&quot;;\-"/>
    <numFmt numFmtId="170" formatCode="0.0\x;\(0.0&quot;x)&quot;;\-"/>
    <numFmt numFmtId="171" formatCode="\+0.0%;\-0.0%"/>
    <numFmt numFmtId="172" formatCode="\+#,##0;\-#,##0"/>
    <numFmt numFmtId="173" formatCode="0.00\x;\(0.00&quot;x)&quot;;\-"/>
    <numFmt numFmtId="174" formatCode="0\d;\(0&quot;)d&quot;;\-"/>
    <numFmt numFmtId="175" formatCode="dd\-mmm\-yy"/>
    <numFmt numFmtId="176" formatCode="0%;\(0%\);\-"/>
    <numFmt numFmtId="177" formatCode="0.0\x"/>
    <numFmt numFmtId="178" formatCode="0.0%"/>
    <numFmt numFmtId="179" formatCode="0.000"/>
    <numFmt numFmtId="180" formatCode="#,##0.00;\(#,##0.00\);\-"/>
  </numFmts>
  <fonts count="56">
    <font>
      <name val="Calibri"/>
      <charset val="1"/>
      <family val="2"/>
      <color theme="1"/>
      <sz val="11"/>
    </font>
    <font>
      <name val="Calibri"/>
      <family val="2"/>
      <b val="1"/>
      <color rgb="FFC00000"/>
      <sz val="10"/>
    </font>
    <font>
      <name val="Calibri"/>
      <family val="2"/>
      <b val="1"/>
      <color rgb="FF1F3864"/>
      <sz val="16"/>
    </font>
    <font>
      <name val="Calibri"/>
      <family val="2"/>
      <b val="1"/>
      <color rgb="FF0000FF"/>
      <sz val="12"/>
    </font>
    <font>
      <name val="Calibri"/>
      <family val="2"/>
      <color rgb="FF595959"/>
      <sz val="10"/>
    </font>
    <font>
      <name val="Calibri"/>
      <family val="2"/>
      <color rgb="FFC00000"/>
      <sz val="10"/>
    </font>
    <font>
      <name val="Calibri"/>
      <family val="2"/>
      <b val="1"/>
      <color rgb="FFFFFFFF"/>
      <sz val="12"/>
    </font>
    <font>
      <name val="Calibri"/>
      <family val="2"/>
      <color rgb="FF666666"/>
      <sz val="9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2"/>
    </font>
    <font>
      <name val="Calibri"/>
      <family val="2"/>
      <color rgb="FF404040"/>
      <sz val="12"/>
    </font>
    <font>
      <name val="Calibri"/>
      <family val="2"/>
      <color rgb="FFA6A6A6"/>
      <sz val="12"/>
    </font>
    <font>
      <name val="Calibri"/>
      <family val="2"/>
      <color rgb="FF000000"/>
      <sz val="12"/>
    </font>
    <font>
      <name val="Calibri"/>
      <family val="2"/>
      <sz val="12"/>
    </font>
    <font>
      <name val="Calibri"/>
      <family val="2"/>
      <color rgb="FF0000FF"/>
      <sz val="12"/>
    </font>
    <font>
      <name val="Calibri"/>
      <family val="2"/>
      <b val="1"/>
      <i val="1"/>
      <color rgb="FF666666"/>
      <sz val="12"/>
    </font>
    <font>
      <name val="Calibri"/>
      <family val="2"/>
      <b val="1"/>
      <color rgb="FF595959"/>
      <sz val="12"/>
    </font>
    <font>
      <name val="Calibri"/>
      <family val="2"/>
      <b val="1"/>
      <i val="1"/>
      <color rgb="FFC00000"/>
      <sz val="11"/>
    </font>
    <font>
      <name val="Calibri"/>
      <family val="2"/>
      <b val="1"/>
      <i val="1"/>
      <color rgb="FFC00000"/>
      <sz val="10"/>
    </font>
    <font>
      <name val="Arial"/>
      <family val="2"/>
      <sz val="10"/>
    </font>
    <font>
      <name val="Calibri"/>
      <family val="2"/>
      <b val="1"/>
      <color rgb="FF2F3E46"/>
      <sz val="16"/>
    </font>
    <font>
      <name val="Calibri"/>
      <family val="2"/>
      <b val="1"/>
      <color rgb="FF008000"/>
      <sz val="12"/>
    </font>
    <font>
      <name val="Calibri"/>
      <family val="2"/>
      <b val="1"/>
      <color rgb="FF2F3E46"/>
      <sz val="12"/>
    </font>
    <font>
      <name val="Calibri"/>
      <family val="2"/>
      <b val="1"/>
      <color rgb="FFFFFFFF"/>
      <sz val="9"/>
    </font>
    <font>
      <name val="Calibri"/>
      <family val="2"/>
      <color rgb="FF595959"/>
      <sz val="12"/>
    </font>
    <font>
      <name val="Calibri"/>
      <family val="2"/>
      <color rgb="FF008000"/>
      <sz val="12"/>
    </font>
    <font>
      <name val="Calibri"/>
      <family val="2"/>
      <b val="1"/>
      <sz val="14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i val="1"/>
      <color theme="1"/>
      <sz val="11"/>
    </font>
    <font>
      <name val="Calibri"/>
      <family val="2"/>
      <i val="1"/>
      <color rgb="FF000000"/>
      <sz val="11"/>
    </font>
    <font>
      <name val="Calibri"/>
      <family val="2"/>
      <b val="1"/>
      <color theme="1"/>
      <sz val="11"/>
    </font>
    <font>
      <name val="Calibri"/>
      <family val="2"/>
      <b val="1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1"/>
    </font>
    <font>
      <name val="Calibri"/>
      <family val="2"/>
      <sz val="11"/>
    </font>
    <font>
      <name val="Calibri"/>
      <family val="2"/>
      <color rgb="FF595959"/>
      <sz val="11"/>
    </font>
    <font>
      <name val="Calibri"/>
      <family val="2"/>
      <b val="1"/>
      <sz val="11"/>
    </font>
    <font>
      <name val="Calibri"/>
      <family val="2"/>
      <color rgb="FF008000"/>
      <sz val="11"/>
    </font>
    <font>
      <name val="Calibri"/>
      <family val="2"/>
      <b val="1"/>
      <color rgb="FF0000FF"/>
      <sz val="11"/>
    </font>
    <font>
      <name val="Calibri"/>
      <charset val="1"/>
      <family val="2"/>
      <color theme="1"/>
      <sz val="10"/>
    </font>
    <font>
      <name val="Calibri"/>
      <family val="2"/>
      <color rgb="FF000000"/>
      <sz val="12"/>
    </font>
    <font>
      <name val="Calibri"/>
      <family val="2"/>
      <color rgb="FF0000FF"/>
      <sz val="12"/>
    </font>
    <font>
      <name val="Calibri"/>
      <color rgb="FF0000FF"/>
      <sz val="12"/>
    </font>
    <font>
      <name val="Calibri"/>
      <b val="1"/>
      <color rgb="FF0000FF"/>
      <sz val="12"/>
    </font>
    <font>
      <name val="Calibri"/>
      <color rgb="FF000000"/>
      <sz val="12"/>
    </font>
    <font>
      <name val="Calibri"/>
      <b val="1"/>
      <color rgb="FF000000"/>
      <sz val="12"/>
    </font>
    <font>
      <name val="Calibri"/>
      <color rgb="FFA6A6A6"/>
      <sz val="12"/>
    </font>
    <font>
      <name val="Calibri"/>
      <color rgb="FFA6A6A6"/>
      <sz val="11"/>
    </font>
    <font>
      <name val="Calibri"/>
      <b val="1"/>
      <i val="1"/>
      <color rgb="FFC00000"/>
      <sz val="10"/>
    </font>
    <font>
      <name val="Calibri"/>
      <color rgb="FF000000"/>
      <sz val="11"/>
    </font>
  </fonts>
  <fills count="14">
    <fill>
      <patternFill/>
    </fill>
    <fill>
      <patternFill patternType="gray125"/>
    </fill>
    <fill>
      <patternFill patternType="solid">
        <fgColor rgb="FFFFFDE7"/>
        <bgColor rgb="FFFFF8DC"/>
      </patternFill>
    </fill>
    <fill>
      <patternFill patternType="solid">
        <fgColor rgb="FFFFFF00"/>
        <bgColor rgb="FFFFFF00"/>
      </patternFill>
    </fill>
    <fill>
      <patternFill patternType="solid">
        <fgColor rgb="FF84A98C"/>
        <bgColor rgb="FFA6A6A6"/>
      </patternFill>
    </fill>
    <fill>
      <patternFill patternType="solid">
        <fgColor rgb="FF2F3E46"/>
        <bgColor rgb="FF404040"/>
      </patternFill>
    </fill>
    <fill>
      <patternFill patternType="solid">
        <fgColor rgb="FFCAD2C5"/>
        <bgColor rgb="FFD9D9D9"/>
      </patternFill>
    </fill>
    <fill>
      <patternFill patternType="solid">
        <fgColor rgb="FF52796F"/>
        <bgColor rgb="FF666666"/>
      </patternFill>
    </fill>
    <fill>
      <patternFill patternType="solid">
        <fgColor rgb="FFE9ECEC"/>
        <bgColor rgb="FFE8EDE9"/>
      </patternFill>
    </fill>
    <fill>
      <patternFill patternType="solid">
        <fgColor rgb="FFF5F5F5"/>
        <bgColor rgb="FFF0F2F0"/>
      </patternFill>
    </fill>
    <fill>
      <patternFill patternType="solid">
        <fgColor rgb="FFE8EDE9"/>
        <bgColor rgb="FFE9ECEC"/>
      </patternFill>
    </fill>
    <fill>
      <patternFill patternType="solid">
        <fgColor rgb="FFF0F2F0"/>
        <bgColor rgb="FFF5F5F5"/>
      </patternFill>
    </fill>
    <fill>
      <patternFill patternType="solid">
        <fgColor rgb="FFFFF8DC"/>
        <bgColor rgb="FFFFFDE7"/>
      </patternFill>
    </fill>
    <fill>
      <patternFill patternType="solid">
        <fgColor rgb="FFFFFDE7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30" fillId="0" borderId="0"/>
    <xf numFmtId="9" fontId="30" fillId="0" borderId="0"/>
  </cellStyleXfs>
  <cellXfs count="21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0" fillId="2" borderId="0" pivotButton="0" quotePrefix="0" xfId="0"/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left"/>
    </xf>
    <xf numFmtId="0" fontId="6" fillId="5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6" fillId="5" borderId="0" pivotButton="0" quotePrefix="0" xfId="0"/>
    <xf numFmtId="0" fontId="8" fillId="0" borderId="0" pivotButton="0" quotePrefix="0" xfId="0"/>
    <xf numFmtId="0" fontId="9" fillId="6" borderId="0" applyAlignment="1" pivotButton="0" quotePrefix="0" xfId="0">
      <alignment horizontal="center"/>
    </xf>
    <xf numFmtId="0" fontId="10" fillId="0" borderId="0" pivotButton="0" quotePrefix="0" xfId="0"/>
    <xf numFmtId="0" fontId="11" fillId="7" borderId="0" pivotButton="0" quotePrefix="0" xfId="0"/>
    <xf numFmtId="0" fontId="6" fillId="7" borderId="0" pivotButton="0" quotePrefix="0" xfId="0"/>
    <xf numFmtId="0" fontId="12" fillId="0" borderId="2" pivotButton="0" quotePrefix="0" xfId="0"/>
    <xf numFmtId="164" fontId="3" fillId="0" borderId="2" applyAlignment="1" pivotButton="0" quotePrefix="0" xfId="0">
      <alignment horizontal="right"/>
    </xf>
    <xf numFmtId="164" fontId="9" fillId="2" borderId="2" applyAlignment="1" pivotButton="0" quotePrefix="0" xfId="0">
      <alignment horizontal="right"/>
    </xf>
    <xf numFmtId="0" fontId="10" fillId="2" borderId="0" pivotButton="0" quotePrefix="0" xfId="0"/>
    <xf numFmtId="165" fontId="12" fillId="6" borderId="0" pivotButton="0" quotePrefix="0" xfId="0"/>
    <xf numFmtId="0" fontId="6" fillId="7" borderId="0" applyAlignment="1" pivotButton="0" quotePrefix="0" xfId="0">
      <alignment horizontal="center"/>
    </xf>
    <xf numFmtId="0" fontId="13" fillId="0" borderId="0" pivotButton="0" quotePrefix="0" xfId="0"/>
    <xf numFmtId="166" fontId="14" fillId="0" borderId="0" applyAlignment="1" pivotButton="0" quotePrefix="0" xfId="0">
      <alignment horizontal="right"/>
    </xf>
    <xf numFmtId="166" fontId="15" fillId="2" borderId="0" applyAlignment="1" pivotButton="0" quotePrefix="0" xfId="0">
      <alignment horizontal="right"/>
    </xf>
    <xf numFmtId="0" fontId="16" fillId="0" borderId="0" pivotButton="0" quotePrefix="0" xfId="0"/>
    <xf numFmtId="167" fontId="17" fillId="0" borderId="0" pivotButton="0" quotePrefix="0" xfId="0"/>
    <xf numFmtId="168" fontId="17" fillId="0" borderId="0" applyAlignment="1" pivotButton="0" quotePrefix="0" xfId="0">
      <alignment horizontal="right"/>
    </xf>
    <xf numFmtId="168" fontId="15" fillId="2" borderId="0" applyAlignment="1" pivotButton="0" quotePrefix="0" xfId="0">
      <alignment horizontal="right"/>
    </xf>
    <xf numFmtId="169" fontId="15" fillId="0" borderId="0" applyAlignment="1" pivotButton="0" quotePrefix="0" xfId="0">
      <alignment horizontal="right"/>
    </xf>
    <xf numFmtId="169" fontId="15" fillId="2" borderId="0" applyAlignment="1" pivotButton="0" quotePrefix="0" xfId="0">
      <alignment horizontal="right"/>
    </xf>
    <xf numFmtId="0" fontId="0" fillId="0" borderId="2" pivotButton="0" quotePrefix="0" xfId="0"/>
    <xf numFmtId="167" fontId="3" fillId="0" borderId="2" applyAlignment="1" pivotButton="0" quotePrefix="0" xfId="0">
      <alignment horizontal="right"/>
    </xf>
    <xf numFmtId="167" fontId="9" fillId="2" borderId="2" applyAlignment="1" pivotButton="0" quotePrefix="0" xfId="0">
      <alignment horizontal="right"/>
    </xf>
    <xf numFmtId="166" fontId="15" fillId="0" borderId="0" pivotButton="0" quotePrefix="0" xfId="0"/>
    <xf numFmtId="167" fontId="17" fillId="0" borderId="0" applyAlignment="1" pivotButton="0" quotePrefix="0" xfId="0">
      <alignment horizontal="right"/>
    </xf>
    <xf numFmtId="167" fontId="15" fillId="2" borderId="0" applyAlignment="1" pivotButton="0" quotePrefix="0" xfId="0">
      <alignment horizontal="right"/>
    </xf>
    <xf numFmtId="166" fontId="15" fillId="0" borderId="0" applyAlignment="1" pivotButton="0" quotePrefix="0" xfId="0">
      <alignment horizontal="right"/>
    </xf>
    <xf numFmtId="166" fontId="12" fillId="6" borderId="0" pivotButton="0" quotePrefix="0" xfId="0"/>
    <xf numFmtId="168" fontId="15" fillId="0" borderId="0" applyAlignment="1" pivotButton="0" quotePrefix="0" xfId="0">
      <alignment horizontal="right"/>
    </xf>
    <xf numFmtId="170" fontId="17" fillId="0" borderId="0" pivotButton="0" quotePrefix="0" xfId="0"/>
    <xf numFmtId="0" fontId="18" fillId="0" borderId="0" pivotButton="0" quotePrefix="0" xfId="0"/>
    <xf numFmtId="166" fontId="17" fillId="0" borderId="0" applyAlignment="1" pivotButton="0" quotePrefix="0" xfId="0">
      <alignment horizontal="right"/>
    </xf>
    <xf numFmtId="171" fontId="3" fillId="8" borderId="0" applyAlignment="1" pivotButton="0" quotePrefix="0" xfId="0">
      <alignment horizontal="center"/>
    </xf>
    <xf numFmtId="166" fontId="17" fillId="0" borderId="0" pivotButton="0" quotePrefix="0" xfId="0"/>
    <xf numFmtId="167" fontId="9" fillId="0" borderId="2" applyAlignment="1" pivotButton="0" quotePrefix="0" xfId="0">
      <alignment horizontal="right"/>
    </xf>
    <xf numFmtId="167" fontId="15" fillId="0" borderId="0" applyAlignment="1" pivotButton="0" quotePrefix="0" xfId="0">
      <alignment horizontal="right"/>
    </xf>
    <xf numFmtId="164" fontId="17" fillId="0" borderId="0" applyAlignment="1" pivotButton="0" quotePrefix="0" xfId="0">
      <alignment horizontal="right"/>
    </xf>
    <xf numFmtId="166" fontId="3" fillId="2" borderId="0" applyAlignment="1" pivotButton="0" quotePrefix="0" xfId="0">
      <alignment horizontal="right"/>
    </xf>
    <xf numFmtId="1" fontId="3" fillId="2" borderId="0" applyAlignment="1" pivotButton="0" quotePrefix="0" xfId="0">
      <alignment horizontal="right"/>
    </xf>
    <xf numFmtId="1" fontId="15" fillId="2" borderId="0" applyAlignment="1" pivotButton="0" quotePrefix="0" xfId="0">
      <alignment horizontal="right"/>
    </xf>
    <xf numFmtId="167" fontId="3" fillId="2" borderId="0" applyAlignment="1" pivotButton="0" quotePrefix="0" xfId="0">
      <alignment horizontal="right"/>
    </xf>
    <xf numFmtId="172" fontId="3" fillId="8" borderId="0" applyAlignment="1" pivotButton="0" quotePrefix="0" xfId="0">
      <alignment horizontal="center"/>
    </xf>
    <xf numFmtId="167" fontId="15" fillId="0" borderId="0" pivotButton="0" quotePrefix="0" xfId="0"/>
    <xf numFmtId="170" fontId="3" fillId="2" borderId="0" applyAlignment="1" pivotButton="0" quotePrefix="0" xfId="0">
      <alignment horizontal="right"/>
    </xf>
    <xf numFmtId="170" fontId="15" fillId="2" borderId="0" applyAlignment="1" pivotButton="0" quotePrefix="0" xfId="0">
      <alignment horizontal="right"/>
    </xf>
    <xf numFmtId="0" fontId="0" fillId="2" borderId="2" pivotButton="0" quotePrefix="0" xfId="0"/>
    <xf numFmtId="167" fontId="3" fillId="2" borderId="2" applyAlignment="1" pivotButton="0" quotePrefix="0" xfId="0">
      <alignment horizontal="right"/>
    </xf>
    <xf numFmtId="0" fontId="11" fillId="5" borderId="2" pivotButton="0" quotePrefix="0" xfId="0"/>
    <xf numFmtId="167" fontId="9" fillId="6" borderId="2" applyAlignment="1" pivotButton="0" quotePrefix="0" xfId="0">
      <alignment horizontal="right"/>
    </xf>
    <xf numFmtId="0" fontId="19" fillId="0" borderId="0" pivotButton="0" quotePrefix="0" xfId="0"/>
    <xf numFmtId="167" fontId="3" fillId="6" borderId="2" applyAlignment="1" pivotButton="0" quotePrefix="0" xfId="0">
      <alignment horizontal="right"/>
    </xf>
    <xf numFmtId="164" fontId="15" fillId="2" borderId="0" applyAlignment="1" pivotButton="0" quotePrefix="0" xfId="0">
      <alignment horizontal="right"/>
    </xf>
    <xf numFmtId="168" fontId="9" fillId="6" borderId="2" applyAlignment="1" pivotButton="0" quotePrefix="0" xfId="0">
      <alignment horizontal="right"/>
    </xf>
    <xf numFmtId="168" fontId="9" fillId="0" borderId="2" applyAlignment="1" pivotButton="0" quotePrefix="0" xfId="0">
      <alignment horizontal="right"/>
    </xf>
    <xf numFmtId="168" fontId="9" fillId="2" borderId="2" applyAlignment="1" pivotButton="0" quotePrefix="0" xfId="0">
      <alignment horizontal="right"/>
    </xf>
    <xf numFmtId="0" fontId="20" fillId="0" borderId="0" pivotButton="0" quotePrefix="0" xfId="0"/>
    <xf numFmtId="0" fontId="21" fillId="0" borderId="0" pivotButton="0" quotePrefix="0" xfId="0"/>
    <xf numFmtId="164" fontId="15" fillId="0" borderId="0" applyAlignment="1" pivotButton="0" quotePrefix="0" xfId="0">
      <alignment horizontal="right"/>
    </xf>
    <xf numFmtId="0" fontId="0" fillId="6" borderId="2" pivotButton="0" quotePrefix="0" xfId="0"/>
    <xf numFmtId="173" fontId="15" fillId="0" borderId="0" applyAlignment="1" pivotButton="0" quotePrefix="0" xfId="0">
      <alignment horizontal="right"/>
    </xf>
    <xf numFmtId="173" fontId="15" fillId="2" borderId="0" applyAlignment="1" pivotButton="0" quotePrefix="0" xfId="0">
      <alignment horizontal="right"/>
    </xf>
    <xf numFmtId="164" fontId="3" fillId="2" borderId="0" applyAlignment="1" pivotButton="0" quotePrefix="0" xfId="0">
      <alignment horizontal="right"/>
    </xf>
    <xf numFmtId="174" fontId="15" fillId="0" borderId="0" applyAlignment="1" pivotButton="0" quotePrefix="0" xfId="0">
      <alignment horizontal="right"/>
    </xf>
    <xf numFmtId="174" fontId="3" fillId="2" borderId="0" applyAlignment="1" pivotButton="0" quotePrefix="0" xfId="0">
      <alignment horizontal="right"/>
    </xf>
    <xf numFmtId="0" fontId="13" fillId="8" borderId="0" pivotButton="0" quotePrefix="0" xfId="0"/>
    <xf numFmtId="166" fontId="9" fillId="6" borderId="2" applyAlignment="1" pivotButton="0" quotePrefix="0" xfId="0">
      <alignment horizontal="right"/>
    </xf>
    <xf numFmtId="173" fontId="9" fillId="6" borderId="2" applyAlignment="1" pivotButton="0" quotePrefix="0" xfId="0">
      <alignment horizontal="right"/>
    </xf>
    <xf numFmtId="168" fontId="3" fillId="2" borderId="0" applyAlignment="1" pivotButton="0" quotePrefix="0" xfId="0">
      <alignment horizontal="right"/>
    </xf>
    <xf numFmtId="0" fontId="23" fillId="0" borderId="0" pivotButton="0" quotePrefix="0" xfId="0"/>
    <xf numFmtId="4" fontId="24" fillId="2" borderId="0" pivotButton="0" quotePrefix="0" xfId="0"/>
    <xf numFmtId="175" fontId="0" fillId="0" borderId="0" pivotButton="0" quotePrefix="0" xfId="0"/>
    <xf numFmtId="0" fontId="25" fillId="6" borderId="0" pivotButton="0" quotePrefix="0" xfId="0"/>
    <xf numFmtId="0" fontId="12" fillId="0" borderId="0" pivotButton="0" quotePrefix="0" xfId="0"/>
    <xf numFmtId="0" fontId="24" fillId="3" borderId="0" pivotButton="0" quotePrefix="0" xfId="0"/>
    <xf numFmtId="0" fontId="26" fillId="5" borderId="0" pivotButton="0" quotePrefix="0" xfId="0"/>
    <xf numFmtId="0" fontId="25" fillId="0" borderId="0" pivotButton="0" quotePrefix="0" xfId="0"/>
    <xf numFmtId="167" fontId="24" fillId="9" borderId="0" pivotButton="0" quotePrefix="0" xfId="0"/>
    <xf numFmtId="167" fontId="24" fillId="2" borderId="0" pivotButton="0" quotePrefix="0" xfId="0"/>
    <xf numFmtId="176" fontId="12" fillId="10" borderId="0" pivotButton="0" quotePrefix="0" xfId="0"/>
    <xf numFmtId="0" fontId="27" fillId="0" borderId="0" pivotButton="0" quotePrefix="0" xfId="0"/>
    <xf numFmtId="176" fontId="27" fillId="9" borderId="0" pivotButton="0" quotePrefix="0" xfId="0"/>
    <xf numFmtId="176" fontId="27" fillId="2" borderId="0" pivotButton="0" quotePrefix="0" xfId="0"/>
    <xf numFmtId="166" fontId="24" fillId="9" borderId="0" pivotButton="0" quotePrefix="0" xfId="0"/>
    <xf numFmtId="166" fontId="24" fillId="2" borderId="0" pivotButton="0" quotePrefix="0" xfId="0"/>
    <xf numFmtId="166" fontId="27" fillId="9" borderId="0" pivotButton="0" quotePrefix="0" xfId="0"/>
    <xf numFmtId="166" fontId="27" fillId="2" borderId="0" pivotButton="0" quotePrefix="0" xfId="0"/>
    <xf numFmtId="166" fontId="27" fillId="11" borderId="0" pivotButton="0" quotePrefix="0" xfId="0"/>
    <xf numFmtId="164" fontId="24" fillId="9" borderId="0" pivotButton="0" quotePrefix="0" xfId="0"/>
    <xf numFmtId="164" fontId="24" fillId="2" borderId="0" pivotButton="0" quotePrefix="0" xfId="0"/>
    <xf numFmtId="168" fontId="24" fillId="9" borderId="0" pivotButton="0" quotePrefix="0" xfId="0"/>
    <xf numFmtId="168" fontId="24" fillId="2" borderId="0" pivotButton="0" quotePrefix="0" xfId="0"/>
    <xf numFmtId="177" fontId="3" fillId="12" borderId="0" pivotButton="0" quotePrefix="0" xfId="0"/>
    <xf numFmtId="167" fontId="6" fillId="5" borderId="0" pivotButton="0" quotePrefix="0" xfId="0"/>
    <xf numFmtId="176" fontId="27" fillId="0" borderId="0" pivotButton="0" quotePrefix="0" xfId="0"/>
    <xf numFmtId="176" fontId="25" fillId="6" borderId="0" pivotButton="0" quotePrefix="0" xfId="0"/>
    <xf numFmtId="168" fontId="27" fillId="9" borderId="0" pivotButton="0" quotePrefix="0" xfId="0"/>
    <xf numFmtId="168" fontId="27" fillId="2" borderId="0" pivotButton="0" quotePrefix="0" xfId="0"/>
    <xf numFmtId="166" fontId="27" fillId="0" borderId="0" pivotButton="0" quotePrefix="0" xfId="0"/>
    <xf numFmtId="173" fontId="27" fillId="9" borderId="0" pivotButton="0" quotePrefix="0" xfId="0"/>
    <xf numFmtId="173" fontId="27" fillId="2" borderId="0" pivotButton="0" quotePrefix="0" xfId="0"/>
    <xf numFmtId="167" fontId="27" fillId="0" borderId="0" pivotButton="0" quotePrefix="0" xfId="0"/>
    <xf numFmtId="173" fontId="27" fillId="0" borderId="0" pivotButton="0" quotePrefix="0" xfId="0"/>
    <xf numFmtId="167" fontId="28" fillId="0" borderId="0" pivotButton="0" quotePrefix="0" xfId="0"/>
    <xf numFmtId="0" fontId="29" fillId="0" borderId="0" pivotButton="0" quotePrefix="0" xfId="0"/>
    <xf numFmtId="166" fontId="28" fillId="0" borderId="0" pivotButton="0" quotePrefix="0" xfId="0"/>
    <xf numFmtId="0" fontId="31" fillId="5" borderId="0" pivotButton="0" quotePrefix="0" xfId="0"/>
    <xf numFmtId="0" fontId="32" fillId="0" borderId="0" pivotButton="0" quotePrefix="0" xfId="0"/>
    <xf numFmtId="175" fontId="32" fillId="0" borderId="0" pivotButton="0" quotePrefix="0" xfId="0"/>
    <xf numFmtId="167" fontId="32" fillId="0" borderId="0" pivotButton="0" quotePrefix="0" xfId="0"/>
    <xf numFmtId="166" fontId="33" fillId="0" borderId="0" pivotButton="0" quotePrefix="0" xfId="0"/>
    <xf numFmtId="0" fontId="34" fillId="0" borderId="0" pivotButton="0" quotePrefix="0" xfId="0"/>
    <xf numFmtId="166" fontId="35" fillId="0" borderId="0" pivotButton="0" quotePrefix="0" xfId="0"/>
    <xf numFmtId="178" fontId="32" fillId="0" borderId="0" pivotButton="0" quotePrefix="0" xfId="0"/>
    <xf numFmtId="2" fontId="32" fillId="0" borderId="0" pivotButton="0" quotePrefix="0" xfId="0"/>
    <xf numFmtId="179" fontId="32" fillId="0" borderId="0" pivotButton="0" quotePrefix="0" xfId="0"/>
    <xf numFmtId="167" fontId="33" fillId="0" borderId="0" pivotButton="0" quotePrefix="0" xfId="0"/>
    <xf numFmtId="0" fontId="36" fillId="0" borderId="0" pivotButton="0" quotePrefix="0" xfId="0"/>
    <xf numFmtId="166" fontId="36" fillId="0" borderId="0" pivotButton="0" quotePrefix="0" xfId="0"/>
    <xf numFmtId="166" fontId="37" fillId="0" borderId="0" pivotButton="0" quotePrefix="0" xfId="0"/>
    <xf numFmtId="166" fontId="32" fillId="0" borderId="0" pivotButton="0" quotePrefix="0" xfId="0"/>
    <xf numFmtId="164" fontId="32" fillId="0" borderId="0" pivotButton="0" quotePrefix="0" xfId="0"/>
    <xf numFmtId="4" fontId="32" fillId="0" borderId="0" pivotButton="0" quotePrefix="0" xfId="0"/>
    <xf numFmtId="178" fontId="38" fillId="0" borderId="0" pivotButton="0" quotePrefix="0" xfId="0"/>
    <xf numFmtId="3" fontId="32" fillId="0" borderId="0" pivotButton="0" quotePrefix="0" xfId="0"/>
    <xf numFmtId="3" fontId="32" fillId="3" borderId="0" pivotButton="0" quotePrefix="0" xfId="0"/>
    <xf numFmtId="177" fontId="32" fillId="0" borderId="0" pivotButton="0" quotePrefix="0" xfId="0"/>
    <xf numFmtId="0" fontId="39" fillId="5" borderId="0" pivotButton="0" quotePrefix="0" xfId="0"/>
    <xf numFmtId="0" fontId="39" fillId="7" borderId="0" pivotButton="0" quotePrefix="0" xfId="0"/>
    <xf numFmtId="0" fontId="40" fillId="0" borderId="0" pivotButton="0" quotePrefix="0" xfId="0"/>
    <xf numFmtId="10" fontId="38" fillId="2" borderId="0" pivotButton="0" quotePrefix="0" xfId="0"/>
    <xf numFmtId="0" fontId="41" fillId="0" borderId="0" pivotButton="0" quotePrefix="0" xfId="0"/>
    <xf numFmtId="2" fontId="38" fillId="2" borderId="0" pivotButton="0" quotePrefix="0" xfId="0"/>
    <xf numFmtId="10" fontId="40" fillId="0" borderId="0" pivotButton="0" quotePrefix="0" xfId="0"/>
    <xf numFmtId="0" fontId="42" fillId="0" borderId="0" pivotButton="0" quotePrefix="0" xfId="0"/>
    <xf numFmtId="10" fontId="42" fillId="6" borderId="0" pivotButton="0" quotePrefix="0" xfId="0"/>
    <xf numFmtId="167" fontId="43" fillId="0" borderId="0" pivotButton="0" quotePrefix="0" xfId="0"/>
    <xf numFmtId="0" fontId="42" fillId="6" borderId="0" pivotButton="0" quotePrefix="0" xfId="0"/>
    <xf numFmtId="167" fontId="42" fillId="6" borderId="0" pivotButton="0" quotePrefix="0" xfId="0"/>
    <xf numFmtId="178" fontId="38" fillId="2" borderId="0" pivotButton="0" quotePrefix="0" xfId="0"/>
    <xf numFmtId="178" fontId="33" fillId="2" borderId="0" pivotButton="0" quotePrefix="0" xfId="0"/>
    <xf numFmtId="178" fontId="44" fillId="3" borderId="0" pivotButton="0" quotePrefix="0" xfId="0"/>
    <xf numFmtId="0" fontId="39" fillId="5" borderId="0" applyAlignment="1" pivotButton="0" quotePrefix="0" xfId="0">
      <alignment horizontal="right"/>
    </xf>
    <xf numFmtId="4" fontId="39" fillId="5" borderId="0" pivotButton="0" quotePrefix="0" xfId="0"/>
    <xf numFmtId="178" fontId="37" fillId="0" borderId="0" pivotButton="0" quotePrefix="0" xfId="0"/>
    <xf numFmtId="10" fontId="33" fillId="0" borderId="0" pivotButton="0" quotePrefix="0" xfId="0"/>
    <xf numFmtId="1" fontId="38" fillId="2" borderId="0" pivotButton="0" quotePrefix="0" xfId="0"/>
    <xf numFmtId="177" fontId="39" fillId="5" borderId="0" pivotButton="0" quotePrefix="0" xfId="0"/>
    <xf numFmtId="0" fontId="33" fillId="0" borderId="0" applyAlignment="1" pivotButton="0" quotePrefix="0" xfId="0">
      <alignment horizontal="right"/>
    </xf>
    <xf numFmtId="178" fontId="38" fillId="13" borderId="0" pivotButton="0" quotePrefix="0" xfId="0"/>
    <xf numFmtId="4" fontId="37" fillId="0" borderId="0" pivotButton="0" quotePrefix="0" xfId="0"/>
    <xf numFmtId="1" fontId="38" fillId="13" borderId="0" pivotButton="0" quotePrefix="0" xfId="0"/>
    <xf numFmtId="0" fontId="45" fillId="2" borderId="0" pivotButton="0" quotePrefix="0" xfId="0"/>
    <xf numFmtId="0" fontId="16" fillId="0" borderId="3" pivotButton="0" quotePrefix="0" xfId="0"/>
    <xf numFmtId="168" fontId="15" fillId="0" borderId="3" applyAlignment="1" pivotButton="0" quotePrefix="0" xfId="0">
      <alignment horizontal="right"/>
    </xf>
    <xf numFmtId="168" fontId="15" fillId="2" borderId="3" applyAlignment="1" pivotButton="0" quotePrefix="0" xfId="0">
      <alignment horizontal="right"/>
    </xf>
    <xf numFmtId="166" fontId="47" fillId="2" borderId="0" applyAlignment="1" pivotButton="0" quotePrefix="0" xfId="0">
      <alignment horizontal="right"/>
    </xf>
    <xf numFmtId="167" fontId="46" fillId="2" borderId="0" applyAlignment="1" pivotButton="0" quotePrefix="0" xfId="0">
      <alignment horizontal="right"/>
    </xf>
    <xf numFmtId="166" fontId="46" fillId="2" borderId="0" applyAlignment="1" pivotButton="0" quotePrefix="0" xfId="0">
      <alignment horizontal="right"/>
    </xf>
    <xf numFmtId="9" fontId="33" fillId="0" borderId="0" applyAlignment="1" pivotButton="0" quotePrefix="0" xfId="1">
      <alignment horizontal="left"/>
    </xf>
    <xf numFmtId="0" fontId="11" fillId="5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shrinkToFit="1"/>
    </xf>
    <xf numFmtId="167" fontId="48" fillId="0" borderId="0" applyAlignment="1" pivotButton="0" quotePrefix="0" xfId="0">
      <alignment horizontal="right"/>
    </xf>
    <xf numFmtId="167" fontId="49" fillId="2" borderId="0" applyAlignment="1" pivotButton="0" quotePrefix="0" xfId="0">
      <alignment horizontal="right"/>
    </xf>
    <xf numFmtId="167" fontId="50" fillId="2" borderId="0" applyAlignment="1" pivotButton="0" quotePrefix="0" xfId="0">
      <alignment horizontal="right"/>
    </xf>
    <xf numFmtId="167" fontId="49" fillId="0" borderId="2" applyAlignment="1" pivotButton="0" quotePrefix="0" xfId="0">
      <alignment horizontal="right"/>
    </xf>
    <xf numFmtId="167" fontId="51" fillId="2" borderId="2" applyAlignment="1" pivotButton="0" quotePrefix="0" xfId="0">
      <alignment horizontal="right"/>
    </xf>
    <xf numFmtId="166" fontId="50" fillId="0" borderId="0" pivotButton="0" quotePrefix="0" xfId="0"/>
    <xf numFmtId="166" fontId="52" fillId="0" borderId="0" applyAlignment="1" pivotButton="0" quotePrefix="0" xfId="0">
      <alignment horizontal="right"/>
    </xf>
    <xf numFmtId="166" fontId="50" fillId="2" borderId="0" applyAlignment="1" pivotButton="0" quotePrefix="0" xfId="0">
      <alignment horizontal="right"/>
    </xf>
    <xf numFmtId="166" fontId="53" fillId="0" borderId="0" pivotButton="0" quotePrefix="0" xfId="0"/>
    <xf numFmtId="167" fontId="48" fillId="0" borderId="0" pivotButton="0" quotePrefix="0" xfId="0"/>
    <xf numFmtId="166" fontId="48" fillId="0" borderId="0" pivotButton="0" quotePrefix="0" xfId="0"/>
    <xf numFmtId="0" fontId="54" fillId="0" borderId="0" pivotButton="0" quotePrefix="0" xfId="0"/>
    <xf numFmtId="180" fontId="49" fillId="0" borderId="2" applyAlignment="1" pivotButton="0" quotePrefix="0" xfId="0">
      <alignment horizontal="right"/>
    </xf>
    <xf numFmtId="180" fontId="51" fillId="2" borderId="2" applyAlignment="1" pivotButton="0" quotePrefix="0" xfId="0">
      <alignment horizontal="right"/>
    </xf>
    <xf numFmtId="180" fontId="50" fillId="0" borderId="0" applyAlignment="1" pivotButton="0" quotePrefix="0" xfId="0">
      <alignment horizontal="right"/>
    </xf>
    <xf numFmtId="180" fontId="50" fillId="2" borderId="0" applyAlignment="1" pivotButton="0" quotePrefix="0" xfId="0">
      <alignment horizontal="right"/>
    </xf>
    <xf numFmtId="166" fontId="50" fillId="0" borderId="0" applyAlignment="1" pivotButton="0" quotePrefix="0" xfId="0">
      <alignment horizontal="right"/>
    </xf>
    <xf numFmtId="180" fontId="49" fillId="6" borderId="2" applyAlignment="1" pivotButton="0" quotePrefix="0" xfId="0">
      <alignment horizontal="right"/>
    </xf>
    <xf numFmtId="180" fontId="51" fillId="6" borderId="2" applyAlignment="1" pivotButton="0" quotePrefix="0" xfId="0">
      <alignment horizontal="right"/>
    </xf>
    <xf numFmtId="180" fontId="48" fillId="0" borderId="0" applyAlignment="1" pivotButton="0" quotePrefix="0" xfId="0">
      <alignment horizontal="right"/>
    </xf>
    <xf numFmtId="167" fontId="50" fillId="0" borderId="0" applyAlignment="1" pivotButton="0" quotePrefix="0" xfId="0">
      <alignment horizontal="right"/>
    </xf>
    <xf numFmtId="166" fontId="49" fillId="2" borderId="0" applyAlignment="1" pivotButton="0" quotePrefix="0" xfId="0">
      <alignment horizontal="right"/>
    </xf>
    <xf numFmtId="167" fontId="51" fillId="6" borderId="2" applyAlignment="1" pivotButton="0" quotePrefix="0" xfId="0">
      <alignment horizontal="right"/>
    </xf>
    <xf numFmtId="164" fontId="50" fillId="0" borderId="0" applyAlignment="1" pivotButton="0" quotePrefix="0" xfId="0">
      <alignment horizontal="right"/>
    </xf>
    <xf numFmtId="164" fontId="55" fillId="2" borderId="0" pivotButton="0" quotePrefix="0" xfId="0"/>
    <xf numFmtId="173" fontId="50" fillId="2" borderId="0" applyAlignment="1" pivotButton="0" quotePrefix="0" xfId="0">
      <alignment horizontal="right"/>
    </xf>
    <xf numFmtId="166" fontId="51" fillId="6" borderId="2" applyAlignment="1" pivotButton="0" quotePrefix="0" xfId="0">
      <alignment horizontal="right"/>
    </xf>
    <xf numFmtId="166" fontId="48" fillId="0" borderId="0" applyAlignment="1" pivotButton="0" quotePrefix="0" xfId="0">
      <alignment horizontal="right"/>
    </xf>
    <xf numFmtId="166" fontId="55" fillId="2" borderId="0" pivotButton="0" quotePrefix="0" xfId="0"/>
    <xf numFmtId="167" fontId="49" fillId="6" borderId="2" applyAlignment="1" pivotButton="0" quotePrefix="0" xfId="0">
      <alignment horizontal="right"/>
    </xf>
    <xf numFmtId="167" fontId="51" fillId="0" borderId="2" applyAlignment="1" pivotButton="0" quotePrefix="0" xfId="0">
      <alignment horizontal="right"/>
    </xf>
    <xf numFmtId="164" fontId="48" fillId="0" borderId="0" applyAlignment="1" pivotButton="0" quotePrefix="0" xfId="0">
      <alignment horizontal="right"/>
    </xf>
    <xf numFmtId="164" fontId="50" fillId="2" borderId="0" applyAlignment="1" pivotButton="0" quotePrefix="0" xfId="0">
      <alignment horizontal="right"/>
    </xf>
    <xf numFmtId="168" fontId="50" fillId="0" borderId="0" applyAlignment="1" pivotButton="0" quotePrefix="0" xfId="0">
      <alignment horizontal="right"/>
    </xf>
    <xf numFmtId="168" fontId="50" fillId="2" borderId="0" applyAlignment="1" pivotButton="0" quotePrefix="0" xfId="0">
      <alignment horizontal="right"/>
    </xf>
    <xf numFmtId="168" fontId="51" fillId="6" borderId="2" applyAlignment="1" pivotButton="0" quotePrefix="0" xfId="0">
      <alignment horizontal="right"/>
    </xf>
    <xf numFmtId="168" fontId="48" fillId="0" borderId="0" applyAlignment="1" pivotButton="0" quotePrefix="0" xfId="0">
      <alignment horizontal="right"/>
    </xf>
    <xf numFmtId="168" fontId="55" fillId="2" borderId="0" pivotButton="0" quotePrefix="0" xfId="0"/>
    <xf numFmtId="173" fontId="50" fillId="0" borderId="0" applyAlignment="1" pivotButton="0" quotePrefix="0" xfId="0">
      <alignment horizontal="right"/>
    </xf>
    <xf numFmtId="180" fontId="49" fillId="2" borderId="0" applyAlignment="1" pivotButton="0" quotePrefix="0" xfId="0">
      <alignment horizontal="right"/>
    </xf>
    <xf numFmtId="174" fontId="50" fillId="0" borderId="0" applyAlignment="1" pivotButton="0" quotePrefix="0" xfId="0">
      <alignment horizontal="right"/>
    </xf>
    <xf numFmtId="174" fontId="49" fillId="2" borderId="0" applyAlignment="1" pivotButton="0" quotePrefix="0" xfId="0">
      <alignment horizontal="right"/>
    </xf>
    <xf numFmtId="164" fontId="49" fillId="2" borderId="0" applyAlignment="1" pivotButton="0" quotePrefix="0" xfId="0">
      <alignment horizontal="right"/>
    </xf>
    <xf numFmtId="173" fontId="51" fillId="6" borderId="2" applyAlignment="1" pivotButton="0" quotePrefix="0" xfId="0">
      <alignment horizontal="right"/>
    </xf>
    <xf numFmtId="177" fontId="50" fillId="2" borderId="0" applyAlignment="1" pivotButton="0" quotePrefix="0" xfId="0">
      <alignment horizontal="right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AD2C5"/>
      <rgbColor rgb="FF878787"/>
      <rgbColor rgb="FF84A98C"/>
      <rgbColor rgb="FF595959"/>
      <rgbColor rgb="FFFFF8DC"/>
      <rgbColor rgb="FFE8ED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C"/>
      <rgbColor rgb="FFF0F2F0"/>
      <rgbColor rgb="FFFFFDE7"/>
      <rgbColor rgb="FFA8C5D6"/>
      <rgbColor rgb="FFFF99CC"/>
      <rgbColor rgb="FFCC99FF"/>
      <rgbColor rgb="FFF5F5F5"/>
      <rgbColor rgb="FF3366FF"/>
      <rgbColor rgb="FF33CCCC"/>
      <rgbColor rgb="FF99CC00"/>
      <rgbColor rgb="FFFFCC00"/>
      <rgbColor rgb="FFFF9900"/>
      <rgbColor rgb="FFC8553D"/>
      <rgbColor rgb="FF666666"/>
      <rgbColor rgb="FFA6A6A6"/>
      <rgbColor rgb="FF1F3864"/>
      <rgbColor rgb="FF52796F"/>
      <rgbColor rgb="FF003300"/>
      <rgbColor rgb="FF404040"/>
      <rgbColor rgb="FF993300"/>
      <rgbColor rgb="FF993366"/>
      <rgbColor rgb="FF1F4E79"/>
      <rgbColor rgb="FF2F3E4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LTL Revenue Drivers: Tons per Day vs. Revenue/cwt ex Fuel, y/y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Charts!$B$8</c:f>
              <c:strCache>
                <c:ptCount val="1"/>
                <c:pt idx="0">
                  <c:v>Aggregates volume %</c:v>
                </c:pt>
              </c:strCache>
            </c:strRef>
          </c:tx>
          <c:spPr>
            <a:solidFill>
              <a:srgbClr val="2F3E4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Charts!$C$8:$V$8</c:f>
              <c:numCache>
                <c:formatCode>0.0%;\(0.0%\);\-</c:formatCode>
                <c:ptCount val="20"/>
                <c:pt idx="0">
                  <c:v>0</c:v>
                </c:pt>
                <c:pt idx="1">
                  <c:v>-8.1434832989067507E-2</c:v>
                </c:pt>
                <c:pt idx="2">
                  <c:v>-0.12598861380165205</c:v>
                </c:pt>
                <c:pt idx="3">
                  <c:v>-0.22562203884409027</c:v>
                </c:pt>
                <c:pt idx="4">
                  <c:v>5.353279146846468E-2</c:v>
                </c:pt>
                <c:pt idx="5">
                  <c:v>-3.7944110701731537E-2</c:v>
                </c:pt>
                <c:pt idx="6">
                  <c:v>2.6040583974287212E-2</c:v>
                </c:pt>
                <c:pt idx="7">
                  <c:v>7.9481964607142075E-4</c:v>
                </c:pt>
                <c:pt idx="8">
                  <c:v>0.13716879618166677</c:v>
                </c:pt>
                <c:pt idx="9">
                  <c:v>7.1016775077028305E-2</c:v>
                </c:pt>
                <c:pt idx="10">
                  <c:v>1.4090089629336111E-2</c:v>
                </c:pt>
                <c:pt idx="11">
                  <c:v>-5.8502389267837129E-3</c:v>
                </c:pt>
                <c:pt idx="12">
                  <c:v>8.3311139012542945E-2</c:v>
                </c:pt>
                <c:pt idx="13">
                  <c:v>0.11876887775410339</c:v>
                </c:pt>
                <c:pt idx="14">
                  <c:v>-2.420392829860929E-2</c:v>
                </c:pt>
                <c:pt idx="15">
                  <c:v>7.8820375335120652E-2</c:v>
                </c:pt>
                <c:pt idx="16">
                  <c:v>3.2306163021868839E-2</c:v>
                </c:pt>
                <c:pt idx="17">
                  <c:v>-4.2850264805007088E-2</c:v>
                </c:pt>
                <c:pt idx="18">
                  <c:v>-3.8732394366197243E-2</c:v>
                </c:pt>
                <c:pt idx="19">
                  <c:v>3.8723181580324395E-2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49-44E0-9EFD-670A32200F47}"/>
            </c:ext>
          </c:extLst>
        </c:ser>
        <c:ser>
          <c:idx val="1"/>
          <c:order val="1"/>
          <c:tx>
            <c:strRef>
              <c:f>Charts!$B$9</c:f>
              <c:strCache>
                <c:ptCount val="1"/>
                <c:pt idx="0">
                  <c:v>Aggregates price (ASP) %</c:v>
                </c:pt>
              </c:strCache>
            </c:strRef>
          </c:tx>
          <c:spPr>
            <a:solidFill>
              <a:srgbClr val="84A98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Charts!$C$9:$V$9</c:f>
              <c:numCache>
                <c:formatCode>0.0%;\(0.0%\);\-</c:formatCode>
                <c:ptCount val="20"/>
                <c:pt idx="0">
                  <c:v>0</c:v>
                </c:pt>
                <c:pt idx="1">
                  <c:v>0.104</c:v>
                </c:pt>
                <c:pt idx="2">
                  <c:v>6.9000000000000006E-2</c:v>
                </c:pt>
                <c:pt idx="3">
                  <c:v>2.1000000000000001E-2</c:v>
                </c:pt>
                <c:pt idx="4">
                  <c:v>-3.4000000000000002E-2</c:v>
                </c:pt>
                <c:pt idx="5">
                  <c:v>2.7E-2</c:v>
                </c:pt>
                <c:pt idx="6">
                  <c:v>8.0000000000000002E-3</c:v>
                </c:pt>
                <c:pt idx="7">
                  <c:v>2.9041626331074655E-2</c:v>
                </c:pt>
                <c:pt idx="8">
                  <c:v>4.4999999999999998E-2</c:v>
                </c:pt>
                <c:pt idx="9">
                  <c:v>0.08</c:v>
                </c:pt>
                <c:pt idx="10">
                  <c:v>7.2999999999999995E-2</c:v>
                </c:pt>
                <c:pt idx="11">
                  <c:v>4.5031055900621064E-2</c:v>
                </c:pt>
                <c:pt idx="12">
                  <c:v>1.857355126300142E-2</c:v>
                </c:pt>
                <c:pt idx="13">
                  <c:v>4.5222465353756292E-2</c:v>
                </c:pt>
                <c:pt idx="14">
                  <c:v>3.0704815073272718E-2</c:v>
                </c:pt>
                <c:pt idx="15">
                  <c:v>2.0988490182803021E-2</c:v>
                </c:pt>
                <c:pt idx="16">
                  <c:v>0.10610079575596809</c:v>
                </c:pt>
                <c:pt idx="17">
                  <c:v>0.18944844124700233</c:v>
                </c:pt>
                <c:pt idx="18">
                  <c:v>9.879032258064524E-2</c:v>
                </c:pt>
                <c:pt idx="19">
                  <c:v>6.8807339449541205E-2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49-44E0-9EFD-670A32200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44735"/>
        <c:axId val="65342648"/>
      </c:barChart>
      <c:catAx>
        <c:axId val="200447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342648"/>
        <c:crosses val="autoZero"/>
        <c:auto val="1"/>
        <c:lblAlgn val="ctr"/>
        <c:lblOffset val="100"/>
        <c:noMultiLvlLbl val="0"/>
      </c:catAx>
      <c:valAx>
        <c:axId val="653426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0447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Adjusted EBITDA (model) &amp; Operating Income (USDm)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Charts!$B$12</c:f>
              <c:strCache>
                <c:ptCount val="1"/>
                <c:pt idx="0">
                  <c:v>Adjusted EBITDA</c:v>
                </c:pt>
              </c:strCache>
            </c:strRef>
          </c:tx>
          <c:spPr>
            <a:solidFill>
              <a:srgbClr val="A8C5D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Charts!$C$12:$V$12</c:f>
              <c:numCache>
                <c:formatCode>#,##0;\(#,##0\);\-</c:formatCode>
                <c:ptCount val="20"/>
                <c:pt idx="0">
                  <c:v>535</c:v>
                </c:pt>
                <c:pt idx="1">
                  <c:v>590.59999999999991</c:v>
                </c:pt>
                <c:pt idx="2">
                  <c:v>497.69999999999987</c:v>
                </c:pt>
                <c:pt idx="3">
                  <c:v>364.1</c:v>
                </c:pt>
                <c:pt idx="4">
                  <c:v>374.70000000000005</c:v>
                </c:pt>
                <c:pt idx="5">
                  <c:v>335.9</c:v>
                </c:pt>
                <c:pt idx="6">
                  <c:v>329.9</c:v>
                </c:pt>
                <c:pt idx="7">
                  <c:v>390.20000000000005</c:v>
                </c:pt>
                <c:pt idx="8">
                  <c:v>537.00000000000023</c:v>
                </c:pt>
                <c:pt idx="9">
                  <c:v>766.69999999999982</c:v>
                </c:pt>
                <c:pt idx="10">
                  <c:v>971.5999999999998</c:v>
                </c:pt>
                <c:pt idx="11">
                  <c:v>1004.4000000000001</c:v>
                </c:pt>
                <c:pt idx="12">
                  <c:v>1103.7650000000001</c:v>
                </c:pt>
                <c:pt idx="13">
                  <c:v>1254.549</c:v>
                </c:pt>
                <c:pt idx="14">
                  <c:v>1392.7999999999997</c:v>
                </c:pt>
                <c:pt idx="15">
                  <c:v>1528.5000000000002</c:v>
                </c:pt>
                <c:pt idx="16">
                  <c:v>1600.3000000000004</c:v>
                </c:pt>
                <c:pt idx="17">
                  <c:v>2127.6999999999994</c:v>
                </c:pt>
                <c:pt idx="18">
                  <c:v>2066</c:v>
                </c:pt>
                <c:pt idx="19">
                  <c:v>2065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F1-4400-9151-F0905619F4D5}"/>
            </c:ext>
          </c:extLst>
        </c:ser>
        <c:ser>
          <c:idx val="1"/>
          <c:order val="1"/>
          <c:tx>
            <c:strRef>
              <c:f>Charts!$B$13</c:f>
              <c:strCache>
                <c:ptCount val="1"/>
                <c:pt idx="0">
                  <c:v>Earnings from Operations (GAAP)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Charts!$C$13:$V$13</c:f>
              <c:numCache>
                <c:formatCode>#,##0;\(#,##0\);\-</c:formatCode>
                <c:ptCount val="20"/>
                <c:pt idx="0">
                  <c:v>388</c:v>
                </c:pt>
                <c:pt idx="1">
                  <c:v>433</c:v>
                </c:pt>
                <c:pt idx="2">
                  <c:v>323.2999999999999</c:v>
                </c:pt>
                <c:pt idx="3">
                  <c:v>187.5999999999998</c:v>
                </c:pt>
                <c:pt idx="4">
                  <c:v>196.4</c:v>
                </c:pt>
                <c:pt idx="5">
                  <c:v>161</c:v>
                </c:pt>
                <c:pt idx="6">
                  <c:v>154.99999999999986</c:v>
                </c:pt>
                <c:pt idx="7">
                  <c:v>218.00000000000003</c:v>
                </c:pt>
                <c:pt idx="8">
                  <c:v>314.90000000000015</c:v>
                </c:pt>
                <c:pt idx="9">
                  <c:v>479.39999999999975</c:v>
                </c:pt>
                <c:pt idx="10">
                  <c:v>667.3</c:v>
                </c:pt>
                <c:pt idx="11">
                  <c:v>700.40000000000009</c:v>
                </c:pt>
                <c:pt idx="12">
                  <c:v>690.73700000000019</c:v>
                </c:pt>
                <c:pt idx="13">
                  <c:v>884.9340000000002</c:v>
                </c:pt>
                <c:pt idx="14">
                  <c:v>1005.3999999999997</c:v>
                </c:pt>
                <c:pt idx="15">
                  <c:v>973.80000000000007</c:v>
                </c:pt>
                <c:pt idx="16">
                  <c:v>1206.7</c:v>
                </c:pt>
                <c:pt idx="17">
                  <c:v>1595.9999999999995</c:v>
                </c:pt>
                <c:pt idx="18">
                  <c:v>2707</c:v>
                </c:pt>
                <c:pt idx="19">
                  <c:v>1437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F1-4400-9151-F0905619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08424"/>
        <c:axId val="81960370"/>
      </c:barChart>
      <c:lineChart>
        <c:grouping val="standard"/>
        <c:varyColors val="0"/>
        <c:ser>
          <c:idx val="2"/>
          <c:order val="2"/>
          <c:tx>
            <c:strRef>
              <c:f>Charts!$B$14</c:f>
              <c:strCache>
                <c:ptCount val="1"/>
                <c:pt idx="0">
                  <c:v>Adj. EBITDA Margin %</c:v>
                </c:pt>
              </c:strCache>
            </c:strRef>
          </c:tx>
          <c:spPr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Charts!$C$14:$V$14</c:f>
              <c:numCache>
                <c:formatCode>0.0%;\(0.0%\);\-</c:formatCode>
                <c:ptCount val="20"/>
                <c:pt idx="0">
                  <c:v>0.24247643219724438</c:v>
                </c:pt>
                <c:pt idx="1">
                  <c:v>0.26759095645870146</c:v>
                </c:pt>
                <c:pt idx="2">
                  <c:v>0.2347530776850148</c:v>
                </c:pt>
                <c:pt idx="3">
                  <c:v>0.21384940678961592</c:v>
                </c:pt>
                <c:pt idx="4">
                  <c:v>0.21016321723035505</c:v>
                </c:pt>
                <c:pt idx="5">
                  <c:v>0.19598576346344593</c:v>
                </c:pt>
                <c:pt idx="6">
                  <c:v>0.16190616411464467</c:v>
                </c:pt>
                <c:pt idx="7">
                  <c:v>0.18102528415680819</c:v>
                </c:pt>
                <c:pt idx="8">
                  <c:v>0.18154158215010149</c:v>
                </c:pt>
                <c:pt idx="9">
                  <c:v>0.21660639620296074</c:v>
                </c:pt>
                <c:pt idx="10">
                  <c:v>0.25442547397088083</c:v>
                </c:pt>
                <c:pt idx="11">
                  <c:v>0.25327819245511402</c:v>
                </c:pt>
                <c:pt idx="12">
                  <c:v>0.26006034024736913</c:v>
                </c:pt>
                <c:pt idx="13">
                  <c:v>0.26472316039887761</c:v>
                </c:pt>
                <c:pt idx="14">
                  <c:v>0.29446711346962934</c:v>
                </c:pt>
                <c:pt idx="15">
                  <c:v>0.282323605467307</c:v>
                </c:pt>
                <c:pt idx="16">
                  <c:v>0.25975944292044745</c:v>
                </c:pt>
                <c:pt idx="17">
                  <c:v>0.31394971374608976</c:v>
                </c:pt>
                <c:pt idx="18">
                  <c:v>0.31609547123623011</c:v>
                </c:pt>
                <c:pt idx="19">
                  <c:v>0.33577235772357722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0F1-4400-9151-F0905619F4D5}"/>
            </c:ext>
          </c:extLst>
        </c:ser>
        <c:ser>
          <c:idx val="3"/>
          <c:order val="3"/>
          <c:tx>
            <c:strRef>
              <c:f>Charts!$B$15</c:f>
              <c:strCache>
                <c:ptCount val="1"/>
                <c:pt idx="0">
                  <c:v>GAAP Op. Margin %</c:v>
                </c:pt>
              </c:strCache>
            </c:strRef>
          </c:tx>
          <c:spPr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Charts!$C$15:$V$15</c:f>
              <c:numCache>
                <c:formatCode>0.0%;\(0.0%\);\-</c:formatCode>
                <c:ptCount val="20"/>
                <c:pt idx="0">
                  <c:v>0.17585206671501086</c:v>
                </c:pt>
                <c:pt idx="1">
                  <c:v>0.19618503919169952</c:v>
                </c:pt>
                <c:pt idx="2">
                  <c:v>0.15249280694306869</c:v>
                </c:pt>
                <c:pt idx="3">
                  <c:v>0.11018442382238917</c:v>
                </c:pt>
                <c:pt idx="4">
                  <c:v>0.11015760839082393</c:v>
                </c:pt>
                <c:pt idx="5">
                  <c:v>9.3937802672267923E-2</c:v>
                </c:pt>
                <c:pt idx="6">
                  <c:v>7.6069886140557458E-2</c:v>
                </c:pt>
                <c:pt idx="7">
                  <c:v>0.10113662723266065</c:v>
                </c:pt>
                <c:pt idx="8">
                  <c:v>0.10645706558485468</c:v>
                </c:pt>
                <c:pt idx="9">
                  <c:v>0.13543903265905746</c:v>
                </c:pt>
                <c:pt idx="10">
                  <c:v>0.17474075625851052</c:v>
                </c:pt>
                <c:pt idx="11">
                  <c:v>0.17661892273552554</c:v>
                </c:pt>
                <c:pt idx="12">
                  <c:v>0.16274596426000737</c:v>
                </c:pt>
                <c:pt idx="13">
                  <c:v>0.18673047065074413</c:v>
                </c:pt>
                <c:pt idx="14">
                  <c:v>0.21256263345948115</c:v>
                </c:pt>
                <c:pt idx="15">
                  <c:v>0.17986701145179165</c:v>
                </c:pt>
                <c:pt idx="16">
                  <c:v>0.19587059912022986</c:v>
                </c:pt>
                <c:pt idx="17">
                  <c:v>0.23549548486100449</c:v>
                </c:pt>
                <c:pt idx="18">
                  <c:v>0.41416768665850673</c:v>
                </c:pt>
                <c:pt idx="19">
                  <c:v>0.23365853658536587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0F1-4400-9151-F0905619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9874911"/>
        <c:axId val="65694817"/>
      </c:lineChart>
      <c:catAx>
        <c:axId val="226084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960370"/>
        <c:crosses val="autoZero"/>
        <c:auto val="1"/>
        <c:lblAlgn val="ctr"/>
        <c:lblOffset val="100"/>
        <c:noMultiLvlLbl val="0"/>
      </c:catAx>
      <c:valAx>
        <c:axId val="819603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608424"/>
        <c:crosses val="autoZero"/>
        <c:crossBetween val="between"/>
      </c:valAx>
      <c:catAx>
        <c:axId val="998749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694817"/>
        <c:crosses val="autoZero"/>
        <c:auto val="1"/>
        <c:lblAlgn val="ctr"/>
        <c:lblOffset val="100"/>
        <c:noMultiLvlLbl val="0"/>
      </c:catAx>
      <c:valAx>
        <c:axId val="65694817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874911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Returns Profile: ROIC, RONTA, Adjusted EBITDA Margin &amp; FCF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Charts!$B$18</c:f>
              <c:strCache>
                <c:ptCount val="1"/>
                <c:pt idx="0">
                  <c:v>ROIC</c:v>
                </c:pt>
              </c:strCache>
            </c:strRef>
          </c:tx>
          <c:spPr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Charts!$C$18:$V$18</c:f>
              <c:numCache>
                <c:formatCode>0.0%;\(0.0%\);\-</c:formatCode>
                <c:ptCount val="20"/>
                <c:pt idx="0">
                  <c:v>0.14210892254571714</c:v>
                </c:pt>
                <c:pt idx="1">
                  <c:v>0.14888391629115655</c:v>
                </c:pt>
                <c:pt idx="2">
                  <c:v>9.6542534716534664E-2</c:v>
                </c:pt>
                <c:pt idx="3">
                  <c:v>5.9397211205489776E-2</c:v>
                </c:pt>
                <c:pt idx="4">
                  <c:v>6.1867320514460512E-2</c:v>
                </c:pt>
                <c:pt idx="5">
                  <c:v>5.2294966826712072E-2</c:v>
                </c:pt>
                <c:pt idx="6">
                  <c:v>5.2185242159716386E-2</c:v>
                </c:pt>
                <c:pt idx="7">
                  <c:v>6.2340195851760927E-2</c:v>
                </c:pt>
                <c:pt idx="8">
                  <c:v>3.3617149985296635E-2</c:v>
                </c:pt>
                <c:pt idx="9">
                  <c:v>6.4646376575395501E-2</c:v>
                </c:pt>
                <c:pt idx="10">
                  <c:v>8.3522915837170891E-2</c:v>
                </c:pt>
                <c:pt idx="11">
                  <c:v>0.13074083416947649</c:v>
                </c:pt>
                <c:pt idx="12">
                  <c:v>7.7709273461120304E-2</c:v>
                </c:pt>
                <c:pt idx="13">
                  <c:v>8.8493879253323623E-2</c:v>
                </c:pt>
                <c:pt idx="14">
                  <c:v>9.8218958702364564E-2</c:v>
                </c:pt>
                <c:pt idx="15">
                  <c:v>7.8341199660215785E-2</c:v>
                </c:pt>
                <c:pt idx="16">
                  <c:v>7.7645377206850441E-2</c:v>
                </c:pt>
                <c:pt idx="17">
                  <c:v>0.11746405068570739</c:v>
                </c:pt>
                <c:pt idx="18">
                  <c:v>8.1333230459273001E-2</c:v>
                </c:pt>
                <c:pt idx="19">
                  <c:v>7.8373842524675205E-2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2EB-4AF7-A066-6A1A3BE056BF}"/>
            </c:ext>
          </c:extLst>
        </c:ser>
        <c:ser>
          <c:idx val="1"/>
          <c:order val="1"/>
          <c:tx>
            <c:strRef>
              <c:f>Charts!$B$19</c:f>
              <c:strCache>
                <c:ptCount val="1"/>
                <c:pt idx="0">
                  <c:v>RONTA</c:v>
                </c:pt>
              </c:strCache>
            </c:strRef>
          </c:tx>
          <c:spPr>
            <a:ln w="28440">
              <a:solidFill>
                <a:srgbClr val="84A98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Charts!$C$19:$V$19</c:f>
              <c:numCache>
                <c:formatCode>0.0%;\(0.0%\);\-</c:formatCode>
                <c:ptCount val="20"/>
                <c:pt idx="0">
                  <c:v>0.15775686101785949</c:v>
                </c:pt>
                <c:pt idx="1">
                  <c:v>0.16330395128793587</c:v>
                </c:pt>
                <c:pt idx="2">
                  <c:v>0.10230040503111822</c:v>
                </c:pt>
                <c:pt idx="3">
                  <c:v>5.7879714935246941E-2</c:v>
                </c:pt>
                <c:pt idx="4">
                  <c:v>6.5503104987585575E-2</c:v>
                </c:pt>
                <c:pt idx="5">
                  <c:v>5.619788235350321E-2</c:v>
                </c:pt>
                <c:pt idx="6">
                  <c:v>5.5462960652888055E-2</c:v>
                </c:pt>
                <c:pt idx="7">
                  <c:v>6.6682736872343593E-2</c:v>
                </c:pt>
                <c:pt idx="8">
                  <c:v>3.9851224458555365E-2</c:v>
                </c:pt>
                <c:pt idx="9">
                  <c:v>7.8859899247304355E-2</c:v>
                </c:pt>
                <c:pt idx="10">
                  <c:v>0.10256416048000294</c:v>
                </c:pt>
                <c:pt idx="11">
                  <c:v>0.12853746067445987</c:v>
                </c:pt>
                <c:pt idx="12">
                  <c:v>9.9709943626846168E-2</c:v>
                </c:pt>
                <c:pt idx="13">
                  <c:v>0.10627787774494643</c:v>
                </c:pt>
                <c:pt idx="14">
                  <c:v>0.11402700481071498</c:v>
                </c:pt>
                <c:pt idx="15">
                  <c:v>9.817452396578083E-2</c:v>
                </c:pt>
                <c:pt idx="16">
                  <c:v>9.5704037754699822E-2</c:v>
                </c:pt>
                <c:pt idx="17">
                  <c:v>0.12709607767212977</c:v>
                </c:pt>
                <c:pt idx="18">
                  <c:v>9.034975272189151E-2</c:v>
                </c:pt>
                <c:pt idx="19">
                  <c:v>8.7006175285143678E-2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2EB-4AF7-A066-6A1A3BE056BF}"/>
            </c:ext>
          </c:extLst>
        </c:ser>
        <c:ser>
          <c:idx val="2"/>
          <c:order val="2"/>
          <c:tx>
            <c:strRef>
              <c:f>Charts!$B$20</c:f>
              <c:strCache>
                <c:ptCount val="1"/>
                <c:pt idx="0">
                  <c:v>Adj. EBITDA margin %</c:v>
                </c:pt>
              </c:strCache>
            </c:strRef>
          </c:tx>
          <c:spPr>
            <a:ln w="284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Charts!$C$20:$V$20</c:f>
              <c:numCache>
                <c:formatCode>0.0%;\(0.0%\);\-</c:formatCode>
                <c:ptCount val="20"/>
                <c:pt idx="0">
                  <c:v>0.24247643219724438</c:v>
                </c:pt>
                <c:pt idx="1">
                  <c:v>0.26759095645870146</c:v>
                </c:pt>
                <c:pt idx="2">
                  <c:v>0.2347530776850148</c:v>
                </c:pt>
                <c:pt idx="3">
                  <c:v>0.21384940678961592</c:v>
                </c:pt>
                <c:pt idx="4">
                  <c:v>0.21016321723035505</c:v>
                </c:pt>
                <c:pt idx="5">
                  <c:v>0.19598576346344593</c:v>
                </c:pt>
                <c:pt idx="6">
                  <c:v>0.16190616411464467</c:v>
                </c:pt>
                <c:pt idx="7">
                  <c:v>0.18102528415680819</c:v>
                </c:pt>
                <c:pt idx="8">
                  <c:v>0.18154158215010149</c:v>
                </c:pt>
                <c:pt idx="9">
                  <c:v>0.21660639620296074</c:v>
                </c:pt>
                <c:pt idx="10">
                  <c:v>0.25442547397088083</c:v>
                </c:pt>
                <c:pt idx="11">
                  <c:v>0.25327819245511402</c:v>
                </c:pt>
                <c:pt idx="12">
                  <c:v>0.26006034024736913</c:v>
                </c:pt>
                <c:pt idx="13">
                  <c:v>0.26472316039887761</c:v>
                </c:pt>
                <c:pt idx="14">
                  <c:v>0.29446711346962934</c:v>
                </c:pt>
                <c:pt idx="15">
                  <c:v>0.282323605467307</c:v>
                </c:pt>
                <c:pt idx="16">
                  <c:v>0.25975944292044745</c:v>
                </c:pt>
                <c:pt idx="17">
                  <c:v>0.31394971374608976</c:v>
                </c:pt>
                <c:pt idx="18">
                  <c:v>0.31609547123623011</c:v>
                </c:pt>
                <c:pt idx="19">
                  <c:v>0.33577235772357722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2EB-4AF7-A066-6A1A3BE056BF}"/>
            </c:ext>
          </c:extLst>
        </c:ser>
        <c:ser>
          <c:idx val="3"/>
          <c:order val="3"/>
          <c:tx>
            <c:strRef>
              <c:f>Charts!$B$21</c:f>
              <c:strCache>
                <c:ptCount val="1"/>
                <c:pt idx="0">
                  <c:v>FCF margin %</c:v>
                </c:pt>
              </c:strCache>
            </c:strRef>
          </c:tx>
          <c:spPr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Charts!$C$21:$V$21</c:f>
              <c:numCache>
                <c:formatCode>0.0%;\(0.0%\);\-</c:formatCode>
                <c:ptCount val="20"/>
                <c:pt idx="0">
                  <c:v>3.2730239303843368E-2</c:v>
                </c:pt>
                <c:pt idx="1">
                  <c:v>5.9193058764895105E-2</c:v>
                </c:pt>
                <c:pt idx="2">
                  <c:v>4.1218810433470136E-2</c:v>
                </c:pt>
                <c:pt idx="3">
                  <c:v>0.10521437801010221</c:v>
                </c:pt>
                <c:pt idx="4">
                  <c:v>7.5097874249817703E-2</c:v>
                </c:pt>
                <c:pt idx="5">
                  <c:v>6.0523367757745486E-2</c:v>
                </c:pt>
                <c:pt idx="6">
                  <c:v>3.5171770710639969E-2</c:v>
                </c:pt>
                <c:pt idx="7">
                  <c:v>7.1314312224541876E-2</c:v>
                </c:pt>
                <c:pt idx="8">
                  <c:v>5.0532454361054774E-2</c:v>
                </c:pt>
                <c:pt idx="9">
                  <c:v>7.201915470674651E-2</c:v>
                </c:pt>
                <c:pt idx="10">
                  <c:v>7.6303288991306159E-2</c:v>
                </c:pt>
                <c:pt idx="11">
                  <c:v>6.2425105910833181E-2</c:v>
                </c:pt>
                <c:pt idx="12">
                  <c:v>7.7562074941126435E-2</c:v>
                </c:pt>
                <c:pt idx="13">
                  <c:v>0.12082468013955398</c:v>
                </c:pt>
                <c:pt idx="14">
                  <c:v>0.14596503097317065</c:v>
                </c:pt>
                <c:pt idx="15">
                  <c:v>0.13199113409678612</c:v>
                </c:pt>
                <c:pt idx="16">
                  <c:v>8.268540912558639E-2</c:v>
                </c:pt>
                <c:pt idx="17">
                  <c:v>0.12956678274213543</c:v>
                </c:pt>
                <c:pt idx="18">
                  <c:v>9.2411260709914317E-2</c:v>
                </c:pt>
                <c:pt idx="19">
                  <c:v>0.15902439024390244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2EB-4AF7-A066-6A1A3BE05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7004353"/>
        <c:axId val="61682655"/>
      </c:lineChart>
      <c:catAx>
        <c:axId val="270043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682655"/>
        <c:crosses val="autoZero"/>
        <c:auto val="1"/>
        <c:lblAlgn val="ctr"/>
        <c:lblOffset val="100"/>
        <c:noMultiLvlLbl val="0"/>
      </c:catAx>
      <c:valAx>
        <c:axId val="616826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0043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omments/comment1.xml><?xml version="1.0" encoding="utf-8"?>
<comments xmlns="http://schemas.openxmlformats.org/spreadsheetml/2006/main">
  <authors>
    <author>ODFL model</author>
  </authors>
  <commentList>
    <comment ref="CF2" authorId="0" shapeId="0">
      <text>
        <t>Scenario toggle. Choose Bull / Base / Bear. Drives: Q3/Q4-26E operating ratio and Q4/26E tons/day &amp; ex-fuel yield (best / average / worst 2016–25 seasonality), 2H/26 buybacks, 2027E–2030E tons/day growth, ex-fuel yield growth and operating ratio, and the target cash balance for 2027E+ buybacks (scenario table CN:CR).</t>
      </text>
    </comment>
    <comment ref="B11" authorId="0" shapeId="0">
      <text>
        <t>Source: ODFL earnings releases (Form 8-K Ex. 99.1) — "Operating Statistics" table (work days from Q4-12); earlier years computed (ODFL calendar).</t>
      </text>
    </comment>
    <comment ref="C11" authorId="0" shapeId="0">
      <text>
        <t>Not published in this release — computed with the ODFL work-day calendar (workdays.py).</t>
      </text>
    </comment>
    <comment ref="D11" authorId="0" shapeId="0">
      <text>
        <t>Not published in this release — computed with the ODFL work-day calendar (workdays.py).</t>
      </text>
    </comment>
    <comment ref="E11" authorId="0" shapeId="0">
      <text>
        <t>Not published in this release — computed with the ODFL work-day calendar (workdays.py).</t>
      </text>
    </comment>
    <comment ref="F11" authorId="0" shapeId="0">
      <text>
        <t>Not published in this release — computed with the ODFL work-day calendar (workdays.py).</t>
      </text>
    </comment>
    <comment ref="G11" authorId="0" shapeId="0">
      <text>
        <t>Not published in this release — computed with the ODFL work-day calendar (workdays.py).</t>
      </text>
    </comment>
    <comment ref="H11" authorId="0" shapeId="0">
      <text>
        <t>Not published in this release — computed with the ODFL work-day calendar (workdays.py).</t>
      </text>
    </comment>
    <comment ref="AR11" authorId="0" shapeId="0">
      <text>
        <t>Not published in this release — computed with the ODFL work-day calendar (workdays.py).</t>
      </text>
    </comment>
    <comment ref="AW11" authorId="0" shapeId="0">
      <text>
        <t>Not published in this release — computed with the ODFL work-day calendar (workdays.py).</t>
      </text>
    </comment>
    <comment ref="B12" authorId="0" shapeId="0">
      <text>
        <t>Source: ODFL earnings releases (Form 8-K Ex. 99.1) — "Operating Statistics" (LTL tons per day / LTL tonnage per day); annual = Q4 release year-to-date column.</t>
      </text>
    </comment>
    <comment ref="C12" authorId="0" shapeId="0">
      <text>
        <t>Derived: tons ÷ work days (not published in this release).</t>
      </text>
    </comment>
    <comment ref="D12" authorId="0" shapeId="0">
      <text>
        <t>Derived: tons ÷ work days (not published in this release).</t>
      </text>
    </comment>
    <comment ref="E12" authorId="0" shapeId="0">
      <text>
        <t>Derived: tons ÷ work days (not published in this release).</t>
      </text>
    </comment>
    <comment ref="F12" authorId="0" shapeId="0">
      <text>
        <t>Derived: tons ÷ work days (not published in this release).</t>
      </text>
    </comment>
    <comment ref="G12" authorId="0" shapeId="0">
      <text>
        <t>Derived: tons ÷ work days (not published in this release).</t>
      </text>
    </comment>
    <comment ref="H12" authorId="0" shapeId="0">
      <text>
        <t>Derived: tons ÷ work days (not published in this release).</t>
      </text>
    </comment>
    <comment ref="I12" authorId="0" shapeId="0">
      <text>
        <t>Derived: tons ÷ work days (not published in this release).</t>
      </text>
    </comment>
    <comment ref="J12" authorId="0" shapeId="0">
      <text>
        <t>Derived: tons ÷ work days (not published in this release).</t>
      </text>
    </comment>
    <comment ref="K12" authorId="0" shapeId="0">
      <text>
        <t>Derived: tons ÷ work days (not published in this release).</t>
      </text>
    </comment>
    <comment ref="L12" authorId="0" shapeId="0">
      <text>
        <t>Derived: tons ÷ work days (not published in this release).</t>
      </text>
    </comment>
    <comment ref="M12" authorId="0" shapeId="0">
      <text>
        <t>Derived: tons ÷ work days (not published in this release).</t>
      </text>
    </comment>
    <comment ref="N12" authorId="0" shapeId="0">
      <text>
        <t>Derived: tons ÷ work days (not published in this release).</t>
      </text>
    </comment>
    <comment ref="O12" authorId="0" shapeId="0">
      <text>
        <t>Derived: tons ÷ work days (not published in this release).</t>
      </text>
    </comment>
    <comment ref="P12" authorId="0" shapeId="0">
      <text>
        <t>Derived: tons ÷ work days (not published in this release).</t>
      </text>
    </comment>
    <comment ref="Q12" authorId="0" shapeId="0">
      <text>
        <t>Derived: tons ÷ work days (not published in this release).</t>
      </text>
    </comment>
    <comment ref="R12" authorId="0" shapeId="0">
      <text>
        <t>Derived: tons ÷ work days (not published in this release).</t>
      </text>
    </comment>
    <comment ref="S12" authorId="0" shapeId="0">
      <text>
        <t>Derived: tons ÷ work days (not published in this release).</t>
      </text>
    </comment>
    <comment ref="T12" authorId="0" shapeId="0">
      <text>
        <t>Derived: tons ÷ work days (not published in this release).</t>
      </text>
    </comment>
    <comment ref="U12" authorId="0" shapeId="0">
      <text>
        <t>Derived: tons ÷ work days (not published in this release).</t>
      </text>
    </comment>
    <comment ref="V12" authorId="0" shapeId="0">
      <text>
        <t>Derived: tons ÷ work days (not published in this release).</t>
      </text>
    </comment>
    <comment ref="W12" authorId="0" shapeId="0">
      <text>
        <t>Derived: tons ÷ work days (not published in this release).</t>
      </text>
    </comment>
    <comment ref="X12" authorId="0" shapeId="0">
      <text>
        <t>Derived: tons ÷ work days (not published in this release).</t>
      </text>
    </comment>
    <comment ref="AJ12" authorId="0" shapeId="0">
      <text>
        <t>Derived: tons ÷ work days (not published in this release).</t>
      </text>
    </comment>
    <comment ref="AK12" authorId="0" shapeId="0">
      <text>
        <t>Derived: tons ÷ work days (not published in this release).</t>
      </text>
    </comment>
    <comment ref="AL12" authorId="0" shapeId="0">
      <text>
        <t>Derived: tons ÷ work days (not published in this release).</t>
      </text>
    </comment>
    <comment ref="AM12" authorId="0" shapeId="0">
      <text>
        <t>Derived: tons ÷ work days (not published in this release).</t>
      </text>
    </comment>
    <comment ref="AQ12" authorId="0" shapeId="0">
      <text>
        <t>Derived: tons ÷ work days (not published in this release).</t>
      </text>
    </comment>
    <comment ref="AR12" authorId="0" shapeId="0">
      <text>
        <t>Derived: tons ÷ work days (not published in this release).</t>
      </text>
    </comment>
    <comment ref="C25" authorId="0" shapeId="0">
      <text>
        <t>As originally reported. The 2014 releases restated 2013 on the LTL basis; the model keeps the original 2013 figures.</t>
      </text>
    </comment>
    <comment ref="B28" authorId="0" shapeId="0">
      <text>
        <t>Source: ODFL earnings releases (Form 8-K Ex. 99.1) — "Operating Statistics" — LTL revenue per hundredweight, excluding fuel surcharges (statistics basis).</t>
      </text>
    </comment>
    <comment ref="B43" authorId="0" shapeId="0">
      <text>
        <t>Source: ODFL earnings releases (Form 8-K Ex. 99.1) — summary table "LTL services revenue / Other services revenue" (published from 2019).</t>
      </text>
    </comment>
    <comment ref="B59" authorId="0" shapeId="0">
      <text>
        <t>Source: Form 10-K Item 1 Business / Item 2 Properties (service centers, tractors, linehaul trailers) and Human Capital (employees).</t>
      </text>
    </comment>
    <comment ref="B100" authorId="0" shapeId="0">
      <text>
        <t>Source: Statements of Operations (Q-release three-month columns; annual = Q4 release twelve-month column; 10-K for FY2009).</t>
      </text>
    </comment>
    <comment ref="B108" authorId="0" shapeId="0">
      <text>
        <t>Source: Statements of Operations (release); cash-flow D&amp;A in the 10-K / 10-Q differs by &lt;$0.05m.</t>
      </text>
    </comment>
    <comment ref="B134" authorId="0" shapeId="0">
      <text>
        <t>Source: releases; restated ×1/6.75 (pre-Aug-2010), ×1/4.5 (to Sep-2012), ×1/3 (to Mar-2020), ×1/2 (to Mar-2024) by document filing date.</t>
      </text>
    </comment>
    <comment ref="B135" authorId="0" shapeId="0">
      <text>
        <t>Source: releases / 10-Q / 10-K (split-adjusted). Quarterly dividend initiated Q1-17.</t>
      </text>
    </comment>
    <comment ref="B146" authorId="0" shapeId="0">
      <text>
        <t>Source: SEC XBRL companyfacts (CIK 0000878927), earliest-filed fact for the period (as originally reported); Q4 = FY − 9M.</t>
      </text>
    </comment>
    <comment ref="B152" authorId="0" shapeId="0">
      <text>
        <t>Source: Statements of Cash Flows (10-K / 10-Q year-to-date; discrete quarters derived) — "(Gain) loss on disposal / sale of property and equipment".</t>
      </text>
    </comment>
    <comment ref="B155" authorId="0" shapeId="0">
      <text>
        <t>Source: ODFL earnings releases / 10-Q MD&amp;A — only items quantified by the company (see cell comments).</t>
      </text>
    </comment>
    <comment ref="D155" authorId="0" shapeId="0">
      <text>
        <t>Company-identified (pre-tax): Q2-07 final resolution of a single-customer pricing issue for Jul-2004 to Sep-2006 (revenue recognised $2.0m, $0.03/share): -2.0</t>
      </text>
    </comment>
    <comment ref="AG155" authorId="0" shapeId="0">
      <text>
        <t>Company-identified (pre-tax): Special bonus to non-executive employees after passage of the Tax Cuts and Jobs Act ($9.8m): +9.8</t>
      </text>
    </comment>
    <comment ref="AH155" authorId="0" shapeId="0">
      <text>
        <t>Company-identified (pre-tax): Special bonus to non-executive employees after passage of the Tax Cuts and Jobs Act ($9.8m, Q4-17): +9.8</t>
      </text>
    </comment>
    <comment ref="BE155" authorId="0" shapeId="0">
      <text>
        <t>Company-identified (pre-tax): One-time reduction in salaries, wages &amp; benefits on termination of the Executive Chairman's employment agreement (Aug-2022, $15.8m): -15.8</t>
      </text>
    </comment>
    <comment ref="BG155" authorId="0" shapeId="0">
      <text>
        <t>Company-identified (pre-tax): One-time reduction in salaries, wages &amp; benefits on termination of the Executive Chairman's employment agreement (Q3-22, $15.8m): -15.8</t>
      </text>
    </comment>
    <comment ref="C161" authorId="0" shapeId="0">
      <text>
        <t>ODFL publishes no non-GAAP reconciliation. Items: FY2007 −$2.0m (Q2-07 customer pricing resolution, revenue).</t>
      </text>
    </comment>
    <comment ref="AG173" authorId="0" shapeId="0">
      <text>
        <t>Company-identified discrete tax item: Tax Cuts and Jobs Act — revaluation of the net deferred tax liability (net tax benefit $104.9m): -104.9</t>
      </text>
    </comment>
    <comment ref="AH173" authorId="0" shapeId="0">
      <text>
        <t>Company-identified discrete tax item: Tax Cuts and Jobs Act — revaluation of the net deferred tax liability (net tax benefit $104.9m, Q4-17): -104.9</t>
      </text>
    </comment>
    <comment ref="B199" authorId="0" shapeId="0">
      <text>
        <t>Source: Statements of Cash Flows (10-K / 10-Q year-to-date; discrete quarters derived; Q4 = FY − 9M).</t>
      </text>
    </comment>
    <comment ref="B249" authorId="0" shapeId="0">
      <text>
        <t>Source: Balance Sheets (10-K / 10-Q).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N26" authorId="0" shapeId="0">
      <text>
        <t>P/E on adjusted EPS (continuing operations). MLM has traded at ~25–35x NTM EPS over 2019–26 (≈28x 2027E adjusted EPS at $518.70). Base 26x, Bull 30x, Bear 21x applied to 2028E–2030E.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22</row>
      <rowOff>160560</rowOff>
    </from>
    <to>
      <col>12</col>
      <colOff>543600</colOff>
      <row>37</row>
      <rowOff>2160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</col>
      <colOff>0</colOff>
      <row>43</row>
      <rowOff>160560</rowOff>
    </from>
    <to>
      <col>12</col>
      <colOff>543600</colOff>
      <row>58</row>
      <rowOff>1800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1</col>
      <colOff>0</colOff>
      <row>64</row>
      <rowOff>160560</rowOff>
    </from>
    <to>
      <col>12</col>
      <colOff>543600</colOff>
      <row>79</row>
      <rowOff>2160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R369"/>
  <sheetViews>
    <sheetView showGridLines="0" tabSelected="1" zoomScale="70" zoomScaleNormal="70" workbookViewId="0">
      <pane xSplit="7" ySplit="7" topLeftCell="H8" activePane="bottomRight" state="frozen"/>
      <selection pane="topRight" activeCell="A1" sqref="A1"/>
      <selection pane="bottomLeft" activeCell="A1" sqref="A1"/>
      <selection pane="bottomRight" activeCell="C1" sqref="C1"/>
      <selection pane="bottomLeft" activeCell="A8" sqref="A8"/>
      <selection pane="bottomRight" activeCell="X421" sqref="X421"/>
    </sheetView>
  </sheetViews>
  <sheetFormatPr baseColWidth="8" defaultColWidth="8.5703125" defaultRowHeight="15" outlineLevelRow="2"/>
  <cols>
    <col width="2.42578125" customWidth="1" min="1" max="1"/>
    <col width="62" customWidth="1" min="2" max="2"/>
    <col width="14.140625" customWidth="1" min="3" max="9"/>
    <col hidden="1" outlineLevel="1" width="9.5703125" customWidth="1" min="10" max="13"/>
    <col collapsed="1" width="14.140625" customWidth="1" min="14" max="14"/>
    <col hidden="1" outlineLevel="1" width="9.5703125" customWidth="1" min="15" max="18"/>
    <col collapsed="1" width="14.140625" customWidth="1" min="19" max="19"/>
    <col hidden="1" outlineLevel="1" width="9.5703125" customWidth="1" min="20" max="23"/>
    <col collapsed="1" width="14.140625" customWidth="1" min="24" max="24"/>
    <col hidden="1" outlineLevel="1" width="9.5703125" customWidth="1" min="25" max="28"/>
    <col collapsed="1" width="14.140625" customWidth="1" min="29" max="29"/>
    <col hidden="1" outlineLevel="1" width="9.5703125" customWidth="1" min="30" max="33"/>
    <col collapsed="1" width="14.140625" customWidth="1" min="34" max="34"/>
    <col hidden="1" outlineLevel="1" width="9.5703125" customWidth="1" min="35" max="38"/>
    <col collapsed="1" width="14.140625" customWidth="1" min="39" max="39"/>
    <col hidden="1" outlineLevel="1" width="9.5703125" customWidth="1" min="40" max="43"/>
    <col collapsed="1" width="14.140625" customWidth="1" min="44" max="44"/>
    <col hidden="1" outlineLevel="1" width="9.5703125" customWidth="1" min="45" max="48"/>
    <col collapsed="1" width="14.140625" customWidth="1" min="49" max="49"/>
    <col hidden="1" outlineLevel="1" width="9.5703125" customWidth="1" min="50" max="53"/>
    <col collapsed="1" width="14.140625" customWidth="1" min="54" max="54"/>
    <col hidden="1" outlineLevel="1" width="9.5703125" customWidth="1" min="55" max="58"/>
    <col collapsed="1" width="14.140625" customWidth="1" min="59" max="59"/>
    <col hidden="1" outlineLevel="1" width="9.5703125" customWidth="1" min="60" max="63"/>
    <col collapsed="1" width="14.140625" customWidth="1" min="64" max="64"/>
    <col hidden="1" outlineLevel="1" width="9.5703125" customWidth="1" min="65" max="68"/>
    <col collapsed="1" width="14.140625" customWidth="1" min="69" max="69"/>
    <col hidden="1" outlineLevel="1" width="9.5703125" customWidth="1" min="70" max="73"/>
    <col collapsed="1" width="14.140625" customWidth="1" min="74" max="74"/>
    <col hidden="1" outlineLevel="1" width="9.5703125" customWidth="1" min="75" max="76"/>
    <col hidden="1" outlineLevel="1" width="11.42578125" customWidth="1" min="77" max="78"/>
    <col collapsed="1" width="14.140625" customWidth="1" min="79" max="79"/>
    <col width="14.140625" customWidth="1" min="80" max="83"/>
    <col width="86.85546875" customWidth="1" min="84" max="84"/>
    <col width="2" customWidth="1" min="85" max="85"/>
    <col width="14.140625" customWidth="1" min="86" max="86"/>
    <col width="12.42578125" customWidth="1" min="87" max="87"/>
    <col width="13.42578125" customWidth="1" min="88" max="89"/>
    <col width="2" customWidth="1" min="90" max="90"/>
    <col width="6" customWidth="1" min="91" max="91"/>
    <col width="46" customWidth="1" min="92" max="92"/>
    <col width="11.5703125" customWidth="1" min="93" max="95"/>
    <col width="60" customWidth="1" min="96" max="96"/>
  </cols>
  <sheetData>
    <row r="1" ht="15" customHeight="1">
      <c r="CF1" s="1" t="inlineStr">
        <is>
          <t>SCENARIO SWITCH ▼ (Bull / Base / Bear) — drives all scenario-linked forecast drivers</t>
        </is>
      </c>
    </row>
    <row r="2" ht="21" customHeight="1">
      <c r="B2" s="2" t="inlineStr">
        <is>
          <t>Old Dominion Freight Line, Inc. (Nasdaq: ODFL) — 3-Statement Financial Model</t>
        </is>
      </c>
      <c r="CF2" s="3" t="inlineStr">
        <is>
          <t>Base</t>
        </is>
      </c>
    </row>
    <row r="3" ht="15" customHeight="1">
      <c r="B3" s="4" t="inlineStr">
        <is>
          <t>US GAAP as reported · USD millions (per-share data in USD; shares in millions, split-adjusted; tons, shipments &amp; miles in thousands) · Source: ODFL Forms 10-K / 10-Q, Form 8-K earnings releases (Ex. 99.1) and mid-quarter updates, SEC XBRL companyfacts, SEC EDGAR CIK 0000878927 (investor-relations releases are the same documents as filed on EDGAR)</t>
        </is>
      </c>
    </row>
    <row r="4" ht="15" customHeight="1">
      <c r="B4" s="5" t="inlineStr">
        <is>
          <t>Basis notes: calendar fiscal year; single reportable segment (LTL); all periods as originally reported. Stock splits 3-for-2 Aug-2010, Sep-2012, Mar-2020 and 2-for-1 Mar-2024 (earlier shares / per-share data restated). Operating statistics on the total-tons basis to 2013, LTL from 2014; LTL / other services revenue split from 2019. ODFL publishes no non-GAAP measures or annual guidance: EBITDA / Adjusted EBITDA / adjusted EPS are model definitions; Q3/26E anchored to the 3-Sep-26 mid-quarter update, Q4/26E and the Q3/Q4 operating ratio on 2016–25 seasonality.</t>
        </is>
      </c>
    </row>
    <row r="5" ht="15" customHeight="1">
      <c r="BY5" s="6" t="n"/>
      <c r="BZ5" s="6" t="n"/>
      <c r="CA5" s="6" t="n"/>
      <c r="CB5" s="6" t="n"/>
      <c r="CC5" s="6" t="n"/>
      <c r="CD5" s="6" t="n"/>
      <c r="CE5" s="6" t="n"/>
      <c r="CH5" s="7" t="inlineStr">
        <is>
          <t>Forecast</t>
        </is>
      </c>
      <c r="CI5" s="7" t="inlineStr">
        <is>
          <t>Historical</t>
        </is>
      </c>
      <c r="CJ5" s="7" t="inlineStr">
        <is>
          <t>Historical</t>
        </is>
      </c>
      <c r="CK5" s="7" t="inlineStr">
        <is>
          <t>Historical</t>
        </is>
      </c>
    </row>
    <row r="6" ht="15" customHeight="1">
      <c r="B6" s="8" t="inlineStr">
        <is>
          <t>(USDm)</t>
        </is>
      </c>
      <c r="C6" s="9" t="n">
        <v>2006</v>
      </c>
      <c r="D6" s="9" t="n">
        <v>2007</v>
      </c>
      <c r="E6" s="9" t="n">
        <v>2008</v>
      </c>
      <c r="F6" s="9" t="n">
        <v>2009</v>
      </c>
      <c r="G6" s="9" t="n">
        <v>2010</v>
      </c>
      <c r="H6" s="9" t="n">
        <v>2011</v>
      </c>
      <c r="I6" s="9" t="n">
        <v>2012</v>
      </c>
      <c r="J6" s="9" t="inlineStr">
        <is>
          <t>Q1/13</t>
        </is>
      </c>
      <c r="K6" s="9" t="inlineStr">
        <is>
          <t>Q2/13</t>
        </is>
      </c>
      <c r="L6" s="9" t="inlineStr">
        <is>
          <t>Q3/13</t>
        </is>
      </c>
      <c r="M6" s="9" t="inlineStr">
        <is>
          <t>Q4/13</t>
        </is>
      </c>
      <c r="N6" s="9" t="n">
        <v>2013</v>
      </c>
      <c r="O6" s="9" t="inlineStr">
        <is>
          <t>Q1/14</t>
        </is>
      </c>
      <c r="P6" s="9" t="inlineStr">
        <is>
          <t>Q2/14</t>
        </is>
      </c>
      <c r="Q6" s="9" t="inlineStr">
        <is>
          <t>Q3/14</t>
        </is>
      </c>
      <c r="R6" s="9" t="inlineStr">
        <is>
          <t>Q4/14</t>
        </is>
      </c>
      <c r="S6" s="9" t="n">
        <v>2014</v>
      </c>
      <c r="T6" s="9" t="inlineStr">
        <is>
          <t>Q1/15</t>
        </is>
      </c>
      <c r="U6" s="9" t="inlineStr">
        <is>
          <t>Q2/15</t>
        </is>
      </c>
      <c r="V6" s="9" t="inlineStr">
        <is>
          <t>Q3/15</t>
        </is>
      </c>
      <c r="W6" s="9" t="inlineStr">
        <is>
          <t>Q4/15</t>
        </is>
      </c>
      <c r="X6" s="9" t="n">
        <v>2015</v>
      </c>
      <c r="Y6" s="9" t="inlineStr">
        <is>
          <t>Q1/16</t>
        </is>
      </c>
      <c r="Z6" s="9" t="inlineStr">
        <is>
          <t>Q2/16</t>
        </is>
      </c>
      <c r="AA6" s="9" t="inlineStr">
        <is>
          <t>Q3/16</t>
        </is>
      </c>
      <c r="AB6" s="9" t="inlineStr">
        <is>
          <t>Q4/16</t>
        </is>
      </c>
      <c r="AC6" s="9" t="n">
        <v>2016</v>
      </c>
      <c r="AD6" s="9" t="inlineStr">
        <is>
          <t>Q1/17</t>
        </is>
      </c>
      <c r="AE6" s="9" t="inlineStr">
        <is>
          <t>Q2/17</t>
        </is>
      </c>
      <c r="AF6" s="9" t="inlineStr">
        <is>
          <t>Q3/17</t>
        </is>
      </c>
      <c r="AG6" s="9" t="inlineStr">
        <is>
          <t>Q4/17</t>
        </is>
      </c>
      <c r="AH6" s="9" t="n">
        <v>2017</v>
      </c>
      <c r="AI6" s="9" t="inlineStr">
        <is>
          <t>Q1/18</t>
        </is>
      </c>
      <c r="AJ6" s="9" t="inlineStr">
        <is>
          <t>Q2/18</t>
        </is>
      </c>
      <c r="AK6" s="9" t="inlineStr">
        <is>
          <t>Q3/18</t>
        </is>
      </c>
      <c r="AL6" s="9" t="inlineStr">
        <is>
          <t>Q4/18</t>
        </is>
      </c>
      <c r="AM6" s="9" t="n">
        <v>2018</v>
      </c>
      <c r="AN6" s="9" t="inlineStr">
        <is>
          <t>Q1/19</t>
        </is>
      </c>
      <c r="AO6" s="9" t="inlineStr">
        <is>
          <t>Q2/19</t>
        </is>
      </c>
      <c r="AP6" s="9" t="inlineStr">
        <is>
          <t>Q3/19</t>
        </is>
      </c>
      <c r="AQ6" s="9" t="inlineStr">
        <is>
          <t>Q4/19</t>
        </is>
      </c>
      <c r="AR6" s="9" t="n">
        <v>2019</v>
      </c>
      <c r="AS6" s="9" t="inlineStr">
        <is>
          <t>Q1/20</t>
        </is>
      </c>
      <c r="AT6" s="9" t="inlineStr">
        <is>
          <t>Q2/20</t>
        </is>
      </c>
      <c r="AU6" s="9" t="inlineStr">
        <is>
          <t>Q3/20</t>
        </is>
      </c>
      <c r="AV6" s="9" t="inlineStr">
        <is>
          <t>Q4/20</t>
        </is>
      </c>
      <c r="AW6" s="9" t="n">
        <v>2020</v>
      </c>
      <c r="AX6" s="9" t="inlineStr">
        <is>
          <t>Q1/21</t>
        </is>
      </c>
      <c r="AY6" s="9" t="inlineStr">
        <is>
          <t>Q2/21</t>
        </is>
      </c>
      <c r="AZ6" s="9" t="inlineStr">
        <is>
          <t>Q3/21</t>
        </is>
      </c>
      <c r="BA6" s="9" t="inlineStr">
        <is>
          <t>Q4/21</t>
        </is>
      </c>
      <c r="BB6" s="9" t="n">
        <v>2021</v>
      </c>
      <c r="BC6" s="9" t="inlineStr">
        <is>
          <t>Q1/22</t>
        </is>
      </c>
      <c r="BD6" s="9" t="inlineStr">
        <is>
          <t>Q2/22</t>
        </is>
      </c>
      <c r="BE6" s="9" t="inlineStr">
        <is>
          <t>Q3/22</t>
        </is>
      </c>
      <c r="BF6" s="9" t="inlineStr">
        <is>
          <t>Q4/22</t>
        </is>
      </c>
      <c r="BG6" s="9" t="n">
        <v>2022</v>
      </c>
      <c r="BH6" s="9" t="inlineStr">
        <is>
          <t>Q1/23</t>
        </is>
      </c>
      <c r="BI6" s="9" t="inlineStr">
        <is>
          <t>Q2/23</t>
        </is>
      </c>
      <c r="BJ6" s="9" t="inlineStr">
        <is>
          <t>Q3/23</t>
        </is>
      </c>
      <c r="BK6" s="9" t="inlineStr">
        <is>
          <t>Q4/23</t>
        </is>
      </c>
      <c r="BL6" s="9" t="n">
        <v>2023</v>
      </c>
      <c r="BM6" s="9" t="inlineStr">
        <is>
          <t>Q1/24</t>
        </is>
      </c>
      <c r="BN6" s="9" t="inlineStr">
        <is>
          <t>Q2/24</t>
        </is>
      </c>
      <c r="BO6" s="9" t="inlineStr">
        <is>
          <t>Q3/24</t>
        </is>
      </c>
      <c r="BP6" s="9" t="inlineStr">
        <is>
          <t>Q4/24</t>
        </is>
      </c>
      <c r="BQ6" s="9" t="n">
        <v>2024</v>
      </c>
      <c r="BR6" s="9" t="inlineStr">
        <is>
          <t>Q1/25</t>
        </is>
      </c>
      <c r="BS6" s="9" t="inlineStr">
        <is>
          <t>Q2/25</t>
        </is>
      </c>
      <c r="BT6" s="9" t="inlineStr">
        <is>
          <t>Q3/25</t>
        </is>
      </c>
      <c r="BU6" s="9" t="inlineStr">
        <is>
          <t>Q4/25</t>
        </is>
      </c>
      <c r="BV6" s="9" t="n">
        <v>2025</v>
      </c>
      <c r="BW6" s="9" t="inlineStr">
        <is>
          <t>Q1/26</t>
        </is>
      </c>
      <c r="BX6" s="9" t="inlineStr">
        <is>
          <t>Q2/26</t>
        </is>
      </c>
      <c r="BY6" s="9" t="inlineStr">
        <is>
          <t>Q3/26E</t>
        </is>
      </c>
      <c r="BZ6" s="9" t="inlineStr">
        <is>
          <t>Q4/26E</t>
        </is>
      </c>
      <c r="CA6" s="9" t="inlineStr">
        <is>
          <t>2026E</t>
        </is>
      </c>
      <c r="CB6" s="9" t="inlineStr">
        <is>
          <t>2027E</t>
        </is>
      </c>
      <c r="CC6" s="9" t="inlineStr">
        <is>
          <t>2028E</t>
        </is>
      </c>
      <c r="CD6" s="9" t="inlineStr">
        <is>
          <t>2029E</t>
        </is>
      </c>
      <c r="CE6" s="9" t="inlineStr">
        <is>
          <t>2030E</t>
        </is>
      </c>
      <c r="CF6" s="9" t="inlineStr">
        <is>
          <t>Modelling Notes</t>
        </is>
      </c>
      <c r="CH6" s="7" t="inlineStr">
        <is>
          <t>5Y CAGR</t>
        </is>
      </c>
      <c r="CI6" s="7" t="inlineStr">
        <is>
          <t>5Y CAGR</t>
        </is>
      </c>
      <c r="CJ6" s="7" t="inlineStr">
        <is>
          <t>10Y CAGR</t>
        </is>
      </c>
      <c r="CK6" s="7" t="inlineStr">
        <is>
          <t>19Y CAGR</t>
        </is>
      </c>
    </row>
    <row r="7" ht="15" customHeight="1">
      <c r="CH7" s="10" t="inlineStr">
        <is>
          <t>25-'30</t>
        </is>
      </c>
      <c r="CI7" s="10" t="inlineStr">
        <is>
          <t>20-'25</t>
        </is>
      </c>
      <c r="CJ7" s="10" t="inlineStr">
        <is>
          <t>15-'25</t>
        </is>
      </c>
      <c r="CK7" s="10" t="inlineStr">
        <is>
          <t>06-'25</t>
        </is>
      </c>
    </row>
    <row r="8" ht="15" customHeight="1">
      <c r="B8" s="11" t="inlineStr">
        <is>
          <t>LTL OPERATING BUILD — TONS PER DAY × WORK DAYS × REVENUE PER HUNDREDWEIGHT (EX-FUEL + FUEL SURCHARGE) · OTHER SERVICES · NETWORK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  <c r="AR8" s="11" t="n"/>
      <c r="AS8" s="11" t="n"/>
      <c r="AT8" s="11" t="n"/>
      <c r="AU8" s="11" t="n"/>
      <c r="AV8" s="11" t="n"/>
      <c r="AW8" s="11" t="n"/>
      <c r="AX8" s="11" t="n"/>
      <c r="AY8" s="11" t="n"/>
      <c r="AZ8" s="11" t="n"/>
      <c r="BA8" s="11" t="n"/>
      <c r="BB8" s="11" t="n"/>
      <c r="BC8" s="11" t="n"/>
      <c r="BD8" s="11" t="n"/>
      <c r="BE8" s="11" t="n"/>
      <c r="BF8" s="11" t="n"/>
      <c r="BG8" s="11" t="n"/>
      <c r="BH8" s="11" t="n"/>
      <c r="BI8" s="11" t="n"/>
      <c r="BJ8" s="11" t="n"/>
      <c r="BK8" s="11" t="n"/>
      <c r="BL8" s="11" t="n"/>
      <c r="BM8" s="11" t="n"/>
      <c r="BN8" s="11" t="n"/>
      <c r="BO8" s="11" t="n"/>
      <c r="BP8" s="11" t="n"/>
      <c r="BQ8" s="11" t="n"/>
      <c r="BR8" s="11" t="n"/>
      <c r="BS8" s="11" t="n"/>
      <c r="BT8" s="11" t="n"/>
      <c r="BU8" s="11" t="n"/>
      <c r="BV8" s="11" t="n"/>
      <c r="BW8" s="11" t="n"/>
      <c r="BX8" s="11" t="n"/>
      <c r="BY8" s="11" t="n"/>
      <c r="BZ8" s="11" t="n"/>
      <c r="CA8" s="11" t="n"/>
      <c r="CB8" s="11" t="n"/>
      <c r="CC8" s="11" t="n"/>
      <c r="CD8" s="11" t="n"/>
      <c r="CE8" s="11" t="n"/>
      <c r="CF8" s="11" t="inlineStr">
        <is>
          <t>LTL OPERATING BUILD — modelling logic (tons/day × work days → tons; × 20 cwt × revenue/cwt → LTL revenue (statistics basis) → reported revenue → operating ratio → EPS)</t>
        </is>
      </c>
    </row>
    <row r="9" ht="15" customHeight="1">
      <c r="CN9" s="12" t="inlineStr">
        <is>
          <t>SCENARIO INPUT TABLE — driver assumptions per Bull / Base / Bear</t>
        </is>
      </c>
      <c r="CO9" s="13" t="inlineStr">
        <is>
          <t>Bull</t>
        </is>
      </c>
      <c r="CP9" s="13" t="inlineStr">
        <is>
          <t>Base</t>
        </is>
      </c>
      <c r="CQ9" s="13" t="inlineStr">
        <is>
          <t>Bear</t>
        </is>
      </c>
      <c r="CR9" s="14" t="inlineStr">
        <is>
          <t>Bull / Bear = Base + Δ (Δ inputs on each block header). FY26 block: Q3/26E anchored to the 3-Sep-26 mid-quarter update; Q4/26E and the Q3/Q4 operating ratio from 2016–25 seasonality (best / average / worst).</t>
        </is>
      </c>
    </row>
    <row r="10" ht="15" customHeight="1">
      <c r="B10" s="15" t="inlineStr">
        <is>
          <t>LTL volume — tonnage, shipments &amp; weight per shipment (operating statistics as published; total tons &amp; shipments to 2013, LTL from 2014)</t>
        </is>
      </c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5" t="n"/>
      <c r="CE10" s="15" t="n"/>
      <c r="CF10" s="16" t="inlineStr">
        <is>
          <t>VOLUME — modelling logic</t>
        </is>
      </c>
    </row>
    <row r="11" ht="15" customHeight="1">
      <c r="B11" s="26" t="inlineStr">
        <is>
          <t xml:space="preserve">  Work days</t>
        </is>
      </c>
      <c r="C11" s="174" t="n">
        <v>252</v>
      </c>
      <c r="D11" s="174" t="n">
        <v>253</v>
      </c>
      <c r="E11" s="174" t="n">
        <v>254</v>
      </c>
      <c r="F11" s="174" t="n">
        <v>253</v>
      </c>
      <c r="G11" s="174" t="n">
        <v>252</v>
      </c>
      <c r="H11" s="174" t="n">
        <v>253</v>
      </c>
      <c r="I11" s="174" t="n">
        <v>254</v>
      </c>
      <c r="J11" s="174" t="n">
        <v>63</v>
      </c>
      <c r="K11" s="174" t="n">
        <v>64</v>
      </c>
      <c r="L11" s="174" t="n">
        <v>64</v>
      </c>
      <c r="M11" s="174" t="n">
        <v>63</v>
      </c>
      <c r="N11" s="174" t="n">
        <v>254</v>
      </c>
      <c r="O11" s="174" t="n">
        <v>63</v>
      </c>
      <c r="P11" s="174" t="n">
        <v>64</v>
      </c>
      <c r="Q11" s="174" t="n">
        <v>64</v>
      </c>
      <c r="R11" s="174" t="n">
        <v>63</v>
      </c>
      <c r="S11" s="174" t="n">
        <v>254</v>
      </c>
      <c r="T11" s="174" t="n">
        <v>63</v>
      </c>
      <c r="U11" s="174" t="n">
        <v>64</v>
      </c>
      <c r="V11" s="174" t="n">
        <v>64</v>
      </c>
      <c r="W11" s="174" t="n">
        <v>63</v>
      </c>
      <c r="X11" s="174" t="n">
        <v>254</v>
      </c>
      <c r="Y11" s="174" t="n">
        <v>64</v>
      </c>
      <c r="Z11" s="174" t="n">
        <v>64</v>
      </c>
      <c r="AA11" s="174" t="n">
        <v>64</v>
      </c>
      <c r="AB11" s="174" t="n">
        <v>62</v>
      </c>
      <c r="AC11" s="174" t="n">
        <v>254</v>
      </c>
      <c r="AD11" s="174" t="n">
        <v>64</v>
      </c>
      <c r="AE11" s="174" t="n">
        <v>64</v>
      </c>
      <c r="AF11" s="174" t="n">
        <v>63</v>
      </c>
      <c r="AG11" s="174" t="n">
        <v>62</v>
      </c>
      <c r="AH11" s="174" t="n">
        <v>253</v>
      </c>
      <c r="AI11" s="174" t="n">
        <v>64</v>
      </c>
      <c r="AJ11" s="174" t="n">
        <v>64</v>
      </c>
      <c r="AK11" s="174" t="n">
        <v>63</v>
      </c>
      <c r="AL11" s="174" t="n">
        <v>62</v>
      </c>
      <c r="AM11" s="174" t="n">
        <v>253</v>
      </c>
      <c r="AN11" s="174" t="n">
        <v>63</v>
      </c>
      <c r="AO11" s="174" t="n">
        <v>64</v>
      </c>
      <c r="AP11" s="174" t="n">
        <v>64</v>
      </c>
      <c r="AQ11" s="174" t="n">
        <v>62</v>
      </c>
      <c r="AR11" s="174" t="n">
        <v>253</v>
      </c>
      <c r="AS11" s="174" t="n">
        <v>64</v>
      </c>
      <c r="AT11" s="174" t="n">
        <v>64</v>
      </c>
      <c r="AU11" s="174" t="n">
        <v>64</v>
      </c>
      <c r="AV11" s="174" t="n">
        <v>62</v>
      </c>
      <c r="AW11" s="174" t="n">
        <v>254</v>
      </c>
      <c r="AX11" s="174" t="n">
        <v>63</v>
      </c>
      <c r="AY11" s="174" t="n">
        <v>64</v>
      </c>
      <c r="AZ11" s="174" t="n">
        <v>64</v>
      </c>
      <c r="BA11" s="174" t="n">
        <v>61</v>
      </c>
      <c r="BB11" s="174" t="n">
        <v>252</v>
      </c>
      <c r="BC11" s="174" t="n">
        <v>64</v>
      </c>
      <c r="BD11" s="174" t="n">
        <v>64</v>
      </c>
      <c r="BE11" s="174" t="n">
        <v>64</v>
      </c>
      <c r="BF11" s="174" t="n">
        <v>61</v>
      </c>
      <c r="BG11" s="174" t="n">
        <v>253</v>
      </c>
      <c r="BH11" s="174" t="n">
        <v>64</v>
      </c>
      <c r="BI11" s="174" t="n">
        <v>64</v>
      </c>
      <c r="BJ11" s="174" t="n">
        <v>63</v>
      </c>
      <c r="BK11" s="174" t="n">
        <v>61</v>
      </c>
      <c r="BL11" s="174" t="n">
        <v>252</v>
      </c>
      <c r="BM11" s="174" t="n">
        <v>64</v>
      </c>
      <c r="BN11" s="174" t="n">
        <v>64</v>
      </c>
      <c r="BO11" s="174" t="n">
        <v>64</v>
      </c>
      <c r="BP11" s="174" t="n">
        <v>62</v>
      </c>
      <c r="BQ11" s="174" t="n">
        <v>254</v>
      </c>
      <c r="BR11" s="174" t="n">
        <v>63</v>
      </c>
      <c r="BS11" s="174" t="n">
        <v>64</v>
      </c>
      <c r="BT11" s="174" t="n">
        <v>64</v>
      </c>
      <c r="BU11" s="174" t="n">
        <v>62</v>
      </c>
      <c r="BV11" s="174" t="n">
        <v>253</v>
      </c>
      <c r="BW11" s="174" t="n">
        <v>63</v>
      </c>
      <c r="BX11" s="174" t="n">
        <v>64</v>
      </c>
      <c r="BY11" s="175" t="n">
        <v>64</v>
      </c>
      <c r="BZ11" s="175" t="n">
        <v>62</v>
      </c>
      <c r="CA11" s="176">
        <f>SUM(BW11,BX11,BY11,BZ11)</f>
        <v/>
      </c>
      <c r="CB11" s="175" t="n">
        <v>252</v>
      </c>
      <c r="CC11" s="175" t="n">
        <v>253</v>
      </c>
      <c r="CD11" s="175" t="n">
        <v>253</v>
      </c>
      <c r="CE11" s="175" t="n">
        <v>253</v>
      </c>
      <c r="CF11" s="20" t="inlineStr">
        <is>
          <t>Published in the releases from 2012 (Q4) / 2013; earlier years per the ODFL calendar (weekdays less New Year, Memorial Day, July 4, Labor Day, Thanksgiving + Friday, Christmas Eve &amp; Day — reproduces every published count 2012–26). Q3/26E 64, Q4/26E 62; 2027E–30E 252 / 253 / 253 / 253.</t>
        </is>
      </c>
      <c r="CN11" s="16" t="inlineStr">
        <is>
          <t>FY26 calibration — Q3/26E anchored to the 3-Sep-26 mid-quarter update; seasonality 2016–25 (formulas on the historical columns)</t>
        </is>
      </c>
      <c r="CO11" s="22" t="inlineStr">
        <is>
          <t>Bull</t>
        </is>
      </c>
      <c r="CP11" s="22" t="inlineStr">
        <is>
          <t>Base</t>
        </is>
      </c>
      <c r="CQ11" s="22" t="inlineStr">
        <is>
          <t>Bear</t>
        </is>
      </c>
      <c r="CR11" s="14" t="inlineStr">
        <is>
          <t>ODFL gives no revenue / EPS guidance. Bull / Base / Bear = best / average / worst historical sequential change, 2016–2025 (Q2→Q3 and Q3→Q4).</t>
        </is>
      </c>
    </row>
    <row r="12" ht="15" customHeight="1">
      <c r="B12" s="17" t="inlineStr">
        <is>
          <t xml:space="preserve">  LTL tons per day (total tons per day to 2013)</t>
        </is>
      </c>
      <c r="C12" s="177" t="n">
        <v>19281.746</v>
      </c>
      <c r="D12" s="177" t="n">
        <v>20833.992</v>
      </c>
      <c r="E12" s="177" t="n">
        <v>21830.709</v>
      </c>
      <c r="F12" s="177" t="n">
        <v>19375.494</v>
      </c>
      <c r="G12" s="177" t="n">
        <v>22444.444</v>
      </c>
      <c r="H12" s="177" t="n">
        <v>25284.585</v>
      </c>
      <c r="I12" s="177" t="n">
        <v>27066.929</v>
      </c>
      <c r="J12" s="177" t="n">
        <v>27253.968</v>
      </c>
      <c r="K12" s="177" t="n">
        <v>29359.375</v>
      </c>
      <c r="L12" s="177" t="n">
        <v>30062.5</v>
      </c>
      <c r="M12" s="177" t="n">
        <v>29619.048</v>
      </c>
      <c r="N12" s="177" t="n">
        <v>29074.803</v>
      </c>
      <c r="O12" s="177" t="n">
        <v>26666.667</v>
      </c>
      <c r="P12" s="177" t="n">
        <v>29109.375</v>
      </c>
      <c r="Q12" s="177" t="n">
        <v>30406.25</v>
      </c>
      <c r="R12" s="177" t="n">
        <v>30190.476</v>
      </c>
      <c r="S12" s="177" t="n">
        <v>29098.425</v>
      </c>
      <c r="T12" s="177" t="n">
        <v>29714.286</v>
      </c>
      <c r="U12" s="177" t="n">
        <v>31750</v>
      </c>
      <c r="V12" s="177" t="n">
        <v>32421.875</v>
      </c>
      <c r="W12" s="177" t="n">
        <v>31095.238</v>
      </c>
      <c r="X12" s="177" t="n">
        <v>31251.969</v>
      </c>
      <c r="Y12" s="177" t="n">
        <v>30060</v>
      </c>
      <c r="Z12" s="177" t="n">
        <v>31640</v>
      </c>
      <c r="AA12" s="177" t="n">
        <v>32016</v>
      </c>
      <c r="AB12" s="177" t="n">
        <v>31177</v>
      </c>
      <c r="AC12" s="177" t="n">
        <v>31224</v>
      </c>
      <c r="AD12" s="177" t="n">
        <v>30781</v>
      </c>
      <c r="AE12" s="177" t="n">
        <v>33563</v>
      </c>
      <c r="AF12" s="177" t="n">
        <v>34762</v>
      </c>
      <c r="AG12" s="177" t="n">
        <v>35661</v>
      </c>
      <c r="AH12" s="177" t="n">
        <v>33672</v>
      </c>
      <c r="AI12" s="177" t="n">
        <v>35531</v>
      </c>
      <c r="AJ12" s="177" t="n">
        <v>38468.75</v>
      </c>
      <c r="AK12" s="177" t="n">
        <v>37571.429</v>
      </c>
      <c r="AL12" s="177" t="n">
        <v>36693.548</v>
      </c>
      <c r="AM12" s="177" t="n">
        <v>37071.146</v>
      </c>
      <c r="AN12" s="177" t="n">
        <v>35016</v>
      </c>
      <c r="AO12" s="177" t="n">
        <v>36031</v>
      </c>
      <c r="AP12" s="177" t="n">
        <v>35609</v>
      </c>
      <c r="AQ12" s="177" t="n">
        <v>35048.387</v>
      </c>
      <c r="AR12" s="177" t="n">
        <v>35430.83</v>
      </c>
      <c r="AS12" s="177" t="n">
        <v>33641</v>
      </c>
      <c r="AT12" s="177" t="n">
        <v>31688</v>
      </c>
      <c r="AU12" s="177" t="n">
        <v>36078</v>
      </c>
      <c r="AV12" s="177" t="n">
        <v>36758</v>
      </c>
      <c r="AW12" s="177" t="n">
        <v>34528</v>
      </c>
      <c r="AX12" s="177" t="n">
        <v>37010</v>
      </c>
      <c r="AY12" s="177" t="n">
        <v>40600</v>
      </c>
      <c r="AZ12" s="177" t="n">
        <v>41020</v>
      </c>
      <c r="BA12" s="177" t="n">
        <v>42020</v>
      </c>
      <c r="BB12" s="177" t="n">
        <v>40153</v>
      </c>
      <c r="BC12" s="177" t="n">
        <v>41454</v>
      </c>
      <c r="BD12" s="177" t="n">
        <v>41746</v>
      </c>
      <c r="BE12" s="177" t="n">
        <v>39941</v>
      </c>
      <c r="BF12" s="177" t="n">
        <v>38195</v>
      </c>
      <c r="BG12" s="177" t="n">
        <v>40359</v>
      </c>
      <c r="BH12" s="177" t="n">
        <v>36540</v>
      </c>
      <c r="BI12" s="177" t="n">
        <v>35878</v>
      </c>
      <c r="BJ12" s="177" t="n">
        <v>37181</v>
      </c>
      <c r="BK12" s="177" t="n">
        <v>37419</v>
      </c>
      <c r="BL12" s="177" t="n">
        <v>36745</v>
      </c>
      <c r="BM12" s="177" t="n">
        <v>35380</v>
      </c>
      <c r="BN12" s="177" t="n">
        <v>36560</v>
      </c>
      <c r="BO12" s="177" t="n">
        <v>35408</v>
      </c>
      <c r="BP12" s="177" t="n">
        <v>34351</v>
      </c>
      <c r="BQ12" s="177" t="n">
        <v>35433</v>
      </c>
      <c r="BR12" s="177" t="n">
        <v>33135</v>
      </c>
      <c r="BS12" s="177" t="n">
        <v>33178</v>
      </c>
      <c r="BT12" s="177" t="n">
        <v>32231</v>
      </c>
      <c r="BU12" s="177" t="n">
        <v>30691</v>
      </c>
      <c r="BV12" s="177" t="n">
        <v>32319</v>
      </c>
      <c r="BW12" s="177" t="n">
        <v>30584</v>
      </c>
      <c r="BX12" s="177" t="n">
        <v>31804</v>
      </c>
      <c r="BY12" s="178">
        <f>BT12*(1+$CP$19)</f>
        <v/>
      </c>
      <c r="BZ12" s="178">
        <f>BY12*(1+CHOOSE(MATCH($CF$2,{"Bull","Base","Bear"},0),$CO$14,$CP$14,$CQ$14))</f>
        <v/>
      </c>
      <c r="CA12" s="178">
        <f>IFERROR(CA15*1000/CA11,"")</f>
        <v/>
      </c>
      <c r="CB12" s="178">
        <f>CA12*(1+CB13)</f>
        <v/>
      </c>
      <c r="CC12" s="178">
        <f>CB12*(1+CC13)</f>
        <v/>
      </c>
      <c r="CD12" s="178">
        <f>CC12*(1+CD13)</f>
        <v/>
      </c>
      <c r="CE12" s="178">
        <f>CD12*(1+CE13)</f>
        <v/>
      </c>
      <c r="CF12" s="6" t="inlineStr">
        <is>
          <t>Q3/26E: Q3/25 × (1 + Aug-26 tons/day y/y from the 3-Sep-26 update). Q4/26E: Q3/26E × (1 + 2016–25 Q3→Q4 sequential change: best / average / worst by scenario). 2027E+: prior year × (1 + scenario lever). Derived as tons ÷ work days where not published (2014–15, 2018–19).</t>
        </is>
      </c>
      <c r="CH12" s="21">
        <f>IFERROR((CE12/BV12)^(1/5)-1,"n/m")</f>
        <v/>
      </c>
      <c r="CI12" s="21">
        <f>IFERROR((BV12/AW12)^(1/5)-1,"n/m")</f>
        <v/>
      </c>
      <c r="CJ12" s="21">
        <f>IFERROR((BV12/X12)^(1/10)-1,"n/m")</f>
        <v/>
      </c>
      <c r="CK12" s="21">
        <f>IFERROR((BV12/C12)^(1/19)-1,"n/m")</f>
        <v/>
      </c>
      <c r="CN12" s="26" t="inlineStr">
        <is>
          <t xml:space="preserve">  Q2→Q3 operating-ratio change (best / average / worst, 2016–25)</t>
        </is>
      </c>
      <c r="CO12" s="179">
        <f>MIN(AA92,AF92,AK92,AP92,AU92,AZ92,BE92,BJ92,BO92,BT92)</f>
        <v/>
      </c>
      <c r="CP12" s="179">
        <f>AVERAGE(AA92,AF92,AK92,AP92,AU92,AZ92,BE92,BJ92,BO92,BT92)</f>
        <v/>
      </c>
      <c r="CQ12" s="179">
        <f>MAX(AA92,AF92,AK92,AP92,AU92,AZ92,BE92,BJ92,BO92,BT92)</f>
        <v/>
      </c>
      <c r="CR12" s="14" t="inlineStr">
        <is>
          <t>Applied to the Q2/26 operating ratio (70.1%). Best case = 2020 (−332 bps, COVID rebound); excluding 2020 the best is −166 bps (2023).</t>
        </is>
      </c>
    </row>
    <row r="13" ht="15" customHeight="1">
      <c r="B13" s="23" t="inlineStr">
        <is>
          <t xml:space="preserve">    y/y %</t>
        </is>
      </c>
      <c r="D13" s="180">
        <f>IF(AND(ISNUMBER(D12),ISNUMBER(C12)),IFERROR(D12/C12-1,""),"")</f>
        <v/>
      </c>
      <c r="E13" s="180">
        <f>IF(AND(ISNUMBER(E12),ISNUMBER(D12)),IFERROR(E12/D12-1,""),"")</f>
        <v/>
      </c>
      <c r="F13" s="180">
        <f>IF(AND(ISNUMBER(F12),ISNUMBER(E12)),IFERROR(F12/E12-1,""),"")</f>
        <v/>
      </c>
      <c r="G13" s="180">
        <f>IF(AND(ISNUMBER(G12),ISNUMBER(F12)),IFERROR(G12/F12-1,""),"")</f>
        <v/>
      </c>
      <c r="H13" s="180">
        <f>IF(AND(ISNUMBER(H12),ISNUMBER(G12)),IFERROR(H12/G12-1,""),"")</f>
        <v/>
      </c>
      <c r="I13" s="180">
        <f>IF(AND(ISNUMBER(I12),ISNUMBER(H12)),IFERROR(I12/H12-1,""),"")</f>
        <v/>
      </c>
      <c r="N13" s="180">
        <f>IF(AND(ISNUMBER(N12),ISNUMBER(I12)),IFERROR(N12/I12-1,""),"")</f>
        <v/>
      </c>
      <c r="O13" s="180">
        <f>IF(AND(ISNUMBER(O12),ISNUMBER(J12)),IFERROR(O12/J12-1,""),"")</f>
        <v/>
      </c>
      <c r="P13" s="180">
        <f>IF(AND(ISNUMBER(P12),ISNUMBER(K12)),IFERROR(P12/K12-1,""),"")</f>
        <v/>
      </c>
      <c r="Q13" s="180">
        <f>IF(AND(ISNUMBER(Q12),ISNUMBER(L12)),IFERROR(Q12/L12-1,""),"")</f>
        <v/>
      </c>
      <c r="R13" s="180">
        <f>IF(AND(ISNUMBER(R12),ISNUMBER(M12)),IFERROR(R12/M12-1,""),"")</f>
        <v/>
      </c>
      <c r="S13" s="180">
        <f>IF(AND(ISNUMBER(S12),ISNUMBER(N12)),IFERROR(S12/N12-1,""),"")</f>
        <v/>
      </c>
      <c r="T13" s="180">
        <f>IF(AND(ISNUMBER(T12),ISNUMBER(O12)),IFERROR(T12/O12-1,""),"")</f>
        <v/>
      </c>
      <c r="U13" s="180">
        <f>IF(AND(ISNUMBER(U12),ISNUMBER(P12)),IFERROR(U12/P12-1,""),"")</f>
        <v/>
      </c>
      <c r="V13" s="180">
        <f>IF(AND(ISNUMBER(V12),ISNUMBER(Q12)),IFERROR(V12/Q12-1,""),"")</f>
        <v/>
      </c>
      <c r="W13" s="180">
        <f>IF(AND(ISNUMBER(W12),ISNUMBER(R12)),IFERROR(W12/R12-1,""),"")</f>
        <v/>
      </c>
      <c r="X13" s="180">
        <f>IF(AND(ISNUMBER(X12),ISNUMBER(S12)),IFERROR(X12/S12-1,""),"")</f>
        <v/>
      </c>
      <c r="Y13" s="180">
        <f>IF(AND(ISNUMBER(Y12),ISNUMBER(T12)),IFERROR(Y12/T12-1,""),"")</f>
        <v/>
      </c>
      <c r="Z13" s="180">
        <f>IF(AND(ISNUMBER(Z12),ISNUMBER(U12)),IFERROR(Z12/U12-1,""),"")</f>
        <v/>
      </c>
      <c r="AA13" s="180">
        <f>IF(AND(ISNUMBER(AA12),ISNUMBER(V12)),IFERROR(AA12/V12-1,""),"")</f>
        <v/>
      </c>
      <c r="AB13" s="180">
        <f>IF(AND(ISNUMBER(AB12),ISNUMBER(W12)),IFERROR(AB12/W12-1,""),"")</f>
        <v/>
      </c>
      <c r="AC13" s="180">
        <f>IF(AND(ISNUMBER(AC12),ISNUMBER(X12)),IFERROR(AC12/X12-1,""),"")</f>
        <v/>
      </c>
      <c r="AD13" s="180">
        <f>IF(AND(ISNUMBER(AD12),ISNUMBER(Y12)),IFERROR(AD12/Y12-1,""),"")</f>
        <v/>
      </c>
      <c r="AE13" s="180">
        <f>IF(AND(ISNUMBER(AE12),ISNUMBER(Z12)),IFERROR(AE12/Z12-1,""),"")</f>
        <v/>
      </c>
      <c r="AF13" s="180">
        <f>IF(AND(ISNUMBER(AF12),ISNUMBER(AA12)),IFERROR(AF12/AA12-1,""),"")</f>
        <v/>
      </c>
      <c r="AG13" s="180">
        <f>IF(AND(ISNUMBER(AG12),ISNUMBER(AB12)),IFERROR(AG12/AB12-1,""),"")</f>
        <v/>
      </c>
      <c r="AH13" s="180">
        <f>IF(AND(ISNUMBER(AH12),ISNUMBER(AC12)),IFERROR(AH12/AC12-1,""),"")</f>
        <v/>
      </c>
      <c r="AI13" s="180">
        <f>IF(AND(ISNUMBER(AI12),ISNUMBER(AD12)),IFERROR(AI12/AD12-1,""),"")</f>
        <v/>
      </c>
      <c r="AJ13" s="180">
        <f>IF(AND(ISNUMBER(AJ12),ISNUMBER(AE12)),IFERROR(AJ12/AE12-1,""),"")</f>
        <v/>
      </c>
      <c r="AK13" s="180">
        <f>IF(AND(ISNUMBER(AK12),ISNUMBER(AF12)),IFERROR(AK12/AF12-1,""),"")</f>
        <v/>
      </c>
      <c r="AL13" s="180">
        <f>IF(AND(ISNUMBER(AL12),ISNUMBER(AG12)),IFERROR(AL12/AG12-1,""),"")</f>
        <v/>
      </c>
      <c r="AM13" s="180">
        <f>IF(AND(ISNUMBER(AM12),ISNUMBER(AH12)),IFERROR(AM12/AH12-1,""),"")</f>
        <v/>
      </c>
      <c r="AN13" s="180">
        <f>IF(AND(ISNUMBER(AN12),ISNUMBER(AI12)),IFERROR(AN12/AI12-1,""),"")</f>
        <v/>
      </c>
      <c r="AO13" s="180">
        <f>IF(AND(ISNUMBER(AO12),ISNUMBER(AJ12)),IFERROR(AO12/AJ12-1,""),"")</f>
        <v/>
      </c>
      <c r="AP13" s="180">
        <f>IF(AND(ISNUMBER(AP12),ISNUMBER(AK12)),IFERROR(AP12/AK12-1,""),"")</f>
        <v/>
      </c>
      <c r="AQ13" s="180">
        <f>IF(AND(ISNUMBER(AQ12),ISNUMBER(AL12)),IFERROR(AQ12/AL12-1,""),"")</f>
        <v/>
      </c>
      <c r="AR13" s="180">
        <f>IF(AND(ISNUMBER(AR12),ISNUMBER(AM12)),IFERROR(AR12/AM12-1,""),"")</f>
        <v/>
      </c>
      <c r="AS13" s="180">
        <f>IF(AND(ISNUMBER(AS12),ISNUMBER(AN12)),IFERROR(AS12/AN12-1,""),"")</f>
        <v/>
      </c>
      <c r="AT13" s="180">
        <f>IF(AND(ISNUMBER(AT12),ISNUMBER(AO12)),IFERROR(AT12/AO12-1,""),"")</f>
        <v/>
      </c>
      <c r="AU13" s="180">
        <f>IF(AND(ISNUMBER(AU12),ISNUMBER(AP12)),IFERROR(AU12/AP12-1,""),"")</f>
        <v/>
      </c>
      <c r="AV13" s="180">
        <f>IF(AND(ISNUMBER(AV12),ISNUMBER(AQ12)),IFERROR(AV12/AQ12-1,""),"")</f>
        <v/>
      </c>
      <c r="AW13" s="180">
        <f>IF(AND(ISNUMBER(AW12),ISNUMBER(AR12)),IFERROR(AW12/AR12-1,""),"")</f>
        <v/>
      </c>
      <c r="AX13" s="180">
        <f>IF(AND(ISNUMBER(AX12),ISNUMBER(AS12)),IFERROR(AX12/AS12-1,""),"")</f>
        <v/>
      </c>
      <c r="AY13" s="180">
        <f>IF(AND(ISNUMBER(AY12),ISNUMBER(AT12)),IFERROR(AY12/AT12-1,""),"")</f>
        <v/>
      </c>
      <c r="AZ13" s="180">
        <f>IF(AND(ISNUMBER(AZ12),ISNUMBER(AU12)),IFERROR(AZ12/AU12-1,""),"")</f>
        <v/>
      </c>
      <c r="BA13" s="180">
        <f>IF(AND(ISNUMBER(BA12),ISNUMBER(AV12)),IFERROR(BA12/AV12-1,""),"")</f>
        <v/>
      </c>
      <c r="BB13" s="180">
        <f>IF(AND(ISNUMBER(BB12),ISNUMBER(AW12)),IFERROR(BB12/AW12-1,""),"")</f>
        <v/>
      </c>
      <c r="BC13" s="180">
        <f>IF(AND(ISNUMBER(BC12),ISNUMBER(AX12)),IFERROR(BC12/AX12-1,""),"")</f>
        <v/>
      </c>
      <c r="BD13" s="180">
        <f>IF(AND(ISNUMBER(BD12),ISNUMBER(AY12)),IFERROR(BD12/AY12-1,""),"")</f>
        <v/>
      </c>
      <c r="BE13" s="180">
        <f>IF(AND(ISNUMBER(BE12),ISNUMBER(AZ12)),IFERROR(BE12/AZ12-1,""),"")</f>
        <v/>
      </c>
      <c r="BF13" s="180">
        <f>IF(AND(ISNUMBER(BF12),ISNUMBER(BA12)),IFERROR(BF12/BA12-1,""),"")</f>
        <v/>
      </c>
      <c r="BG13" s="180">
        <f>IF(AND(ISNUMBER(BG12),ISNUMBER(BB12)),IFERROR(BG12/BB12-1,""),"")</f>
        <v/>
      </c>
      <c r="BH13" s="180">
        <f>IF(AND(ISNUMBER(BH12),ISNUMBER(BC12)),IFERROR(BH12/BC12-1,""),"")</f>
        <v/>
      </c>
      <c r="BI13" s="180">
        <f>IF(AND(ISNUMBER(BI12),ISNUMBER(BD12)),IFERROR(BI12/BD12-1,""),"")</f>
        <v/>
      </c>
      <c r="BJ13" s="180">
        <f>IF(AND(ISNUMBER(BJ12),ISNUMBER(BE12)),IFERROR(BJ12/BE12-1,""),"")</f>
        <v/>
      </c>
      <c r="BK13" s="180">
        <f>IF(AND(ISNUMBER(BK12),ISNUMBER(BF12)),IFERROR(BK12/BF12-1,""),"")</f>
        <v/>
      </c>
      <c r="BL13" s="180">
        <f>IF(AND(ISNUMBER(BL12),ISNUMBER(BG12)),IFERROR(BL12/BG12-1,""),"")</f>
        <v/>
      </c>
      <c r="BM13" s="180">
        <f>IF(AND(ISNUMBER(BM12),ISNUMBER(BH12)),IFERROR(BM12/BH12-1,""),"")</f>
        <v/>
      </c>
      <c r="BN13" s="180">
        <f>IF(AND(ISNUMBER(BN12),ISNUMBER(BI12)),IFERROR(BN12/BI12-1,""),"")</f>
        <v/>
      </c>
      <c r="BO13" s="180">
        <f>IF(AND(ISNUMBER(BO12),ISNUMBER(BJ12)),IFERROR(BO12/BJ12-1,""),"")</f>
        <v/>
      </c>
      <c r="BP13" s="180">
        <f>IF(AND(ISNUMBER(BP12),ISNUMBER(BK12)),IFERROR(BP12/BK12-1,""),"")</f>
        <v/>
      </c>
      <c r="BQ13" s="180">
        <f>IF(AND(ISNUMBER(BQ12),ISNUMBER(BL12)),IFERROR(BQ12/BL12-1,""),"")</f>
        <v/>
      </c>
      <c r="BR13" s="180">
        <f>IF(AND(ISNUMBER(BR12),ISNUMBER(BM12)),IFERROR(BR12/BM12-1,""),"")</f>
        <v/>
      </c>
      <c r="BS13" s="180">
        <f>IF(AND(ISNUMBER(BS12),ISNUMBER(BN12)),IFERROR(BS12/BN12-1,""),"")</f>
        <v/>
      </c>
      <c r="BT13" s="180">
        <f>IF(AND(ISNUMBER(BT12),ISNUMBER(BO12)),IFERROR(BT12/BO12-1,""),"")</f>
        <v/>
      </c>
      <c r="BU13" s="180">
        <f>IF(AND(ISNUMBER(BU12),ISNUMBER(BP12)),IFERROR(BU12/BP12-1,""),"")</f>
        <v/>
      </c>
      <c r="BV13" s="180">
        <f>IF(AND(ISNUMBER(BV12),ISNUMBER(BQ12)),IFERROR(BV12/BQ12-1,""),"")</f>
        <v/>
      </c>
      <c r="BW13" s="180">
        <f>IF(AND(ISNUMBER(BW12),ISNUMBER(BR12)),IFERROR(BW12/BR12-1,""),"")</f>
        <v/>
      </c>
      <c r="BX13" s="180">
        <f>IF(AND(ISNUMBER(BX12),ISNUMBER(BS12)),IFERROR(BX12/BS12-1,""),"")</f>
        <v/>
      </c>
      <c r="BY13" s="181">
        <f>IF(AND(ISNUMBER(BY12),ISNUMBER(BT12)),IFERROR(BY12/BT12-1,""),"")</f>
        <v/>
      </c>
      <c r="BZ13" s="181">
        <f>IF(AND(ISNUMBER(BZ12),ISNUMBER(BU12)),IFERROR(BZ12/BU12-1,""),"")</f>
        <v/>
      </c>
      <c r="CA13" s="181">
        <f>IF(AND(ISNUMBER(CA12),ISNUMBER(BV12)),IFERROR(CA12/BV12-1,""),"")</f>
        <v/>
      </c>
      <c r="CB13" s="181">
        <f>CHOOSE(MATCH($CF$2,{"Bull","Base","Bear"},0),$CO$31,$CP$31,$CQ$31)</f>
        <v/>
      </c>
      <c r="CC13" s="181">
        <f>CHOOSE(MATCH($CF$2,{"Bull","Base","Bear"},0),$CO$32,$CP$32,$CQ$32)</f>
        <v/>
      </c>
      <c r="CD13" s="181">
        <f>CHOOSE(MATCH($CF$2,{"Bull","Base","Bear"},0),$CO$33,$CP$33,$CQ$33)</f>
        <v/>
      </c>
      <c r="CE13" s="181">
        <f>CHOOSE(MATCH($CF$2,{"Bull","Base","Bear"},0),$CO$34,$CP$34,$CQ$34)</f>
        <v/>
      </c>
      <c r="CF13" s="6" t="inlineStr">
        <is>
          <t>2027E–2030E: scenario lever TPD (Bull / Base / Bear table →).</t>
        </is>
      </c>
      <c r="CH13" s="39">
        <f>IFERROR(AVERAGE(CA13,CB13,CC13,CD13,CE13),"n/m")</f>
        <v/>
      </c>
      <c r="CI13" s="39">
        <f>IFERROR(AVERAGE(BB13,BG13,BL13,BQ13,BV13),"n/m")</f>
        <v/>
      </c>
      <c r="CJ13" s="39">
        <f>IFERROR(AVERAGE(AC13,AH13,AM13,AR13,AW13,BB13,BG13,BL13,BQ13,BV13),"n/m")</f>
        <v/>
      </c>
      <c r="CK13" s="39">
        <f>IFERROR(AVERAGE(C13,D13,E13,F13,G13,H13,I13,N13,S13,X13,AC13,AH13,AM13,AR13,AW13,BB13,BG13,BL13,BQ13,BV13),"n/m")</f>
        <v/>
      </c>
      <c r="CN13" s="26" t="inlineStr">
        <is>
          <t xml:space="preserve">  Q3→Q4 operating-ratio change (best / average / worst, 2016–25)</t>
        </is>
      </c>
      <c r="CO13" s="179">
        <f>MIN(AB92,AG92,AL92,AQ92,AV92,BA92,BF92,BK92,BP92,BU92)</f>
        <v/>
      </c>
      <c r="CP13" s="179">
        <f>AVERAGE(AB92,AG92,AL92,AQ92,AV92,BA92,BF92,BK92,BP92,BU92)</f>
        <v/>
      </c>
      <c r="CQ13" s="179">
        <f>MAX(AB92,AG92,AL92,AQ92,AV92,BA92,BF92,BK92,BP92,BU92)</f>
        <v/>
      </c>
      <c r="CR13" s="14" t="inlineStr">
        <is>
          <t>Applied to the Q3/26E operating ratio. Q4 is seasonally weaker (fewer work days, winter weather, holiday freight mix).</t>
        </is>
      </c>
    </row>
    <row r="14" ht="15" customHeight="1">
      <c r="B14" s="23" t="inlineStr">
        <is>
          <t xml:space="preserve">    sequential % (vs prior quarter)</t>
        </is>
      </c>
      <c r="D14" s="24" t="n"/>
      <c r="E14" s="24" t="n"/>
      <c r="F14" s="24" t="n"/>
      <c r="G14" s="24" t="n"/>
      <c r="H14" s="24" t="n"/>
      <c r="I14" s="24" t="n"/>
      <c r="K14" s="182">
        <f>IF(AND(ISNUMBER(K12),ISNUMBER(J12)),IFERROR(K12/J12-1,""),"")</f>
        <v/>
      </c>
      <c r="L14" s="182">
        <f>IF(AND(ISNUMBER(L12),ISNUMBER(K12)),IFERROR(L12/K12-1,""),"")</f>
        <v/>
      </c>
      <c r="M14" s="182">
        <f>IF(AND(ISNUMBER(M12),ISNUMBER(L12)),IFERROR(M12/L12-1,""),"")</f>
        <v/>
      </c>
      <c r="N14" s="24" t="n"/>
      <c r="O14" s="180">
        <f>IF(AND(ISNUMBER(O12),ISNUMBER(M12)),IFERROR(O12/M12-1,""),"")</f>
        <v/>
      </c>
      <c r="P14" s="180">
        <f>IF(AND(ISNUMBER(P12),ISNUMBER(O12)),IFERROR(P12/O12-1,""),"")</f>
        <v/>
      </c>
      <c r="Q14" s="180">
        <f>IF(AND(ISNUMBER(Q12),ISNUMBER(P12)),IFERROR(Q12/P12-1,""),"")</f>
        <v/>
      </c>
      <c r="R14" s="180">
        <f>IF(AND(ISNUMBER(R12),ISNUMBER(Q12)),IFERROR(R12/Q12-1,""),"")</f>
        <v/>
      </c>
      <c r="S14" s="24" t="n"/>
      <c r="T14" s="180">
        <f>IF(AND(ISNUMBER(T12),ISNUMBER(R12)),IFERROR(T12/R12-1,""),"")</f>
        <v/>
      </c>
      <c r="U14" s="180">
        <f>IF(AND(ISNUMBER(U12),ISNUMBER(T12)),IFERROR(U12/T12-1,""),"")</f>
        <v/>
      </c>
      <c r="V14" s="180">
        <f>IF(AND(ISNUMBER(V12),ISNUMBER(U12)),IFERROR(V12/U12-1,""),"")</f>
        <v/>
      </c>
      <c r="W14" s="180">
        <f>IF(AND(ISNUMBER(W12),ISNUMBER(V12)),IFERROR(W12/V12-1,""),"")</f>
        <v/>
      </c>
      <c r="X14" s="24" t="n"/>
      <c r="Y14" s="180">
        <f>IF(AND(ISNUMBER(Y12),ISNUMBER(W12)),IFERROR(Y12/W12-1,""),"")</f>
        <v/>
      </c>
      <c r="Z14" s="180">
        <f>IF(AND(ISNUMBER(Z12),ISNUMBER(Y12)),IFERROR(Z12/Y12-1,""),"")</f>
        <v/>
      </c>
      <c r="AA14" s="180">
        <f>IF(AND(ISNUMBER(AA12),ISNUMBER(Z12)),IFERROR(AA12/Z12-1,""),"")</f>
        <v/>
      </c>
      <c r="AB14" s="180">
        <f>IF(AND(ISNUMBER(AB12),ISNUMBER(AA12)),IFERROR(AB12/AA12-1,""),"")</f>
        <v/>
      </c>
      <c r="AC14" s="24" t="n"/>
      <c r="AD14" s="180">
        <f>IF(AND(ISNUMBER(AD12),ISNUMBER(AB12)),IFERROR(AD12/AB12-1,""),"")</f>
        <v/>
      </c>
      <c r="AE14" s="180">
        <f>IF(AND(ISNUMBER(AE12),ISNUMBER(AD12)),IFERROR(AE12/AD12-1,""),"")</f>
        <v/>
      </c>
      <c r="AF14" s="180">
        <f>IF(AND(ISNUMBER(AF12),ISNUMBER(AE12)),IFERROR(AF12/AE12-1,""),"")</f>
        <v/>
      </c>
      <c r="AG14" s="180">
        <f>IF(AND(ISNUMBER(AG12),ISNUMBER(AF12)),IFERROR(AG12/AF12-1,""),"")</f>
        <v/>
      </c>
      <c r="AH14" s="24" t="n"/>
      <c r="AI14" s="180">
        <f>IF(AND(ISNUMBER(AI12),ISNUMBER(AG12)),IFERROR(AI12/AG12-1,""),"")</f>
        <v/>
      </c>
      <c r="AJ14" s="180">
        <f>IF(AND(ISNUMBER(AJ12),ISNUMBER(AI12)),IFERROR(AJ12/AI12-1,""),"")</f>
        <v/>
      </c>
      <c r="AK14" s="180">
        <f>IF(AND(ISNUMBER(AK12),ISNUMBER(AJ12)),IFERROR(AK12/AJ12-1,""),"")</f>
        <v/>
      </c>
      <c r="AL14" s="180">
        <f>IF(AND(ISNUMBER(AL12),ISNUMBER(AK12)),IFERROR(AL12/AK12-1,""),"")</f>
        <v/>
      </c>
      <c r="AM14" s="24" t="n"/>
      <c r="AN14" s="180">
        <f>IF(AND(ISNUMBER(AN12),ISNUMBER(AL12)),IFERROR(AN12/AL12-1,""),"")</f>
        <v/>
      </c>
      <c r="AO14" s="180">
        <f>IF(AND(ISNUMBER(AO12),ISNUMBER(AN12)),IFERROR(AO12/AN12-1,""),"")</f>
        <v/>
      </c>
      <c r="AP14" s="180">
        <f>IF(AND(ISNUMBER(AP12),ISNUMBER(AO12)),IFERROR(AP12/AO12-1,""),"")</f>
        <v/>
      </c>
      <c r="AQ14" s="180">
        <f>IF(AND(ISNUMBER(AQ12),ISNUMBER(AP12)),IFERROR(AQ12/AP12-1,""),"")</f>
        <v/>
      </c>
      <c r="AR14" s="24" t="n"/>
      <c r="AS14" s="180">
        <f>IF(AND(ISNUMBER(AS12),ISNUMBER(AQ12)),IFERROR(AS12/AQ12-1,""),"")</f>
        <v/>
      </c>
      <c r="AT14" s="180">
        <f>IF(AND(ISNUMBER(AT12),ISNUMBER(AS12)),IFERROR(AT12/AS12-1,""),"")</f>
        <v/>
      </c>
      <c r="AU14" s="180">
        <f>IF(AND(ISNUMBER(AU12),ISNUMBER(AT12)),IFERROR(AU12/AT12-1,""),"")</f>
        <v/>
      </c>
      <c r="AV14" s="180">
        <f>IF(AND(ISNUMBER(AV12),ISNUMBER(AU12)),IFERROR(AV12/AU12-1,""),"")</f>
        <v/>
      </c>
      <c r="AW14" s="24" t="n"/>
      <c r="AX14" s="180">
        <f>IF(AND(ISNUMBER(AX12),ISNUMBER(AV12)),IFERROR(AX12/AV12-1,""),"")</f>
        <v/>
      </c>
      <c r="AY14" s="180">
        <f>IF(AND(ISNUMBER(AY12),ISNUMBER(AX12)),IFERROR(AY12/AX12-1,""),"")</f>
        <v/>
      </c>
      <c r="AZ14" s="180">
        <f>IF(AND(ISNUMBER(AZ12),ISNUMBER(AY12)),IFERROR(AZ12/AY12-1,""),"")</f>
        <v/>
      </c>
      <c r="BA14" s="180">
        <f>IF(AND(ISNUMBER(BA12),ISNUMBER(AZ12)),IFERROR(BA12/AZ12-1,""),"")</f>
        <v/>
      </c>
      <c r="BB14" s="24" t="n"/>
      <c r="BC14" s="180">
        <f>IF(AND(ISNUMBER(BC12),ISNUMBER(BA12)),IFERROR(BC12/BA12-1,""),"")</f>
        <v/>
      </c>
      <c r="BD14" s="180">
        <f>IF(AND(ISNUMBER(BD12),ISNUMBER(BC12)),IFERROR(BD12/BC12-1,""),"")</f>
        <v/>
      </c>
      <c r="BE14" s="180">
        <f>IF(AND(ISNUMBER(BE12),ISNUMBER(BD12)),IFERROR(BE12/BD12-1,""),"")</f>
        <v/>
      </c>
      <c r="BF14" s="180">
        <f>IF(AND(ISNUMBER(BF12),ISNUMBER(BE12)),IFERROR(BF12/BE12-1,""),"")</f>
        <v/>
      </c>
      <c r="BG14" s="24" t="n"/>
      <c r="BH14" s="180">
        <f>IF(AND(ISNUMBER(BH12),ISNUMBER(BF12)),IFERROR(BH12/BF12-1,""),"")</f>
        <v/>
      </c>
      <c r="BI14" s="180">
        <f>IF(AND(ISNUMBER(BI12),ISNUMBER(BH12)),IFERROR(BI12/BH12-1,""),"")</f>
        <v/>
      </c>
      <c r="BJ14" s="180">
        <f>IF(AND(ISNUMBER(BJ12),ISNUMBER(BI12)),IFERROR(BJ12/BI12-1,""),"")</f>
        <v/>
      </c>
      <c r="BK14" s="180">
        <f>IF(AND(ISNUMBER(BK12),ISNUMBER(BJ12)),IFERROR(BK12/BJ12-1,""),"")</f>
        <v/>
      </c>
      <c r="BL14" s="24" t="n"/>
      <c r="BM14" s="180">
        <f>IF(AND(ISNUMBER(BM12),ISNUMBER(BK12)),IFERROR(BM12/BK12-1,""),"")</f>
        <v/>
      </c>
      <c r="BN14" s="180">
        <f>IF(AND(ISNUMBER(BN12),ISNUMBER(BM12)),IFERROR(BN12/BM12-1,""),"")</f>
        <v/>
      </c>
      <c r="BO14" s="180">
        <f>IF(AND(ISNUMBER(BO12),ISNUMBER(BN12)),IFERROR(BO12/BN12-1,""),"")</f>
        <v/>
      </c>
      <c r="BP14" s="180">
        <f>IF(AND(ISNUMBER(BP12),ISNUMBER(BO12)),IFERROR(BP12/BO12-1,""),"")</f>
        <v/>
      </c>
      <c r="BQ14" s="24" t="n"/>
      <c r="BR14" s="180">
        <f>IF(AND(ISNUMBER(BR12),ISNUMBER(BP12)),IFERROR(BR12/BP12-1,""),"")</f>
        <v/>
      </c>
      <c r="BS14" s="180">
        <f>IF(AND(ISNUMBER(BS12),ISNUMBER(BR12)),IFERROR(BS12/BR12-1,""),"")</f>
        <v/>
      </c>
      <c r="BT14" s="180">
        <f>IF(AND(ISNUMBER(BT12),ISNUMBER(BS12)),IFERROR(BT12/BS12-1,""),"")</f>
        <v/>
      </c>
      <c r="BU14" s="180">
        <f>IF(AND(ISNUMBER(BU12),ISNUMBER(BT12)),IFERROR(BU12/BT12-1,""),"")</f>
        <v/>
      </c>
      <c r="BV14" s="24" t="n"/>
      <c r="BW14" s="180">
        <f>IF(AND(ISNUMBER(BW12),ISNUMBER(BU12)),IFERROR(BW12/BU12-1,""),"")</f>
        <v/>
      </c>
      <c r="BX14" s="180">
        <f>IF(AND(ISNUMBER(BX12),ISNUMBER(BW12)),IFERROR(BX12/BW12-1,""),"")</f>
        <v/>
      </c>
      <c r="BY14" s="181">
        <f>IF(AND(ISNUMBER(BY12),ISNUMBER(BX12)),IFERROR(BY12/BX12-1,""),"")</f>
        <v/>
      </c>
      <c r="BZ14" s="181">
        <f>IF(AND(ISNUMBER(BZ12),ISNUMBER(BY12)),IFERROR(BZ12/BY12-1,""),"")</f>
        <v/>
      </c>
      <c r="CA14" s="25" t="n"/>
      <c r="CB14" s="25" t="n"/>
      <c r="CC14" s="25" t="n"/>
      <c r="CD14" s="25" t="n"/>
      <c r="CE14" s="25" t="n"/>
      <c r="CF14" s="6" t="n"/>
      <c r="CN14" s="26" t="inlineStr">
        <is>
          <t xml:space="preserve">  Q3→Q4 LTL tons per day, sequential % (best / average / worst)</t>
        </is>
      </c>
      <c r="CO14" s="179">
        <f>MAX(AB14,AG14,AL14,AQ14,AV14,BA14,BF14,BK14,BP14,BU14)</f>
        <v/>
      </c>
      <c r="CP14" s="179">
        <f>AVERAGE(AB14,AG14,AL14,AQ14,AV14,BA14,BF14,BK14,BP14,BU14)</f>
        <v/>
      </c>
      <c r="CQ14" s="179">
        <f>MIN(AB14,AG14,AL14,AQ14,AV14,BA14,BF14,BK14,BP14,BU14)</f>
        <v/>
      </c>
      <c r="CR14" s="14" t="inlineStr">
        <is>
          <t>Applied to Q3/26E tons per day.</t>
        </is>
      </c>
    </row>
    <row r="15" ht="15" customHeight="1">
      <c r="B15" s="26" t="inlineStr">
        <is>
          <t xml:space="preserve">  LTL tons (thousands; total tons to 2013)</t>
        </is>
      </c>
      <c r="C15" s="174" t="n">
        <v>4859</v>
      </c>
      <c r="D15" s="174" t="n">
        <v>5271</v>
      </c>
      <c r="E15" s="174" t="n">
        <v>5545</v>
      </c>
      <c r="F15" s="174" t="n">
        <v>4902</v>
      </c>
      <c r="G15" s="174" t="n">
        <v>5656</v>
      </c>
      <c r="H15" s="174" t="n">
        <v>6397</v>
      </c>
      <c r="I15" s="174" t="n">
        <v>6875</v>
      </c>
      <c r="J15" s="174" t="n">
        <v>1717</v>
      </c>
      <c r="K15" s="174" t="n">
        <v>1879</v>
      </c>
      <c r="L15" s="174" t="n">
        <v>1924</v>
      </c>
      <c r="M15" s="174" t="n">
        <v>1866</v>
      </c>
      <c r="N15" s="174" t="n">
        <v>7385</v>
      </c>
      <c r="O15" s="174" t="n">
        <v>1680</v>
      </c>
      <c r="P15" s="174" t="n">
        <v>1863</v>
      </c>
      <c r="Q15" s="174" t="n">
        <v>1946</v>
      </c>
      <c r="R15" s="174" t="n">
        <v>1902</v>
      </c>
      <c r="S15" s="174" t="n">
        <v>7391</v>
      </c>
      <c r="T15" s="174" t="n">
        <v>1872</v>
      </c>
      <c r="U15" s="174" t="n">
        <v>2032</v>
      </c>
      <c r="V15" s="174" t="n">
        <v>2075</v>
      </c>
      <c r="W15" s="174" t="n">
        <v>1959</v>
      </c>
      <c r="X15" s="174" t="n">
        <v>7938</v>
      </c>
      <c r="Y15" s="174" t="n">
        <v>1924</v>
      </c>
      <c r="Z15" s="174" t="n">
        <v>2025</v>
      </c>
      <c r="AA15" s="174" t="n">
        <v>2049</v>
      </c>
      <c r="AB15" s="174" t="n">
        <v>1933</v>
      </c>
      <c r="AC15" s="174" t="n">
        <v>7931</v>
      </c>
      <c r="AD15" s="174" t="n">
        <v>1970</v>
      </c>
      <c r="AE15" s="174" t="n">
        <v>2148</v>
      </c>
      <c r="AF15" s="174" t="n">
        <v>2190</v>
      </c>
      <c r="AG15" s="174" t="n">
        <v>2211</v>
      </c>
      <c r="AH15" s="174" t="n">
        <v>8519</v>
      </c>
      <c r="AI15" s="174" t="n">
        <v>2274</v>
      </c>
      <c r="AJ15" s="174" t="n">
        <v>2462</v>
      </c>
      <c r="AK15" s="174" t="n">
        <v>2367</v>
      </c>
      <c r="AL15" s="174" t="n">
        <v>2275</v>
      </c>
      <c r="AM15" s="174" t="n">
        <v>9379</v>
      </c>
      <c r="AN15" s="174" t="n">
        <v>2206</v>
      </c>
      <c r="AO15" s="174" t="n">
        <v>2306</v>
      </c>
      <c r="AP15" s="174" t="n">
        <v>2279</v>
      </c>
      <c r="AQ15" s="174" t="n">
        <v>2173</v>
      </c>
      <c r="AR15" s="174" t="n">
        <v>8964</v>
      </c>
      <c r="AS15" s="174" t="n">
        <v>2153</v>
      </c>
      <c r="AT15" s="174" t="n">
        <v>2028</v>
      </c>
      <c r="AU15" s="174" t="n">
        <v>2309</v>
      </c>
      <c r="AV15" s="174" t="n">
        <v>2279</v>
      </c>
      <c r="AW15" s="174" t="n">
        <v>8770</v>
      </c>
      <c r="AX15" s="174" t="n">
        <v>2332</v>
      </c>
      <c r="AY15" s="174" t="n">
        <v>2598</v>
      </c>
      <c r="AZ15" s="174" t="n">
        <v>2625</v>
      </c>
      <c r="BA15" s="174" t="n">
        <v>2563</v>
      </c>
      <c r="BB15" s="174" t="n">
        <v>10119</v>
      </c>
      <c r="BC15" s="174" t="n">
        <v>2653</v>
      </c>
      <c r="BD15" s="174" t="n">
        <v>2672</v>
      </c>
      <c r="BE15" s="174" t="n">
        <v>2556</v>
      </c>
      <c r="BF15" s="174" t="n">
        <v>2330</v>
      </c>
      <c r="BG15" s="174" t="n">
        <v>10211</v>
      </c>
      <c r="BH15" s="174" t="n">
        <v>2339</v>
      </c>
      <c r="BI15" s="174" t="n">
        <v>2296</v>
      </c>
      <c r="BJ15" s="174" t="n">
        <v>2342</v>
      </c>
      <c r="BK15" s="174" t="n">
        <v>2283</v>
      </c>
      <c r="BL15" s="174" t="n">
        <v>9260</v>
      </c>
      <c r="BM15" s="174" t="n">
        <v>2264</v>
      </c>
      <c r="BN15" s="174" t="n">
        <v>2340</v>
      </c>
      <c r="BO15" s="174" t="n">
        <v>2266</v>
      </c>
      <c r="BP15" s="174" t="n">
        <v>2130</v>
      </c>
      <c r="BQ15" s="174" t="n">
        <v>9000</v>
      </c>
      <c r="BR15" s="174" t="n">
        <v>2087</v>
      </c>
      <c r="BS15" s="174" t="n">
        <v>2123</v>
      </c>
      <c r="BT15" s="174" t="n">
        <v>2063</v>
      </c>
      <c r="BU15" s="174" t="n">
        <v>1903</v>
      </c>
      <c r="BV15" s="174" t="n">
        <v>8177</v>
      </c>
      <c r="BW15" s="174" t="n">
        <v>1927</v>
      </c>
      <c r="BX15" s="174" t="n">
        <v>2035</v>
      </c>
      <c r="BY15" s="176">
        <f>BY12*BY11/1000</f>
        <v/>
      </c>
      <c r="BZ15" s="176">
        <f>BZ12*BZ11/1000</f>
        <v/>
      </c>
      <c r="CA15" s="176">
        <f>SUM(BW15,BX15,BY15,BZ15)</f>
        <v/>
      </c>
      <c r="CB15" s="176">
        <f>CB12*CB11/1000</f>
        <v/>
      </c>
      <c r="CC15" s="176">
        <f>CC12*CC11/1000</f>
        <v/>
      </c>
      <c r="CD15" s="176">
        <f>CD12*CD11/1000</f>
        <v/>
      </c>
      <c r="CE15" s="176">
        <f>CE12*CE11/1000</f>
        <v/>
      </c>
      <c r="CF15" s="20" t="n"/>
      <c r="CH15" s="21">
        <f>IFERROR((CE15/BV15)^(1/5)-1,"n/m")</f>
        <v/>
      </c>
      <c r="CI15" s="21">
        <f>IFERROR((BV15/AW15)^(1/5)-1,"n/m")</f>
        <v/>
      </c>
      <c r="CJ15" s="21">
        <f>IFERROR((BV15/X15)^(1/10)-1,"n/m")</f>
        <v/>
      </c>
      <c r="CK15" s="21">
        <f>IFERROR((BV15/C15)^(1/19)-1,"n/m")</f>
        <v/>
      </c>
      <c r="CN15" s="26" t="inlineStr">
        <is>
          <t xml:space="preserve">  Q3→Q4 LTL revenue/cwt ex fuel, sequential % (best / average / worst)</t>
        </is>
      </c>
      <c r="CO15" s="179">
        <f>MAX(AB30,AG30,AL30,AQ30,AV30,BA30,BF30,BK30,BP30,BU30)</f>
        <v/>
      </c>
      <c r="CP15" s="179">
        <f>AVERAGE(AB30,AG30,AL30,AQ30,AV30,BA30,BF30,BK30,BP30,BU30)</f>
        <v/>
      </c>
      <c r="CQ15" s="179">
        <f>MIN(AB30,AG30,AL30,AQ30,AV30,BA30,BF30,BK30,BP30,BU30)</f>
        <v/>
      </c>
      <c r="CR15" s="14" t="inlineStr">
        <is>
          <t>Applied to Q3/26E ex-fuel yield.</t>
        </is>
      </c>
    </row>
    <row r="16" ht="15" customHeight="1">
      <c r="B16" s="23" t="inlineStr">
        <is>
          <t xml:space="preserve">    y/y %</t>
        </is>
      </c>
      <c r="D16" s="180">
        <f>IF(AND(ISNUMBER(D15),ISNUMBER(C15)),IFERROR(D15/C15-1,""),"")</f>
        <v/>
      </c>
      <c r="E16" s="180">
        <f>IF(AND(ISNUMBER(E15),ISNUMBER(D15)),IFERROR(E15/D15-1,""),"")</f>
        <v/>
      </c>
      <c r="F16" s="180">
        <f>IF(AND(ISNUMBER(F15),ISNUMBER(E15)),IFERROR(F15/E15-1,""),"")</f>
        <v/>
      </c>
      <c r="G16" s="180">
        <f>IF(AND(ISNUMBER(G15),ISNUMBER(F15)),IFERROR(G15/F15-1,""),"")</f>
        <v/>
      </c>
      <c r="H16" s="180">
        <f>IF(AND(ISNUMBER(H15),ISNUMBER(G15)),IFERROR(H15/G15-1,""),"")</f>
        <v/>
      </c>
      <c r="I16" s="180">
        <f>IF(AND(ISNUMBER(I15),ISNUMBER(H15)),IFERROR(I15/H15-1,""),"")</f>
        <v/>
      </c>
      <c r="N16" s="180">
        <f>IF(AND(ISNUMBER(N15),ISNUMBER(I15)),IFERROR(N15/I15-1,""),"")</f>
        <v/>
      </c>
      <c r="O16" s="180">
        <f>IF(AND(ISNUMBER(O15),ISNUMBER(J15)),IFERROR(O15/J15-1,""),"")</f>
        <v/>
      </c>
      <c r="P16" s="180">
        <f>IF(AND(ISNUMBER(P15),ISNUMBER(K15)),IFERROR(P15/K15-1,""),"")</f>
        <v/>
      </c>
      <c r="Q16" s="180">
        <f>IF(AND(ISNUMBER(Q15),ISNUMBER(L15)),IFERROR(Q15/L15-1,""),"")</f>
        <v/>
      </c>
      <c r="R16" s="180">
        <f>IF(AND(ISNUMBER(R15),ISNUMBER(M15)),IFERROR(R15/M15-1,""),"")</f>
        <v/>
      </c>
      <c r="S16" s="180">
        <f>IF(AND(ISNUMBER(S15),ISNUMBER(N15)),IFERROR(S15/N15-1,""),"")</f>
        <v/>
      </c>
      <c r="T16" s="180">
        <f>IF(AND(ISNUMBER(T15),ISNUMBER(O15)),IFERROR(T15/O15-1,""),"")</f>
        <v/>
      </c>
      <c r="U16" s="180">
        <f>IF(AND(ISNUMBER(U15),ISNUMBER(P15)),IFERROR(U15/P15-1,""),"")</f>
        <v/>
      </c>
      <c r="V16" s="180">
        <f>IF(AND(ISNUMBER(V15),ISNUMBER(Q15)),IFERROR(V15/Q15-1,""),"")</f>
        <v/>
      </c>
      <c r="W16" s="180">
        <f>IF(AND(ISNUMBER(W15),ISNUMBER(R15)),IFERROR(W15/R15-1,""),"")</f>
        <v/>
      </c>
      <c r="X16" s="180">
        <f>IF(AND(ISNUMBER(X15),ISNUMBER(S15)),IFERROR(X15/S15-1,""),"")</f>
        <v/>
      </c>
      <c r="Y16" s="180">
        <f>IF(AND(ISNUMBER(Y15),ISNUMBER(T15)),IFERROR(Y15/T15-1,""),"")</f>
        <v/>
      </c>
      <c r="Z16" s="180">
        <f>IF(AND(ISNUMBER(Z15),ISNUMBER(U15)),IFERROR(Z15/U15-1,""),"")</f>
        <v/>
      </c>
      <c r="AA16" s="180">
        <f>IF(AND(ISNUMBER(AA15),ISNUMBER(V15)),IFERROR(AA15/V15-1,""),"")</f>
        <v/>
      </c>
      <c r="AB16" s="180">
        <f>IF(AND(ISNUMBER(AB15),ISNUMBER(W15)),IFERROR(AB15/W15-1,""),"")</f>
        <v/>
      </c>
      <c r="AC16" s="180">
        <f>IF(AND(ISNUMBER(AC15),ISNUMBER(X15)),IFERROR(AC15/X15-1,""),"")</f>
        <v/>
      </c>
      <c r="AD16" s="180">
        <f>IF(AND(ISNUMBER(AD15),ISNUMBER(Y15)),IFERROR(AD15/Y15-1,""),"")</f>
        <v/>
      </c>
      <c r="AE16" s="180">
        <f>IF(AND(ISNUMBER(AE15),ISNUMBER(Z15)),IFERROR(AE15/Z15-1,""),"")</f>
        <v/>
      </c>
      <c r="AF16" s="180">
        <f>IF(AND(ISNUMBER(AF15),ISNUMBER(AA15)),IFERROR(AF15/AA15-1,""),"")</f>
        <v/>
      </c>
      <c r="AG16" s="180">
        <f>IF(AND(ISNUMBER(AG15),ISNUMBER(AB15)),IFERROR(AG15/AB15-1,""),"")</f>
        <v/>
      </c>
      <c r="AH16" s="180">
        <f>IF(AND(ISNUMBER(AH15),ISNUMBER(AC15)),IFERROR(AH15/AC15-1,""),"")</f>
        <v/>
      </c>
      <c r="AI16" s="180">
        <f>IF(AND(ISNUMBER(AI15),ISNUMBER(AD15)),IFERROR(AI15/AD15-1,""),"")</f>
        <v/>
      </c>
      <c r="AJ16" s="180">
        <f>IF(AND(ISNUMBER(AJ15),ISNUMBER(AE15)),IFERROR(AJ15/AE15-1,""),"")</f>
        <v/>
      </c>
      <c r="AK16" s="180">
        <f>IF(AND(ISNUMBER(AK15),ISNUMBER(AF15)),IFERROR(AK15/AF15-1,""),"")</f>
        <v/>
      </c>
      <c r="AL16" s="180">
        <f>IF(AND(ISNUMBER(AL15),ISNUMBER(AG15)),IFERROR(AL15/AG15-1,""),"")</f>
        <v/>
      </c>
      <c r="AM16" s="180">
        <f>IF(AND(ISNUMBER(AM15),ISNUMBER(AH15)),IFERROR(AM15/AH15-1,""),"")</f>
        <v/>
      </c>
      <c r="AN16" s="180">
        <f>IF(AND(ISNUMBER(AN15),ISNUMBER(AI15)),IFERROR(AN15/AI15-1,""),"")</f>
        <v/>
      </c>
      <c r="AO16" s="180">
        <f>IF(AND(ISNUMBER(AO15),ISNUMBER(AJ15)),IFERROR(AO15/AJ15-1,""),"")</f>
        <v/>
      </c>
      <c r="AP16" s="180">
        <f>IF(AND(ISNUMBER(AP15),ISNUMBER(AK15)),IFERROR(AP15/AK15-1,""),"")</f>
        <v/>
      </c>
      <c r="AQ16" s="180">
        <f>IF(AND(ISNUMBER(AQ15),ISNUMBER(AL15)),IFERROR(AQ15/AL15-1,""),"")</f>
        <v/>
      </c>
      <c r="AR16" s="180">
        <f>IF(AND(ISNUMBER(AR15),ISNUMBER(AM15)),IFERROR(AR15/AM15-1,""),"")</f>
        <v/>
      </c>
      <c r="AS16" s="180">
        <f>IF(AND(ISNUMBER(AS15),ISNUMBER(AN15)),IFERROR(AS15/AN15-1,""),"")</f>
        <v/>
      </c>
      <c r="AT16" s="180">
        <f>IF(AND(ISNUMBER(AT15),ISNUMBER(AO15)),IFERROR(AT15/AO15-1,""),"")</f>
        <v/>
      </c>
      <c r="AU16" s="180">
        <f>IF(AND(ISNUMBER(AU15),ISNUMBER(AP15)),IFERROR(AU15/AP15-1,""),"")</f>
        <v/>
      </c>
      <c r="AV16" s="180">
        <f>IF(AND(ISNUMBER(AV15),ISNUMBER(AQ15)),IFERROR(AV15/AQ15-1,""),"")</f>
        <v/>
      </c>
      <c r="AW16" s="180">
        <f>IF(AND(ISNUMBER(AW15),ISNUMBER(AR15)),IFERROR(AW15/AR15-1,""),"")</f>
        <v/>
      </c>
      <c r="AX16" s="180">
        <f>IF(AND(ISNUMBER(AX15),ISNUMBER(AS15)),IFERROR(AX15/AS15-1,""),"")</f>
        <v/>
      </c>
      <c r="AY16" s="180">
        <f>IF(AND(ISNUMBER(AY15),ISNUMBER(AT15)),IFERROR(AY15/AT15-1,""),"")</f>
        <v/>
      </c>
      <c r="AZ16" s="180">
        <f>IF(AND(ISNUMBER(AZ15),ISNUMBER(AU15)),IFERROR(AZ15/AU15-1,""),"")</f>
        <v/>
      </c>
      <c r="BA16" s="180">
        <f>IF(AND(ISNUMBER(BA15),ISNUMBER(AV15)),IFERROR(BA15/AV15-1,""),"")</f>
        <v/>
      </c>
      <c r="BB16" s="180">
        <f>IF(AND(ISNUMBER(BB15),ISNUMBER(AW15)),IFERROR(BB15/AW15-1,""),"")</f>
        <v/>
      </c>
      <c r="BC16" s="180">
        <f>IF(AND(ISNUMBER(BC15),ISNUMBER(AX15)),IFERROR(BC15/AX15-1,""),"")</f>
        <v/>
      </c>
      <c r="BD16" s="180">
        <f>IF(AND(ISNUMBER(BD15),ISNUMBER(AY15)),IFERROR(BD15/AY15-1,""),"")</f>
        <v/>
      </c>
      <c r="BE16" s="180">
        <f>IF(AND(ISNUMBER(BE15),ISNUMBER(AZ15)),IFERROR(BE15/AZ15-1,""),"")</f>
        <v/>
      </c>
      <c r="BF16" s="180">
        <f>IF(AND(ISNUMBER(BF15),ISNUMBER(BA15)),IFERROR(BF15/BA15-1,""),"")</f>
        <v/>
      </c>
      <c r="BG16" s="180">
        <f>IF(AND(ISNUMBER(BG15),ISNUMBER(BB15)),IFERROR(BG15/BB15-1,""),"")</f>
        <v/>
      </c>
      <c r="BH16" s="180">
        <f>IF(AND(ISNUMBER(BH15),ISNUMBER(BC15)),IFERROR(BH15/BC15-1,""),"")</f>
        <v/>
      </c>
      <c r="BI16" s="180">
        <f>IF(AND(ISNUMBER(BI15),ISNUMBER(BD15)),IFERROR(BI15/BD15-1,""),"")</f>
        <v/>
      </c>
      <c r="BJ16" s="180">
        <f>IF(AND(ISNUMBER(BJ15),ISNUMBER(BE15)),IFERROR(BJ15/BE15-1,""),"")</f>
        <v/>
      </c>
      <c r="BK16" s="180">
        <f>IF(AND(ISNUMBER(BK15),ISNUMBER(BF15)),IFERROR(BK15/BF15-1,""),"")</f>
        <v/>
      </c>
      <c r="BL16" s="180">
        <f>IF(AND(ISNUMBER(BL15),ISNUMBER(BG15)),IFERROR(BL15/BG15-1,""),"")</f>
        <v/>
      </c>
      <c r="BM16" s="180">
        <f>IF(AND(ISNUMBER(BM15),ISNUMBER(BH15)),IFERROR(BM15/BH15-1,""),"")</f>
        <v/>
      </c>
      <c r="BN16" s="180">
        <f>IF(AND(ISNUMBER(BN15),ISNUMBER(BI15)),IFERROR(BN15/BI15-1,""),"")</f>
        <v/>
      </c>
      <c r="BO16" s="180">
        <f>IF(AND(ISNUMBER(BO15),ISNUMBER(BJ15)),IFERROR(BO15/BJ15-1,""),"")</f>
        <v/>
      </c>
      <c r="BP16" s="180">
        <f>IF(AND(ISNUMBER(BP15),ISNUMBER(BK15)),IFERROR(BP15/BK15-1,""),"")</f>
        <v/>
      </c>
      <c r="BQ16" s="180">
        <f>IF(AND(ISNUMBER(BQ15),ISNUMBER(BL15)),IFERROR(BQ15/BL15-1,""),"")</f>
        <v/>
      </c>
      <c r="BR16" s="180">
        <f>IF(AND(ISNUMBER(BR15),ISNUMBER(BM15)),IFERROR(BR15/BM15-1,""),"")</f>
        <v/>
      </c>
      <c r="BS16" s="180">
        <f>IF(AND(ISNUMBER(BS15),ISNUMBER(BN15)),IFERROR(BS15/BN15-1,""),"")</f>
        <v/>
      </c>
      <c r="BT16" s="180">
        <f>IF(AND(ISNUMBER(BT15),ISNUMBER(BO15)),IFERROR(BT15/BO15-1,""),"")</f>
        <v/>
      </c>
      <c r="BU16" s="180">
        <f>IF(AND(ISNUMBER(BU15),ISNUMBER(BP15)),IFERROR(BU15/BP15-1,""),"")</f>
        <v/>
      </c>
      <c r="BV16" s="180">
        <f>IF(AND(ISNUMBER(BV15),ISNUMBER(BQ15)),IFERROR(BV15/BQ15-1,""),"")</f>
        <v/>
      </c>
      <c r="BW16" s="180">
        <f>IF(AND(ISNUMBER(BW15),ISNUMBER(BR15)),IFERROR(BW15/BR15-1,""),"")</f>
        <v/>
      </c>
      <c r="BX16" s="180">
        <f>IF(AND(ISNUMBER(BX15),ISNUMBER(BS15)),IFERROR(BX15/BS15-1,""),"")</f>
        <v/>
      </c>
      <c r="BY16" s="181">
        <f>IF(AND(ISNUMBER(BY15),ISNUMBER(BT15)),IFERROR(BY15/BT15-1,""),"")</f>
        <v/>
      </c>
      <c r="BZ16" s="181">
        <f>IF(AND(ISNUMBER(BZ15),ISNUMBER(BU15)),IFERROR(BZ15/BU15-1,""),"")</f>
        <v/>
      </c>
      <c r="CA16" s="181">
        <f>IF(AND(ISNUMBER(CA15),ISNUMBER(BV15)),IFERROR(CA15/BV15-1,""),"")</f>
        <v/>
      </c>
      <c r="CB16" s="181">
        <f>IF(AND(ISNUMBER(CB15),ISNUMBER(CA15)),IFERROR(CB15/CA15-1,""),"")</f>
        <v/>
      </c>
      <c r="CC16" s="181">
        <f>IF(AND(ISNUMBER(CC15),ISNUMBER(CB15)),IFERROR(CC15/CB15-1,""),"")</f>
        <v/>
      </c>
      <c r="CD16" s="181">
        <f>IF(AND(ISNUMBER(CD15),ISNUMBER(CC15)),IFERROR(CD15/CC15-1,""),"")</f>
        <v/>
      </c>
      <c r="CE16" s="181">
        <f>IF(AND(ISNUMBER(CE15),ISNUMBER(CD15)),IFERROR(CE15/CD15-1,""),"")</f>
        <v/>
      </c>
      <c r="CF16" s="6" t="n"/>
      <c r="CN16" s="26" t="inlineStr">
        <is>
          <t xml:space="preserve">  2H/26 share repurchases ($m)</t>
        </is>
      </c>
      <c r="CO16" s="183" t="n">
        <v>400</v>
      </c>
      <c r="CP16" s="183" t="n">
        <v>300</v>
      </c>
      <c r="CQ16" s="183" t="n">
        <v>150</v>
      </c>
      <c r="CR16" s="14" t="inlineStr">
        <is>
          <t>1H/26 $239.7m; $1.31bn remaining under the $3.0bn 2023 programme at 30-Jun-26. FY25 $730m, FY24 $967m.</t>
        </is>
      </c>
    </row>
    <row r="17" ht="15" customHeight="1">
      <c r="B17" s="26" t="inlineStr">
        <is>
          <t xml:space="preserve">  LTL weight per shipment (lbs.)</t>
        </is>
      </c>
      <c r="C17" s="174" t="n">
        <v>1512</v>
      </c>
      <c r="D17" s="174" t="n">
        <v>1558</v>
      </c>
      <c r="E17" s="174" t="n">
        <v>1657</v>
      </c>
      <c r="F17" s="174" t="n">
        <v>1705</v>
      </c>
      <c r="G17" s="174" t="n">
        <v>1788</v>
      </c>
      <c r="H17" s="174" t="n">
        <v>1763</v>
      </c>
      <c r="I17" s="174" t="n">
        <v>1771</v>
      </c>
      <c r="J17" s="174" t="n">
        <v>1787</v>
      </c>
      <c r="K17" s="174" t="n">
        <v>1777</v>
      </c>
      <c r="L17" s="174" t="n">
        <v>1773</v>
      </c>
      <c r="M17" s="174" t="n">
        <v>1801</v>
      </c>
      <c r="N17" s="174" t="n">
        <v>1784</v>
      </c>
      <c r="O17" s="174" t="n">
        <v>1627</v>
      </c>
      <c r="P17" s="174" t="n">
        <v>1637</v>
      </c>
      <c r="Q17" s="174" t="n">
        <v>1617</v>
      </c>
      <c r="R17" s="174" t="n">
        <v>1636</v>
      </c>
      <c r="S17" s="174" t="n">
        <v>1629</v>
      </c>
      <c r="T17" s="174" t="n">
        <v>1598</v>
      </c>
      <c r="U17" s="174" t="n">
        <v>1574</v>
      </c>
      <c r="V17" s="174" t="n">
        <v>1543</v>
      </c>
      <c r="W17" s="174" t="n">
        <v>1558</v>
      </c>
      <c r="X17" s="174" t="n">
        <v>1567</v>
      </c>
      <c r="Y17" s="174" t="n">
        <v>1546</v>
      </c>
      <c r="Z17" s="174" t="n">
        <v>1559</v>
      </c>
      <c r="AA17" s="174" t="n">
        <v>1551</v>
      </c>
      <c r="AB17" s="174" t="n">
        <v>1597</v>
      </c>
      <c r="AC17" s="174" t="n">
        <v>1563</v>
      </c>
      <c r="AD17" s="174" t="n">
        <v>1561</v>
      </c>
      <c r="AE17" s="174" t="n">
        <v>1567</v>
      </c>
      <c r="AF17" s="174" t="n">
        <v>1579</v>
      </c>
      <c r="AG17" s="174" t="n">
        <v>1640</v>
      </c>
      <c r="AH17" s="174" t="n">
        <v>1587</v>
      </c>
      <c r="AI17" s="174" t="n">
        <v>1631</v>
      </c>
      <c r="AJ17" s="174" t="n">
        <v>1615</v>
      </c>
      <c r="AK17" s="174" t="n">
        <v>1557</v>
      </c>
      <c r="AL17" s="174" t="n">
        <v>1586</v>
      </c>
      <c r="AM17" s="174" t="n">
        <v>1597</v>
      </c>
      <c r="AN17" s="174" t="n">
        <v>1566</v>
      </c>
      <c r="AO17" s="174" t="n">
        <v>1553</v>
      </c>
      <c r="AP17" s="174" t="n">
        <v>1545</v>
      </c>
      <c r="AQ17" s="174" t="n">
        <v>1580</v>
      </c>
      <c r="AR17" s="174" t="n">
        <v>1560</v>
      </c>
      <c r="AS17" s="174" t="n">
        <v>1586</v>
      </c>
      <c r="AT17" s="174" t="n">
        <v>1636</v>
      </c>
      <c r="AU17" s="174" t="n">
        <v>1615</v>
      </c>
      <c r="AV17" s="174" t="n">
        <v>1619</v>
      </c>
      <c r="AW17" s="174" t="n">
        <v>1614</v>
      </c>
      <c r="AX17" s="174" t="n">
        <v>1606</v>
      </c>
      <c r="AY17" s="174" t="n">
        <v>1571</v>
      </c>
      <c r="AZ17" s="174" t="n">
        <v>1538</v>
      </c>
      <c r="BA17" s="174" t="n">
        <v>1575</v>
      </c>
      <c r="BB17" s="174" t="n">
        <v>1571</v>
      </c>
      <c r="BC17" s="174" t="n">
        <v>1589</v>
      </c>
      <c r="BD17" s="174" t="n">
        <v>1572</v>
      </c>
      <c r="BE17" s="174" t="n">
        <v>1561</v>
      </c>
      <c r="BF17" s="174" t="n">
        <v>1565</v>
      </c>
      <c r="BG17" s="174" t="n">
        <v>1572</v>
      </c>
      <c r="BH17" s="174" t="n">
        <v>1550</v>
      </c>
      <c r="BI17" s="174" t="n">
        <v>1527</v>
      </c>
      <c r="BJ17" s="174" t="n">
        <v>1497</v>
      </c>
      <c r="BK17" s="174" t="n">
        <v>1511</v>
      </c>
      <c r="BL17" s="174" t="n">
        <v>1521</v>
      </c>
      <c r="BM17" s="174" t="n">
        <v>1508</v>
      </c>
      <c r="BN17" s="174" t="n">
        <v>1509</v>
      </c>
      <c r="BO17" s="174" t="n">
        <v>1476</v>
      </c>
      <c r="BP17" s="174" t="n">
        <v>1501</v>
      </c>
      <c r="BQ17" s="174" t="n">
        <v>1499</v>
      </c>
      <c r="BR17" s="174" t="n">
        <v>1487</v>
      </c>
      <c r="BS17" s="174" t="n">
        <v>1478</v>
      </c>
      <c r="BT17" s="174" t="n">
        <v>1458</v>
      </c>
      <c r="BU17" s="174" t="n">
        <v>1486</v>
      </c>
      <c r="BV17" s="174" t="n">
        <v>1477</v>
      </c>
      <c r="BW17" s="174" t="n">
        <v>1491</v>
      </c>
      <c r="BX17" s="174" t="n">
        <v>1503</v>
      </c>
      <c r="BY17" s="176">
        <f>BT17*$BX$17/$BS$17</f>
        <v/>
      </c>
      <c r="BZ17" s="176">
        <f>BU17*$BX$17/$BS$17</f>
        <v/>
      </c>
      <c r="CA17" s="176">
        <f>IFERROR(CA15*2000/CA19,"")</f>
        <v/>
      </c>
      <c r="CB17" s="176">
        <f>CA17</f>
        <v/>
      </c>
      <c r="CC17" s="176">
        <f>CB17</f>
        <v/>
      </c>
      <c r="CD17" s="176">
        <f>CC17</f>
        <v/>
      </c>
      <c r="CE17" s="176">
        <f>CD17</f>
        <v/>
      </c>
      <c r="CF17" s="20" t="inlineStr">
        <is>
          <t>Q3/Q4-26E: prior-year quarter × Q2/26 y/y change (+1.7%; Aug-26 +1.7%). 2027E+ flat.</t>
        </is>
      </c>
    </row>
    <row r="18" ht="15" customHeight="1">
      <c r="B18" s="23" t="inlineStr">
        <is>
          <t xml:space="preserve">    y/y %</t>
        </is>
      </c>
      <c r="D18" s="180">
        <f>IF(AND(ISNUMBER(D17),ISNUMBER(C17)),IFERROR(D17/C17-1,""),"")</f>
        <v/>
      </c>
      <c r="E18" s="180">
        <f>IF(AND(ISNUMBER(E17),ISNUMBER(D17)),IFERROR(E17/D17-1,""),"")</f>
        <v/>
      </c>
      <c r="F18" s="180">
        <f>IF(AND(ISNUMBER(F17),ISNUMBER(E17)),IFERROR(F17/E17-1,""),"")</f>
        <v/>
      </c>
      <c r="G18" s="180">
        <f>IF(AND(ISNUMBER(G17),ISNUMBER(F17)),IFERROR(G17/F17-1,""),"")</f>
        <v/>
      </c>
      <c r="H18" s="180">
        <f>IF(AND(ISNUMBER(H17),ISNUMBER(G17)),IFERROR(H17/G17-1,""),"")</f>
        <v/>
      </c>
      <c r="I18" s="180">
        <f>IF(AND(ISNUMBER(I17),ISNUMBER(H17)),IFERROR(I17/H17-1,""),"")</f>
        <v/>
      </c>
      <c r="N18" s="180">
        <f>IF(AND(ISNUMBER(N17),ISNUMBER(I17)),IFERROR(N17/I17-1,""),"")</f>
        <v/>
      </c>
      <c r="O18" s="180">
        <f>IF(AND(ISNUMBER(O17),ISNUMBER(J17)),IFERROR(O17/J17-1,""),"")</f>
        <v/>
      </c>
      <c r="P18" s="180">
        <f>IF(AND(ISNUMBER(P17),ISNUMBER(K17)),IFERROR(P17/K17-1,""),"")</f>
        <v/>
      </c>
      <c r="Q18" s="180">
        <f>IF(AND(ISNUMBER(Q17),ISNUMBER(L17)),IFERROR(Q17/L17-1,""),"")</f>
        <v/>
      </c>
      <c r="R18" s="180">
        <f>IF(AND(ISNUMBER(R17),ISNUMBER(M17)),IFERROR(R17/M17-1,""),"")</f>
        <v/>
      </c>
      <c r="S18" s="180">
        <f>IF(AND(ISNUMBER(S17),ISNUMBER(N17)),IFERROR(S17/N17-1,""),"")</f>
        <v/>
      </c>
      <c r="T18" s="180">
        <f>IF(AND(ISNUMBER(T17),ISNUMBER(O17)),IFERROR(T17/O17-1,""),"")</f>
        <v/>
      </c>
      <c r="U18" s="180">
        <f>IF(AND(ISNUMBER(U17),ISNUMBER(P17)),IFERROR(U17/P17-1,""),"")</f>
        <v/>
      </c>
      <c r="V18" s="180">
        <f>IF(AND(ISNUMBER(V17),ISNUMBER(Q17)),IFERROR(V17/Q17-1,""),"")</f>
        <v/>
      </c>
      <c r="W18" s="180">
        <f>IF(AND(ISNUMBER(W17),ISNUMBER(R17)),IFERROR(W17/R17-1,""),"")</f>
        <v/>
      </c>
      <c r="X18" s="180">
        <f>IF(AND(ISNUMBER(X17),ISNUMBER(S17)),IFERROR(X17/S17-1,""),"")</f>
        <v/>
      </c>
      <c r="Y18" s="180">
        <f>IF(AND(ISNUMBER(Y17),ISNUMBER(T17)),IFERROR(Y17/T17-1,""),"")</f>
        <v/>
      </c>
      <c r="Z18" s="180">
        <f>IF(AND(ISNUMBER(Z17),ISNUMBER(U17)),IFERROR(Z17/U17-1,""),"")</f>
        <v/>
      </c>
      <c r="AA18" s="180">
        <f>IF(AND(ISNUMBER(AA17),ISNUMBER(V17)),IFERROR(AA17/V17-1,""),"")</f>
        <v/>
      </c>
      <c r="AB18" s="180">
        <f>IF(AND(ISNUMBER(AB17),ISNUMBER(W17)),IFERROR(AB17/W17-1,""),"")</f>
        <v/>
      </c>
      <c r="AC18" s="180">
        <f>IF(AND(ISNUMBER(AC17),ISNUMBER(X17)),IFERROR(AC17/X17-1,""),"")</f>
        <v/>
      </c>
      <c r="AD18" s="180">
        <f>IF(AND(ISNUMBER(AD17),ISNUMBER(Y17)),IFERROR(AD17/Y17-1,""),"")</f>
        <v/>
      </c>
      <c r="AE18" s="180">
        <f>IF(AND(ISNUMBER(AE17),ISNUMBER(Z17)),IFERROR(AE17/Z17-1,""),"")</f>
        <v/>
      </c>
      <c r="AF18" s="180">
        <f>IF(AND(ISNUMBER(AF17),ISNUMBER(AA17)),IFERROR(AF17/AA17-1,""),"")</f>
        <v/>
      </c>
      <c r="AG18" s="180">
        <f>IF(AND(ISNUMBER(AG17),ISNUMBER(AB17)),IFERROR(AG17/AB17-1,""),"")</f>
        <v/>
      </c>
      <c r="AH18" s="180">
        <f>IF(AND(ISNUMBER(AH17),ISNUMBER(AC17)),IFERROR(AH17/AC17-1,""),"")</f>
        <v/>
      </c>
      <c r="AI18" s="180">
        <f>IF(AND(ISNUMBER(AI17),ISNUMBER(AD17)),IFERROR(AI17/AD17-1,""),"")</f>
        <v/>
      </c>
      <c r="AJ18" s="180">
        <f>IF(AND(ISNUMBER(AJ17),ISNUMBER(AE17)),IFERROR(AJ17/AE17-1,""),"")</f>
        <v/>
      </c>
      <c r="AK18" s="180">
        <f>IF(AND(ISNUMBER(AK17),ISNUMBER(AF17)),IFERROR(AK17/AF17-1,""),"")</f>
        <v/>
      </c>
      <c r="AL18" s="180">
        <f>IF(AND(ISNUMBER(AL17),ISNUMBER(AG17)),IFERROR(AL17/AG17-1,""),"")</f>
        <v/>
      </c>
      <c r="AM18" s="180">
        <f>IF(AND(ISNUMBER(AM17),ISNUMBER(AH17)),IFERROR(AM17/AH17-1,""),"")</f>
        <v/>
      </c>
      <c r="AN18" s="180">
        <f>IF(AND(ISNUMBER(AN17),ISNUMBER(AI17)),IFERROR(AN17/AI17-1,""),"")</f>
        <v/>
      </c>
      <c r="AO18" s="180">
        <f>IF(AND(ISNUMBER(AO17),ISNUMBER(AJ17)),IFERROR(AO17/AJ17-1,""),"")</f>
        <v/>
      </c>
      <c r="AP18" s="180">
        <f>IF(AND(ISNUMBER(AP17),ISNUMBER(AK17)),IFERROR(AP17/AK17-1,""),"")</f>
        <v/>
      </c>
      <c r="AQ18" s="180">
        <f>IF(AND(ISNUMBER(AQ17),ISNUMBER(AL17)),IFERROR(AQ17/AL17-1,""),"")</f>
        <v/>
      </c>
      <c r="AR18" s="180">
        <f>IF(AND(ISNUMBER(AR17),ISNUMBER(AM17)),IFERROR(AR17/AM17-1,""),"")</f>
        <v/>
      </c>
      <c r="AS18" s="180">
        <f>IF(AND(ISNUMBER(AS17),ISNUMBER(AN17)),IFERROR(AS17/AN17-1,""),"")</f>
        <v/>
      </c>
      <c r="AT18" s="180">
        <f>IF(AND(ISNUMBER(AT17),ISNUMBER(AO17)),IFERROR(AT17/AO17-1,""),"")</f>
        <v/>
      </c>
      <c r="AU18" s="180">
        <f>IF(AND(ISNUMBER(AU17),ISNUMBER(AP17)),IFERROR(AU17/AP17-1,""),"")</f>
        <v/>
      </c>
      <c r="AV18" s="180">
        <f>IF(AND(ISNUMBER(AV17),ISNUMBER(AQ17)),IFERROR(AV17/AQ17-1,""),"")</f>
        <v/>
      </c>
      <c r="AW18" s="180">
        <f>IF(AND(ISNUMBER(AW17),ISNUMBER(AR17)),IFERROR(AW17/AR17-1,""),"")</f>
        <v/>
      </c>
      <c r="AX18" s="180">
        <f>IF(AND(ISNUMBER(AX17),ISNUMBER(AS17)),IFERROR(AX17/AS17-1,""),"")</f>
        <v/>
      </c>
      <c r="AY18" s="180">
        <f>IF(AND(ISNUMBER(AY17),ISNUMBER(AT17)),IFERROR(AY17/AT17-1,""),"")</f>
        <v/>
      </c>
      <c r="AZ18" s="180">
        <f>IF(AND(ISNUMBER(AZ17),ISNUMBER(AU17)),IFERROR(AZ17/AU17-1,""),"")</f>
        <v/>
      </c>
      <c r="BA18" s="180">
        <f>IF(AND(ISNUMBER(BA17),ISNUMBER(AV17)),IFERROR(BA17/AV17-1,""),"")</f>
        <v/>
      </c>
      <c r="BB18" s="180">
        <f>IF(AND(ISNUMBER(BB17),ISNUMBER(AW17)),IFERROR(BB17/AW17-1,""),"")</f>
        <v/>
      </c>
      <c r="BC18" s="180">
        <f>IF(AND(ISNUMBER(BC17),ISNUMBER(AX17)),IFERROR(BC17/AX17-1,""),"")</f>
        <v/>
      </c>
      <c r="BD18" s="180">
        <f>IF(AND(ISNUMBER(BD17),ISNUMBER(AY17)),IFERROR(BD17/AY17-1,""),"")</f>
        <v/>
      </c>
      <c r="BE18" s="180">
        <f>IF(AND(ISNUMBER(BE17),ISNUMBER(AZ17)),IFERROR(BE17/AZ17-1,""),"")</f>
        <v/>
      </c>
      <c r="BF18" s="180">
        <f>IF(AND(ISNUMBER(BF17),ISNUMBER(BA17)),IFERROR(BF17/BA17-1,""),"")</f>
        <v/>
      </c>
      <c r="BG18" s="180">
        <f>IF(AND(ISNUMBER(BG17),ISNUMBER(BB17)),IFERROR(BG17/BB17-1,""),"")</f>
        <v/>
      </c>
      <c r="BH18" s="180">
        <f>IF(AND(ISNUMBER(BH17),ISNUMBER(BC17)),IFERROR(BH17/BC17-1,""),"")</f>
        <v/>
      </c>
      <c r="BI18" s="180">
        <f>IF(AND(ISNUMBER(BI17),ISNUMBER(BD17)),IFERROR(BI17/BD17-1,""),"")</f>
        <v/>
      </c>
      <c r="BJ18" s="180">
        <f>IF(AND(ISNUMBER(BJ17),ISNUMBER(BE17)),IFERROR(BJ17/BE17-1,""),"")</f>
        <v/>
      </c>
      <c r="BK18" s="180">
        <f>IF(AND(ISNUMBER(BK17),ISNUMBER(BF17)),IFERROR(BK17/BF17-1,""),"")</f>
        <v/>
      </c>
      <c r="BL18" s="180">
        <f>IF(AND(ISNUMBER(BL17),ISNUMBER(BG17)),IFERROR(BL17/BG17-1,""),"")</f>
        <v/>
      </c>
      <c r="BM18" s="180">
        <f>IF(AND(ISNUMBER(BM17),ISNUMBER(BH17)),IFERROR(BM17/BH17-1,""),"")</f>
        <v/>
      </c>
      <c r="BN18" s="180">
        <f>IF(AND(ISNUMBER(BN17),ISNUMBER(BI17)),IFERROR(BN17/BI17-1,""),"")</f>
        <v/>
      </c>
      <c r="BO18" s="180">
        <f>IF(AND(ISNUMBER(BO17),ISNUMBER(BJ17)),IFERROR(BO17/BJ17-1,""),"")</f>
        <v/>
      </c>
      <c r="BP18" s="180">
        <f>IF(AND(ISNUMBER(BP17),ISNUMBER(BK17)),IFERROR(BP17/BK17-1,""),"")</f>
        <v/>
      </c>
      <c r="BQ18" s="180">
        <f>IF(AND(ISNUMBER(BQ17),ISNUMBER(BL17)),IFERROR(BQ17/BL17-1,""),"")</f>
        <v/>
      </c>
      <c r="BR18" s="180">
        <f>IF(AND(ISNUMBER(BR17),ISNUMBER(BM17)),IFERROR(BR17/BM17-1,""),"")</f>
        <v/>
      </c>
      <c r="BS18" s="180">
        <f>IF(AND(ISNUMBER(BS17),ISNUMBER(BN17)),IFERROR(BS17/BN17-1,""),"")</f>
        <v/>
      </c>
      <c r="BT18" s="180">
        <f>IF(AND(ISNUMBER(BT17),ISNUMBER(BO17)),IFERROR(BT17/BO17-1,""),"")</f>
        <v/>
      </c>
      <c r="BU18" s="180">
        <f>IF(AND(ISNUMBER(BU17),ISNUMBER(BP17)),IFERROR(BU17/BP17-1,""),"")</f>
        <v/>
      </c>
      <c r="BV18" s="180">
        <f>IF(AND(ISNUMBER(BV17),ISNUMBER(BQ17)),IFERROR(BV17/BQ17-1,""),"")</f>
        <v/>
      </c>
      <c r="BW18" s="180">
        <f>IF(AND(ISNUMBER(BW17),ISNUMBER(BR17)),IFERROR(BW17/BR17-1,""),"")</f>
        <v/>
      </c>
      <c r="BX18" s="180">
        <f>IF(AND(ISNUMBER(BX17),ISNUMBER(BS17)),IFERROR(BX17/BS17-1,""),"")</f>
        <v/>
      </c>
      <c r="BY18" s="181">
        <f>IF(AND(ISNUMBER(BY17),ISNUMBER(BT17)),IFERROR(BY17/BT17-1,""),"")</f>
        <v/>
      </c>
      <c r="BZ18" s="181">
        <f>IF(AND(ISNUMBER(BZ17),ISNUMBER(BU17)),IFERROR(BZ17/BU17-1,""),"")</f>
        <v/>
      </c>
      <c r="CA18" s="181">
        <f>IF(AND(ISNUMBER(CA17),ISNUMBER(BV17)),IFERROR(CA17/BV17-1,""),"")</f>
        <v/>
      </c>
      <c r="CB18" s="181">
        <f>IF(AND(ISNUMBER(CB17),ISNUMBER(CA17)),IFERROR(CB17/CA17-1,""),"")</f>
        <v/>
      </c>
      <c r="CC18" s="181">
        <f>IF(AND(ISNUMBER(CC17),ISNUMBER(CB17)),IFERROR(CC17/CB17-1,""),"")</f>
        <v/>
      </c>
      <c r="CD18" s="181">
        <f>IF(AND(ISNUMBER(CD17),ISNUMBER(CC17)),IFERROR(CD17/CC17-1,""),"")</f>
        <v/>
      </c>
      <c r="CE18" s="181">
        <f>IF(AND(ISNUMBER(CE17),ISNUMBER(CD17)),IFERROR(CE17/CD17-1,""),"")</f>
        <v/>
      </c>
      <c r="CF18" s="6" t="n"/>
      <c r="CN18" s="16" t="inlineStr">
        <is>
          <t>FY26 point estimates &amp; Q3/26E anchors (all cases)</t>
        </is>
      </c>
      <c r="CO18" s="22" t="n"/>
      <c r="CP18" s="22" t="n"/>
      <c r="CQ18" s="22" t="n"/>
    </row>
    <row r="19" ht="15" customHeight="1">
      <c r="B19" s="26" t="inlineStr">
        <is>
          <t xml:space="preserve">  LTL shipments (thousands; total shipments to 2013)</t>
        </is>
      </c>
      <c r="C19" s="174" t="n">
        <v>6428</v>
      </c>
      <c r="D19" s="174" t="n">
        <v>6765</v>
      </c>
      <c r="E19" s="174" t="n">
        <v>6691</v>
      </c>
      <c r="F19" s="174" t="n">
        <v>5750</v>
      </c>
      <c r="G19" s="174" t="n">
        <v>6327</v>
      </c>
      <c r="H19" s="174" t="n">
        <v>7256</v>
      </c>
      <c r="I19" s="174" t="n">
        <v>7765</v>
      </c>
      <c r="J19" s="174" t="n">
        <v>1922</v>
      </c>
      <c r="K19" s="174" t="n">
        <v>2115</v>
      </c>
      <c r="L19" s="174" t="n">
        <v>2170</v>
      </c>
      <c r="M19" s="174" t="n">
        <v>2072</v>
      </c>
      <c r="N19" s="174" t="n">
        <v>8279</v>
      </c>
      <c r="O19" s="174" t="n">
        <v>2065</v>
      </c>
      <c r="P19" s="174" t="n">
        <v>2276</v>
      </c>
      <c r="Q19" s="174" t="n">
        <v>2407</v>
      </c>
      <c r="R19" s="174" t="n">
        <v>2325</v>
      </c>
      <c r="S19" s="174" t="n">
        <v>9073</v>
      </c>
      <c r="T19" s="174" t="n">
        <v>2344</v>
      </c>
      <c r="U19" s="174" t="n">
        <v>2582</v>
      </c>
      <c r="V19" s="174" t="n">
        <v>2689</v>
      </c>
      <c r="W19" s="174" t="n">
        <v>2515</v>
      </c>
      <c r="X19" s="174" t="n">
        <v>10129</v>
      </c>
      <c r="Y19" s="174" t="n">
        <v>2489</v>
      </c>
      <c r="Z19" s="174" t="n">
        <v>2597</v>
      </c>
      <c r="AA19" s="174" t="n">
        <v>2641</v>
      </c>
      <c r="AB19" s="174" t="n">
        <v>2421</v>
      </c>
      <c r="AC19" s="174" t="n">
        <v>10148</v>
      </c>
      <c r="AD19" s="174" t="n">
        <v>2523</v>
      </c>
      <c r="AE19" s="174" t="n">
        <v>2742</v>
      </c>
      <c r="AF19" s="174" t="n">
        <v>2774</v>
      </c>
      <c r="AG19" s="174" t="n">
        <v>2696</v>
      </c>
      <c r="AH19" s="174" t="n">
        <v>10736</v>
      </c>
      <c r="AI19" s="174" t="n">
        <v>2788</v>
      </c>
      <c r="AJ19" s="174" t="n">
        <v>3049</v>
      </c>
      <c r="AK19" s="174" t="n">
        <v>3042</v>
      </c>
      <c r="AL19" s="174" t="n">
        <v>2870</v>
      </c>
      <c r="AM19" s="174" t="n">
        <v>11748</v>
      </c>
      <c r="AN19" s="174" t="n">
        <v>2818</v>
      </c>
      <c r="AO19" s="174" t="n">
        <v>2970</v>
      </c>
      <c r="AP19" s="174" t="n">
        <v>2951</v>
      </c>
      <c r="AQ19" s="174" t="n">
        <v>2751</v>
      </c>
      <c r="AR19" s="174" t="n">
        <v>11491</v>
      </c>
      <c r="AS19" s="174" t="n">
        <v>2716</v>
      </c>
      <c r="AT19" s="174" t="n">
        <v>2478</v>
      </c>
      <c r="AU19" s="174" t="n">
        <v>2859</v>
      </c>
      <c r="AV19" s="174" t="n">
        <v>2816</v>
      </c>
      <c r="AW19" s="174" t="n">
        <v>10869</v>
      </c>
      <c r="AX19" s="174" t="n">
        <v>2904</v>
      </c>
      <c r="AY19" s="174" t="n">
        <v>3307</v>
      </c>
      <c r="AZ19" s="174" t="n">
        <v>3413</v>
      </c>
      <c r="BA19" s="174" t="n">
        <v>3256</v>
      </c>
      <c r="BB19" s="174" t="n">
        <v>12880</v>
      </c>
      <c r="BC19" s="174" t="n">
        <v>3340</v>
      </c>
      <c r="BD19" s="174" t="n">
        <v>3398</v>
      </c>
      <c r="BE19" s="174" t="n">
        <v>3274</v>
      </c>
      <c r="BF19" s="174" t="n">
        <v>2977</v>
      </c>
      <c r="BG19" s="174" t="n">
        <v>12989</v>
      </c>
      <c r="BH19" s="174" t="n">
        <v>3018</v>
      </c>
      <c r="BI19" s="174" t="n">
        <v>3008</v>
      </c>
      <c r="BJ19" s="174" t="n">
        <v>3129</v>
      </c>
      <c r="BK19" s="174" t="n">
        <v>3021</v>
      </c>
      <c r="BL19" s="174" t="n">
        <v>12176</v>
      </c>
      <c r="BM19" s="174" t="n">
        <v>3004</v>
      </c>
      <c r="BN19" s="174" t="n">
        <v>3100</v>
      </c>
      <c r="BO19" s="174" t="n">
        <v>3070</v>
      </c>
      <c r="BP19" s="174" t="n">
        <v>2837</v>
      </c>
      <c r="BQ19" s="174" t="n">
        <v>12011</v>
      </c>
      <c r="BR19" s="174" t="n">
        <v>2808</v>
      </c>
      <c r="BS19" s="174" t="n">
        <v>2874</v>
      </c>
      <c r="BT19" s="174" t="n">
        <v>2829</v>
      </c>
      <c r="BU19" s="174" t="n">
        <v>2561</v>
      </c>
      <c r="BV19" s="174" t="n">
        <v>11072</v>
      </c>
      <c r="BW19" s="174" t="n">
        <v>2585</v>
      </c>
      <c r="BX19" s="174" t="n">
        <v>2709</v>
      </c>
      <c r="BY19" s="176">
        <f>IFERROR(BY15*2000/BY17,"")</f>
        <v/>
      </c>
      <c r="BZ19" s="176">
        <f>IFERROR(BZ15*2000/BZ17,"")</f>
        <v/>
      </c>
      <c r="CA19" s="176">
        <f>SUM(BW19,BX19,BY19,BZ19)</f>
        <v/>
      </c>
      <c r="CB19" s="176">
        <f>IFERROR(CB15*2000/CB17,"")</f>
        <v/>
      </c>
      <c r="CC19" s="176">
        <f>IFERROR(CC15*2000/CC17,"")</f>
        <v/>
      </c>
      <c r="CD19" s="176">
        <f>IFERROR(CD15*2000/CD17,"")</f>
        <v/>
      </c>
      <c r="CE19" s="176">
        <f>IFERROR(CE15*2000/CE17,"")</f>
        <v/>
      </c>
      <c r="CF19" s="20" t="n"/>
      <c r="CH19" s="21">
        <f>IFERROR((CE19/BV19)^(1/5)-1,"n/m")</f>
        <v/>
      </c>
      <c r="CI19" s="21">
        <f>IFERROR((BV19/AW19)^(1/5)-1,"n/m")</f>
        <v/>
      </c>
      <c r="CJ19" s="21">
        <f>IFERROR((BV19/X19)^(1/10)-1,"n/m")</f>
        <v/>
      </c>
      <c r="CK19" s="21">
        <f>IFERROR((BV19/C19)^(1/19)-1,"n/m")</f>
        <v/>
      </c>
      <c r="CN19" s="26" t="inlineStr">
        <is>
          <t xml:space="preserve">  Q3/26E LTL tons per day y/y (Aug-26, 3-Sep-26 update)</t>
        </is>
      </c>
      <c r="CP19" s="184" t="n">
        <v>-0.008999999999999999</v>
      </c>
      <c r="CR19" s="14" t="inlineStr">
        <is>
          <t>August 2026 LTL tons per day −0.9% y/y (shipments/day −2.4%, weight/shipment +1.7%). July not separately disclosed; Q2/26 −4.1%.</t>
        </is>
      </c>
    </row>
    <row r="20" ht="15" customHeight="1">
      <c r="B20" s="26" t="inlineStr">
        <is>
          <t xml:space="preserve">  LTL shipments per day</t>
        </is>
      </c>
      <c r="C20" s="174" t="n">
        <v>25507.937</v>
      </c>
      <c r="D20" s="174" t="n">
        <v>26739.13</v>
      </c>
      <c r="E20" s="174" t="n">
        <v>26342.52</v>
      </c>
      <c r="F20" s="174" t="n">
        <v>22727.273</v>
      </c>
      <c r="G20" s="174" t="n">
        <v>25107.143</v>
      </c>
      <c r="H20" s="174" t="n">
        <v>28679.842</v>
      </c>
      <c r="I20" s="174" t="n">
        <v>30570.866</v>
      </c>
      <c r="J20" s="174" t="n">
        <v>30507.937</v>
      </c>
      <c r="K20" s="174" t="n">
        <v>33046.875</v>
      </c>
      <c r="L20" s="174" t="n">
        <v>33906.25</v>
      </c>
      <c r="M20" s="174" t="n">
        <v>32888.889</v>
      </c>
      <c r="N20" s="174" t="n">
        <v>32594.488</v>
      </c>
      <c r="O20" s="174" t="n">
        <v>32777.778</v>
      </c>
      <c r="P20" s="174" t="n">
        <v>35562.5</v>
      </c>
      <c r="Q20" s="174" t="n">
        <v>37609.375</v>
      </c>
      <c r="R20" s="174" t="n">
        <v>36904.762</v>
      </c>
      <c r="S20" s="174" t="n">
        <v>35720.472</v>
      </c>
      <c r="T20" s="174" t="n">
        <v>37206.349</v>
      </c>
      <c r="U20" s="174" t="n">
        <v>40343.75</v>
      </c>
      <c r="V20" s="174" t="n">
        <v>42015.625</v>
      </c>
      <c r="W20" s="174" t="n">
        <v>39920.635</v>
      </c>
      <c r="X20" s="174" t="n">
        <v>39877.953</v>
      </c>
      <c r="Y20" s="174" t="n">
        <v>38890.625</v>
      </c>
      <c r="Z20" s="174" t="n">
        <v>40578.125</v>
      </c>
      <c r="AA20" s="174" t="n">
        <v>41265.625</v>
      </c>
      <c r="AB20" s="174" t="n">
        <v>39048.387</v>
      </c>
      <c r="AC20" s="174" t="n">
        <v>39952.756</v>
      </c>
      <c r="AD20" s="174" t="n">
        <v>39421.875</v>
      </c>
      <c r="AE20" s="174" t="n">
        <v>42843.75</v>
      </c>
      <c r="AF20" s="174" t="n">
        <v>44031.746</v>
      </c>
      <c r="AG20" s="174" t="n">
        <v>43483.871</v>
      </c>
      <c r="AH20" s="174" t="n">
        <v>42434.783</v>
      </c>
      <c r="AI20" s="174" t="n">
        <v>43562.5</v>
      </c>
      <c r="AJ20" s="174" t="n">
        <v>47640.625</v>
      </c>
      <c r="AK20" s="174" t="n">
        <v>48285.714</v>
      </c>
      <c r="AL20" s="174" t="n">
        <v>46290.323</v>
      </c>
      <c r="AM20" s="174" t="n">
        <v>46434.783</v>
      </c>
      <c r="AN20" s="174" t="n">
        <v>44730</v>
      </c>
      <c r="AO20" s="174" t="n">
        <v>46406</v>
      </c>
      <c r="AP20" s="174" t="n">
        <v>46109</v>
      </c>
      <c r="AQ20" s="174" t="n">
        <v>44370.968</v>
      </c>
      <c r="AR20" s="174" t="n">
        <v>45418.972</v>
      </c>
      <c r="AS20" s="174" t="n">
        <v>42438</v>
      </c>
      <c r="AT20" s="174" t="n">
        <v>38719</v>
      </c>
      <c r="AU20" s="174" t="n">
        <v>44672</v>
      </c>
      <c r="AV20" s="174" t="n">
        <v>45419</v>
      </c>
      <c r="AW20" s="174" t="n">
        <v>42791</v>
      </c>
      <c r="AX20" s="174" t="n">
        <v>46090</v>
      </c>
      <c r="AY20" s="174" t="n">
        <v>51672</v>
      </c>
      <c r="AZ20" s="174" t="n">
        <v>53335</v>
      </c>
      <c r="BA20" s="174" t="n">
        <v>53374</v>
      </c>
      <c r="BB20" s="174" t="n">
        <v>51111</v>
      </c>
      <c r="BC20" s="174" t="n">
        <v>52190</v>
      </c>
      <c r="BD20" s="174" t="n">
        <v>53096</v>
      </c>
      <c r="BE20" s="174" t="n">
        <v>51162</v>
      </c>
      <c r="BF20" s="174" t="n">
        <v>48798</v>
      </c>
      <c r="BG20" s="174" t="n">
        <v>51341</v>
      </c>
      <c r="BH20" s="174" t="n">
        <v>47155</v>
      </c>
      <c r="BI20" s="174" t="n">
        <v>46998</v>
      </c>
      <c r="BJ20" s="174" t="n">
        <v>49670</v>
      </c>
      <c r="BK20" s="174" t="n">
        <v>49520</v>
      </c>
      <c r="BL20" s="174" t="n">
        <v>48317</v>
      </c>
      <c r="BM20" s="174" t="n">
        <v>46931</v>
      </c>
      <c r="BN20" s="174" t="n">
        <v>48444</v>
      </c>
      <c r="BO20" s="174" t="n">
        <v>47967</v>
      </c>
      <c r="BP20" s="174" t="n">
        <v>45763</v>
      </c>
      <c r="BQ20" s="174" t="n">
        <v>47288</v>
      </c>
      <c r="BR20" s="174" t="n">
        <v>44566</v>
      </c>
      <c r="BS20" s="174" t="n">
        <v>44907</v>
      </c>
      <c r="BT20" s="174" t="n">
        <v>44201</v>
      </c>
      <c r="BU20" s="174" t="n">
        <v>41308</v>
      </c>
      <c r="BV20" s="174" t="n">
        <v>43762</v>
      </c>
      <c r="BW20" s="174" t="n">
        <v>41037</v>
      </c>
      <c r="BX20" s="174" t="n">
        <v>42332</v>
      </c>
      <c r="BY20" s="176">
        <f>IFERROR(BY19*1000/BY11,"")</f>
        <v/>
      </c>
      <c r="BZ20" s="176">
        <f>IFERROR(BZ19*1000/BZ11,"")</f>
        <v/>
      </c>
      <c r="CA20" s="176">
        <f>IFERROR(CA19*1000/CA11,"")</f>
        <v/>
      </c>
      <c r="CB20" s="176">
        <f>IFERROR(CB19*1000/CB11,"")</f>
        <v/>
      </c>
      <c r="CC20" s="176">
        <f>IFERROR(CC19*1000/CC11,"")</f>
        <v/>
      </c>
      <c r="CD20" s="176">
        <f>IFERROR(CD19*1000/CD11,"")</f>
        <v/>
      </c>
      <c r="CE20" s="176">
        <f>IFERROR(CE19*1000/CE11,"")</f>
        <v/>
      </c>
      <c r="CF20" s="20" t="n"/>
      <c r="CN20" s="26" t="inlineStr">
        <is>
          <t xml:space="preserve">  Q3/26E LTL revenue/cwt ex fuel y/y (Jul–Aug QTD)</t>
        </is>
      </c>
      <c r="CP20" s="184" t="n">
        <v>0.048</v>
      </c>
      <c r="CR20" s="14" t="inlineStr">
        <is>
          <t>3-Sep-26 update: quarter-to-date +4.8%.</t>
        </is>
      </c>
    </row>
    <row r="21" ht="15" customHeight="1">
      <c r="B21" s="23" t="inlineStr">
        <is>
          <t xml:space="preserve">    y/y %</t>
        </is>
      </c>
      <c r="D21" s="180">
        <f>IF(AND(ISNUMBER(D20),ISNUMBER(C20)),IFERROR(D20/C20-1,""),"")</f>
        <v/>
      </c>
      <c r="E21" s="180">
        <f>IF(AND(ISNUMBER(E20),ISNUMBER(D20)),IFERROR(E20/D20-1,""),"")</f>
        <v/>
      </c>
      <c r="F21" s="180">
        <f>IF(AND(ISNUMBER(F20),ISNUMBER(E20)),IFERROR(F20/E20-1,""),"")</f>
        <v/>
      </c>
      <c r="G21" s="180">
        <f>IF(AND(ISNUMBER(G20),ISNUMBER(F20)),IFERROR(G20/F20-1,""),"")</f>
        <v/>
      </c>
      <c r="H21" s="180">
        <f>IF(AND(ISNUMBER(H20),ISNUMBER(G20)),IFERROR(H20/G20-1,""),"")</f>
        <v/>
      </c>
      <c r="I21" s="180">
        <f>IF(AND(ISNUMBER(I20),ISNUMBER(H20)),IFERROR(I20/H20-1,""),"")</f>
        <v/>
      </c>
      <c r="N21" s="180">
        <f>IF(AND(ISNUMBER(N20),ISNUMBER(I20)),IFERROR(N20/I20-1,""),"")</f>
        <v/>
      </c>
      <c r="O21" s="180">
        <f>IF(AND(ISNUMBER(O20),ISNUMBER(J20)),IFERROR(O20/J20-1,""),"")</f>
        <v/>
      </c>
      <c r="P21" s="180">
        <f>IF(AND(ISNUMBER(P20),ISNUMBER(K20)),IFERROR(P20/K20-1,""),"")</f>
        <v/>
      </c>
      <c r="Q21" s="180">
        <f>IF(AND(ISNUMBER(Q20),ISNUMBER(L20)),IFERROR(Q20/L20-1,""),"")</f>
        <v/>
      </c>
      <c r="R21" s="180">
        <f>IF(AND(ISNUMBER(R20),ISNUMBER(M20)),IFERROR(R20/M20-1,""),"")</f>
        <v/>
      </c>
      <c r="S21" s="180">
        <f>IF(AND(ISNUMBER(S20),ISNUMBER(N20)),IFERROR(S20/N20-1,""),"")</f>
        <v/>
      </c>
      <c r="T21" s="180">
        <f>IF(AND(ISNUMBER(T20),ISNUMBER(O20)),IFERROR(T20/O20-1,""),"")</f>
        <v/>
      </c>
      <c r="U21" s="180">
        <f>IF(AND(ISNUMBER(U20),ISNUMBER(P20)),IFERROR(U20/P20-1,""),"")</f>
        <v/>
      </c>
      <c r="V21" s="180">
        <f>IF(AND(ISNUMBER(V20),ISNUMBER(Q20)),IFERROR(V20/Q20-1,""),"")</f>
        <v/>
      </c>
      <c r="W21" s="180">
        <f>IF(AND(ISNUMBER(W20),ISNUMBER(R20)),IFERROR(W20/R20-1,""),"")</f>
        <v/>
      </c>
      <c r="X21" s="180">
        <f>IF(AND(ISNUMBER(X20),ISNUMBER(S20)),IFERROR(X20/S20-1,""),"")</f>
        <v/>
      </c>
      <c r="Y21" s="180">
        <f>IF(AND(ISNUMBER(Y20),ISNUMBER(T20)),IFERROR(Y20/T20-1,""),"")</f>
        <v/>
      </c>
      <c r="Z21" s="180">
        <f>IF(AND(ISNUMBER(Z20),ISNUMBER(U20)),IFERROR(Z20/U20-1,""),"")</f>
        <v/>
      </c>
      <c r="AA21" s="180">
        <f>IF(AND(ISNUMBER(AA20),ISNUMBER(V20)),IFERROR(AA20/V20-1,""),"")</f>
        <v/>
      </c>
      <c r="AB21" s="180">
        <f>IF(AND(ISNUMBER(AB20),ISNUMBER(W20)),IFERROR(AB20/W20-1,""),"")</f>
        <v/>
      </c>
      <c r="AC21" s="180">
        <f>IF(AND(ISNUMBER(AC20),ISNUMBER(X20)),IFERROR(AC20/X20-1,""),"")</f>
        <v/>
      </c>
      <c r="AD21" s="180">
        <f>IF(AND(ISNUMBER(AD20),ISNUMBER(Y20)),IFERROR(AD20/Y20-1,""),"")</f>
        <v/>
      </c>
      <c r="AE21" s="180">
        <f>IF(AND(ISNUMBER(AE20),ISNUMBER(Z20)),IFERROR(AE20/Z20-1,""),"")</f>
        <v/>
      </c>
      <c r="AF21" s="180">
        <f>IF(AND(ISNUMBER(AF20),ISNUMBER(AA20)),IFERROR(AF20/AA20-1,""),"")</f>
        <v/>
      </c>
      <c r="AG21" s="180">
        <f>IF(AND(ISNUMBER(AG20),ISNUMBER(AB20)),IFERROR(AG20/AB20-1,""),"")</f>
        <v/>
      </c>
      <c r="AH21" s="180">
        <f>IF(AND(ISNUMBER(AH20),ISNUMBER(AC20)),IFERROR(AH20/AC20-1,""),"")</f>
        <v/>
      </c>
      <c r="AI21" s="180">
        <f>IF(AND(ISNUMBER(AI20),ISNUMBER(AD20)),IFERROR(AI20/AD20-1,""),"")</f>
        <v/>
      </c>
      <c r="AJ21" s="180">
        <f>IF(AND(ISNUMBER(AJ20),ISNUMBER(AE20)),IFERROR(AJ20/AE20-1,""),"")</f>
        <v/>
      </c>
      <c r="AK21" s="180">
        <f>IF(AND(ISNUMBER(AK20),ISNUMBER(AF20)),IFERROR(AK20/AF20-1,""),"")</f>
        <v/>
      </c>
      <c r="AL21" s="180">
        <f>IF(AND(ISNUMBER(AL20),ISNUMBER(AG20)),IFERROR(AL20/AG20-1,""),"")</f>
        <v/>
      </c>
      <c r="AM21" s="180">
        <f>IF(AND(ISNUMBER(AM20),ISNUMBER(AH20)),IFERROR(AM20/AH20-1,""),"")</f>
        <v/>
      </c>
      <c r="AN21" s="180">
        <f>IF(AND(ISNUMBER(AN20),ISNUMBER(AI20)),IFERROR(AN20/AI20-1,""),"")</f>
        <v/>
      </c>
      <c r="AO21" s="180">
        <f>IF(AND(ISNUMBER(AO20),ISNUMBER(AJ20)),IFERROR(AO20/AJ20-1,""),"")</f>
        <v/>
      </c>
      <c r="AP21" s="180">
        <f>IF(AND(ISNUMBER(AP20),ISNUMBER(AK20)),IFERROR(AP20/AK20-1,""),"")</f>
        <v/>
      </c>
      <c r="AQ21" s="180">
        <f>IF(AND(ISNUMBER(AQ20),ISNUMBER(AL20)),IFERROR(AQ20/AL20-1,""),"")</f>
        <v/>
      </c>
      <c r="AR21" s="180">
        <f>IF(AND(ISNUMBER(AR20),ISNUMBER(AM20)),IFERROR(AR20/AM20-1,""),"")</f>
        <v/>
      </c>
      <c r="AS21" s="180">
        <f>IF(AND(ISNUMBER(AS20),ISNUMBER(AN20)),IFERROR(AS20/AN20-1,""),"")</f>
        <v/>
      </c>
      <c r="AT21" s="180">
        <f>IF(AND(ISNUMBER(AT20),ISNUMBER(AO20)),IFERROR(AT20/AO20-1,""),"")</f>
        <v/>
      </c>
      <c r="AU21" s="180">
        <f>IF(AND(ISNUMBER(AU20),ISNUMBER(AP20)),IFERROR(AU20/AP20-1,""),"")</f>
        <v/>
      </c>
      <c r="AV21" s="180">
        <f>IF(AND(ISNUMBER(AV20),ISNUMBER(AQ20)),IFERROR(AV20/AQ20-1,""),"")</f>
        <v/>
      </c>
      <c r="AW21" s="180">
        <f>IF(AND(ISNUMBER(AW20),ISNUMBER(AR20)),IFERROR(AW20/AR20-1,""),"")</f>
        <v/>
      </c>
      <c r="AX21" s="180">
        <f>IF(AND(ISNUMBER(AX20),ISNUMBER(AS20)),IFERROR(AX20/AS20-1,""),"")</f>
        <v/>
      </c>
      <c r="AY21" s="180">
        <f>IF(AND(ISNUMBER(AY20),ISNUMBER(AT20)),IFERROR(AY20/AT20-1,""),"")</f>
        <v/>
      </c>
      <c r="AZ21" s="180">
        <f>IF(AND(ISNUMBER(AZ20),ISNUMBER(AU20)),IFERROR(AZ20/AU20-1,""),"")</f>
        <v/>
      </c>
      <c r="BA21" s="180">
        <f>IF(AND(ISNUMBER(BA20),ISNUMBER(AV20)),IFERROR(BA20/AV20-1,""),"")</f>
        <v/>
      </c>
      <c r="BB21" s="180">
        <f>IF(AND(ISNUMBER(BB20),ISNUMBER(AW20)),IFERROR(BB20/AW20-1,""),"")</f>
        <v/>
      </c>
      <c r="BC21" s="180">
        <f>IF(AND(ISNUMBER(BC20),ISNUMBER(AX20)),IFERROR(BC20/AX20-1,""),"")</f>
        <v/>
      </c>
      <c r="BD21" s="180">
        <f>IF(AND(ISNUMBER(BD20),ISNUMBER(AY20)),IFERROR(BD20/AY20-1,""),"")</f>
        <v/>
      </c>
      <c r="BE21" s="180">
        <f>IF(AND(ISNUMBER(BE20),ISNUMBER(AZ20)),IFERROR(BE20/AZ20-1,""),"")</f>
        <v/>
      </c>
      <c r="BF21" s="180">
        <f>IF(AND(ISNUMBER(BF20),ISNUMBER(BA20)),IFERROR(BF20/BA20-1,""),"")</f>
        <v/>
      </c>
      <c r="BG21" s="180">
        <f>IF(AND(ISNUMBER(BG20),ISNUMBER(BB20)),IFERROR(BG20/BB20-1,""),"")</f>
        <v/>
      </c>
      <c r="BH21" s="180">
        <f>IF(AND(ISNUMBER(BH20),ISNUMBER(BC20)),IFERROR(BH20/BC20-1,""),"")</f>
        <v/>
      </c>
      <c r="BI21" s="180">
        <f>IF(AND(ISNUMBER(BI20),ISNUMBER(BD20)),IFERROR(BI20/BD20-1,""),"")</f>
        <v/>
      </c>
      <c r="BJ21" s="180">
        <f>IF(AND(ISNUMBER(BJ20),ISNUMBER(BE20)),IFERROR(BJ20/BE20-1,""),"")</f>
        <v/>
      </c>
      <c r="BK21" s="180">
        <f>IF(AND(ISNUMBER(BK20),ISNUMBER(BF20)),IFERROR(BK20/BF20-1,""),"")</f>
        <v/>
      </c>
      <c r="BL21" s="180">
        <f>IF(AND(ISNUMBER(BL20),ISNUMBER(BG20)),IFERROR(BL20/BG20-1,""),"")</f>
        <v/>
      </c>
      <c r="BM21" s="180">
        <f>IF(AND(ISNUMBER(BM20),ISNUMBER(BH20)),IFERROR(BM20/BH20-1,""),"")</f>
        <v/>
      </c>
      <c r="BN21" s="180">
        <f>IF(AND(ISNUMBER(BN20),ISNUMBER(BI20)),IFERROR(BN20/BI20-1,""),"")</f>
        <v/>
      </c>
      <c r="BO21" s="180">
        <f>IF(AND(ISNUMBER(BO20),ISNUMBER(BJ20)),IFERROR(BO20/BJ20-1,""),"")</f>
        <v/>
      </c>
      <c r="BP21" s="180">
        <f>IF(AND(ISNUMBER(BP20),ISNUMBER(BK20)),IFERROR(BP20/BK20-1,""),"")</f>
        <v/>
      </c>
      <c r="BQ21" s="180">
        <f>IF(AND(ISNUMBER(BQ20),ISNUMBER(BL20)),IFERROR(BQ20/BL20-1,""),"")</f>
        <v/>
      </c>
      <c r="BR21" s="180">
        <f>IF(AND(ISNUMBER(BR20),ISNUMBER(BM20)),IFERROR(BR20/BM20-1,""),"")</f>
        <v/>
      </c>
      <c r="BS21" s="180">
        <f>IF(AND(ISNUMBER(BS20),ISNUMBER(BN20)),IFERROR(BS20/BN20-1,""),"")</f>
        <v/>
      </c>
      <c r="BT21" s="180">
        <f>IF(AND(ISNUMBER(BT20),ISNUMBER(BO20)),IFERROR(BT20/BO20-1,""),"")</f>
        <v/>
      </c>
      <c r="BU21" s="180">
        <f>IF(AND(ISNUMBER(BU20),ISNUMBER(BP20)),IFERROR(BU20/BP20-1,""),"")</f>
        <v/>
      </c>
      <c r="BV21" s="180">
        <f>IF(AND(ISNUMBER(BV20),ISNUMBER(BQ20)),IFERROR(BV20/BQ20-1,""),"")</f>
        <v/>
      </c>
      <c r="BW21" s="180">
        <f>IF(AND(ISNUMBER(BW20),ISNUMBER(BR20)),IFERROR(BW20/BR20-1,""),"")</f>
        <v/>
      </c>
      <c r="BX21" s="180">
        <f>IF(AND(ISNUMBER(BX20),ISNUMBER(BS20)),IFERROR(BX20/BS20-1,""),"")</f>
        <v/>
      </c>
      <c r="BY21" s="181">
        <f>IF(AND(ISNUMBER(BY20),ISNUMBER(BT20)),IFERROR(BY20/BT20-1,""),"")</f>
        <v/>
      </c>
      <c r="BZ21" s="181">
        <f>IF(AND(ISNUMBER(BZ20),ISNUMBER(BU20)),IFERROR(BZ20/BU20-1,""),"")</f>
        <v/>
      </c>
      <c r="CA21" s="181">
        <f>IF(AND(ISNUMBER(CA20),ISNUMBER(BV20)),IFERROR(CA20/BV20-1,""),"")</f>
        <v/>
      </c>
      <c r="CB21" s="181">
        <f>IF(AND(ISNUMBER(CB20),ISNUMBER(CA20)),IFERROR(CB20/CA20-1,""),"")</f>
        <v/>
      </c>
      <c r="CC21" s="181">
        <f>IF(AND(ISNUMBER(CC20),ISNUMBER(CB20)),IFERROR(CC20/CB20-1,""),"")</f>
        <v/>
      </c>
      <c r="CD21" s="181">
        <f>IF(AND(ISNUMBER(CD20),ISNUMBER(CC20)),IFERROR(CD20/CC20-1,""),"")</f>
        <v/>
      </c>
      <c r="CE21" s="181">
        <f>IF(AND(ISNUMBER(CE20),ISNUMBER(CD20)),IFERROR(CE20/CD20-1,""),"")</f>
        <v/>
      </c>
      <c r="CF21" s="6" t="n"/>
      <c r="CN21" s="26" t="inlineStr">
        <is>
          <t xml:space="preserve">  Q3/26E LTL revenue/cwt incl. fuel y/y (Jul–Aug QTD)</t>
        </is>
      </c>
      <c r="CP21" s="184" t="n">
        <v>0.113</v>
      </c>
      <c r="CR21" s="14" t="inlineStr">
        <is>
          <t>3-Sep-26 update: quarter-to-date +11.3% (fuel surcharge per cwt implied).</t>
        </is>
      </c>
    </row>
    <row r="22" ht="15" customHeight="1">
      <c r="B22" s="42" t="inlineStr">
        <is>
          <t xml:space="preserve">  Average length of haul (miles)</t>
        </is>
      </c>
      <c r="C22" s="174" t="n">
        <v>934</v>
      </c>
      <c r="D22" s="174" t="n">
        <v>935</v>
      </c>
      <c r="E22" s="174" t="n">
        <v>901</v>
      </c>
      <c r="F22" s="174" t="n">
        <v>928</v>
      </c>
      <c r="G22" s="174" t="n">
        <v>948</v>
      </c>
      <c r="H22" s="174" t="n">
        <v>952</v>
      </c>
      <c r="I22" s="174" t="n">
        <v>941</v>
      </c>
      <c r="J22" s="174" t="n">
        <v>935</v>
      </c>
      <c r="K22" s="174" t="n">
        <v>940</v>
      </c>
      <c r="L22" s="174" t="n">
        <v>938</v>
      </c>
      <c r="M22" s="174" t="n">
        <v>930</v>
      </c>
      <c r="N22" s="174" t="n">
        <v>936</v>
      </c>
      <c r="O22" s="174" t="n">
        <v>929</v>
      </c>
      <c r="P22" s="174" t="n">
        <v>927</v>
      </c>
      <c r="Q22" s="174" t="n">
        <v>929</v>
      </c>
      <c r="R22" s="174" t="n">
        <v>928</v>
      </c>
      <c r="S22" s="174" t="n">
        <v>928</v>
      </c>
      <c r="T22" s="174" t="n">
        <v>928</v>
      </c>
      <c r="U22" s="174" t="n">
        <v>928</v>
      </c>
      <c r="V22" s="174" t="n">
        <v>927</v>
      </c>
      <c r="W22" s="174" t="n">
        <v>927</v>
      </c>
      <c r="X22" s="174" t="n">
        <v>928</v>
      </c>
      <c r="Y22" s="174" t="n">
        <v>935</v>
      </c>
      <c r="Z22" s="174" t="n">
        <v>929</v>
      </c>
      <c r="AA22" s="174" t="n">
        <v>925</v>
      </c>
      <c r="AB22" s="174" t="n">
        <v>922</v>
      </c>
      <c r="AC22" s="174" t="n">
        <v>928</v>
      </c>
      <c r="AD22" s="174" t="n">
        <v>920</v>
      </c>
      <c r="AE22" s="174" t="n">
        <v>917</v>
      </c>
      <c r="AF22" s="174" t="n">
        <v>919</v>
      </c>
      <c r="AG22" s="174" t="n">
        <v>914</v>
      </c>
      <c r="AH22" s="174" t="n">
        <v>917</v>
      </c>
      <c r="AI22" s="174" t="n">
        <v>914</v>
      </c>
      <c r="AJ22" s="174" t="n">
        <v>915</v>
      </c>
      <c r="AK22" s="174" t="n">
        <v>920</v>
      </c>
      <c r="AL22" s="174" t="n">
        <v>923</v>
      </c>
      <c r="AM22" s="174" t="n">
        <v>918</v>
      </c>
      <c r="AN22" s="174" t="n">
        <v>918</v>
      </c>
      <c r="AO22" s="174" t="n">
        <v>917</v>
      </c>
      <c r="AP22" s="174" t="n">
        <v>918</v>
      </c>
      <c r="AQ22" s="174" t="n">
        <v>915</v>
      </c>
      <c r="AR22" s="174" t="n">
        <v>917</v>
      </c>
      <c r="AS22" s="174" t="n">
        <v>919</v>
      </c>
      <c r="AT22" s="174" t="n">
        <v>919</v>
      </c>
      <c r="AU22" s="174" t="n">
        <v>933</v>
      </c>
      <c r="AV22" s="174" t="n">
        <v>927</v>
      </c>
      <c r="AW22" s="174" t="n">
        <v>925</v>
      </c>
      <c r="AX22" s="174" t="n">
        <v>928</v>
      </c>
      <c r="AY22" s="174" t="n">
        <v>930</v>
      </c>
      <c r="AZ22" s="174" t="n">
        <v>940</v>
      </c>
      <c r="BA22" s="174" t="n">
        <v>944</v>
      </c>
      <c r="BB22" s="174" t="n">
        <v>935</v>
      </c>
      <c r="BC22" s="174" t="n">
        <v>939</v>
      </c>
      <c r="BD22" s="174" t="n">
        <v>934</v>
      </c>
      <c r="BE22" s="174" t="n">
        <v>932</v>
      </c>
      <c r="BF22" s="174" t="n">
        <v>932</v>
      </c>
      <c r="BG22" s="174" t="n">
        <v>934</v>
      </c>
      <c r="BH22" s="174" t="n">
        <v>925</v>
      </c>
      <c r="BI22" s="174" t="n">
        <v>925</v>
      </c>
      <c r="BJ22" s="174" t="n">
        <v>927</v>
      </c>
      <c r="BK22" s="174" t="n">
        <v>925</v>
      </c>
      <c r="BL22" s="174" t="n">
        <v>925</v>
      </c>
      <c r="BM22" s="174" t="n">
        <v>919</v>
      </c>
      <c r="BN22" s="174" t="n">
        <v>918</v>
      </c>
      <c r="BO22" s="174" t="n">
        <v>923</v>
      </c>
      <c r="BP22" s="174" t="n">
        <v>915</v>
      </c>
      <c r="BQ22" s="174" t="n">
        <v>919</v>
      </c>
      <c r="BR22" s="174" t="n">
        <v>916</v>
      </c>
      <c r="BS22" s="174" t="n">
        <v>912</v>
      </c>
      <c r="BT22" s="174" t="n">
        <v>909</v>
      </c>
      <c r="BU22" s="174" t="n">
        <v>906</v>
      </c>
      <c r="BV22" s="174" t="n">
        <v>911</v>
      </c>
      <c r="BW22" s="174" t="n">
        <v>913</v>
      </c>
      <c r="BX22" s="174" t="n">
        <v>909</v>
      </c>
      <c r="BY22" s="6" t="n"/>
      <c r="BZ22" s="6" t="n"/>
      <c r="CA22" s="6" t="n"/>
      <c r="CB22" s="6" t="n"/>
      <c r="CC22" s="6" t="n"/>
      <c r="CD22" s="6" t="n"/>
      <c r="CE22" s="6" t="n"/>
      <c r="CF22" s="6" t="n"/>
      <c r="CN22" s="26" t="inlineStr">
        <is>
          <t xml:space="preserve">  Memo: Aug-26 revenue per day y/y</t>
        </is>
      </c>
      <c r="CP22" s="184" t="n">
        <v>0.124</v>
      </c>
      <c r="CR22" s="14" t="inlineStr">
        <is>
          <t>3-Sep-26 update: August revenue per day +12.4% (memo; not a calibration target).</t>
        </is>
      </c>
    </row>
    <row r="23" ht="15" customHeight="1">
      <c r="B23" s="42" t="inlineStr">
        <is>
          <t xml:space="preserve">  LTL intercity miles (thousands)</t>
        </is>
      </c>
      <c r="C23" s="174" t="n">
        <v>296464</v>
      </c>
      <c r="D23" s="174" t="n">
        <v>325268</v>
      </c>
      <c r="E23" s="174" t="n">
        <v>334219</v>
      </c>
      <c r="F23" s="36" t="n"/>
      <c r="G23" s="174" t="n">
        <v>338535</v>
      </c>
      <c r="H23" s="174" t="n">
        <v>389588</v>
      </c>
      <c r="I23" s="174" t="n">
        <v>420214</v>
      </c>
      <c r="J23" s="174" t="n">
        <v>103472</v>
      </c>
      <c r="K23" s="174" t="n">
        <v>112321</v>
      </c>
      <c r="L23" s="174" t="n">
        <v>116215</v>
      </c>
      <c r="M23" s="174" t="n">
        <v>114525</v>
      </c>
      <c r="N23" s="174" t="n">
        <v>446532</v>
      </c>
      <c r="O23" s="174" t="n">
        <v>111555</v>
      </c>
      <c r="P23" s="174" t="n">
        <v>125186</v>
      </c>
      <c r="Q23" s="174" t="n">
        <v>133864</v>
      </c>
      <c r="R23" s="174" t="n">
        <v>133319</v>
      </c>
      <c r="S23" s="174" t="n">
        <v>503923</v>
      </c>
      <c r="T23" s="174" t="n">
        <v>129467</v>
      </c>
      <c r="U23" s="174" t="n">
        <v>143487</v>
      </c>
      <c r="V23" s="174" t="n">
        <v>149510</v>
      </c>
      <c r="W23" s="174" t="n">
        <v>143747</v>
      </c>
      <c r="X23" s="174" t="n">
        <v>566210</v>
      </c>
      <c r="Y23" s="174" t="n">
        <v>140816</v>
      </c>
      <c r="Z23" s="174" t="n">
        <v>145754</v>
      </c>
      <c r="AA23" s="174" t="n">
        <v>148993</v>
      </c>
      <c r="AB23" s="174" t="n">
        <v>141389</v>
      </c>
      <c r="AC23" s="174" t="n">
        <v>576953</v>
      </c>
      <c r="AD23" s="174" t="n">
        <v>139752</v>
      </c>
      <c r="AE23" s="174" t="n">
        <v>150991</v>
      </c>
      <c r="AF23" s="174" t="n">
        <v>156343</v>
      </c>
      <c r="AG23" s="174" t="n">
        <v>158119</v>
      </c>
      <c r="AH23" s="174" t="n">
        <v>605204</v>
      </c>
      <c r="AI23" s="174" t="n">
        <v>161190</v>
      </c>
      <c r="AJ23" s="174" t="n">
        <v>174013</v>
      </c>
      <c r="AK23" s="174" t="n">
        <v>173124</v>
      </c>
      <c r="AL23" s="174" t="n">
        <v>166180</v>
      </c>
      <c r="AM23" s="174" t="n">
        <v>674506</v>
      </c>
      <c r="AN23" s="174" t="n">
        <v>159654</v>
      </c>
      <c r="AO23" s="174" t="n">
        <v>163884</v>
      </c>
      <c r="AP23" s="174" t="n">
        <v>163061</v>
      </c>
      <c r="AQ23" s="174" t="n">
        <v>157687</v>
      </c>
      <c r="AR23" s="174" t="n">
        <v>644287</v>
      </c>
      <c r="AS23" s="174" t="n">
        <v>155949</v>
      </c>
      <c r="AT23" s="174" t="n">
        <v>141417</v>
      </c>
      <c r="AU23" s="174" t="n">
        <v>160543</v>
      </c>
      <c r="AV23" s="174" t="n">
        <v>159896</v>
      </c>
      <c r="AW23" s="174" t="n">
        <v>617805</v>
      </c>
      <c r="AX23" s="174" t="n">
        <v>161174</v>
      </c>
      <c r="AY23" s="174" t="n">
        <v>178938</v>
      </c>
      <c r="AZ23" s="174" t="n">
        <v>184812</v>
      </c>
      <c r="BA23" s="174" t="n">
        <v>182687</v>
      </c>
      <c r="BB23" s="174" t="n">
        <v>707611</v>
      </c>
      <c r="BC23" s="174" t="n">
        <v>183607</v>
      </c>
      <c r="BD23" s="174" t="n">
        <v>194726</v>
      </c>
      <c r="BE23" s="174" t="n">
        <v>190626</v>
      </c>
      <c r="BF23" s="174" t="n">
        <v>177068</v>
      </c>
      <c r="BG23" s="174" t="n">
        <v>746028</v>
      </c>
      <c r="BH23" s="174" t="n">
        <v>173637</v>
      </c>
      <c r="BI23" s="174" t="n">
        <v>170294</v>
      </c>
      <c r="BJ23" s="174" t="n">
        <v>176284</v>
      </c>
      <c r="BK23" s="174" t="n">
        <v>171417</v>
      </c>
      <c r="BL23" s="174" t="n">
        <v>691632</v>
      </c>
      <c r="BM23" s="36" t="n"/>
      <c r="BN23" s="174" t="n">
        <v>172361</v>
      </c>
      <c r="BO23" s="174" t="n">
        <v>168986</v>
      </c>
      <c r="BP23" s="174" t="n">
        <v>162124</v>
      </c>
      <c r="BQ23" s="174" t="n">
        <v>673237</v>
      </c>
      <c r="BR23" s="174" t="n">
        <v>157259</v>
      </c>
      <c r="BS23" s="174" t="n">
        <v>159582</v>
      </c>
      <c r="BT23" s="174" t="n">
        <v>155365</v>
      </c>
      <c r="BU23" s="174" t="n">
        <v>144055</v>
      </c>
      <c r="BV23" s="174" t="n">
        <v>616261</v>
      </c>
      <c r="BW23" s="174" t="n">
        <v>144718</v>
      </c>
      <c r="BX23" s="174" t="n">
        <v>151977</v>
      </c>
      <c r="BY23" s="6" t="n"/>
      <c r="BZ23" s="6" t="n"/>
      <c r="CA23" s="6" t="n"/>
      <c r="CB23" s="6" t="n"/>
      <c r="CC23" s="6" t="n"/>
      <c r="CD23" s="6" t="n"/>
      <c r="CE23" s="6" t="n"/>
      <c r="CF23" s="6" t="n"/>
      <c r="CN23" s="26" t="inlineStr">
        <is>
          <t xml:space="preserve">  FY26 depreciation &amp; amortization ($m)</t>
        </is>
      </c>
      <c r="CP23" s="183" t="n">
        <v>372</v>
      </c>
      <c r="CR23" s="14" t="inlineStr">
        <is>
          <t>1H/26 $184.0m + 2H at the Q2/26 run-rate ($91.7m) + new equipment; not guided on EDGAR.</t>
        </is>
      </c>
    </row>
    <row r="24" ht="15" customHeight="1">
      <c r="B24" s="42" t="inlineStr">
        <is>
          <t xml:space="preserve">  Average active full-time employees (from 2019 releases)</t>
        </is>
      </c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  <c r="AP24" s="36" t="n"/>
      <c r="AQ24" s="36" t="n"/>
      <c r="AR24" s="36" t="n"/>
      <c r="AS24" s="36" t="n"/>
      <c r="AT24" s="174" t="n">
        <v>17911</v>
      </c>
      <c r="AU24" s="174" t="n">
        <v>18766</v>
      </c>
      <c r="AV24" s="174" t="n">
        <v>19630</v>
      </c>
      <c r="AW24" s="174" t="n">
        <v>19064</v>
      </c>
      <c r="AX24" s="174" t="n">
        <v>20479</v>
      </c>
      <c r="AY24" s="174" t="n">
        <v>21621</v>
      </c>
      <c r="AZ24" s="174" t="n">
        <v>22682</v>
      </c>
      <c r="BA24" s="174" t="n">
        <v>23610</v>
      </c>
      <c r="BB24" s="174" t="n">
        <v>22098</v>
      </c>
      <c r="BC24" s="174" t="n">
        <v>24277</v>
      </c>
      <c r="BD24" s="174" t="n">
        <v>24893</v>
      </c>
      <c r="BE24" s="174" t="n">
        <v>24587</v>
      </c>
      <c r="BF24" s="174" t="n">
        <v>23799</v>
      </c>
      <c r="BG24" s="174" t="n">
        <v>24389</v>
      </c>
      <c r="BH24" s="174" t="n">
        <v>22971</v>
      </c>
      <c r="BI24" s="174" t="n">
        <v>22438</v>
      </c>
      <c r="BJ24" s="174" t="n">
        <v>22284</v>
      </c>
      <c r="BK24" s="174" t="n">
        <v>22814</v>
      </c>
      <c r="BL24" s="174" t="n">
        <v>22627</v>
      </c>
      <c r="BM24" s="174" t="n">
        <v>22891</v>
      </c>
      <c r="BN24" s="174" t="n">
        <v>22702</v>
      </c>
      <c r="BO24" s="174" t="n">
        <v>22465</v>
      </c>
      <c r="BP24" s="174" t="n">
        <v>22032</v>
      </c>
      <c r="BQ24" s="174" t="n">
        <v>22522</v>
      </c>
      <c r="BR24" s="174" t="n">
        <v>21817</v>
      </c>
      <c r="BS24" s="174" t="n">
        <v>21621</v>
      </c>
      <c r="BT24" s="174" t="n">
        <v>21073</v>
      </c>
      <c r="BU24" s="174" t="n">
        <v>20706</v>
      </c>
      <c r="BV24" s="174" t="n">
        <v>21304</v>
      </c>
      <c r="BW24" s="174" t="n">
        <v>20264</v>
      </c>
      <c r="BX24" s="174" t="n">
        <v>20081</v>
      </c>
      <c r="BY24" s="6" t="n"/>
      <c r="BZ24" s="6" t="n"/>
      <c r="CA24" s="6" t="n"/>
      <c r="CB24" s="6" t="n"/>
      <c r="CC24" s="6" t="n"/>
      <c r="CD24" s="6" t="n"/>
      <c r="CE24" s="6" t="n"/>
      <c r="CF24" s="6" t="n"/>
      <c r="CN24" s="26" t="inlineStr">
        <is>
          <t xml:space="preserve">  FY26 interest expense (income), net ($m)</t>
        </is>
      </c>
      <c r="CP24" s="183" t="n">
        <v>-9</v>
      </c>
      <c r="CR24" s="14" t="inlineStr">
        <is>
          <t>1H/26 −$4.3m (interest income $4.7m on cash; $20m notes).</t>
        </is>
      </c>
    </row>
    <row r="25" ht="15" customHeight="1">
      <c r="B25" s="67" t="inlineStr">
        <is>
          <t xml:space="preserve">  Statistics basis (definition in force)</t>
        </is>
      </c>
      <c r="C25" s="185" t="inlineStr">
        <is>
          <t>To 2013: total tons &amp; shipments (LTL + truckload), revenue/cwt on the total basis; work days computed to 2011</t>
        </is>
      </c>
      <c r="J25" s="68" t="n"/>
      <c r="O25" s="185" t="inlineStr">
        <is>
          <t>From Q1-14: LTL tons, LTL shipments and LTL revenue/cwt (statistics exclude undelivered-freight adjustments &amp; non-weight services)</t>
        </is>
      </c>
      <c r="AJ25" s="68" t="n"/>
      <c r="AN25" s="68" t="n"/>
      <c r="BA25" s="68" t="n"/>
      <c r="BM25" s="68" t="n"/>
      <c r="BT25" s="68" t="n"/>
      <c r="BY25" s="6" t="n"/>
      <c r="BZ25" s="6" t="n"/>
      <c r="CA25" s="6" t="n"/>
      <c r="CB25" s="6" t="n"/>
      <c r="CC25" s="6" t="n"/>
      <c r="CD25" s="6" t="n"/>
      <c r="CE25" s="6" t="n"/>
      <c r="CF25" s="20" t="n"/>
      <c r="CN25" s="26" t="inlineStr">
        <is>
          <t xml:space="preserve">  Tax rate</t>
        </is>
      </c>
      <c r="CP25" s="184" t="n">
        <v>0.25</v>
      </c>
      <c r="CR25" s="14" t="inlineStr">
        <is>
          <t>1H/26 effective rate 25.0%; FY25 24.8%.</t>
        </is>
      </c>
    </row>
    <row r="26" ht="15" customHeight="1">
      <c r="CN26" s="26" t="inlineStr">
        <is>
          <t xml:space="preserve">  Capital expenditures ($m)</t>
        </is>
      </c>
      <c r="CP26" s="183" t="n">
        <v>380</v>
      </c>
      <c r="CR26" s="14" t="inlineStr">
        <is>
          <t>Q2-26 release: ~$380m (real estate &amp; service centers $180m; tractors &amp; trailers $155m; IT &amp; other $45m). 1H/26 $139.6m.</t>
        </is>
      </c>
    </row>
    <row r="27" ht="15" customHeight="1">
      <c r="B27" s="15" t="inlineStr">
        <is>
          <t>Yield — LTL revenue per hundredweight (ex-fuel + fuel surcharge; statistics exclude undelivered-freight revenue adjustments)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  <c r="AS27" s="15" t="n"/>
      <c r="AT27" s="15" t="n"/>
      <c r="AU27" s="15" t="n"/>
      <c r="AV27" s="15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5" t="n"/>
      <c r="BN27" s="15" t="n"/>
      <c r="BO27" s="15" t="n"/>
      <c r="BP27" s="15" t="n"/>
      <c r="BQ27" s="15" t="n"/>
      <c r="BR27" s="15" t="n"/>
      <c r="BS27" s="15" t="n"/>
      <c r="BT27" s="15" t="n"/>
      <c r="BU27" s="15" t="n"/>
      <c r="BV27" s="15" t="n"/>
      <c r="BW27" s="15" t="n"/>
      <c r="BX27" s="15" t="n"/>
      <c r="BY27" s="15" t="n"/>
      <c r="BZ27" s="15" t="n"/>
      <c r="CA27" s="15" t="n"/>
      <c r="CB27" s="15" t="n"/>
      <c r="CC27" s="15" t="n"/>
      <c r="CD27" s="15" t="n"/>
      <c r="CE27" s="15" t="n"/>
      <c r="CF27" s="16" t="inlineStr">
        <is>
          <t>YIELD — modelling logic</t>
        </is>
      </c>
    </row>
    <row r="28" ht="15" customHeight="1">
      <c r="B28" s="17" t="inlineStr">
        <is>
          <t xml:space="preserve">  LTL revenue per hundredweight, excluding fuel surcharges ($)</t>
        </is>
      </c>
      <c r="C28" s="186" t="n">
        <v>11.6</v>
      </c>
      <c r="D28" s="186" t="n">
        <v>11.65</v>
      </c>
      <c r="E28" s="186" t="n">
        <v>11.49</v>
      </c>
      <c r="F28" s="186" t="n">
        <v>11.49</v>
      </c>
      <c r="G28" s="186" t="n">
        <v>11.49</v>
      </c>
      <c r="H28" s="186" t="n">
        <v>12.31</v>
      </c>
      <c r="I28" s="186" t="n">
        <v>12.79</v>
      </c>
      <c r="J28" s="186" t="n">
        <v>12.89</v>
      </c>
      <c r="K28" s="186" t="n">
        <v>13.25</v>
      </c>
      <c r="L28" s="186" t="n">
        <v>13.54</v>
      </c>
      <c r="M28" s="186" t="n">
        <v>13.34</v>
      </c>
      <c r="N28" s="186" t="n">
        <v>13.3</v>
      </c>
      <c r="O28" s="186" t="n">
        <v>15.01</v>
      </c>
      <c r="P28" s="186" t="n">
        <v>15.34</v>
      </c>
      <c r="Q28" s="186" t="n">
        <v>15.64</v>
      </c>
      <c r="R28" s="186" t="n">
        <v>15.56</v>
      </c>
      <c r="S28" s="186" t="n">
        <v>15.4</v>
      </c>
      <c r="T28" s="186" t="n">
        <v>15.94</v>
      </c>
      <c r="U28" s="186" t="n">
        <v>16.16</v>
      </c>
      <c r="V28" s="186" t="n">
        <v>16.46</v>
      </c>
      <c r="W28" s="186" t="n">
        <v>16.51</v>
      </c>
      <c r="X28" s="186" t="n">
        <v>16.28</v>
      </c>
      <c r="Y28" s="186" t="n">
        <v>16.54</v>
      </c>
      <c r="Z28" s="186" t="n">
        <v>16.6</v>
      </c>
      <c r="AA28" s="186" t="n">
        <v>16.91</v>
      </c>
      <c r="AB28" s="186" t="n">
        <v>16.78</v>
      </c>
      <c r="AC28" s="186" t="n">
        <v>16.71</v>
      </c>
      <c r="AD28" s="186" t="n">
        <v>16.94</v>
      </c>
      <c r="AE28" s="186" t="n">
        <v>17.23</v>
      </c>
      <c r="AF28" s="186" t="n">
        <v>17.31</v>
      </c>
      <c r="AG28" s="186" t="n">
        <v>17.3</v>
      </c>
      <c r="AH28" s="186" t="n">
        <v>17.2</v>
      </c>
      <c r="AI28" s="186" t="n">
        <v>17.57</v>
      </c>
      <c r="AJ28" s="186" t="n">
        <v>17.94</v>
      </c>
      <c r="AK28" s="186" t="n">
        <v>18.86</v>
      </c>
      <c r="AL28" s="186" t="n">
        <v>19.16</v>
      </c>
      <c r="AM28" s="186" t="n">
        <v>18.38</v>
      </c>
      <c r="AN28" s="186" t="n">
        <v>19.26</v>
      </c>
      <c r="AO28" s="186" t="n">
        <v>19.73</v>
      </c>
      <c r="AP28" s="186" t="n">
        <v>19.95</v>
      </c>
      <c r="AQ28" s="186" t="n">
        <v>19.92</v>
      </c>
      <c r="AR28" s="186" t="n">
        <v>19.72</v>
      </c>
      <c r="AS28" s="186" t="n">
        <v>19.89</v>
      </c>
      <c r="AT28" s="186" t="n">
        <v>19.64</v>
      </c>
      <c r="AU28" s="186" t="n">
        <v>20.46</v>
      </c>
      <c r="AV28" s="186" t="n">
        <v>20.76</v>
      </c>
      <c r="AW28" s="186" t="n">
        <v>20.21</v>
      </c>
      <c r="AX28" s="186" t="n">
        <v>21.01</v>
      </c>
      <c r="AY28" s="186" t="n">
        <v>21.67</v>
      </c>
      <c r="AZ28" s="186" t="n">
        <v>22.52</v>
      </c>
      <c r="BA28" s="186" t="n">
        <v>22.67</v>
      </c>
      <c r="BB28" s="186" t="n">
        <v>21.99</v>
      </c>
      <c r="BC28" s="186" t="n">
        <v>23.11</v>
      </c>
      <c r="BD28" s="186" t="n">
        <v>23.69</v>
      </c>
      <c r="BE28" s="186" t="n">
        <v>24.15</v>
      </c>
      <c r="BF28" s="186" t="n">
        <v>24.65</v>
      </c>
      <c r="BG28" s="186" t="n">
        <v>23.87</v>
      </c>
      <c r="BH28" s="186" t="n">
        <v>25.09</v>
      </c>
      <c r="BI28" s="186" t="n">
        <v>25.5</v>
      </c>
      <c r="BJ28" s="186" t="n">
        <v>26.29</v>
      </c>
      <c r="BK28" s="186" t="n">
        <v>26.5</v>
      </c>
      <c r="BL28" s="186" t="n">
        <v>25.84</v>
      </c>
      <c r="BM28" s="186" t="n">
        <v>26.78</v>
      </c>
      <c r="BN28" s="186" t="n">
        <v>26.75</v>
      </c>
      <c r="BO28" s="186" t="n">
        <v>27.49</v>
      </c>
      <c r="BP28" s="186" t="n">
        <v>27.52</v>
      </c>
      <c r="BQ28" s="186" t="n">
        <v>27.13</v>
      </c>
      <c r="BR28" s="186" t="n">
        <v>27.89</v>
      </c>
      <c r="BS28" s="186" t="n">
        <v>28.17</v>
      </c>
      <c r="BT28" s="186" t="n">
        <v>28.78</v>
      </c>
      <c r="BU28" s="186" t="n">
        <v>28.88</v>
      </c>
      <c r="BV28" s="186" t="n">
        <v>28.42</v>
      </c>
      <c r="BW28" s="186" t="n">
        <v>29.13</v>
      </c>
      <c r="BX28" s="186" t="n">
        <v>29.71</v>
      </c>
      <c r="BY28" s="187">
        <f>BT28*(1+$CP$20)</f>
        <v/>
      </c>
      <c r="BZ28" s="187">
        <f>BY28*(1+CHOOSE(MATCH($CF$2,{"Bull","Base","Bear"},0),$CO$15,$CP$15,$CQ$15))</f>
        <v/>
      </c>
      <c r="CA28" s="187">
        <f>IFERROR(SUMPRODUCT(BW28:BZ28,BW15:BZ15)/SUM(BW15:BZ15),"")</f>
        <v/>
      </c>
      <c r="CB28" s="187">
        <f>CA28*(1+CB29)</f>
        <v/>
      </c>
      <c r="CC28" s="187">
        <f>CB28*(1+CC29)</f>
        <v/>
      </c>
      <c r="CD28" s="187">
        <f>CC28*(1+CD29)</f>
        <v/>
      </c>
      <c r="CE28" s="187">
        <f>CD28*(1+CE29)</f>
        <v/>
      </c>
      <c r="CF28" s="6" t="inlineStr">
        <is>
          <t>Q3/26E: Q3/25 × (1 + Jul–Aug quarter-to-date y/y from the 3-Sep-26 update, +4.8%). Q4/26E: Q3/26E × (1 + 2016–25 Q3→Q4 sequential change by scenario). 2027E+: scenario lever YXF. 2026E = tonnage-weighted average of the quarters.</t>
        </is>
      </c>
      <c r="CH28" s="21">
        <f>IFERROR((CE28/BV28)^(1/5)-1,"n/m")</f>
        <v/>
      </c>
      <c r="CI28" s="21">
        <f>IFERROR((BV28/AW28)^(1/5)-1,"n/m")</f>
        <v/>
      </c>
      <c r="CJ28" s="21">
        <f>IFERROR((BV28/X28)^(1/10)-1,"n/m")</f>
        <v/>
      </c>
      <c r="CK28" s="21">
        <f>IFERROR((BV28/C28)^(1/19)-1,"n/m")</f>
        <v/>
      </c>
      <c r="CN28" s="26" t="inlineStr">
        <is>
          <t xml:space="preserve">  Target cash balance ($m) — buyback plug 2027E+ (surplus cash returned)</t>
        </is>
      </c>
      <c r="CO28" s="183" t="n">
        <v>150</v>
      </c>
      <c r="CP28" s="183" t="n">
        <v>250</v>
      </c>
      <c r="CQ28" s="183" t="n">
        <v>400</v>
      </c>
      <c r="CR28" s="14" t="inlineStr">
        <is>
          <t>ODFL runs with minimal debt and returns surplus cash (cash $120m at YE25, $284m at 30-Jun-26). Target cash: Bull $150m / Base $250m / Bear $400m.</t>
        </is>
      </c>
    </row>
    <row r="29" ht="15" customHeight="1">
      <c r="B29" s="23" t="inlineStr">
        <is>
          <t xml:space="preserve">    y/y %</t>
        </is>
      </c>
      <c r="D29" s="180">
        <f>IF(AND(ISNUMBER(D28),ISNUMBER(C28)),IFERROR(D28/C28-1,""),"")</f>
        <v/>
      </c>
      <c r="E29" s="180">
        <f>IF(AND(ISNUMBER(E28),ISNUMBER(D28)),IFERROR(E28/D28-1,""),"")</f>
        <v/>
      </c>
      <c r="F29" s="180">
        <f>IF(AND(ISNUMBER(F28),ISNUMBER(E28)),IFERROR(F28/E28-1,""),"")</f>
        <v/>
      </c>
      <c r="G29" s="180">
        <f>IF(AND(ISNUMBER(G28),ISNUMBER(F28)),IFERROR(G28/F28-1,""),"")</f>
        <v/>
      </c>
      <c r="H29" s="180">
        <f>IF(AND(ISNUMBER(H28),ISNUMBER(G28)),IFERROR(H28/G28-1,""),"")</f>
        <v/>
      </c>
      <c r="I29" s="180">
        <f>IF(AND(ISNUMBER(I28),ISNUMBER(H28)),IFERROR(I28/H28-1,""),"")</f>
        <v/>
      </c>
      <c r="N29" s="180">
        <f>IF(AND(ISNUMBER(N28),ISNUMBER(I28)),IFERROR(N28/I28-1,""),"")</f>
        <v/>
      </c>
      <c r="O29" s="180">
        <f>IF(AND(ISNUMBER(O28),ISNUMBER(J28)),IFERROR(O28/J28-1,""),"")</f>
        <v/>
      </c>
      <c r="P29" s="180">
        <f>IF(AND(ISNUMBER(P28),ISNUMBER(K28)),IFERROR(P28/K28-1,""),"")</f>
        <v/>
      </c>
      <c r="Q29" s="180">
        <f>IF(AND(ISNUMBER(Q28),ISNUMBER(L28)),IFERROR(Q28/L28-1,""),"")</f>
        <v/>
      </c>
      <c r="R29" s="180">
        <f>IF(AND(ISNUMBER(R28),ISNUMBER(M28)),IFERROR(R28/M28-1,""),"")</f>
        <v/>
      </c>
      <c r="S29" s="180">
        <f>IF(AND(ISNUMBER(S28),ISNUMBER(N28)),IFERROR(S28/N28-1,""),"")</f>
        <v/>
      </c>
      <c r="T29" s="180">
        <f>IF(AND(ISNUMBER(T28),ISNUMBER(O28)),IFERROR(T28/O28-1,""),"")</f>
        <v/>
      </c>
      <c r="U29" s="180">
        <f>IF(AND(ISNUMBER(U28),ISNUMBER(P28)),IFERROR(U28/P28-1,""),"")</f>
        <v/>
      </c>
      <c r="V29" s="180">
        <f>IF(AND(ISNUMBER(V28),ISNUMBER(Q28)),IFERROR(V28/Q28-1,""),"")</f>
        <v/>
      </c>
      <c r="W29" s="180">
        <f>IF(AND(ISNUMBER(W28),ISNUMBER(R28)),IFERROR(W28/R28-1,""),"")</f>
        <v/>
      </c>
      <c r="X29" s="180">
        <f>IF(AND(ISNUMBER(X28),ISNUMBER(S28)),IFERROR(X28/S28-1,""),"")</f>
        <v/>
      </c>
      <c r="Y29" s="180">
        <f>IF(AND(ISNUMBER(Y28),ISNUMBER(T28)),IFERROR(Y28/T28-1,""),"")</f>
        <v/>
      </c>
      <c r="Z29" s="180">
        <f>IF(AND(ISNUMBER(Z28),ISNUMBER(U28)),IFERROR(Z28/U28-1,""),"")</f>
        <v/>
      </c>
      <c r="AA29" s="180">
        <f>IF(AND(ISNUMBER(AA28),ISNUMBER(V28)),IFERROR(AA28/V28-1,""),"")</f>
        <v/>
      </c>
      <c r="AB29" s="180">
        <f>IF(AND(ISNUMBER(AB28),ISNUMBER(W28)),IFERROR(AB28/W28-1,""),"")</f>
        <v/>
      </c>
      <c r="AC29" s="180">
        <f>IF(AND(ISNUMBER(AC28),ISNUMBER(X28)),IFERROR(AC28/X28-1,""),"")</f>
        <v/>
      </c>
      <c r="AD29" s="180">
        <f>IF(AND(ISNUMBER(AD28),ISNUMBER(Y28)),IFERROR(AD28/Y28-1,""),"")</f>
        <v/>
      </c>
      <c r="AE29" s="180">
        <f>IF(AND(ISNUMBER(AE28),ISNUMBER(Z28)),IFERROR(AE28/Z28-1,""),"")</f>
        <v/>
      </c>
      <c r="AF29" s="180">
        <f>IF(AND(ISNUMBER(AF28),ISNUMBER(AA28)),IFERROR(AF28/AA28-1,""),"")</f>
        <v/>
      </c>
      <c r="AG29" s="180">
        <f>IF(AND(ISNUMBER(AG28),ISNUMBER(AB28)),IFERROR(AG28/AB28-1,""),"")</f>
        <v/>
      </c>
      <c r="AH29" s="180">
        <f>IF(AND(ISNUMBER(AH28),ISNUMBER(AC28)),IFERROR(AH28/AC28-1,""),"")</f>
        <v/>
      </c>
      <c r="AI29" s="180">
        <f>IF(AND(ISNUMBER(AI28),ISNUMBER(AD28)),IFERROR(AI28/AD28-1,""),"")</f>
        <v/>
      </c>
      <c r="AJ29" s="180">
        <f>IF(AND(ISNUMBER(AJ28),ISNUMBER(AE28)),IFERROR(AJ28/AE28-1,""),"")</f>
        <v/>
      </c>
      <c r="AK29" s="180">
        <f>IF(AND(ISNUMBER(AK28),ISNUMBER(AF28)),IFERROR(AK28/AF28-1,""),"")</f>
        <v/>
      </c>
      <c r="AL29" s="180">
        <f>IF(AND(ISNUMBER(AL28),ISNUMBER(AG28)),IFERROR(AL28/AG28-1,""),"")</f>
        <v/>
      </c>
      <c r="AM29" s="180">
        <f>IF(AND(ISNUMBER(AM28),ISNUMBER(AH28)),IFERROR(AM28/AH28-1,""),"")</f>
        <v/>
      </c>
      <c r="AN29" s="180">
        <f>IF(AND(ISNUMBER(AN28),ISNUMBER(AI28)),IFERROR(AN28/AI28-1,""),"")</f>
        <v/>
      </c>
      <c r="AO29" s="180">
        <f>IF(AND(ISNUMBER(AO28),ISNUMBER(AJ28)),IFERROR(AO28/AJ28-1,""),"")</f>
        <v/>
      </c>
      <c r="AP29" s="180">
        <f>IF(AND(ISNUMBER(AP28),ISNUMBER(AK28)),IFERROR(AP28/AK28-1,""),"")</f>
        <v/>
      </c>
      <c r="AQ29" s="180">
        <f>IF(AND(ISNUMBER(AQ28),ISNUMBER(AL28)),IFERROR(AQ28/AL28-1,""),"")</f>
        <v/>
      </c>
      <c r="AR29" s="180">
        <f>IF(AND(ISNUMBER(AR28),ISNUMBER(AM28)),IFERROR(AR28/AM28-1,""),"")</f>
        <v/>
      </c>
      <c r="AS29" s="180">
        <f>IF(AND(ISNUMBER(AS28),ISNUMBER(AN28)),IFERROR(AS28/AN28-1,""),"")</f>
        <v/>
      </c>
      <c r="AT29" s="180">
        <f>IF(AND(ISNUMBER(AT28),ISNUMBER(AO28)),IFERROR(AT28/AO28-1,""),"")</f>
        <v/>
      </c>
      <c r="AU29" s="180">
        <f>IF(AND(ISNUMBER(AU28),ISNUMBER(AP28)),IFERROR(AU28/AP28-1,""),"")</f>
        <v/>
      </c>
      <c r="AV29" s="180">
        <f>IF(AND(ISNUMBER(AV28),ISNUMBER(AQ28)),IFERROR(AV28/AQ28-1,""),"")</f>
        <v/>
      </c>
      <c r="AW29" s="180">
        <f>IF(AND(ISNUMBER(AW28),ISNUMBER(AR28)),IFERROR(AW28/AR28-1,""),"")</f>
        <v/>
      </c>
      <c r="AX29" s="180">
        <f>IF(AND(ISNUMBER(AX28),ISNUMBER(AS28)),IFERROR(AX28/AS28-1,""),"")</f>
        <v/>
      </c>
      <c r="AY29" s="180">
        <f>IF(AND(ISNUMBER(AY28),ISNUMBER(AT28)),IFERROR(AY28/AT28-1,""),"")</f>
        <v/>
      </c>
      <c r="AZ29" s="180">
        <f>IF(AND(ISNUMBER(AZ28),ISNUMBER(AU28)),IFERROR(AZ28/AU28-1,""),"")</f>
        <v/>
      </c>
      <c r="BA29" s="180">
        <f>IF(AND(ISNUMBER(BA28),ISNUMBER(AV28)),IFERROR(BA28/AV28-1,""),"")</f>
        <v/>
      </c>
      <c r="BB29" s="180">
        <f>IF(AND(ISNUMBER(BB28),ISNUMBER(AW28)),IFERROR(BB28/AW28-1,""),"")</f>
        <v/>
      </c>
      <c r="BC29" s="180">
        <f>IF(AND(ISNUMBER(BC28),ISNUMBER(AX28)),IFERROR(BC28/AX28-1,""),"")</f>
        <v/>
      </c>
      <c r="BD29" s="180">
        <f>IF(AND(ISNUMBER(BD28),ISNUMBER(AY28)),IFERROR(BD28/AY28-1,""),"")</f>
        <v/>
      </c>
      <c r="BE29" s="180">
        <f>IF(AND(ISNUMBER(BE28),ISNUMBER(AZ28)),IFERROR(BE28/AZ28-1,""),"")</f>
        <v/>
      </c>
      <c r="BF29" s="180">
        <f>IF(AND(ISNUMBER(BF28),ISNUMBER(BA28)),IFERROR(BF28/BA28-1,""),"")</f>
        <v/>
      </c>
      <c r="BG29" s="180">
        <f>IF(AND(ISNUMBER(BG28),ISNUMBER(BB28)),IFERROR(BG28/BB28-1,""),"")</f>
        <v/>
      </c>
      <c r="BH29" s="180">
        <f>IF(AND(ISNUMBER(BH28),ISNUMBER(BC28)),IFERROR(BH28/BC28-1,""),"")</f>
        <v/>
      </c>
      <c r="BI29" s="180">
        <f>IF(AND(ISNUMBER(BI28),ISNUMBER(BD28)),IFERROR(BI28/BD28-1,""),"")</f>
        <v/>
      </c>
      <c r="BJ29" s="180">
        <f>IF(AND(ISNUMBER(BJ28),ISNUMBER(BE28)),IFERROR(BJ28/BE28-1,""),"")</f>
        <v/>
      </c>
      <c r="BK29" s="180">
        <f>IF(AND(ISNUMBER(BK28),ISNUMBER(BF28)),IFERROR(BK28/BF28-1,""),"")</f>
        <v/>
      </c>
      <c r="BL29" s="180">
        <f>IF(AND(ISNUMBER(BL28),ISNUMBER(BG28)),IFERROR(BL28/BG28-1,""),"")</f>
        <v/>
      </c>
      <c r="BM29" s="180">
        <f>IF(AND(ISNUMBER(BM28),ISNUMBER(BH28)),IFERROR(BM28/BH28-1,""),"")</f>
        <v/>
      </c>
      <c r="BN29" s="180">
        <f>IF(AND(ISNUMBER(BN28),ISNUMBER(BI28)),IFERROR(BN28/BI28-1,""),"")</f>
        <v/>
      </c>
      <c r="BO29" s="180">
        <f>IF(AND(ISNUMBER(BO28),ISNUMBER(BJ28)),IFERROR(BO28/BJ28-1,""),"")</f>
        <v/>
      </c>
      <c r="BP29" s="180">
        <f>IF(AND(ISNUMBER(BP28),ISNUMBER(BK28)),IFERROR(BP28/BK28-1,""),"")</f>
        <v/>
      </c>
      <c r="BQ29" s="180">
        <f>IF(AND(ISNUMBER(BQ28),ISNUMBER(BL28)),IFERROR(BQ28/BL28-1,""),"")</f>
        <v/>
      </c>
      <c r="BR29" s="180">
        <f>IF(AND(ISNUMBER(BR28),ISNUMBER(BM28)),IFERROR(BR28/BM28-1,""),"")</f>
        <v/>
      </c>
      <c r="BS29" s="180">
        <f>IF(AND(ISNUMBER(BS28),ISNUMBER(BN28)),IFERROR(BS28/BN28-1,""),"")</f>
        <v/>
      </c>
      <c r="BT29" s="180">
        <f>IF(AND(ISNUMBER(BT28),ISNUMBER(BO28)),IFERROR(BT28/BO28-1,""),"")</f>
        <v/>
      </c>
      <c r="BU29" s="180">
        <f>IF(AND(ISNUMBER(BU28),ISNUMBER(BP28)),IFERROR(BU28/BP28-1,""),"")</f>
        <v/>
      </c>
      <c r="BV29" s="180">
        <f>IF(AND(ISNUMBER(BV28),ISNUMBER(BQ28)),IFERROR(BV28/BQ28-1,""),"")</f>
        <v/>
      </c>
      <c r="BW29" s="180">
        <f>IF(AND(ISNUMBER(BW28),ISNUMBER(BR28)),IFERROR(BW28/BR28-1,""),"")</f>
        <v/>
      </c>
      <c r="BX29" s="180">
        <f>IF(AND(ISNUMBER(BX28),ISNUMBER(BS28)),IFERROR(BX28/BS28-1,""),"")</f>
        <v/>
      </c>
      <c r="BY29" s="181">
        <f>IF(AND(ISNUMBER(BY28),ISNUMBER(BT28)),IFERROR(BY28/BT28-1,""),"")</f>
        <v/>
      </c>
      <c r="BZ29" s="181">
        <f>IF(AND(ISNUMBER(BZ28),ISNUMBER(BU28)),IFERROR(BZ28/BU28-1,""),"")</f>
        <v/>
      </c>
      <c r="CA29" s="181">
        <f>IF(AND(ISNUMBER(CA28),ISNUMBER(BV28)),IFERROR(CA28/BV28-1,""),"")</f>
        <v/>
      </c>
      <c r="CB29" s="181">
        <f>CHOOSE(MATCH($CF$2,{"Bull","Base","Bear"},0),$CO$36,$CP$36,$CQ$36)</f>
        <v/>
      </c>
      <c r="CC29" s="181">
        <f>CHOOSE(MATCH($CF$2,{"Bull","Base","Bear"},0),$CO$37,$CP$37,$CQ$37)</f>
        <v/>
      </c>
      <c r="CD29" s="181">
        <f>CHOOSE(MATCH($CF$2,{"Bull","Base","Bear"},0),$CO$38,$CP$38,$CQ$38)</f>
        <v/>
      </c>
      <c r="CE29" s="181">
        <f>CHOOSE(MATCH($CF$2,{"Bull","Base","Bear"},0),$CO$39,$CP$39,$CQ$39)</f>
        <v/>
      </c>
      <c r="CF29" s="6" t="n"/>
      <c r="CH29" s="39">
        <f>IFERROR(AVERAGE(CA29,CB29,CC29,CD29,CE29),"n/m")</f>
        <v/>
      </c>
      <c r="CI29" s="39">
        <f>IFERROR(AVERAGE(BB29,BG29,BL29,BQ29,BV29),"n/m")</f>
        <v/>
      </c>
      <c r="CJ29" s="39">
        <f>IFERROR(AVERAGE(AC29,AH29,AM29,AR29,AW29,BB29,BG29,BL29,BQ29,BV29),"n/m")</f>
        <v/>
      </c>
      <c r="CK29" s="39">
        <f>IFERROR(AVERAGE(C29,D29,E29,F29,G29,H29,I29,N29,S29,X29,AC29,AH29,AM29,AR29,AW29,BB29,BG29,BL29,BQ29,BV29),"n/m")</f>
        <v/>
      </c>
    </row>
    <row r="30" ht="15" customHeight="1">
      <c r="B30" s="23" t="inlineStr">
        <is>
          <t xml:space="preserve">    sequential % (vs prior quarter)</t>
        </is>
      </c>
      <c r="D30" s="24" t="n"/>
      <c r="E30" s="24" t="n"/>
      <c r="F30" s="24" t="n"/>
      <c r="G30" s="24" t="n"/>
      <c r="H30" s="24" t="n"/>
      <c r="I30" s="24" t="n"/>
      <c r="K30" s="182">
        <f>IF(AND(ISNUMBER(K28),ISNUMBER(J28)),IFERROR(K28/J28-1,""),"")</f>
        <v/>
      </c>
      <c r="L30" s="182">
        <f>IF(AND(ISNUMBER(L28),ISNUMBER(K28)),IFERROR(L28/K28-1,""),"")</f>
        <v/>
      </c>
      <c r="M30" s="182">
        <f>IF(AND(ISNUMBER(M28),ISNUMBER(L28)),IFERROR(M28/L28-1,""),"")</f>
        <v/>
      </c>
      <c r="N30" s="24" t="n"/>
      <c r="O30" s="180">
        <f>IF(AND(ISNUMBER(O28),ISNUMBER(M28)),IFERROR(O28/M28-1,""),"")</f>
        <v/>
      </c>
      <c r="P30" s="180">
        <f>IF(AND(ISNUMBER(P28),ISNUMBER(O28)),IFERROR(P28/O28-1,""),"")</f>
        <v/>
      </c>
      <c r="Q30" s="180">
        <f>IF(AND(ISNUMBER(Q28),ISNUMBER(P28)),IFERROR(Q28/P28-1,""),"")</f>
        <v/>
      </c>
      <c r="R30" s="180">
        <f>IF(AND(ISNUMBER(R28),ISNUMBER(Q28)),IFERROR(R28/Q28-1,""),"")</f>
        <v/>
      </c>
      <c r="S30" s="24" t="n"/>
      <c r="T30" s="180">
        <f>IF(AND(ISNUMBER(T28),ISNUMBER(R28)),IFERROR(T28/R28-1,""),"")</f>
        <v/>
      </c>
      <c r="U30" s="180">
        <f>IF(AND(ISNUMBER(U28),ISNUMBER(T28)),IFERROR(U28/T28-1,""),"")</f>
        <v/>
      </c>
      <c r="V30" s="180">
        <f>IF(AND(ISNUMBER(V28),ISNUMBER(U28)),IFERROR(V28/U28-1,""),"")</f>
        <v/>
      </c>
      <c r="W30" s="180">
        <f>IF(AND(ISNUMBER(W28),ISNUMBER(V28)),IFERROR(W28/V28-1,""),"")</f>
        <v/>
      </c>
      <c r="X30" s="24" t="n"/>
      <c r="Y30" s="180">
        <f>IF(AND(ISNUMBER(Y28),ISNUMBER(W28)),IFERROR(Y28/W28-1,""),"")</f>
        <v/>
      </c>
      <c r="Z30" s="180">
        <f>IF(AND(ISNUMBER(Z28),ISNUMBER(Y28)),IFERROR(Z28/Y28-1,""),"")</f>
        <v/>
      </c>
      <c r="AA30" s="180">
        <f>IF(AND(ISNUMBER(AA28),ISNUMBER(Z28)),IFERROR(AA28/Z28-1,""),"")</f>
        <v/>
      </c>
      <c r="AB30" s="180">
        <f>IF(AND(ISNUMBER(AB28),ISNUMBER(AA28)),IFERROR(AB28/AA28-1,""),"")</f>
        <v/>
      </c>
      <c r="AC30" s="24" t="n"/>
      <c r="AD30" s="180">
        <f>IF(AND(ISNUMBER(AD28),ISNUMBER(AB28)),IFERROR(AD28/AB28-1,""),"")</f>
        <v/>
      </c>
      <c r="AE30" s="180">
        <f>IF(AND(ISNUMBER(AE28),ISNUMBER(AD28)),IFERROR(AE28/AD28-1,""),"")</f>
        <v/>
      </c>
      <c r="AF30" s="180">
        <f>IF(AND(ISNUMBER(AF28),ISNUMBER(AE28)),IFERROR(AF28/AE28-1,""),"")</f>
        <v/>
      </c>
      <c r="AG30" s="180">
        <f>IF(AND(ISNUMBER(AG28),ISNUMBER(AF28)),IFERROR(AG28/AF28-1,""),"")</f>
        <v/>
      </c>
      <c r="AH30" s="24" t="n"/>
      <c r="AI30" s="180">
        <f>IF(AND(ISNUMBER(AI28),ISNUMBER(AG28)),IFERROR(AI28/AG28-1,""),"")</f>
        <v/>
      </c>
      <c r="AJ30" s="180">
        <f>IF(AND(ISNUMBER(AJ28),ISNUMBER(AI28)),IFERROR(AJ28/AI28-1,""),"")</f>
        <v/>
      </c>
      <c r="AK30" s="180">
        <f>IF(AND(ISNUMBER(AK28),ISNUMBER(AJ28)),IFERROR(AK28/AJ28-1,""),"")</f>
        <v/>
      </c>
      <c r="AL30" s="180">
        <f>IF(AND(ISNUMBER(AL28),ISNUMBER(AK28)),IFERROR(AL28/AK28-1,""),"")</f>
        <v/>
      </c>
      <c r="AM30" s="24" t="n"/>
      <c r="AN30" s="180">
        <f>IF(AND(ISNUMBER(AN28),ISNUMBER(AL28)),IFERROR(AN28/AL28-1,""),"")</f>
        <v/>
      </c>
      <c r="AO30" s="180">
        <f>IF(AND(ISNUMBER(AO28),ISNUMBER(AN28)),IFERROR(AO28/AN28-1,""),"")</f>
        <v/>
      </c>
      <c r="AP30" s="180">
        <f>IF(AND(ISNUMBER(AP28),ISNUMBER(AO28)),IFERROR(AP28/AO28-1,""),"")</f>
        <v/>
      </c>
      <c r="AQ30" s="180">
        <f>IF(AND(ISNUMBER(AQ28),ISNUMBER(AP28)),IFERROR(AQ28/AP28-1,""),"")</f>
        <v/>
      </c>
      <c r="AR30" s="24" t="n"/>
      <c r="AS30" s="180">
        <f>IF(AND(ISNUMBER(AS28),ISNUMBER(AQ28)),IFERROR(AS28/AQ28-1,""),"")</f>
        <v/>
      </c>
      <c r="AT30" s="180">
        <f>IF(AND(ISNUMBER(AT28),ISNUMBER(AS28)),IFERROR(AT28/AS28-1,""),"")</f>
        <v/>
      </c>
      <c r="AU30" s="180">
        <f>IF(AND(ISNUMBER(AU28),ISNUMBER(AT28)),IFERROR(AU28/AT28-1,""),"")</f>
        <v/>
      </c>
      <c r="AV30" s="180">
        <f>IF(AND(ISNUMBER(AV28),ISNUMBER(AU28)),IFERROR(AV28/AU28-1,""),"")</f>
        <v/>
      </c>
      <c r="AW30" s="24" t="n"/>
      <c r="AX30" s="180">
        <f>IF(AND(ISNUMBER(AX28),ISNUMBER(AV28)),IFERROR(AX28/AV28-1,""),"")</f>
        <v/>
      </c>
      <c r="AY30" s="180">
        <f>IF(AND(ISNUMBER(AY28),ISNUMBER(AX28)),IFERROR(AY28/AX28-1,""),"")</f>
        <v/>
      </c>
      <c r="AZ30" s="180">
        <f>IF(AND(ISNUMBER(AZ28),ISNUMBER(AY28)),IFERROR(AZ28/AY28-1,""),"")</f>
        <v/>
      </c>
      <c r="BA30" s="180">
        <f>IF(AND(ISNUMBER(BA28),ISNUMBER(AZ28)),IFERROR(BA28/AZ28-1,""),"")</f>
        <v/>
      </c>
      <c r="BB30" s="24" t="n"/>
      <c r="BC30" s="180">
        <f>IF(AND(ISNUMBER(BC28),ISNUMBER(BA28)),IFERROR(BC28/BA28-1,""),"")</f>
        <v/>
      </c>
      <c r="BD30" s="180">
        <f>IF(AND(ISNUMBER(BD28),ISNUMBER(BC28)),IFERROR(BD28/BC28-1,""),"")</f>
        <v/>
      </c>
      <c r="BE30" s="180">
        <f>IF(AND(ISNUMBER(BE28),ISNUMBER(BD28)),IFERROR(BE28/BD28-1,""),"")</f>
        <v/>
      </c>
      <c r="BF30" s="180">
        <f>IF(AND(ISNUMBER(BF28),ISNUMBER(BE28)),IFERROR(BF28/BE28-1,""),"")</f>
        <v/>
      </c>
      <c r="BG30" s="24" t="n"/>
      <c r="BH30" s="180">
        <f>IF(AND(ISNUMBER(BH28),ISNUMBER(BF28)),IFERROR(BH28/BF28-1,""),"")</f>
        <v/>
      </c>
      <c r="BI30" s="180">
        <f>IF(AND(ISNUMBER(BI28),ISNUMBER(BH28)),IFERROR(BI28/BH28-1,""),"")</f>
        <v/>
      </c>
      <c r="BJ30" s="180">
        <f>IF(AND(ISNUMBER(BJ28),ISNUMBER(BI28)),IFERROR(BJ28/BI28-1,""),"")</f>
        <v/>
      </c>
      <c r="BK30" s="180">
        <f>IF(AND(ISNUMBER(BK28),ISNUMBER(BJ28)),IFERROR(BK28/BJ28-1,""),"")</f>
        <v/>
      </c>
      <c r="BL30" s="24" t="n"/>
      <c r="BM30" s="180">
        <f>IF(AND(ISNUMBER(BM28),ISNUMBER(BK28)),IFERROR(BM28/BK28-1,""),"")</f>
        <v/>
      </c>
      <c r="BN30" s="180">
        <f>IF(AND(ISNUMBER(BN28),ISNUMBER(BM28)),IFERROR(BN28/BM28-1,""),"")</f>
        <v/>
      </c>
      <c r="BO30" s="180">
        <f>IF(AND(ISNUMBER(BO28),ISNUMBER(BN28)),IFERROR(BO28/BN28-1,""),"")</f>
        <v/>
      </c>
      <c r="BP30" s="180">
        <f>IF(AND(ISNUMBER(BP28),ISNUMBER(BO28)),IFERROR(BP28/BO28-1,""),"")</f>
        <v/>
      </c>
      <c r="BQ30" s="24" t="n"/>
      <c r="BR30" s="180">
        <f>IF(AND(ISNUMBER(BR28),ISNUMBER(BP28)),IFERROR(BR28/BP28-1,""),"")</f>
        <v/>
      </c>
      <c r="BS30" s="180">
        <f>IF(AND(ISNUMBER(BS28),ISNUMBER(BR28)),IFERROR(BS28/BR28-1,""),"")</f>
        <v/>
      </c>
      <c r="BT30" s="180">
        <f>IF(AND(ISNUMBER(BT28),ISNUMBER(BS28)),IFERROR(BT28/BS28-1,""),"")</f>
        <v/>
      </c>
      <c r="BU30" s="180">
        <f>IF(AND(ISNUMBER(BU28),ISNUMBER(BT28)),IFERROR(BU28/BT28-1,""),"")</f>
        <v/>
      </c>
      <c r="BV30" s="24" t="n"/>
      <c r="BW30" s="180">
        <f>IF(AND(ISNUMBER(BW28),ISNUMBER(BU28)),IFERROR(BW28/BU28-1,""),"")</f>
        <v/>
      </c>
      <c r="BX30" s="180">
        <f>IF(AND(ISNUMBER(BX28),ISNUMBER(BW28)),IFERROR(BX28/BW28-1,""),"")</f>
        <v/>
      </c>
      <c r="BY30" s="181">
        <f>IF(AND(ISNUMBER(BY28),ISNUMBER(BX28)),IFERROR(BY28/BX28-1,""),"")</f>
        <v/>
      </c>
      <c r="BZ30" s="181">
        <f>IF(AND(ISNUMBER(BZ28),ISNUMBER(BY28)),IFERROR(BZ28/BY28-1,""),"")</f>
        <v/>
      </c>
      <c r="CA30" s="25" t="n"/>
      <c r="CB30" s="25" t="n"/>
      <c r="CC30" s="25" t="n"/>
      <c r="CD30" s="25" t="n"/>
      <c r="CE30" s="25" t="n"/>
      <c r="CF30" s="6" t="n"/>
      <c r="CN30" s="16" t="inlineStr">
        <is>
          <t>TPD (LTL tons per day y/y)</t>
        </is>
      </c>
      <c r="CO30" s="44" t="n">
        <v>0.02</v>
      </c>
      <c r="CP30" s="22" t="inlineStr">
        <is>
          <t>Δ →</t>
        </is>
      </c>
      <c r="CQ30" s="44" t="n">
        <v>-0.03</v>
      </c>
      <c r="CR30" s="14" t="inlineStr">
        <is>
          <t>Freight-cycle recovery from the 2023–26 industrial recession (tons/day −15% from the 2022 peak) and share gains on service (99% on-time, 0.1% claims ratio).</t>
        </is>
      </c>
    </row>
    <row r="31" ht="15" customHeight="1">
      <c r="B31" s="26" t="inlineStr">
        <is>
          <t xml:space="preserve">  Fuel surcharge per hundredweight ($)</t>
        </is>
      </c>
      <c r="C31" s="188">
        <f>IF(AND(ISNUMBER(C33),ISNUMBER(C28)),C33-C28,"")</f>
        <v/>
      </c>
      <c r="D31" s="188">
        <f>IF(AND(ISNUMBER(D33),ISNUMBER(D28)),D33-D28,"")</f>
        <v/>
      </c>
      <c r="E31" s="188">
        <f>IF(AND(ISNUMBER(E33),ISNUMBER(E28)),E33-E28,"")</f>
        <v/>
      </c>
      <c r="F31" s="188">
        <f>IF(AND(ISNUMBER(F33),ISNUMBER(F28)),F33-F28,"")</f>
        <v/>
      </c>
      <c r="G31" s="188">
        <f>IF(AND(ISNUMBER(G33),ISNUMBER(G28)),G33-G28,"")</f>
        <v/>
      </c>
      <c r="H31" s="188">
        <f>IF(AND(ISNUMBER(H33),ISNUMBER(H28)),H33-H28,"")</f>
        <v/>
      </c>
      <c r="I31" s="188">
        <f>IF(AND(ISNUMBER(I33),ISNUMBER(I28)),I33-I28,"")</f>
        <v/>
      </c>
      <c r="J31" s="188">
        <f>IF(AND(ISNUMBER(J33),ISNUMBER(J28)),J33-J28,"")</f>
        <v/>
      </c>
      <c r="K31" s="188">
        <f>IF(AND(ISNUMBER(K33),ISNUMBER(K28)),K33-K28,"")</f>
        <v/>
      </c>
      <c r="L31" s="188">
        <f>IF(AND(ISNUMBER(L33),ISNUMBER(L28)),L33-L28,"")</f>
        <v/>
      </c>
      <c r="M31" s="188">
        <f>IF(AND(ISNUMBER(M33),ISNUMBER(M28)),M33-M28,"")</f>
        <v/>
      </c>
      <c r="N31" s="188">
        <f>IF(AND(ISNUMBER(N33),ISNUMBER(N28)),N33-N28,"")</f>
        <v/>
      </c>
      <c r="O31" s="188">
        <f>IF(AND(ISNUMBER(O33),ISNUMBER(O28)),O33-O28,"")</f>
        <v/>
      </c>
      <c r="P31" s="188">
        <f>IF(AND(ISNUMBER(P33),ISNUMBER(P28)),P33-P28,"")</f>
        <v/>
      </c>
      <c r="Q31" s="188">
        <f>IF(AND(ISNUMBER(Q33),ISNUMBER(Q28)),Q33-Q28,"")</f>
        <v/>
      </c>
      <c r="R31" s="188">
        <f>IF(AND(ISNUMBER(R33),ISNUMBER(R28)),R33-R28,"")</f>
        <v/>
      </c>
      <c r="S31" s="188">
        <f>IF(AND(ISNUMBER(S33),ISNUMBER(S28)),S33-S28,"")</f>
        <v/>
      </c>
      <c r="T31" s="188">
        <f>IF(AND(ISNUMBER(T33),ISNUMBER(T28)),T33-T28,"")</f>
        <v/>
      </c>
      <c r="U31" s="188">
        <f>IF(AND(ISNUMBER(U33),ISNUMBER(U28)),U33-U28,"")</f>
        <v/>
      </c>
      <c r="V31" s="188">
        <f>IF(AND(ISNUMBER(V33),ISNUMBER(V28)),V33-V28,"")</f>
        <v/>
      </c>
      <c r="W31" s="188">
        <f>IF(AND(ISNUMBER(W33),ISNUMBER(W28)),W33-W28,"")</f>
        <v/>
      </c>
      <c r="X31" s="188">
        <f>IF(AND(ISNUMBER(X33),ISNUMBER(X28)),X33-X28,"")</f>
        <v/>
      </c>
      <c r="Y31" s="188">
        <f>IF(AND(ISNUMBER(Y33),ISNUMBER(Y28)),Y33-Y28,"")</f>
        <v/>
      </c>
      <c r="Z31" s="188">
        <f>IF(AND(ISNUMBER(Z33),ISNUMBER(Z28)),Z33-Z28,"")</f>
        <v/>
      </c>
      <c r="AA31" s="188">
        <f>IF(AND(ISNUMBER(AA33),ISNUMBER(AA28)),AA33-AA28,"")</f>
        <v/>
      </c>
      <c r="AB31" s="188">
        <f>IF(AND(ISNUMBER(AB33),ISNUMBER(AB28)),AB33-AB28,"")</f>
        <v/>
      </c>
      <c r="AC31" s="188">
        <f>IF(AND(ISNUMBER(AC33),ISNUMBER(AC28)),AC33-AC28,"")</f>
        <v/>
      </c>
      <c r="AD31" s="188">
        <f>IF(AND(ISNUMBER(AD33),ISNUMBER(AD28)),AD33-AD28,"")</f>
        <v/>
      </c>
      <c r="AE31" s="188">
        <f>IF(AND(ISNUMBER(AE33),ISNUMBER(AE28)),AE33-AE28,"")</f>
        <v/>
      </c>
      <c r="AF31" s="188">
        <f>IF(AND(ISNUMBER(AF33),ISNUMBER(AF28)),AF33-AF28,"")</f>
        <v/>
      </c>
      <c r="AG31" s="188">
        <f>IF(AND(ISNUMBER(AG33),ISNUMBER(AG28)),AG33-AG28,"")</f>
        <v/>
      </c>
      <c r="AH31" s="188">
        <f>IF(AND(ISNUMBER(AH33),ISNUMBER(AH28)),AH33-AH28,"")</f>
        <v/>
      </c>
      <c r="AI31" s="188">
        <f>IF(AND(ISNUMBER(AI33),ISNUMBER(AI28)),AI33-AI28,"")</f>
        <v/>
      </c>
      <c r="AJ31" s="188">
        <f>IF(AND(ISNUMBER(AJ33),ISNUMBER(AJ28)),AJ33-AJ28,"")</f>
        <v/>
      </c>
      <c r="AK31" s="188">
        <f>IF(AND(ISNUMBER(AK33),ISNUMBER(AK28)),AK33-AK28,"")</f>
        <v/>
      </c>
      <c r="AL31" s="188">
        <f>IF(AND(ISNUMBER(AL33),ISNUMBER(AL28)),AL33-AL28,"")</f>
        <v/>
      </c>
      <c r="AM31" s="188">
        <f>IF(AND(ISNUMBER(AM33),ISNUMBER(AM28)),AM33-AM28,"")</f>
        <v/>
      </c>
      <c r="AN31" s="188">
        <f>IF(AND(ISNUMBER(AN33),ISNUMBER(AN28)),AN33-AN28,"")</f>
        <v/>
      </c>
      <c r="AO31" s="188">
        <f>IF(AND(ISNUMBER(AO33),ISNUMBER(AO28)),AO33-AO28,"")</f>
        <v/>
      </c>
      <c r="AP31" s="188">
        <f>IF(AND(ISNUMBER(AP33),ISNUMBER(AP28)),AP33-AP28,"")</f>
        <v/>
      </c>
      <c r="AQ31" s="188">
        <f>IF(AND(ISNUMBER(AQ33),ISNUMBER(AQ28)),AQ33-AQ28,"")</f>
        <v/>
      </c>
      <c r="AR31" s="188">
        <f>IF(AND(ISNUMBER(AR33),ISNUMBER(AR28)),AR33-AR28,"")</f>
        <v/>
      </c>
      <c r="AS31" s="188">
        <f>IF(AND(ISNUMBER(AS33),ISNUMBER(AS28)),AS33-AS28,"")</f>
        <v/>
      </c>
      <c r="AT31" s="188">
        <f>IF(AND(ISNUMBER(AT33),ISNUMBER(AT28)),AT33-AT28,"")</f>
        <v/>
      </c>
      <c r="AU31" s="188">
        <f>IF(AND(ISNUMBER(AU33),ISNUMBER(AU28)),AU33-AU28,"")</f>
        <v/>
      </c>
      <c r="AV31" s="188">
        <f>IF(AND(ISNUMBER(AV33),ISNUMBER(AV28)),AV33-AV28,"")</f>
        <v/>
      </c>
      <c r="AW31" s="188">
        <f>IF(AND(ISNUMBER(AW33),ISNUMBER(AW28)),AW33-AW28,"")</f>
        <v/>
      </c>
      <c r="AX31" s="188">
        <f>IF(AND(ISNUMBER(AX33),ISNUMBER(AX28)),AX33-AX28,"")</f>
        <v/>
      </c>
      <c r="AY31" s="188">
        <f>IF(AND(ISNUMBER(AY33),ISNUMBER(AY28)),AY33-AY28,"")</f>
        <v/>
      </c>
      <c r="AZ31" s="188">
        <f>IF(AND(ISNUMBER(AZ33),ISNUMBER(AZ28)),AZ33-AZ28,"")</f>
        <v/>
      </c>
      <c r="BA31" s="188">
        <f>IF(AND(ISNUMBER(BA33),ISNUMBER(BA28)),BA33-BA28,"")</f>
        <v/>
      </c>
      <c r="BB31" s="188">
        <f>IF(AND(ISNUMBER(BB33),ISNUMBER(BB28)),BB33-BB28,"")</f>
        <v/>
      </c>
      <c r="BC31" s="188">
        <f>IF(AND(ISNUMBER(BC33),ISNUMBER(BC28)),BC33-BC28,"")</f>
        <v/>
      </c>
      <c r="BD31" s="188">
        <f>IF(AND(ISNUMBER(BD33),ISNUMBER(BD28)),BD33-BD28,"")</f>
        <v/>
      </c>
      <c r="BE31" s="188">
        <f>IF(AND(ISNUMBER(BE33),ISNUMBER(BE28)),BE33-BE28,"")</f>
        <v/>
      </c>
      <c r="BF31" s="188">
        <f>IF(AND(ISNUMBER(BF33),ISNUMBER(BF28)),BF33-BF28,"")</f>
        <v/>
      </c>
      <c r="BG31" s="188">
        <f>IF(AND(ISNUMBER(BG33),ISNUMBER(BG28)),BG33-BG28,"")</f>
        <v/>
      </c>
      <c r="BH31" s="188">
        <f>IF(AND(ISNUMBER(BH33),ISNUMBER(BH28)),BH33-BH28,"")</f>
        <v/>
      </c>
      <c r="BI31" s="188">
        <f>IF(AND(ISNUMBER(BI33),ISNUMBER(BI28)),BI33-BI28,"")</f>
        <v/>
      </c>
      <c r="BJ31" s="188">
        <f>IF(AND(ISNUMBER(BJ33),ISNUMBER(BJ28)),BJ33-BJ28,"")</f>
        <v/>
      </c>
      <c r="BK31" s="188">
        <f>IF(AND(ISNUMBER(BK33),ISNUMBER(BK28)),BK33-BK28,"")</f>
        <v/>
      </c>
      <c r="BL31" s="188">
        <f>IF(AND(ISNUMBER(BL33),ISNUMBER(BL28)),BL33-BL28,"")</f>
        <v/>
      </c>
      <c r="BM31" s="188">
        <f>IF(AND(ISNUMBER(BM33),ISNUMBER(BM28)),BM33-BM28,"")</f>
        <v/>
      </c>
      <c r="BN31" s="188">
        <f>IF(AND(ISNUMBER(BN33),ISNUMBER(BN28)),BN33-BN28,"")</f>
        <v/>
      </c>
      <c r="BO31" s="188">
        <f>IF(AND(ISNUMBER(BO33),ISNUMBER(BO28)),BO33-BO28,"")</f>
        <v/>
      </c>
      <c r="BP31" s="188">
        <f>IF(AND(ISNUMBER(BP33),ISNUMBER(BP28)),BP33-BP28,"")</f>
        <v/>
      </c>
      <c r="BQ31" s="188">
        <f>IF(AND(ISNUMBER(BQ33),ISNUMBER(BQ28)),BQ33-BQ28,"")</f>
        <v/>
      </c>
      <c r="BR31" s="188">
        <f>IF(AND(ISNUMBER(BR33),ISNUMBER(BR28)),BR33-BR28,"")</f>
        <v/>
      </c>
      <c r="BS31" s="188">
        <f>IF(AND(ISNUMBER(BS33),ISNUMBER(BS28)),BS33-BS28,"")</f>
        <v/>
      </c>
      <c r="BT31" s="188">
        <f>IF(AND(ISNUMBER(BT33),ISNUMBER(BT28)),BT33-BT28,"")</f>
        <v/>
      </c>
      <c r="BU31" s="188">
        <f>IF(AND(ISNUMBER(BU33),ISNUMBER(BU28)),BU33-BU28,"")</f>
        <v/>
      </c>
      <c r="BV31" s="188">
        <f>IF(AND(ISNUMBER(BV33),ISNUMBER(BV28)),BV33-BV28,"")</f>
        <v/>
      </c>
      <c r="BW31" s="188">
        <f>IF(AND(ISNUMBER(BW33),ISNUMBER(BW28)),BW33-BW28,"")</f>
        <v/>
      </c>
      <c r="BX31" s="188">
        <f>IF(AND(ISNUMBER(BX33),ISNUMBER(BX28)),BX33-BX28,"")</f>
        <v/>
      </c>
      <c r="BY31" s="189">
        <f>BY28*BY32</f>
        <v/>
      </c>
      <c r="BZ31" s="189">
        <f>BZ28*BZ32</f>
        <v/>
      </c>
      <c r="CA31" s="189">
        <f>CA33-CA28</f>
        <v/>
      </c>
      <c r="CB31" s="189">
        <f>CB28*CB32</f>
        <v/>
      </c>
      <c r="CC31" s="189">
        <f>CC28*CC32</f>
        <v/>
      </c>
      <c r="CD31" s="189">
        <f>CD28*CD32</f>
        <v/>
      </c>
      <c r="CE31" s="189">
        <f>CE28*CE32</f>
        <v/>
      </c>
      <c r="CF31" s="20" t="n"/>
      <c r="CN31" s="26" t="inlineStr">
        <is>
          <t xml:space="preserve">  2027E</t>
        </is>
      </c>
      <c r="CO31" s="35">
        <f>CP31+$CO$30</f>
        <v/>
      </c>
      <c r="CP31" s="45" t="n">
        <v>0.04</v>
      </c>
      <c r="CQ31" s="35">
        <f>CP31+$CQ$30</f>
        <v/>
      </c>
    </row>
    <row r="32" ht="15" customHeight="1">
      <c r="B32" s="26" t="inlineStr">
        <is>
          <t xml:space="preserve">  Fuel surcharge % of ex-fuel yield</t>
        </is>
      </c>
      <c r="C32" s="190">
        <f>IF(AND(ISNUMBER(C31),ISNUMBER(C28)),IFERROR(C31/C28,""),"")</f>
        <v/>
      </c>
      <c r="D32" s="190">
        <f>IF(AND(ISNUMBER(D31),ISNUMBER(D28)),IFERROR(D31/D28,""),"")</f>
        <v/>
      </c>
      <c r="E32" s="190">
        <f>IF(AND(ISNUMBER(E31),ISNUMBER(E28)),IFERROR(E31/E28,""),"")</f>
        <v/>
      </c>
      <c r="F32" s="190">
        <f>IF(AND(ISNUMBER(F31),ISNUMBER(F28)),IFERROR(F31/F28,""),"")</f>
        <v/>
      </c>
      <c r="G32" s="190">
        <f>IF(AND(ISNUMBER(G31),ISNUMBER(G28)),IFERROR(G31/G28,""),"")</f>
        <v/>
      </c>
      <c r="H32" s="190">
        <f>IF(AND(ISNUMBER(H31),ISNUMBER(H28)),IFERROR(H31/H28,""),"")</f>
        <v/>
      </c>
      <c r="I32" s="190">
        <f>IF(AND(ISNUMBER(I31),ISNUMBER(I28)),IFERROR(I31/I28,""),"")</f>
        <v/>
      </c>
      <c r="J32" s="190">
        <f>IF(AND(ISNUMBER(J31),ISNUMBER(J28)),IFERROR(J31/J28,""),"")</f>
        <v/>
      </c>
      <c r="K32" s="190">
        <f>IF(AND(ISNUMBER(K31),ISNUMBER(K28)),IFERROR(K31/K28,""),"")</f>
        <v/>
      </c>
      <c r="L32" s="190">
        <f>IF(AND(ISNUMBER(L31),ISNUMBER(L28)),IFERROR(L31/L28,""),"")</f>
        <v/>
      </c>
      <c r="M32" s="190">
        <f>IF(AND(ISNUMBER(M31),ISNUMBER(M28)),IFERROR(M31/M28,""),"")</f>
        <v/>
      </c>
      <c r="N32" s="190">
        <f>IF(AND(ISNUMBER(N31),ISNUMBER(N28)),IFERROR(N31/N28,""),"")</f>
        <v/>
      </c>
      <c r="O32" s="190">
        <f>IF(AND(ISNUMBER(O31),ISNUMBER(O28)),IFERROR(O31/O28,""),"")</f>
        <v/>
      </c>
      <c r="P32" s="190">
        <f>IF(AND(ISNUMBER(P31),ISNUMBER(P28)),IFERROR(P31/P28,""),"")</f>
        <v/>
      </c>
      <c r="Q32" s="190">
        <f>IF(AND(ISNUMBER(Q31),ISNUMBER(Q28)),IFERROR(Q31/Q28,""),"")</f>
        <v/>
      </c>
      <c r="R32" s="190">
        <f>IF(AND(ISNUMBER(R31),ISNUMBER(R28)),IFERROR(R31/R28,""),"")</f>
        <v/>
      </c>
      <c r="S32" s="190">
        <f>IF(AND(ISNUMBER(S31),ISNUMBER(S28)),IFERROR(S31/S28,""),"")</f>
        <v/>
      </c>
      <c r="T32" s="190">
        <f>IF(AND(ISNUMBER(T31),ISNUMBER(T28)),IFERROR(T31/T28,""),"")</f>
        <v/>
      </c>
      <c r="U32" s="190">
        <f>IF(AND(ISNUMBER(U31),ISNUMBER(U28)),IFERROR(U31/U28,""),"")</f>
        <v/>
      </c>
      <c r="V32" s="190">
        <f>IF(AND(ISNUMBER(V31),ISNUMBER(V28)),IFERROR(V31/V28,""),"")</f>
        <v/>
      </c>
      <c r="W32" s="190">
        <f>IF(AND(ISNUMBER(W31),ISNUMBER(W28)),IFERROR(W31/W28,""),"")</f>
        <v/>
      </c>
      <c r="X32" s="190">
        <f>IF(AND(ISNUMBER(X31),ISNUMBER(X28)),IFERROR(X31/X28,""),"")</f>
        <v/>
      </c>
      <c r="Y32" s="190">
        <f>IF(AND(ISNUMBER(Y31),ISNUMBER(Y28)),IFERROR(Y31/Y28,""),"")</f>
        <v/>
      </c>
      <c r="Z32" s="190">
        <f>IF(AND(ISNUMBER(Z31),ISNUMBER(Z28)),IFERROR(Z31/Z28,""),"")</f>
        <v/>
      </c>
      <c r="AA32" s="190">
        <f>IF(AND(ISNUMBER(AA31),ISNUMBER(AA28)),IFERROR(AA31/AA28,""),"")</f>
        <v/>
      </c>
      <c r="AB32" s="190">
        <f>IF(AND(ISNUMBER(AB31),ISNUMBER(AB28)),IFERROR(AB31/AB28,""),"")</f>
        <v/>
      </c>
      <c r="AC32" s="190">
        <f>IF(AND(ISNUMBER(AC31),ISNUMBER(AC28)),IFERROR(AC31/AC28,""),"")</f>
        <v/>
      </c>
      <c r="AD32" s="190">
        <f>IF(AND(ISNUMBER(AD31),ISNUMBER(AD28)),IFERROR(AD31/AD28,""),"")</f>
        <v/>
      </c>
      <c r="AE32" s="190">
        <f>IF(AND(ISNUMBER(AE31),ISNUMBER(AE28)),IFERROR(AE31/AE28,""),"")</f>
        <v/>
      </c>
      <c r="AF32" s="190">
        <f>IF(AND(ISNUMBER(AF31),ISNUMBER(AF28)),IFERROR(AF31/AF28,""),"")</f>
        <v/>
      </c>
      <c r="AG32" s="190">
        <f>IF(AND(ISNUMBER(AG31),ISNUMBER(AG28)),IFERROR(AG31/AG28,""),"")</f>
        <v/>
      </c>
      <c r="AH32" s="190">
        <f>IF(AND(ISNUMBER(AH31),ISNUMBER(AH28)),IFERROR(AH31/AH28,""),"")</f>
        <v/>
      </c>
      <c r="AI32" s="190">
        <f>IF(AND(ISNUMBER(AI31),ISNUMBER(AI28)),IFERROR(AI31/AI28,""),"")</f>
        <v/>
      </c>
      <c r="AJ32" s="190">
        <f>IF(AND(ISNUMBER(AJ31),ISNUMBER(AJ28)),IFERROR(AJ31/AJ28,""),"")</f>
        <v/>
      </c>
      <c r="AK32" s="190">
        <f>IF(AND(ISNUMBER(AK31),ISNUMBER(AK28)),IFERROR(AK31/AK28,""),"")</f>
        <v/>
      </c>
      <c r="AL32" s="190">
        <f>IF(AND(ISNUMBER(AL31),ISNUMBER(AL28)),IFERROR(AL31/AL28,""),"")</f>
        <v/>
      </c>
      <c r="AM32" s="190">
        <f>IF(AND(ISNUMBER(AM31),ISNUMBER(AM28)),IFERROR(AM31/AM28,""),"")</f>
        <v/>
      </c>
      <c r="AN32" s="190">
        <f>IF(AND(ISNUMBER(AN31),ISNUMBER(AN28)),IFERROR(AN31/AN28,""),"")</f>
        <v/>
      </c>
      <c r="AO32" s="190">
        <f>IF(AND(ISNUMBER(AO31),ISNUMBER(AO28)),IFERROR(AO31/AO28,""),"")</f>
        <v/>
      </c>
      <c r="AP32" s="190">
        <f>IF(AND(ISNUMBER(AP31),ISNUMBER(AP28)),IFERROR(AP31/AP28,""),"")</f>
        <v/>
      </c>
      <c r="AQ32" s="190">
        <f>IF(AND(ISNUMBER(AQ31),ISNUMBER(AQ28)),IFERROR(AQ31/AQ28,""),"")</f>
        <v/>
      </c>
      <c r="AR32" s="190">
        <f>IF(AND(ISNUMBER(AR31),ISNUMBER(AR28)),IFERROR(AR31/AR28,""),"")</f>
        <v/>
      </c>
      <c r="AS32" s="190">
        <f>IF(AND(ISNUMBER(AS31),ISNUMBER(AS28)),IFERROR(AS31/AS28,""),"")</f>
        <v/>
      </c>
      <c r="AT32" s="190">
        <f>IF(AND(ISNUMBER(AT31),ISNUMBER(AT28)),IFERROR(AT31/AT28,""),"")</f>
        <v/>
      </c>
      <c r="AU32" s="190">
        <f>IF(AND(ISNUMBER(AU31),ISNUMBER(AU28)),IFERROR(AU31/AU28,""),"")</f>
        <v/>
      </c>
      <c r="AV32" s="190">
        <f>IF(AND(ISNUMBER(AV31),ISNUMBER(AV28)),IFERROR(AV31/AV28,""),"")</f>
        <v/>
      </c>
      <c r="AW32" s="190">
        <f>IF(AND(ISNUMBER(AW31),ISNUMBER(AW28)),IFERROR(AW31/AW28,""),"")</f>
        <v/>
      </c>
      <c r="AX32" s="190">
        <f>IF(AND(ISNUMBER(AX31),ISNUMBER(AX28)),IFERROR(AX31/AX28,""),"")</f>
        <v/>
      </c>
      <c r="AY32" s="190">
        <f>IF(AND(ISNUMBER(AY31),ISNUMBER(AY28)),IFERROR(AY31/AY28,""),"")</f>
        <v/>
      </c>
      <c r="AZ32" s="190">
        <f>IF(AND(ISNUMBER(AZ31),ISNUMBER(AZ28)),IFERROR(AZ31/AZ28,""),"")</f>
        <v/>
      </c>
      <c r="BA32" s="190">
        <f>IF(AND(ISNUMBER(BA31),ISNUMBER(BA28)),IFERROR(BA31/BA28,""),"")</f>
        <v/>
      </c>
      <c r="BB32" s="190">
        <f>IF(AND(ISNUMBER(BB31),ISNUMBER(BB28)),IFERROR(BB31/BB28,""),"")</f>
        <v/>
      </c>
      <c r="BC32" s="190">
        <f>IF(AND(ISNUMBER(BC31),ISNUMBER(BC28)),IFERROR(BC31/BC28,""),"")</f>
        <v/>
      </c>
      <c r="BD32" s="190">
        <f>IF(AND(ISNUMBER(BD31),ISNUMBER(BD28)),IFERROR(BD31/BD28,""),"")</f>
        <v/>
      </c>
      <c r="BE32" s="190">
        <f>IF(AND(ISNUMBER(BE31),ISNUMBER(BE28)),IFERROR(BE31/BE28,""),"")</f>
        <v/>
      </c>
      <c r="BF32" s="190">
        <f>IF(AND(ISNUMBER(BF31),ISNUMBER(BF28)),IFERROR(BF31/BF28,""),"")</f>
        <v/>
      </c>
      <c r="BG32" s="190">
        <f>IF(AND(ISNUMBER(BG31),ISNUMBER(BG28)),IFERROR(BG31/BG28,""),"")</f>
        <v/>
      </c>
      <c r="BH32" s="190">
        <f>IF(AND(ISNUMBER(BH31),ISNUMBER(BH28)),IFERROR(BH31/BH28,""),"")</f>
        <v/>
      </c>
      <c r="BI32" s="190">
        <f>IF(AND(ISNUMBER(BI31),ISNUMBER(BI28)),IFERROR(BI31/BI28,""),"")</f>
        <v/>
      </c>
      <c r="BJ32" s="190">
        <f>IF(AND(ISNUMBER(BJ31),ISNUMBER(BJ28)),IFERROR(BJ31/BJ28,""),"")</f>
        <v/>
      </c>
      <c r="BK32" s="190">
        <f>IF(AND(ISNUMBER(BK31),ISNUMBER(BK28)),IFERROR(BK31/BK28,""),"")</f>
        <v/>
      </c>
      <c r="BL32" s="190">
        <f>IF(AND(ISNUMBER(BL31),ISNUMBER(BL28)),IFERROR(BL31/BL28,""),"")</f>
        <v/>
      </c>
      <c r="BM32" s="190">
        <f>IF(AND(ISNUMBER(BM31),ISNUMBER(BM28)),IFERROR(BM31/BM28,""),"")</f>
        <v/>
      </c>
      <c r="BN32" s="190">
        <f>IF(AND(ISNUMBER(BN31),ISNUMBER(BN28)),IFERROR(BN31/BN28,""),"")</f>
        <v/>
      </c>
      <c r="BO32" s="190">
        <f>IF(AND(ISNUMBER(BO31),ISNUMBER(BO28)),IFERROR(BO31/BO28,""),"")</f>
        <v/>
      </c>
      <c r="BP32" s="190">
        <f>IF(AND(ISNUMBER(BP31),ISNUMBER(BP28)),IFERROR(BP31/BP28,""),"")</f>
        <v/>
      </c>
      <c r="BQ32" s="190">
        <f>IF(AND(ISNUMBER(BQ31),ISNUMBER(BQ28)),IFERROR(BQ31/BQ28,""),"")</f>
        <v/>
      </c>
      <c r="BR32" s="190">
        <f>IF(AND(ISNUMBER(BR31),ISNUMBER(BR28)),IFERROR(BR31/BR28,""),"")</f>
        <v/>
      </c>
      <c r="BS32" s="190">
        <f>IF(AND(ISNUMBER(BS31),ISNUMBER(BS28)),IFERROR(BS31/BS28,""),"")</f>
        <v/>
      </c>
      <c r="BT32" s="190">
        <f>IF(AND(ISNUMBER(BT31),ISNUMBER(BT28)),IFERROR(BT31/BT28,""),"")</f>
        <v/>
      </c>
      <c r="BU32" s="190">
        <f>IF(AND(ISNUMBER(BU31),ISNUMBER(BU28)),IFERROR(BU31/BU28,""),"")</f>
        <v/>
      </c>
      <c r="BV32" s="190">
        <f>IF(AND(ISNUMBER(BV31),ISNUMBER(BV28)),IFERROR(BV31/BV28,""),"")</f>
        <v/>
      </c>
      <c r="BW32" s="190">
        <f>IF(AND(ISNUMBER(BW31),ISNUMBER(BW28)),IFERROR(BW31/BW28,""),"")</f>
        <v/>
      </c>
      <c r="BX32" s="190">
        <f>IF(AND(ISNUMBER(BX31),ISNUMBER(BX28)),IFERROR(BX31/BX28,""),"")</f>
        <v/>
      </c>
      <c r="BY32" s="181">
        <f>(1+$CP$21)*BT33/BY28-1</f>
        <v/>
      </c>
      <c r="BZ32" s="181">
        <f>BY32</f>
        <v/>
      </c>
      <c r="CA32" s="181">
        <f>IF(AND(ISNUMBER(CA31),ISNUMBER(CA28)),IFERROR(CA31/CA28,""),"")</f>
        <v/>
      </c>
      <c r="CB32" s="181">
        <f>$BZ$32</f>
        <v/>
      </c>
      <c r="CC32" s="181">
        <f>$BZ$32</f>
        <v/>
      </c>
      <c r="CD32" s="181">
        <f>$BZ$32</f>
        <v/>
      </c>
      <c r="CE32" s="181">
        <f>$BZ$32</f>
        <v/>
      </c>
      <c r="CF32" s="6" t="inlineStr">
        <is>
          <t>Q3/26E implied by the Jul–Aug QTD revenue/cwt (+11.3% y/y) and ex-fuel (+4.8%) changes. Q4/26E and 2027E+ held at the Q3/26E level (diesel flat).</t>
        </is>
      </c>
      <c r="CH32" s="39">
        <f>IFERROR(AVERAGE(CA32,CB32,CC32,CD32,CE32),"n/m")</f>
        <v/>
      </c>
      <c r="CI32" s="39">
        <f>IFERROR(AVERAGE(BB32,BG32,BL32,BQ32,BV32),"n/m")</f>
        <v/>
      </c>
      <c r="CJ32" s="39">
        <f>IFERROR(AVERAGE(AC32,AH32,AM32,AR32,AW32,BB32,BG32,BL32,BQ32,BV32),"n/m")</f>
        <v/>
      </c>
      <c r="CK32" s="39">
        <f>IFERROR(AVERAGE(C32,D32,E32,F32,G32,H32,I32,N32,S32,X32,AC32,AH32,AM32,AR32,AW32,BB32,BG32,BL32,BQ32,BV32),"n/m")</f>
        <v/>
      </c>
      <c r="CN32" s="26" t="inlineStr">
        <is>
          <t xml:space="preserve">  2028E</t>
        </is>
      </c>
      <c r="CO32" s="35">
        <f>CP32+$CO$30</f>
        <v/>
      </c>
      <c r="CP32" s="45" t="n">
        <v>0.05</v>
      </c>
      <c r="CQ32" s="35">
        <f>CP32+$CQ$30</f>
        <v/>
      </c>
    </row>
    <row r="33" ht="15" customHeight="1">
      <c r="B33" s="59" t="inlineStr">
        <is>
          <t xml:space="preserve">  LTL revenue per hundredweight ($)</t>
        </is>
      </c>
      <c r="C33" s="191" t="n">
        <v>13.16</v>
      </c>
      <c r="D33" s="191" t="n">
        <v>13.3</v>
      </c>
      <c r="E33" s="191" t="n">
        <v>13.88</v>
      </c>
      <c r="F33" s="191" t="n">
        <v>12.7</v>
      </c>
      <c r="G33" s="191" t="n">
        <v>13.09</v>
      </c>
      <c r="H33" s="191" t="n">
        <v>14.72</v>
      </c>
      <c r="I33" s="191" t="n">
        <v>15.35</v>
      </c>
      <c r="J33" s="191" t="n">
        <v>15.5</v>
      </c>
      <c r="K33" s="191" t="n">
        <v>15.75</v>
      </c>
      <c r="L33" s="191" t="n">
        <v>16.12</v>
      </c>
      <c r="M33" s="191" t="n">
        <v>15.83</v>
      </c>
      <c r="N33" s="191" t="n">
        <v>15.85</v>
      </c>
      <c r="O33" s="191" t="n">
        <v>18</v>
      </c>
      <c r="P33" s="191" t="n">
        <v>18.36</v>
      </c>
      <c r="Q33" s="191" t="n">
        <v>18.62</v>
      </c>
      <c r="R33" s="191" t="n">
        <v>18.3</v>
      </c>
      <c r="S33" s="191" t="n">
        <v>18.33</v>
      </c>
      <c r="T33" s="191" t="n">
        <v>18.08</v>
      </c>
      <c r="U33" s="191" t="n">
        <v>18.22</v>
      </c>
      <c r="V33" s="191" t="n">
        <v>18.33</v>
      </c>
      <c r="W33" s="191" t="n">
        <v>18.26</v>
      </c>
      <c r="X33" s="191" t="n">
        <v>18.23</v>
      </c>
      <c r="Y33" s="191" t="n">
        <v>18.14</v>
      </c>
      <c r="Z33" s="191" t="n">
        <v>18.37</v>
      </c>
      <c r="AA33" s="191" t="n">
        <v>18.79</v>
      </c>
      <c r="AB33" s="191" t="n">
        <v>18.74</v>
      </c>
      <c r="AC33" s="191" t="n">
        <v>18.51</v>
      </c>
      <c r="AD33" s="191" t="n">
        <v>19.03</v>
      </c>
      <c r="AE33" s="191" t="n">
        <v>19.31</v>
      </c>
      <c r="AF33" s="191" t="n">
        <v>19.47</v>
      </c>
      <c r="AG33" s="191" t="n">
        <v>19.7</v>
      </c>
      <c r="AH33" s="191" t="n">
        <v>19.39</v>
      </c>
      <c r="AI33" s="191" t="n">
        <v>20.16</v>
      </c>
      <c r="AJ33" s="191" t="n">
        <v>20.74</v>
      </c>
      <c r="AK33" s="191" t="n">
        <v>21.9</v>
      </c>
      <c r="AL33" s="191" t="n">
        <v>22.24</v>
      </c>
      <c r="AM33" s="191" t="n">
        <v>21.25</v>
      </c>
      <c r="AN33" s="191" t="n">
        <v>22.1</v>
      </c>
      <c r="AO33" s="191" t="n">
        <v>22.72</v>
      </c>
      <c r="AP33" s="191" t="n">
        <v>22.87</v>
      </c>
      <c r="AQ33" s="191" t="n">
        <v>22.84</v>
      </c>
      <c r="AR33" s="191" t="n">
        <v>22.64</v>
      </c>
      <c r="AS33" s="191" t="n">
        <v>22.68</v>
      </c>
      <c r="AT33" s="191" t="n">
        <v>21.85</v>
      </c>
      <c r="AU33" s="191" t="n">
        <v>22.74</v>
      </c>
      <c r="AV33" s="191" t="n">
        <v>23.1</v>
      </c>
      <c r="AW33" s="191" t="n">
        <v>22.62</v>
      </c>
      <c r="AX33" s="191" t="n">
        <v>23.96</v>
      </c>
      <c r="AY33" s="191" t="n">
        <v>25.1</v>
      </c>
      <c r="AZ33" s="191" t="n">
        <v>26.31</v>
      </c>
      <c r="BA33" s="191" t="n">
        <v>26.82</v>
      </c>
      <c r="BB33" s="191" t="n">
        <v>25.59</v>
      </c>
      <c r="BC33" s="191" t="n">
        <v>28.13</v>
      </c>
      <c r="BD33" s="191" t="n">
        <v>30.78</v>
      </c>
      <c r="BE33" s="191" t="n">
        <v>30.9</v>
      </c>
      <c r="BF33" s="191" t="n">
        <v>31.3</v>
      </c>
      <c r="BG33" s="191" t="n">
        <v>30.24</v>
      </c>
      <c r="BH33" s="191" t="n">
        <v>30.71</v>
      </c>
      <c r="BI33" s="191" t="n">
        <v>30.44</v>
      </c>
      <c r="BJ33" s="191" t="n">
        <v>31.87</v>
      </c>
      <c r="BK33" s="191" t="n">
        <v>32.23</v>
      </c>
      <c r="BL33" s="191" t="n">
        <v>31.31</v>
      </c>
      <c r="BM33" s="191" t="n">
        <v>31.98</v>
      </c>
      <c r="BN33" s="191" t="n">
        <v>31.77</v>
      </c>
      <c r="BO33" s="191" t="n">
        <v>32.36</v>
      </c>
      <c r="BP33" s="191" t="n">
        <v>32.1</v>
      </c>
      <c r="BQ33" s="191" t="n">
        <v>32.05</v>
      </c>
      <c r="BR33" s="191" t="n">
        <v>32.67</v>
      </c>
      <c r="BS33" s="191" t="n">
        <v>32.84</v>
      </c>
      <c r="BT33" s="191" t="n">
        <v>33.88</v>
      </c>
      <c r="BU33" s="191" t="n">
        <v>33.91</v>
      </c>
      <c r="BV33" s="191" t="n">
        <v>33.31</v>
      </c>
      <c r="BW33" s="191" t="n">
        <v>34.52</v>
      </c>
      <c r="BX33" s="191" t="n">
        <v>37.84</v>
      </c>
      <c r="BY33" s="192">
        <f>BY28+BY31</f>
        <v/>
      </c>
      <c r="BZ33" s="192">
        <f>BZ28+BZ31</f>
        <v/>
      </c>
      <c r="CA33" s="192">
        <f>IFERROR(SUMPRODUCT(BW33:BZ33,BW15:BZ15)/SUM(BW15:BZ15),"")</f>
        <v/>
      </c>
      <c r="CB33" s="192">
        <f>CB28+CB31</f>
        <v/>
      </c>
      <c r="CC33" s="192">
        <f>CC28+CC31</f>
        <v/>
      </c>
      <c r="CD33" s="192">
        <f>CD28+CD31</f>
        <v/>
      </c>
      <c r="CE33" s="192">
        <f>CE28+CE31</f>
        <v/>
      </c>
      <c r="CF33" s="6" t="n"/>
      <c r="CH33" s="21">
        <f>IFERROR((CE33/BV33)^(1/5)-1,"n/m")</f>
        <v/>
      </c>
      <c r="CI33" s="21">
        <f>IFERROR((BV33/AW33)^(1/5)-1,"n/m")</f>
        <v/>
      </c>
      <c r="CJ33" s="21">
        <f>IFERROR((BV33/X33)^(1/10)-1,"n/m")</f>
        <v/>
      </c>
      <c r="CK33" s="21">
        <f>IFERROR((BV33/C33)^(1/19)-1,"n/m")</f>
        <v/>
      </c>
      <c r="CN33" s="26" t="inlineStr">
        <is>
          <t xml:space="preserve">  2029E</t>
        </is>
      </c>
      <c r="CO33" s="35">
        <f>CP33+$CO$30</f>
        <v/>
      </c>
      <c r="CP33" s="45" t="n">
        <v>0.04</v>
      </c>
      <c r="CQ33" s="35">
        <f>CP33+$CQ$30</f>
        <v/>
      </c>
    </row>
    <row r="34" ht="15" customHeight="1">
      <c r="B34" s="23" t="inlineStr">
        <is>
          <t xml:space="preserve">    y/y %</t>
        </is>
      </c>
      <c r="D34" s="180">
        <f>IF(AND(ISNUMBER(D33),ISNUMBER(C33)),IFERROR(D33/C33-1,""),"")</f>
        <v/>
      </c>
      <c r="E34" s="180">
        <f>IF(AND(ISNUMBER(E33),ISNUMBER(D33)),IFERROR(E33/D33-1,""),"")</f>
        <v/>
      </c>
      <c r="F34" s="180">
        <f>IF(AND(ISNUMBER(F33),ISNUMBER(E33)),IFERROR(F33/E33-1,""),"")</f>
        <v/>
      </c>
      <c r="G34" s="180">
        <f>IF(AND(ISNUMBER(G33),ISNUMBER(F33)),IFERROR(G33/F33-1,""),"")</f>
        <v/>
      </c>
      <c r="H34" s="180">
        <f>IF(AND(ISNUMBER(H33),ISNUMBER(G33)),IFERROR(H33/G33-1,""),"")</f>
        <v/>
      </c>
      <c r="I34" s="180">
        <f>IF(AND(ISNUMBER(I33),ISNUMBER(H33)),IFERROR(I33/H33-1,""),"")</f>
        <v/>
      </c>
      <c r="N34" s="180">
        <f>IF(AND(ISNUMBER(N33),ISNUMBER(I33)),IFERROR(N33/I33-1,""),"")</f>
        <v/>
      </c>
      <c r="O34" s="180">
        <f>IF(AND(ISNUMBER(O33),ISNUMBER(J33)),IFERROR(O33/J33-1,""),"")</f>
        <v/>
      </c>
      <c r="P34" s="180">
        <f>IF(AND(ISNUMBER(P33),ISNUMBER(K33)),IFERROR(P33/K33-1,""),"")</f>
        <v/>
      </c>
      <c r="Q34" s="180">
        <f>IF(AND(ISNUMBER(Q33),ISNUMBER(L33)),IFERROR(Q33/L33-1,""),"")</f>
        <v/>
      </c>
      <c r="R34" s="180">
        <f>IF(AND(ISNUMBER(R33),ISNUMBER(M33)),IFERROR(R33/M33-1,""),"")</f>
        <v/>
      </c>
      <c r="S34" s="180">
        <f>IF(AND(ISNUMBER(S33),ISNUMBER(N33)),IFERROR(S33/N33-1,""),"")</f>
        <v/>
      </c>
      <c r="T34" s="180">
        <f>IF(AND(ISNUMBER(T33),ISNUMBER(O33)),IFERROR(T33/O33-1,""),"")</f>
        <v/>
      </c>
      <c r="U34" s="180">
        <f>IF(AND(ISNUMBER(U33),ISNUMBER(P33)),IFERROR(U33/P33-1,""),"")</f>
        <v/>
      </c>
      <c r="V34" s="180">
        <f>IF(AND(ISNUMBER(V33),ISNUMBER(Q33)),IFERROR(V33/Q33-1,""),"")</f>
        <v/>
      </c>
      <c r="W34" s="180">
        <f>IF(AND(ISNUMBER(W33),ISNUMBER(R33)),IFERROR(W33/R33-1,""),"")</f>
        <v/>
      </c>
      <c r="X34" s="180">
        <f>IF(AND(ISNUMBER(X33),ISNUMBER(S33)),IFERROR(X33/S33-1,""),"")</f>
        <v/>
      </c>
      <c r="Y34" s="180">
        <f>IF(AND(ISNUMBER(Y33),ISNUMBER(T33)),IFERROR(Y33/T33-1,""),"")</f>
        <v/>
      </c>
      <c r="Z34" s="180">
        <f>IF(AND(ISNUMBER(Z33),ISNUMBER(U33)),IFERROR(Z33/U33-1,""),"")</f>
        <v/>
      </c>
      <c r="AA34" s="180">
        <f>IF(AND(ISNUMBER(AA33),ISNUMBER(V33)),IFERROR(AA33/V33-1,""),"")</f>
        <v/>
      </c>
      <c r="AB34" s="180">
        <f>IF(AND(ISNUMBER(AB33),ISNUMBER(W33)),IFERROR(AB33/W33-1,""),"")</f>
        <v/>
      </c>
      <c r="AC34" s="180">
        <f>IF(AND(ISNUMBER(AC33),ISNUMBER(X33)),IFERROR(AC33/X33-1,""),"")</f>
        <v/>
      </c>
      <c r="AD34" s="180">
        <f>IF(AND(ISNUMBER(AD33),ISNUMBER(Y33)),IFERROR(AD33/Y33-1,""),"")</f>
        <v/>
      </c>
      <c r="AE34" s="180">
        <f>IF(AND(ISNUMBER(AE33),ISNUMBER(Z33)),IFERROR(AE33/Z33-1,""),"")</f>
        <v/>
      </c>
      <c r="AF34" s="180">
        <f>IF(AND(ISNUMBER(AF33),ISNUMBER(AA33)),IFERROR(AF33/AA33-1,""),"")</f>
        <v/>
      </c>
      <c r="AG34" s="180">
        <f>IF(AND(ISNUMBER(AG33),ISNUMBER(AB33)),IFERROR(AG33/AB33-1,""),"")</f>
        <v/>
      </c>
      <c r="AH34" s="180">
        <f>IF(AND(ISNUMBER(AH33),ISNUMBER(AC33)),IFERROR(AH33/AC33-1,""),"")</f>
        <v/>
      </c>
      <c r="AI34" s="180">
        <f>IF(AND(ISNUMBER(AI33),ISNUMBER(AD33)),IFERROR(AI33/AD33-1,""),"")</f>
        <v/>
      </c>
      <c r="AJ34" s="180">
        <f>IF(AND(ISNUMBER(AJ33),ISNUMBER(AE33)),IFERROR(AJ33/AE33-1,""),"")</f>
        <v/>
      </c>
      <c r="AK34" s="180">
        <f>IF(AND(ISNUMBER(AK33),ISNUMBER(AF33)),IFERROR(AK33/AF33-1,""),"")</f>
        <v/>
      </c>
      <c r="AL34" s="180">
        <f>IF(AND(ISNUMBER(AL33),ISNUMBER(AG33)),IFERROR(AL33/AG33-1,""),"")</f>
        <v/>
      </c>
      <c r="AM34" s="180">
        <f>IF(AND(ISNUMBER(AM33),ISNUMBER(AH33)),IFERROR(AM33/AH33-1,""),"")</f>
        <v/>
      </c>
      <c r="AN34" s="180">
        <f>IF(AND(ISNUMBER(AN33),ISNUMBER(AI33)),IFERROR(AN33/AI33-1,""),"")</f>
        <v/>
      </c>
      <c r="AO34" s="180">
        <f>IF(AND(ISNUMBER(AO33),ISNUMBER(AJ33)),IFERROR(AO33/AJ33-1,""),"")</f>
        <v/>
      </c>
      <c r="AP34" s="180">
        <f>IF(AND(ISNUMBER(AP33),ISNUMBER(AK33)),IFERROR(AP33/AK33-1,""),"")</f>
        <v/>
      </c>
      <c r="AQ34" s="180">
        <f>IF(AND(ISNUMBER(AQ33),ISNUMBER(AL33)),IFERROR(AQ33/AL33-1,""),"")</f>
        <v/>
      </c>
      <c r="AR34" s="180">
        <f>IF(AND(ISNUMBER(AR33),ISNUMBER(AM33)),IFERROR(AR33/AM33-1,""),"")</f>
        <v/>
      </c>
      <c r="AS34" s="180">
        <f>IF(AND(ISNUMBER(AS33),ISNUMBER(AN33)),IFERROR(AS33/AN33-1,""),"")</f>
        <v/>
      </c>
      <c r="AT34" s="180">
        <f>IF(AND(ISNUMBER(AT33),ISNUMBER(AO33)),IFERROR(AT33/AO33-1,""),"")</f>
        <v/>
      </c>
      <c r="AU34" s="180">
        <f>IF(AND(ISNUMBER(AU33),ISNUMBER(AP33)),IFERROR(AU33/AP33-1,""),"")</f>
        <v/>
      </c>
      <c r="AV34" s="180">
        <f>IF(AND(ISNUMBER(AV33),ISNUMBER(AQ33)),IFERROR(AV33/AQ33-1,""),"")</f>
        <v/>
      </c>
      <c r="AW34" s="180">
        <f>IF(AND(ISNUMBER(AW33),ISNUMBER(AR33)),IFERROR(AW33/AR33-1,""),"")</f>
        <v/>
      </c>
      <c r="AX34" s="180">
        <f>IF(AND(ISNUMBER(AX33),ISNUMBER(AS33)),IFERROR(AX33/AS33-1,""),"")</f>
        <v/>
      </c>
      <c r="AY34" s="180">
        <f>IF(AND(ISNUMBER(AY33),ISNUMBER(AT33)),IFERROR(AY33/AT33-1,""),"")</f>
        <v/>
      </c>
      <c r="AZ34" s="180">
        <f>IF(AND(ISNUMBER(AZ33),ISNUMBER(AU33)),IFERROR(AZ33/AU33-1,""),"")</f>
        <v/>
      </c>
      <c r="BA34" s="180">
        <f>IF(AND(ISNUMBER(BA33),ISNUMBER(AV33)),IFERROR(BA33/AV33-1,""),"")</f>
        <v/>
      </c>
      <c r="BB34" s="180">
        <f>IF(AND(ISNUMBER(BB33),ISNUMBER(AW33)),IFERROR(BB33/AW33-1,""),"")</f>
        <v/>
      </c>
      <c r="BC34" s="180">
        <f>IF(AND(ISNUMBER(BC33),ISNUMBER(AX33)),IFERROR(BC33/AX33-1,""),"")</f>
        <v/>
      </c>
      <c r="BD34" s="180">
        <f>IF(AND(ISNUMBER(BD33),ISNUMBER(AY33)),IFERROR(BD33/AY33-1,""),"")</f>
        <v/>
      </c>
      <c r="BE34" s="180">
        <f>IF(AND(ISNUMBER(BE33),ISNUMBER(AZ33)),IFERROR(BE33/AZ33-1,""),"")</f>
        <v/>
      </c>
      <c r="BF34" s="180">
        <f>IF(AND(ISNUMBER(BF33),ISNUMBER(BA33)),IFERROR(BF33/BA33-1,""),"")</f>
        <v/>
      </c>
      <c r="BG34" s="180">
        <f>IF(AND(ISNUMBER(BG33),ISNUMBER(BB33)),IFERROR(BG33/BB33-1,""),"")</f>
        <v/>
      </c>
      <c r="BH34" s="180">
        <f>IF(AND(ISNUMBER(BH33),ISNUMBER(BC33)),IFERROR(BH33/BC33-1,""),"")</f>
        <v/>
      </c>
      <c r="BI34" s="180">
        <f>IF(AND(ISNUMBER(BI33),ISNUMBER(BD33)),IFERROR(BI33/BD33-1,""),"")</f>
        <v/>
      </c>
      <c r="BJ34" s="180">
        <f>IF(AND(ISNUMBER(BJ33),ISNUMBER(BE33)),IFERROR(BJ33/BE33-1,""),"")</f>
        <v/>
      </c>
      <c r="BK34" s="180">
        <f>IF(AND(ISNUMBER(BK33),ISNUMBER(BF33)),IFERROR(BK33/BF33-1,""),"")</f>
        <v/>
      </c>
      <c r="BL34" s="180">
        <f>IF(AND(ISNUMBER(BL33),ISNUMBER(BG33)),IFERROR(BL33/BG33-1,""),"")</f>
        <v/>
      </c>
      <c r="BM34" s="180">
        <f>IF(AND(ISNUMBER(BM33),ISNUMBER(BH33)),IFERROR(BM33/BH33-1,""),"")</f>
        <v/>
      </c>
      <c r="BN34" s="180">
        <f>IF(AND(ISNUMBER(BN33),ISNUMBER(BI33)),IFERROR(BN33/BI33-1,""),"")</f>
        <v/>
      </c>
      <c r="BO34" s="180">
        <f>IF(AND(ISNUMBER(BO33),ISNUMBER(BJ33)),IFERROR(BO33/BJ33-1,""),"")</f>
        <v/>
      </c>
      <c r="BP34" s="180">
        <f>IF(AND(ISNUMBER(BP33),ISNUMBER(BK33)),IFERROR(BP33/BK33-1,""),"")</f>
        <v/>
      </c>
      <c r="BQ34" s="180">
        <f>IF(AND(ISNUMBER(BQ33),ISNUMBER(BL33)),IFERROR(BQ33/BL33-1,""),"")</f>
        <v/>
      </c>
      <c r="BR34" s="180">
        <f>IF(AND(ISNUMBER(BR33),ISNUMBER(BM33)),IFERROR(BR33/BM33-1,""),"")</f>
        <v/>
      </c>
      <c r="BS34" s="180">
        <f>IF(AND(ISNUMBER(BS33),ISNUMBER(BN33)),IFERROR(BS33/BN33-1,""),"")</f>
        <v/>
      </c>
      <c r="BT34" s="180">
        <f>IF(AND(ISNUMBER(BT33),ISNUMBER(BO33)),IFERROR(BT33/BO33-1,""),"")</f>
        <v/>
      </c>
      <c r="BU34" s="180">
        <f>IF(AND(ISNUMBER(BU33),ISNUMBER(BP33)),IFERROR(BU33/BP33-1,""),"")</f>
        <v/>
      </c>
      <c r="BV34" s="180">
        <f>IF(AND(ISNUMBER(BV33),ISNUMBER(BQ33)),IFERROR(BV33/BQ33-1,""),"")</f>
        <v/>
      </c>
      <c r="BW34" s="180">
        <f>IF(AND(ISNUMBER(BW33),ISNUMBER(BR33)),IFERROR(BW33/BR33-1,""),"")</f>
        <v/>
      </c>
      <c r="BX34" s="180">
        <f>IF(AND(ISNUMBER(BX33),ISNUMBER(BS33)),IFERROR(BX33/BS33-1,""),"")</f>
        <v/>
      </c>
      <c r="BY34" s="181">
        <f>IF(AND(ISNUMBER(BY33),ISNUMBER(BT33)),IFERROR(BY33/BT33-1,""),"")</f>
        <v/>
      </c>
      <c r="BZ34" s="181">
        <f>IF(AND(ISNUMBER(BZ33),ISNUMBER(BU33)),IFERROR(BZ33/BU33-1,""),"")</f>
        <v/>
      </c>
      <c r="CA34" s="181">
        <f>IF(AND(ISNUMBER(CA33),ISNUMBER(BV33)),IFERROR(CA33/BV33-1,""),"")</f>
        <v/>
      </c>
      <c r="CB34" s="181">
        <f>IF(AND(ISNUMBER(CB33),ISNUMBER(CA33)),IFERROR(CB33/CA33-1,""),"")</f>
        <v/>
      </c>
      <c r="CC34" s="181">
        <f>IF(AND(ISNUMBER(CC33),ISNUMBER(CB33)),IFERROR(CC33/CB33-1,""),"")</f>
        <v/>
      </c>
      <c r="CD34" s="181">
        <f>IF(AND(ISNUMBER(CD33),ISNUMBER(CC33)),IFERROR(CD33/CC33-1,""),"")</f>
        <v/>
      </c>
      <c r="CE34" s="181">
        <f>IF(AND(ISNUMBER(CE33),ISNUMBER(CD33)),IFERROR(CE33/CD33-1,""),"")</f>
        <v/>
      </c>
      <c r="CF34" s="6" t="n"/>
      <c r="CH34" s="39">
        <f>IFERROR(AVERAGE(CA34,CB34,CC34,CD34,CE34),"n/m")</f>
        <v/>
      </c>
      <c r="CI34" s="39">
        <f>IFERROR(AVERAGE(BB34,BG34,BL34,BQ34,BV34),"n/m")</f>
        <v/>
      </c>
      <c r="CJ34" s="39">
        <f>IFERROR(AVERAGE(AC34,AH34,AM34,AR34,AW34,BB34,BG34,BL34,BQ34,BV34),"n/m")</f>
        <v/>
      </c>
      <c r="CK34" s="39">
        <f>IFERROR(AVERAGE(C34,D34,E34,F34,G34,H34,I34,N34,S34,X34,AC34,AH34,AM34,AR34,AW34,BB34,BG34,BL34,BQ34,BV34),"n/m")</f>
        <v/>
      </c>
      <c r="CN34" s="26" t="inlineStr">
        <is>
          <t xml:space="preserve">  2030E</t>
        </is>
      </c>
      <c r="CO34" s="35">
        <f>CP34+$CO$30</f>
        <v/>
      </c>
      <c r="CP34" s="45" t="n">
        <v>0.035</v>
      </c>
      <c r="CQ34" s="35">
        <f>CP34+$CQ$30</f>
        <v/>
      </c>
    </row>
    <row r="35" ht="15" customHeight="1">
      <c r="B35" s="23" t="inlineStr">
        <is>
          <t xml:space="preserve">    sequential % (vs prior quarter)</t>
        </is>
      </c>
      <c r="D35" s="24" t="n"/>
      <c r="E35" s="24" t="n"/>
      <c r="F35" s="24" t="n"/>
      <c r="G35" s="24" t="n"/>
      <c r="H35" s="24" t="n"/>
      <c r="I35" s="24" t="n"/>
      <c r="K35" s="182">
        <f>IF(AND(ISNUMBER(K33),ISNUMBER(J33)),IFERROR(K33/J33-1,""),"")</f>
        <v/>
      </c>
      <c r="L35" s="182">
        <f>IF(AND(ISNUMBER(L33),ISNUMBER(K33)),IFERROR(L33/K33-1,""),"")</f>
        <v/>
      </c>
      <c r="M35" s="182">
        <f>IF(AND(ISNUMBER(M33),ISNUMBER(L33)),IFERROR(M33/L33-1,""),"")</f>
        <v/>
      </c>
      <c r="N35" s="24" t="n"/>
      <c r="O35" s="180">
        <f>IF(AND(ISNUMBER(O33),ISNUMBER(M33)),IFERROR(O33/M33-1,""),"")</f>
        <v/>
      </c>
      <c r="P35" s="180">
        <f>IF(AND(ISNUMBER(P33),ISNUMBER(O33)),IFERROR(P33/O33-1,""),"")</f>
        <v/>
      </c>
      <c r="Q35" s="180">
        <f>IF(AND(ISNUMBER(Q33),ISNUMBER(P33)),IFERROR(Q33/P33-1,""),"")</f>
        <v/>
      </c>
      <c r="R35" s="180">
        <f>IF(AND(ISNUMBER(R33),ISNUMBER(Q33)),IFERROR(R33/Q33-1,""),"")</f>
        <v/>
      </c>
      <c r="S35" s="24" t="n"/>
      <c r="T35" s="180">
        <f>IF(AND(ISNUMBER(T33),ISNUMBER(R33)),IFERROR(T33/R33-1,""),"")</f>
        <v/>
      </c>
      <c r="U35" s="180">
        <f>IF(AND(ISNUMBER(U33),ISNUMBER(T33)),IFERROR(U33/T33-1,""),"")</f>
        <v/>
      </c>
      <c r="V35" s="180">
        <f>IF(AND(ISNUMBER(V33),ISNUMBER(U33)),IFERROR(V33/U33-1,""),"")</f>
        <v/>
      </c>
      <c r="W35" s="180">
        <f>IF(AND(ISNUMBER(W33),ISNUMBER(V33)),IFERROR(W33/V33-1,""),"")</f>
        <v/>
      </c>
      <c r="X35" s="24" t="n"/>
      <c r="Y35" s="180">
        <f>IF(AND(ISNUMBER(Y33),ISNUMBER(W33)),IFERROR(Y33/W33-1,""),"")</f>
        <v/>
      </c>
      <c r="Z35" s="180">
        <f>IF(AND(ISNUMBER(Z33),ISNUMBER(Y33)),IFERROR(Z33/Y33-1,""),"")</f>
        <v/>
      </c>
      <c r="AA35" s="180">
        <f>IF(AND(ISNUMBER(AA33),ISNUMBER(Z33)),IFERROR(AA33/Z33-1,""),"")</f>
        <v/>
      </c>
      <c r="AB35" s="180">
        <f>IF(AND(ISNUMBER(AB33),ISNUMBER(AA33)),IFERROR(AB33/AA33-1,""),"")</f>
        <v/>
      </c>
      <c r="AC35" s="24" t="n"/>
      <c r="AD35" s="180">
        <f>IF(AND(ISNUMBER(AD33),ISNUMBER(AB33)),IFERROR(AD33/AB33-1,""),"")</f>
        <v/>
      </c>
      <c r="AE35" s="180">
        <f>IF(AND(ISNUMBER(AE33),ISNUMBER(AD33)),IFERROR(AE33/AD33-1,""),"")</f>
        <v/>
      </c>
      <c r="AF35" s="180">
        <f>IF(AND(ISNUMBER(AF33),ISNUMBER(AE33)),IFERROR(AF33/AE33-1,""),"")</f>
        <v/>
      </c>
      <c r="AG35" s="180">
        <f>IF(AND(ISNUMBER(AG33),ISNUMBER(AF33)),IFERROR(AG33/AF33-1,""),"")</f>
        <v/>
      </c>
      <c r="AH35" s="24" t="n"/>
      <c r="AI35" s="180">
        <f>IF(AND(ISNUMBER(AI33),ISNUMBER(AG33)),IFERROR(AI33/AG33-1,""),"")</f>
        <v/>
      </c>
      <c r="AJ35" s="180">
        <f>IF(AND(ISNUMBER(AJ33),ISNUMBER(AI33)),IFERROR(AJ33/AI33-1,""),"")</f>
        <v/>
      </c>
      <c r="AK35" s="180">
        <f>IF(AND(ISNUMBER(AK33),ISNUMBER(AJ33)),IFERROR(AK33/AJ33-1,""),"")</f>
        <v/>
      </c>
      <c r="AL35" s="180">
        <f>IF(AND(ISNUMBER(AL33),ISNUMBER(AK33)),IFERROR(AL33/AK33-1,""),"")</f>
        <v/>
      </c>
      <c r="AM35" s="24" t="n"/>
      <c r="AN35" s="180">
        <f>IF(AND(ISNUMBER(AN33),ISNUMBER(AL33)),IFERROR(AN33/AL33-1,""),"")</f>
        <v/>
      </c>
      <c r="AO35" s="180">
        <f>IF(AND(ISNUMBER(AO33),ISNUMBER(AN33)),IFERROR(AO33/AN33-1,""),"")</f>
        <v/>
      </c>
      <c r="AP35" s="180">
        <f>IF(AND(ISNUMBER(AP33),ISNUMBER(AO33)),IFERROR(AP33/AO33-1,""),"")</f>
        <v/>
      </c>
      <c r="AQ35" s="180">
        <f>IF(AND(ISNUMBER(AQ33),ISNUMBER(AP33)),IFERROR(AQ33/AP33-1,""),"")</f>
        <v/>
      </c>
      <c r="AR35" s="24" t="n"/>
      <c r="AS35" s="180">
        <f>IF(AND(ISNUMBER(AS33),ISNUMBER(AQ33)),IFERROR(AS33/AQ33-1,""),"")</f>
        <v/>
      </c>
      <c r="AT35" s="180">
        <f>IF(AND(ISNUMBER(AT33),ISNUMBER(AS33)),IFERROR(AT33/AS33-1,""),"")</f>
        <v/>
      </c>
      <c r="AU35" s="180">
        <f>IF(AND(ISNUMBER(AU33),ISNUMBER(AT33)),IFERROR(AU33/AT33-1,""),"")</f>
        <v/>
      </c>
      <c r="AV35" s="180">
        <f>IF(AND(ISNUMBER(AV33),ISNUMBER(AU33)),IFERROR(AV33/AU33-1,""),"")</f>
        <v/>
      </c>
      <c r="AW35" s="24" t="n"/>
      <c r="AX35" s="180">
        <f>IF(AND(ISNUMBER(AX33),ISNUMBER(AV33)),IFERROR(AX33/AV33-1,""),"")</f>
        <v/>
      </c>
      <c r="AY35" s="180">
        <f>IF(AND(ISNUMBER(AY33),ISNUMBER(AX33)),IFERROR(AY33/AX33-1,""),"")</f>
        <v/>
      </c>
      <c r="AZ35" s="180">
        <f>IF(AND(ISNUMBER(AZ33),ISNUMBER(AY33)),IFERROR(AZ33/AY33-1,""),"")</f>
        <v/>
      </c>
      <c r="BA35" s="180">
        <f>IF(AND(ISNUMBER(BA33),ISNUMBER(AZ33)),IFERROR(BA33/AZ33-1,""),"")</f>
        <v/>
      </c>
      <c r="BB35" s="24" t="n"/>
      <c r="BC35" s="180">
        <f>IF(AND(ISNUMBER(BC33),ISNUMBER(BA33)),IFERROR(BC33/BA33-1,""),"")</f>
        <v/>
      </c>
      <c r="BD35" s="180">
        <f>IF(AND(ISNUMBER(BD33),ISNUMBER(BC33)),IFERROR(BD33/BC33-1,""),"")</f>
        <v/>
      </c>
      <c r="BE35" s="180">
        <f>IF(AND(ISNUMBER(BE33),ISNUMBER(BD33)),IFERROR(BE33/BD33-1,""),"")</f>
        <v/>
      </c>
      <c r="BF35" s="180">
        <f>IF(AND(ISNUMBER(BF33),ISNUMBER(BE33)),IFERROR(BF33/BE33-1,""),"")</f>
        <v/>
      </c>
      <c r="BG35" s="24" t="n"/>
      <c r="BH35" s="180">
        <f>IF(AND(ISNUMBER(BH33),ISNUMBER(BF33)),IFERROR(BH33/BF33-1,""),"")</f>
        <v/>
      </c>
      <c r="BI35" s="180">
        <f>IF(AND(ISNUMBER(BI33),ISNUMBER(BH33)),IFERROR(BI33/BH33-1,""),"")</f>
        <v/>
      </c>
      <c r="BJ35" s="180">
        <f>IF(AND(ISNUMBER(BJ33),ISNUMBER(BI33)),IFERROR(BJ33/BI33-1,""),"")</f>
        <v/>
      </c>
      <c r="BK35" s="180">
        <f>IF(AND(ISNUMBER(BK33),ISNUMBER(BJ33)),IFERROR(BK33/BJ33-1,""),"")</f>
        <v/>
      </c>
      <c r="BL35" s="24" t="n"/>
      <c r="BM35" s="180">
        <f>IF(AND(ISNUMBER(BM33),ISNUMBER(BK33)),IFERROR(BM33/BK33-1,""),"")</f>
        <v/>
      </c>
      <c r="BN35" s="180">
        <f>IF(AND(ISNUMBER(BN33),ISNUMBER(BM33)),IFERROR(BN33/BM33-1,""),"")</f>
        <v/>
      </c>
      <c r="BO35" s="180">
        <f>IF(AND(ISNUMBER(BO33),ISNUMBER(BN33)),IFERROR(BO33/BN33-1,""),"")</f>
        <v/>
      </c>
      <c r="BP35" s="180">
        <f>IF(AND(ISNUMBER(BP33),ISNUMBER(BO33)),IFERROR(BP33/BO33-1,""),"")</f>
        <v/>
      </c>
      <c r="BQ35" s="24" t="n"/>
      <c r="BR35" s="180">
        <f>IF(AND(ISNUMBER(BR33),ISNUMBER(BP33)),IFERROR(BR33/BP33-1,""),"")</f>
        <v/>
      </c>
      <c r="BS35" s="180">
        <f>IF(AND(ISNUMBER(BS33),ISNUMBER(BR33)),IFERROR(BS33/BR33-1,""),"")</f>
        <v/>
      </c>
      <c r="BT35" s="180">
        <f>IF(AND(ISNUMBER(BT33),ISNUMBER(BS33)),IFERROR(BT33/BS33-1,""),"")</f>
        <v/>
      </c>
      <c r="BU35" s="180">
        <f>IF(AND(ISNUMBER(BU33),ISNUMBER(BT33)),IFERROR(BU33/BT33-1,""),"")</f>
        <v/>
      </c>
      <c r="BV35" s="24" t="n"/>
      <c r="BW35" s="180">
        <f>IF(AND(ISNUMBER(BW33),ISNUMBER(BU33)),IFERROR(BW33/BU33-1,""),"")</f>
        <v/>
      </c>
      <c r="BX35" s="180">
        <f>IF(AND(ISNUMBER(BX33),ISNUMBER(BW33)),IFERROR(BX33/BW33-1,""),"")</f>
        <v/>
      </c>
      <c r="BY35" s="181">
        <f>IF(AND(ISNUMBER(BY33),ISNUMBER(BX33)),IFERROR(BY33/BX33-1,""),"")</f>
        <v/>
      </c>
      <c r="BZ35" s="181">
        <f>IF(AND(ISNUMBER(BZ33),ISNUMBER(BY33)),IFERROR(BZ33/BY33-1,""),"")</f>
        <v/>
      </c>
      <c r="CA35" s="25" t="n"/>
      <c r="CB35" s="25" t="n"/>
      <c r="CC35" s="25" t="n"/>
      <c r="CD35" s="25" t="n"/>
      <c r="CE35" s="25" t="n"/>
      <c r="CF35" s="6" t="n"/>
      <c r="CN35" s="16" t="inlineStr">
        <is>
          <t>YXF (LTL revenue/cwt ex fuel y/y)</t>
        </is>
      </c>
      <c r="CO35" s="44" t="n">
        <v>0.01</v>
      </c>
      <c r="CP35" s="22" t="inlineStr">
        <is>
          <t>Δ →</t>
        </is>
      </c>
      <c r="CQ35" s="44" t="n">
        <v>-0.015</v>
      </c>
      <c r="CR35" s="14" t="inlineStr">
        <is>
          <t>Yield discipline: cost-plus pricing targets inflation + reinvestment; ex-fuel revenue/cwt +4–6% p.a. 2016–25 (weight-per-shipment mix headwind as volumes recover).</t>
        </is>
      </c>
    </row>
    <row r="36" ht="15" customHeight="1">
      <c r="B36" s="26" t="inlineStr">
        <is>
          <t xml:space="preserve">  LTL revenue per shipment ($)</t>
        </is>
      </c>
      <c r="C36" s="193" t="n">
        <v>199.03</v>
      </c>
      <c r="D36" s="193" t="n">
        <v>207.24</v>
      </c>
      <c r="E36" s="193" t="n">
        <v>229.99</v>
      </c>
      <c r="F36" s="193" t="n">
        <v>216.49</v>
      </c>
      <c r="G36" s="193" t="n">
        <v>234.09</v>
      </c>
      <c r="H36" s="193" t="n">
        <v>259.5</v>
      </c>
      <c r="I36" s="193" t="n">
        <v>271.82</v>
      </c>
      <c r="J36" s="193" t="n">
        <v>276.97</v>
      </c>
      <c r="K36" s="193" t="n">
        <v>279.9</v>
      </c>
      <c r="L36" s="193" t="n">
        <v>285.7</v>
      </c>
      <c r="M36" s="193" t="n">
        <v>285.16</v>
      </c>
      <c r="N36" s="193" t="n">
        <v>282.78</v>
      </c>
      <c r="O36" s="193" t="n">
        <v>292.95</v>
      </c>
      <c r="P36" s="193" t="n">
        <v>300.5</v>
      </c>
      <c r="Q36" s="193" t="n">
        <v>301.08</v>
      </c>
      <c r="R36" s="193" t="n">
        <v>299.38</v>
      </c>
      <c r="S36" s="193" t="n">
        <v>298.65</v>
      </c>
      <c r="T36" s="193" t="n">
        <v>288.83</v>
      </c>
      <c r="U36" s="193" t="n">
        <v>286.85</v>
      </c>
      <c r="V36" s="193" t="n">
        <v>282.9</v>
      </c>
      <c r="W36" s="193" t="n">
        <v>284.47</v>
      </c>
      <c r="X36" s="193" t="n">
        <v>285.67</v>
      </c>
      <c r="Y36" s="193" t="n">
        <v>280.33</v>
      </c>
      <c r="Z36" s="193" t="n">
        <v>286.51</v>
      </c>
      <c r="AA36" s="193" t="n">
        <v>291.51</v>
      </c>
      <c r="AB36" s="193" t="n">
        <v>299.34</v>
      </c>
      <c r="AC36" s="193" t="n">
        <v>289.36</v>
      </c>
      <c r="AD36" s="193" t="n">
        <v>297.11</v>
      </c>
      <c r="AE36" s="193" t="n">
        <v>302.51</v>
      </c>
      <c r="AF36" s="193" t="n">
        <v>307.45</v>
      </c>
      <c r="AG36" s="193" t="n">
        <v>322.97</v>
      </c>
      <c r="AH36" s="193" t="n">
        <v>307.66</v>
      </c>
      <c r="AI36" s="193" t="n">
        <v>328.78</v>
      </c>
      <c r="AJ36" s="193" t="n">
        <v>334.95</v>
      </c>
      <c r="AK36" s="193" t="n">
        <v>340.91</v>
      </c>
      <c r="AL36" s="193" t="n">
        <v>352.65</v>
      </c>
      <c r="AM36" s="193" t="n">
        <v>339.35</v>
      </c>
      <c r="AN36" s="193" t="n">
        <v>346.02</v>
      </c>
      <c r="AO36" s="193" t="n">
        <v>352.88</v>
      </c>
      <c r="AP36" s="193" t="n">
        <v>353.24</v>
      </c>
      <c r="AQ36" s="193" t="n">
        <v>360.8</v>
      </c>
      <c r="AR36" s="193" t="n">
        <v>353.18</v>
      </c>
      <c r="AS36" s="193" t="n">
        <v>359.64</v>
      </c>
      <c r="AT36" s="193" t="n">
        <v>357.65</v>
      </c>
      <c r="AU36" s="193" t="n">
        <v>367.28</v>
      </c>
      <c r="AV36" s="193" t="n">
        <v>374.08</v>
      </c>
      <c r="AW36" s="193" t="n">
        <v>364.94</v>
      </c>
      <c r="AX36" s="193" t="n">
        <v>384.76</v>
      </c>
      <c r="AY36" s="193" t="n">
        <v>394.49</v>
      </c>
      <c r="AZ36" s="193" t="n">
        <v>404.65</v>
      </c>
      <c r="BA36" s="193" t="n">
        <v>422.28</v>
      </c>
      <c r="BB36" s="193" t="n">
        <v>402.01</v>
      </c>
      <c r="BC36" s="193" t="n">
        <v>446.86</v>
      </c>
      <c r="BD36" s="193" t="n">
        <v>484.08</v>
      </c>
      <c r="BE36" s="193" t="n">
        <v>482.46</v>
      </c>
      <c r="BF36" s="193" t="n">
        <v>489.96</v>
      </c>
      <c r="BG36" s="193" t="n">
        <v>475.45</v>
      </c>
      <c r="BH36" s="193" t="n">
        <v>475.88</v>
      </c>
      <c r="BI36" s="193" t="n">
        <v>464.79</v>
      </c>
      <c r="BJ36" s="193" t="n">
        <v>477.13</v>
      </c>
      <c r="BK36" s="193" t="n">
        <v>487.13</v>
      </c>
      <c r="BL36" s="193" t="n">
        <v>476.25</v>
      </c>
      <c r="BM36" s="193" t="n">
        <v>482.24</v>
      </c>
      <c r="BN36" s="193" t="n">
        <v>479.48</v>
      </c>
      <c r="BO36" s="193" t="n">
        <v>477.7</v>
      </c>
      <c r="BP36" s="193" t="n">
        <v>481.91</v>
      </c>
      <c r="BQ36" s="193" t="n">
        <v>480.29</v>
      </c>
      <c r="BR36" s="193" t="n">
        <v>485.79</v>
      </c>
      <c r="BS36" s="193" t="n">
        <v>485.31</v>
      </c>
      <c r="BT36" s="193" t="n">
        <v>494.17</v>
      </c>
      <c r="BU36" s="193" t="n">
        <v>503.95</v>
      </c>
      <c r="BV36" s="193" t="n">
        <v>492.01</v>
      </c>
      <c r="BW36" s="193" t="n">
        <v>514.5599999999999</v>
      </c>
      <c r="BX36" s="193" t="n">
        <v>568.55</v>
      </c>
      <c r="BY36" s="189">
        <f>BY33*BY17/100</f>
        <v/>
      </c>
      <c r="BZ36" s="189">
        <f>BZ33*BZ17/100</f>
        <v/>
      </c>
      <c r="CA36" s="189">
        <f>CA33*CA17/100</f>
        <v/>
      </c>
      <c r="CB36" s="189">
        <f>CB33*CB17/100</f>
        <v/>
      </c>
      <c r="CC36" s="189">
        <f>CC33*CC17/100</f>
        <v/>
      </c>
      <c r="CD36" s="189">
        <f>CD33*CD17/100</f>
        <v/>
      </c>
      <c r="CE36" s="189">
        <f>CE33*CE17/100</f>
        <v/>
      </c>
      <c r="CF36" s="20" t="n"/>
      <c r="CN36" s="26" t="inlineStr">
        <is>
          <t xml:space="preserve">  2027E</t>
        </is>
      </c>
      <c r="CO36" s="35">
        <f>CP36+$CO$35</f>
        <v/>
      </c>
      <c r="CP36" s="45" t="n">
        <v>0.05</v>
      </c>
      <c r="CQ36" s="35">
        <f>CP36+$CQ$35</f>
        <v/>
      </c>
    </row>
    <row r="37" ht="15" customHeight="1">
      <c r="B37" s="26" t="inlineStr">
        <is>
          <t xml:space="preserve">  LTL revenue per shipment, excluding fuel surcharges ($)</t>
        </is>
      </c>
      <c r="C37" s="193" t="n">
        <v>175.38</v>
      </c>
      <c r="D37" s="193" t="n">
        <v>181.47</v>
      </c>
      <c r="E37" s="193" t="n">
        <v>190.44</v>
      </c>
      <c r="F37" s="193" t="n">
        <v>195.81</v>
      </c>
      <c r="G37" s="193" t="n">
        <v>205.38</v>
      </c>
      <c r="H37" s="193" t="n">
        <v>217.04</v>
      </c>
      <c r="I37" s="193" t="n">
        <v>226.5</v>
      </c>
      <c r="J37" s="193" t="n">
        <v>230.4</v>
      </c>
      <c r="K37" s="193" t="n">
        <v>235.36</v>
      </c>
      <c r="L37" s="193" t="n">
        <v>240</v>
      </c>
      <c r="M37" s="193" t="n">
        <v>240.27</v>
      </c>
      <c r="N37" s="193" t="n">
        <v>237.37</v>
      </c>
      <c r="O37" s="193" t="n">
        <v>244.24</v>
      </c>
      <c r="P37" s="193" t="n">
        <v>251.08</v>
      </c>
      <c r="Q37" s="193" t="n">
        <v>253.01</v>
      </c>
      <c r="R37" s="193" t="n">
        <v>254.54</v>
      </c>
      <c r="S37" s="193" t="n">
        <v>250.92</v>
      </c>
      <c r="T37" s="193" t="n">
        <v>254.75</v>
      </c>
      <c r="U37" s="193" t="n">
        <v>254.44</v>
      </c>
      <c r="V37" s="193" t="n">
        <v>254.01</v>
      </c>
      <c r="W37" s="193" t="n">
        <v>257.25</v>
      </c>
      <c r="X37" s="193" t="n">
        <v>255.1</v>
      </c>
      <c r="Y37" s="193" t="n">
        <v>255.72</v>
      </c>
      <c r="Z37" s="193" t="n">
        <v>258.9</v>
      </c>
      <c r="AA37" s="193" t="n">
        <v>262.35</v>
      </c>
      <c r="AB37" s="193" t="n">
        <v>268.1</v>
      </c>
      <c r="AC37" s="193" t="n">
        <v>261.21</v>
      </c>
      <c r="AD37" s="193" t="n">
        <v>264.47</v>
      </c>
      <c r="AE37" s="193" t="n">
        <v>269.92</v>
      </c>
      <c r="AF37" s="193" t="n">
        <v>273.38</v>
      </c>
      <c r="AG37" s="193" t="n">
        <v>283.6</v>
      </c>
      <c r="AH37" s="193" t="n">
        <v>272.97</v>
      </c>
      <c r="AI37" s="193" t="n">
        <v>286.66</v>
      </c>
      <c r="AJ37" s="193" t="n">
        <v>289.69</v>
      </c>
      <c r="AK37" s="193" t="n">
        <v>293.56</v>
      </c>
      <c r="AL37" s="193" t="n">
        <v>303.8</v>
      </c>
      <c r="AM37" s="193" t="n">
        <v>293.42</v>
      </c>
      <c r="AN37" s="193" t="n">
        <v>301.56</v>
      </c>
      <c r="AO37" s="193" t="n">
        <v>306.37</v>
      </c>
      <c r="AP37" s="193" t="n">
        <v>308.26</v>
      </c>
      <c r="AQ37" s="193" t="n">
        <v>314.7</v>
      </c>
      <c r="AR37" s="193" t="n">
        <v>307.67</v>
      </c>
      <c r="AS37" s="193" t="n">
        <v>315.43</v>
      </c>
      <c r="AT37" s="193" t="n">
        <v>321.47</v>
      </c>
      <c r="AU37" s="193" t="n">
        <v>330.43</v>
      </c>
      <c r="AV37" s="193" t="n">
        <v>336.04</v>
      </c>
      <c r="AW37" s="193" t="n">
        <v>326.09</v>
      </c>
      <c r="AX37" s="193" t="n">
        <v>337.46</v>
      </c>
      <c r="AY37" s="193" t="n">
        <v>340.48</v>
      </c>
      <c r="AZ37" s="193" t="n">
        <v>346.46</v>
      </c>
      <c r="BA37" s="193" t="n">
        <v>356.93</v>
      </c>
      <c r="BB37" s="193" t="n">
        <v>345.54</v>
      </c>
      <c r="BC37" s="193" t="n">
        <v>367.07</v>
      </c>
      <c r="BD37" s="193" t="n">
        <v>372.56</v>
      </c>
      <c r="BE37" s="193" t="n">
        <v>377.14</v>
      </c>
      <c r="BF37" s="193" t="n">
        <v>385.89</v>
      </c>
      <c r="BG37" s="193" t="n">
        <v>375.36</v>
      </c>
      <c r="BH37" s="193" t="n">
        <v>388.82</v>
      </c>
      <c r="BI37" s="193" t="n">
        <v>389.39</v>
      </c>
      <c r="BJ37" s="193" t="n">
        <v>393.57</v>
      </c>
      <c r="BK37" s="193" t="n">
        <v>400.45</v>
      </c>
      <c r="BL37" s="193" t="n">
        <v>393.07</v>
      </c>
      <c r="BM37" s="193" t="n">
        <v>403.71</v>
      </c>
      <c r="BN37" s="193" t="n">
        <v>403.77</v>
      </c>
      <c r="BO37" s="193" t="n">
        <v>405.85</v>
      </c>
      <c r="BP37" s="193" t="n">
        <v>413.21</v>
      </c>
      <c r="BQ37" s="193" t="n">
        <v>406.52</v>
      </c>
      <c r="BR37" s="193" t="n">
        <v>414.68</v>
      </c>
      <c r="BS37" s="193" t="n">
        <v>416.31</v>
      </c>
      <c r="BT37" s="193" t="n">
        <v>419.67</v>
      </c>
      <c r="BU37" s="193" t="n">
        <v>429.21</v>
      </c>
      <c r="BV37" s="193" t="n">
        <v>419.74</v>
      </c>
      <c r="BW37" s="193" t="n">
        <v>434.16</v>
      </c>
      <c r="BX37" s="193" t="n">
        <v>446.44</v>
      </c>
      <c r="BY37" s="189">
        <f>BY28*BY17/100</f>
        <v/>
      </c>
      <c r="BZ37" s="189">
        <f>BZ28*BZ17/100</f>
        <v/>
      </c>
      <c r="CA37" s="189">
        <f>CA28*CA17/100</f>
        <v/>
      </c>
      <c r="CB37" s="189">
        <f>CB28*CB17/100</f>
        <v/>
      </c>
      <c r="CC37" s="189">
        <f>CC28*CC17/100</f>
        <v/>
      </c>
      <c r="CD37" s="189">
        <f>CD28*CD17/100</f>
        <v/>
      </c>
      <c r="CE37" s="189">
        <f>CE28*CE17/100</f>
        <v/>
      </c>
      <c r="CF37" s="20" t="n"/>
      <c r="CN37" s="26" t="inlineStr">
        <is>
          <t xml:space="preserve">  2028E</t>
        </is>
      </c>
      <c r="CO37" s="35">
        <f>CP37+$CO$35</f>
        <v/>
      </c>
      <c r="CP37" s="45" t="n">
        <v>0.045</v>
      </c>
      <c r="CQ37" s="35">
        <f>CP37+$CQ$35</f>
        <v/>
      </c>
    </row>
    <row r="38" ht="15" customHeight="1">
      <c r="CN38" s="26" t="inlineStr">
        <is>
          <t xml:space="preserve">  2029E</t>
        </is>
      </c>
      <c r="CO38" s="35">
        <f>CP38+$CO$35</f>
        <v/>
      </c>
      <c r="CP38" s="45" t="n">
        <v>0.045</v>
      </c>
      <c r="CQ38" s="35">
        <f>CP38+$CQ$35</f>
        <v/>
      </c>
    </row>
    <row r="39" ht="15" customHeight="1">
      <c r="B39" s="15" t="inlineStr">
        <is>
          <t>Revenue build — LTL services (statistics basis × revenue-recognition adjustment) + other services</t>
        </is>
      </c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  <c r="BA39" s="15" t="n"/>
      <c r="BB39" s="15" t="n"/>
      <c r="BC39" s="15" t="n"/>
      <c r="BD39" s="15" t="n"/>
      <c r="BE39" s="15" t="n"/>
      <c r="BF39" s="15" t="n"/>
      <c r="BG39" s="15" t="n"/>
      <c r="BH39" s="15" t="n"/>
      <c r="BI39" s="15" t="n"/>
      <c r="BJ39" s="15" t="n"/>
      <c r="BK39" s="15" t="n"/>
      <c r="BL39" s="15" t="n"/>
      <c r="BM39" s="15" t="n"/>
      <c r="BN39" s="15" t="n"/>
      <c r="BO39" s="15" t="n"/>
      <c r="BP39" s="15" t="n"/>
      <c r="BQ39" s="15" t="n"/>
      <c r="BR39" s="15" t="n"/>
      <c r="BS39" s="15" t="n"/>
      <c r="BT39" s="15" t="n"/>
      <c r="BU39" s="15" t="n"/>
      <c r="BV39" s="15" t="n"/>
      <c r="BW39" s="15" t="n"/>
      <c r="BX39" s="15" t="n"/>
      <c r="BY39" s="15" t="n"/>
      <c r="BZ39" s="15" t="n"/>
      <c r="CA39" s="15" t="n"/>
      <c r="CB39" s="15" t="n"/>
      <c r="CC39" s="15" t="n"/>
      <c r="CD39" s="15" t="n"/>
      <c r="CE39" s="15" t="n"/>
      <c r="CF39" s="16" t="inlineStr">
        <is>
          <t>REVENUE BUILD — modelling logic</t>
        </is>
      </c>
      <c r="CN39" s="26" t="inlineStr">
        <is>
          <t xml:space="preserve">  2030E</t>
        </is>
      </c>
      <c r="CO39" s="35">
        <f>CP39+$CO$35</f>
        <v/>
      </c>
      <c r="CP39" s="45" t="n">
        <v>0.04</v>
      </c>
      <c r="CQ39" s="35">
        <f>CP39+$CQ$35</f>
        <v/>
      </c>
    </row>
    <row r="40" ht="15" customHeight="1">
      <c r="B40" s="26" t="inlineStr">
        <is>
          <t xml:space="preserve">  LTL revenue — statistics basis (tons × 20 cwt × revenue/cwt)</t>
        </is>
      </c>
      <c r="C40" s="194">
        <f>IF(AND(ISNUMBER(C15),ISNUMBER(C33)),C15*20*C33/1000,"")</f>
        <v/>
      </c>
      <c r="D40" s="194">
        <f>IF(AND(ISNUMBER(D15),ISNUMBER(D33)),D15*20*D33/1000,"")</f>
        <v/>
      </c>
      <c r="E40" s="194">
        <f>IF(AND(ISNUMBER(E15),ISNUMBER(E33)),E15*20*E33/1000,"")</f>
        <v/>
      </c>
      <c r="F40" s="194">
        <f>IF(AND(ISNUMBER(F15),ISNUMBER(F33)),F15*20*F33/1000,"")</f>
        <v/>
      </c>
      <c r="G40" s="194">
        <f>IF(AND(ISNUMBER(G15),ISNUMBER(G33)),G15*20*G33/1000,"")</f>
        <v/>
      </c>
      <c r="H40" s="194">
        <f>IF(AND(ISNUMBER(H15),ISNUMBER(H33)),H15*20*H33/1000,"")</f>
        <v/>
      </c>
      <c r="I40" s="194">
        <f>IF(AND(ISNUMBER(I15),ISNUMBER(I33)),I15*20*I33/1000,"")</f>
        <v/>
      </c>
      <c r="J40" s="194">
        <f>IF(AND(ISNUMBER(J15),ISNUMBER(J33)),J15*20*J33/1000,"")</f>
        <v/>
      </c>
      <c r="K40" s="194">
        <f>IF(AND(ISNUMBER(K15),ISNUMBER(K33)),K15*20*K33/1000,"")</f>
        <v/>
      </c>
      <c r="L40" s="194">
        <f>IF(AND(ISNUMBER(L15),ISNUMBER(L33)),L15*20*L33/1000,"")</f>
        <v/>
      </c>
      <c r="M40" s="194">
        <f>IF(AND(ISNUMBER(M15),ISNUMBER(M33)),M15*20*M33/1000,"")</f>
        <v/>
      </c>
      <c r="N40" s="194">
        <f>IF(AND(ISNUMBER(N15),ISNUMBER(N33)),N15*20*N33/1000,"")</f>
        <v/>
      </c>
      <c r="O40" s="194">
        <f>IF(AND(ISNUMBER(O15),ISNUMBER(O33)),O15*20*O33/1000,"")</f>
        <v/>
      </c>
      <c r="P40" s="194">
        <f>IF(AND(ISNUMBER(P15),ISNUMBER(P33)),P15*20*P33/1000,"")</f>
        <v/>
      </c>
      <c r="Q40" s="194">
        <f>IF(AND(ISNUMBER(Q15),ISNUMBER(Q33)),Q15*20*Q33/1000,"")</f>
        <v/>
      </c>
      <c r="R40" s="194">
        <f>IF(AND(ISNUMBER(R15),ISNUMBER(R33)),R15*20*R33/1000,"")</f>
        <v/>
      </c>
      <c r="S40" s="194">
        <f>IF(AND(ISNUMBER(S15),ISNUMBER(S33)),S15*20*S33/1000,"")</f>
        <v/>
      </c>
      <c r="T40" s="194">
        <f>IF(AND(ISNUMBER(T15),ISNUMBER(T33)),T15*20*T33/1000,"")</f>
        <v/>
      </c>
      <c r="U40" s="194">
        <f>IF(AND(ISNUMBER(U15),ISNUMBER(U33)),U15*20*U33/1000,"")</f>
        <v/>
      </c>
      <c r="V40" s="194">
        <f>IF(AND(ISNUMBER(V15),ISNUMBER(V33)),V15*20*V33/1000,"")</f>
        <v/>
      </c>
      <c r="W40" s="194">
        <f>IF(AND(ISNUMBER(W15),ISNUMBER(W33)),W15*20*W33/1000,"")</f>
        <v/>
      </c>
      <c r="X40" s="194">
        <f>IF(AND(ISNUMBER(X15),ISNUMBER(X33)),X15*20*X33/1000,"")</f>
        <v/>
      </c>
      <c r="Y40" s="194">
        <f>IF(AND(ISNUMBER(Y15),ISNUMBER(Y33)),Y15*20*Y33/1000,"")</f>
        <v/>
      </c>
      <c r="Z40" s="194">
        <f>IF(AND(ISNUMBER(Z15),ISNUMBER(Z33)),Z15*20*Z33/1000,"")</f>
        <v/>
      </c>
      <c r="AA40" s="194">
        <f>IF(AND(ISNUMBER(AA15),ISNUMBER(AA33)),AA15*20*AA33/1000,"")</f>
        <v/>
      </c>
      <c r="AB40" s="194">
        <f>IF(AND(ISNUMBER(AB15),ISNUMBER(AB33)),AB15*20*AB33/1000,"")</f>
        <v/>
      </c>
      <c r="AC40" s="194">
        <f>IF(AND(ISNUMBER(AC15),ISNUMBER(AC33)),AC15*20*AC33/1000,"")</f>
        <v/>
      </c>
      <c r="AD40" s="194">
        <f>IF(AND(ISNUMBER(AD15),ISNUMBER(AD33)),AD15*20*AD33/1000,"")</f>
        <v/>
      </c>
      <c r="AE40" s="194">
        <f>IF(AND(ISNUMBER(AE15),ISNUMBER(AE33)),AE15*20*AE33/1000,"")</f>
        <v/>
      </c>
      <c r="AF40" s="194">
        <f>IF(AND(ISNUMBER(AF15),ISNUMBER(AF33)),AF15*20*AF33/1000,"")</f>
        <v/>
      </c>
      <c r="AG40" s="194">
        <f>IF(AND(ISNUMBER(AG15),ISNUMBER(AG33)),AG15*20*AG33/1000,"")</f>
        <v/>
      </c>
      <c r="AH40" s="194">
        <f>IF(AND(ISNUMBER(AH15),ISNUMBER(AH33)),AH15*20*AH33/1000,"")</f>
        <v/>
      </c>
      <c r="AI40" s="194">
        <f>IF(AND(ISNUMBER(AI15),ISNUMBER(AI33)),AI15*20*AI33/1000,"")</f>
        <v/>
      </c>
      <c r="AJ40" s="194">
        <f>IF(AND(ISNUMBER(AJ15),ISNUMBER(AJ33)),AJ15*20*AJ33/1000,"")</f>
        <v/>
      </c>
      <c r="AK40" s="194">
        <f>IF(AND(ISNUMBER(AK15),ISNUMBER(AK33)),AK15*20*AK33/1000,"")</f>
        <v/>
      </c>
      <c r="AL40" s="194">
        <f>IF(AND(ISNUMBER(AL15),ISNUMBER(AL33)),AL15*20*AL33/1000,"")</f>
        <v/>
      </c>
      <c r="AM40" s="194">
        <f>IF(AND(ISNUMBER(AM15),ISNUMBER(AM33)),AM15*20*AM33/1000,"")</f>
        <v/>
      </c>
      <c r="AN40" s="194">
        <f>IF(AND(ISNUMBER(AN15),ISNUMBER(AN33)),AN15*20*AN33/1000,"")</f>
        <v/>
      </c>
      <c r="AO40" s="194">
        <f>IF(AND(ISNUMBER(AO15),ISNUMBER(AO33)),AO15*20*AO33/1000,"")</f>
        <v/>
      </c>
      <c r="AP40" s="194">
        <f>IF(AND(ISNUMBER(AP15),ISNUMBER(AP33)),AP15*20*AP33/1000,"")</f>
        <v/>
      </c>
      <c r="AQ40" s="194">
        <f>IF(AND(ISNUMBER(AQ15),ISNUMBER(AQ33)),AQ15*20*AQ33/1000,"")</f>
        <v/>
      </c>
      <c r="AR40" s="194">
        <f>IF(AND(ISNUMBER(AR15),ISNUMBER(AR33)),AR15*20*AR33/1000,"")</f>
        <v/>
      </c>
      <c r="AS40" s="194">
        <f>IF(AND(ISNUMBER(AS15),ISNUMBER(AS33)),AS15*20*AS33/1000,"")</f>
        <v/>
      </c>
      <c r="AT40" s="194">
        <f>IF(AND(ISNUMBER(AT15),ISNUMBER(AT33)),AT15*20*AT33/1000,"")</f>
        <v/>
      </c>
      <c r="AU40" s="194">
        <f>IF(AND(ISNUMBER(AU15),ISNUMBER(AU33)),AU15*20*AU33/1000,"")</f>
        <v/>
      </c>
      <c r="AV40" s="194">
        <f>IF(AND(ISNUMBER(AV15),ISNUMBER(AV33)),AV15*20*AV33/1000,"")</f>
        <v/>
      </c>
      <c r="AW40" s="194">
        <f>IF(AND(ISNUMBER(AW15),ISNUMBER(AW33)),AW15*20*AW33/1000,"")</f>
        <v/>
      </c>
      <c r="AX40" s="194">
        <f>IF(AND(ISNUMBER(AX15),ISNUMBER(AX33)),AX15*20*AX33/1000,"")</f>
        <v/>
      </c>
      <c r="AY40" s="194">
        <f>IF(AND(ISNUMBER(AY15),ISNUMBER(AY33)),AY15*20*AY33/1000,"")</f>
        <v/>
      </c>
      <c r="AZ40" s="194">
        <f>IF(AND(ISNUMBER(AZ15),ISNUMBER(AZ33)),AZ15*20*AZ33/1000,"")</f>
        <v/>
      </c>
      <c r="BA40" s="194">
        <f>IF(AND(ISNUMBER(BA15),ISNUMBER(BA33)),BA15*20*BA33/1000,"")</f>
        <v/>
      </c>
      <c r="BB40" s="194">
        <f>IF(AND(ISNUMBER(BB15),ISNUMBER(BB33)),BB15*20*BB33/1000,"")</f>
        <v/>
      </c>
      <c r="BC40" s="194">
        <f>IF(AND(ISNUMBER(BC15),ISNUMBER(BC33)),BC15*20*BC33/1000,"")</f>
        <v/>
      </c>
      <c r="BD40" s="194">
        <f>IF(AND(ISNUMBER(BD15),ISNUMBER(BD33)),BD15*20*BD33/1000,"")</f>
        <v/>
      </c>
      <c r="BE40" s="194">
        <f>IF(AND(ISNUMBER(BE15),ISNUMBER(BE33)),BE15*20*BE33/1000,"")</f>
        <v/>
      </c>
      <c r="BF40" s="194">
        <f>IF(AND(ISNUMBER(BF15),ISNUMBER(BF33)),BF15*20*BF33/1000,"")</f>
        <v/>
      </c>
      <c r="BG40" s="194">
        <f>IF(AND(ISNUMBER(BG15),ISNUMBER(BG33)),BG15*20*BG33/1000,"")</f>
        <v/>
      </c>
      <c r="BH40" s="194">
        <f>IF(AND(ISNUMBER(BH15),ISNUMBER(BH33)),BH15*20*BH33/1000,"")</f>
        <v/>
      </c>
      <c r="BI40" s="194">
        <f>IF(AND(ISNUMBER(BI15),ISNUMBER(BI33)),BI15*20*BI33/1000,"")</f>
        <v/>
      </c>
      <c r="BJ40" s="194">
        <f>IF(AND(ISNUMBER(BJ15),ISNUMBER(BJ33)),BJ15*20*BJ33/1000,"")</f>
        <v/>
      </c>
      <c r="BK40" s="194">
        <f>IF(AND(ISNUMBER(BK15),ISNUMBER(BK33)),BK15*20*BK33/1000,"")</f>
        <v/>
      </c>
      <c r="BL40" s="194">
        <f>IF(AND(ISNUMBER(BL15),ISNUMBER(BL33)),BL15*20*BL33/1000,"")</f>
        <v/>
      </c>
      <c r="BM40" s="194">
        <f>IF(AND(ISNUMBER(BM15),ISNUMBER(BM33)),BM15*20*BM33/1000,"")</f>
        <v/>
      </c>
      <c r="BN40" s="194">
        <f>IF(AND(ISNUMBER(BN15),ISNUMBER(BN33)),BN15*20*BN33/1000,"")</f>
        <v/>
      </c>
      <c r="BO40" s="194">
        <f>IF(AND(ISNUMBER(BO15),ISNUMBER(BO33)),BO15*20*BO33/1000,"")</f>
        <v/>
      </c>
      <c r="BP40" s="194">
        <f>IF(AND(ISNUMBER(BP15),ISNUMBER(BP33)),BP15*20*BP33/1000,"")</f>
        <v/>
      </c>
      <c r="BQ40" s="194">
        <f>IF(AND(ISNUMBER(BQ15),ISNUMBER(BQ33)),BQ15*20*BQ33/1000,"")</f>
        <v/>
      </c>
      <c r="BR40" s="194">
        <f>IF(AND(ISNUMBER(BR15),ISNUMBER(BR33)),BR15*20*BR33/1000,"")</f>
        <v/>
      </c>
      <c r="BS40" s="194">
        <f>IF(AND(ISNUMBER(BS15),ISNUMBER(BS33)),BS15*20*BS33/1000,"")</f>
        <v/>
      </c>
      <c r="BT40" s="194">
        <f>IF(AND(ISNUMBER(BT15),ISNUMBER(BT33)),BT15*20*BT33/1000,"")</f>
        <v/>
      </c>
      <c r="BU40" s="194">
        <f>IF(AND(ISNUMBER(BU15),ISNUMBER(BU33)),BU15*20*BU33/1000,"")</f>
        <v/>
      </c>
      <c r="BV40" s="194">
        <f>IF(AND(ISNUMBER(BV15),ISNUMBER(BV33)),BV15*20*BV33/1000,"")</f>
        <v/>
      </c>
      <c r="BW40" s="194">
        <f>IF(AND(ISNUMBER(BW15),ISNUMBER(BW33)),BW15*20*BW33/1000,"")</f>
        <v/>
      </c>
      <c r="BX40" s="194">
        <f>IF(AND(ISNUMBER(BX15),ISNUMBER(BX33)),BX15*20*BX33/1000,"")</f>
        <v/>
      </c>
      <c r="BY40" s="176">
        <f>IF(AND(ISNUMBER(BY15),ISNUMBER(BY33)),BY15*20*BY33/1000,"")</f>
        <v/>
      </c>
      <c r="BZ40" s="176">
        <f>IF(AND(ISNUMBER(BZ15),ISNUMBER(BZ33)),BZ15*20*BZ33/1000,"")</f>
        <v/>
      </c>
      <c r="CA40" s="176">
        <f>IF(AND(ISNUMBER(CA15),ISNUMBER(CA33)),CA15*20*CA33/1000,"")</f>
        <v/>
      </c>
      <c r="CB40" s="176">
        <f>IF(AND(ISNUMBER(CB15),ISNUMBER(CB33)),CB15*20*CB33/1000,"")</f>
        <v/>
      </c>
      <c r="CC40" s="176">
        <f>IF(AND(ISNUMBER(CC15),ISNUMBER(CC33)),CC15*20*CC33/1000,"")</f>
        <v/>
      </c>
      <c r="CD40" s="176">
        <f>IF(AND(ISNUMBER(CD15),ISNUMBER(CD33)),CD15*20*CD33/1000,"")</f>
        <v/>
      </c>
      <c r="CE40" s="176">
        <f>IF(AND(ISNUMBER(CE15),ISNUMBER(CE33)),CE15*20*CE33/1000,"")</f>
        <v/>
      </c>
      <c r="CF40" s="20" t="inlineStr">
        <is>
          <t>Operating statistics exclude undelivered-freight adjustments (revenue recognised over transit) and non-weight-priced services.</t>
        </is>
      </c>
      <c r="CN40" s="16" t="inlineStr">
        <is>
          <t>OR (operating ratio)</t>
        </is>
      </c>
      <c r="CO40" s="44" t="n">
        <v>-0.015</v>
      </c>
      <c r="CP40" s="22" t="inlineStr">
        <is>
          <t>Δ →</t>
        </is>
      </c>
      <c r="CQ40" s="44" t="n">
        <v>0.025</v>
      </c>
      <c r="CR40" s="14" t="inlineStr">
        <is>
          <t>FY2022 record 70.6%; FY25 74.7% (de-leverage at −8% tons/day). Density recovery on a network with ~30% excess capacity; long-term ambition low/mid-60s.</t>
        </is>
      </c>
    </row>
    <row r="41" ht="15" customHeight="1">
      <c r="B41" s="26" t="inlineStr">
        <is>
          <t xml:space="preserve">  Revenue-recognition, undelivered-freight &amp; other adjustments (reported LTL revenue − statistics basis)</t>
        </is>
      </c>
      <c r="C41" s="194">
        <f>IF(ISNUMBER(C40),IF(ISNUMBER(C43),C43,C100)-C40,"")</f>
        <v/>
      </c>
      <c r="D41" s="194">
        <f>IF(ISNUMBER(D40),IF(ISNUMBER(D43),D43,D100)-D40,"")</f>
        <v/>
      </c>
      <c r="E41" s="194">
        <f>IF(ISNUMBER(E40),IF(ISNUMBER(E43),E43,E100)-E40,"")</f>
        <v/>
      </c>
      <c r="F41" s="194">
        <f>IF(ISNUMBER(F40),IF(ISNUMBER(F43),F43,F100)-F40,"")</f>
        <v/>
      </c>
      <c r="G41" s="194">
        <f>IF(ISNUMBER(G40),IF(ISNUMBER(G43),G43,G100)-G40,"")</f>
        <v/>
      </c>
      <c r="H41" s="194">
        <f>IF(ISNUMBER(H40),IF(ISNUMBER(H43),H43,H100)-H40,"")</f>
        <v/>
      </c>
      <c r="I41" s="194">
        <f>IF(ISNUMBER(I40),IF(ISNUMBER(I43),I43,I100)-I40,"")</f>
        <v/>
      </c>
      <c r="J41" s="194">
        <f>IF(ISNUMBER(J40),IF(ISNUMBER(J43),J43,J100)-J40,"")</f>
        <v/>
      </c>
      <c r="K41" s="194">
        <f>IF(ISNUMBER(K40),IF(ISNUMBER(K43),K43,K100)-K40,"")</f>
        <v/>
      </c>
      <c r="L41" s="194">
        <f>IF(ISNUMBER(L40),IF(ISNUMBER(L43),L43,L100)-L40,"")</f>
        <v/>
      </c>
      <c r="M41" s="194">
        <f>IF(ISNUMBER(M40),IF(ISNUMBER(M43),M43,M100)-M40,"")</f>
        <v/>
      </c>
      <c r="N41" s="194">
        <f>IF(ISNUMBER(N40),IF(ISNUMBER(N43),N43,N100)-N40,"")</f>
        <v/>
      </c>
      <c r="O41" s="194">
        <f>IF(ISNUMBER(O40),IF(ISNUMBER(O43),O43,O100)-O40,"")</f>
        <v/>
      </c>
      <c r="P41" s="194">
        <f>IF(ISNUMBER(P40),IF(ISNUMBER(P43),P43,P100)-P40,"")</f>
        <v/>
      </c>
      <c r="Q41" s="194">
        <f>IF(ISNUMBER(Q40),IF(ISNUMBER(Q43),Q43,Q100)-Q40,"")</f>
        <v/>
      </c>
      <c r="R41" s="194">
        <f>IF(ISNUMBER(R40),IF(ISNUMBER(R43),R43,R100)-R40,"")</f>
        <v/>
      </c>
      <c r="S41" s="194">
        <f>IF(ISNUMBER(S40),IF(ISNUMBER(S43),S43,S100)-S40,"")</f>
        <v/>
      </c>
      <c r="T41" s="194">
        <f>IF(ISNUMBER(T40),IF(ISNUMBER(T43),T43,T100)-T40,"")</f>
        <v/>
      </c>
      <c r="U41" s="194">
        <f>IF(ISNUMBER(U40),IF(ISNUMBER(U43),U43,U100)-U40,"")</f>
        <v/>
      </c>
      <c r="V41" s="194">
        <f>IF(ISNUMBER(V40),IF(ISNUMBER(V43),V43,V100)-V40,"")</f>
        <v/>
      </c>
      <c r="W41" s="194">
        <f>IF(ISNUMBER(W40),IF(ISNUMBER(W43),W43,W100)-W40,"")</f>
        <v/>
      </c>
      <c r="X41" s="194">
        <f>IF(ISNUMBER(X40),IF(ISNUMBER(X43),X43,X100)-X40,"")</f>
        <v/>
      </c>
      <c r="Y41" s="194">
        <f>IF(ISNUMBER(Y40),IF(ISNUMBER(Y43),Y43,Y100)-Y40,"")</f>
        <v/>
      </c>
      <c r="Z41" s="194">
        <f>IF(ISNUMBER(Z40),IF(ISNUMBER(Z43),Z43,Z100)-Z40,"")</f>
        <v/>
      </c>
      <c r="AA41" s="194">
        <f>IF(ISNUMBER(AA40),IF(ISNUMBER(AA43),AA43,AA100)-AA40,"")</f>
        <v/>
      </c>
      <c r="AB41" s="194">
        <f>IF(ISNUMBER(AB40),IF(ISNUMBER(AB43),AB43,AB100)-AB40,"")</f>
        <v/>
      </c>
      <c r="AC41" s="194">
        <f>IF(ISNUMBER(AC40),IF(ISNUMBER(AC43),AC43,AC100)-AC40,"")</f>
        <v/>
      </c>
      <c r="AD41" s="194">
        <f>IF(ISNUMBER(AD40),IF(ISNUMBER(AD43),AD43,AD100)-AD40,"")</f>
        <v/>
      </c>
      <c r="AE41" s="194">
        <f>IF(ISNUMBER(AE40),IF(ISNUMBER(AE43),AE43,AE100)-AE40,"")</f>
        <v/>
      </c>
      <c r="AF41" s="194">
        <f>IF(ISNUMBER(AF40),IF(ISNUMBER(AF43),AF43,AF100)-AF40,"")</f>
        <v/>
      </c>
      <c r="AG41" s="194">
        <f>IF(ISNUMBER(AG40),IF(ISNUMBER(AG43),AG43,AG100)-AG40,"")</f>
        <v/>
      </c>
      <c r="AH41" s="194">
        <f>IF(ISNUMBER(AH40),IF(ISNUMBER(AH43),AH43,AH100)-AH40,"")</f>
        <v/>
      </c>
      <c r="AI41" s="194">
        <f>IF(ISNUMBER(AI40),IF(ISNUMBER(AI43),AI43,AI100)-AI40,"")</f>
        <v/>
      </c>
      <c r="AJ41" s="194">
        <f>IF(ISNUMBER(AJ40),IF(ISNUMBER(AJ43),AJ43,AJ100)-AJ40,"")</f>
        <v/>
      </c>
      <c r="AK41" s="194">
        <f>IF(ISNUMBER(AK40),IF(ISNUMBER(AK43),AK43,AK100)-AK40,"")</f>
        <v/>
      </c>
      <c r="AL41" s="194">
        <f>IF(ISNUMBER(AL40),IF(ISNUMBER(AL43),AL43,AL100)-AL40,"")</f>
        <v/>
      </c>
      <c r="AM41" s="194">
        <f>IF(ISNUMBER(AM40),IF(ISNUMBER(AM43),AM43,AM100)-AM40,"")</f>
        <v/>
      </c>
      <c r="AN41" s="194">
        <f>IF(ISNUMBER(AN40),IF(ISNUMBER(AN43),AN43,AN100)-AN40,"")</f>
        <v/>
      </c>
      <c r="AO41" s="194">
        <f>IF(ISNUMBER(AO40),IF(ISNUMBER(AO43),AO43,AO100)-AO40,"")</f>
        <v/>
      </c>
      <c r="AP41" s="194">
        <f>IF(ISNUMBER(AP40),IF(ISNUMBER(AP43),AP43,AP100)-AP40,"")</f>
        <v/>
      </c>
      <c r="AQ41" s="194">
        <f>IF(ISNUMBER(AQ40),IF(ISNUMBER(AQ43),AQ43,AQ100)-AQ40,"")</f>
        <v/>
      </c>
      <c r="AR41" s="194">
        <f>IF(ISNUMBER(AR40),IF(ISNUMBER(AR43),AR43,AR100)-AR40,"")</f>
        <v/>
      </c>
      <c r="AS41" s="194">
        <f>IF(ISNUMBER(AS40),IF(ISNUMBER(AS43),AS43,AS100)-AS40,"")</f>
        <v/>
      </c>
      <c r="AT41" s="194">
        <f>IF(ISNUMBER(AT40),IF(ISNUMBER(AT43),AT43,AT100)-AT40,"")</f>
        <v/>
      </c>
      <c r="AU41" s="194">
        <f>IF(ISNUMBER(AU40),IF(ISNUMBER(AU43),AU43,AU100)-AU40,"")</f>
        <v/>
      </c>
      <c r="AV41" s="194">
        <f>IF(ISNUMBER(AV40),IF(ISNUMBER(AV43),AV43,AV100)-AV40,"")</f>
        <v/>
      </c>
      <c r="AW41" s="194">
        <f>IF(ISNUMBER(AW40),IF(ISNUMBER(AW43),AW43,AW100)-AW40,"")</f>
        <v/>
      </c>
      <c r="AX41" s="194">
        <f>IF(ISNUMBER(AX40),IF(ISNUMBER(AX43),AX43,AX100)-AX40,"")</f>
        <v/>
      </c>
      <c r="AY41" s="194">
        <f>IF(ISNUMBER(AY40),IF(ISNUMBER(AY43),AY43,AY100)-AY40,"")</f>
        <v/>
      </c>
      <c r="AZ41" s="194">
        <f>IF(ISNUMBER(AZ40),IF(ISNUMBER(AZ43),AZ43,AZ100)-AZ40,"")</f>
        <v/>
      </c>
      <c r="BA41" s="194">
        <f>IF(ISNUMBER(BA40),IF(ISNUMBER(BA43),BA43,BA100)-BA40,"")</f>
        <v/>
      </c>
      <c r="BB41" s="194">
        <f>IF(ISNUMBER(BB40),IF(ISNUMBER(BB43),BB43,BB100)-BB40,"")</f>
        <v/>
      </c>
      <c r="BC41" s="194">
        <f>IF(ISNUMBER(BC40),IF(ISNUMBER(BC43),BC43,BC100)-BC40,"")</f>
        <v/>
      </c>
      <c r="BD41" s="194">
        <f>IF(ISNUMBER(BD40),IF(ISNUMBER(BD43),BD43,BD100)-BD40,"")</f>
        <v/>
      </c>
      <c r="BE41" s="194">
        <f>IF(ISNUMBER(BE40),IF(ISNUMBER(BE43),BE43,BE100)-BE40,"")</f>
        <v/>
      </c>
      <c r="BF41" s="194">
        <f>IF(ISNUMBER(BF40),IF(ISNUMBER(BF43),BF43,BF100)-BF40,"")</f>
        <v/>
      </c>
      <c r="BG41" s="194">
        <f>IF(ISNUMBER(BG40),IF(ISNUMBER(BG43),BG43,BG100)-BG40,"")</f>
        <v/>
      </c>
      <c r="BH41" s="194">
        <f>IF(ISNUMBER(BH40),IF(ISNUMBER(BH43),BH43,BH100)-BH40,"")</f>
        <v/>
      </c>
      <c r="BI41" s="194">
        <f>IF(ISNUMBER(BI40),IF(ISNUMBER(BI43),BI43,BI100)-BI40,"")</f>
        <v/>
      </c>
      <c r="BJ41" s="194">
        <f>IF(ISNUMBER(BJ40),IF(ISNUMBER(BJ43),BJ43,BJ100)-BJ40,"")</f>
        <v/>
      </c>
      <c r="BK41" s="194">
        <f>IF(ISNUMBER(BK40),IF(ISNUMBER(BK43),BK43,BK100)-BK40,"")</f>
        <v/>
      </c>
      <c r="BL41" s="194">
        <f>IF(ISNUMBER(BL40),IF(ISNUMBER(BL43),BL43,BL100)-BL40,"")</f>
        <v/>
      </c>
      <c r="BM41" s="194">
        <f>IF(ISNUMBER(BM40),IF(ISNUMBER(BM43),BM43,BM100)-BM40,"")</f>
        <v/>
      </c>
      <c r="BN41" s="194">
        <f>IF(ISNUMBER(BN40),IF(ISNUMBER(BN43),BN43,BN100)-BN40,"")</f>
        <v/>
      </c>
      <c r="BO41" s="194">
        <f>IF(ISNUMBER(BO40),IF(ISNUMBER(BO43),BO43,BO100)-BO40,"")</f>
        <v/>
      </c>
      <c r="BP41" s="194">
        <f>IF(ISNUMBER(BP40),IF(ISNUMBER(BP43),BP43,BP100)-BP40,"")</f>
        <v/>
      </c>
      <c r="BQ41" s="194">
        <f>IF(ISNUMBER(BQ40),IF(ISNUMBER(BQ43),BQ43,BQ100)-BQ40,"")</f>
        <v/>
      </c>
      <c r="BR41" s="194">
        <f>IF(ISNUMBER(BR40),IF(ISNUMBER(BR43),BR43,BR100)-BR40,"")</f>
        <v/>
      </c>
      <c r="BS41" s="194">
        <f>IF(ISNUMBER(BS40),IF(ISNUMBER(BS43),BS43,BS100)-BS40,"")</f>
        <v/>
      </c>
      <c r="BT41" s="194">
        <f>IF(ISNUMBER(BT40),IF(ISNUMBER(BT43),BT43,BT100)-BT40,"")</f>
        <v/>
      </c>
      <c r="BU41" s="194">
        <f>IF(ISNUMBER(BU40),IF(ISNUMBER(BU43),BU43,BU100)-BU40,"")</f>
        <v/>
      </c>
      <c r="BV41" s="194">
        <f>IF(ISNUMBER(BV40),IF(ISNUMBER(BV43),BV43,BV100)-BV40,"")</f>
        <v/>
      </c>
      <c r="BW41" s="194">
        <f>IF(ISNUMBER(BW40),IF(ISNUMBER(BW43),BW43,BW100)-BW40,"")</f>
        <v/>
      </c>
      <c r="BX41" s="194">
        <f>IF(ISNUMBER(BX40),IF(ISNUMBER(BX43),BX43,BX100)-BX40,"")</f>
        <v/>
      </c>
      <c r="BY41" s="176">
        <f>BY40*BY42</f>
        <v/>
      </c>
      <c r="BZ41" s="176">
        <f>BZ40*BZ42</f>
        <v/>
      </c>
      <c r="CA41" s="176">
        <f>SUM(BW41,BX41,BY41,BZ41)</f>
        <v/>
      </c>
      <c r="CB41" s="176">
        <f>CB40*CB42</f>
        <v/>
      </c>
      <c r="CC41" s="176">
        <f>CC40*CC42</f>
        <v/>
      </c>
      <c r="CD41" s="176">
        <f>CD40*CD42</f>
        <v/>
      </c>
      <c r="CE41" s="176">
        <f>CE40*CE42</f>
        <v/>
      </c>
      <c r="CF41" s="20" t="inlineStr">
        <is>
          <t>To 2018 (LTL / other services split not published) = total revenue − statistics basis, i.e. includes other services.</t>
        </is>
      </c>
      <c r="CN41" s="26" t="inlineStr">
        <is>
          <t xml:space="preserve">  2027E</t>
        </is>
      </c>
      <c r="CO41" s="35">
        <f>CP41+$CO$40</f>
        <v/>
      </c>
      <c r="CP41" s="45" t="n">
        <v>0.705</v>
      </c>
      <c r="CQ41" s="35">
        <f>CP41+$CQ$40</f>
        <v/>
      </c>
    </row>
    <row r="42" ht="15" customHeight="1">
      <c r="B42" s="26" t="inlineStr">
        <is>
          <t xml:space="preserve">  Adjustment % of statistics-basis revenue</t>
        </is>
      </c>
      <c r="C42" s="190">
        <f>IF(AND(ISNUMBER(C41),ISNUMBER(C40)),IFERROR(C41/C40,""),"")</f>
        <v/>
      </c>
      <c r="D42" s="190">
        <f>IF(AND(ISNUMBER(D41),ISNUMBER(D40)),IFERROR(D41/D40,""),"")</f>
        <v/>
      </c>
      <c r="E42" s="190">
        <f>IF(AND(ISNUMBER(E41),ISNUMBER(E40)),IFERROR(E41/E40,""),"")</f>
        <v/>
      </c>
      <c r="F42" s="190">
        <f>IF(AND(ISNUMBER(F41),ISNUMBER(F40)),IFERROR(F41/F40,""),"")</f>
        <v/>
      </c>
      <c r="G42" s="190">
        <f>IF(AND(ISNUMBER(G41),ISNUMBER(G40)),IFERROR(G41/G40,""),"")</f>
        <v/>
      </c>
      <c r="H42" s="190">
        <f>IF(AND(ISNUMBER(H41),ISNUMBER(H40)),IFERROR(H41/H40,""),"")</f>
        <v/>
      </c>
      <c r="I42" s="190">
        <f>IF(AND(ISNUMBER(I41),ISNUMBER(I40)),IFERROR(I41/I40,""),"")</f>
        <v/>
      </c>
      <c r="J42" s="190">
        <f>IF(AND(ISNUMBER(J41),ISNUMBER(J40)),IFERROR(J41/J40,""),"")</f>
        <v/>
      </c>
      <c r="K42" s="190">
        <f>IF(AND(ISNUMBER(K41),ISNUMBER(K40)),IFERROR(K41/K40,""),"")</f>
        <v/>
      </c>
      <c r="L42" s="190">
        <f>IF(AND(ISNUMBER(L41),ISNUMBER(L40)),IFERROR(L41/L40,""),"")</f>
        <v/>
      </c>
      <c r="M42" s="190">
        <f>IF(AND(ISNUMBER(M41),ISNUMBER(M40)),IFERROR(M41/M40,""),"")</f>
        <v/>
      </c>
      <c r="N42" s="190">
        <f>IF(AND(ISNUMBER(N41),ISNUMBER(N40)),IFERROR(N41/N40,""),"")</f>
        <v/>
      </c>
      <c r="O42" s="190">
        <f>IF(AND(ISNUMBER(O41),ISNUMBER(O40)),IFERROR(O41/O40,""),"")</f>
        <v/>
      </c>
      <c r="P42" s="190">
        <f>IF(AND(ISNUMBER(P41),ISNUMBER(P40)),IFERROR(P41/P40,""),"")</f>
        <v/>
      </c>
      <c r="Q42" s="190">
        <f>IF(AND(ISNUMBER(Q41),ISNUMBER(Q40)),IFERROR(Q41/Q40,""),"")</f>
        <v/>
      </c>
      <c r="R42" s="190">
        <f>IF(AND(ISNUMBER(R41),ISNUMBER(R40)),IFERROR(R41/R40,""),"")</f>
        <v/>
      </c>
      <c r="S42" s="190">
        <f>IF(AND(ISNUMBER(S41),ISNUMBER(S40)),IFERROR(S41/S40,""),"")</f>
        <v/>
      </c>
      <c r="T42" s="190">
        <f>IF(AND(ISNUMBER(T41),ISNUMBER(T40)),IFERROR(T41/T40,""),"")</f>
        <v/>
      </c>
      <c r="U42" s="190">
        <f>IF(AND(ISNUMBER(U41),ISNUMBER(U40)),IFERROR(U41/U40,""),"")</f>
        <v/>
      </c>
      <c r="V42" s="190">
        <f>IF(AND(ISNUMBER(V41),ISNUMBER(V40)),IFERROR(V41/V40,""),"")</f>
        <v/>
      </c>
      <c r="W42" s="190">
        <f>IF(AND(ISNUMBER(W41),ISNUMBER(W40)),IFERROR(W41/W40,""),"")</f>
        <v/>
      </c>
      <c r="X42" s="190">
        <f>IF(AND(ISNUMBER(X41),ISNUMBER(X40)),IFERROR(X41/X40,""),"")</f>
        <v/>
      </c>
      <c r="Y42" s="190">
        <f>IF(AND(ISNUMBER(Y41),ISNUMBER(Y40)),IFERROR(Y41/Y40,""),"")</f>
        <v/>
      </c>
      <c r="Z42" s="190">
        <f>IF(AND(ISNUMBER(Z41),ISNUMBER(Z40)),IFERROR(Z41/Z40,""),"")</f>
        <v/>
      </c>
      <c r="AA42" s="190">
        <f>IF(AND(ISNUMBER(AA41),ISNUMBER(AA40)),IFERROR(AA41/AA40,""),"")</f>
        <v/>
      </c>
      <c r="AB42" s="190">
        <f>IF(AND(ISNUMBER(AB41),ISNUMBER(AB40)),IFERROR(AB41/AB40,""),"")</f>
        <v/>
      </c>
      <c r="AC42" s="190">
        <f>IF(AND(ISNUMBER(AC41),ISNUMBER(AC40)),IFERROR(AC41/AC40,""),"")</f>
        <v/>
      </c>
      <c r="AD42" s="190">
        <f>IF(AND(ISNUMBER(AD41),ISNUMBER(AD40)),IFERROR(AD41/AD40,""),"")</f>
        <v/>
      </c>
      <c r="AE42" s="190">
        <f>IF(AND(ISNUMBER(AE41),ISNUMBER(AE40)),IFERROR(AE41/AE40,""),"")</f>
        <v/>
      </c>
      <c r="AF42" s="190">
        <f>IF(AND(ISNUMBER(AF41),ISNUMBER(AF40)),IFERROR(AF41/AF40,""),"")</f>
        <v/>
      </c>
      <c r="AG42" s="190">
        <f>IF(AND(ISNUMBER(AG41),ISNUMBER(AG40)),IFERROR(AG41/AG40,""),"")</f>
        <v/>
      </c>
      <c r="AH42" s="190">
        <f>IF(AND(ISNUMBER(AH41),ISNUMBER(AH40)),IFERROR(AH41/AH40,""),"")</f>
        <v/>
      </c>
      <c r="AI42" s="190">
        <f>IF(AND(ISNUMBER(AI41),ISNUMBER(AI40)),IFERROR(AI41/AI40,""),"")</f>
        <v/>
      </c>
      <c r="AJ42" s="190">
        <f>IF(AND(ISNUMBER(AJ41),ISNUMBER(AJ40)),IFERROR(AJ41/AJ40,""),"")</f>
        <v/>
      </c>
      <c r="AK42" s="190">
        <f>IF(AND(ISNUMBER(AK41),ISNUMBER(AK40)),IFERROR(AK41/AK40,""),"")</f>
        <v/>
      </c>
      <c r="AL42" s="190">
        <f>IF(AND(ISNUMBER(AL41),ISNUMBER(AL40)),IFERROR(AL41/AL40,""),"")</f>
        <v/>
      </c>
      <c r="AM42" s="190">
        <f>IF(AND(ISNUMBER(AM41),ISNUMBER(AM40)),IFERROR(AM41/AM40,""),"")</f>
        <v/>
      </c>
      <c r="AN42" s="190">
        <f>IF(AND(ISNUMBER(AN41),ISNUMBER(AN40)),IFERROR(AN41/AN40,""),"")</f>
        <v/>
      </c>
      <c r="AO42" s="190">
        <f>IF(AND(ISNUMBER(AO41),ISNUMBER(AO40)),IFERROR(AO41/AO40,""),"")</f>
        <v/>
      </c>
      <c r="AP42" s="190">
        <f>IF(AND(ISNUMBER(AP41),ISNUMBER(AP40)),IFERROR(AP41/AP40,""),"")</f>
        <v/>
      </c>
      <c r="AQ42" s="190">
        <f>IF(AND(ISNUMBER(AQ41),ISNUMBER(AQ40)),IFERROR(AQ41/AQ40,""),"")</f>
        <v/>
      </c>
      <c r="AR42" s="190">
        <f>IF(AND(ISNUMBER(AR41),ISNUMBER(AR40)),IFERROR(AR41/AR40,""),"")</f>
        <v/>
      </c>
      <c r="AS42" s="190">
        <f>IF(AND(ISNUMBER(AS41),ISNUMBER(AS40)),IFERROR(AS41/AS40,""),"")</f>
        <v/>
      </c>
      <c r="AT42" s="190">
        <f>IF(AND(ISNUMBER(AT41),ISNUMBER(AT40)),IFERROR(AT41/AT40,""),"")</f>
        <v/>
      </c>
      <c r="AU42" s="190">
        <f>IF(AND(ISNUMBER(AU41),ISNUMBER(AU40)),IFERROR(AU41/AU40,""),"")</f>
        <v/>
      </c>
      <c r="AV42" s="190">
        <f>IF(AND(ISNUMBER(AV41),ISNUMBER(AV40)),IFERROR(AV41/AV40,""),"")</f>
        <v/>
      </c>
      <c r="AW42" s="190">
        <f>IF(AND(ISNUMBER(AW41),ISNUMBER(AW40)),IFERROR(AW41/AW40,""),"")</f>
        <v/>
      </c>
      <c r="AX42" s="190">
        <f>IF(AND(ISNUMBER(AX41),ISNUMBER(AX40)),IFERROR(AX41/AX40,""),"")</f>
        <v/>
      </c>
      <c r="AY42" s="190">
        <f>IF(AND(ISNUMBER(AY41),ISNUMBER(AY40)),IFERROR(AY41/AY40,""),"")</f>
        <v/>
      </c>
      <c r="AZ42" s="190">
        <f>IF(AND(ISNUMBER(AZ41),ISNUMBER(AZ40)),IFERROR(AZ41/AZ40,""),"")</f>
        <v/>
      </c>
      <c r="BA42" s="190">
        <f>IF(AND(ISNUMBER(BA41),ISNUMBER(BA40)),IFERROR(BA41/BA40,""),"")</f>
        <v/>
      </c>
      <c r="BB42" s="190">
        <f>IF(AND(ISNUMBER(BB41),ISNUMBER(BB40)),IFERROR(BB41/BB40,""),"")</f>
        <v/>
      </c>
      <c r="BC42" s="190">
        <f>IF(AND(ISNUMBER(BC41),ISNUMBER(BC40)),IFERROR(BC41/BC40,""),"")</f>
        <v/>
      </c>
      <c r="BD42" s="190">
        <f>IF(AND(ISNUMBER(BD41),ISNUMBER(BD40)),IFERROR(BD41/BD40,""),"")</f>
        <v/>
      </c>
      <c r="BE42" s="190">
        <f>IF(AND(ISNUMBER(BE41),ISNUMBER(BE40)),IFERROR(BE41/BE40,""),"")</f>
        <v/>
      </c>
      <c r="BF42" s="190">
        <f>IF(AND(ISNUMBER(BF41),ISNUMBER(BF40)),IFERROR(BF41/BF40,""),"")</f>
        <v/>
      </c>
      <c r="BG42" s="190">
        <f>IF(AND(ISNUMBER(BG41),ISNUMBER(BG40)),IFERROR(BG41/BG40,""),"")</f>
        <v/>
      </c>
      <c r="BH42" s="190">
        <f>IF(AND(ISNUMBER(BH41),ISNUMBER(BH40)),IFERROR(BH41/BH40,""),"")</f>
        <v/>
      </c>
      <c r="BI42" s="190">
        <f>IF(AND(ISNUMBER(BI41),ISNUMBER(BI40)),IFERROR(BI41/BI40,""),"")</f>
        <v/>
      </c>
      <c r="BJ42" s="190">
        <f>IF(AND(ISNUMBER(BJ41),ISNUMBER(BJ40)),IFERROR(BJ41/BJ40,""),"")</f>
        <v/>
      </c>
      <c r="BK42" s="190">
        <f>IF(AND(ISNUMBER(BK41),ISNUMBER(BK40)),IFERROR(BK41/BK40,""),"")</f>
        <v/>
      </c>
      <c r="BL42" s="190">
        <f>IF(AND(ISNUMBER(BL41),ISNUMBER(BL40)),IFERROR(BL41/BL40,""),"")</f>
        <v/>
      </c>
      <c r="BM42" s="190">
        <f>IF(AND(ISNUMBER(BM41),ISNUMBER(BM40)),IFERROR(BM41/BM40,""),"")</f>
        <v/>
      </c>
      <c r="BN42" s="190">
        <f>IF(AND(ISNUMBER(BN41),ISNUMBER(BN40)),IFERROR(BN41/BN40,""),"")</f>
        <v/>
      </c>
      <c r="BO42" s="190">
        <f>IF(AND(ISNUMBER(BO41),ISNUMBER(BO40)),IFERROR(BO41/BO40,""),"")</f>
        <v/>
      </c>
      <c r="BP42" s="190">
        <f>IF(AND(ISNUMBER(BP41),ISNUMBER(BP40)),IFERROR(BP41/BP40,""),"")</f>
        <v/>
      </c>
      <c r="BQ42" s="190">
        <f>IF(AND(ISNUMBER(BQ41),ISNUMBER(BQ40)),IFERROR(BQ41/BQ40,""),"")</f>
        <v/>
      </c>
      <c r="BR42" s="190">
        <f>IF(AND(ISNUMBER(BR41),ISNUMBER(BR40)),IFERROR(BR41/BR40,""),"")</f>
        <v/>
      </c>
      <c r="BS42" s="190">
        <f>IF(AND(ISNUMBER(BS41),ISNUMBER(BS40)),IFERROR(BS41/BS40,""),"")</f>
        <v/>
      </c>
      <c r="BT42" s="190">
        <f>IF(AND(ISNUMBER(BT41),ISNUMBER(BT40)),IFERROR(BT41/BT40,""),"")</f>
        <v/>
      </c>
      <c r="BU42" s="190">
        <f>IF(AND(ISNUMBER(BU41),ISNUMBER(BU40)),IFERROR(BU41/BU40,""),"")</f>
        <v/>
      </c>
      <c r="BV42" s="190">
        <f>IF(AND(ISNUMBER(BV41),ISNUMBER(BV40)),IFERROR(BV41/BV40,""),"")</f>
        <v/>
      </c>
      <c r="BW42" s="190">
        <f>IF(AND(ISNUMBER(BW41),ISNUMBER(BW40)),IFERROR(BW41/BW40,""),"")</f>
        <v/>
      </c>
      <c r="BX42" s="190">
        <f>IF(AND(ISNUMBER(BX41),ISNUMBER(BX40)),IFERROR(BX41/BX40,""),"")</f>
        <v/>
      </c>
      <c r="BY42" s="181">
        <f>IFERROR((BW41+BX41)/(BW40+BX40),"")</f>
        <v/>
      </c>
      <c r="BZ42" s="181">
        <f>IFERROR((BW41+BX41)/(BW40+BX40),"")</f>
        <v/>
      </c>
      <c r="CA42" s="181">
        <f>IF(AND(ISNUMBER(CA41),ISNUMBER(CA40)),IFERROR(CA41/CA40,""),"")</f>
        <v/>
      </c>
      <c r="CB42" s="181">
        <f>$BY$42</f>
        <v/>
      </c>
      <c r="CC42" s="181">
        <f>$BY$42</f>
        <v/>
      </c>
      <c r="CD42" s="181">
        <f>$BY$42</f>
        <v/>
      </c>
      <c r="CE42" s="181">
        <f>$BY$42</f>
        <v/>
      </c>
      <c r="CF42" s="6" t="n"/>
      <c r="CH42" s="39">
        <f>IFERROR(AVERAGE(CA42,CB42,CC42,CD42,CE42),"n/m")</f>
        <v/>
      </c>
      <c r="CI42" s="39">
        <f>IFERROR(AVERAGE(BB42,BG42,BL42,BQ42,BV42),"n/m")</f>
        <v/>
      </c>
      <c r="CJ42" s="39">
        <f>IFERROR(AVERAGE(AC42,AH42,AM42,AR42,AW42,BB42,BG42,BL42,BQ42,BV42),"n/m")</f>
        <v/>
      </c>
      <c r="CK42" s="39">
        <f>IFERROR(AVERAGE(C42,D42,E42,F42,G42,H42,I42,N42,S42,X42,AC42,AH42,AM42,AR42,AW42,BB42,BG42,BL42,BQ42,BV42),"n/m")</f>
        <v/>
      </c>
      <c r="CN42" s="26" t="inlineStr">
        <is>
          <t xml:space="preserve">  2028E</t>
        </is>
      </c>
      <c r="CO42" s="35">
        <f>CP42+$CO$40</f>
        <v/>
      </c>
      <c r="CP42" s="45" t="n">
        <v>0.695</v>
      </c>
      <c r="CQ42" s="35">
        <f>CP42+$CQ$40</f>
        <v/>
      </c>
    </row>
    <row r="43" ht="15" customHeight="1">
      <c r="B43" s="17" t="inlineStr">
        <is>
          <t xml:space="preserve">  LTL services revenue (reported; from 2019)</t>
        </is>
      </c>
      <c r="C43" s="46" t="n"/>
      <c r="D43" s="46" t="n"/>
      <c r="E43" s="46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46" t="n"/>
      <c r="P43" s="46" t="n"/>
      <c r="Q43" s="46" t="n"/>
      <c r="R43" s="46" t="n"/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6" t="n"/>
      <c r="AB43" s="46" t="n"/>
      <c r="AC43" s="46" t="n"/>
      <c r="AD43" s="46" t="n"/>
      <c r="AE43" s="46" t="n"/>
      <c r="AF43" s="46" t="n"/>
      <c r="AG43" s="46" t="n"/>
      <c r="AH43" s="46" t="n"/>
      <c r="AI43" s="177" t="n">
        <v>911.054</v>
      </c>
      <c r="AJ43" s="177" t="n">
        <v>1018.491</v>
      </c>
      <c r="AK43" s="177" t="n">
        <v>1041.854</v>
      </c>
      <c r="AL43" s="177" t="n">
        <v>1011.259</v>
      </c>
      <c r="AM43" s="177" t="n">
        <v>3982.658</v>
      </c>
      <c r="AN43" s="177" t="n">
        <v>976.563</v>
      </c>
      <c r="AO43" s="177" t="n">
        <v>1047.208</v>
      </c>
      <c r="AP43" s="177" t="n">
        <v>1035.093</v>
      </c>
      <c r="AQ43" s="177" t="n">
        <v>996.603</v>
      </c>
      <c r="AR43" s="177" t="n">
        <v>4055.467</v>
      </c>
      <c r="AS43" s="177" t="n">
        <v>974.431</v>
      </c>
      <c r="AT43" s="177" t="n">
        <v>884.069</v>
      </c>
      <c r="AU43" s="177" t="n">
        <v>1044.64</v>
      </c>
      <c r="AV43" s="177" t="n">
        <v>1057.914</v>
      </c>
      <c r="AW43" s="177" t="n">
        <v>3961.054</v>
      </c>
      <c r="AX43" s="177" t="n">
        <v>1109.622</v>
      </c>
      <c r="AY43" s="177" t="n">
        <v>1299.76</v>
      </c>
      <c r="AZ43" s="177" t="n">
        <v>1378.339</v>
      </c>
      <c r="BA43" s="177" t="n">
        <v>1389.776</v>
      </c>
      <c r="BB43" s="177" t="n">
        <v>5177.497</v>
      </c>
      <c r="BC43" s="177" t="n">
        <v>1475.781</v>
      </c>
      <c r="BD43" s="177" t="n">
        <v>1644.659</v>
      </c>
      <c r="BE43" s="177" t="n">
        <v>1582.952</v>
      </c>
      <c r="BF43" s="177" t="n">
        <v>1473.663</v>
      </c>
      <c r="BG43" s="177" t="n">
        <v>6177.055</v>
      </c>
      <c r="BH43" s="177" t="n">
        <v>1424.372</v>
      </c>
      <c r="BI43" s="177" t="n">
        <v>1397.815</v>
      </c>
      <c r="BJ43" s="177" t="n">
        <v>1501.266</v>
      </c>
      <c r="BK43" s="177" t="n">
        <v>1481.486</v>
      </c>
      <c r="BL43" s="177" t="n">
        <v>5804.939</v>
      </c>
      <c r="BM43" s="177" t="n">
        <v>1446.733</v>
      </c>
      <c r="BN43" s="177" t="n">
        <v>1484.967</v>
      </c>
      <c r="BO43" s="177" t="n">
        <v>1457.108</v>
      </c>
      <c r="BP43" s="177" t="n">
        <v>1372.297</v>
      </c>
      <c r="BQ43" s="177" t="n">
        <v>5761.105</v>
      </c>
      <c r="BR43" s="177" t="n">
        <v>1360.839</v>
      </c>
      <c r="BS43" s="177" t="n">
        <v>1395.112</v>
      </c>
      <c r="BT43" s="177" t="n">
        <v>1394.338</v>
      </c>
      <c r="BU43" s="177" t="n">
        <v>1295.862</v>
      </c>
      <c r="BV43" s="177" t="n">
        <v>5446.151</v>
      </c>
      <c r="BW43" s="177" t="n">
        <v>1321.891</v>
      </c>
      <c r="BX43" s="177" t="n">
        <v>1538.938</v>
      </c>
      <c r="BY43" s="178">
        <f>BY40+BY41</f>
        <v/>
      </c>
      <c r="BZ43" s="178">
        <f>BZ40+BZ41</f>
        <v/>
      </c>
      <c r="CA43" s="178">
        <f>SUM(BW43,BX43,BY43,BZ43)</f>
        <v/>
      </c>
      <c r="CB43" s="178">
        <f>CB40+CB41</f>
        <v/>
      </c>
      <c r="CC43" s="178">
        <f>CC40+CC41</f>
        <v/>
      </c>
      <c r="CD43" s="178">
        <f>CD40+CD41</f>
        <v/>
      </c>
      <c r="CE43" s="178">
        <f>CE40+CE41</f>
        <v/>
      </c>
      <c r="CF43" s="6" t="n"/>
      <c r="CH43" s="21">
        <f>IFERROR((CE43/BV43)^(1/5)-1,"n/m")</f>
        <v/>
      </c>
      <c r="CI43" s="21">
        <f>IFERROR((BV43/AW43)^(1/5)-1,"n/m")</f>
        <v/>
      </c>
      <c r="CJ43" s="21">
        <f>IFERROR((BV43/X43)^(1/10)-1,"n/m")</f>
        <v/>
      </c>
      <c r="CK43" s="21">
        <f>IFERROR((BV43/C43)^(1/19)-1,"n/m")</f>
        <v/>
      </c>
      <c r="CN43" s="26" t="inlineStr">
        <is>
          <t xml:space="preserve">  2029E</t>
        </is>
      </c>
      <c r="CO43" s="35">
        <f>CP43+$CO$40</f>
        <v/>
      </c>
      <c r="CP43" s="45" t="n">
        <v>0.6899999999999999</v>
      </c>
      <c r="CQ43" s="35">
        <f>CP43+$CQ$40</f>
        <v/>
      </c>
    </row>
    <row r="44" ht="15" customHeight="1">
      <c r="B44" s="23" t="inlineStr">
        <is>
          <t xml:space="preserve">    y/y %</t>
        </is>
      </c>
      <c r="D44" s="180">
        <f>IF(AND(ISNUMBER(D43),ISNUMBER(C43)),IFERROR(D43/C43-1,""),"")</f>
        <v/>
      </c>
      <c r="E44" s="180">
        <f>IF(AND(ISNUMBER(E43),ISNUMBER(D43)),IFERROR(E43/D43-1,""),"")</f>
        <v/>
      </c>
      <c r="F44" s="180">
        <f>IF(AND(ISNUMBER(F43),ISNUMBER(E43)),IFERROR(F43/E43-1,""),"")</f>
        <v/>
      </c>
      <c r="G44" s="180">
        <f>IF(AND(ISNUMBER(G43),ISNUMBER(F43)),IFERROR(G43/F43-1,""),"")</f>
        <v/>
      </c>
      <c r="H44" s="180">
        <f>IF(AND(ISNUMBER(H43),ISNUMBER(G43)),IFERROR(H43/G43-1,""),"")</f>
        <v/>
      </c>
      <c r="I44" s="180">
        <f>IF(AND(ISNUMBER(I43),ISNUMBER(H43)),IFERROR(I43/H43-1,""),"")</f>
        <v/>
      </c>
      <c r="N44" s="180">
        <f>IF(AND(ISNUMBER(N43),ISNUMBER(I43)),IFERROR(N43/I43-1,""),"")</f>
        <v/>
      </c>
      <c r="O44" s="180">
        <f>IF(AND(ISNUMBER(O43),ISNUMBER(J43)),IFERROR(O43/J43-1,""),"")</f>
        <v/>
      </c>
      <c r="P44" s="180">
        <f>IF(AND(ISNUMBER(P43),ISNUMBER(K43)),IFERROR(P43/K43-1,""),"")</f>
        <v/>
      </c>
      <c r="Q44" s="180">
        <f>IF(AND(ISNUMBER(Q43),ISNUMBER(L43)),IFERROR(Q43/L43-1,""),"")</f>
        <v/>
      </c>
      <c r="R44" s="180">
        <f>IF(AND(ISNUMBER(R43),ISNUMBER(M43)),IFERROR(R43/M43-1,""),"")</f>
        <v/>
      </c>
      <c r="S44" s="180">
        <f>IF(AND(ISNUMBER(S43),ISNUMBER(N43)),IFERROR(S43/N43-1,""),"")</f>
        <v/>
      </c>
      <c r="T44" s="180">
        <f>IF(AND(ISNUMBER(T43),ISNUMBER(O43)),IFERROR(T43/O43-1,""),"")</f>
        <v/>
      </c>
      <c r="U44" s="180">
        <f>IF(AND(ISNUMBER(U43),ISNUMBER(P43)),IFERROR(U43/P43-1,""),"")</f>
        <v/>
      </c>
      <c r="V44" s="180">
        <f>IF(AND(ISNUMBER(V43),ISNUMBER(Q43)),IFERROR(V43/Q43-1,""),"")</f>
        <v/>
      </c>
      <c r="W44" s="180">
        <f>IF(AND(ISNUMBER(W43),ISNUMBER(R43)),IFERROR(W43/R43-1,""),"")</f>
        <v/>
      </c>
      <c r="X44" s="180">
        <f>IF(AND(ISNUMBER(X43),ISNUMBER(S43)),IFERROR(X43/S43-1,""),"")</f>
        <v/>
      </c>
      <c r="Y44" s="180">
        <f>IF(AND(ISNUMBER(Y43),ISNUMBER(T43)),IFERROR(Y43/T43-1,""),"")</f>
        <v/>
      </c>
      <c r="Z44" s="180">
        <f>IF(AND(ISNUMBER(Z43),ISNUMBER(U43)),IFERROR(Z43/U43-1,""),"")</f>
        <v/>
      </c>
      <c r="AA44" s="180">
        <f>IF(AND(ISNUMBER(AA43),ISNUMBER(V43)),IFERROR(AA43/V43-1,""),"")</f>
        <v/>
      </c>
      <c r="AB44" s="180">
        <f>IF(AND(ISNUMBER(AB43),ISNUMBER(W43)),IFERROR(AB43/W43-1,""),"")</f>
        <v/>
      </c>
      <c r="AC44" s="180">
        <f>IF(AND(ISNUMBER(AC43),ISNUMBER(X43)),IFERROR(AC43/X43-1,""),"")</f>
        <v/>
      </c>
      <c r="AD44" s="180">
        <f>IF(AND(ISNUMBER(AD43),ISNUMBER(Y43)),IFERROR(AD43/Y43-1,""),"")</f>
        <v/>
      </c>
      <c r="AE44" s="180">
        <f>IF(AND(ISNUMBER(AE43),ISNUMBER(Z43)),IFERROR(AE43/Z43-1,""),"")</f>
        <v/>
      </c>
      <c r="AF44" s="180">
        <f>IF(AND(ISNUMBER(AF43),ISNUMBER(AA43)),IFERROR(AF43/AA43-1,""),"")</f>
        <v/>
      </c>
      <c r="AG44" s="180">
        <f>IF(AND(ISNUMBER(AG43),ISNUMBER(AB43)),IFERROR(AG43/AB43-1,""),"")</f>
        <v/>
      </c>
      <c r="AH44" s="180">
        <f>IF(AND(ISNUMBER(AH43),ISNUMBER(AC43)),IFERROR(AH43/AC43-1,""),"")</f>
        <v/>
      </c>
      <c r="AI44" s="180">
        <f>IF(AND(ISNUMBER(AI43),ISNUMBER(AD43)),IFERROR(AI43/AD43-1,""),"")</f>
        <v/>
      </c>
      <c r="AJ44" s="180">
        <f>IF(AND(ISNUMBER(AJ43),ISNUMBER(AE43)),IFERROR(AJ43/AE43-1,""),"")</f>
        <v/>
      </c>
      <c r="AK44" s="180">
        <f>IF(AND(ISNUMBER(AK43),ISNUMBER(AF43)),IFERROR(AK43/AF43-1,""),"")</f>
        <v/>
      </c>
      <c r="AL44" s="180">
        <f>IF(AND(ISNUMBER(AL43),ISNUMBER(AG43)),IFERROR(AL43/AG43-1,""),"")</f>
        <v/>
      </c>
      <c r="AM44" s="180">
        <f>IF(AND(ISNUMBER(AM43),ISNUMBER(AH43)),IFERROR(AM43/AH43-1,""),"")</f>
        <v/>
      </c>
      <c r="AN44" s="180">
        <f>IF(AND(ISNUMBER(AN43),ISNUMBER(AI43)),IFERROR(AN43/AI43-1,""),"")</f>
        <v/>
      </c>
      <c r="AO44" s="180">
        <f>IF(AND(ISNUMBER(AO43),ISNUMBER(AJ43)),IFERROR(AO43/AJ43-1,""),"")</f>
        <v/>
      </c>
      <c r="AP44" s="180">
        <f>IF(AND(ISNUMBER(AP43),ISNUMBER(AK43)),IFERROR(AP43/AK43-1,""),"")</f>
        <v/>
      </c>
      <c r="AQ44" s="180">
        <f>IF(AND(ISNUMBER(AQ43),ISNUMBER(AL43)),IFERROR(AQ43/AL43-1,""),"")</f>
        <v/>
      </c>
      <c r="AR44" s="180">
        <f>IF(AND(ISNUMBER(AR43),ISNUMBER(AM43)),IFERROR(AR43/AM43-1,""),"")</f>
        <v/>
      </c>
      <c r="AS44" s="180">
        <f>IF(AND(ISNUMBER(AS43),ISNUMBER(AN43)),IFERROR(AS43/AN43-1,""),"")</f>
        <v/>
      </c>
      <c r="AT44" s="180">
        <f>IF(AND(ISNUMBER(AT43),ISNUMBER(AO43)),IFERROR(AT43/AO43-1,""),"")</f>
        <v/>
      </c>
      <c r="AU44" s="180">
        <f>IF(AND(ISNUMBER(AU43),ISNUMBER(AP43)),IFERROR(AU43/AP43-1,""),"")</f>
        <v/>
      </c>
      <c r="AV44" s="180">
        <f>IF(AND(ISNUMBER(AV43),ISNUMBER(AQ43)),IFERROR(AV43/AQ43-1,""),"")</f>
        <v/>
      </c>
      <c r="AW44" s="180">
        <f>IF(AND(ISNUMBER(AW43),ISNUMBER(AR43)),IFERROR(AW43/AR43-1,""),"")</f>
        <v/>
      </c>
      <c r="AX44" s="180">
        <f>IF(AND(ISNUMBER(AX43),ISNUMBER(AS43)),IFERROR(AX43/AS43-1,""),"")</f>
        <v/>
      </c>
      <c r="AY44" s="180">
        <f>IF(AND(ISNUMBER(AY43),ISNUMBER(AT43)),IFERROR(AY43/AT43-1,""),"")</f>
        <v/>
      </c>
      <c r="AZ44" s="180">
        <f>IF(AND(ISNUMBER(AZ43),ISNUMBER(AU43)),IFERROR(AZ43/AU43-1,""),"")</f>
        <v/>
      </c>
      <c r="BA44" s="180">
        <f>IF(AND(ISNUMBER(BA43),ISNUMBER(AV43)),IFERROR(BA43/AV43-1,""),"")</f>
        <v/>
      </c>
      <c r="BB44" s="180">
        <f>IF(AND(ISNUMBER(BB43),ISNUMBER(AW43)),IFERROR(BB43/AW43-1,""),"")</f>
        <v/>
      </c>
      <c r="BC44" s="180">
        <f>IF(AND(ISNUMBER(BC43),ISNUMBER(AX43)),IFERROR(BC43/AX43-1,""),"")</f>
        <v/>
      </c>
      <c r="BD44" s="180">
        <f>IF(AND(ISNUMBER(BD43),ISNUMBER(AY43)),IFERROR(BD43/AY43-1,""),"")</f>
        <v/>
      </c>
      <c r="BE44" s="180">
        <f>IF(AND(ISNUMBER(BE43),ISNUMBER(AZ43)),IFERROR(BE43/AZ43-1,""),"")</f>
        <v/>
      </c>
      <c r="BF44" s="180">
        <f>IF(AND(ISNUMBER(BF43),ISNUMBER(BA43)),IFERROR(BF43/BA43-1,""),"")</f>
        <v/>
      </c>
      <c r="BG44" s="180">
        <f>IF(AND(ISNUMBER(BG43),ISNUMBER(BB43)),IFERROR(BG43/BB43-1,""),"")</f>
        <v/>
      </c>
      <c r="BH44" s="180">
        <f>IF(AND(ISNUMBER(BH43),ISNUMBER(BC43)),IFERROR(BH43/BC43-1,""),"")</f>
        <v/>
      </c>
      <c r="BI44" s="180">
        <f>IF(AND(ISNUMBER(BI43),ISNUMBER(BD43)),IFERROR(BI43/BD43-1,""),"")</f>
        <v/>
      </c>
      <c r="BJ44" s="180">
        <f>IF(AND(ISNUMBER(BJ43),ISNUMBER(BE43)),IFERROR(BJ43/BE43-1,""),"")</f>
        <v/>
      </c>
      <c r="BK44" s="180">
        <f>IF(AND(ISNUMBER(BK43),ISNUMBER(BF43)),IFERROR(BK43/BF43-1,""),"")</f>
        <v/>
      </c>
      <c r="BL44" s="180">
        <f>IF(AND(ISNUMBER(BL43),ISNUMBER(BG43)),IFERROR(BL43/BG43-1,""),"")</f>
        <v/>
      </c>
      <c r="BM44" s="180">
        <f>IF(AND(ISNUMBER(BM43),ISNUMBER(BH43)),IFERROR(BM43/BH43-1,""),"")</f>
        <v/>
      </c>
      <c r="BN44" s="180">
        <f>IF(AND(ISNUMBER(BN43),ISNUMBER(BI43)),IFERROR(BN43/BI43-1,""),"")</f>
        <v/>
      </c>
      <c r="BO44" s="180">
        <f>IF(AND(ISNUMBER(BO43),ISNUMBER(BJ43)),IFERROR(BO43/BJ43-1,""),"")</f>
        <v/>
      </c>
      <c r="BP44" s="180">
        <f>IF(AND(ISNUMBER(BP43),ISNUMBER(BK43)),IFERROR(BP43/BK43-1,""),"")</f>
        <v/>
      </c>
      <c r="BQ44" s="180">
        <f>IF(AND(ISNUMBER(BQ43),ISNUMBER(BL43)),IFERROR(BQ43/BL43-1,""),"")</f>
        <v/>
      </c>
      <c r="BR44" s="180">
        <f>IF(AND(ISNUMBER(BR43),ISNUMBER(BM43)),IFERROR(BR43/BM43-1,""),"")</f>
        <v/>
      </c>
      <c r="BS44" s="180">
        <f>IF(AND(ISNUMBER(BS43),ISNUMBER(BN43)),IFERROR(BS43/BN43-1,""),"")</f>
        <v/>
      </c>
      <c r="BT44" s="180">
        <f>IF(AND(ISNUMBER(BT43),ISNUMBER(BO43)),IFERROR(BT43/BO43-1,""),"")</f>
        <v/>
      </c>
      <c r="BU44" s="180">
        <f>IF(AND(ISNUMBER(BU43),ISNUMBER(BP43)),IFERROR(BU43/BP43-1,""),"")</f>
        <v/>
      </c>
      <c r="BV44" s="180">
        <f>IF(AND(ISNUMBER(BV43),ISNUMBER(BQ43)),IFERROR(BV43/BQ43-1,""),"")</f>
        <v/>
      </c>
      <c r="BW44" s="180">
        <f>IF(AND(ISNUMBER(BW43),ISNUMBER(BR43)),IFERROR(BW43/BR43-1,""),"")</f>
        <v/>
      </c>
      <c r="BX44" s="180">
        <f>IF(AND(ISNUMBER(BX43),ISNUMBER(BS43)),IFERROR(BX43/BS43-1,""),"")</f>
        <v/>
      </c>
      <c r="BY44" s="181">
        <f>IF(AND(ISNUMBER(BY43),ISNUMBER(BT43)),IFERROR(BY43/BT43-1,""),"")</f>
        <v/>
      </c>
      <c r="BZ44" s="181">
        <f>IF(AND(ISNUMBER(BZ43),ISNUMBER(BU43)),IFERROR(BZ43/BU43-1,""),"")</f>
        <v/>
      </c>
      <c r="CA44" s="181">
        <f>IF(AND(ISNUMBER(CA43),ISNUMBER(BV43)),IFERROR(CA43/BV43-1,""),"")</f>
        <v/>
      </c>
      <c r="CB44" s="181">
        <f>IF(AND(ISNUMBER(CB43),ISNUMBER(CA43)),IFERROR(CB43/CA43-1,""),"")</f>
        <v/>
      </c>
      <c r="CC44" s="181">
        <f>IF(AND(ISNUMBER(CC43),ISNUMBER(CB43)),IFERROR(CC43/CB43-1,""),"")</f>
        <v/>
      </c>
      <c r="CD44" s="181">
        <f>IF(AND(ISNUMBER(CD43),ISNUMBER(CC43)),IFERROR(CD43/CC43-1,""),"")</f>
        <v/>
      </c>
      <c r="CE44" s="181">
        <f>IF(AND(ISNUMBER(CE43),ISNUMBER(CD43)),IFERROR(CE43/CD43-1,""),"")</f>
        <v/>
      </c>
      <c r="CF44" s="6" t="n"/>
      <c r="CN44" s="26" t="inlineStr">
        <is>
          <t xml:space="preserve">  2030E</t>
        </is>
      </c>
      <c r="CO44" s="35">
        <f>CP44+$CO$40</f>
        <v/>
      </c>
      <c r="CP44" s="45" t="n">
        <v>0.6850000000000001</v>
      </c>
      <c r="CQ44" s="35">
        <f>CP44+$CQ$40</f>
        <v/>
      </c>
    </row>
    <row r="45" ht="15" customHeight="1">
      <c r="B45" s="26" t="inlineStr">
        <is>
          <t xml:space="preserve">  Other services revenue (container drayage, truckload brokerage, supply-chain consulting)</t>
        </is>
      </c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174" t="n">
        <v>13.966</v>
      </c>
      <c r="AJ45" s="174" t="n">
        <v>15.007</v>
      </c>
      <c r="AK45" s="174" t="n">
        <v>16.379</v>
      </c>
      <c r="AL45" s="174" t="n">
        <v>15.685</v>
      </c>
      <c r="AM45" s="174" t="n">
        <v>61.037</v>
      </c>
      <c r="AN45" s="174" t="n">
        <v>14.219</v>
      </c>
      <c r="AO45" s="174" t="n">
        <v>13.458</v>
      </c>
      <c r="AP45" s="174" t="n">
        <v>13.364</v>
      </c>
      <c r="AQ45" s="174" t="n">
        <v>12.603</v>
      </c>
      <c r="AR45" s="174" t="n">
        <v>53.644</v>
      </c>
      <c r="AS45" s="174" t="n">
        <v>12.933</v>
      </c>
      <c r="AT45" s="174" t="n">
        <v>12.141</v>
      </c>
      <c r="AU45" s="174" t="n">
        <v>13.526</v>
      </c>
      <c r="AV45" s="174" t="n">
        <v>15.475</v>
      </c>
      <c r="AW45" s="174" t="n">
        <v>54.075</v>
      </c>
      <c r="AX45" s="174" t="n">
        <v>16.893</v>
      </c>
      <c r="AY45" s="174" t="n">
        <v>19.649</v>
      </c>
      <c r="AZ45" s="174" t="n">
        <v>21.707</v>
      </c>
      <c r="BA45" s="174" t="n">
        <v>20.582</v>
      </c>
      <c r="BB45" s="174" t="n">
        <v>78.831</v>
      </c>
      <c r="BC45" s="174" t="n">
        <v>21.499</v>
      </c>
      <c r="BD45" s="174" t="n">
        <v>22.789</v>
      </c>
      <c r="BE45" s="174" t="n">
        <v>20.738</v>
      </c>
      <c r="BF45" s="174" t="n">
        <v>17.996</v>
      </c>
      <c r="BG45" s="174" t="n">
        <v>83.02200000000001</v>
      </c>
      <c r="BH45" s="174" t="n">
        <v>17.764</v>
      </c>
      <c r="BI45" s="174" t="n">
        <v>15.374</v>
      </c>
      <c r="BJ45" s="174" t="n">
        <v>14.011</v>
      </c>
      <c r="BK45" s="174" t="n">
        <v>14.064</v>
      </c>
      <c r="BL45" s="174" t="n">
        <v>61.213</v>
      </c>
      <c r="BM45" s="174" t="n">
        <v>13.34</v>
      </c>
      <c r="BN45" s="174" t="n">
        <v>13.73</v>
      </c>
      <c r="BO45" s="174" t="n">
        <v>13.103</v>
      </c>
      <c r="BP45" s="174" t="n">
        <v>13.532</v>
      </c>
      <c r="BQ45" s="174" t="n">
        <v>53.705</v>
      </c>
      <c r="BR45" s="174" t="n">
        <v>14.019</v>
      </c>
      <c r="BS45" s="174" t="n">
        <v>12.612</v>
      </c>
      <c r="BT45" s="174" t="n">
        <v>12.173</v>
      </c>
      <c r="BU45" s="174" t="n">
        <v>11.434</v>
      </c>
      <c r="BV45" s="174" t="n">
        <v>50.238</v>
      </c>
      <c r="BW45" s="174" t="n">
        <v>12.805</v>
      </c>
      <c r="BX45" s="174" t="n">
        <v>15.066</v>
      </c>
      <c r="BY45" s="176">
        <f>BT45*(BW45+BX45)/(BR45+BS45)</f>
        <v/>
      </c>
      <c r="BZ45" s="176">
        <f>BU45*(BW45+BX45)/(BR45+BS45)</f>
        <v/>
      </c>
      <c r="CA45" s="176">
        <f>SUM(BW45,BX45,BY45,BZ45)</f>
        <v/>
      </c>
      <c r="CB45" s="176">
        <f>CA45*(1+CB46)</f>
        <v/>
      </c>
      <c r="CC45" s="176">
        <f>CB45*(1+CC46)</f>
        <v/>
      </c>
      <c r="CD45" s="176">
        <f>CC45*(1+CD46)</f>
        <v/>
      </c>
      <c r="CE45" s="176">
        <f>CD45*(1+CE46)</f>
        <v/>
      </c>
      <c r="CF45" s="20" t="inlineStr">
        <is>
          <t>Q3/Q4-26E: prior-year quarter × 1H/26 y/y. 2027E+: growth input.</t>
        </is>
      </c>
    </row>
    <row r="46" ht="15" customHeight="1">
      <c r="B46" s="23" t="inlineStr">
        <is>
          <t xml:space="preserve">    y/y %</t>
        </is>
      </c>
      <c r="D46" s="180">
        <f>IF(AND(ISNUMBER(D45),ISNUMBER(C45)),IFERROR(D45/C45-1,""),"")</f>
        <v/>
      </c>
      <c r="E46" s="180">
        <f>IF(AND(ISNUMBER(E45),ISNUMBER(D45)),IFERROR(E45/D45-1,""),"")</f>
        <v/>
      </c>
      <c r="F46" s="180">
        <f>IF(AND(ISNUMBER(F45),ISNUMBER(E45)),IFERROR(F45/E45-1,""),"")</f>
        <v/>
      </c>
      <c r="G46" s="180">
        <f>IF(AND(ISNUMBER(G45),ISNUMBER(F45)),IFERROR(G45/F45-1,""),"")</f>
        <v/>
      </c>
      <c r="H46" s="180">
        <f>IF(AND(ISNUMBER(H45),ISNUMBER(G45)),IFERROR(H45/G45-1,""),"")</f>
        <v/>
      </c>
      <c r="I46" s="180">
        <f>IF(AND(ISNUMBER(I45),ISNUMBER(H45)),IFERROR(I45/H45-1,""),"")</f>
        <v/>
      </c>
      <c r="N46" s="180">
        <f>IF(AND(ISNUMBER(N45),ISNUMBER(I45)),IFERROR(N45/I45-1,""),"")</f>
        <v/>
      </c>
      <c r="O46" s="180">
        <f>IF(AND(ISNUMBER(O45),ISNUMBER(J45)),IFERROR(O45/J45-1,""),"")</f>
        <v/>
      </c>
      <c r="P46" s="180">
        <f>IF(AND(ISNUMBER(P45),ISNUMBER(K45)),IFERROR(P45/K45-1,""),"")</f>
        <v/>
      </c>
      <c r="Q46" s="180">
        <f>IF(AND(ISNUMBER(Q45),ISNUMBER(L45)),IFERROR(Q45/L45-1,""),"")</f>
        <v/>
      </c>
      <c r="R46" s="180">
        <f>IF(AND(ISNUMBER(R45),ISNUMBER(M45)),IFERROR(R45/M45-1,""),"")</f>
        <v/>
      </c>
      <c r="S46" s="180">
        <f>IF(AND(ISNUMBER(S45),ISNUMBER(N45)),IFERROR(S45/N45-1,""),"")</f>
        <v/>
      </c>
      <c r="T46" s="180">
        <f>IF(AND(ISNUMBER(T45),ISNUMBER(O45)),IFERROR(T45/O45-1,""),"")</f>
        <v/>
      </c>
      <c r="U46" s="180">
        <f>IF(AND(ISNUMBER(U45),ISNUMBER(P45)),IFERROR(U45/P45-1,""),"")</f>
        <v/>
      </c>
      <c r="V46" s="180">
        <f>IF(AND(ISNUMBER(V45),ISNUMBER(Q45)),IFERROR(V45/Q45-1,""),"")</f>
        <v/>
      </c>
      <c r="W46" s="180">
        <f>IF(AND(ISNUMBER(W45),ISNUMBER(R45)),IFERROR(W45/R45-1,""),"")</f>
        <v/>
      </c>
      <c r="X46" s="180">
        <f>IF(AND(ISNUMBER(X45),ISNUMBER(S45)),IFERROR(X45/S45-1,""),"")</f>
        <v/>
      </c>
      <c r="Y46" s="180">
        <f>IF(AND(ISNUMBER(Y45),ISNUMBER(T45)),IFERROR(Y45/T45-1,""),"")</f>
        <v/>
      </c>
      <c r="Z46" s="180">
        <f>IF(AND(ISNUMBER(Z45),ISNUMBER(U45)),IFERROR(Z45/U45-1,""),"")</f>
        <v/>
      </c>
      <c r="AA46" s="180">
        <f>IF(AND(ISNUMBER(AA45),ISNUMBER(V45)),IFERROR(AA45/V45-1,""),"")</f>
        <v/>
      </c>
      <c r="AB46" s="180">
        <f>IF(AND(ISNUMBER(AB45),ISNUMBER(W45)),IFERROR(AB45/W45-1,""),"")</f>
        <v/>
      </c>
      <c r="AC46" s="180">
        <f>IF(AND(ISNUMBER(AC45),ISNUMBER(X45)),IFERROR(AC45/X45-1,""),"")</f>
        <v/>
      </c>
      <c r="AD46" s="180">
        <f>IF(AND(ISNUMBER(AD45),ISNUMBER(Y45)),IFERROR(AD45/Y45-1,""),"")</f>
        <v/>
      </c>
      <c r="AE46" s="180">
        <f>IF(AND(ISNUMBER(AE45),ISNUMBER(Z45)),IFERROR(AE45/Z45-1,""),"")</f>
        <v/>
      </c>
      <c r="AF46" s="180">
        <f>IF(AND(ISNUMBER(AF45),ISNUMBER(AA45)),IFERROR(AF45/AA45-1,""),"")</f>
        <v/>
      </c>
      <c r="AG46" s="180">
        <f>IF(AND(ISNUMBER(AG45),ISNUMBER(AB45)),IFERROR(AG45/AB45-1,""),"")</f>
        <v/>
      </c>
      <c r="AH46" s="180">
        <f>IF(AND(ISNUMBER(AH45),ISNUMBER(AC45)),IFERROR(AH45/AC45-1,""),"")</f>
        <v/>
      </c>
      <c r="AI46" s="180">
        <f>IF(AND(ISNUMBER(AI45),ISNUMBER(AD45)),IFERROR(AI45/AD45-1,""),"")</f>
        <v/>
      </c>
      <c r="AJ46" s="180">
        <f>IF(AND(ISNUMBER(AJ45),ISNUMBER(AE45)),IFERROR(AJ45/AE45-1,""),"")</f>
        <v/>
      </c>
      <c r="AK46" s="180">
        <f>IF(AND(ISNUMBER(AK45),ISNUMBER(AF45)),IFERROR(AK45/AF45-1,""),"")</f>
        <v/>
      </c>
      <c r="AL46" s="180">
        <f>IF(AND(ISNUMBER(AL45),ISNUMBER(AG45)),IFERROR(AL45/AG45-1,""),"")</f>
        <v/>
      </c>
      <c r="AM46" s="180">
        <f>IF(AND(ISNUMBER(AM45),ISNUMBER(AH45)),IFERROR(AM45/AH45-1,""),"")</f>
        <v/>
      </c>
      <c r="AN46" s="180">
        <f>IF(AND(ISNUMBER(AN45),ISNUMBER(AI45)),IFERROR(AN45/AI45-1,""),"")</f>
        <v/>
      </c>
      <c r="AO46" s="180">
        <f>IF(AND(ISNUMBER(AO45),ISNUMBER(AJ45)),IFERROR(AO45/AJ45-1,""),"")</f>
        <v/>
      </c>
      <c r="AP46" s="180">
        <f>IF(AND(ISNUMBER(AP45),ISNUMBER(AK45)),IFERROR(AP45/AK45-1,""),"")</f>
        <v/>
      </c>
      <c r="AQ46" s="180">
        <f>IF(AND(ISNUMBER(AQ45),ISNUMBER(AL45)),IFERROR(AQ45/AL45-1,""),"")</f>
        <v/>
      </c>
      <c r="AR46" s="180">
        <f>IF(AND(ISNUMBER(AR45),ISNUMBER(AM45)),IFERROR(AR45/AM45-1,""),"")</f>
        <v/>
      </c>
      <c r="AS46" s="180">
        <f>IF(AND(ISNUMBER(AS45),ISNUMBER(AN45)),IFERROR(AS45/AN45-1,""),"")</f>
        <v/>
      </c>
      <c r="AT46" s="180">
        <f>IF(AND(ISNUMBER(AT45),ISNUMBER(AO45)),IFERROR(AT45/AO45-1,""),"")</f>
        <v/>
      </c>
      <c r="AU46" s="180">
        <f>IF(AND(ISNUMBER(AU45),ISNUMBER(AP45)),IFERROR(AU45/AP45-1,""),"")</f>
        <v/>
      </c>
      <c r="AV46" s="180">
        <f>IF(AND(ISNUMBER(AV45),ISNUMBER(AQ45)),IFERROR(AV45/AQ45-1,""),"")</f>
        <v/>
      </c>
      <c r="AW46" s="180">
        <f>IF(AND(ISNUMBER(AW45),ISNUMBER(AR45)),IFERROR(AW45/AR45-1,""),"")</f>
        <v/>
      </c>
      <c r="AX46" s="180">
        <f>IF(AND(ISNUMBER(AX45),ISNUMBER(AS45)),IFERROR(AX45/AS45-1,""),"")</f>
        <v/>
      </c>
      <c r="AY46" s="180">
        <f>IF(AND(ISNUMBER(AY45),ISNUMBER(AT45)),IFERROR(AY45/AT45-1,""),"")</f>
        <v/>
      </c>
      <c r="AZ46" s="180">
        <f>IF(AND(ISNUMBER(AZ45),ISNUMBER(AU45)),IFERROR(AZ45/AU45-1,""),"")</f>
        <v/>
      </c>
      <c r="BA46" s="180">
        <f>IF(AND(ISNUMBER(BA45),ISNUMBER(AV45)),IFERROR(BA45/AV45-1,""),"")</f>
        <v/>
      </c>
      <c r="BB46" s="180">
        <f>IF(AND(ISNUMBER(BB45),ISNUMBER(AW45)),IFERROR(BB45/AW45-1,""),"")</f>
        <v/>
      </c>
      <c r="BC46" s="180">
        <f>IF(AND(ISNUMBER(BC45),ISNUMBER(AX45)),IFERROR(BC45/AX45-1,""),"")</f>
        <v/>
      </c>
      <c r="BD46" s="180">
        <f>IF(AND(ISNUMBER(BD45),ISNUMBER(AY45)),IFERROR(BD45/AY45-1,""),"")</f>
        <v/>
      </c>
      <c r="BE46" s="180">
        <f>IF(AND(ISNUMBER(BE45),ISNUMBER(AZ45)),IFERROR(BE45/AZ45-1,""),"")</f>
        <v/>
      </c>
      <c r="BF46" s="180">
        <f>IF(AND(ISNUMBER(BF45),ISNUMBER(BA45)),IFERROR(BF45/BA45-1,""),"")</f>
        <v/>
      </c>
      <c r="BG46" s="180">
        <f>IF(AND(ISNUMBER(BG45),ISNUMBER(BB45)),IFERROR(BG45/BB45-1,""),"")</f>
        <v/>
      </c>
      <c r="BH46" s="180">
        <f>IF(AND(ISNUMBER(BH45),ISNUMBER(BC45)),IFERROR(BH45/BC45-1,""),"")</f>
        <v/>
      </c>
      <c r="BI46" s="180">
        <f>IF(AND(ISNUMBER(BI45),ISNUMBER(BD45)),IFERROR(BI45/BD45-1,""),"")</f>
        <v/>
      </c>
      <c r="BJ46" s="180">
        <f>IF(AND(ISNUMBER(BJ45),ISNUMBER(BE45)),IFERROR(BJ45/BE45-1,""),"")</f>
        <v/>
      </c>
      <c r="BK46" s="180">
        <f>IF(AND(ISNUMBER(BK45),ISNUMBER(BF45)),IFERROR(BK45/BF45-1,""),"")</f>
        <v/>
      </c>
      <c r="BL46" s="180">
        <f>IF(AND(ISNUMBER(BL45),ISNUMBER(BG45)),IFERROR(BL45/BG45-1,""),"")</f>
        <v/>
      </c>
      <c r="BM46" s="180">
        <f>IF(AND(ISNUMBER(BM45),ISNUMBER(BH45)),IFERROR(BM45/BH45-1,""),"")</f>
        <v/>
      </c>
      <c r="BN46" s="180">
        <f>IF(AND(ISNUMBER(BN45),ISNUMBER(BI45)),IFERROR(BN45/BI45-1,""),"")</f>
        <v/>
      </c>
      <c r="BO46" s="180">
        <f>IF(AND(ISNUMBER(BO45),ISNUMBER(BJ45)),IFERROR(BO45/BJ45-1,""),"")</f>
        <v/>
      </c>
      <c r="BP46" s="180">
        <f>IF(AND(ISNUMBER(BP45),ISNUMBER(BK45)),IFERROR(BP45/BK45-1,""),"")</f>
        <v/>
      </c>
      <c r="BQ46" s="180">
        <f>IF(AND(ISNUMBER(BQ45),ISNUMBER(BL45)),IFERROR(BQ45/BL45-1,""),"")</f>
        <v/>
      </c>
      <c r="BR46" s="180">
        <f>IF(AND(ISNUMBER(BR45),ISNUMBER(BM45)),IFERROR(BR45/BM45-1,""),"")</f>
        <v/>
      </c>
      <c r="BS46" s="180">
        <f>IF(AND(ISNUMBER(BS45),ISNUMBER(BN45)),IFERROR(BS45/BN45-1,""),"")</f>
        <v/>
      </c>
      <c r="BT46" s="180">
        <f>IF(AND(ISNUMBER(BT45),ISNUMBER(BO45)),IFERROR(BT45/BO45-1,""),"")</f>
        <v/>
      </c>
      <c r="BU46" s="180">
        <f>IF(AND(ISNUMBER(BU45),ISNUMBER(BP45)),IFERROR(BU45/BP45-1,""),"")</f>
        <v/>
      </c>
      <c r="BV46" s="180">
        <f>IF(AND(ISNUMBER(BV45),ISNUMBER(BQ45)),IFERROR(BV45/BQ45-1,""),"")</f>
        <v/>
      </c>
      <c r="BW46" s="180">
        <f>IF(AND(ISNUMBER(BW45),ISNUMBER(BR45)),IFERROR(BW45/BR45-1,""),"")</f>
        <v/>
      </c>
      <c r="BX46" s="180">
        <f>IF(AND(ISNUMBER(BX45),ISNUMBER(BS45)),IFERROR(BX45/BS45-1,""),"")</f>
        <v/>
      </c>
      <c r="BY46" s="181">
        <f>IF(AND(ISNUMBER(BY45),ISNUMBER(BT45)),IFERROR(BY45/BT45-1,""),"")</f>
        <v/>
      </c>
      <c r="BZ46" s="181">
        <f>IF(AND(ISNUMBER(BZ45),ISNUMBER(BU45)),IFERROR(BZ45/BU45-1,""),"")</f>
        <v/>
      </c>
      <c r="CA46" s="181">
        <f>IF(AND(ISNUMBER(CA45),ISNUMBER(BV45)),IFERROR(CA45/BV45-1,""),"")</f>
        <v/>
      </c>
      <c r="CB46" s="195" t="n">
        <v>0.04</v>
      </c>
      <c r="CC46" s="195" t="n">
        <v>0.04</v>
      </c>
      <c r="CD46" s="195" t="n">
        <v>0.04</v>
      </c>
      <c r="CE46" s="195" t="n">
        <v>0.04</v>
      </c>
      <c r="CF46" s="6" t="n"/>
    </row>
    <row r="47" ht="15" customHeight="1">
      <c r="B47" s="59" t="inlineStr">
        <is>
          <t>Total revenue (LTL operating build)</t>
        </is>
      </c>
      <c r="C47" s="196">
        <f>IF(ISNUMBER(C40),IF(ISNUMBER(C43),C43+N(C45),C40+C41),"")</f>
        <v/>
      </c>
      <c r="D47" s="196">
        <f>IF(ISNUMBER(D40),IF(ISNUMBER(D43),D43+N(D45),D40+D41),"")</f>
        <v/>
      </c>
      <c r="E47" s="196">
        <f>IF(ISNUMBER(E40),IF(ISNUMBER(E43),E43+N(E45),E40+E41),"")</f>
        <v/>
      </c>
      <c r="F47" s="196">
        <f>IF(ISNUMBER(F40),IF(ISNUMBER(F43),F43+N(F45),F40+F41),"")</f>
        <v/>
      </c>
      <c r="G47" s="196">
        <f>IF(ISNUMBER(G40),IF(ISNUMBER(G43),G43+N(G45),G40+G41),"")</f>
        <v/>
      </c>
      <c r="H47" s="196">
        <f>IF(ISNUMBER(H40),IF(ISNUMBER(H43),H43+N(H45),H40+H41),"")</f>
        <v/>
      </c>
      <c r="I47" s="196">
        <f>IF(ISNUMBER(I40),IF(ISNUMBER(I43),I43+N(I45),I40+I41),"")</f>
        <v/>
      </c>
      <c r="J47" s="196">
        <f>IF(ISNUMBER(J40),IF(ISNUMBER(J43),J43+N(J45),J40+J41),"")</f>
        <v/>
      </c>
      <c r="K47" s="196">
        <f>IF(ISNUMBER(K40),IF(ISNUMBER(K43),K43+N(K45),K40+K41),"")</f>
        <v/>
      </c>
      <c r="L47" s="196">
        <f>IF(ISNUMBER(L40),IF(ISNUMBER(L43),L43+N(L45),L40+L41),"")</f>
        <v/>
      </c>
      <c r="M47" s="196">
        <f>IF(ISNUMBER(M40),IF(ISNUMBER(M43),M43+N(M45),M40+M41),"")</f>
        <v/>
      </c>
      <c r="N47" s="196">
        <f>IF(ISNUMBER(N40),IF(ISNUMBER(N43),N43+N(N45),N40+N41),"")</f>
        <v/>
      </c>
      <c r="O47" s="196">
        <f>IF(ISNUMBER(O40),IF(ISNUMBER(O43),O43+N(O45),O40+O41),"")</f>
        <v/>
      </c>
      <c r="P47" s="196">
        <f>IF(ISNUMBER(P40),IF(ISNUMBER(P43),P43+N(P45),P40+P41),"")</f>
        <v/>
      </c>
      <c r="Q47" s="196">
        <f>IF(ISNUMBER(Q40),IF(ISNUMBER(Q43),Q43+N(Q45),Q40+Q41),"")</f>
        <v/>
      </c>
      <c r="R47" s="196">
        <f>IF(ISNUMBER(R40),IF(ISNUMBER(R43),R43+N(R45),R40+R41),"")</f>
        <v/>
      </c>
      <c r="S47" s="196">
        <f>IF(ISNUMBER(S40),IF(ISNUMBER(S43),S43+N(S45),S40+S41),"")</f>
        <v/>
      </c>
      <c r="T47" s="196">
        <f>IF(ISNUMBER(T40),IF(ISNUMBER(T43),T43+N(T45),T40+T41),"")</f>
        <v/>
      </c>
      <c r="U47" s="196">
        <f>IF(ISNUMBER(U40),IF(ISNUMBER(U43),U43+N(U45),U40+U41),"")</f>
        <v/>
      </c>
      <c r="V47" s="196">
        <f>IF(ISNUMBER(V40),IF(ISNUMBER(V43),V43+N(V45),V40+V41),"")</f>
        <v/>
      </c>
      <c r="W47" s="196">
        <f>IF(ISNUMBER(W40),IF(ISNUMBER(W43),W43+N(W45),W40+W41),"")</f>
        <v/>
      </c>
      <c r="X47" s="196">
        <f>IF(ISNUMBER(X40),IF(ISNUMBER(X43),X43+N(X45),X40+X41),"")</f>
        <v/>
      </c>
      <c r="Y47" s="196">
        <f>IF(ISNUMBER(Y40),IF(ISNUMBER(Y43),Y43+N(Y45),Y40+Y41),"")</f>
        <v/>
      </c>
      <c r="Z47" s="196">
        <f>IF(ISNUMBER(Z40),IF(ISNUMBER(Z43),Z43+N(Z45),Z40+Z41),"")</f>
        <v/>
      </c>
      <c r="AA47" s="196">
        <f>IF(ISNUMBER(AA40),IF(ISNUMBER(AA43),AA43+N(AA45),AA40+AA41),"")</f>
        <v/>
      </c>
      <c r="AB47" s="196">
        <f>IF(ISNUMBER(AB40),IF(ISNUMBER(AB43),AB43+N(AB45),AB40+AB41),"")</f>
        <v/>
      </c>
      <c r="AC47" s="196">
        <f>IF(ISNUMBER(AC40),IF(ISNUMBER(AC43),AC43+N(AC45),AC40+AC41),"")</f>
        <v/>
      </c>
      <c r="AD47" s="196">
        <f>IF(ISNUMBER(AD40),IF(ISNUMBER(AD43),AD43+N(AD45),AD40+AD41),"")</f>
        <v/>
      </c>
      <c r="AE47" s="196">
        <f>IF(ISNUMBER(AE40),IF(ISNUMBER(AE43),AE43+N(AE45),AE40+AE41),"")</f>
        <v/>
      </c>
      <c r="AF47" s="196">
        <f>IF(ISNUMBER(AF40),IF(ISNUMBER(AF43),AF43+N(AF45),AF40+AF41),"")</f>
        <v/>
      </c>
      <c r="AG47" s="196">
        <f>IF(ISNUMBER(AG40),IF(ISNUMBER(AG43),AG43+N(AG45),AG40+AG41),"")</f>
        <v/>
      </c>
      <c r="AH47" s="196">
        <f>IF(ISNUMBER(AH40),IF(ISNUMBER(AH43),AH43+N(AH45),AH40+AH41),"")</f>
        <v/>
      </c>
      <c r="AI47" s="196">
        <f>IF(ISNUMBER(AI40),IF(ISNUMBER(AI43),AI43+N(AI45),AI40+AI41),"")</f>
        <v/>
      </c>
      <c r="AJ47" s="196">
        <f>IF(ISNUMBER(AJ40),IF(ISNUMBER(AJ43),AJ43+N(AJ45),AJ40+AJ41),"")</f>
        <v/>
      </c>
      <c r="AK47" s="196">
        <f>IF(ISNUMBER(AK40),IF(ISNUMBER(AK43),AK43+N(AK45),AK40+AK41),"")</f>
        <v/>
      </c>
      <c r="AL47" s="196">
        <f>IF(ISNUMBER(AL40),IF(ISNUMBER(AL43),AL43+N(AL45),AL40+AL41),"")</f>
        <v/>
      </c>
      <c r="AM47" s="196">
        <f>IF(ISNUMBER(AM40),IF(ISNUMBER(AM43),AM43+N(AM45),AM40+AM41),"")</f>
        <v/>
      </c>
      <c r="AN47" s="196">
        <f>IF(ISNUMBER(AN40),IF(ISNUMBER(AN43),AN43+N(AN45),AN40+AN41),"")</f>
        <v/>
      </c>
      <c r="AO47" s="196">
        <f>IF(ISNUMBER(AO40),IF(ISNUMBER(AO43),AO43+N(AO45),AO40+AO41),"")</f>
        <v/>
      </c>
      <c r="AP47" s="196">
        <f>IF(ISNUMBER(AP40),IF(ISNUMBER(AP43),AP43+N(AP45),AP40+AP41),"")</f>
        <v/>
      </c>
      <c r="AQ47" s="196">
        <f>IF(ISNUMBER(AQ40),IF(ISNUMBER(AQ43),AQ43+N(AQ45),AQ40+AQ41),"")</f>
        <v/>
      </c>
      <c r="AR47" s="196">
        <f>IF(ISNUMBER(AR40),IF(ISNUMBER(AR43),AR43+N(AR45),AR40+AR41),"")</f>
        <v/>
      </c>
      <c r="AS47" s="196">
        <f>IF(ISNUMBER(AS40),IF(ISNUMBER(AS43),AS43+N(AS45),AS40+AS41),"")</f>
        <v/>
      </c>
      <c r="AT47" s="196">
        <f>IF(ISNUMBER(AT40),IF(ISNUMBER(AT43),AT43+N(AT45),AT40+AT41),"")</f>
        <v/>
      </c>
      <c r="AU47" s="196">
        <f>IF(ISNUMBER(AU40),IF(ISNUMBER(AU43),AU43+N(AU45),AU40+AU41),"")</f>
        <v/>
      </c>
      <c r="AV47" s="196">
        <f>IF(ISNUMBER(AV40),IF(ISNUMBER(AV43),AV43+N(AV45),AV40+AV41),"")</f>
        <v/>
      </c>
      <c r="AW47" s="196">
        <f>IF(ISNUMBER(AW40),IF(ISNUMBER(AW43),AW43+N(AW45),AW40+AW41),"")</f>
        <v/>
      </c>
      <c r="AX47" s="196">
        <f>IF(ISNUMBER(AX40),IF(ISNUMBER(AX43),AX43+N(AX45),AX40+AX41),"")</f>
        <v/>
      </c>
      <c r="AY47" s="196">
        <f>IF(ISNUMBER(AY40),IF(ISNUMBER(AY43),AY43+N(AY45),AY40+AY41),"")</f>
        <v/>
      </c>
      <c r="AZ47" s="196">
        <f>IF(ISNUMBER(AZ40),IF(ISNUMBER(AZ43),AZ43+N(AZ45),AZ40+AZ41),"")</f>
        <v/>
      </c>
      <c r="BA47" s="196">
        <f>IF(ISNUMBER(BA40),IF(ISNUMBER(BA43),BA43+N(BA45),BA40+BA41),"")</f>
        <v/>
      </c>
      <c r="BB47" s="196">
        <f>IF(ISNUMBER(BB40),IF(ISNUMBER(BB43),BB43+N(BB45),BB40+BB41),"")</f>
        <v/>
      </c>
      <c r="BC47" s="196">
        <f>IF(ISNUMBER(BC40),IF(ISNUMBER(BC43),BC43+N(BC45),BC40+BC41),"")</f>
        <v/>
      </c>
      <c r="BD47" s="196">
        <f>IF(ISNUMBER(BD40),IF(ISNUMBER(BD43),BD43+N(BD45),BD40+BD41),"")</f>
        <v/>
      </c>
      <c r="BE47" s="196">
        <f>IF(ISNUMBER(BE40),IF(ISNUMBER(BE43),BE43+N(BE45),BE40+BE41),"")</f>
        <v/>
      </c>
      <c r="BF47" s="196">
        <f>IF(ISNUMBER(BF40),IF(ISNUMBER(BF43),BF43+N(BF45),BF40+BF41),"")</f>
        <v/>
      </c>
      <c r="BG47" s="196">
        <f>IF(ISNUMBER(BG40),IF(ISNUMBER(BG43),BG43+N(BG45),BG40+BG41),"")</f>
        <v/>
      </c>
      <c r="BH47" s="196">
        <f>IF(ISNUMBER(BH40),IF(ISNUMBER(BH43),BH43+N(BH45),BH40+BH41),"")</f>
        <v/>
      </c>
      <c r="BI47" s="196">
        <f>IF(ISNUMBER(BI40),IF(ISNUMBER(BI43),BI43+N(BI45),BI40+BI41),"")</f>
        <v/>
      </c>
      <c r="BJ47" s="196">
        <f>IF(ISNUMBER(BJ40),IF(ISNUMBER(BJ43),BJ43+N(BJ45),BJ40+BJ41),"")</f>
        <v/>
      </c>
      <c r="BK47" s="196">
        <f>IF(ISNUMBER(BK40),IF(ISNUMBER(BK43),BK43+N(BK45),BK40+BK41),"")</f>
        <v/>
      </c>
      <c r="BL47" s="196">
        <f>IF(ISNUMBER(BL40),IF(ISNUMBER(BL43),BL43+N(BL45),BL40+BL41),"")</f>
        <v/>
      </c>
      <c r="BM47" s="196">
        <f>IF(ISNUMBER(BM40),IF(ISNUMBER(BM43),BM43+N(BM45),BM40+BM41),"")</f>
        <v/>
      </c>
      <c r="BN47" s="196">
        <f>IF(ISNUMBER(BN40),IF(ISNUMBER(BN43),BN43+N(BN45),BN40+BN41),"")</f>
        <v/>
      </c>
      <c r="BO47" s="196">
        <f>IF(ISNUMBER(BO40),IF(ISNUMBER(BO43),BO43+N(BO45),BO40+BO41),"")</f>
        <v/>
      </c>
      <c r="BP47" s="196">
        <f>IF(ISNUMBER(BP40),IF(ISNUMBER(BP43),BP43+N(BP45),BP40+BP41),"")</f>
        <v/>
      </c>
      <c r="BQ47" s="196">
        <f>IF(ISNUMBER(BQ40),IF(ISNUMBER(BQ43),BQ43+N(BQ45),BQ40+BQ41),"")</f>
        <v/>
      </c>
      <c r="BR47" s="196">
        <f>IF(ISNUMBER(BR40),IF(ISNUMBER(BR43),BR43+N(BR45),BR40+BR41),"")</f>
        <v/>
      </c>
      <c r="BS47" s="196">
        <f>IF(ISNUMBER(BS40),IF(ISNUMBER(BS43),BS43+N(BS45),BS40+BS41),"")</f>
        <v/>
      </c>
      <c r="BT47" s="196">
        <f>IF(ISNUMBER(BT40),IF(ISNUMBER(BT43),BT43+N(BT45),BT40+BT41),"")</f>
        <v/>
      </c>
      <c r="BU47" s="196">
        <f>IF(ISNUMBER(BU40),IF(ISNUMBER(BU43),BU43+N(BU45),BU40+BU41),"")</f>
        <v/>
      </c>
      <c r="BV47" s="196">
        <f>IF(ISNUMBER(BV40),IF(ISNUMBER(BV43),BV43+N(BV45),BV40+BV41),"")</f>
        <v/>
      </c>
      <c r="BW47" s="196">
        <f>IF(ISNUMBER(BW40),IF(ISNUMBER(BW43),BW43+N(BW45),BW40+BW41),"")</f>
        <v/>
      </c>
      <c r="BX47" s="196">
        <f>IF(ISNUMBER(BX40),IF(ISNUMBER(BX43),BX43+N(BX45),BX40+BX41),"")</f>
        <v/>
      </c>
      <c r="BY47" s="196">
        <f>BY43+BY45</f>
        <v/>
      </c>
      <c r="BZ47" s="196">
        <f>BZ43+BZ45</f>
        <v/>
      </c>
      <c r="CA47" s="196">
        <f>CA43+CA45</f>
        <v/>
      </c>
      <c r="CB47" s="196">
        <f>CB43+CB45</f>
        <v/>
      </c>
      <c r="CC47" s="196">
        <f>CC43+CC45</f>
        <v/>
      </c>
      <c r="CD47" s="196">
        <f>CD43+CD45</f>
        <v/>
      </c>
      <c r="CE47" s="196">
        <f>CE43+CE45</f>
        <v/>
      </c>
      <c r="CF47" s="6" t="inlineStr">
        <is>
          <t>Σ LTL services + other services revenue (historically = statistics basis + adjustments).</t>
        </is>
      </c>
    </row>
    <row r="48" ht="15" customHeight="1">
      <c r="B48" s="23" t="inlineStr">
        <is>
          <t xml:space="preserve">  Revenue y/y %</t>
        </is>
      </c>
      <c r="D48" s="180">
        <f>IF(AND(ISNUMBER(D47),ISNUMBER(C47)),IFERROR(D47/C47-1,""),"")</f>
        <v/>
      </c>
      <c r="E48" s="180">
        <f>IF(AND(ISNUMBER(E47),ISNUMBER(D47)),IFERROR(E47/D47-1,""),"")</f>
        <v/>
      </c>
      <c r="F48" s="180">
        <f>IF(AND(ISNUMBER(F47),ISNUMBER(E47)),IFERROR(F47/E47-1,""),"")</f>
        <v/>
      </c>
      <c r="G48" s="180">
        <f>IF(AND(ISNUMBER(G47),ISNUMBER(F47)),IFERROR(G47/F47-1,""),"")</f>
        <v/>
      </c>
      <c r="H48" s="180">
        <f>IF(AND(ISNUMBER(H47),ISNUMBER(G47)),IFERROR(H47/G47-1,""),"")</f>
        <v/>
      </c>
      <c r="I48" s="180">
        <f>IF(AND(ISNUMBER(I47),ISNUMBER(H47)),IFERROR(I47/H47-1,""),"")</f>
        <v/>
      </c>
      <c r="N48" s="180">
        <f>IF(AND(ISNUMBER(N47),ISNUMBER(I47)),IFERROR(N47/I47-1,""),"")</f>
        <v/>
      </c>
      <c r="O48" s="180">
        <f>IF(AND(ISNUMBER(O47),ISNUMBER(J47)),IFERROR(O47/J47-1,""),"")</f>
        <v/>
      </c>
      <c r="P48" s="180">
        <f>IF(AND(ISNUMBER(P47),ISNUMBER(K47)),IFERROR(P47/K47-1,""),"")</f>
        <v/>
      </c>
      <c r="Q48" s="180">
        <f>IF(AND(ISNUMBER(Q47),ISNUMBER(L47)),IFERROR(Q47/L47-1,""),"")</f>
        <v/>
      </c>
      <c r="R48" s="180">
        <f>IF(AND(ISNUMBER(R47),ISNUMBER(M47)),IFERROR(R47/M47-1,""),"")</f>
        <v/>
      </c>
      <c r="S48" s="180">
        <f>IF(AND(ISNUMBER(S47),ISNUMBER(N47)),IFERROR(S47/N47-1,""),"")</f>
        <v/>
      </c>
      <c r="T48" s="180">
        <f>IF(AND(ISNUMBER(T47),ISNUMBER(O47)),IFERROR(T47/O47-1,""),"")</f>
        <v/>
      </c>
      <c r="U48" s="180">
        <f>IF(AND(ISNUMBER(U47),ISNUMBER(P47)),IFERROR(U47/P47-1,""),"")</f>
        <v/>
      </c>
      <c r="V48" s="180">
        <f>IF(AND(ISNUMBER(V47),ISNUMBER(Q47)),IFERROR(V47/Q47-1,""),"")</f>
        <v/>
      </c>
      <c r="W48" s="180">
        <f>IF(AND(ISNUMBER(W47),ISNUMBER(R47)),IFERROR(W47/R47-1,""),"")</f>
        <v/>
      </c>
      <c r="X48" s="180">
        <f>IF(AND(ISNUMBER(X47),ISNUMBER(S47)),IFERROR(X47/S47-1,""),"")</f>
        <v/>
      </c>
      <c r="Y48" s="180">
        <f>IF(AND(ISNUMBER(Y47),ISNUMBER(T47)),IFERROR(Y47/T47-1,""),"")</f>
        <v/>
      </c>
      <c r="Z48" s="180">
        <f>IF(AND(ISNUMBER(Z47),ISNUMBER(U47)),IFERROR(Z47/U47-1,""),"")</f>
        <v/>
      </c>
      <c r="AA48" s="180">
        <f>IF(AND(ISNUMBER(AA47),ISNUMBER(V47)),IFERROR(AA47/V47-1,""),"")</f>
        <v/>
      </c>
      <c r="AB48" s="180">
        <f>IF(AND(ISNUMBER(AB47),ISNUMBER(W47)),IFERROR(AB47/W47-1,""),"")</f>
        <v/>
      </c>
      <c r="AC48" s="180">
        <f>IF(AND(ISNUMBER(AC47),ISNUMBER(X47)),IFERROR(AC47/X47-1,""),"")</f>
        <v/>
      </c>
      <c r="AD48" s="180">
        <f>IF(AND(ISNUMBER(AD47),ISNUMBER(Y47)),IFERROR(AD47/Y47-1,""),"")</f>
        <v/>
      </c>
      <c r="AE48" s="180">
        <f>IF(AND(ISNUMBER(AE47),ISNUMBER(Z47)),IFERROR(AE47/Z47-1,""),"")</f>
        <v/>
      </c>
      <c r="AF48" s="180">
        <f>IF(AND(ISNUMBER(AF47),ISNUMBER(AA47)),IFERROR(AF47/AA47-1,""),"")</f>
        <v/>
      </c>
      <c r="AG48" s="180">
        <f>IF(AND(ISNUMBER(AG47),ISNUMBER(AB47)),IFERROR(AG47/AB47-1,""),"")</f>
        <v/>
      </c>
      <c r="AH48" s="180">
        <f>IF(AND(ISNUMBER(AH47),ISNUMBER(AC47)),IFERROR(AH47/AC47-1,""),"")</f>
        <v/>
      </c>
      <c r="AI48" s="180">
        <f>IF(AND(ISNUMBER(AI47),ISNUMBER(AD47)),IFERROR(AI47/AD47-1,""),"")</f>
        <v/>
      </c>
      <c r="AJ48" s="180">
        <f>IF(AND(ISNUMBER(AJ47),ISNUMBER(AE47)),IFERROR(AJ47/AE47-1,""),"")</f>
        <v/>
      </c>
      <c r="AK48" s="180">
        <f>IF(AND(ISNUMBER(AK47),ISNUMBER(AF47)),IFERROR(AK47/AF47-1,""),"")</f>
        <v/>
      </c>
      <c r="AL48" s="180">
        <f>IF(AND(ISNUMBER(AL47),ISNUMBER(AG47)),IFERROR(AL47/AG47-1,""),"")</f>
        <v/>
      </c>
      <c r="AM48" s="180">
        <f>IF(AND(ISNUMBER(AM47),ISNUMBER(AH47)),IFERROR(AM47/AH47-1,""),"")</f>
        <v/>
      </c>
      <c r="AN48" s="180">
        <f>IF(AND(ISNUMBER(AN47),ISNUMBER(AI47)),IFERROR(AN47/AI47-1,""),"")</f>
        <v/>
      </c>
      <c r="AO48" s="180">
        <f>IF(AND(ISNUMBER(AO47),ISNUMBER(AJ47)),IFERROR(AO47/AJ47-1,""),"")</f>
        <v/>
      </c>
      <c r="AP48" s="180">
        <f>IF(AND(ISNUMBER(AP47),ISNUMBER(AK47)),IFERROR(AP47/AK47-1,""),"")</f>
        <v/>
      </c>
      <c r="AQ48" s="180">
        <f>IF(AND(ISNUMBER(AQ47),ISNUMBER(AL47)),IFERROR(AQ47/AL47-1,""),"")</f>
        <v/>
      </c>
      <c r="AR48" s="180">
        <f>IF(AND(ISNUMBER(AR47),ISNUMBER(AM47)),IFERROR(AR47/AM47-1,""),"")</f>
        <v/>
      </c>
      <c r="AS48" s="180">
        <f>IF(AND(ISNUMBER(AS47),ISNUMBER(AN47)),IFERROR(AS47/AN47-1,""),"")</f>
        <v/>
      </c>
      <c r="AT48" s="180">
        <f>IF(AND(ISNUMBER(AT47),ISNUMBER(AO47)),IFERROR(AT47/AO47-1,""),"")</f>
        <v/>
      </c>
      <c r="AU48" s="180">
        <f>IF(AND(ISNUMBER(AU47),ISNUMBER(AP47)),IFERROR(AU47/AP47-1,""),"")</f>
        <v/>
      </c>
      <c r="AV48" s="180">
        <f>IF(AND(ISNUMBER(AV47),ISNUMBER(AQ47)),IFERROR(AV47/AQ47-1,""),"")</f>
        <v/>
      </c>
      <c r="AW48" s="180">
        <f>IF(AND(ISNUMBER(AW47),ISNUMBER(AR47)),IFERROR(AW47/AR47-1,""),"")</f>
        <v/>
      </c>
      <c r="AX48" s="180">
        <f>IF(AND(ISNUMBER(AX47),ISNUMBER(AS47)),IFERROR(AX47/AS47-1,""),"")</f>
        <v/>
      </c>
      <c r="AY48" s="180">
        <f>IF(AND(ISNUMBER(AY47),ISNUMBER(AT47)),IFERROR(AY47/AT47-1,""),"")</f>
        <v/>
      </c>
      <c r="AZ48" s="180">
        <f>IF(AND(ISNUMBER(AZ47),ISNUMBER(AU47)),IFERROR(AZ47/AU47-1,""),"")</f>
        <v/>
      </c>
      <c r="BA48" s="180">
        <f>IF(AND(ISNUMBER(BA47),ISNUMBER(AV47)),IFERROR(BA47/AV47-1,""),"")</f>
        <v/>
      </c>
      <c r="BB48" s="180">
        <f>IF(AND(ISNUMBER(BB47),ISNUMBER(AW47)),IFERROR(BB47/AW47-1,""),"")</f>
        <v/>
      </c>
      <c r="BC48" s="180">
        <f>IF(AND(ISNUMBER(BC47),ISNUMBER(AX47)),IFERROR(BC47/AX47-1,""),"")</f>
        <v/>
      </c>
      <c r="BD48" s="180">
        <f>IF(AND(ISNUMBER(BD47),ISNUMBER(AY47)),IFERROR(BD47/AY47-1,""),"")</f>
        <v/>
      </c>
      <c r="BE48" s="180">
        <f>IF(AND(ISNUMBER(BE47),ISNUMBER(AZ47)),IFERROR(BE47/AZ47-1,""),"")</f>
        <v/>
      </c>
      <c r="BF48" s="180">
        <f>IF(AND(ISNUMBER(BF47),ISNUMBER(BA47)),IFERROR(BF47/BA47-1,""),"")</f>
        <v/>
      </c>
      <c r="BG48" s="180">
        <f>IF(AND(ISNUMBER(BG47),ISNUMBER(BB47)),IFERROR(BG47/BB47-1,""),"")</f>
        <v/>
      </c>
      <c r="BH48" s="180">
        <f>IF(AND(ISNUMBER(BH47),ISNUMBER(BC47)),IFERROR(BH47/BC47-1,""),"")</f>
        <v/>
      </c>
      <c r="BI48" s="180">
        <f>IF(AND(ISNUMBER(BI47),ISNUMBER(BD47)),IFERROR(BI47/BD47-1,""),"")</f>
        <v/>
      </c>
      <c r="BJ48" s="180">
        <f>IF(AND(ISNUMBER(BJ47),ISNUMBER(BE47)),IFERROR(BJ47/BE47-1,""),"")</f>
        <v/>
      </c>
      <c r="BK48" s="180">
        <f>IF(AND(ISNUMBER(BK47),ISNUMBER(BF47)),IFERROR(BK47/BF47-1,""),"")</f>
        <v/>
      </c>
      <c r="BL48" s="180">
        <f>IF(AND(ISNUMBER(BL47),ISNUMBER(BG47)),IFERROR(BL47/BG47-1,""),"")</f>
        <v/>
      </c>
      <c r="BM48" s="180">
        <f>IF(AND(ISNUMBER(BM47),ISNUMBER(BH47)),IFERROR(BM47/BH47-1,""),"")</f>
        <v/>
      </c>
      <c r="BN48" s="180">
        <f>IF(AND(ISNUMBER(BN47),ISNUMBER(BI47)),IFERROR(BN47/BI47-1,""),"")</f>
        <v/>
      </c>
      <c r="BO48" s="180">
        <f>IF(AND(ISNUMBER(BO47),ISNUMBER(BJ47)),IFERROR(BO47/BJ47-1,""),"")</f>
        <v/>
      </c>
      <c r="BP48" s="180">
        <f>IF(AND(ISNUMBER(BP47),ISNUMBER(BK47)),IFERROR(BP47/BK47-1,""),"")</f>
        <v/>
      </c>
      <c r="BQ48" s="180">
        <f>IF(AND(ISNUMBER(BQ47),ISNUMBER(BL47)),IFERROR(BQ47/BL47-1,""),"")</f>
        <v/>
      </c>
      <c r="BR48" s="180">
        <f>IF(AND(ISNUMBER(BR47),ISNUMBER(BM47)),IFERROR(BR47/BM47-1,""),"")</f>
        <v/>
      </c>
      <c r="BS48" s="180">
        <f>IF(AND(ISNUMBER(BS47),ISNUMBER(BN47)),IFERROR(BS47/BN47-1,""),"")</f>
        <v/>
      </c>
      <c r="BT48" s="180">
        <f>IF(AND(ISNUMBER(BT47),ISNUMBER(BO47)),IFERROR(BT47/BO47-1,""),"")</f>
        <v/>
      </c>
      <c r="BU48" s="180">
        <f>IF(AND(ISNUMBER(BU47),ISNUMBER(BP47)),IFERROR(BU47/BP47-1,""),"")</f>
        <v/>
      </c>
      <c r="BV48" s="180">
        <f>IF(AND(ISNUMBER(BV47),ISNUMBER(BQ47)),IFERROR(BV47/BQ47-1,""),"")</f>
        <v/>
      </c>
      <c r="BW48" s="180">
        <f>IF(AND(ISNUMBER(BW47),ISNUMBER(BR47)),IFERROR(BW47/BR47-1,""),"")</f>
        <v/>
      </c>
      <c r="BX48" s="180">
        <f>IF(AND(ISNUMBER(BX47),ISNUMBER(BS47)),IFERROR(BX47/BS47-1,""),"")</f>
        <v/>
      </c>
      <c r="BY48" s="181">
        <f>IF(AND(ISNUMBER(BY47),ISNUMBER(BT47)),IFERROR(BY47/BT47-1,""),"")</f>
        <v/>
      </c>
      <c r="BZ48" s="181">
        <f>IF(AND(ISNUMBER(BZ47),ISNUMBER(BU47)),IFERROR(BZ47/BU47-1,""),"")</f>
        <v/>
      </c>
      <c r="CA48" s="181">
        <f>IF(AND(ISNUMBER(CA47),ISNUMBER(BV47)),IFERROR(CA47/BV47-1,""),"")</f>
        <v/>
      </c>
      <c r="CB48" s="181">
        <f>IF(AND(ISNUMBER(CB47),ISNUMBER(CA47)),IFERROR(CB47/CA47-1,""),"")</f>
        <v/>
      </c>
      <c r="CC48" s="181">
        <f>IF(AND(ISNUMBER(CC47),ISNUMBER(CB47)),IFERROR(CC47/CB47-1,""),"")</f>
        <v/>
      </c>
      <c r="CD48" s="181">
        <f>IF(AND(ISNUMBER(CD47),ISNUMBER(CC47)),IFERROR(CD47/CC47-1,""),"")</f>
        <v/>
      </c>
      <c r="CE48" s="181">
        <f>IF(AND(ISNUMBER(CE47),ISNUMBER(CD47)),IFERROR(CE47/CD47-1,""),"")</f>
        <v/>
      </c>
      <c r="CF48" s="6" t="n"/>
    </row>
    <row r="49" ht="15" customHeight="1">
      <c r="B49" s="61" t="inlineStr">
        <is>
          <t xml:space="preserve">  Check: LTL operating build vs consolidated revenue (should be 0)</t>
        </is>
      </c>
      <c r="C49" s="197">
        <f>IF(ISNUMBER(C47),ROUND(C47-C100,1),"")</f>
        <v/>
      </c>
      <c r="D49" s="197">
        <f>IF(ISNUMBER(D47),ROUND(D47-D100,1),"")</f>
        <v/>
      </c>
      <c r="E49" s="197">
        <f>IF(ISNUMBER(E47),ROUND(E47-E100,1),"")</f>
        <v/>
      </c>
      <c r="F49" s="197">
        <f>IF(ISNUMBER(F47),ROUND(F47-F100,1),"")</f>
        <v/>
      </c>
      <c r="G49" s="197">
        <f>IF(ISNUMBER(G47),ROUND(G47-G100,1),"")</f>
        <v/>
      </c>
      <c r="H49" s="197">
        <f>IF(ISNUMBER(H47),ROUND(H47-H100,1),"")</f>
        <v/>
      </c>
      <c r="I49" s="197">
        <f>IF(ISNUMBER(I47),ROUND(I47-I100,1),"")</f>
        <v/>
      </c>
      <c r="J49" s="197">
        <f>IF(ISNUMBER(J47),ROUND(J47-J100,1),"")</f>
        <v/>
      </c>
      <c r="K49" s="197">
        <f>IF(ISNUMBER(K47),ROUND(K47-K100,1),"")</f>
        <v/>
      </c>
      <c r="L49" s="197">
        <f>IF(ISNUMBER(L47),ROUND(L47-L100,1),"")</f>
        <v/>
      </c>
      <c r="M49" s="197">
        <f>IF(ISNUMBER(M47),ROUND(M47-M100,1),"")</f>
        <v/>
      </c>
      <c r="N49" s="197">
        <f>IF(ISNUMBER(N47),ROUND(N47-N100,1),"")</f>
        <v/>
      </c>
      <c r="O49" s="197">
        <f>IF(ISNUMBER(O47),ROUND(O47-O100,1),"")</f>
        <v/>
      </c>
      <c r="P49" s="197">
        <f>IF(ISNUMBER(P47),ROUND(P47-P100,1),"")</f>
        <v/>
      </c>
      <c r="Q49" s="197">
        <f>IF(ISNUMBER(Q47),ROUND(Q47-Q100,1),"")</f>
        <v/>
      </c>
      <c r="R49" s="197">
        <f>IF(ISNUMBER(R47),ROUND(R47-R100,1),"")</f>
        <v/>
      </c>
      <c r="S49" s="197">
        <f>IF(ISNUMBER(S47),ROUND(S47-S100,1),"")</f>
        <v/>
      </c>
      <c r="T49" s="197">
        <f>IF(ISNUMBER(T47),ROUND(T47-T100,1),"")</f>
        <v/>
      </c>
      <c r="U49" s="197">
        <f>IF(ISNUMBER(U47),ROUND(U47-U100,1),"")</f>
        <v/>
      </c>
      <c r="V49" s="197">
        <f>IF(ISNUMBER(V47),ROUND(V47-V100,1),"")</f>
        <v/>
      </c>
      <c r="W49" s="197">
        <f>IF(ISNUMBER(W47),ROUND(W47-W100,1),"")</f>
        <v/>
      </c>
      <c r="X49" s="197">
        <f>IF(ISNUMBER(X47),ROUND(X47-X100,1),"")</f>
        <v/>
      </c>
      <c r="Y49" s="197">
        <f>IF(ISNUMBER(Y47),ROUND(Y47-Y100,1),"")</f>
        <v/>
      </c>
      <c r="Z49" s="197">
        <f>IF(ISNUMBER(Z47),ROUND(Z47-Z100,1),"")</f>
        <v/>
      </c>
      <c r="AA49" s="197">
        <f>IF(ISNUMBER(AA47),ROUND(AA47-AA100,1),"")</f>
        <v/>
      </c>
      <c r="AB49" s="197">
        <f>IF(ISNUMBER(AB47),ROUND(AB47-AB100,1),"")</f>
        <v/>
      </c>
      <c r="AC49" s="197">
        <f>IF(ISNUMBER(AC47),ROUND(AC47-AC100,1),"")</f>
        <v/>
      </c>
      <c r="AD49" s="197">
        <f>IF(ISNUMBER(AD47),ROUND(AD47-AD100,1),"")</f>
        <v/>
      </c>
      <c r="AE49" s="197">
        <f>IF(ISNUMBER(AE47),ROUND(AE47-AE100,1),"")</f>
        <v/>
      </c>
      <c r="AF49" s="197">
        <f>IF(ISNUMBER(AF47),ROUND(AF47-AF100,1),"")</f>
        <v/>
      </c>
      <c r="AG49" s="197">
        <f>IF(ISNUMBER(AG47),ROUND(AG47-AG100,1),"")</f>
        <v/>
      </c>
      <c r="AH49" s="197">
        <f>IF(ISNUMBER(AH47),ROUND(AH47-AH100,1),"")</f>
        <v/>
      </c>
      <c r="AI49" s="197">
        <f>IF(ISNUMBER(AI47),ROUND(AI47-AI100,1),"")</f>
        <v/>
      </c>
      <c r="AJ49" s="197">
        <f>IF(ISNUMBER(AJ47),ROUND(AJ47-AJ100,1),"")</f>
        <v/>
      </c>
      <c r="AK49" s="197">
        <f>IF(ISNUMBER(AK47),ROUND(AK47-AK100,1),"")</f>
        <v/>
      </c>
      <c r="AL49" s="197">
        <f>IF(ISNUMBER(AL47),ROUND(AL47-AL100,1),"")</f>
        <v/>
      </c>
      <c r="AM49" s="197">
        <f>IF(ISNUMBER(AM47),ROUND(AM47-AM100,1),"")</f>
        <v/>
      </c>
      <c r="AN49" s="197">
        <f>IF(ISNUMBER(AN47),ROUND(AN47-AN100,1),"")</f>
        <v/>
      </c>
      <c r="AO49" s="197">
        <f>IF(ISNUMBER(AO47),ROUND(AO47-AO100,1),"")</f>
        <v/>
      </c>
      <c r="AP49" s="197">
        <f>IF(ISNUMBER(AP47),ROUND(AP47-AP100,1),"")</f>
        <v/>
      </c>
      <c r="AQ49" s="197">
        <f>IF(ISNUMBER(AQ47),ROUND(AQ47-AQ100,1),"")</f>
        <v/>
      </c>
      <c r="AR49" s="197">
        <f>IF(ISNUMBER(AR47),ROUND(AR47-AR100,1),"")</f>
        <v/>
      </c>
      <c r="AS49" s="197">
        <f>IF(ISNUMBER(AS47),ROUND(AS47-AS100,1),"")</f>
        <v/>
      </c>
      <c r="AT49" s="197">
        <f>IF(ISNUMBER(AT47),ROUND(AT47-AT100,1),"")</f>
        <v/>
      </c>
      <c r="AU49" s="197">
        <f>IF(ISNUMBER(AU47),ROUND(AU47-AU100,1),"")</f>
        <v/>
      </c>
      <c r="AV49" s="197">
        <f>IF(ISNUMBER(AV47),ROUND(AV47-AV100,1),"")</f>
        <v/>
      </c>
      <c r="AW49" s="197">
        <f>IF(ISNUMBER(AW47),ROUND(AW47-AW100,1),"")</f>
        <v/>
      </c>
      <c r="AX49" s="197">
        <f>IF(ISNUMBER(AX47),ROUND(AX47-AX100,1),"")</f>
        <v/>
      </c>
      <c r="AY49" s="197">
        <f>IF(ISNUMBER(AY47),ROUND(AY47-AY100,1),"")</f>
        <v/>
      </c>
      <c r="AZ49" s="197">
        <f>IF(ISNUMBER(AZ47),ROUND(AZ47-AZ100,1),"")</f>
        <v/>
      </c>
      <c r="BA49" s="197">
        <f>IF(ISNUMBER(BA47),ROUND(BA47-BA100,1),"")</f>
        <v/>
      </c>
      <c r="BB49" s="197">
        <f>IF(ISNUMBER(BB47),ROUND(BB47-BB100,1),"")</f>
        <v/>
      </c>
      <c r="BC49" s="197">
        <f>IF(ISNUMBER(BC47),ROUND(BC47-BC100,1),"")</f>
        <v/>
      </c>
      <c r="BD49" s="197">
        <f>IF(ISNUMBER(BD47),ROUND(BD47-BD100,1),"")</f>
        <v/>
      </c>
      <c r="BE49" s="197">
        <f>IF(ISNUMBER(BE47),ROUND(BE47-BE100,1),"")</f>
        <v/>
      </c>
      <c r="BF49" s="197">
        <f>IF(ISNUMBER(BF47),ROUND(BF47-BF100,1),"")</f>
        <v/>
      </c>
      <c r="BG49" s="197">
        <f>IF(ISNUMBER(BG47),ROUND(BG47-BG100,1),"")</f>
        <v/>
      </c>
      <c r="BH49" s="197">
        <f>IF(ISNUMBER(BH47),ROUND(BH47-BH100,1),"")</f>
        <v/>
      </c>
      <c r="BI49" s="197">
        <f>IF(ISNUMBER(BI47),ROUND(BI47-BI100,1),"")</f>
        <v/>
      </c>
      <c r="BJ49" s="197">
        <f>IF(ISNUMBER(BJ47),ROUND(BJ47-BJ100,1),"")</f>
        <v/>
      </c>
      <c r="BK49" s="197">
        <f>IF(ISNUMBER(BK47),ROUND(BK47-BK100,1),"")</f>
        <v/>
      </c>
      <c r="BL49" s="197">
        <f>IF(ISNUMBER(BL47),ROUND(BL47-BL100,1),"")</f>
        <v/>
      </c>
      <c r="BM49" s="197">
        <f>IF(ISNUMBER(BM47),ROUND(BM47-BM100,1),"")</f>
        <v/>
      </c>
      <c r="BN49" s="197">
        <f>IF(ISNUMBER(BN47),ROUND(BN47-BN100,1),"")</f>
        <v/>
      </c>
      <c r="BO49" s="197">
        <f>IF(ISNUMBER(BO47),ROUND(BO47-BO100,1),"")</f>
        <v/>
      </c>
      <c r="BP49" s="197">
        <f>IF(ISNUMBER(BP47),ROUND(BP47-BP100,1),"")</f>
        <v/>
      </c>
      <c r="BQ49" s="197">
        <f>IF(ISNUMBER(BQ47),ROUND(BQ47-BQ100,1),"")</f>
        <v/>
      </c>
      <c r="BR49" s="197">
        <f>IF(ISNUMBER(BR47),ROUND(BR47-BR100,1),"")</f>
        <v/>
      </c>
      <c r="BS49" s="197">
        <f>IF(ISNUMBER(BS47),ROUND(BS47-BS100,1),"")</f>
        <v/>
      </c>
      <c r="BT49" s="197">
        <f>IF(ISNUMBER(BT47),ROUND(BT47-BT100,1),"")</f>
        <v/>
      </c>
      <c r="BU49" s="197">
        <f>IF(ISNUMBER(BU47),ROUND(BU47-BU100,1),"")</f>
        <v/>
      </c>
      <c r="BV49" s="197">
        <f>IF(ISNUMBER(BV47),ROUND(BV47-BV100,1),"")</f>
        <v/>
      </c>
      <c r="BW49" s="197">
        <f>IF(ISNUMBER(BW47),ROUND(BW47-BW100,1),"")</f>
        <v/>
      </c>
      <c r="BX49" s="197">
        <f>IF(ISNUMBER(BX47),ROUND(BX47-BX100,1),"")</f>
        <v/>
      </c>
      <c r="BY49" s="198">
        <f>IF(ISNUMBER(BY47),ROUND(BY47-BY100,1),"")</f>
        <v/>
      </c>
      <c r="BZ49" s="198">
        <f>IF(ISNUMBER(BZ47),ROUND(BZ47-BZ100,1),"")</f>
        <v/>
      </c>
      <c r="CA49" s="198">
        <f>IF(ISNUMBER(CA47),ROUND(CA47-CA100,1),"")</f>
        <v/>
      </c>
      <c r="CB49" s="198">
        <f>IF(ISNUMBER(CB47),ROUND(CB47-CB100,1),"")</f>
        <v/>
      </c>
      <c r="CC49" s="198">
        <f>IF(ISNUMBER(CC47),ROUND(CC47-CC100,1),"")</f>
        <v/>
      </c>
      <c r="CD49" s="198">
        <f>IF(ISNUMBER(CD47),ROUND(CD47-CD100,1),"")</f>
        <v/>
      </c>
      <c r="CE49" s="198">
        <f>IF(ISNUMBER(CE47),ROUND(CE47-CE100,1),"")</f>
        <v/>
      </c>
      <c r="CF49" s="6" t="n"/>
    </row>
    <row r="50" ht="15" customHeight="1">
      <c r="B50" s="26" t="inlineStr">
        <is>
          <t xml:space="preserve">  Revenue per work day ($m)</t>
        </is>
      </c>
      <c r="C50" s="188">
        <f>IF(AND(ISNUMBER(C100),ISNUMBER(C11)),IFERROR(C100/C11,""),"")</f>
        <v/>
      </c>
      <c r="D50" s="188">
        <f>IF(AND(ISNUMBER(D100),ISNUMBER(D11)),IFERROR(D100/D11,""),"")</f>
        <v/>
      </c>
      <c r="E50" s="188">
        <f>IF(AND(ISNUMBER(E100),ISNUMBER(E11)),IFERROR(E100/E11,""),"")</f>
        <v/>
      </c>
      <c r="F50" s="188">
        <f>IF(AND(ISNUMBER(F100),ISNUMBER(F11)),IFERROR(F100/F11,""),"")</f>
        <v/>
      </c>
      <c r="G50" s="188">
        <f>IF(AND(ISNUMBER(G100),ISNUMBER(G11)),IFERROR(G100/G11,""),"")</f>
        <v/>
      </c>
      <c r="H50" s="188">
        <f>IF(AND(ISNUMBER(H100),ISNUMBER(H11)),IFERROR(H100/H11,""),"")</f>
        <v/>
      </c>
      <c r="I50" s="188">
        <f>IF(AND(ISNUMBER(I100),ISNUMBER(I11)),IFERROR(I100/I11,""),"")</f>
        <v/>
      </c>
      <c r="J50" s="188">
        <f>IF(AND(ISNUMBER(J100),ISNUMBER(J11)),IFERROR(J100/J11,""),"")</f>
        <v/>
      </c>
      <c r="K50" s="188">
        <f>IF(AND(ISNUMBER(K100),ISNUMBER(K11)),IFERROR(K100/K11,""),"")</f>
        <v/>
      </c>
      <c r="L50" s="188">
        <f>IF(AND(ISNUMBER(L100),ISNUMBER(L11)),IFERROR(L100/L11,""),"")</f>
        <v/>
      </c>
      <c r="M50" s="188">
        <f>IF(AND(ISNUMBER(M100),ISNUMBER(M11)),IFERROR(M100/M11,""),"")</f>
        <v/>
      </c>
      <c r="N50" s="188">
        <f>IF(AND(ISNUMBER(N100),ISNUMBER(N11)),IFERROR(N100/N11,""),"")</f>
        <v/>
      </c>
      <c r="O50" s="188">
        <f>IF(AND(ISNUMBER(O100),ISNUMBER(O11)),IFERROR(O100/O11,""),"")</f>
        <v/>
      </c>
      <c r="P50" s="188">
        <f>IF(AND(ISNUMBER(P100),ISNUMBER(P11)),IFERROR(P100/P11,""),"")</f>
        <v/>
      </c>
      <c r="Q50" s="188">
        <f>IF(AND(ISNUMBER(Q100),ISNUMBER(Q11)),IFERROR(Q100/Q11,""),"")</f>
        <v/>
      </c>
      <c r="R50" s="188">
        <f>IF(AND(ISNUMBER(R100),ISNUMBER(R11)),IFERROR(R100/R11,""),"")</f>
        <v/>
      </c>
      <c r="S50" s="188">
        <f>IF(AND(ISNUMBER(S100),ISNUMBER(S11)),IFERROR(S100/S11,""),"")</f>
        <v/>
      </c>
      <c r="T50" s="188">
        <f>IF(AND(ISNUMBER(T100),ISNUMBER(T11)),IFERROR(T100/T11,""),"")</f>
        <v/>
      </c>
      <c r="U50" s="188">
        <f>IF(AND(ISNUMBER(U100),ISNUMBER(U11)),IFERROR(U100/U11,""),"")</f>
        <v/>
      </c>
      <c r="V50" s="188">
        <f>IF(AND(ISNUMBER(V100),ISNUMBER(V11)),IFERROR(V100/V11,""),"")</f>
        <v/>
      </c>
      <c r="W50" s="188">
        <f>IF(AND(ISNUMBER(W100),ISNUMBER(W11)),IFERROR(W100/W11,""),"")</f>
        <v/>
      </c>
      <c r="X50" s="188">
        <f>IF(AND(ISNUMBER(X100),ISNUMBER(X11)),IFERROR(X100/X11,""),"")</f>
        <v/>
      </c>
      <c r="Y50" s="188">
        <f>IF(AND(ISNUMBER(Y100),ISNUMBER(Y11)),IFERROR(Y100/Y11,""),"")</f>
        <v/>
      </c>
      <c r="Z50" s="188">
        <f>IF(AND(ISNUMBER(Z100),ISNUMBER(Z11)),IFERROR(Z100/Z11,""),"")</f>
        <v/>
      </c>
      <c r="AA50" s="188">
        <f>IF(AND(ISNUMBER(AA100),ISNUMBER(AA11)),IFERROR(AA100/AA11,""),"")</f>
        <v/>
      </c>
      <c r="AB50" s="188">
        <f>IF(AND(ISNUMBER(AB100),ISNUMBER(AB11)),IFERROR(AB100/AB11,""),"")</f>
        <v/>
      </c>
      <c r="AC50" s="188">
        <f>IF(AND(ISNUMBER(AC100),ISNUMBER(AC11)),IFERROR(AC100/AC11,""),"")</f>
        <v/>
      </c>
      <c r="AD50" s="188">
        <f>IF(AND(ISNUMBER(AD100),ISNUMBER(AD11)),IFERROR(AD100/AD11,""),"")</f>
        <v/>
      </c>
      <c r="AE50" s="188">
        <f>IF(AND(ISNUMBER(AE100),ISNUMBER(AE11)),IFERROR(AE100/AE11,""),"")</f>
        <v/>
      </c>
      <c r="AF50" s="188">
        <f>IF(AND(ISNUMBER(AF100),ISNUMBER(AF11)),IFERROR(AF100/AF11,""),"")</f>
        <v/>
      </c>
      <c r="AG50" s="188">
        <f>IF(AND(ISNUMBER(AG100),ISNUMBER(AG11)),IFERROR(AG100/AG11,""),"")</f>
        <v/>
      </c>
      <c r="AH50" s="188">
        <f>IF(AND(ISNUMBER(AH100),ISNUMBER(AH11)),IFERROR(AH100/AH11,""),"")</f>
        <v/>
      </c>
      <c r="AI50" s="188">
        <f>IF(AND(ISNUMBER(AI100),ISNUMBER(AI11)),IFERROR(AI100/AI11,""),"")</f>
        <v/>
      </c>
      <c r="AJ50" s="188">
        <f>IF(AND(ISNUMBER(AJ100),ISNUMBER(AJ11)),IFERROR(AJ100/AJ11,""),"")</f>
        <v/>
      </c>
      <c r="AK50" s="188">
        <f>IF(AND(ISNUMBER(AK100),ISNUMBER(AK11)),IFERROR(AK100/AK11,""),"")</f>
        <v/>
      </c>
      <c r="AL50" s="188">
        <f>IF(AND(ISNUMBER(AL100),ISNUMBER(AL11)),IFERROR(AL100/AL11,""),"")</f>
        <v/>
      </c>
      <c r="AM50" s="188">
        <f>IF(AND(ISNUMBER(AM100),ISNUMBER(AM11)),IFERROR(AM100/AM11,""),"")</f>
        <v/>
      </c>
      <c r="AN50" s="188">
        <f>IF(AND(ISNUMBER(AN100),ISNUMBER(AN11)),IFERROR(AN100/AN11,""),"")</f>
        <v/>
      </c>
      <c r="AO50" s="188">
        <f>IF(AND(ISNUMBER(AO100),ISNUMBER(AO11)),IFERROR(AO100/AO11,""),"")</f>
        <v/>
      </c>
      <c r="AP50" s="188">
        <f>IF(AND(ISNUMBER(AP100),ISNUMBER(AP11)),IFERROR(AP100/AP11,""),"")</f>
        <v/>
      </c>
      <c r="AQ50" s="188">
        <f>IF(AND(ISNUMBER(AQ100),ISNUMBER(AQ11)),IFERROR(AQ100/AQ11,""),"")</f>
        <v/>
      </c>
      <c r="AR50" s="188">
        <f>IF(AND(ISNUMBER(AR100),ISNUMBER(AR11)),IFERROR(AR100/AR11,""),"")</f>
        <v/>
      </c>
      <c r="AS50" s="188">
        <f>IF(AND(ISNUMBER(AS100),ISNUMBER(AS11)),IFERROR(AS100/AS11,""),"")</f>
        <v/>
      </c>
      <c r="AT50" s="188">
        <f>IF(AND(ISNUMBER(AT100),ISNUMBER(AT11)),IFERROR(AT100/AT11,""),"")</f>
        <v/>
      </c>
      <c r="AU50" s="188">
        <f>IF(AND(ISNUMBER(AU100),ISNUMBER(AU11)),IFERROR(AU100/AU11,""),"")</f>
        <v/>
      </c>
      <c r="AV50" s="188">
        <f>IF(AND(ISNUMBER(AV100),ISNUMBER(AV11)),IFERROR(AV100/AV11,""),"")</f>
        <v/>
      </c>
      <c r="AW50" s="188">
        <f>IF(AND(ISNUMBER(AW100),ISNUMBER(AW11)),IFERROR(AW100/AW11,""),"")</f>
        <v/>
      </c>
      <c r="AX50" s="188">
        <f>IF(AND(ISNUMBER(AX100),ISNUMBER(AX11)),IFERROR(AX100/AX11,""),"")</f>
        <v/>
      </c>
      <c r="AY50" s="188">
        <f>IF(AND(ISNUMBER(AY100),ISNUMBER(AY11)),IFERROR(AY100/AY11,""),"")</f>
        <v/>
      </c>
      <c r="AZ50" s="188">
        <f>IF(AND(ISNUMBER(AZ100),ISNUMBER(AZ11)),IFERROR(AZ100/AZ11,""),"")</f>
        <v/>
      </c>
      <c r="BA50" s="188">
        <f>IF(AND(ISNUMBER(BA100),ISNUMBER(BA11)),IFERROR(BA100/BA11,""),"")</f>
        <v/>
      </c>
      <c r="BB50" s="188">
        <f>IF(AND(ISNUMBER(BB100),ISNUMBER(BB11)),IFERROR(BB100/BB11,""),"")</f>
        <v/>
      </c>
      <c r="BC50" s="188">
        <f>IF(AND(ISNUMBER(BC100),ISNUMBER(BC11)),IFERROR(BC100/BC11,""),"")</f>
        <v/>
      </c>
      <c r="BD50" s="188">
        <f>IF(AND(ISNUMBER(BD100),ISNUMBER(BD11)),IFERROR(BD100/BD11,""),"")</f>
        <v/>
      </c>
      <c r="BE50" s="188">
        <f>IF(AND(ISNUMBER(BE100),ISNUMBER(BE11)),IFERROR(BE100/BE11,""),"")</f>
        <v/>
      </c>
      <c r="BF50" s="188">
        <f>IF(AND(ISNUMBER(BF100),ISNUMBER(BF11)),IFERROR(BF100/BF11,""),"")</f>
        <v/>
      </c>
      <c r="BG50" s="188">
        <f>IF(AND(ISNUMBER(BG100),ISNUMBER(BG11)),IFERROR(BG100/BG11,""),"")</f>
        <v/>
      </c>
      <c r="BH50" s="188">
        <f>IF(AND(ISNUMBER(BH100),ISNUMBER(BH11)),IFERROR(BH100/BH11,""),"")</f>
        <v/>
      </c>
      <c r="BI50" s="188">
        <f>IF(AND(ISNUMBER(BI100),ISNUMBER(BI11)),IFERROR(BI100/BI11,""),"")</f>
        <v/>
      </c>
      <c r="BJ50" s="188">
        <f>IF(AND(ISNUMBER(BJ100),ISNUMBER(BJ11)),IFERROR(BJ100/BJ11,""),"")</f>
        <v/>
      </c>
      <c r="BK50" s="188">
        <f>IF(AND(ISNUMBER(BK100),ISNUMBER(BK11)),IFERROR(BK100/BK11,""),"")</f>
        <v/>
      </c>
      <c r="BL50" s="188">
        <f>IF(AND(ISNUMBER(BL100),ISNUMBER(BL11)),IFERROR(BL100/BL11,""),"")</f>
        <v/>
      </c>
      <c r="BM50" s="188">
        <f>IF(AND(ISNUMBER(BM100),ISNUMBER(BM11)),IFERROR(BM100/BM11,""),"")</f>
        <v/>
      </c>
      <c r="BN50" s="188">
        <f>IF(AND(ISNUMBER(BN100),ISNUMBER(BN11)),IFERROR(BN100/BN11,""),"")</f>
        <v/>
      </c>
      <c r="BO50" s="188">
        <f>IF(AND(ISNUMBER(BO100),ISNUMBER(BO11)),IFERROR(BO100/BO11,""),"")</f>
        <v/>
      </c>
      <c r="BP50" s="188">
        <f>IF(AND(ISNUMBER(BP100),ISNUMBER(BP11)),IFERROR(BP100/BP11,""),"")</f>
        <v/>
      </c>
      <c r="BQ50" s="188">
        <f>IF(AND(ISNUMBER(BQ100),ISNUMBER(BQ11)),IFERROR(BQ100/BQ11,""),"")</f>
        <v/>
      </c>
      <c r="BR50" s="188">
        <f>IF(AND(ISNUMBER(BR100),ISNUMBER(BR11)),IFERROR(BR100/BR11,""),"")</f>
        <v/>
      </c>
      <c r="BS50" s="188">
        <f>IF(AND(ISNUMBER(BS100),ISNUMBER(BS11)),IFERROR(BS100/BS11,""),"")</f>
        <v/>
      </c>
      <c r="BT50" s="188">
        <f>IF(AND(ISNUMBER(BT100),ISNUMBER(BT11)),IFERROR(BT100/BT11,""),"")</f>
        <v/>
      </c>
      <c r="BU50" s="188">
        <f>IF(AND(ISNUMBER(BU100),ISNUMBER(BU11)),IFERROR(BU100/BU11,""),"")</f>
        <v/>
      </c>
      <c r="BV50" s="188">
        <f>IF(AND(ISNUMBER(BV100),ISNUMBER(BV11)),IFERROR(BV100/BV11,""),"")</f>
        <v/>
      </c>
      <c r="BW50" s="188">
        <f>IF(AND(ISNUMBER(BW100),ISNUMBER(BW11)),IFERROR(BW100/BW11,""),"")</f>
        <v/>
      </c>
      <c r="BX50" s="188">
        <f>IF(AND(ISNUMBER(BX100),ISNUMBER(BX11)),IFERROR(BX100/BX11,""),"")</f>
        <v/>
      </c>
      <c r="BY50" s="189">
        <f>IF(AND(ISNUMBER(BY100),ISNUMBER(BY11)),IFERROR(BY100/BY11,""),"")</f>
        <v/>
      </c>
      <c r="BZ50" s="189">
        <f>IF(AND(ISNUMBER(BZ100),ISNUMBER(BZ11)),IFERROR(BZ100/BZ11,""),"")</f>
        <v/>
      </c>
      <c r="CA50" s="189">
        <f>IF(AND(ISNUMBER(CA100),ISNUMBER(CA11)),IFERROR(CA100/CA11,""),"")</f>
        <v/>
      </c>
      <c r="CB50" s="189">
        <f>IF(AND(ISNUMBER(CB100),ISNUMBER(CB11)),IFERROR(CB100/CB11,""),"")</f>
        <v/>
      </c>
      <c r="CC50" s="189">
        <f>IF(AND(ISNUMBER(CC100),ISNUMBER(CC11)),IFERROR(CC100/CC11,""),"")</f>
        <v/>
      </c>
      <c r="CD50" s="189">
        <f>IF(AND(ISNUMBER(CD100),ISNUMBER(CD11)),IFERROR(CD100/CD11,""),"")</f>
        <v/>
      </c>
      <c r="CE50" s="189">
        <f>IF(AND(ISNUMBER(CE100),ISNUMBER(CE11)),IFERROR(CE100/CE11,""),"")</f>
        <v/>
      </c>
      <c r="CF50" s="20" t="n"/>
    </row>
    <row r="51" ht="15" customHeight="1">
      <c r="B51" s="23" t="inlineStr">
        <is>
          <t xml:space="preserve">    Revenue per day y/y % (mid-quarter update metric)</t>
        </is>
      </c>
      <c r="D51" s="180">
        <f>IF(AND(ISNUMBER(D50),ISNUMBER(C50)),IFERROR(D50/C50-1,""),"")</f>
        <v/>
      </c>
      <c r="E51" s="180">
        <f>IF(AND(ISNUMBER(E50),ISNUMBER(D50)),IFERROR(E50/D50-1,""),"")</f>
        <v/>
      </c>
      <c r="F51" s="180">
        <f>IF(AND(ISNUMBER(F50),ISNUMBER(E50)),IFERROR(F50/E50-1,""),"")</f>
        <v/>
      </c>
      <c r="G51" s="180">
        <f>IF(AND(ISNUMBER(G50),ISNUMBER(F50)),IFERROR(G50/F50-1,""),"")</f>
        <v/>
      </c>
      <c r="H51" s="180">
        <f>IF(AND(ISNUMBER(H50),ISNUMBER(G50)),IFERROR(H50/G50-1,""),"")</f>
        <v/>
      </c>
      <c r="I51" s="180">
        <f>IF(AND(ISNUMBER(I50),ISNUMBER(H50)),IFERROR(I50/H50-1,""),"")</f>
        <v/>
      </c>
      <c r="N51" s="180">
        <f>IF(AND(ISNUMBER(N50),ISNUMBER(I50)),IFERROR(N50/I50-1,""),"")</f>
        <v/>
      </c>
      <c r="O51" s="180">
        <f>IF(AND(ISNUMBER(O50),ISNUMBER(J50)),IFERROR(O50/J50-1,""),"")</f>
        <v/>
      </c>
      <c r="P51" s="180">
        <f>IF(AND(ISNUMBER(P50),ISNUMBER(K50)),IFERROR(P50/K50-1,""),"")</f>
        <v/>
      </c>
      <c r="Q51" s="180">
        <f>IF(AND(ISNUMBER(Q50),ISNUMBER(L50)),IFERROR(Q50/L50-1,""),"")</f>
        <v/>
      </c>
      <c r="R51" s="180">
        <f>IF(AND(ISNUMBER(R50),ISNUMBER(M50)),IFERROR(R50/M50-1,""),"")</f>
        <v/>
      </c>
      <c r="S51" s="180">
        <f>IF(AND(ISNUMBER(S50),ISNUMBER(N50)),IFERROR(S50/N50-1,""),"")</f>
        <v/>
      </c>
      <c r="T51" s="180">
        <f>IF(AND(ISNUMBER(T50),ISNUMBER(O50)),IFERROR(T50/O50-1,""),"")</f>
        <v/>
      </c>
      <c r="U51" s="180">
        <f>IF(AND(ISNUMBER(U50),ISNUMBER(P50)),IFERROR(U50/P50-1,""),"")</f>
        <v/>
      </c>
      <c r="V51" s="180">
        <f>IF(AND(ISNUMBER(V50),ISNUMBER(Q50)),IFERROR(V50/Q50-1,""),"")</f>
        <v/>
      </c>
      <c r="W51" s="180">
        <f>IF(AND(ISNUMBER(W50),ISNUMBER(R50)),IFERROR(W50/R50-1,""),"")</f>
        <v/>
      </c>
      <c r="X51" s="180">
        <f>IF(AND(ISNUMBER(X50),ISNUMBER(S50)),IFERROR(X50/S50-1,""),"")</f>
        <v/>
      </c>
      <c r="Y51" s="180">
        <f>IF(AND(ISNUMBER(Y50),ISNUMBER(T50)),IFERROR(Y50/T50-1,""),"")</f>
        <v/>
      </c>
      <c r="Z51" s="180">
        <f>IF(AND(ISNUMBER(Z50),ISNUMBER(U50)),IFERROR(Z50/U50-1,""),"")</f>
        <v/>
      </c>
      <c r="AA51" s="180">
        <f>IF(AND(ISNUMBER(AA50),ISNUMBER(V50)),IFERROR(AA50/V50-1,""),"")</f>
        <v/>
      </c>
      <c r="AB51" s="180">
        <f>IF(AND(ISNUMBER(AB50),ISNUMBER(W50)),IFERROR(AB50/W50-1,""),"")</f>
        <v/>
      </c>
      <c r="AC51" s="180">
        <f>IF(AND(ISNUMBER(AC50),ISNUMBER(X50)),IFERROR(AC50/X50-1,""),"")</f>
        <v/>
      </c>
      <c r="AD51" s="180">
        <f>IF(AND(ISNUMBER(AD50),ISNUMBER(Y50)),IFERROR(AD50/Y50-1,""),"")</f>
        <v/>
      </c>
      <c r="AE51" s="180">
        <f>IF(AND(ISNUMBER(AE50),ISNUMBER(Z50)),IFERROR(AE50/Z50-1,""),"")</f>
        <v/>
      </c>
      <c r="AF51" s="180">
        <f>IF(AND(ISNUMBER(AF50),ISNUMBER(AA50)),IFERROR(AF50/AA50-1,""),"")</f>
        <v/>
      </c>
      <c r="AG51" s="180">
        <f>IF(AND(ISNUMBER(AG50),ISNUMBER(AB50)),IFERROR(AG50/AB50-1,""),"")</f>
        <v/>
      </c>
      <c r="AH51" s="180">
        <f>IF(AND(ISNUMBER(AH50),ISNUMBER(AC50)),IFERROR(AH50/AC50-1,""),"")</f>
        <v/>
      </c>
      <c r="AI51" s="180">
        <f>IF(AND(ISNUMBER(AI50),ISNUMBER(AD50)),IFERROR(AI50/AD50-1,""),"")</f>
        <v/>
      </c>
      <c r="AJ51" s="180">
        <f>IF(AND(ISNUMBER(AJ50),ISNUMBER(AE50)),IFERROR(AJ50/AE50-1,""),"")</f>
        <v/>
      </c>
      <c r="AK51" s="180">
        <f>IF(AND(ISNUMBER(AK50),ISNUMBER(AF50)),IFERROR(AK50/AF50-1,""),"")</f>
        <v/>
      </c>
      <c r="AL51" s="180">
        <f>IF(AND(ISNUMBER(AL50),ISNUMBER(AG50)),IFERROR(AL50/AG50-1,""),"")</f>
        <v/>
      </c>
      <c r="AM51" s="180">
        <f>IF(AND(ISNUMBER(AM50),ISNUMBER(AH50)),IFERROR(AM50/AH50-1,""),"")</f>
        <v/>
      </c>
      <c r="AN51" s="180">
        <f>IF(AND(ISNUMBER(AN50),ISNUMBER(AI50)),IFERROR(AN50/AI50-1,""),"")</f>
        <v/>
      </c>
      <c r="AO51" s="180">
        <f>IF(AND(ISNUMBER(AO50),ISNUMBER(AJ50)),IFERROR(AO50/AJ50-1,""),"")</f>
        <v/>
      </c>
      <c r="AP51" s="180">
        <f>IF(AND(ISNUMBER(AP50),ISNUMBER(AK50)),IFERROR(AP50/AK50-1,""),"")</f>
        <v/>
      </c>
      <c r="AQ51" s="180">
        <f>IF(AND(ISNUMBER(AQ50),ISNUMBER(AL50)),IFERROR(AQ50/AL50-1,""),"")</f>
        <v/>
      </c>
      <c r="AR51" s="180">
        <f>IF(AND(ISNUMBER(AR50),ISNUMBER(AM50)),IFERROR(AR50/AM50-1,""),"")</f>
        <v/>
      </c>
      <c r="AS51" s="180">
        <f>IF(AND(ISNUMBER(AS50),ISNUMBER(AN50)),IFERROR(AS50/AN50-1,""),"")</f>
        <v/>
      </c>
      <c r="AT51" s="180">
        <f>IF(AND(ISNUMBER(AT50),ISNUMBER(AO50)),IFERROR(AT50/AO50-1,""),"")</f>
        <v/>
      </c>
      <c r="AU51" s="180">
        <f>IF(AND(ISNUMBER(AU50),ISNUMBER(AP50)),IFERROR(AU50/AP50-1,""),"")</f>
        <v/>
      </c>
      <c r="AV51" s="180">
        <f>IF(AND(ISNUMBER(AV50),ISNUMBER(AQ50)),IFERROR(AV50/AQ50-1,""),"")</f>
        <v/>
      </c>
      <c r="AW51" s="180">
        <f>IF(AND(ISNUMBER(AW50),ISNUMBER(AR50)),IFERROR(AW50/AR50-1,""),"")</f>
        <v/>
      </c>
      <c r="AX51" s="180">
        <f>IF(AND(ISNUMBER(AX50),ISNUMBER(AS50)),IFERROR(AX50/AS50-1,""),"")</f>
        <v/>
      </c>
      <c r="AY51" s="180">
        <f>IF(AND(ISNUMBER(AY50),ISNUMBER(AT50)),IFERROR(AY50/AT50-1,""),"")</f>
        <v/>
      </c>
      <c r="AZ51" s="180">
        <f>IF(AND(ISNUMBER(AZ50),ISNUMBER(AU50)),IFERROR(AZ50/AU50-1,""),"")</f>
        <v/>
      </c>
      <c r="BA51" s="180">
        <f>IF(AND(ISNUMBER(BA50),ISNUMBER(AV50)),IFERROR(BA50/AV50-1,""),"")</f>
        <v/>
      </c>
      <c r="BB51" s="180">
        <f>IF(AND(ISNUMBER(BB50),ISNUMBER(AW50)),IFERROR(BB50/AW50-1,""),"")</f>
        <v/>
      </c>
      <c r="BC51" s="180">
        <f>IF(AND(ISNUMBER(BC50),ISNUMBER(AX50)),IFERROR(BC50/AX50-1,""),"")</f>
        <v/>
      </c>
      <c r="BD51" s="180">
        <f>IF(AND(ISNUMBER(BD50),ISNUMBER(AY50)),IFERROR(BD50/AY50-1,""),"")</f>
        <v/>
      </c>
      <c r="BE51" s="180">
        <f>IF(AND(ISNUMBER(BE50),ISNUMBER(AZ50)),IFERROR(BE50/AZ50-1,""),"")</f>
        <v/>
      </c>
      <c r="BF51" s="180">
        <f>IF(AND(ISNUMBER(BF50),ISNUMBER(BA50)),IFERROR(BF50/BA50-1,""),"")</f>
        <v/>
      </c>
      <c r="BG51" s="180">
        <f>IF(AND(ISNUMBER(BG50),ISNUMBER(BB50)),IFERROR(BG50/BB50-1,""),"")</f>
        <v/>
      </c>
      <c r="BH51" s="180">
        <f>IF(AND(ISNUMBER(BH50),ISNUMBER(BC50)),IFERROR(BH50/BC50-1,""),"")</f>
        <v/>
      </c>
      <c r="BI51" s="180">
        <f>IF(AND(ISNUMBER(BI50),ISNUMBER(BD50)),IFERROR(BI50/BD50-1,""),"")</f>
        <v/>
      </c>
      <c r="BJ51" s="180">
        <f>IF(AND(ISNUMBER(BJ50),ISNUMBER(BE50)),IFERROR(BJ50/BE50-1,""),"")</f>
        <v/>
      </c>
      <c r="BK51" s="180">
        <f>IF(AND(ISNUMBER(BK50),ISNUMBER(BF50)),IFERROR(BK50/BF50-1,""),"")</f>
        <v/>
      </c>
      <c r="BL51" s="180">
        <f>IF(AND(ISNUMBER(BL50),ISNUMBER(BG50)),IFERROR(BL50/BG50-1,""),"")</f>
        <v/>
      </c>
      <c r="BM51" s="180">
        <f>IF(AND(ISNUMBER(BM50),ISNUMBER(BH50)),IFERROR(BM50/BH50-1,""),"")</f>
        <v/>
      </c>
      <c r="BN51" s="180">
        <f>IF(AND(ISNUMBER(BN50),ISNUMBER(BI50)),IFERROR(BN50/BI50-1,""),"")</f>
        <v/>
      </c>
      <c r="BO51" s="180">
        <f>IF(AND(ISNUMBER(BO50),ISNUMBER(BJ50)),IFERROR(BO50/BJ50-1,""),"")</f>
        <v/>
      </c>
      <c r="BP51" s="180">
        <f>IF(AND(ISNUMBER(BP50),ISNUMBER(BK50)),IFERROR(BP50/BK50-1,""),"")</f>
        <v/>
      </c>
      <c r="BQ51" s="180">
        <f>IF(AND(ISNUMBER(BQ50),ISNUMBER(BL50)),IFERROR(BQ50/BL50-1,""),"")</f>
        <v/>
      </c>
      <c r="BR51" s="180">
        <f>IF(AND(ISNUMBER(BR50),ISNUMBER(BM50)),IFERROR(BR50/BM50-1,""),"")</f>
        <v/>
      </c>
      <c r="BS51" s="180">
        <f>IF(AND(ISNUMBER(BS50),ISNUMBER(BN50)),IFERROR(BS50/BN50-1,""),"")</f>
        <v/>
      </c>
      <c r="BT51" s="180">
        <f>IF(AND(ISNUMBER(BT50),ISNUMBER(BO50)),IFERROR(BT50/BO50-1,""),"")</f>
        <v/>
      </c>
      <c r="BU51" s="180">
        <f>IF(AND(ISNUMBER(BU50),ISNUMBER(BP50)),IFERROR(BU50/BP50-1,""),"")</f>
        <v/>
      </c>
      <c r="BV51" s="180">
        <f>IF(AND(ISNUMBER(BV50),ISNUMBER(BQ50)),IFERROR(BV50/BQ50-1,""),"")</f>
        <v/>
      </c>
      <c r="BW51" s="180">
        <f>IF(AND(ISNUMBER(BW50),ISNUMBER(BR50)),IFERROR(BW50/BR50-1,""),"")</f>
        <v/>
      </c>
      <c r="BX51" s="180">
        <f>IF(AND(ISNUMBER(BX50),ISNUMBER(BS50)),IFERROR(BX50/BS50-1,""),"")</f>
        <v/>
      </c>
      <c r="BY51" s="181">
        <f>IF(AND(ISNUMBER(BY50),ISNUMBER(BT50)),IFERROR(BY50/BT50-1,""),"")</f>
        <v/>
      </c>
      <c r="BZ51" s="181">
        <f>IF(AND(ISNUMBER(BZ50),ISNUMBER(BU50)),IFERROR(BZ50/BU50-1,""),"")</f>
        <v/>
      </c>
      <c r="CA51" s="181">
        <f>IF(AND(ISNUMBER(CA50),ISNUMBER(BV50)),IFERROR(CA50/BV50-1,""),"")</f>
        <v/>
      </c>
      <c r="CB51" s="181">
        <f>IF(AND(ISNUMBER(CB50),ISNUMBER(CA50)),IFERROR(CB50/CA50-1,""),"")</f>
        <v/>
      </c>
      <c r="CC51" s="181">
        <f>IF(AND(ISNUMBER(CC50),ISNUMBER(CB50)),IFERROR(CC50/CB50-1,""),"")</f>
        <v/>
      </c>
      <c r="CD51" s="181">
        <f>IF(AND(ISNUMBER(CD50),ISNUMBER(CC50)),IFERROR(CD50/CC50-1,""),"")</f>
        <v/>
      </c>
      <c r="CE51" s="181">
        <f>IF(AND(ISNUMBER(CE50),ISNUMBER(CD50)),IFERROR(CE50/CD50-1,""),"")</f>
        <v/>
      </c>
      <c r="CF51" s="6" t="n"/>
    </row>
    <row r="52" ht="15" customHeight="1">
      <c r="B52" s="26" t="inlineStr">
        <is>
          <t xml:space="preserve">  Δ LTL revenue (statistics basis) y/y — volume / ex-fuel yield / fuel surcharge:</t>
        </is>
      </c>
      <c r="CF52" s="6" t="n"/>
    </row>
    <row r="53" ht="15" customHeight="1">
      <c r="B53" s="26" t="inlineStr">
        <is>
          <t xml:space="preserve">    Volume effect (Δ tons × prior-period revenue/cwt)</t>
        </is>
      </c>
      <c r="C53" s="36" t="n"/>
      <c r="D53" s="194">
        <f>IF(AND(ISNUMBER(D15),ISNUMBER(C15),ISNUMBER(C33)),(D15-C15)*20*C33/1000,"")</f>
        <v/>
      </c>
      <c r="E53" s="194">
        <f>IF(AND(ISNUMBER(E15),ISNUMBER(D15),ISNUMBER(D33)),(E15-D15)*20*D33/1000,"")</f>
        <v/>
      </c>
      <c r="F53" s="194">
        <f>IF(AND(ISNUMBER(F15),ISNUMBER(E15),ISNUMBER(E33)),(F15-E15)*20*E33/1000,"")</f>
        <v/>
      </c>
      <c r="G53" s="194">
        <f>IF(AND(ISNUMBER(G15),ISNUMBER(F15),ISNUMBER(F33)),(G15-F15)*20*F33/1000,"")</f>
        <v/>
      </c>
      <c r="H53" s="194">
        <f>IF(AND(ISNUMBER(H15),ISNUMBER(G15),ISNUMBER(G33)),(H15-G15)*20*G33/1000,"")</f>
        <v/>
      </c>
      <c r="I53" s="194">
        <f>IF(AND(ISNUMBER(I15),ISNUMBER(H15),ISNUMBER(H33)),(I15-H15)*20*H33/1000,"")</f>
        <v/>
      </c>
      <c r="J53" s="36" t="n"/>
      <c r="K53" s="36" t="n"/>
      <c r="L53" s="36" t="n"/>
      <c r="M53" s="36" t="n"/>
      <c r="N53" s="194">
        <f>IF(AND(ISNUMBER(N15),ISNUMBER(I15),ISNUMBER(I33)),(N15-I15)*20*I33/1000,"")</f>
        <v/>
      </c>
      <c r="O53" s="194">
        <f>IF(AND(ISNUMBER(O15),ISNUMBER(J15),ISNUMBER(J33)),(O15-J15)*20*J33/1000,"")</f>
        <v/>
      </c>
      <c r="P53" s="194">
        <f>IF(AND(ISNUMBER(P15),ISNUMBER(K15),ISNUMBER(K33)),(P15-K15)*20*K33/1000,"")</f>
        <v/>
      </c>
      <c r="Q53" s="194">
        <f>IF(AND(ISNUMBER(Q15),ISNUMBER(L15),ISNUMBER(L33)),(Q15-L15)*20*L33/1000,"")</f>
        <v/>
      </c>
      <c r="R53" s="194">
        <f>IF(AND(ISNUMBER(R15),ISNUMBER(M15),ISNUMBER(M33)),(R15-M15)*20*M33/1000,"")</f>
        <v/>
      </c>
      <c r="S53" s="194">
        <f>IF(AND(ISNUMBER(S15),ISNUMBER(N15),ISNUMBER(N33)),(S15-N15)*20*N33/1000,"")</f>
        <v/>
      </c>
      <c r="T53" s="194">
        <f>IF(AND(ISNUMBER(T15),ISNUMBER(O15),ISNUMBER(O33)),(T15-O15)*20*O33/1000,"")</f>
        <v/>
      </c>
      <c r="U53" s="194">
        <f>IF(AND(ISNUMBER(U15),ISNUMBER(P15),ISNUMBER(P33)),(U15-P15)*20*P33/1000,"")</f>
        <v/>
      </c>
      <c r="V53" s="194">
        <f>IF(AND(ISNUMBER(V15),ISNUMBER(Q15),ISNUMBER(Q33)),(V15-Q15)*20*Q33/1000,"")</f>
        <v/>
      </c>
      <c r="W53" s="194">
        <f>IF(AND(ISNUMBER(W15),ISNUMBER(R15),ISNUMBER(R33)),(W15-R15)*20*R33/1000,"")</f>
        <v/>
      </c>
      <c r="X53" s="194">
        <f>IF(AND(ISNUMBER(X15),ISNUMBER(S15),ISNUMBER(S33)),(X15-S15)*20*S33/1000,"")</f>
        <v/>
      </c>
      <c r="Y53" s="194">
        <f>IF(AND(ISNUMBER(Y15),ISNUMBER(T15),ISNUMBER(T33)),(Y15-T15)*20*T33/1000,"")</f>
        <v/>
      </c>
      <c r="Z53" s="194">
        <f>IF(AND(ISNUMBER(Z15),ISNUMBER(U15),ISNUMBER(U33)),(Z15-U15)*20*U33/1000,"")</f>
        <v/>
      </c>
      <c r="AA53" s="194">
        <f>IF(AND(ISNUMBER(AA15),ISNUMBER(V15),ISNUMBER(V33)),(AA15-V15)*20*V33/1000,"")</f>
        <v/>
      </c>
      <c r="AB53" s="194">
        <f>IF(AND(ISNUMBER(AB15),ISNUMBER(W15),ISNUMBER(W33)),(AB15-W15)*20*W33/1000,"")</f>
        <v/>
      </c>
      <c r="AC53" s="194">
        <f>IF(AND(ISNUMBER(AC15),ISNUMBER(X15),ISNUMBER(X33)),(AC15-X15)*20*X33/1000,"")</f>
        <v/>
      </c>
      <c r="AD53" s="194">
        <f>IF(AND(ISNUMBER(AD15),ISNUMBER(Y15),ISNUMBER(Y33)),(AD15-Y15)*20*Y33/1000,"")</f>
        <v/>
      </c>
      <c r="AE53" s="194">
        <f>IF(AND(ISNUMBER(AE15),ISNUMBER(Z15),ISNUMBER(Z33)),(AE15-Z15)*20*Z33/1000,"")</f>
        <v/>
      </c>
      <c r="AF53" s="194">
        <f>IF(AND(ISNUMBER(AF15),ISNUMBER(AA15),ISNUMBER(AA33)),(AF15-AA15)*20*AA33/1000,"")</f>
        <v/>
      </c>
      <c r="AG53" s="194">
        <f>IF(AND(ISNUMBER(AG15),ISNUMBER(AB15),ISNUMBER(AB33)),(AG15-AB15)*20*AB33/1000,"")</f>
        <v/>
      </c>
      <c r="AH53" s="194">
        <f>IF(AND(ISNUMBER(AH15),ISNUMBER(AC15),ISNUMBER(AC33)),(AH15-AC15)*20*AC33/1000,"")</f>
        <v/>
      </c>
      <c r="AI53" s="194">
        <f>IF(AND(ISNUMBER(AI15),ISNUMBER(AD15),ISNUMBER(AD33)),(AI15-AD15)*20*AD33/1000,"")</f>
        <v/>
      </c>
      <c r="AJ53" s="194">
        <f>IF(AND(ISNUMBER(AJ15),ISNUMBER(AE15),ISNUMBER(AE33)),(AJ15-AE15)*20*AE33/1000,"")</f>
        <v/>
      </c>
      <c r="AK53" s="194">
        <f>IF(AND(ISNUMBER(AK15),ISNUMBER(AF15),ISNUMBER(AF33)),(AK15-AF15)*20*AF33/1000,"")</f>
        <v/>
      </c>
      <c r="AL53" s="194">
        <f>IF(AND(ISNUMBER(AL15),ISNUMBER(AG15),ISNUMBER(AG33)),(AL15-AG15)*20*AG33/1000,"")</f>
        <v/>
      </c>
      <c r="AM53" s="194">
        <f>IF(AND(ISNUMBER(AM15),ISNUMBER(AH15),ISNUMBER(AH33)),(AM15-AH15)*20*AH33/1000,"")</f>
        <v/>
      </c>
      <c r="AN53" s="194">
        <f>IF(AND(ISNUMBER(AN15),ISNUMBER(AI15),ISNUMBER(AI33)),(AN15-AI15)*20*AI33/1000,"")</f>
        <v/>
      </c>
      <c r="AO53" s="194">
        <f>IF(AND(ISNUMBER(AO15),ISNUMBER(AJ15),ISNUMBER(AJ33)),(AO15-AJ15)*20*AJ33/1000,"")</f>
        <v/>
      </c>
      <c r="AP53" s="194">
        <f>IF(AND(ISNUMBER(AP15),ISNUMBER(AK15),ISNUMBER(AK33)),(AP15-AK15)*20*AK33/1000,"")</f>
        <v/>
      </c>
      <c r="AQ53" s="194">
        <f>IF(AND(ISNUMBER(AQ15),ISNUMBER(AL15),ISNUMBER(AL33)),(AQ15-AL15)*20*AL33/1000,"")</f>
        <v/>
      </c>
      <c r="AR53" s="194">
        <f>IF(AND(ISNUMBER(AR15),ISNUMBER(AM15),ISNUMBER(AM33)),(AR15-AM15)*20*AM33/1000,"")</f>
        <v/>
      </c>
      <c r="AS53" s="194">
        <f>IF(AND(ISNUMBER(AS15),ISNUMBER(AN15),ISNUMBER(AN33)),(AS15-AN15)*20*AN33/1000,"")</f>
        <v/>
      </c>
      <c r="AT53" s="194">
        <f>IF(AND(ISNUMBER(AT15),ISNUMBER(AO15),ISNUMBER(AO33)),(AT15-AO15)*20*AO33/1000,"")</f>
        <v/>
      </c>
      <c r="AU53" s="194">
        <f>IF(AND(ISNUMBER(AU15),ISNUMBER(AP15),ISNUMBER(AP33)),(AU15-AP15)*20*AP33/1000,"")</f>
        <v/>
      </c>
      <c r="AV53" s="194">
        <f>IF(AND(ISNUMBER(AV15),ISNUMBER(AQ15),ISNUMBER(AQ33)),(AV15-AQ15)*20*AQ33/1000,"")</f>
        <v/>
      </c>
      <c r="AW53" s="194">
        <f>IF(AND(ISNUMBER(AW15),ISNUMBER(AR15),ISNUMBER(AR33)),(AW15-AR15)*20*AR33/1000,"")</f>
        <v/>
      </c>
      <c r="AX53" s="194">
        <f>IF(AND(ISNUMBER(AX15),ISNUMBER(AS15),ISNUMBER(AS33)),(AX15-AS15)*20*AS33/1000,"")</f>
        <v/>
      </c>
      <c r="AY53" s="194">
        <f>IF(AND(ISNUMBER(AY15),ISNUMBER(AT15),ISNUMBER(AT33)),(AY15-AT15)*20*AT33/1000,"")</f>
        <v/>
      </c>
      <c r="AZ53" s="194">
        <f>IF(AND(ISNUMBER(AZ15),ISNUMBER(AU15),ISNUMBER(AU33)),(AZ15-AU15)*20*AU33/1000,"")</f>
        <v/>
      </c>
      <c r="BA53" s="194">
        <f>IF(AND(ISNUMBER(BA15),ISNUMBER(AV15),ISNUMBER(AV33)),(BA15-AV15)*20*AV33/1000,"")</f>
        <v/>
      </c>
      <c r="BB53" s="194">
        <f>IF(AND(ISNUMBER(BB15),ISNUMBER(AW15),ISNUMBER(AW33)),(BB15-AW15)*20*AW33/1000,"")</f>
        <v/>
      </c>
      <c r="BC53" s="194">
        <f>IF(AND(ISNUMBER(BC15),ISNUMBER(AX15),ISNUMBER(AX33)),(BC15-AX15)*20*AX33/1000,"")</f>
        <v/>
      </c>
      <c r="BD53" s="194">
        <f>IF(AND(ISNUMBER(BD15),ISNUMBER(AY15),ISNUMBER(AY33)),(BD15-AY15)*20*AY33/1000,"")</f>
        <v/>
      </c>
      <c r="BE53" s="194">
        <f>IF(AND(ISNUMBER(BE15),ISNUMBER(AZ15),ISNUMBER(AZ33)),(BE15-AZ15)*20*AZ33/1000,"")</f>
        <v/>
      </c>
      <c r="BF53" s="194">
        <f>IF(AND(ISNUMBER(BF15),ISNUMBER(BA15),ISNUMBER(BA33)),(BF15-BA15)*20*BA33/1000,"")</f>
        <v/>
      </c>
      <c r="BG53" s="194">
        <f>IF(AND(ISNUMBER(BG15),ISNUMBER(BB15),ISNUMBER(BB33)),(BG15-BB15)*20*BB33/1000,"")</f>
        <v/>
      </c>
      <c r="BH53" s="194">
        <f>IF(AND(ISNUMBER(BH15),ISNUMBER(BC15),ISNUMBER(BC33)),(BH15-BC15)*20*BC33/1000,"")</f>
        <v/>
      </c>
      <c r="BI53" s="194">
        <f>IF(AND(ISNUMBER(BI15),ISNUMBER(BD15),ISNUMBER(BD33)),(BI15-BD15)*20*BD33/1000,"")</f>
        <v/>
      </c>
      <c r="BJ53" s="194">
        <f>IF(AND(ISNUMBER(BJ15),ISNUMBER(BE15),ISNUMBER(BE33)),(BJ15-BE15)*20*BE33/1000,"")</f>
        <v/>
      </c>
      <c r="BK53" s="194">
        <f>IF(AND(ISNUMBER(BK15),ISNUMBER(BF15),ISNUMBER(BF33)),(BK15-BF15)*20*BF33/1000,"")</f>
        <v/>
      </c>
      <c r="BL53" s="194">
        <f>IF(AND(ISNUMBER(BL15),ISNUMBER(BG15),ISNUMBER(BG33)),(BL15-BG15)*20*BG33/1000,"")</f>
        <v/>
      </c>
      <c r="BM53" s="194">
        <f>IF(AND(ISNUMBER(BM15),ISNUMBER(BH15),ISNUMBER(BH33)),(BM15-BH15)*20*BH33/1000,"")</f>
        <v/>
      </c>
      <c r="BN53" s="194">
        <f>IF(AND(ISNUMBER(BN15),ISNUMBER(BI15),ISNUMBER(BI33)),(BN15-BI15)*20*BI33/1000,"")</f>
        <v/>
      </c>
      <c r="BO53" s="194">
        <f>IF(AND(ISNUMBER(BO15),ISNUMBER(BJ15),ISNUMBER(BJ33)),(BO15-BJ15)*20*BJ33/1000,"")</f>
        <v/>
      </c>
      <c r="BP53" s="194">
        <f>IF(AND(ISNUMBER(BP15),ISNUMBER(BK15),ISNUMBER(BK33)),(BP15-BK15)*20*BK33/1000,"")</f>
        <v/>
      </c>
      <c r="BQ53" s="194">
        <f>IF(AND(ISNUMBER(BQ15),ISNUMBER(BL15),ISNUMBER(BL33)),(BQ15-BL15)*20*BL33/1000,"")</f>
        <v/>
      </c>
      <c r="BR53" s="194">
        <f>IF(AND(ISNUMBER(BR15),ISNUMBER(BM15),ISNUMBER(BM33)),(BR15-BM15)*20*BM33/1000,"")</f>
        <v/>
      </c>
      <c r="BS53" s="194">
        <f>IF(AND(ISNUMBER(BS15),ISNUMBER(BN15),ISNUMBER(BN33)),(BS15-BN15)*20*BN33/1000,"")</f>
        <v/>
      </c>
      <c r="BT53" s="194">
        <f>IF(AND(ISNUMBER(BT15),ISNUMBER(BO15),ISNUMBER(BO33)),(BT15-BO15)*20*BO33/1000,"")</f>
        <v/>
      </c>
      <c r="BU53" s="194">
        <f>IF(AND(ISNUMBER(BU15),ISNUMBER(BP15),ISNUMBER(BP33)),(BU15-BP15)*20*BP33/1000,"")</f>
        <v/>
      </c>
      <c r="BV53" s="194">
        <f>IF(AND(ISNUMBER(BV15),ISNUMBER(BQ15),ISNUMBER(BQ33)),(BV15-BQ15)*20*BQ33/1000,"")</f>
        <v/>
      </c>
      <c r="BW53" s="194">
        <f>IF(AND(ISNUMBER(BW15),ISNUMBER(BR15),ISNUMBER(BR33)),(BW15-BR15)*20*BR33/1000,"")</f>
        <v/>
      </c>
      <c r="BX53" s="194">
        <f>IF(AND(ISNUMBER(BX15),ISNUMBER(BS15),ISNUMBER(BS33)),(BX15-BS15)*20*BS33/1000,"")</f>
        <v/>
      </c>
      <c r="BY53" s="176">
        <f>IF(AND(ISNUMBER(BY15),ISNUMBER(BT15),ISNUMBER(BT33)),(BY15-BT15)*20*BT33/1000,"")</f>
        <v/>
      </c>
      <c r="BZ53" s="176">
        <f>IF(AND(ISNUMBER(BZ15),ISNUMBER(BU15),ISNUMBER(BU33)),(BZ15-BU15)*20*BU33/1000,"")</f>
        <v/>
      </c>
      <c r="CA53" s="176">
        <f>IF(AND(ISNUMBER(CA15),ISNUMBER(BV15),ISNUMBER(BV33)),(CA15-BV15)*20*BV33/1000,"")</f>
        <v/>
      </c>
      <c r="CB53" s="176">
        <f>IF(AND(ISNUMBER(CB15),ISNUMBER(CA15),ISNUMBER(CA33)),(CB15-CA15)*20*CA33/1000,"")</f>
        <v/>
      </c>
      <c r="CC53" s="176">
        <f>IF(AND(ISNUMBER(CC15),ISNUMBER(CB15),ISNUMBER(CB33)),(CC15-CB15)*20*CB33/1000,"")</f>
        <v/>
      </c>
      <c r="CD53" s="176">
        <f>IF(AND(ISNUMBER(CD15),ISNUMBER(CC15),ISNUMBER(CC33)),(CD15-CC15)*20*CC33/1000,"")</f>
        <v/>
      </c>
      <c r="CE53" s="176">
        <f>IF(AND(ISNUMBER(CE15),ISNUMBER(CD15),ISNUMBER(CD33)),(CE15-CD15)*20*CD33/1000,"")</f>
        <v/>
      </c>
      <c r="CF53" s="20" t="n"/>
    </row>
    <row r="54" collapsed="1" ht="15" customHeight="1">
      <c r="B54" s="26" t="inlineStr">
        <is>
          <t xml:space="preserve">    Ex-fuel yield effect (Δ ex-fuel revenue/cwt × tons)</t>
        </is>
      </c>
      <c r="C54" s="36" t="n"/>
      <c r="D54" s="194">
        <f>IF(AND(ISNUMBER(D28),ISNUMBER(C28),ISNUMBER(D15)),(D28-C28)*20*D15/1000,"")</f>
        <v/>
      </c>
      <c r="E54" s="194">
        <f>IF(AND(ISNUMBER(E28),ISNUMBER(D28),ISNUMBER(E15)),(E28-D28)*20*E15/1000,"")</f>
        <v/>
      </c>
      <c r="F54" s="194">
        <f>IF(AND(ISNUMBER(F28),ISNUMBER(E28),ISNUMBER(F15)),(F28-E28)*20*F15/1000,"")</f>
        <v/>
      </c>
      <c r="G54" s="194">
        <f>IF(AND(ISNUMBER(G28),ISNUMBER(F28),ISNUMBER(G15)),(G28-F28)*20*G15/1000,"")</f>
        <v/>
      </c>
      <c r="H54" s="194">
        <f>IF(AND(ISNUMBER(H28),ISNUMBER(G28),ISNUMBER(H15)),(H28-G28)*20*H15/1000,"")</f>
        <v/>
      </c>
      <c r="I54" s="194">
        <f>IF(AND(ISNUMBER(I28),ISNUMBER(H28),ISNUMBER(I15)),(I28-H28)*20*I15/1000,"")</f>
        <v/>
      </c>
      <c r="J54" s="36" t="n"/>
      <c r="K54" s="36" t="n"/>
      <c r="L54" s="36" t="n"/>
      <c r="M54" s="36" t="n"/>
      <c r="N54" s="194">
        <f>IF(AND(ISNUMBER(N28),ISNUMBER(I28),ISNUMBER(N15)),(N28-I28)*20*N15/1000,"")</f>
        <v/>
      </c>
      <c r="O54" s="194">
        <f>IF(AND(ISNUMBER(O28),ISNUMBER(J28),ISNUMBER(O15)),(O28-J28)*20*O15/1000,"")</f>
        <v/>
      </c>
      <c r="P54" s="194">
        <f>IF(AND(ISNUMBER(P28),ISNUMBER(K28),ISNUMBER(P15)),(P28-K28)*20*P15/1000,"")</f>
        <v/>
      </c>
      <c r="Q54" s="194">
        <f>IF(AND(ISNUMBER(Q28),ISNUMBER(L28),ISNUMBER(Q15)),(Q28-L28)*20*Q15/1000,"")</f>
        <v/>
      </c>
      <c r="R54" s="194">
        <f>IF(AND(ISNUMBER(R28),ISNUMBER(M28),ISNUMBER(R15)),(R28-M28)*20*R15/1000,"")</f>
        <v/>
      </c>
      <c r="S54" s="194">
        <f>IF(AND(ISNUMBER(S28),ISNUMBER(N28),ISNUMBER(S15)),(S28-N28)*20*S15/1000,"")</f>
        <v/>
      </c>
      <c r="T54" s="194">
        <f>IF(AND(ISNUMBER(T28),ISNUMBER(O28),ISNUMBER(T15)),(T28-O28)*20*T15/1000,"")</f>
        <v/>
      </c>
      <c r="U54" s="194">
        <f>IF(AND(ISNUMBER(U28),ISNUMBER(P28),ISNUMBER(U15)),(U28-P28)*20*U15/1000,"")</f>
        <v/>
      </c>
      <c r="V54" s="194">
        <f>IF(AND(ISNUMBER(V28),ISNUMBER(Q28),ISNUMBER(V15)),(V28-Q28)*20*V15/1000,"")</f>
        <v/>
      </c>
      <c r="W54" s="194">
        <f>IF(AND(ISNUMBER(W28),ISNUMBER(R28),ISNUMBER(W15)),(W28-R28)*20*W15/1000,"")</f>
        <v/>
      </c>
      <c r="X54" s="194">
        <f>IF(AND(ISNUMBER(X28),ISNUMBER(S28),ISNUMBER(X15)),(X28-S28)*20*X15/1000,"")</f>
        <v/>
      </c>
      <c r="Y54" s="194">
        <f>IF(AND(ISNUMBER(Y28),ISNUMBER(T28),ISNUMBER(Y15)),(Y28-T28)*20*Y15/1000,"")</f>
        <v/>
      </c>
      <c r="Z54" s="194">
        <f>IF(AND(ISNUMBER(Z28),ISNUMBER(U28),ISNUMBER(Z15)),(Z28-U28)*20*Z15/1000,"")</f>
        <v/>
      </c>
      <c r="AA54" s="194">
        <f>IF(AND(ISNUMBER(AA28),ISNUMBER(V28),ISNUMBER(AA15)),(AA28-V28)*20*AA15/1000,"")</f>
        <v/>
      </c>
      <c r="AB54" s="194">
        <f>IF(AND(ISNUMBER(AB28),ISNUMBER(W28),ISNUMBER(AB15)),(AB28-W28)*20*AB15/1000,"")</f>
        <v/>
      </c>
      <c r="AC54" s="194">
        <f>IF(AND(ISNUMBER(AC28),ISNUMBER(X28),ISNUMBER(AC15)),(AC28-X28)*20*AC15/1000,"")</f>
        <v/>
      </c>
      <c r="AD54" s="194">
        <f>IF(AND(ISNUMBER(AD28),ISNUMBER(Y28),ISNUMBER(AD15)),(AD28-Y28)*20*AD15/1000,"")</f>
        <v/>
      </c>
      <c r="AE54" s="194">
        <f>IF(AND(ISNUMBER(AE28),ISNUMBER(Z28),ISNUMBER(AE15)),(AE28-Z28)*20*AE15/1000,"")</f>
        <v/>
      </c>
      <c r="AF54" s="194">
        <f>IF(AND(ISNUMBER(AF28),ISNUMBER(AA28),ISNUMBER(AF15)),(AF28-AA28)*20*AF15/1000,"")</f>
        <v/>
      </c>
      <c r="AG54" s="194">
        <f>IF(AND(ISNUMBER(AG28),ISNUMBER(AB28),ISNUMBER(AG15)),(AG28-AB28)*20*AG15/1000,"")</f>
        <v/>
      </c>
      <c r="AH54" s="194">
        <f>IF(AND(ISNUMBER(AH28),ISNUMBER(AC28),ISNUMBER(AH15)),(AH28-AC28)*20*AH15/1000,"")</f>
        <v/>
      </c>
      <c r="AI54" s="194">
        <f>IF(AND(ISNUMBER(AI28),ISNUMBER(AD28),ISNUMBER(AI15)),(AI28-AD28)*20*AI15/1000,"")</f>
        <v/>
      </c>
      <c r="AJ54" s="194">
        <f>IF(AND(ISNUMBER(AJ28),ISNUMBER(AE28),ISNUMBER(AJ15)),(AJ28-AE28)*20*AJ15/1000,"")</f>
        <v/>
      </c>
      <c r="AK54" s="194">
        <f>IF(AND(ISNUMBER(AK28),ISNUMBER(AF28),ISNUMBER(AK15)),(AK28-AF28)*20*AK15/1000,"")</f>
        <v/>
      </c>
      <c r="AL54" s="194">
        <f>IF(AND(ISNUMBER(AL28),ISNUMBER(AG28),ISNUMBER(AL15)),(AL28-AG28)*20*AL15/1000,"")</f>
        <v/>
      </c>
      <c r="AM54" s="194">
        <f>IF(AND(ISNUMBER(AM28),ISNUMBER(AH28),ISNUMBER(AM15)),(AM28-AH28)*20*AM15/1000,"")</f>
        <v/>
      </c>
      <c r="AN54" s="194">
        <f>IF(AND(ISNUMBER(AN28),ISNUMBER(AI28),ISNUMBER(AN15)),(AN28-AI28)*20*AN15/1000,"")</f>
        <v/>
      </c>
      <c r="AO54" s="194">
        <f>IF(AND(ISNUMBER(AO28),ISNUMBER(AJ28),ISNUMBER(AO15)),(AO28-AJ28)*20*AO15/1000,"")</f>
        <v/>
      </c>
      <c r="AP54" s="194">
        <f>IF(AND(ISNUMBER(AP28),ISNUMBER(AK28),ISNUMBER(AP15)),(AP28-AK28)*20*AP15/1000,"")</f>
        <v/>
      </c>
      <c r="AQ54" s="194">
        <f>IF(AND(ISNUMBER(AQ28),ISNUMBER(AL28),ISNUMBER(AQ15)),(AQ28-AL28)*20*AQ15/1000,"")</f>
        <v/>
      </c>
      <c r="AR54" s="194">
        <f>IF(AND(ISNUMBER(AR28),ISNUMBER(AM28),ISNUMBER(AR15)),(AR28-AM28)*20*AR15/1000,"")</f>
        <v/>
      </c>
      <c r="AS54" s="194">
        <f>IF(AND(ISNUMBER(AS28),ISNUMBER(AN28),ISNUMBER(AS15)),(AS28-AN28)*20*AS15/1000,"")</f>
        <v/>
      </c>
      <c r="AT54" s="194">
        <f>IF(AND(ISNUMBER(AT28),ISNUMBER(AO28),ISNUMBER(AT15)),(AT28-AO28)*20*AT15/1000,"")</f>
        <v/>
      </c>
      <c r="AU54" s="194">
        <f>IF(AND(ISNUMBER(AU28),ISNUMBER(AP28),ISNUMBER(AU15)),(AU28-AP28)*20*AU15/1000,"")</f>
        <v/>
      </c>
      <c r="AV54" s="194">
        <f>IF(AND(ISNUMBER(AV28),ISNUMBER(AQ28),ISNUMBER(AV15)),(AV28-AQ28)*20*AV15/1000,"")</f>
        <v/>
      </c>
      <c r="AW54" s="194">
        <f>IF(AND(ISNUMBER(AW28),ISNUMBER(AR28),ISNUMBER(AW15)),(AW28-AR28)*20*AW15/1000,"")</f>
        <v/>
      </c>
      <c r="AX54" s="194">
        <f>IF(AND(ISNUMBER(AX28),ISNUMBER(AS28),ISNUMBER(AX15)),(AX28-AS28)*20*AX15/1000,"")</f>
        <v/>
      </c>
      <c r="AY54" s="194">
        <f>IF(AND(ISNUMBER(AY28),ISNUMBER(AT28),ISNUMBER(AY15)),(AY28-AT28)*20*AY15/1000,"")</f>
        <v/>
      </c>
      <c r="AZ54" s="194">
        <f>IF(AND(ISNUMBER(AZ28),ISNUMBER(AU28),ISNUMBER(AZ15)),(AZ28-AU28)*20*AZ15/1000,"")</f>
        <v/>
      </c>
      <c r="BA54" s="194">
        <f>IF(AND(ISNUMBER(BA28),ISNUMBER(AV28),ISNUMBER(BA15)),(BA28-AV28)*20*BA15/1000,"")</f>
        <v/>
      </c>
      <c r="BB54" s="194">
        <f>IF(AND(ISNUMBER(BB28),ISNUMBER(AW28),ISNUMBER(BB15)),(BB28-AW28)*20*BB15/1000,"")</f>
        <v/>
      </c>
      <c r="BC54" s="194">
        <f>IF(AND(ISNUMBER(BC28),ISNUMBER(AX28),ISNUMBER(BC15)),(BC28-AX28)*20*BC15/1000,"")</f>
        <v/>
      </c>
      <c r="BD54" s="194">
        <f>IF(AND(ISNUMBER(BD28),ISNUMBER(AY28),ISNUMBER(BD15)),(BD28-AY28)*20*BD15/1000,"")</f>
        <v/>
      </c>
      <c r="BE54" s="194">
        <f>IF(AND(ISNUMBER(BE28),ISNUMBER(AZ28),ISNUMBER(BE15)),(BE28-AZ28)*20*BE15/1000,"")</f>
        <v/>
      </c>
      <c r="BF54" s="194">
        <f>IF(AND(ISNUMBER(BF28),ISNUMBER(BA28),ISNUMBER(BF15)),(BF28-BA28)*20*BF15/1000,"")</f>
        <v/>
      </c>
      <c r="BG54" s="194">
        <f>IF(AND(ISNUMBER(BG28),ISNUMBER(BB28),ISNUMBER(BG15)),(BG28-BB28)*20*BG15/1000,"")</f>
        <v/>
      </c>
      <c r="BH54" s="194">
        <f>IF(AND(ISNUMBER(BH28),ISNUMBER(BC28),ISNUMBER(BH15)),(BH28-BC28)*20*BH15/1000,"")</f>
        <v/>
      </c>
      <c r="BI54" s="194">
        <f>IF(AND(ISNUMBER(BI28),ISNUMBER(BD28),ISNUMBER(BI15)),(BI28-BD28)*20*BI15/1000,"")</f>
        <v/>
      </c>
      <c r="BJ54" s="194">
        <f>IF(AND(ISNUMBER(BJ28),ISNUMBER(BE28),ISNUMBER(BJ15)),(BJ28-BE28)*20*BJ15/1000,"")</f>
        <v/>
      </c>
      <c r="BK54" s="194">
        <f>IF(AND(ISNUMBER(BK28),ISNUMBER(BF28),ISNUMBER(BK15)),(BK28-BF28)*20*BK15/1000,"")</f>
        <v/>
      </c>
      <c r="BL54" s="194">
        <f>IF(AND(ISNUMBER(BL28),ISNUMBER(BG28),ISNUMBER(BL15)),(BL28-BG28)*20*BL15/1000,"")</f>
        <v/>
      </c>
      <c r="BM54" s="194">
        <f>IF(AND(ISNUMBER(BM28),ISNUMBER(BH28),ISNUMBER(BM15)),(BM28-BH28)*20*BM15/1000,"")</f>
        <v/>
      </c>
      <c r="BN54" s="194">
        <f>IF(AND(ISNUMBER(BN28),ISNUMBER(BI28),ISNUMBER(BN15)),(BN28-BI28)*20*BN15/1000,"")</f>
        <v/>
      </c>
      <c r="BO54" s="194">
        <f>IF(AND(ISNUMBER(BO28),ISNUMBER(BJ28),ISNUMBER(BO15)),(BO28-BJ28)*20*BO15/1000,"")</f>
        <v/>
      </c>
      <c r="BP54" s="194">
        <f>IF(AND(ISNUMBER(BP28),ISNUMBER(BK28),ISNUMBER(BP15)),(BP28-BK28)*20*BP15/1000,"")</f>
        <v/>
      </c>
      <c r="BQ54" s="194">
        <f>IF(AND(ISNUMBER(BQ28),ISNUMBER(BL28),ISNUMBER(BQ15)),(BQ28-BL28)*20*BQ15/1000,"")</f>
        <v/>
      </c>
      <c r="BR54" s="194">
        <f>IF(AND(ISNUMBER(BR28),ISNUMBER(BM28),ISNUMBER(BR15)),(BR28-BM28)*20*BR15/1000,"")</f>
        <v/>
      </c>
      <c r="BS54" s="194">
        <f>IF(AND(ISNUMBER(BS28),ISNUMBER(BN28),ISNUMBER(BS15)),(BS28-BN28)*20*BS15/1000,"")</f>
        <v/>
      </c>
      <c r="BT54" s="194">
        <f>IF(AND(ISNUMBER(BT28),ISNUMBER(BO28),ISNUMBER(BT15)),(BT28-BO28)*20*BT15/1000,"")</f>
        <v/>
      </c>
      <c r="BU54" s="194">
        <f>IF(AND(ISNUMBER(BU28),ISNUMBER(BP28),ISNUMBER(BU15)),(BU28-BP28)*20*BU15/1000,"")</f>
        <v/>
      </c>
      <c r="BV54" s="194">
        <f>IF(AND(ISNUMBER(BV28),ISNUMBER(BQ28),ISNUMBER(BV15)),(BV28-BQ28)*20*BV15/1000,"")</f>
        <v/>
      </c>
      <c r="BW54" s="194">
        <f>IF(AND(ISNUMBER(BW28),ISNUMBER(BR28),ISNUMBER(BW15)),(BW28-BR28)*20*BW15/1000,"")</f>
        <v/>
      </c>
      <c r="BX54" s="194">
        <f>IF(AND(ISNUMBER(BX28),ISNUMBER(BS28),ISNUMBER(BX15)),(BX28-BS28)*20*BX15/1000,"")</f>
        <v/>
      </c>
      <c r="BY54" s="176">
        <f>IF(AND(ISNUMBER(BY28),ISNUMBER(BT28),ISNUMBER(BY15)),(BY28-BT28)*20*BY15/1000,"")</f>
        <v/>
      </c>
      <c r="BZ54" s="176">
        <f>IF(AND(ISNUMBER(BZ28),ISNUMBER(BU28),ISNUMBER(BZ15)),(BZ28-BU28)*20*BZ15/1000,"")</f>
        <v/>
      </c>
      <c r="CA54" s="176">
        <f>IF(AND(ISNUMBER(CA28),ISNUMBER(BV28),ISNUMBER(CA15)),(CA28-BV28)*20*CA15/1000,"")</f>
        <v/>
      </c>
      <c r="CB54" s="176">
        <f>IF(AND(ISNUMBER(CB28),ISNUMBER(CA28),ISNUMBER(CB15)),(CB28-CA28)*20*CB15/1000,"")</f>
        <v/>
      </c>
      <c r="CC54" s="176">
        <f>IF(AND(ISNUMBER(CC28),ISNUMBER(CB28),ISNUMBER(CC15)),(CC28-CB28)*20*CC15/1000,"")</f>
        <v/>
      </c>
      <c r="CD54" s="176">
        <f>IF(AND(ISNUMBER(CD28),ISNUMBER(CC28),ISNUMBER(CD15)),(CD28-CC28)*20*CD15/1000,"")</f>
        <v/>
      </c>
      <c r="CE54" s="176">
        <f>IF(AND(ISNUMBER(CE28),ISNUMBER(CD28),ISNUMBER(CE15)),(CE28-CD28)*20*CE15/1000,"")</f>
        <v/>
      </c>
      <c r="CF54" s="20" t="n"/>
    </row>
    <row r="55" ht="15" customHeight="1">
      <c r="B55" s="26" t="inlineStr">
        <is>
          <t xml:space="preserve">    Fuel surcharge effect (Δ fuel surcharge/cwt × tons)</t>
        </is>
      </c>
      <c r="C55" s="36" t="n"/>
      <c r="D55" s="194">
        <f>IF(AND(ISNUMBER(D31),ISNUMBER(C31),ISNUMBER(D15)),(D31-C31)*20*D15/1000,"")</f>
        <v/>
      </c>
      <c r="E55" s="194">
        <f>IF(AND(ISNUMBER(E31),ISNUMBER(D31),ISNUMBER(E15)),(E31-D31)*20*E15/1000,"")</f>
        <v/>
      </c>
      <c r="F55" s="194">
        <f>IF(AND(ISNUMBER(F31),ISNUMBER(E31),ISNUMBER(F15)),(F31-E31)*20*F15/1000,"")</f>
        <v/>
      </c>
      <c r="G55" s="194">
        <f>IF(AND(ISNUMBER(G31),ISNUMBER(F31),ISNUMBER(G15)),(G31-F31)*20*G15/1000,"")</f>
        <v/>
      </c>
      <c r="H55" s="194">
        <f>IF(AND(ISNUMBER(H31),ISNUMBER(G31),ISNUMBER(H15)),(H31-G31)*20*H15/1000,"")</f>
        <v/>
      </c>
      <c r="I55" s="194">
        <f>IF(AND(ISNUMBER(I31),ISNUMBER(H31),ISNUMBER(I15)),(I31-H31)*20*I15/1000,"")</f>
        <v/>
      </c>
      <c r="J55" s="36" t="n"/>
      <c r="K55" s="36" t="n"/>
      <c r="L55" s="36" t="n"/>
      <c r="M55" s="36" t="n"/>
      <c r="N55" s="194">
        <f>IF(AND(ISNUMBER(N31),ISNUMBER(I31),ISNUMBER(N15)),(N31-I31)*20*N15/1000,"")</f>
        <v/>
      </c>
      <c r="O55" s="194">
        <f>IF(AND(ISNUMBER(O31),ISNUMBER(J31),ISNUMBER(O15)),(O31-J31)*20*O15/1000,"")</f>
        <v/>
      </c>
      <c r="P55" s="194">
        <f>IF(AND(ISNUMBER(P31),ISNUMBER(K31),ISNUMBER(P15)),(P31-K31)*20*P15/1000,"")</f>
        <v/>
      </c>
      <c r="Q55" s="194">
        <f>IF(AND(ISNUMBER(Q31),ISNUMBER(L31),ISNUMBER(Q15)),(Q31-L31)*20*Q15/1000,"")</f>
        <v/>
      </c>
      <c r="R55" s="194">
        <f>IF(AND(ISNUMBER(R31),ISNUMBER(M31),ISNUMBER(R15)),(R31-M31)*20*R15/1000,"")</f>
        <v/>
      </c>
      <c r="S55" s="194">
        <f>IF(AND(ISNUMBER(S31),ISNUMBER(N31),ISNUMBER(S15)),(S31-N31)*20*S15/1000,"")</f>
        <v/>
      </c>
      <c r="T55" s="194">
        <f>IF(AND(ISNUMBER(T31),ISNUMBER(O31),ISNUMBER(T15)),(T31-O31)*20*T15/1000,"")</f>
        <v/>
      </c>
      <c r="U55" s="194">
        <f>IF(AND(ISNUMBER(U31),ISNUMBER(P31),ISNUMBER(U15)),(U31-P31)*20*U15/1000,"")</f>
        <v/>
      </c>
      <c r="V55" s="194">
        <f>IF(AND(ISNUMBER(V31),ISNUMBER(Q31),ISNUMBER(V15)),(V31-Q31)*20*V15/1000,"")</f>
        <v/>
      </c>
      <c r="W55" s="194">
        <f>IF(AND(ISNUMBER(W31),ISNUMBER(R31),ISNUMBER(W15)),(W31-R31)*20*W15/1000,"")</f>
        <v/>
      </c>
      <c r="X55" s="194">
        <f>IF(AND(ISNUMBER(X31),ISNUMBER(S31),ISNUMBER(X15)),(X31-S31)*20*X15/1000,"")</f>
        <v/>
      </c>
      <c r="Y55" s="194">
        <f>IF(AND(ISNUMBER(Y31),ISNUMBER(T31),ISNUMBER(Y15)),(Y31-T31)*20*Y15/1000,"")</f>
        <v/>
      </c>
      <c r="Z55" s="194">
        <f>IF(AND(ISNUMBER(Z31),ISNUMBER(U31),ISNUMBER(Z15)),(Z31-U31)*20*Z15/1000,"")</f>
        <v/>
      </c>
      <c r="AA55" s="194">
        <f>IF(AND(ISNUMBER(AA31),ISNUMBER(V31),ISNUMBER(AA15)),(AA31-V31)*20*AA15/1000,"")</f>
        <v/>
      </c>
      <c r="AB55" s="194">
        <f>IF(AND(ISNUMBER(AB31),ISNUMBER(W31),ISNUMBER(AB15)),(AB31-W31)*20*AB15/1000,"")</f>
        <v/>
      </c>
      <c r="AC55" s="194">
        <f>IF(AND(ISNUMBER(AC31),ISNUMBER(X31),ISNUMBER(AC15)),(AC31-X31)*20*AC15/1000,"")</f>
        <v/>
      </c>
      <c r="AD55" s="194">
        <f>IF(AND(ISNUMBER(AD31),ISNUMBER(Y31),ISNUMBER(AD15)),(AD31-Y31)*20*AD15/1000,"")</f>
        <v/>
      </c>
      <c r="AE55" s="194">
        <f>IF(AND(ISNUMBER(AE31),ISNUMBER(Z31),ISNUMBER(AE15)),(AE31-Z31)*20*AE15/1000,"")</f>
        <v/>
      </c>
      <c r="AF55" s="194">
        <f>IF(AND(ISNUMBER(AF31),ISNUMBER(AA31),ISNUMBER(AF15)),(AF31-AA31)*20*AF15/1000,"")</f>
        <v/>
      </c>
      <c r="AG55" s="194">
        <f>IF(AND(ISNUMBER(AG31),ISNUMBER(AB31),ISNUMBER(AG15)),(AG31-AB31)*20*AG15/1000,"")</f>
        <v/>
      </c>
      <c r="AH55" s="194">
        <f>IF(AND(ISNUMBER(AH31),ISNUMBER(AC31),ISNUMBER(AH15)),(AH31-AC31)*20*AH15/1000,"")</f>
        <v/>
      </c>
      <c r="AI55" s="194">
        <f>IF(AND(ISNUMBER(AI31),ISNUMBER(AD31),ISNUMBER(AI15)),(AI31-AD31)*20*AI15/1000,"")</f>
        <v/>
      </c>
      <c r="AJ55" s="194">
        <f>IF(AND(ISNUMBER(AJ31),ISNUMBER(AE31),ISNUMBER(AJ15)),(AJ31-AE31)*20*AJ15/1000,"")</f>
        <v/>
      </c>
      <c r="AK55" s="194">
        <f>IF(AND(ISNUMBER(AK31),ISNUMBER(AF31),ISNUMBER(AK15)),(AK31-AF31)*20*AK15/1000,"")</f>
        <v/>
      </c>
      <c r="AL55" s="194">
        <f>IF(AND(ISNUMBER(AL31),ISNUMBER(AG31),ISNUMBER(AL15)),(AL31-AG31)*20*AL15/1000,"")</f>
        <v/>
      </c>
      <c r="AM55" s="194">
        <f>IF(AND(ISNUMBER(AM31),ISNUMBER(AH31),ISNUMBER(AM15)),(AM31-AH31)*20*AM15/1000,"")</f>
        <v/>
      </c>
      <c r="AN55" s="194">
        <f>IF(AND(ISNUMBER(AN31),ISNUMBER(AI31),ISNUMBER(AN15)),(AN31-AI31)*20*AN15/1000,"")</f>
        <v/>
      </c>
      <c r="AO55" s="194">
        <f>IF(AND(ISNUMBER(AO31),ISNUMBER(AJ31),ISNUMBER(AO15)),(AO31-AJ31)*20*AO15/1000,"")</f>
        <v/>
      </c>
      <c r="AP55" s="194">
        <f>IF(AND(ISNUMBER(AP31),ISNUMBER(AK31),ISNUMBER(AP15)),(AP31-AK31)*20*AP15/1000,"")</f>
        <v/>
      </c>
      <c r="AQ55" s="194">
        <f>IF(AND(ISNUMBER(AQ31),ISNUMBER(AL31),ISNUMBER(AQ15)),(AQ31-AL31)*20*AQ15/1000,"")</f>
        <v/>
      </c>
      <c r="AR55" s="194">
        <f>IF(AND(ISNUMBER(AR31),ISNUMBER(AM31),ISNUMBER(AR15)),(AR31-AM31)*20*AR15/1000,"")</f>
        <v/>
      </c>
      <c r="AS55" s="194">
        <f>IF(AND(ISNUMBER(AS31),ISNUMBER(AN31),ISNUMBER(AS15)),(AS31-AN31)*20*AS15/1000,"")</f>
        <v/>
      </c>
      <c r="AT55" s="194">
        <f>IF(AND(ISNUMBER(AT31),ISNUMBER(AO31),ISNUMBER(AT15)),(AT31-AO31)*20*AT15/1000,"")</f>
        <v/>
      </c>
      <c r="AU55" s="194">
        <f>IF(AND(ISNUMBER(AU31),ISNUMBER(AP31),ISNUMBER(AU15)),(AU31-AP31)*20*AU15/1000,"")</f>
        <v/>
      </c>
      <c r="AV55" s="194">
        <f>IF(AND(ISNUMBER(AV31),ISNUMBER(AQ31),ISNUMBER(AV15)),(AV31-AQ31)*20*AV15/1000,"")</f>
        <v/>
      </c>
      <c r="AW55" s="194">
        <f>IF(AND(ISNUMBER(AW31),ISNUMBER(AR31),ISNUMBER(AW15)),(AW31-AR31)*20*AW15/1000,"")</f>
        <v/>
      </c>
      <c r="AX55" s="194">
        <f>IF(AND(ISNUMBER(AX31),ISNUMBER(AS31),ISNUMBER(AX15)),(AX31-AS31)*20*AX15/1000,"")</f>
        <v/>
      </c>
      <c r="AY55" s="194">
        <f>IF(AND(ISNUMBER(AY31),ISNUMBER(AT31),ISNUMBER(AY15)),(AY31-AT31)*20*AY15/1000,"")</f>
        <v/>
      </c>
      <c r="AZ55" s="194">
        <f>IF(AND(ISNUMBER(AZ31),ISNUMBER(AU31),ISNUMBER(AZ15)),(AZ31-AU31)*20*AZ15/1000,"")</f>
        <v/>
      </c>
      <c r="BA55" s="194">
        <f>IF(AND(ISNUMBER(BA31),ISNUMBER(AV31),ISNUMBER(BA15)),(BA31-AV31)*20*BA15/1000,"")</f>
        <v/>
      </c>
      <c r="BB55" s="194">
        <f>IF(AND(ISNUMBER(BB31),ISNUMBER(AW31),ISNUMBER(BB15)),(BB31-AW31)*20*BB15/1000,"")</f>
        <v/>
      </c>
      <c r="BC55" s="194">
        <f>IF(AND(ISNUMBER(BC31),ISNUMBER(AX31),ISNUMBER(BC15)),(BC31-AX31)*20*BC15/1000,"")</f>
        <v/>
      </c>
      <c r="BD55" s="194">
        <f>IF(AND(ISNUMBER(BD31),ISNUMBER(AY31),ISNUMBER(BD15)),(BD31-AY31)*20*BD15/1000,"")</f>
        <v/>
      </c>
      <c r="BE55" s="194">
        <f>IF(AND(ISNUMBER(BE31),ISNUMBER(AZ31),ISNUMBER(BE15)),(BE31-AZ31)*20*BE15/1000,"")</f>
        <v/>
      </c>
      <c r="BF55" s="194">
        <f>IF(AND(ISNUMBER(BF31),ISNUMBER(BA31),ISNUMBER(BF15)),(BF31-BA31)*20*BF15/1000,"")</f>
        <v/>
      </c>
      <c r="BG55" s="194">
        <f>IF(AND(ISNUMBER(BG31),ISNUMBER(BB31),ISNUMBER(BG15)),(BG31-BB31)*20*BG15/1000,"")</f>
        <v/>
      </c>
      <c r="BH55" s="194">
        <f>IF(AND(ISNUMBER(BH31),ISNUMBER(BC31),ISNUMBER(BH15)),(BH31-BC31)*20*BH15/1000,"")</f>
        <v/>
      </c>
      <c r="BI55" s="194">
        <f>IF(AND(ISNUMBER(BI31),ISNUMBER(BD31),ISNUMBER(BI15)),(BI31-BD31)*20*BI15/1000,"")</f>
        <v/>
      </c>
      <c r="BJ55" s="194">
        <f>IF(AND(ISNUMBER(BJ31),ISNUMBER(BE31),ISNUMBER(BJ15)),(BJ31-BE31)*20*BJ15/1000,"")</f>
        <v/>
      </c>
      <c r="BK55" s="194">
        <f>IF(AND(ISNUMBER(BK31),ISNUMBER(BF31),ISNUMBER(BK15)),(BK31-BF31)*20*BK15/1000,"")</f>
        <v/>
      </c>
      <c r="BL55" s="194">
        <f>IF(AND(ISNUMBER(BL31),ISNUMBER(BG31),ISNUMBER(BL15)),(BL31-BG31)*20*BL15/1000,"")</f>
        <v/>
      </c>
      <c r="BM55" s="194">
        <f>IF(AND(ISNUMBER(BM31),ISNUMBER(BH31),ISNUMBER(BM15)),(BM31-BH31)*20*BM15/1000,"")</f>
        <v/>
      </c>
      <c r="BN55" s="194">
        <f>IF(AND(ISNUMBER(BN31),ISNUMBER(BI31),ISNUMBER(BN15)),(BN31-BI31)*20*BN15/1000,"")</f>
        <v/>
      </c>
      <c r="BO55" s="194">
        <f>IF(AND(ISNUMBER(BO31),ISNUMBER(BJ31),ISNUMBER(BO15)),(BO31-BJ31)*20*BO15/1000,"")</f>
        <v/>
      </c>
      <c r="BP55" s="194">
        <f>IF(AND(ISNUMBER(BP31),ISNUMBER(BK31),ISNUMBER(BP15)),(BP31-BK31)*20*BP15/1000,"")</f>
        <v/>
      </c>
      <c r="BQ55" s="194">
        <f>IF(AND(ISNUMBER(BQ31),ISNUMBER(BL31),ISNUMBER(BQ15)),(BQ31-BL31)*20*BQ15/1000,"")</f>
        <v/>
      </c>
      <c r="BR55" s="194">
        <f>IF(AND(ISNUMBER(BR31),ISNUMBER(BM31),ISNUMBER(BR15)),(BR31-BM31)*20*BR15/1000,"")</f>
        <v/>
      </c>
      <c r="BS55" s="194">
        <f>IF(AND(ISNUMBER(BS31),ISNUMBER(BN31),ISNUMBER(BS15)),(BS31-BN31)*20*BS15/1000,"")</f>
        <v/>
      </c>
      <c r="BT55" s="194">
        <f>IF(AND(ISNUMBER(BT31),ISNUMBER(BO31),ISNUMBER(BT15)),(BT31-BO31)*20*BT15/1000,"")</f>
        <v/>
      </c>
      <c r="BU55" s="194">
        <f>IF(AND(ISNUMBER(BU31),ISNUMBER(BP31),ISNUMBER(BU15)),(BU31-BP31)*20*BU15/1000,"")</f>
        <v/>
      </c>
      <c r="BV55" s="194">
        <f>IF(AND(ISNUMBER(BV31),ISNUMBER(BQ31),ISNUMBER(BV15)),(BV31-BQ31)*20*BV15/1000,"")</f>
        <v/>
      </c>
      <c r="BW55" s="194">
        <f>IF(AND(ISNUMBER(BW31),ISNUMBER(BR31),ISNUMBER(BW15)),(BW31-BR31)*20*BW15/1000,"")</f>
        <v/>
      </c>
      <c r="BX55" s="194">
        <f>IF(AND(ISNUMBER(BX31),ISNUMBER(BS31),ISNUMBER(BX15)),(BX31-BS31)*20*BX15/1000,"")</f>
        <v/>
      </c>
      <c r="BY55" s="176">
        <f>IF(AND(ISNUMBER(BY31),ISNUMBER(BT31),ISNUMBER(BY15)),(BY31-BT31)*20*BY15/1000,"")</f>
        <v/>
      </c>
      <c r="BZ55" s="176">
        <f>IF(AND(ISNUMBER(BZ31),ISNUMBER(BU31),ISNUMBER(BZ15)),(BZ31-BU31)*20*BZ15/1000,"")</f>
        <v/>
      </c>
      <c r="CA55" s="176">
        <f>IF(AND(ISNUMBER(CA31),ISNUMBER(BV31),ISNUMBER(CA15)),(CA31-BV31)*20*CA15/1000,"")</f>
        <v/>
      </c>
      <c r="CB55" s="176">
        <f>IF(AND(ISNUMBER(CB31),ISNUMBER(CA31),ISNUMBER(CB15)),(CB31-CA31)*20*CB15/1000,"")</f>
        <v/>
      </c>
      <c r="CC55" s="176">
        <f>IF(AND(ISNUMBER(CC31),ISNUMBER(CB31),ISNUMBER(CC15)),(CC31-CB31)*20*CC15/1000,"")</f>
        <v/>
      </c>
      <c r="CD55" s="176">
        <f>IF(AND(ISNUMBER(CD31),ISNUMBER(CC31),ISNUMBER(CD15)),(CD31-CC31)*20*CD15/1000,"")</f>
        <v/>
      </c>
      <c r="CE55" s="176">
        <f>IF(AND(ISNUMBER(CE31),ISNUMBER(CD31),ISNUMBER(CE15)),(CE31-CD31)*20*CE15/1000,"")</f>
        <v/>
      </c>
      <c r="CF55" s="20" t="n"/>
    </row>
    <row r="56" ht="15" customHeight="1">
      <c r="B56" s="61" t="inlineStr">
        <is>
          <t xml:space="preserve">    Check: Σ effects vs Δ statistics-basis revenue (should be 0)</t>
        </is>
      </c>
      <c r="C56" s="47" t="n"/>
      <c r="D56" s="197">
        <f>IF(ISNUMBER(D53),ROUND(D53+D54+D55-(D40-C40),1),"")</f>
        <v/>
      </c>
      <c r="E56" s="197">
        <f>IF(ISNUMBER(E53),ROUND(E53+E54+E55-(E40-D40),1),"")</f>
        <v/>
      </c>
      <c r="F56" s="197">
        <f>IF(ISNUMBER(F53),ROUND(F53+F54+F55-(F40-E40),1),"")</f>
        <v/>
      </c>
      <c r="G56" s="197">
        <f>IF(ISNUMBER(G53),ROUND(G53+G54+G55-(G40-F40),1),"")</f>
        <v/>
      </c>
      <c r="H56" s="197">
        <f>IF(ISNUMBER(H53),ROUND(H53+H54+H55-(H40-G40),1),"")</f>
        <v/>
      </c>
      <c r="I56" s="197">
        <f>IF(ISNUMBER(I53),ROUND(I53+I54+I55-(I40-H40),1),"")</f>
        <v/>
      </c>
      <c r="J56" s="47" t="n"/>
      <c r="K56" s="47" t="n"/>
      <c r="L56" s="47" t="n"/>
      <c r="M56" s="47" t="n"/>
      <c r="N56" s="197">
        <f>IF(ISNUMBER(N53),ROUND(N53+N54+N55-(N40-I40),1),"")</f>
        <v/>
      </c>
      <c r="O56" s="197">
        <f>IF(ISNUMBER(O53),ROUND(O53+O54+O55-(O40-J40),1),"")</f>
        <v/>
      </c>
      <c r="P56" s="197">
        <f>IF(ISNUMBER(P53),ROUND(P53+P54+P55-(P40-K40),1),"")</f>
        <v/>
      </c>
      <c r="Q56" s="197">
        <f>IF(ISNUMBER(Q53),ROUND(Q53+Q54+Q55-(Q40-L40),1),"")</f>
        <v/>
      </c>
      <c r="R56" s="197">
        <f>IF(ISNUMBER(R53),ROUND(R53+R54+R55-(R40-M40),1),"")</f>
        <v/>
      </c>
      <c r="S56" s="197">
        <f>IF(ISNUMBER(S53),ROUND(S53+S54+S55-(S40-N40),1),"")</f>
        <v/>
      </c>
      <c r="T56" s="197">
        <f>IF(ISNUMBER(T53),ROUND(T53+T54+T55-(T40-O40),1),"")</f>
        <v/>
      </c>
      <c r="U56" s="197">
        <f>IF(ISNUMBER(U53),ROUND(U53+U54+U55-(U40-P40),1),"")</f>
        <v/>
      </c>
      <c r="V56" s="197">
        <f>IF(ISNUMBER(V53),ROUND(V53+V54+V55-(V40-Q40),1),"")</f>
        <v/>
      </c>
      <c r="W56" s="197">
        <f>IF(ISNUMBER(W53),ROUND(W53+W54+W55-(W40-R40),1),"")</f>
        <v/>
      </c>
      <c r="X56" s="197">
        <f>IF(ISNUMBER(X53),ROUND(X53+X54+X55-(X40-S40),1),"")</f>
        <v/>
      </c>
      <c r="Y56" s="197">
        <f>IF(ISNUMBER(Y53),ROUND(Y53+Y54+Y55-(Y40-T40),1),"")</f>
        <v/>
      </c>
      <c r="Z56" s="197">
        <f>IF(ISNUMBER(Z53),ROUND(Z53+Z54+Z55-(Z40-U40),1),"")</f>
        <v/>
      </c>
      <c r="AA56" s="197">
        <f>IF(ISNUMBER(AA53),ROUND(AA53+AA54+AA55-(AA40-V40),1),"")</f>
        <v/>
      </c>
      <c r="AB56" s="197">
        <f>IF(ISNUMBER(AB53),ROUND(AB53+AB54+AB55-(AB40-W40),1),"")</f>
        <v/>
      </c>
      <c r="AC56" s="197">
        <f>IF(ISNUMBER(AC53),ROUND(AC53+AC54+AC55-(AC40-X40),1),"")</f>
        <v/>
      </c>
      <c r="AD56" s="197">
        <f>IF(ISNUMBER(AD53),ROUND(AD53+AD54+AD55-(AD40-Y40),1),"")</f>
        <v/>
      </c>
      <c r="AE56" s="197">
        <f>IF(ISNUMBER(AE53),ROUND(AE53+AE54+AE55-(AE40-Z40),1),"")</f>
        <v/>
      </c>
      <c r="AF56" s="197">
        <f>IF(ISNUMBER(AF53),ROUND(AF53+AF54+AF55-(AF40-AA40),1),"")</f>
        <v/>
      </c>
      <c r="AG56" s="197">
        <f>IF(ISNUMBER(AG53),ROUND(AG53+AG54+AG55-(AG40-AB40),1),"")</f>
        <v/>
      </c>
      <c r="AH56" s="197">
        <f>IF(ISNUMBER(AH53),ROUND(AH53+AH54+AH55-(AH40-AC40),1),"")</f>
        <v/>
      </c>
      <c r="AI56" s="197">
        <f>IF(ISNUMBER(AI53),ROUND(AI53+AI54+AI55-(AI40-AD40),1),"")</f>
        <v/>
      </c>
      <c r="AJ56" s="197">
        <f>IF(ISNUMBER(AJ53),ROUND(AJ53+AJ54+AJ55-(AJ40-AE40),1),"")</f>
        <v/>
      </c>
      <c r="AK56" s="197">
        <f>IF(ISNUMBER(AK53),ROUND(AK53+AK54+AK55-(AK40-AF40),1),"")</f>
        <v/>
      </c>
      <c r="AL56" s="197">
        <f>IF(ISNUMBER(AL53),ROUND(AL53+AL54+AL55-(AL40-AG40),1),"")</f>
        <v/>
      </c>
      <c r="AM56" s="197">
        <f>IF(ISNUMBER(AM53),ROUND(AM53+AM54+AM55-(AM40-AH40),1),"")</f>
        <v/>
      </c>
      <c r="AN56" s="197">
        <f>IF(ISNUMBER(AN53),ROUND(AN53+AN54+AN55-(AN40-AI40),1),"")</f>
        <v/>
      </c>
      <c r="AO56" s="197">
        <f>IF(ISNUMBER(AO53),ROUND(AO53+AO54+AO55-(AO40-AJ40),1),"")</f>
        <v/>
      </c>
      <c r="AP56" s="197">
        <f>IF(ISNUMBER(AP53),ROUND(AP53+AP54+AP55-(AP40-AK40),1),"")</f>
        <v/>
      </c>
      <c r="AQ56" s="197">
        <f>IF(ISNUMBER(AQ53),ROUND(AQ53+AQ54+AQ55-(AQ40-AL40),1),"")</f>
        <v/>
      </c>
      <c r="AR56" s="197">
        <f>IF(ISNUMBER(AR53),ROUND(AR53+AR54+AR55-(AR40-AM40),1),"")</f>
        <v/>
      </c>
      <c r="AS56" s="197">
        <f>IF(ISNUMBER(AS53),ROUND(AS53+AS54+AS55-(AS40-AN40),1),"")</f>
        <v/>
      </c>
      <c r="AT56" s="197">
        <f>IF(ISNUMBER(AT53),ROUND(AT53+AT54+AT55-(AT40-AO40),1),"")</f>
        <v/>
      </c>
      <c r="AU56" s="197">
        <f>IF(ISNUMBER(AU53),ROUND(AU53+AU54+AU55-(AU40-AP40),1),"")</f>
        <v/>
      </c>
      <c r="AV56" s="197">
        <f>IF(ISNUMBER(AV53),ROUND(AV53+AV54+AV55-(AV40-AQ40),1),"")</f>
        <v/>
      </c>
      <c r="AW56" s="197">
        <f>IF(ISNUMBER(AW53),ROUND(AW53+AW54+AW55-(AW40-AR40),1),"")</f>
        <v/>
      </c>
      <c r="AX56" s="197">
        <f>IF(ISNUMBER(AX53),ROUND(AX53+AX54+AX55-(AX40-AS40),1),"")</f>
        <v/>
      </c>
      <c r="AY56" s="197">
        <f>IF(ISNUMBER(AY53),ROUND(AY53+AY54+AY55-(AY40-AT40),1),"")</f>
        <v/>
      </c>
      <c r="AZ56" s="197">
        <f>IF(ISNUMBER(AZ53),ROUND(AZ53+AZ54+AZ55-(AZ40-AU40),1),"")</f>
        <v/>
      </c>
      <c r="BA56" s="197">
        <f>IF(ISNUMBER(BA53),ROUND(BA53+BA54+BA55-(BA40-AV40),1),"")</f>
        <v/>
      </c>
      <c r="BB56" s="197">
        <f>IF(ISNUMBER(BB53),ROUND(BB53+BB54+BB55-(BB40-AW40),1),"")</f>
        <v/>
      </c>
      <c r="BC56" s="197">
        <f>IF(ISNUMBER(BC53),ROUND(BC53+BC54+BC55-(BC40-AX40),1),"")</f>
        <v/>
      </c>
      <c r="BD56" s="197">
        <f>IF(ISNUMBER(BD53),ROUND(BD53+BD54+BD55-(BD40-AY40),1),"")</f>
        <v/>
      </c>
      <c r="BE56" s="197">
        <f>IF(ISNUMBER(BE53),ROUND(BE53+BE54+BE55-(BE40-AZ40),1),"")</f>
        <v/>
      </c>
      <c r="BF56" s="197">
        <f>IF(ISNUMBER(BF53),ROUND(BF53+BF54+BF55-(BF40-BA40),1),"")</f>
        <v/>
      </c>
      <c r="BG56" s="197">
        <f>IF(ISNUMBER(BG53),ROUND(BG53+BG54+BG55-(BG40-BB40),1),"")</f>
        <v/>
      </c>
      <c r="BH56" s="197">
        <f>IF(ISNUMBER(BH53),ROUND(BH53+BH54+BH55-(BH40-BC40),1),"")</f>
        <v/>
      </c>
      <c r="BI56" s="197">
        <f>IF(ISNUMBER(BI53),ROUND(BI53+BI54+BI55-(BI40-BD40),1),"")</f>
        <v/>
      </c>
      <c r="BJ56" s="197">
        <f>IF(ISNUMBER(BJ53),ROUND(BJ53+BJ54+BJ55-(BJ40-BE40),1),"")</f>
        <v/>
      </c>
      <c r="BK56" s="197">
        <f>IF(ISNUMBER(BK53),ROUND(BK53+BK54+BK55-(BK40-BF40),1),"")</f>
        <v/>
      </c>
      <c r="BL56" s="197">
        <f>IF(ISNUMBER(BL53),ROUND(BL53+BL54+BL55-(BL40-BG40),1),"")</f>
        <v/>
      </c>
      <c r="BM56" s="197">
        <f>IF(ISNUMBER(BM53),ROUND(BM53+BM54+BM55-(BM40-BH40),1),"")</f>
        <v/>
      </c>
      <c r="BN56" s="197">
        <f>IF(ISNUMBER(BN53),ROUND(BN53+BN54+BN55-(BN40-BI40),1),"")</f>
        <v/>
      </c>
      <c r="BO56" s="197">
        <f>IF(ISNUMBER(BO53),ROUND(BO53+BO54+BO55-(BO40-BJ40),1),"")</f>
        <v/>
      </c>
      <c r="BP56" s="197">
        <f>IF(ISNUMBER(BP53),ROUND(BP53+BP54+BP55-(BP40-BK40),1),"")</f>
        <v/>
      </c>
      <c r="BQ56" s="197">
        <f>IF(ISNUMBER(BQ53),ROUND(BQ53+BQ54+BQ55-(BQ40-BL40),1),"")</f>
        <v/>
      </c>
      <c r="BR56" s="197">
        <f>IF(ISNUMBER(BR53),ROUND(BR53+BR54+BR55-(BR40-BM40),1),"")</f>
        <v/>
      </c>
      <c r="BS56" s="197">
        <f>IF(ISNUMBER(BS53),ROUND(BS53+BS54+BS55-(BS40-BN40),1),"")</f>
        <v/>
      </c>
      <c r="BT56" s="197">
        <f>IF(ISNUMBER(BT53),ROUND(BT53+BT54+BT55-(BT40-BO40),1),"")</f>
        <v/>
      </c>
      <c r="BU56" s="197">
        <f>IF(ISNUMBER(BU53),ROUND(BU53+BU54+BU55-(BU40-BP40),1),"")</f>
        <v/>
      </c>
      <c r="BV56" s="197">
        <f>IF(ISNUMBER(BV53),ROUND(BV53+BV54+BV55-(BV40-BQ40),1),"")</f>
        <v/>
      </c>
      <c r="BW56" s="197">
        <f>IF(ISNUMBER(BW53),ROUND(BW53+BW54+BW55-(BW40-BR40),1),"")</f>
        <v/>
      </c>
      <c r="BX56" s="197">
        <f>IF(ISNUMBER(BX53),ROUND(BX53+BX54+BX55-(BX40-BS40),1),"")</f>
        <v/>
      </c>
      <c r="BY56" s="198">
        <f>IF(ISNUMBER(BY53),ROUND(BY53+BY54+BY55-(BY40-BT40),1),"")</f>
        <v/>
      </c>
      <c r="BZ56" s="198">
        <f>IF(ISNUMBER(BZ53),ROUND(BZ53+BZ54+BZ55-(BZ40-BU40),1),"")</f>
        <v/>
      </c>
      <c r="CA56" s="198">
        <f>IF(ISNUMBER(CA53),ROUND(CA53+CA54+CA55-(CA40-BV40),1),"")</f>
        <v/>
      </c>
      <c r="CB56" s="198">
        <f>IF(ISNUMBER(CB53),ROUND(CB53+CB54+CB55-(CB40-CA40),1),"")</f>
        <v/>
      </c>
      <c r="CC56" s="198">
        <f>IF(ISNUMBER(CC53),ROUND(CC53+CC54+CC55-(CC40-CB40),1),"")</f>
        <v/>
      </c>
      <c r="CD56" s="198">
        <f>IF(ISNUMBER(CD53),ROUND(CD53+CD54+CD55-(CD40-CC40),1),"")</f>
        <v/>
      </c>
      <c r="CE56" s="198">
        <f>IF(ISNUMBER(CE53),ROUND(CE53+CE54+CE55-(CE40-CD40),1),"")</f>
        <v/>
      </c>
      <c r="CF56" s="6" t="n"/>
    </row>
    <row r="57" ht="15" customHeight="1"/>
    <row r="58" ht="15" customHeight="1">
      <c r="B58" s="15" t="inlineStr">
        <is>
          <t>Network, capacity &amp; productivity (10-K, year end; memo — historical only)</t>
        </is>
      </c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  <c r="AL58" s="15" t="n"/>
      <c r="AM58" s="15" t="n"/>
      <c r="AN58" s="15" t="n"/>
      <c r="AO58" s="15" t="n"/>
      <c r="AP58" s="15" t="n"/>
      <c r="AQ58" s="15" t="n"/>
      <c r="AR58" s="15" t="n"/>
      <c r="AS58" s="15" t="n"/>
      <c r="AT58" s="15" t="n"/>
      <c r="AU58" s="15" t="n"/>
      <c r="AV58" s="15" t="n"/>
      <c r="AW58" s="15" t="n"/>
      <c r="AX58" s="15" t="n"/>
      <c r="AY58" s="15" t="n"/>
      <c r="AZ58" s="15" t="n"/>
      <c r="BA58" s="15" t="n"/>
      <c r="BB58" s="15" t="n"/>
      <c r="BC58" s="15" t="n"/>
      <c r="BD58" s="15" t="n"/>
      <c r="BE58" s="15" t="n"/>
      <c r="BF58" s="15" t="n"/>
      <c r="BG58" s="15" t="n"/>
      <c r="BH58" s="15" t="n"/>
      <c r="BI58" s="15" t="n"/>
      <c r="BJ58" s="15" t="n"/>
      <c r="BK58" s="15" t="n"/>
      <c r="BL58" s="15" t="n"/>
      <c r="BM58" s="15" t="n"/>
      <c r="BN58" s="15" t="n"/>
      <c r="BO58" s="15" t="n"/>
      <c r="BP58" s="15" t="n"/>
      <c r="BQ58" s="15" t="n"/>
      <c r="BR58" s="15" t="n"/>
      <c r="BS58" s="15" t="n"/>
      <c r="BT58" s="15" t="n"/>
      <c r="BU58" s="15" t="n"/>
      <c r="BV58" s="15" t="n"/>
      <c r="BW58" s="15" t="n"/>
      <c r="BX58" s="15" t="n"/>
      <c r="BY58" s="15" t="n"/>
      <c r="BZ58" s="15" t="n"/>
      <c r="CA58" s="15" t="n"/>
      <c r="CB58" s="15" t="n"/>
      <c r="CC58" s="15" t="n"/>
      <c r="CD58" s="15" t="n"/>
      <c r="CE58" s="15" t="n"/>
      <c r="CF58" s="16" t="inlineStr">
        <is>
          <t>NETWORK — historical only (not forecast)</t>
        </is>
      </c>
    </row>
    <row r="59" ht="15" customHeight="1">
      <c r="B59" s="42" t="inlineStr">
        <is>
          <t xml:space="preserve">  Service centers (year end)</t>
        </is>
      </c>
      <c r="C59" s="174" t="n">
        <v>182</v>
      </c>
      <c r="D59" s="174" t="n">
        <v>192</v>
      </c>
      <c r="E59" s="174" t="n">
        <v>206</v>
      </c>
      <c r="F59" s="174" t="n">
        <v>210</v>
      </c>
      <c r="G59" s="174" t="n">
        <v>213</v>
      </c>
      <c r="H59" s="174" t="n">
        <v>216</v>
      </c>
      <c r="I59" s="174" t="n">
        <v>218</v>
      </c>
      <c r="J59" s="36" t="n"/>
      <c r="K59" s="36" t="n"/>
      <c r="L59" s="36" t="n"/>
      <c r="M59" s="36" t="n"/>
      <c r="N59" s="174" t="n">
        <v>221</v>
      </c>
      <c r="O59" s="36" t="n"/>
      <c r="P59" s="36" t="n"/>
      <c r="Q59" s="36" t="n"/>
      <c r="R59" s="36" t="n"/>
      <c r="S59" s="174" t="n">
        <v>222</v>
      </c>
      <c r="T59" s="36" t="n"/>
      <c r="U59" s="36" t="n"/>
      <c r="V59" s="36" t="n"/>
      <c r="W59" s="36" t="n"/>
      <c r="X59" s="174" t="n">
        <v>225</v>
      </c>
      <c r="Y59" s="36" t="n"/>
      <c r="Z59" s="36" t="n"/>
      <c r="AA59" s="36" t="n"/>
      <c r="AB59" s="36" t="n"/>
      <c r="AC59" s="174" t="n">
        <v>226</v>
      </c>
      <c r="AD59" s="36" t="n"/>
      <c r="AE59" s="36" t="n"/>
      <c r="AF59" s="36" t="n"/>
      <c r="AG59" s="36" t="n"/>
      <c r="AH59" s="174" t="n">
        <v>228</v>
      </c>
      <c r="AI59" s="36" t="n"/>
      <c r="AJ59" s="36" t="n"/>
      <c r="AK59" s="36" t="n"/>
      <c r="AL59" s="36" t="n"/>
      <c r="AM59" s="174" t="n">
        <v>235</v>
      </c>
      <c r="AN59" s="36" t="n"/>
      <c r="AO59" s="36" t="n"/>
      <c r="AP59" s="36" t="n"/>
      <c r="AQ59" s="36" t="n"/>
      <c r="AR59" s="174" t="n">
        <v>236</v>
      </c>
      <c r="AS59" s="36" t="n"/>
      <c r="AT59" s="36" t="n"/>
      <c r="AU59" s="36" t="n"/>
      <c r="AV59" s="36" t="n"/>
      <c r="AW59" s="174" t="n">
        <v>244</v>
      </c>
      <c r="AX59" s="36" t="n"/>
      <c r="AY59" s="36" t="n"/>
      <c r="AZ59" s="36" t="n"/>
      <c r="BA59" s="36" t="n"/>
      <c r="BB59" s="174" t="n">
        <v>251</v>
      </c>
      <c r="BC59" s="36" t="n"/>
      <c r="BD59" s="36" t="n"/>
      <c r="BE59" s="36" t="n"/>
      <c r="BF59" s="36" t="n"/>
      <c r="BG59" s="174" t="n">
        <v>255</v>
      </c>
      <c r="BH59" s="36" t="n"/>
      <c r="BI59" s="36" t="n"/>
      <c r="BJ59" s="36" t="n"/>
      <c r="BK59" s="36" t="n"/>
      <c r="BL59" s="174" t="n">
        <v>257</v>
      </c>
      <c r="BM59" s="36" t="n"/>
      <c r="BN59" s="36" t="n"/>
      <c r="BO59" s="36" t="n"/>
      <c r="BP59" s="36" t="n"/>
      <c r="BQ59" s="174" t="n">
        <v>261</v>
      </c>
      <c r="BR59" s="36" t="n"/>
      <c r="BS59" s="36" t="n"/>
      <c r="BT59" s="36" t="n"/>
      <c r="BU59" s="36" t="n"/>
      <c r="BV59" s="174" t="n">
        <v>260</v>
      </c>
      <c r="BW59" s="36" t="n"/>
      <c r="BX59" s="36" t="n"/>
      <c r="BY59" s="6" t="n"/>
      <c r="BZ59" s="6" t="n"/>
      <c r="CA59" s="6" t="n"/>
      <c r="CB59" s="6" t="n"/>
      <c r="CC59" s="6" t="n"/>
      <c r="CD59" s="6" t="n"/>
      <c r="CE59" s="6" t="n"/>
      <c r="CF59" s="6" t="n"/>
      <c r="CH59" s="21">
        <f>IFERROR((CE59/BV59)^(1/5)-1,"n/m")</f>
        <v/>
      </c>
      <c r="CI59" s="21">
        <f>IFERROR((BV59/AW59)^(1/5)-1,"n/m")</f>
        <v/>
      </c>
      <c r="CJ59" s="21">
        <f>IFERROR((BV59/X59)^(1/10)-1,"n/m")</f>
        <v/>
      </c>
      <c r="CK59" s="21">
        <f>IFERROR((BV59/C59)^(1/19)-1,"n/m")</f>
        <v/>
      </c>
    </row>
    <row r="60" ht="15" customHeight="1">
      <c r="B60" s="42" t="inlineStr">
        <is>
          <t xml:space="preserve">  Tractors (owned, year end)</t>
        </is>
      </c>
      <c r="C60" s="174" t="n">
        <v>4643</v>
      </c>
      <c r="D60" s="174" t="n">
        <v>5016</v>
      </c>
      <c r="E60" s="174" t="n">
        <v>5058</v>
      </c>
      <c r="F60" s="174" t="n">
        <v>5390</v>
      </c>
      <c r="G60" s="174" t="n">
        <v>5718</v>
      </c>
      <c r="H60" s="174" t="n">
        <v>5830</v>
      </c>
      <c r="I60" s="174" t="n">
        <v>6099</v>
      </c>
      <c r="J60" s="36" t="n"/>
      <c r="K60" s="36" t="n"/>
      <c r="L60" s="36" t="n"/>
      <c r="M60" s="36" t="n"/>
      <c r="N60" s="174" t="n">
        <v>6296</v>
      </c>
      <c r="O60" s="36" t="n"/>
      <c r="P60" s="36" t="n"/>
      <c r="Q60" s="36" t="n"/>
      <c r="R60" s="36" t="n"/>
      <c r="S60" s="174" t="n">
        <v>6907</v>
      </c>
      <c r="T60" s="36" t="n"/>
      <c r="U60" s="36" t="n"/>
      <c r="V60" s="36" t="n"/>
      <c r="W60" s="36" t="n"/>
      <c r="X60" s="174" t="n">
        <v>7688</v>
      </c>
      <c r="Y60" s="36" t="n"/>
      <c r="Z60" s="36" t="n"/>
      <c r="AA60" s="36" t="n"/>
      <c r="AB60" s="36" t="n"/>
      <c r="AC60" s="174" t="n">
        <v>7994</v>
      </c>
      <c r="AD60" s="36" t="n"/>
      <c r="AE60" s="36" t="n"/>
      <c r="AF60" s="36" t="n"/>
      <c r="AG60" s="36" t="n"/>
      <c r="AH60" s="174" t="n">
        <v>8316</v>
      </c>
      <c r="AI60" s="36" t="n"/>
      <c r="AJ60" s="36" t="n"/>
      <c r="AK60" s="36" t="n"/>
      <c r="AL60" s="36" t="n"/>
      <c r="AM60" s="174" t="n">
        <v>9254</v>
      </c>
      <c r="AN60" s="36" t="n"/>
      <c r="AO60" s="36" t="n"/>
      <c r="AP60" s="36" t="n"/>
      <c r="AQ60" s="36" t="n"/>
      <c r="AR60" s="174" t="n">
        <v>9296</v>
      </c>
      <c r="AS60" s="36" t="n"/>
      <c r="AT60" s="36" t="n"/>
      <c r="AU60" s="36" t="n"/>
      <c r="AV60" s="36" t="n"/>
      <c r="AW60" s="174" t="n">
        <v>9288</v>
      </c>
      <c r="AX60" s="36" t="n"/>
      <c r="AY60" s="36" t="n"/>
      <c r="AZ60" s="36" t="n"/>
      <c r="BA60" s="36" t="n"/>
      <c r="BB60" s="174" t="n">
        <v>10403</v>
      </c>
      <c r="BC60" s="36" t="n"/>
      <c r="BD60" s="36" t="n"/>
      <c r="BE60" s="36" t="n"/>
      <c r="BF60" s="36" t="n"/>
      <c r="BG60" s="174" t="n">
        <v>11274</v>
      </c>
      <c r="BH60" s="36" t="n"/>
      <c r="BI60" s="36" t="n"/>
      <c r="BJ60" s="36" t="n"/>
      <c r="BK60" s="36" t="n"/>
      <c r="BL60" s="174" t="n">
        <v>10791</v>
      </c>
      <c r="BM60" s="36" t="n"/>
      <c r="BN60" s="36" t="n"/>
      <c r="BO60" s="36" t="n"/>
      <c r="BP60" s="36" t="n"/>
      <c r="BQ60" s="174" t="n">
        <v>11284</v>
      </c>
      <c r="BR60" s="36" t="n"/>
      <c r="BS60" s="36" t="n"/>
      <c r="BT60" s="36" t="n"/>
      <c r="BU60" s="36" t="n"/>
      <c r="BV60" s="174" t="n">
        <v>10184</v>
      </c>
      <c r="BW60" s="36" t="n"/>
      <c r="BX60" s="36" t="n"/>
      <c r="BY60" s="6" t="n"/>
      <c r="BZ60" s="6" t="n"/>
      <c r="CA60" s="6" t="n"/>
      <c r="CB60" s="6" t="n"/>
      <c r="CC60" s="6" t="n"/>
      <c r="CD60" s="6" t="n"/>
      <c r="CE60" s="6" t="n"/>
      <c r="CF60" s="6" t="n"/>
    </row>
    <row r="61" ht="15" customHeight="1">
      <c r="B61" s="42" t="inlineStr">
        <is>
          <t xml:space="preserve">  Linehaul trailers (year end)</t>
        </is>
      </c>
      <c r="C61" s="174" t="n">
        <v>13122</v>
      </c>
      <c r="D61" s="174" t="n">
        <v>14001</v>
      </c>
      <c r="E61" s="174" t="n">
        <v>14365</v>
      </c>
      <c r="F61" s="174" t="n">
        <v>15538</v>
      </c>
      <c r="G61" s="174" t="n">
        <v>15178</v>
      </c>
      <c r="H61" s="174" t="n">
        <v>16302</v>
      </c>
      <c r="I61" s="174" t="n">
        <v>17280</v>
      </c>
      <c r="J61" s="36" t="n"/>
      <c r="K61" s="36" t="n"/>
      <c r="L61" s="36" t="n"/>
      <c r="M61" s="36" t="n"/>
      <c r="N61" s="174" t="n">
        <v>18077</v>
      </c>
      <c r="O61" s="36" t="n"/>
      <c r="P61" s="36" t="n"/>
      <c r="Q61" s="36" t="n"/>
      <c r="R61" s="36" t="n"/>
      <c r="S61" s="174" t="n">
        <v>19556</v>
      </c>
      <c r="T61" s="36" t="n"/>
      <c r="U61" s="36" t="n"/>
      <c r="V61" s="36" t="n"/>
      <c r="W61" s="36" t="n"/>
      <c r="X61" s="174" t="n">
        <v>21540</v>
      </c>
      <c r="Y61" s="36" t="n"/>
      <c r="Z61" s="36" t="n"/>
      <c r="AA61" s="36" t="n"/>
      <c r="AB61" s="36" t="n"/>
      <c r="AC61" s="174" t="n">
        <v>22970</v>
      </c>
      <c r="AD61" s="36" t="n"/>
      <c r="AE61" s="36" t="n"/>
      <c r="AF61" s="36" t="n"/>
      <c r="AG61" s="36" t="n"/>
      <c r="AH61" s="174" t="n">
        <v>23100</v>
      </c>
      <c r="AI61" s="36" t="n"/>
      <c r="AJ61" s="36" t="n"/>
      <c r="AK61" s="36" t="n"/>
      <c r="AL61" s="36" t="n"/>
      <c r="AM61" s="174" t="n">
        <v>24685</v>
      </c>
      <c r="AN61" s="36" t="n"/>
      <c r="AO61" s="36" t="n"/>
      <c r="AP61" s="36" t="n"/>
      <c r="AQ61" s="36" t="n"/>
      <c r="AR61" s="174" t="n">
        <v>25357</v>
      </c>
      <c r="AS61" s="36" t="n"/>
      <c r="AT61" s="36" t="n"/>
      <c r="AU61" s="36" t="n"/>
      <c r="AV61" s="36" t="n"/>
      <c r="AW61" s="174" t="n">
        <v>24583</v>
      </c>
      <c r="AX61" s="36" t="n"/>
      <c r="AY61" s="36" t="n"/>
      <c r="AZ61" s="36" t="n"/>
      <c r="BA61" s="36" t="n"/>
      <c r="BB61" s="174" t="n">
        <v>27917</v>
      </c>
      <c r="BC61" s="36" t="n"/>
      <c r="BD61" s="36" t="n"/>
      <c r="BE61" s="36" t="n"/>
      <c r="BF61" s="36" t="n"/>
      <c r="BG61" s="174" t="n">
        <v>31252</v>
      </c>
      <c r="BH61" s="36" t="n"/>
      <c r="BI61" s="36" t="n"/>
      <c r="BJ61" s="36" t="n"/>
      <c r="BK61" s="36" t="n"/>
      <c r="BL61" s="174" t="n">
        <v>31233</v>
      </c>
      <c r="BM61" s="36" t="n"/>
      <c r="BN61" s="36" t="n"/>
      <c r="BO61" s="36" t="n"/>
      <c r="BP61" s="36" t="n"/>
      <c r="BQ61" s="174" t="n">
        <v>31451</v>
      </c>
      <c r="BR61" s="36" t="n"/>
      <c r="BS61" s="36" t="n"/>
      <c r="BT61" s="36" t="n"/>
      <c r="BU61" s="36" t="n"/>
      <c r="BV61" s="174" t="n">
        <v>30824</v>
      </c>
      <c r="BW61" s="36" t="n"/>
      <c r="BX61" s="36" t="n"/>
      <c r="BY61" s="6" t="n"/>
      <c r="BZ61" s="6" t="n"/>
      <c r="CA61" s="6" t="n"/>
      <c r="CB61" s="6" t="n"/>
      <c r="CC61" s="6" t="n"/>
      <c r="CD61" s="6" t="n"/>
      <c r="CE61" s="6" t="n"/>
      <c r="CF61" s="6" t="n"/>
    </row>
    <row r="62" ht="15" customHeight="1">
      <c r="B62" s="42" t="inlineStr">
        <is>
          <t xml:space="preserve">  Full-time employees (year end)</t>
        </is>
      </c>
      <c r="C62" s="174" t="n">
        <v>10762</v>
      </c>
      <c r="D62" s="174" t="n">
        <v>11573</v>
      </c>
      <c r="E62" s="174" t="n">
        <v>10864</v>
      </c>
      <c r="F62" s="174" t="n">
        <v>9608</v>
      </c>
      <c r="G62" s="174" t="n">
        <v>11179</v>
      </c>
      <c r="H62" s="174" t="n">
        <v>12022</v>
      </c>
      <c r="I62" s="174" t="n">
        <v>13016</v>
      </c>
      <c r="J62" s="36" t="n"/>
      <c r="K62" s="36" t="n"/>
      <c r="L62" s="36" t="n"/>
      <c r="M62" s="36" t="n"/>
      <c r="N62" s="174" t="n">
        <v>14073</v>
      </c>
      <c r="O62" s="36" t="n"/>
      <c r="P62" s="36" t="n"/>
      <c r="Q62" s="36" t="n"/>
      <c r="R62" s="36" t="n"/>
      <c r="S62" s="174" t="n">
        <v>16443</v>
      </c>
      <c r="T62" s="36" t="n"/>
      <c r="U62" s="36" t="n"/>
      <c r="V62" s="36" t="n"/>
      <c r="W62" s="36" t="n"/>
      <c r="X62" s="174" t="n">
        <v>17931</v>
      </c>
      <c r="Y62" s="36" t="n"/>
      <c r="Z62" s="36" t="n"/>
      <c r="AA62" s="36" t="n"/>
      <c r="AB62" s="36" t="n"/>
      <c r="AC62" s="174" t="n">
        <v>17543</v>
      </c>
      <c r="AD62" s="36" t="n"/>
      <c r="AE62" s="36" t="n"/>
      <c r="AF62" s="36" t="n"/>
      <c r="AG62" s="36" t="n"/>
      <c r="AH62" s="174" t="n">
        <v>19183</v>
      </c>
      <c r="AI62" s="36" t="n"/>
      <c r="AJ62" s="36" t="n"/>
      <c r="AK62" s="36" t="n"/>
      <c r="AL62" s="36" t="n"/>
      <c r="AM62" s="174" t="n">
        <v>21279</v>
      </c>
      <c r="AN62" s="36" t="n"/>
      <c r="AO62" s="36" t="n"/>
      <c r="AP62" s="36" t="n"/>
      <c r="AQ62" s="36" t="n"/>
      <c r="AR62" s="174" t="n">
        <v>20105</v>
      </c>
      <c r="AS62" s="36" t="n"/>
      <c r="AT62" s="36" t="n"/>
      <c r="AU62" s="36" t="n"/>
      <c r="AV62" s="36" t="n"/>
      <c r="AW62" s="174" t="n">
        <v>19779</v>
      </c>
      <c r="AX62" s="36" t="n"/>
      <c r="AY62" s="36" t="n"/>
      <c r="AZ62" s="36" t="n"/>
      <c r="BA62" s="36" t="n"/>
      <c r="BB62" s="174" t="n">
        <v>23663</v>
      </c>
      <c r="BC62" s="36" t="n"/>
      <c r="BD62" s="36" t="n"/>
      <c r="BE62" s="36" t="n"/>
      <c r="BF62" s="36" t="n"/>
      <c r="BG62" s="174" t="n">
        <v>23471</v>
      </c>
      <c r="BH62" s="36" t="n"/>
      <c r="BI62" s="36" t="n"/>
      <c r="BJ62" s="36" t="n"/>
      <c r="BK62" s="36" t="n"/>
      <c r="BL62" s="174" t="n">
        <v>22902</v>
      </c>
      <c r="BM62" s="36" t="n"/>
      <c r="BN62" s="36" t="n"/>
      <c r="BO62" s="36" t="n"/>
      <c r="BP62" s="36" t="n"/>
      <c r="BQ62" s="174" t="n">
        <v>21895</v>
      </c>
      <c r="BR62" s="36" t="n"/>
      <c r="BS62" s="36" t="n"/>
      <c r="BT62" s="36" t="n"/>
      <c r="BU62" s="36" t="n"/>
      <c r="BV62" s="174" t="n">
        <v>20591</v>
      </c>
      <c r="BW62" s="36" t="n"/>
      <c r="BX62" s="36" t="n"/>
      <c r="BY62" s="6" t="n"/>
      <c r="BZ62" s="6" t="n"/>
      <c r="CA62" s="6" t="n"/>
      <c r="CB62" s="6" t="n"/>
      <c r="CC62" s="6" t="n"/>
      <c r="CD62" s="6" t="n"/>
      <c r="CE62" s="6" t="n"/>
      <c r="CF62" s="6" t="n"/>
    </row>
    <row r="63" ht="15" customHeight="1">
      <c r="B63" s="26" t="inlineStr">
        <is>
          <t xml:space="preserve">  LTL tons per day per service center</t>
        </is>
      </c>
      <c r="C63" s="197">
        <f>IF(ISNUMBER(C59),IFERROR(C12/C59,""),"")</f>
        <v/>
      </c>
      <c r="D63" s="197">
        <f>IF(ISNUMBER(D59),IFERROR(D12/D59,""),"")</f>
        <v/>
      </c>
      <c r="E63" s="197">
        <f>IF(ISNUMBER(E59),IFERROR(E12/E59,""),"")</f>
        <v/>
      </c>
      <c r="F63" s="197">
        <f>IF(ISNUMBER(F59),IFERROR(F12/F59,""),"")</f>
        <v/>
      </c>
      <c r="G63" s="197">
        <f>IF(ISNUMBER(G59),IFERROR(G12/G59,""),"")</f>
        <v/>
      </c>
      <c r="H63" s="197">
        <f>IF(ISNUMBER(H59),IFERROR(H12/H59,""),"")</f>
        <v/>
      </c>
      <c r="I63" s="197">
        <f>IF(ISNUMBER(I59),IFERROR(I12/I59,""),"")</f>
        <v/>
      </c>
      <c r="J63" s="36" t="n"/>
      <c r="K63" s="36" t="n"/>
      <c r="L63" s="36" t="n"/>
      <c r="M63" s="36" t="n"/>
      <c r="N63" s="197">
        <f>IF(ISNUMBER(N59),IFERROR(N12/N59,""),"")</f>
        <v/>
      </c>
      <c r="O63" s="36" t="n"/>
      <c r="P63" s="36" t="n"/>
      <c r="Q63" s="36" t="n"/>
      <c r="R63" s="36" t="n"/>
      <c r="S63" s="197">
        <f>IF(ISNUMBER(S59),IFERROR(S12/S59,""),"")</f>
        <v/>
      </c>
      <c r="T63" s="36" t="n"/>
      <c r="U63" s="36" t="n"/>
      <c r="V63" s="36" t="n"/>
      <c r="W63" s="36" t="n"/>
      <c r="X63" s="197">
        <f>IF(ISNUMBER(X59),IFERROR(X12/X59,""),"")</f>
        <v/>
      </c>
      <c r="Y63" s="36" t="n"/>
      <c r="Z63" s="36" t="n"/>
      <c r="AA63" s="36" t="n"/>
      <c r="AB63" s="36" t="n"/>
      <c r="AC63" s="197">
        <f>IF(ISNUMBER(AC59),IFERROR(AC12/AC59,""),"")</f>
        <v/>
      </c>
      <c r="AD63" s="36" t="n"/>
      <c r="AE63" s="36" t="n"/>
      <c r="AF63" s="36" t="n"/>
      <c r="AG63" s="36" t="n"/>
      <c r="AH63" s="197">
        <f>IF(ISNUMBER(AH59),IFERROR(AH12/AH59,""),"")</f>
        <v/>
      </c>
      <c r="AI63" s="36" t="n"/>
      <c r="AJ63" s="36" t="n"/>
      <c r="AK63" s="36" t="n"/>
      <c r="AL63" s="36" t="n"/>
      <c r="AM63" s="197">
        <f>IF(ISNUMBER(AM59),IFERROR(AM12/AM59,""),"")</f>
        <v/>
      </c>
      <c r="AN63" s="36" t="n"/>
      <c r="AO63" s="36" t="n"/>
      <c r="AP63" s="36" t="n"/>
      <c r="AQ63" s="36" t="n"/>
      <c r="AR63" s="197">
        <f>IF(ISNUMBER(AR59),IFERROR(AR12/AR59,""),"")</f>
        <v/>
      </c>
      <c r="AS63" s="36" t="n"/>
      <c r="AT63" s="36" t="n"/>
      <c r="AU63" s="36" t="n"/>
      <c r="AV63" s="36" t="n"/>
      <c r="AW63" s="197">
        <f>IF(ISNUMBER(AW59),IFERROR(AW12/AW59,""),"")</f>
        <v/>
      </c>
      <c r="AX63" s="36" t="n"/>
      <c r="AY63" s="36" t="n"/>
      <c r="AZ63" s="36" t="n"/>
      <c r="BA63" s="36" t="n"/>
      <c r="BB63" s="197">
        <f>IF(ISNUMBER(BB59),IFERROR(BB12/BB59,""),"")</f>
        <v/>
      </c>
      <c r="BC63" s="36" t="n"/>
      <c r="BD63" s="36" t="n"/>
      <c r="BE63" s="36" t="n"/>
      <c r="BF63" s="36" t="n"/>
      <c r="BG63" s="197">
        <f>IF(ISNUMBER(BG59),IFERROR(BG12/BG59,""),"")</f>
        <v/>
      </c>
      <c r="BH63" s="36" t="n"/>
      <c r="BI63" s="36" t="n"/>
      <c r="BJ63" s="36" t="n"/>
      <c r="BK63" s="36" t="n"/>
      <c r="BL63" s="197">
        <f>IF(ISNUMBER(BL59),IFERROR(BL12/BL59,""),"")</f>
        <v/>
      </c>
      <c r="BM63" s="36" t="n"/>
      <c r="BN63" s="36" t="n"/>
      <c r="BO63" s="36" t="n"/>
      <c r="BP63" s="36" t="n"/>
      <c r="BQ63" s="197">
        <f>IF(ISNUMBER(BQ59),IFERROR(BQ12/BQ59,""),"")</f>
        <v/>
      </c>
      <c r="BR63" s="36" t="n"/>
      <c r="BS63" s="36" t="n"/>
      <c r="BT63" s="36" t="n"/>
      <c r="BU63" s="36" t="n"/>
      <c r="BV63" s="197">
        <f>IF(ISNUMBER(BV59),IFERROR(BV12/BV59,""),"")</f>
        <v/>
      </c>
      <c r="BW63" s="36" t="n"/>
      <c r="BX63" s="36" t="n"/>
      <c r="BY63" s="37" t="n"/>
      <c r="BZ63" s="37" t="n"/>
      <c r="CA63" s="37" t="n"/>
      <c r="CB63" s="37" t="n"/>
      <c r="CC63" s="37" t="n"/>
      <c r="CD63" s="37" t="n"/>
      <c r="CE63" s="37" t="n"/>
      <c r="CF63" s="20" t="n"/>
    </row>
    <row r="64" ht="15" customHeight="1">
      <c r="B64" s="26" t="inlineStr">
        <is>
          <t xml:space="preserve">  Revenue per year-end employee ($000)</t>
        </is>
      </c>
      <c r="C64" s="197">
        <f>IF(ISNUMBER(C62),IFERROR(C100/C62*1000,""),"")</f>
        <v/>
      </c>
      <c r="D64" s="197">
        <f>IF(ISNUMBER(D62),IFERROR(D100/D62*1000,""),"")</f>
        <v/>
      </c>
      <c r="E64" s="197">
        <f>IF(ISNUMBER(E62),IFERROR(E100/E62*1000,""),"")</f>
        <v/>
      </c>
      <c r="F64" s="197">
        <f>IF(ISNUMBER(F62),IFERROR(F100/F62*1000,""),"")</f>
        <v/>
      </c>
      <c r="G64" s="197">
        <f>IF(ISNUMBER(G62),IFERROR(G100/G62*1000,""),"")</f>
        <v/>
      </c>
      <c r="H64" s="197">
        <f>IF(ISNUMBER(H62),IFERROR(H100/H62*1000,""),"")</f>
        <v/>
      </c>
      <c r="I64" s="197">
        <f>IF(ISNUMBER(I62),IFERROR(I100/I62*1000,""),"")</f>
        <v/>
      </c>
      <c r="J64" s="36" t="n"/>
      <c r="K64" s="36" t="n"/>
      <c r="L64" s="36" t="n"/>
      <c r="M64" s="36" t="n"/>
      <c r="N64" s="197">
        <f>IF(ISNUMBER(N62),IFERROR(N100/N62*1000,""),"")</f>
        <v/>
      </c>
      <c r="O64" s="36" t="n"/>
      <c r="P64" s="36" t="n"/>
      <c r="Q64" s="36" t="n"/>
      <c r="R64" s="36" t="n"/>
      <c r="S64" s="197">
        <f>IF(ISNUMBER(S62),IFERROR(S100/S62*1000,""),"")</f>
        <v/>
      </c>
      <c r="T64" s="36" t="n"/>
      <c r="U64" s="36" t="n"/>
      <c r="V64" s="36" t="n"/>
      <c r="W64" s="36" t="n"/>
      <c r="X64" s="197">
        <f>IF(ISNUMBER(X62),IFERROR(X100/X62*1000,""),"")</f>
        <v/>
      </c>
      <c r="Y64" s="36" t="n"/>
      <c r="Z64" s="36" t="n"/>
      <c r="AA64" s="36" t="n"/>
      <c r="AB64" s="36" t="n"/>
      <c r="AC64" s="197">
        <f>IF(ISNUMBER(AC62),IFERROR(AC100/AC62*1000,""),"")</f>
        <v/>
      </c>
      <c r="AD64" s="36" t="n"/>
      <c r="AE64" s="36" t="n"/>
      <c r="AF64" s="36" t="n"/>
      <c r="AG64" s="36" t="n"/>
      <c r="AH64" s="197">
        <f>IF(ISNUMBER(AH62),IFERROR(AH100/AH62*1000,""),"")</f>
        <v/>
      </c>
      <c r="AI64" s="36" t="n"/>
      <c r="AJ64" s="36" t="n"/>
      <c r="AK64" s="36" t="n"/>
      <c r="AL64" s="36" t="n"/>
      <c r="AM64" s="197">
        <f>IF(ISNUMBER(AM62),IFERROR(AM100/AM62*1000,""),"")</f>
        <v/>
      </c>
      <c r="AN64" s="36" t="n"/>
      <c r="AO64" s="36" t="n"/>
      <c r="AP64" s="36" t="n"/>
      <c r="AQ64" s="36" t="n"/>
      <c r="AR64" s="197">
        <f>IF(ISNUMBER(AR62),IFERROR(AR100/AR62*1000,""),"")</f>
        <v/>
      </c>
      <c r="AS64" s="36" t="n"/>
      <c r="AT64" s="36" t="n"/>
      <c r="AU64" s="36" t="n"/>
      <c r="AV64" s="36" t="n"/>
      <c r="AW64" s="197">
        <f>IF(ISNUMBER(AW62),IFERROR(AW100/AW62*1000,""),"")</f>
        <v/>
      </c>
      <c r="AX64" s="36" t="n"/>
      <c r="AY64" s="36" t="n"/>
      <c r="AZ64" s="36" t="n"/>
      <c r="BA64" s="36" t="n"/>
      <c r="BB64" s="197">
        <f>IF(ISNUMBER(BB62),IFERROR(BB100/BB62*1000,""),"")</f>
        <v/>
      </c>
      <c r="BC64" s="36" t="n"/>
      <c r="BD64" s="36" t="n"/>
      <c r="BE64" s="36" t="n"/>
      <c r="BF64" s="36" t="n"/>
      <c r="BG64" s="197">
        <f>IF(ISNUMBER(BG62),IFERROR(BG100/BG62*1000,""),"")</f>
        <v/>
      </c>
      <c r="BH64" s="36" t="n"/>
      <c r="BI64" s="36" t="n"/>
      <c r="BJ64" s="36" t="n"/>
      <c r="BK64" s="36" t="n"/>
      <c r="BL64" s="197">
        <f>IF(ISNUMBER(BL62),IFERROR(BL100/BL62*1000,""),"")</f>
        <v/>
      </c>
      <c r="BM64" s="36" t="n"/>
      <c r="BN64" s="36" t="n"/>
      <c r="BO64" s="36" t="n"/>
      <c r="BP64" s="36" t="n"/>
      <c r="BQ64" s="197">
        <f>IF(ISNUMBER(BQ62),IFERROR(BQ100/BQ62*1000,""),"")</f>
        <v/>
      </c>
      <c r="BR64" s="36" t="n"/>
      <c r="BS64" s="36" t="n"/>
      <c r="BT64" s="36" t="n"/>
      <c r="BU64" s="36" t="n"/>
      <c r="BV64" s="197">
        <f>IF(ISNUMBER(BV62),IFERROR(BV100/BV62*1000,""),"")</f>
        <v/>
      </c>
      <c r="BW64" s="36" t="n"/>
      <c r="BX64" s="36" t="n"/>
      <c r="BY64" s="37" t="n"/>
      <c r="BZ64" s="37" t="n"/>
      <c r="CA64" s="37" t="n"/>
      <c r="CB64" s="37" t="n"/>
      <c r="CC64" s="37" t="n"/>
      <c r="CD64" s="37" t="n"/>
      <c r="CE64" s="37" t="n"/>
      <c r="CF64" s="20" t="n"/>
    </row>
    <row r="65" ht="15" customHeight="1">
      <c r="B65" s="26" t="inlineStr">
        <is>
          <t xml:space="preserve">  LTL shipments per day per 100 average employees (from 2019)</t>
        </is>
      </c>
      <c r="C65" s="197">
        <f>IF(ISNUMBER(C24),IFERROR(C20/C24*100,""),"")</f>
        <v/>
      </c>
      <c r="D65" s="197">
        <f>IF(ISNUMBER(D24),IFERROR(D20/D24*100,""),"")</f>
        <v/>
      </c>
      <c r="E65" s="197">
        <f>IF(ISNUMBER(E24),IFERROR(E20/E24*100,""),"")</f>
        <v/>
      </c>
      <c r="F65" s="197">
        <f>IF(ISNUMBER(F24),IFERROR(F20/F24*100,""),"")</f>
        <v/>
      </c>
      <c r="G65" s="197">
        <f>IF(ISNUMBER(G24),IFERROR(G20/G24*100,""),"")</f>
        <v/>
      </c>
      <c r="H65" s="197">
        <f>IF(ISNUMBER(H24),IFERROR(H20/H24*100,""),"")</f>
        <v/>
      </c>
      <c r="I65" s="197">
        <f>IF(ISNUMBER(I24),IFERROR(I20/I24*100,""),"")</f>
        <v/>
      </c>
      <c r="J65" s="197">
        <f>IF(ISNUMBER(J24),IFERROR(J20/J24*100,""),"")</f>
        <v/>
      </c>
      <c r="K65" s="197">
        <f>IF(ISNUMBER(K24),IFERROR(K20/K24*100,""),"")</f>
        <v/>
      </c>
      <c r="L65" s="197">
        <f>IF(ISNUMBER(L24),IFERROR(L20/L24*100,""),"")</f>
        <v/>
      </c>
      <c r="M65" s="197">
        <f>IF(ISNUMBER(M24),IFERROR(M20/M24*100,""),"")</f>
        <v/>
      </c>
      <c r="N65" s="197">
        <f>IF(ISNUMBER(N24),IFERROR(N20/N24*100,""),"")</f>
        <v/>
      </c>
      <c r="O65" s="197">
        <f>IF(ISNUMBER(O24),IFERROR(O20/O24*100,""),"")</f>
        <v/>
      </c>
      <c r="P65" s="197">
        <f>IF(ISNUMBER(P24),IFERROR(P20/P24*100,""),"")</f>
        <v/>
      </c>
      <c r="Q65" s="197">
        <f>IF(ISNUMBER(Q24),IFERROR(Q20/Q24*100,""),"")</f>
        <v/>
      </c>
      <c r="R65" s="197">
        <f>IF(ISNUMBER(R24),IFERROR(R20/R24*100,""),"")</f>
        <v/>
      </c>
      <c r="S65" s="197">
        <f>IF(ISNUMBER(S24),IFERROR(S20/S24*100,""),"")</f>
        <v/>
      </c>
      <c r="T65" s="197">
        <f>IF(ISNUMBER(T24),IFERROR(T20/T24*100,""),"")</f>
        <v/>
      </c>
      <c r="U65" s="197">
        <f>IF(ISNUMBER(U24),IFERROR(U20/U24*100,""),"")</f>
        <v/>
      </c>
      <c r="V65" s="197">
        <f>IF(ISNUMBER(V24),IFERROR(V20/V24*100,""),"")</f>
        <v/>
      </c>
      <c r="W65" s="197">
        <f>IF(ISNUMBER(W24),IFERROR(W20/W24*100,""),"")</f>
        <v/>
      </c>
      <c r="X65" s="197">
        <f>IF(ISNUMBER(X24),IFERROR(X20/X24*100,""),"")</f>
        <v/>
      </c>
      <c r="Y65" s="197">
        <f>IF(ISNUMBER(Y24),IFERROR(Y20/Y24*100,""),"")</f>
        <v/>
      </c>
      <c r="Z65" s="197">
        <f>IF(ISNUMBER(Z24),IFERROR(Z20/Z24*100,""),"")</f>
        <v/>
      </c>
      <c r="AA65" s="197">
        <f>IF(ISNUMBER(AA24),IFERROR(AA20/AA24*100,""),"")</f>
        <v/>
      </c>
      <c r="AB65" s="197">
        <f>IF(ISNUMBER(AB24),IFERROR(AB20/AB24*100,""),"")</f>
        <v/>
      </c>
      <c r="AC65" s="197">
        <f>IF(ISNUMBER(AC24),IFERROR(AC20/AC24*100,""),"")</f>
        <v/>
      </c>
      <c r="AD65" s="197">
        <f>IF(ISNUMBER(AD24),IFERROR(AD20/AD24*100,""),"")</f>
        <v/>
      </c>
      <c r="AE65" s="197">
        <f>IF(ISNUMBER(AE24),IFERROR(AE20/AE24*100,""),"")</f>
        <v/>
      </c>
      <c r="AF65" s="197">
        <f>IF(ISNUMBER(AF24),IFERROR(AF20/AF24*100,""),"")</f>
        <v/>
      </c>
      <c r="AG65" s="197">
        <f>IF(ISNUMBER(AG24),IFERROR(AG20/AG24*100,""),"")</f>
        <v/>
      </c>
      <c r="AH65" s="197">
        <f>IF(ISNUMBER(AH24),IFERROR(AH20/AH24*100,""),"")</f>
        <v/>
      </c>
      <c r="AI65" s="197">
        <f>IF(ISNUMBER(AI24),IFERROR(AI20/AI24*100,""),"")</f>
        <v/>
      </c>
      <c r="AJ65" s="197">
        <f>IF(ISNUMBER(AJ24),IFERROR(AJ20/AJ24*100,""),"")</f>
        <v/>
      </c>
      <c r="AK65" s="197">
        <f>IF(ISNUMBER(AK24),IFERROR(AK20/AK24*100,""),"")</f>
        <v/>
      </c>
      <c r="AL65" s="197">
        <f>IF(ISNUMBER(AL24),IFERROR(AL20/AL24*100,""),"")</f>
        <v/>
      </c>
      <c r="AM65" s="197">
        <f>IF(ISNUMBER(AM24),IFERROR(AM20/AM24*100,""),"")</f>
        <v/>
      </c>
      <c r="AN65" s="197">
        <f>IF(ISNUMBER(AN24),IFERROR(AN20/AN24*100,""),"")</f>
        <v/>
      </c>
      <c r="AO65" s="197">
        <f>IF(ISNUMBER(AO24),IFERROR(AO20/AO24*100,""),"")</f>
        <v/>
      </c>
      <c r="AP65" s="197">
        <f>IF(ISNUMBER(AP24),IFERROR(AP20/AP24*100,""),"")</f>
        <v/>
      </c>
      <c r="AQ65" s="197">
        <f>IF(ISNUMBER(AQ24),IFERROR(AQ20/AQ24*100,""),"")</f>
        <v/>
      </c>
      <c r="AR65" s="197">
        <f>IF(ISNUMBER(AR24),IFERROR(AR20/AR24*100,""),"")</f>
        <v/>
      </c>
      <c r="AS65" s="197">
        <f>IF(ISNUMBER(AS24),IFERROR(AS20/AS24*100,""),"")</f>
        <v/>
      </c>
      <c r="AT65" s="197">
        <f>IF(ISNUMBER(AT24),IFERROR(AT20/AT24*100,""),"")</f>
        <v/>
      </c>
      <c r="AU65" s="197">
        <f>IF(ISNUMBER(AU24),IFERROR(AU20/AU24*100,""),"")</f>
        <v/>
      </c>
      <c r="AV65" s="197">
        <f>IF(ISNUMBER(AV24),IFERROR(AV20/AV24*100,""),"")</f>
        <v/>
      </c>
      <c r="AW65" s="197">
        <f>IF(ISNUMBER(AW24),IFERROR(AW20/AW24*100,""),"")</f>
        <v/>
      </c>
      <c r="AX65" s="197">
        <f>IF(ISNUMBER(AX24),IFERROR(AX20/AX24*100,""),"")</f>
        <v/>
      </c>
      <c r="AY65" s="197">
        <f>IF(ISNUMBER(AY24),IFERROR(AY20/AY24*100,""),"")</f>
        <v/>
      </c>
      <c r="AZ65" s="197">
        <f>IF(ISNUMBER(AZ24),IFERROR(AZ20/AZ24*100,""),"")</f>
        <v/>
      </c>
      <c r="BA65" s="197">
        <f>IF(ISNUMBER(BA24),IFERROR(BA20/BA24*100,""),"")</f>
        <v/>
      </c>
      <c r="BB65" s="197">
        <f>IF(ISNUMBER(BB24),IFERROR(BB20/BB24*100,""),"")</f>
        <v/>
      </c>
      <c r="BC65" s="197">
        <f>IF(ISNUMBER(BC24),IFERROR(BC20/BC24*100,""),"")</f>
        <v/>
      </c>
      <c r="BD65" s="197">
        <f>IF(ISNUMBER(BD24),IFERROR(BD20/BD24*100,""),"")</f>
        <v/>
      </c>
      <c r="BE65" s="197">
        <f>IF(ISNUMBER(BE24),IFERROR(BE20/BE24*100,""),"")</f>
        <v/>
      </c>
      <c r="BF65" s="197">
        <f>IF(ISNUMBER(BF24),IFERROR(BF20/BF24*100,""),"")</f>
        <v/>
      </c>
      <c r="BG65" s="197">
        <f>IF(ISNUMBER(BG24),IFERROR(BG20/BG24*100,""),"")</f>
        <v/>
      </c>
      <c r="BH65" s="197">
        <f>IF(ISNUMBER(BH24),IFERROR(BH20/BH24*100,""),"")</f>
        <v/>
      </c>
      <c r="BI65" s="197">
        <f>IF(ISNUMBER(BI24),IFERROR(BI20/BI24*100,""),"")</f>
        <v/>
      </c>
      <c r="BJ65" s="197">
        <f>IF(ISNUMBER(BJ24),IFERROR(BJ20/BJ24*100,""),"")</f>
        <v/>
      </c>
      <c r="BK65" s="197">
        <f>IF(ISNUMBER(BK24),IFERROR(BK20/BK24*100,""),"")</f>
        <v/>
      </c>
      <c r="BL65" s="197">
        <f>IF(ISNUMBER(BL24),IFERROR(BL20/BL24*100,""),"")</f>
        <v/>
      </c>
      <c r="BM65" s="197">
        <f>IF(ISNUMBER(BM24),IFERROR(BM20/BM24*100,""),"")</f>
        <v/>
      </c>
      <c r="BN65" s="197">
        <f>IF(ISNUMBER(BN24),IFERROR(BN20/BN24*100,""),"")</f>
        <v/>
      </c>
      <c r="BO65" s="197">
        <f>IF(ISNUMBER(BO24),IFERROR(BO20/BO24*100,""),"")</f>
        <v/>
      </c>
      <c r="BP65" s="197">
        <f>IF(ISNUMBER(BP24),IFERROR(BP20/BP24*100,""),"")</f>
        <v/>
      </c>
      <c r="BQ65" s="197">
        <f>IF(ISNUMBER(BQ24),IFERROR(BQ20/BQ24*100,""),"")</f>
        <v/>
      </c>
      <c r="BR65" s="197">
        <f>IF(ISNUMBER(BR24),IFERROR(BR20/BR24*100,""),"")</f>
        <v/>
      </c>
      <c r="BS65" s="197">
        <f>IF(ISNUMBER(BS24),IFERROR(BS20/BS24*100,""),"")</f>
        <v/>
      </c>
      <c r="BT65" s="197">
        <f>IF(ISNUMBER(BT24),IFERROR(BT20/BT24*100,""),"")</f>
        <v/>
      </c>
      <c r="BU65" s="197">
        <f>IF(ISNUMBER(BU24),IFERROR(BU20/BU24*100,""),"")</f>
        <v/>
      </c>
      <c r="BV65" s="197">
        <f>IF(ISNUMBER(BV24),IFERROR(BV20/BV24*100,""),"")</f>
        <v/>
      </c>
      <c r="BW65" s="197">
        <f>IF(ISNUMBER(BW24),IFERROR(BW20/BW24*100,""),"")</f>
        <v/>
      </c>
      <c r="BX65" s="197">
        <f>IF(ISNUMBER(BX24),IFERROR(BX20/BX24*100,""),"")</f>
        <v/>
      </c>
      <c r="BY65" s="37" t="n"/>
      <c r="BZ65" s="37" t="n"/>
      <c r="CA65" s="37" t="n"/>
      <c r="CB65" s="37" t="n"/>
      <c r="CC65" s="37" t="n"/>
      <c r="CD65" s="37" t="n"/>
      <c r="CE65" s="37" t="n"/>
      <c r="CF65" s="20" t="n"/>
    </row>
    <row r="66" ht="15" customHeight="1"/>
    <row r="67" ht="15" customHeight="1">
      <c r="B67" s="15" t="inlineStr">
        <is>
          <t>Operating ratio build — cost lines % of revenue → operating ratio → Q3/Q4-26E calibration (seasonality) · 2027E+ OR lever</t>
        </is>
      </c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  <c r="AL67" s="15" t="n"/>
      <c r="AM67" s="15" t="n"/>
      <c r="AN67" s="15" t="n"/>
      <c r="AO67" s="15" t="n"/>
      <c r="AP67" s="15" t="n"/>
      <c r="AQ67" s="15" t="n"/>
      <c r="AR67" s="15" t="n"/>
      <c r="AS67" s="15" t="n"/>
      <c r="AT67" s="15" t="n"/>
      <c r="AU67" s="15" t="n"/>
      <c r="AV67" s="15" t="n"/>
      <c r="AW67" s="15" t="n"/>
      <c r="AX67" s="15" t="n"/>
      <c r="AY67" s="15" t="n"/>
      <c r="AZ67" s="15" t="n"/>
      <c r="BA67" s="15" t="n"/>
      <c r="BB67" s="15" t="n"/>
      <c r="BC67" s="15" t="n"/>
      <c r="BD67" s="15" t="n"/>
      <c r="BE67" s="15" t="n"/>
      <c r="BF67" s="15" t="n"/>
      <c r="BG67" s="15" t="n"/>
      <c r="BH67" s="15" t="n"/>
      <c r="BI67" s="15" t="n"/>
      <c r="BJ67" s="15" t="n"/>
      <c r="BK67" s="15" t="n"/>
      <c r="BL67" s="15" t="n"/>
      <c r="BM67" s="15" t="n"/>
      <c r="BN67" s="15" t="n"/>
      <c r="BO67" s="15" t="n"/>
      <c r="BP67" s="15" t="n"/>
      <c r="BQ67" s="15" t="n"/>
      <c r="BR67" s="15" t="n"/>
      <c r="BS67" s="15" t="n"/>
      <c r="BT67" s="15" t="n"/>
      <c r="BU67" s="15" t="n"/>
      <c r="BV67" s="15" t="n"/>
      <c r="BW67" s="15" t="n"/>
      <c r="BX67" s="15" t="n"/>
      <c r="BY67" s="15" t="n"/>
      <c r="BZ67" s="15" t="n"/>
      <c r="CA67" s="15" t="n"/>
      <c r="CB67" s="15" t="n"/>
      <c r="CC67" s="15" t="n"/>
      <c r="CD67" s="15" t="n"/>
      <c r="CE67" s="15" t="n"/>
      <c r="CF67" s="16" t="inlineStr">
        <is>
          <t>OPERATING RATIO — modelling logic (operating ratio = total operating expenses ÷ revenue; ODFL's primary profitability KPI)</t>
        </is>
      </c>
    </row>
    <row r="68" ht="15" customHeight="1">
      <c r="B68" s="26" t="inlineStr">
        <is>
          <t xml:space="preserve">  Salaries, wages &amp; benefits % of revenue</t>
        </is>
      </c>
      <c r="C68" s="190">
        <f>IF(AND(ISNUMBER(C101),ISNUMBER(C100)),IFERROR(C101/C100,""),"")</f>
        <v/>
      </c>
      <c r="D68" s="190">
        <f>IF(AND(ISNUMBER(D101),ISNUMBER(D100)),IFERROR(D101/D100,""),"")</f>
        <v/>
      </c>
      <c r="E68" s="190">
        <f>IF(AND(ISNUMBER(E101),ISNUMBER(E100)),IFERROR(E101/E100,""),"")</f>
        <v/>
      </c>
      <c r="F68" s="190">
        <f>IF(AND(ISNUMBER(F101),ISNUMBER(F100)),IFERROR(F101/F100,""),"")</f>
        <v/>
      </c>
      <c r="G68" s="190">
        <f>IF(AND(ISNUMBER(G101),ISNUMBER(G100)),IFERROR(G101/G100,""),"")</f>
        <v/>
      </c>
      <c r="H68" s="190">
        <f>IF(AND(ISNUMBER(H101),ISNUMBER(H100)),IFERROR(H101/H100,""),"")</f>
        <v/>
      </c>
      <c r="I68" s="190">
        <f>IF(AND(ISNUMBER(I101),ISNUMBER(I100)),IFERROR(I101/I100,""),"")</f>
        <v/>
      </c>
      <c r="J68" s="190">
        <f>IF(AND(ISNUMBER(J101),ISNUMBER(J100)),IFERROR(J101/J100,""),"")</f>
        <v/>
      </c>
      <c r="K68" s="190">
        <f>IF(AND(ISNUMBER(K101),ISNUMBER(K100)),IFERROR(K101/K100,""),"")</f>
        <v/>
      </c>
      <c r="L68" s="190">
        <f>IF(AND(ISNUMBER(L101),ISNUMBER(L100)),IFERROR(L101/L100,""),"")</f>
        <v/>
      </c>
      <c r="M68" s="190">
        <f>IF(AND(ISNUMBER(M101),ISNUMBER(M100)),IFERROR(M101/M100,""),"")</f>
        <v/>
      </c>
      <c r="N68" s="190">
        <f>IF(AND(ISNUMBER(N101),ISNUMBER(N100)),IFERROR(N101/N100,""),"")</f>
        <v/>
      </c>
      <c r="O68" s="190">
        <f>IF(AND(ISNUMBER(O101),ISNUMBER(O100)),IFERROR(O101/O100,""),"")</f>
        <v/>
      </c>
      <c r="P68" s="190">
        <f>IF(AND(ISNUMBER(P101),ISNUMBER(P100)),IFERROR(P101/P100,""),"")</f>
        <v/>
      </c>
      <c r="Q68" s="190">
        <f>IF(AND(ISNUMBER(Q101),ISNUMBER(Q100)),IFERROR(Q101/Q100,""),"")</f>
        <v/>
      </c>
      <c r="R68" s="190">
        <f>IF(AND(ISNUMBER(R101),ISNUMBER(R100)),IFERROR(R101/R100,""),"")</f>
        <v/>
      </c>
      <c r="S68" s="190">
        <f>IF(AND(ISNUMBER(S101),ISNUMBER(S100)),IFERROR(S101/S100,""),"")</f>
        <v/>
      </c>
      <c r="T68" s="190">
        <f>IF(AND(ISNUMBER(T101),ISNUMBER(T100)),IFERROR(T101/T100,""),"")</f>
        <v/>
      </c>
      <c r="U68" s="190">
        <f>IF(AND(ISNUMBER(U101),ISNUMBER(U100)),IFERROR(U101/U100,""),"")</f>
        <v/>
      </c>
      <c r="V68" s="190">
        <f>IF(AND(ISNUMBER(V101),ISNUMBER(V100)),IFERROR(V101/V100,""),"")</f>
        <v/>
      </c>
      <c r="W68" s="190">
        <f>IF(AND(ISNUMBER(W101),ISNUMBER(W100)),IFERROR(W101/W100,""),"")</f>
        <v/>
      </c>
      <c r="X68" s="190">
        <f>IF(AND(ISNUMBER(X101),ISNUMBER(X100)),IFERROR(X101/X100,""),"")</f>
        <v/>
      </c>
      <c r="Y68" s="190">
        <f>IF(AND(ISNUMBER(Y101),ISNUMBER(Y100)),IFERROR(Y101/Y100,""),"")</f>
        <v/>
      </c>
      <c r="Z68" s="190">
        <f>IF(AND(ISNUMBER(Z101),ISNUMBER(Z100)),IFERROR(Z101/Z100,""),"")</f>
        <v/>
      </c>
      <c r="AA68" s="190">
        <f>IF(AND(ISNUMBER(AA101),ISNUMBER(AA100)),IFERROR(AA101/AA100,""),"")</f>
        <v/>
      </c>
      <c r="AB68" s="190">
        <f>IF(AND(ISNUMBER(AB101),ISNUMBER(AB100)),IFERROR(AB101/AB100,""),"")</f>
        <v/>
      </c>
      <c r="AC68" s="190">
        <f>IF(AND(ISNUMBER(AC101),ISNUMBER(AC100)),IFERROR(AC101/AC100,""),"")</f>
        <v/>
      </c>
      <c r="AD68" s="190">
        <f>IF(AND(ISNUMBER(AD101),ISNUMBER(AD100)),IFERROR(AD101/AD100,""),"")</f>
        <v/>
      </c>
      <c r="AE68" s="190">
        <f>IF(AND(ISNUMBER(AE101),ISNUMBER(AE100)),IFERROR(AE101/AE100,""),"")</f>
        <v/>
      </c>
      <c r="AF68" s="190">
        <f>IF(AND(ISNUMBER(AF101),ISNUMBER(AF100)),IFERROR(AF101/AF100,""),"")</f>
        <v/>
      </c>
      <c r="AG68" s="190">
        <f>IF(AND(ISNUMBER(AG101),ISNUMBER(AG100)),IFERROR(AG101/AG100,""),"")</f>
        <v/>
      </c>
      <c r="AH68" s="190">
        <f>IF(AND(ISNUMBER(AH101),ISNUMBER(AH100)),IFERROR(AH101/AH100,""),"")</f>
        <v/>
      </c>
      <c r="AI68" s="190">
        <f>IF(AND(ISNUMBER(AI101),ISNUMBER(AI100)),IFERROR(AI101/AI100,""),"")</f>
        <v/>
      </c>
      <c r="AJ68" s="190">
        <f>IF(AND(ISNUMBER(AJ101),ISNUMBER(AJ100)),IFERROR(AJ101/AJ100,""),"")</f>
        <v/>
      </c>
      <c r="AK68" s="190">
        <f>IF(AND(ISNUMBER(AK101),ISNUMBER(AK100)),IFERROR(AK101/AK100,""),"")</f>
        <v/>
      </c>
      <c r="AL68" s="190">
        <f>IF(AND(ISNUMBER(AL101),ISNUMBER(AL100)),IFERROR(AL101/AL100,""),"")</f>
        <v/>
      </c>
      <c r="AM68" s="190">
        <f>IF(AND(ISNUMBER(AM101),ISNUMBER(AM100)),IFERROR(AM101/AM100,""),"")</f>
        <v/>
      </c>
      <c r="AN68" s="190">
        <f>IF(AND(ISNUMBER(AN101),ISNUMBER(AN100)),IFERROR(AN101/AN100,""),"")</f>
        <v/>
      </c>
      <c r="AO68" s="190">
        <f>IF(AND(ISNUMBER(AO101),ISNUMBER(AO100)),IFERROR(AO101/AO100,""),"")</f>
        <v/>
      </c>
      <c r="AP68" s="190">
        <f>IF(AND(ISNUMBER(AP101),ISNUMBER(AP100)),IFERROR(AP101/AP100,""),"")</f>
        <v/>
      </c>
      <c r="AQ68" s="190">
        <f>IF(AND(ISNUMBER(AQ101),ISNUMBER(AQ100)),IFERROR(AQ101/AQ100,""),"")</f>
        <v/>
      </c>
      <c r="AR68" s="190">
        <f>IF(AND(ISNUMBER(AR101),ISNUMBER(AR100)),IFERROR(AR101/AR100,""),"")</f>
        <v/>
      </c>
      <c r="AS68" s="190">
        <f>IF(AND(ISNUMBER(AS101),ISNUMBER(AS100)),IFERROR(AS101/AS100,""),"")</f>
        <v/>
      </c>
      <c r="AT68" s="190">
        <f>IF(AND(ISNUMBER(AT101),ISNUMBER(AT100)),IFERROR(AT101/AT100,""),"")</f>
        <v/>
      </c>
      <c r="AU68" s="190">
        <f>IF(AND(ISNUMBER(AU101),ISNUMBER(AU100)),IFERROR(AU101/AU100,""),"")</f>
        <v/>
      </c>
      <c r="AV68" s="190">
        <f>IF(AND(ISNUMBER(AV101),ISNUMBER(AV100)),IFERROR(AV101/AV100,""),"")</f>
        <v/>
      </c>
      <c r="AW68" s="190">
        <f>IF(AND(ISNUMBER(AW101),ISNUMBER(AW100)),IFERROR(AW101/AW100,""),"")</f>
        <v/>
      </c>
      <c r="AX68" s="190">
        <f>IF(AND(ISNUMBER(AX101),ISNUMBER(AX100)),IFERROR(AX101/AX100,""),"")</f>
        <v/>
      </c>
      <c r="AY68" s="190">
        <f>IF(AND(ISNUMBER(AY101),ISNUMBER(AY100)),IFERROR(AY101/AY100,""),"")</f>
        <v/>
      </c>
      <c r="AZ68" s="190">
        <f>IF(AND(ISNUMBER(AZ101),ISNUMBER(AZ100)),IFERROR(AZ101/AZ100,""),"")</f>
        <v/>
      </c>
      <c r="BA68" s="190">
        <f>IF(AND(ISNUMBER(BA101),ISNUMBER(BA100)),IFERROR(BA101/BA100,""),"")</f>
        <v/>
      </c>
      <c r="BB68" s="190">
        <f>IF(AND(ISNUMBER(BB101),ISNUMBER(BB100)),IFERROR(BB101/BB100,""),"")</f>
        <v/>
      </c>
      <c r="BC68" s="190">
        <f>IF(AND(ISNUMBER(BC101),ISNUMBER(BC100)),IFERROR(BC101/BC100,""),"")</f>
        <v/>
      </c>
      <c r="BD68" s="190">
        <f>IF(AND(ISNUMBER(BD101),ISNUMBER(BD100)),IFERROR(BD101/BD100,""),"")</f>
        <v/>
      </c>
      <c r="BE68" s="190">
        <f>IF(AND(ISNUMBER(BE101),ISNUMBER(BE100)),IFERROR(BE101/BE100,""),"")</f>
        <v/>
      </c>
      <c r="BF68" s="190">
        <f>IF(AND(ISNUMBER(BF101),ISNUMBER(BF100)),IFERROR(BF101/BF100,""),"")</f>
        <v/>
      </c>
      <c r="BG68" s="190">
        <f>IF(AND(ISNUMBER(BG101),ISNUMBER(BG100)),IFERROR(BG101/BG100,""),"")</f>
        <v/>
      </c>
      <c r="BH68" s="190">
        <f>IF(AND(ISNUMBER(BH101),ISNUMBER(BH100)),IFERROR(BH101/BH100,""),"")</f>
        <v/>
      </c>
      <c r="BI68" s="190">
        <f>IF(AND(ISNUMBER(BI101),ISNUMBER(BI100)),IFERROR(BI101/BI100,""),"")</f>
        <v/>
      </c>
      <c r="BJ68" s="190">
        <f>IF(AND(ISNUMBER(BJ101),ISNUMBER(BJ100)),IFERROR(BJ101/BJ100,""),"")</f>
        <v/>
      </c>
      <c r="BK68" s="190">
        <f>IF(AND(ISNUMBER(BK101),ISNUMBER(BK100)),IFERROR(BK101/BK100,""),"")</f>
        <v/>
      </c>
      <c r="BL68" s="190">
        <f>IF(AND(ISNUMBER(BL101),ISNUMBER(BL100)),IFERROR(BL101/BL100,""),"")</f>
        <v/>
      </c>
      <c r="BM68" s="190">
        <f>IF(AND(ISNUMBER(BM101),ISNUMBER(BM100)),IFERROR(BM101/BM100,""),"")</f>
        <v/>
      </c>
      <c r="BN68" s="190">
        <f>IF(AND(ISNUMBER(BN101),ISNUMBER(BN100)),IFERROR(BN101/BN100,""),"")</f>
        <v/>
      </c>
      <c r="BO68" s="190">
        <f>IF(AND(ISNUMBER(BO101),ISNUMBER(BO100)),IFERROR(BO101/BO100,""),"")</f>
        <v/>
      </c>
      <c r="BP68" s="190">
        <f>IF(AND(ISNUMBER(BP101),ISNUMBER(BP100)),IFERROR(BP101/BP100,""),"")</f>
        <v/>
      </c>
      <c r="BQ68" s="190">
        <f>IF(AND(ISNUMBER(BQ101),ISNUMBER(BQ100)),IFERROR(BQ101/BQ100,""),"")</f>
        <v/>
      </c>
      <c r="BR68" s="190">
        <f>IF(AND(ISNUMBER(BR101),ISNUMBER(BR100)),IFERROR(BR101/BR100,""),"")</f>
        <v/>
      </c>
      <c r="BS68" s="190">
        <f>IF(AND(ISNUMBER(BS101),ISNUMBER(BS100)),IFERROR(BS101/BS100,""),"")</f>
        <v/>
      </c>
      <c r="BT68" s="190">
        <f>IF(AND(ISNUMBER(BT101),ISNUMBER(BT100)),IFERROR(BT101/BT100,""),"")</f>
        <v/>
      </c>
      <c r="BU68" s="190">
        <f>IF(AND(ISNUMBER(BU101),ISNUMBER(BU100)),IFERROR(BU101/BU100,""),"")</f>
        <v/>
      </c>
      <c r="BV68" s="190">
        <f>IF(AND(ISNUMBER(BV101),ISNUMBER(BV100)),IFERROR(BV101/BV100,""),"")</f>
        <v/>
      </c>
      <c r="BW68" s="190">
        <f>IF(AND(ISNUMBER(BW101),ISNUMBER(BW100)),IFERROR(BW101/BW100,""),"")</f>
        <v/>
      </c>
      <c r="BX68" s="190">
        <f>IF(AND(ISNUMBER(BX101),ISNUMBER(BX100)),IFERROR(BX101/BX100,""),"")</f>
        <v/>
      </c>
      <c r="BY68" s="181">
        <f>BY69*(1+BY87)</f>
        <v/>
      </c>
      <c r="BZ68" s="181">
        <f>BZ69*(1+BZ87)</f>
        <v/>
      </c>
      <c r="CA68" s="181">
        <f>IF(AND(ISNUMBER(CA101),ISNUMBER(CA100)),IFERROR(CA101/CA100,""),"")</f>
        <v/>
      </c>
      <c r="CB68" s="181">
        <f>$CA$68*CB89</f>
        <v/>
      </c>
      <c r="CC68" s="181">
        <f>$CA$68*CC89</f>
        <v/>
      </c>
      <c r="CD68" s="181">
        <f>$CA$68*CD89</f>
        <v/>
      </c>
      <c r="CE68" s="181">
        <f>$CA$68*CE89</f>
        <v/>
      </c>
      <c r="CF68" s="6" t="n"/>
      <c r="CH68" s="39">
        <f>IFERROR(AVERAGE(CA68,CB68,CC68,CD68,CE68),"n/m")</f>
        <v/>
      </c>
      <c r="CI68" s="39">
        <f>IFERROR(AVERAGE(BB68,BG68,BL68,BQ68,BV68),"n/m")</f>
        <v/>
      </c>
      <c r="CJ68" s="39">
        <f>IFERROR(AVERAGE(AC68,AH68,AM68,AR68,AW68,BB68,BG68,BL68,BQ68,BV68),"n/m")</f>
        <v/>
      </c>
      <c r="CK68" s="39">
        <f>IFERROR(AVERAGE(C68,D68,E68,F68,G68,H68,I68,N68,S68,X68,AC68,AH68,AM68,AR68,AW68,BB68,BG68,BL68,BQ68,BV68),"n/m")</f>
        <v/>
      </c>
    </row>
    <row r="69" hidden="1" outlineLevel="1" ht="15" customHeight="1">
      <c r="B69" s="26" t="inlineStr">
        <is>
          <t xml:space="preserve">    before calibration (Q3/Q4-26E helper: prior-year quarter + 1H/26 y/y drift)</t>
        </is>
      </c>
      <c r="C69" s="38" t="n"/>
      <c r="D69" s="38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8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8" t="n"/>
      <c r="Z69" s="38" t="n"/>
      <c r="AA69" s="38" t="n"/>
      <c r="AB69" s="38" t="n"/>
      <c r="AC69" s="38" t="n"/>
      <c r="AD69" s="38" t="n"/>
      <c r="AE69" s="38" t="n"/>
      <c r="AF69" s="38" t="n"/>
      <c r="AG69" s="38" t="n"/>
      <c r="AH69" s="38" t="n"/>
      <c r="AI69" s="38" t="n"/>
      <c r="AJ69" s="38" t="n"/>
      <c r="AK69" s="38" t="n"/>
      <c r="AL69" s="38" t="n"/>
      <c r="AM69" s="38" t="n"/>
      <c r="AN69" s="38" t="n"/>
      <c r="AO69" s="38" t="n"/>
      <c r="AP69" s="38" t="n"/>
      <c r="AQ69" s="38" t="n"/>
      <c r="AR69" s="38" t="n"/>
      <c r="AS69" s="38" t="n"/>
      <c r="AT69" s="38" t="n"/>
      <c r="AU69" s="38" t="n"/>
      <c r="AV69" s="38" t="n"/>
      <c r="AW69" s="38" t="n"/>
      <c r="AX69" s="38" t="n"/>
      <c r="AY69" s="38" t="n"/>
      <c r="AZ69" s="38" t="n"/>
      <c r="BA69" s="38" t="n"/>
      <c r="BB69" s="38" t="n"/>
      <c r="BC69" s="38" t="n"/>
      <c r="BD69" s="38" t="n"/>
      <c r="BE69" s="38" t="n"/>
      <c r="BF69" s="38" t="n"/>
      <c r="BG69" s="38" t="n"/>
      <c r="BH69" s="38" t="n"/>
      <c r="BI69" s="38" t="n"/>
      <c r="BJ69" s="38" t="n"/>
      <c r="BK69" s="38" t="n"/>
      <c r="BL69" s="38" t="n"/>
      <c r="BM69" s="38" t="n"/>
      <c r="BN69" s="38" t="n"/>
      <c r="BO69" s="38" t="n"/>
      <c r="BP69" s="38" t="n"/>
      <c r="BQ69" s="38" t="n"/>
      <c r="BR69" s="38" t="n"/>
      <c r="BS69" s="38" t="n"/>
      <c r="BT69" s="38" t="n"/>
      <c r="BU69" s="38" t="n"/>
      <c r="BV69" s="38" t="n"/>
      <c r="BW69" s="38" t="n"/>
      <c r="BX69" s="38" t="n"/>
      <c r="BY69" s="181">
        <f>BT68+((BW101+BX101)/(BW100+BX100)-(BR101+BS101)/(BR100+BS100))</f>
        <v/>
      </c>
      <c r="BZ69" s="181">
        <f>BU68+((BW101+BX101)/(BW100+BX100)-(BR101+BS101)/(BR100+BS100))</f>
        <v/>
      </c>
      <c r="CA69" s="25" t="n"/>
      <c r="CB69" s="25" t="n"/>
      <c r="CC69" s="25" t="n"/>
      <c r="CD69" s="25" t="n"/>
      <c r="CE69" s="25" t="n"/>
      <c r="CF69" s="6" t="n"/>
    </row>
    <row r="70" ht="15" customHeight="1">
      <c r="B70" s="26" t="inlineStr">
        <is>
          <t xml:space="preserve">  Operating supplies &amp; expenses (incl. fuel) % of revenue</t>
        </is>
      </c>
      <c r="C70" s="190">
        <f>IF(AND(ISNUMBER(C102),ISNUMBER(C100)),IFERROR(C102/C100,""),"")</f>
        <v/>
      </c>
      <c r="D70" s="190">
        <f>IF(AND(ISNUMBER(D102),ISNUMBER(D100)),IFERROR(D102/D100,""),"")</f>
        <v/>
      </c>
      <c r="E70" s="190">
        <f>IF(AND(ISNUMBER(E102),ISNUMBER(E100)),IFERROR(E102/E100,""),"")</f>
        <v/>
      </c>
      <c r="F70" s="190">
        <f>IF(AND(ISNUMBER(F102),ISNUMBER(F100)),IFERROR(F102/F100,""),"")</f>
        <v/>
      </c>
      <c r="G70" s="190">
        <f>IF(AND(ISNUMBER(G102),ISNUMBER(G100)),IFERROR(G102/G100,""),"")</f>
        <v/>
      </c>
      <c r="H70" s="190">
        <f>IF(AND(ISNUMBER(H102),ISNUMBER(H100)),IFERROR(H102/H100,""),"")</f>
        <v/>
      </c>
      <c r="I70" s="190">
        <f>IF(AND(ISNUMBER(I102),ISNUMBER(I100)),IFERROR(I102/I100,""),"")</f>
        <v/>
      </c>
      <c r="J70" s="190">
        <f>IF(AND(ISNUMBER(J102),ISNUMBER(J100)),IFERROR(J102/J100,""),"")</f>
        <v/>
      </c>
      <c r="K70" s="190">
        <f>IF(AND(ISNUMBER(K102),ISNUMBER(K100)),IFERROR(K102/K100,""),"")</f>
        <v/>
      </c>
      <c r="L70" s="190">
        <f>IF(AND(ISNUMBER(L102),ISNUMBER(L100)),IFERROR(L102/L100,""),"")</f>
        <v/>
      </c>
      <c r="M70" s="190">
        <f>IF(AND(ISNUMBER(M102),ISNUMBER(M100)),IFERROR(M102/M100,""),"")</f>
        <v/>
      </c>
      <c r="N70" s="190">
        <f>IF(AND(ISNUMBER(N102),ISNUMBER(N100)),IFERROR(N102/N100,""),"")</f>
        <v/>
      </c>
      <c r="O70" s="190">
        <f>IF(AND(ISNUMBER(O102),ISNUMBER(O100)),IFERROR(O102/O100,""),"")</f>
        <v/>
      </c>
      <c r="P70" s="190">
        <f>IF(AND(ISNUMBER(P102),ISNUMBER(P100)),IFERROR(P102/P100,""),"")</f>
        <v/>
      </c>
      <c r="Q70" s="190">
        <f>IF(AND(ISNUMBER(Q102),ISNUMBER(Q100)),IFERROR(Q102/Q100,""),"")</f>
        <v/>
      </c>
      <c r="R70" s="190">
        <f>IF(AND(ISNUMBER(R102),ISNUMBER(R100)),IFERROR(R102/R100,""),"")</f>
        <v/>
      </c>
      <c r="S70" s="190">
        <f>IF(AND(ISNUMBER(S102),ISNUMBER(S100)),IFERROR(S102/S100,""),"")</f>
        <v/>
      </c>
      <c r="T70" s="190">
        <f>IF(AND(ISNUMBER(T102),ISNUMBER(T100)),IFERROR(T102/T100,""),"")</f>
        <v/>
      </c>
      <c r="U70" s="190">
        <f>IF(AND(ISNUMBER(U102),ISNUMBER(U100)),IFERROR(U102/U100,""),"")</f>
        <v/>
      </c>
      <c r="V70" s="190">
        <f>IF(AND(ISNUMBER(V102),ISNUMBER(V100)),IFERROR(V102/V100,""),"")</f>
        <v/>
      </c>
      <c r="W70" s="190">
        <f>IF(AND(ISNUMBER(W102),ISNUMBER(W100)),IFERROR(W102/W100,""),"")</f>
        <v/>
      </c>
      <c r="X70" s="190">
        <f>IF(AND(ISNUMBER(X102),ISNUMBER(X100)),IFERROR(X102/X100,""),"")</f>
        <v/>
      </c>
      <c r="Y70" s="190">
        <f>IF(AND(ISNUMBER(Y102),ISNUMBER(Y100)),IFERROR(Y102/Y100,""),"")</f>
        <v/>
      </c>
      <c r="Z70" s="190">
        <f>IF(AND(ISNUMBER(Z102),ISNUMBER(Z100)),IFERROR(Z102/Z100,""),"")</f>
        <v/>
      </c>
      <c r="AA70" s="190">
        <f>IF(AND(ISNUMBER(AA102),ISNUMBER(AA100)),IFERROR(AA102/AA100,""),"")</f>
        <v/>
      </c>
      <c r="AB70" s="190">
        <f>IF(AND(ISNUMBER(AB102),ISNUMBER(AB100)),IFERROR(AB102/AB100,""),"")</f>
        <v/>
      </c>
      <c r="AC70" s="190">
        <f>IF(AND(ISNUMBER(AC102),ISNUMBER(AC100)),IFERROR(AC102/AC100,""),"")</f>
        <v/>
      </c>
      <c r="AD70" s="190">
        <f>IF(AND(ISNUMBER(AD102),ISNUMBER(AD100)),IFERROR(AD102/AD100,""),"")</f>
        <v/>
      </c>
      <c r="AE70" s="190">
        <f>IF(AND(ISNUMBER(AE102),ISNUMBER(AE100)),IFERROR(AE102/AE100,""),"")</f>
        <v/>
      </c>
      <c r="AF70" s="190">
        <f>IF(AND(ISNUMBER(AF102),ISNUMBER(AF100)),IFERROR(AF102/AF100,""),"")</f>
        <v/>
      </c>
      <c r="AG70" s="190">
        <f>IF(AND(ISNUMBER(AG102),ISNUMBER(AG100)),IFERROR(AG102/AG100,""),"")</f>
        <v/>
      </c>
      <c r="AH70" s="190">
        <f>IF(AND(ISNUMBER(AH102),ISNUMBER(AH100)),IFERROR(AH102/AH100,""),"")</f>
        <v/>
      </c>
      <c r="AI70" s="190">
        <f>IF(AND(ISNUMBER(AI102),ISNUMBER(AI100)),IFERROR(AI102/AI100,""),"")</f>
        <v/>
      </c>
      <c r="AJ70" s="190">
        <f>IF(AND(ISNUMBER(AJ102),ISNUMBER(AJ100)),IFERROR(AJ102/AJ100,""),"")</f>
        <v/>
      </c>
      <c r="AK70" s="190">
        <f>IF(AND(ISNUMBER(AK102),ISNUMBER(AK100)),IFERROR(AK102/AK100,""),"")</f>
        <v/>
      </c>
      <c r="AL70" s="190">
        <f>IF(AND(ISNUMBER(AL102),ISNUMBER(AL100)),IFERROR(AL102/AL100,""),"")</f>
        <v/>
      </c>
      <c r="AM70" s="190">
        <f>IF(AND(ISNUMBER(AM102),ISNUMBER(AM100)),IFERROR(AM102/AM100,""),"")</f>
        <v/>
      </c>
      <c r="AN70" s="190">
        <f>IF(AND(ISNUMBER(AN102),ISNUMBER(AN100)),IFERROR(AN102/AN100,""),"")</f>
        <v/>
      </c>
      <c r="AO70" s="190">
        <f>IF(AND(ISNUMBER(AO102),ISNUMBER(AO100)),IFERROR(AO102/AO100,""),"")</f>
        <v/>
      </c>
      <c r="AP70" s="190">
        <f>IF(AND(ISNUMBER(AP102),ISNUMBER(AP100)),IFERROR(AP102/AP100,""),"")</f>
        <v/>
      </c>
      <c r="AQ70" s="190">
        <f>IF(AND(ISNUMBER(AQ102),ISNUMBER(AQ100)),IFERROR(AQ102/AQ100,""),"")</f>
        <v/>
      </c>
      <c r="AR70" s="190">
        <f>IF(AND(ISNUMBER(AR102),ISNUMBER(AR100)),IFERROR(AR102/AR100,""),"")</f>
        <v/>
      </c>
      <c r="AS70" s="190">
        <f>IF(AND(ISNUMBER(AS102),ISNUMBER(AS100)),IFERROR(AS102/AS100,""),"")</f>
        <v/>
      </c>
      <c r="AT70" s="190">
        <f>IF(AND(ISNUMBER(AT102),ISNUMBER(AT100)),IFERROR(AT102/AT100,""),"")</f>
        <v/>
      </c>
      <c r="AU70" s="190">
        <f>IF(AND(ISNUMBER(AU102),ISNUMBER(AU100)),IFERROR(AU102/AU100,""),"")</f>
        <v/>
      </c>
      <c r="AV70" s="190">
        <f>IF(AND(ISNUMBER(AV102),ISNUMBER(AV100)),IFERROR(AV102/AV100,""),"")</f>
        <v/>
      </c>
      <c r="AW70" s="190">
        <f>IF(AND(ISNUMBER(AW102),ISNUMBER(AW100)),IFERROR(AW102/AW100,""),"")</f>
        <v/>
      </c>
      <c r="AX70" s="190">
        <f>IF(AND(ISNUMBER(AX102),ISNUMBER(AX100)),IFERROR(AX102/AX100,""),"")</f>
        <v/>
      </c>
      <c r="AY70" s="190">
        <f>IF(AND(ISNUMBER(AY102),ISNUMBER(AY100)),IFERROR(AY102/AY100,""),"")</f>
        <v/>
      </c>
      <c r="AZ70" s="190">
        <f>IF(AND(ISNUMBER(AZ102),ISNUMBER(AZ100)),IFERROR(AZ102/AZ100,""),"")</f>
        <v/>
      </c>
      <c r="BA70" s="190">
        <f>IF(AND(ISNUMBER(BA102),ISNUMBER(BA100)),IFERROR(BA102/BA100,""),"")</f>
        <v/>
      </c>
      <c r="BB70" s="190">
        <f>IF(AND(ISNUMBER(BB102),ISNUMBER(BB100)),IFERROR(BB102/BB100,""),"")</f>
        <v/>
      </c>
      <c r="BC70" s="190">
        <f>IF(AND(ISNUMBER(BC102),ISNUMBER(BC100)),IFERROR(BC102/BC100,""),"")</f>
        <v/>
      </c>
      <c r="BD70" s="190">
        <f>IF(AND(ISNUMBER(BD102),ISNUMBER(BD100)),IFERROR(BD102/BD100,""),"")</f>
        <v/>
      </c>
      <c r="BE70" s="190">
        <f>IF(AND(ISNUMBER(BE102),ISNUMBER(BE100)),IFERROR(BE102/BE100,""),"")</f>
        <v/>
      </c>
      <c r="BF70" s="190">
        <f>IF(AND(ISNUMBER(BF102),ISNUMBER(BF100)),IFERROR(BF102/BF100,""),"")</f>
        <v/>
      </c>
      <c r="BG70" s="190">
        <f>IF(AND(ISNUMBER(BG102),ISNUMBER(BG100)),IFERROR(BG102/BG100,""),"")</f>
        <v/>
      </c>
      <c r="BH70" s="190">
        <f>IF(AND(ISNUMBER(BH102),ISNUMBER(BH100)),IFERROR(BH102/BH100,""),"")</f>
        <v/>
      </c>
      <c r="BI70" s="190">
        <f>IF(AND(ISNUMBER(BI102),ISNUMBER(BI100)),IFERROR(BI102/BI100,""),"")</f>
        <v/>
      </c>
      <c r="BJ70" s="190">
        <f>IF(AND(ISNUMBER(BJ102),ISNUMBER(BJ100)),IFERROR(BJ102/BJ100,""),"")</f>
        <v/>
      </c>
      <c r="BK70" s="190">
        <f>IF(AND(ISNUMBER(BK102),ISNUMBER(BK100)),IFERROR(BK102/BK100,""),"")</f>
        <v/>
      </c>
      <c r="BL70" s="190">
        <f>IF(AND(ISNUMBER(BL102),ISNUMBER(BL100)),IFERROR(BL102/BL100,""),"")</f>
        <v/>
      </c>
      <c r="BM70" s="190">
        <f>IF(AND(ISNUMBER(BM102),ISNUMBER(BM100)),IFERROR(BM102/BM100,""),"")</f>
        <v/>
      </c>
      <c r="BN70" s="190">
        <f>IF(AND(ISNUMBER(BN102),ISNUMBER(BN100)),IFERROR(BN102/BN100,""),"")</f>
        <v/>
      </c>
      <c r="BO70" s="190">
        <f>IF(AND(ISNUMBER(BO102),ISNUMBER(BO100)),IFERROR(BO102/BO100,""),"")</f>
        <v/>
      </c>
      <c r="BP70" s="190">
        <f>IF(AND(ISNUMBER(BP102),ISNUMBER(BP100)),IFERROR(BP102/BP100,""),"")</f>
        <v/>
      </c>
      <c r="BQ70" s="190">
        <f>IF(AND(ISNUMBER(BQ102),ISNUMBER(BQ100)),IFERROR(BQ102/BQ100,""),"")</f>
        <v/>
      </c>
      <c r="BR70" s="190">
        <f>IF(AND(ISNUMBER(BR102),ISNUMBER(BR100)),IFERROR(BR102/BR100,""),"")</f>
        <v/>
      </c>
      <c r="BS70" s="190">
        <f>IF(AND(ISNUMBER(BS102),ISNUMBER(BS100)),IFERROR(BS102/BS100,""),"")</f>
        <v/>
      </c>
      <c r="BT70" s="190">
        <f>IF(AND(ISNUMBER(BT102),ISNUMBER(BT100)),IFERROR(BT102/BT100,""),"")</f>
        <v/>
      </c>
      <c r="BU70" s="190">
        <f>IF(AND(ISNUMBER(BU102),ISNUMBER(BU100)),IFERROR(BU102/BU100,""),"")</f>
        <v/>
      </c>
      <c r="BV70" s="190">
        <f>IF(AND(ISNUMBER(BV102),ISNUMBER(BV100)),IFERROR(BV102/BV100,""),"")</f>
        <v/>
      </c>
      <c r="BW70" s="190">
        <f>IF(AND(ISNUMBER(BW102),ISNUMBER(BW100)),IFERROR(BW102/BW100,""),"")</f>
        <v/>
      </c>
      <c r="BX70" s="190">
        <f>IF(AND(ISNUMBER(BX102),ISNUMBER(BX100)),IFERROR(BX102/BX100,""),"")</f>
        <v/>
      </c>
      <c r="BY70" s="181">
        <f>BY71*(1+BY87)</f>
        <v/>
      </c>
      <c r="BZ70" s="181">
        <f>BZ71*(1+BZ87)</f>
        <v/>
      </c>
      <c r="CA70" s="181">
        <f>IF(AND(ISNUMBER(CA102),ISNUMBER(CA100)),IFERROR(CA102/CA100,""),"")</f>
        <v/>
      </c>
      <c r="CB70" s="181">
        <f>$CA$70*CB89</f>
        <v/>
      </c>
      <c r="CC70" s="181">
        <f>$CA$70*CC89</f>
        <v/>
      </c>
      <c r="CD70" s="181">
        <f>$CA$70*CD89</f>
        <v/>
      </c>
      <c r="CE70" s="181">
        <f>$CA$70*CE89</f>
        <v/>
      </c>
      <c r="CF70" s="6" t="n"/>
      <c r="CH70" s="39">
        <f>IFERROR(AVERAGE(CA70,CB70,CC70,CD70,CE70),"n/m")</f>
        <v/>
      </c>
      <c r="CI70" s="39">
        <f>IFERROR(AVERAGE(BB70,BG70,BL70,BQ70,BV70),"n/m")</f>
        <v/>
      </c>
      <c r="CJ70" s="39">
        <f>IFERROR(AVERAGE(AC70,AH70,AM70,AR70,AW70,BB70,BG70,BL70,BQ70,BV70),"n/m")</f>
        <v/>
      </c>
      <c r="CK70" s="39">
        <f>IFERROR(AVERAGE(C70,D70,E70,F70,G70,H70,I70,N70,S70,X70,AC70,AH70,AM70,AR70,AW70,BB70,BG70,BL70,BQ70,BV70),"n/m")</f>
        <v/>
      </c>
    </row>
    <row r="71" hidden="1" outlineLevel="1" ht="15" customHeight="1">
      <c r="B71" s="26" t="inlineStr">
        <is>
          <t xml:space="preserve">    before calibration (Q3/Q4-26E helper: prior-year quarter + 1H/26 y/y drift)</t>
        </is>
      </c>
      <c r="C71" s="38" t="n"/>
      <c r="D71" s="38" t="n"/>
      <c r="E71" s="38" t="n"/>
      <c r="F71" s="38" t="n"/>
      <c r="G71" s="38" t="n"/>
      <c r="H71" s="38" t="n"/>
      <c r="I71" s="38" t="n"/>
      <c r="J71" s="38" t="n"/>
      <c r="K71" s="38" t="n"/>
      <c r="L71" s="38" t="n"/>
      <c r="M71" s="38" t="n"/>
      <c r="N71" s="38" t="n"/>
      <c r="O71" s="38" t="n"/>
      <c r="P71" s="38" t="n"/>
      <c r="Q71" s="38" t="n"/>
      <c r="R71" s="38" t="n"/>
      <c r="S71" s="38" t="n"/>
      <c r="T71" s="38" t="n"/>
      <c r="U71" s="38" t="n"/>
      <c r="V71" s="38" t="n"/>
      <c r="W71" s="38" t="n"/>
      <c r="X71" s="38" t="n"/>
      <c r="Y71" s="38" t="n"/>
      <c r="Z71" s="38" t="n"/>
      <c r="AA71" s="38" t="n"/>
      <c r="AB71" s="38" t="n"/>
      <c r="AC71" s="38" t="n"/>
      <c r="AD71" s="38" t="n"/>
      <c r="AE71" s="38" t="n"/>
      <c r="AF71" s="38" t="n"/>
      <c r="AG71" s="38" t="n"/>
      <c r="AH71" s="38" t="n"/>
      <c r="AI71" s="38" t="n"/>
      <c r="AJ71" s="38" t="n"/>
      <c r="AK71" s="38" t="n"/>
      <c r="AL71" s="38" t="n"/>
      <c r="AM71" s="38" t="n"/>
      <c r="AN71" s="38" t="n"/>
      <c r="AO71" s="38" t="n"/>
      <c r="AP71" s="38" t="n"/>
      <c r="AQ71" s="38" t="n"/>
      <c r="AR71" s="38" t="n"/>
      <c r="AS71" s="38" t="n"/>
      <c r="AT71" s="38" t="n"/>
      <c r="AU71" s="38" t="n"/>
      <c r="AV71" s="38" t="n"/>
      <c r="AW71" s="38" t="n"/>
      <c r="AX71" s="38" t="n"/>
      <c r="AY71" s="38" t="n"/>
      <c r="AZ71" s="38" t="n"/>
      <c r="BA71" s="38" t="n"/>
      <c r="BB71" s="38" t="n"/>
      <c r="BC71" s="38" t="n"/>
      <c r="BD71" s="38" t="n"/>
      <c r="BE71" s="38" t="n"/>
      <c r="BF71" s="38" t="n"/>
      <c r="BG71" s="38" t="n"/>
      <c r="BH71" s="38" t="n"/>
      <c r="BI71" s="38" t="n"/>
      <c r="BJ71" s="38" t="n"/>
      <c r="BK71" s="38" t="n"/>
      <c r="BL71" s="38" t="n"/>
      <c r="BM71" s="38" t="n"/>
      <c r="BN71" s="38" t="n"/>
      <c r="BO71" s="38" t="n"/>
      <c r="BP71" s="38" t="n"/>
      <c r="BQ71" s="38" t="n"/>
      <c r="BR71" s="38" t="n"/>
      <c r="BS71" s="38" t="n"/>
      <c r="BT71" s="38" t="n"/>
      <c r="BU71" s="38" t="n"/>
      <c r="BV71" s="38" t="n"/>
      <c r="BW71" s="38" t="n"/>
      <c r="BX71" s="38" t="n"/>
      <c r="BY71" s="181">
        <f>BT70+((BW102+BX102)/(BW100+BX100)-(BR102+BS102)/(BR100+BS100))</f>
        <v/>
      </c>
      <c r="BZ71" s="181">
        <f>BU70+((BW102+BX102)/(BW100+BX100)-(BR102+BS102)/(BR100+BS100))</f>
        <v/>
      </c>
      <c r="CA71" s="25" t="n"/>
      <c r="CB71" s="25" t="n"/>
      <c r="CC71" s="25" t="n"/>
      <c r="CD71" s="25" t="n"/>
      <c r="CE71" s="25" t="n"/>
      <c r="CF71" s="6" t="n"/>
    </row>
    <row r="72" collapsed="1" ht="15" customHeight="1">
      <c r="B72" s="26" t="inlineStr">
        <is>
          <t xml:space="preserve">  General supplies &amp; expenses % of revenue</t>
        </is>
      </c>
      <c r="C72" s="190">
        <f>IF(AND(ISNUMBER(C103),ISNUMBER(C100)),IFERROR(C103/C100,""),"")</f>
        <v/>
      </c>
      <c r="D72" s="190">
        <f>IF(AND(ISNUMBER(D103),ISNUMBER(D100)),IFERROR(D103/D100,""),"")</f>
        <v/>
      </c>
      <c r="E72" s="190">
        <f>IF(AND(ISNUMBER(E103),ISNUMBER(E100)),IFERROR(E103/E100,""),"")</f>
        <v/>
      </c>
      <c r="F72" s="190">
        <f>IF(AND(ISNUMBER(F103),ISNUMBER(F100)),IFERROR(F103/F100,""),"")</f>
        <v/>
      </c>
      <c r="G72" s="190">
        <f>IF(AND(ISNUMBER(G103),ISNUMBER(G100)),IFERROR(G103/G100,""),"")</f>
        <v/>
      </c>
      <c r="H72" s="190">
        <f>IF(AND(ISNUMBER(H103),ISNUMBER(H100)),IFERROR(H103/H100,""),"")</f>
        <v/>
      </c>
      <c r="I72" s="190">
        <f>IF(AND(ISNUMBER(I103),ISNUMBER(I100)),IFERROR(I103/I100,""),"")</f>
        <v/>
      </c>
      <c r="J72" s="190">
        <f>IF(AND(ISNUMBER(J103),ISNUMBER(J100)),IFERROR(J103/J100,""),"")</f>
        <v/>
      </c>
      <c r="K72" s="190">
        <f>IF(AND(ISNUMBER(K103),ISNUMBER(K100)),IFERROR(K103/K100,""),"")</f>
        <v/>
      </c>
      <c r="L72" s="190">
        <f>IF(AND(ISNUMBER(L103),ISNUMBER(L100)),IFERROR(L103/L100,""),"")</f>
        <v/>
      </c>
      <c r="M72" s="190">
        <f>IF(AND(ISNUMBER(M103),ISNUMBER(M100)),IFERROR(M103/M100,""),"")</f>
        <v/>
      </c>
      <c r="N72" s="190">
        <f>IF(AND(ISNUMBER(N103),ISNUMBER(N100)),IFERROR(N103/N100,""),"")</f>
        <v/>
      </c>
      <c r="O72" s="190">
        <f>IF(AND(ISNUMBER(O103),ISNUMBER(O100)),IFERROR(O103/O100,""),"")</f>
        <v/>
      </c>
      <c r="P72" s="190">
        <f>IF(AND(ISNUMBER(P103),ISNUMBER(P100)),IFERROR(P103/P100,""),"")</f>
        <v/>
      </c>
      <c r="Q72" s="190">
        <f>IF(AND(ISNUMBER(Q103),ISNUMBER(Q100)),IFERROR(Q103/Q100,""),"")</f>
        <v/>
      </c>
      <c r="R72" s="190">
        <f>IF(AND(ISNUMBER(R103),ISNUMBER(R100)),IFERROR(R103/R100,""),"")</f>
        <v/>
      </c>
      <c r="S72" s="190">
        <f>IF(AND(ISNUMBER(S103),ISNUMBER(S100)),IFERROR(S103/S100,""),"")</f>
        <v/>
      </c>
      <c r="T72" s="190">
        <f>IF(AND(ISNUMBER(T103),ISNUMBER(T100)),IFERROR(T103/T100,""),"")</f>
        <v/>
      </c>
      <c r="U72" s="190">
        <f>IF(AND(ISNUMBER(U103),ISNUMBER(U100)),IFERROR(U103/U100,""),"")</f>
        <v/>
      </c>
      <c r="V72" s="190">
        <f>IF(AND(ISNUMBER(V103),ISNUMBER(V100)),IFERROR(V103/V100,""),"")</f>
        <v/>
      </c>
      <c r="W72" s="190">
        <f>IF(AND(ISNUMBER(W103),ISNUMBER(W100)),IFERROR(W103/W100,""),"")</f>
        <v/>
      </c>
      <c r="X72" s="190">
        <f>IF(AND(ISNUMBER(X103),ISNUMBER(X100)),IFERROR(X103/X100,""),"")</f>
        <v/>
      </c>
      <c r="Y72" s="190">
        <f>IF(AND(ISNUMBER(Y103),ISNUMBER(Y100)),IFERROR(Y103/Y100,""),"")</f>
        <v/>
      </c>
      <c r="Z72" s="190">
        <f>IF(AND(ISNUMBER(Z103),ISNUMBER(Z100)),IFERROR(Z103/Z100,""),"")</f>
        <v/>
      </c>
      <c r="AA72" s="190">
        <f>IF(AND(ISNUMBER(AA103),ISNUMBER(AA100)),IFERROR(AA103/AA100,""),"")</f>
        <v/>
      </c>
      <c r="AB72" s="190">
        <f>IF(AND(ISNUMBER(AB103),ISNUMBER(AB100)),IFERROR(AB103/AB100,""),"")</f>
        <v/>
      </c>
      <c r="AC72" s="190">
        <f>IF(AND(ISNUMBER(AC103),ISNUMBER(AC100)),IFERROR(AC103/AC100,""),"")</f>
        <v/>
      </c>
      <c r="AD72" s="190">
        <f>IF(AND(ISNUMBER(AD103),ISNUMBER(AD100)),IFERROR(AD103/AD100,""),"")</f>
        <v/>
      </c>
      <c r="AE72" s="190">
        <f>IF(AND(ISNUMBER(AE103),ISNUMBER(AE100)),IFERROR(AE103/AE100,""),"")</f>
        <v/>
      </c>
      <c r="AF72" s="190">
        <f>IF(AND(ISNUMBER(AF103),ISNUMBER(AF100)),IFERROR(AF103/AF100,""),"")</f>
        <v/>
      </c>
      <c r="AG72" s="190">
        <f>IF(AND(ISNUMBER(AG103),ISNUMBER(AG100)),IFERROR(AG103/AG100,""),"")</f>
        <v/>
      </c>
      <c r="AH72" s="190">
        <f>IF(AND(ISNUMBER(AH103),ISNUMBER(AH100)),IFERROR(AH103/AH100,""),"")</f>
        <v/>
      </c>
      <c r="AI72" s="190">
        <f>IF(AND(ISNUMBER(AI103),ISNUMBER(AI100)),IFERROR(AI103/AI100,""),"")</f>
        <v/>
      </c>
      <c r="AJ72" s="190">
        <f>IF(AND(ISNUMBER(AJ103),ISNUMBER(AJ100)),IFERROR(AJ103/AJ100,""),"")</f>
        <v/>
      </c>
      <c r="AK72" s="190">
        <f>IF(AND(ISNUMBER(AK103),ISNUMBER(AK100)),IFERROR(AK103/AK100,""),"")</f>
        <v/>
      </c>
      <c r="AL72" s="190">
        <f>IF(AND(ISNUMBER(AL103),ISNUMBER(AL100)),IFERROR(AL103/AL100,""),"")</f>
        <v/>
      </c>
      <c r="AM72" s="190">
        <f>IF(AND(ISNUMBER(AM103),ISNUMBER(AM100)),IFERROR(AM103/AM100,""),"")</f>
        <v/>
      </c>
      <c r="AN72" s="190">
        <f>IF(AND(ISNUMBER(AN103),ISNUMBER(AN100)),IFERROR(AN103/AN100,""),"")</f>
        <v/>
      </c>
      <c r="AO72" s="190">
        <f>IF(AND(ISNUMBER(AO103),ISNUMBER(AO100)),IFERROR(AO103/AO100,""),"")</f>
        <v/>
      </c>
      <c r="AP72" s="190">
        <f>IF(AND(ISNUMBER(AP103),ISNUMBER(AP100)),IFERROR(AP103/AP100,""),"")</f>
        <v/>
      </c>
      <c r="AQ72" s="190">
        <f>IF(AND(ISNUMBER(AQ103),ISNUMBER(AQ100)),IFERROR(AQ103/AQ100,""),"")</f>
        <v/>
      </c>
      <c r="AR72" s="190">
        <f>IF(AND(ISNUMBER(AR103),ISNUMBER(AR100)),IFERROR(AR103/AR100,""),"")</f>
        <v/>
      </c>
      <c r="AS72" s="190">
        <f>IF(AND(ISNUMBER(AS103),ISNUMBER(AS100)),IFERROR(AS103/AS100,""),"")</f>
        <v/>
      </c>
      <c r="AT72" s="190">
        <f>IF(AND(ISNUMBER(AT103),ISNUMBER(AT100)),IFERROR(AT103/AT100,""),"")</f>
        <v/>
      </c>
      <c r="AU72" s="190">
        <f>IF(AND(ISNUMBER(AU103),ISNUMBER(AU100)),IFERROR(AU103/AU100,""),"")</f>
        <v/>
      </c>
      <c r="AV72" s="190">
        <f>IF(AND(ISNUMBER(AV103),ISNUMBER(AV100)),IFERROR(AV103/AV100,""),"")</f>
        <v/>
      </c>
      <c r="AW72" s="190">
        <f>IF(AND(ISNUMBER(AW103),ISNUMBER(AW100)),IFERROR(AW103/AW100,""),"")</f>
        <v/>
      </c>
      <c r="AX72" s="190">
        <f>IF(AND(ISNUMBER(AX103),ISNUMBER(AX100)),IFERROR(AX103/AX100,""),"")</f>
        <v/>
      </c>
      <c r="AY72" s="190">
        <f>IF(AND(ISNUMBER(AY103),ISNUMBER(AY100)),IFERROR(AY103/AY100,""),"")</f>
        <v/>
      </c>
      <c r="AZ72" s="190">
        <f>IF(AND(ISNUMBER(AZ103),ISNUMBER(AZ100)),IFERROR(AZ103/AZ100,""),"")</f>
        <v/>
      </c>
      <c r="BA72" s="190">
        <f>IF(AND(ISNUMBER(BA103),ISNUMBER(BA100)),IFERROR(BA103/BA100,""),"")</f>
        <v/>
      </c>
      <c r="BB72" s="190">
        <f>IF(AND(ISNUMBER(BB103),ISNUMBER(BB100)),IFERROR(BB103/BB100,""),"")</f>
        <v/>
      </c>
      <c r="BC72" s="190">
        <f>IF(AND(ISNUMBER(BC103),ISNUMBER(BC100)),IFERROR(BC103/BC100,""),"")</f>
        <v/>
      </c>
      <c r="BD72" s="190">
        <f>IF(AND(ISNUMBER(BD103),ISNUMBER(BD100)),IFERROR(BD103/BD100,""),"")</f>
        <v/>
      </c>
      <c r="BE72" s="190">
        <f>IF(AND(ISNUMBER(BE103),ISNUMBER(BE100)),IFERROR(BE103/BE100,""),"")</f>
        <v/>
      </c>
      <c r="BF72" s="190">
        <f>IF(AND(ISNUMBER(BF103),ISNUMBER(BF100)),IFERROR(BF103/BF100,""),"")</f>
        <v/>
      </c>
      <c r="BG72" s="190">
        <f>IF(AND(ISNUMBER(BG103),ISNUMBER(BG100)),IFERROR(BG103/BG100,""),"")</f>
        <v/>
      </c>
      <c r="BH72" s="190">
        <f>IF(AND(ISNUMBER(BH103),ISNUMBER(BH100)),IFERROR(BH103/BH100,""),"")</f>
        <v/>
      </c>
      <c r="BI72" s="190">
        <f>IF(AND(ISNUMBER(BI103),ISNUMBER(BI100)),IFERROR(BI103/BI100,""),"")</f>
        <v/>
      </c>
      <c r="BJ72" s="190">
        <f>IF(AND(ISNUMBER(BJ103),ISNUMBER(BJ100)),IFERROR(BJ103/BJ100,""),"")</f>
        <v/>
      </c>
      <c r="BK72" s="190">
        <f>IF(AND(ISNUMBER(BK103),ISNUMBER(BK100)),IFERROR(BK103/BK100,""),"")</f>
        <v/>
      </c>
      <c r="BL72" s="190">
        <f>IF(AND(ISNUMBER(BL103),ISNUMBER(BL100)),IFERROR(BL103/BL100,""),"")</f>
        <v/>
      </c>
      <c r="BM72" s="190">
        <f>IF(AND(ISNUMBER(BM103),ISNUMBER(BM100)),IFERROR(BM103/BM100,""),"")</f>
        <v/>
      </c>
      <c r="BN72" s="190">
        <f>IF(AND(ISNUMBER(BN103),ISNUMBER(BN100)),IFERROR(BN103/BN100,""),"")</f>
        <v/>
      </c>
      <c r="BO72" s="190">
        <f>IF(AND(ISNUMBER(BO103),ISNUMBER(BO100)),IFERROR(BO103/BO100,""),"")</f>
        <v/>
      </c>
      <c r="BP72" s="190">
        <f>IF(AND(ISNUMBER(BP103),ISNUMBER(BP100)),IFERROR(BP103/BP100,""),"")</f>
        <v/>
      </c>
      <c r="BQ72" s="190">
        <f>IF(AND(ISNUMBER(BQ103),ISNUMBER(BQ100)),IFERROR(BQ103/BQ100,""),"")</f>
        <v/>
      </c>
      <c r="BR72" s="190">
        <f>IF(AND(ISNUMBER(BR103),ISNUMBER(BR100)),IFERROR(BR103/BR100,""),"")</f>
        <v/>
      </c>
      <c r="BS72" s="190">
        <f>IF(AND(ISNUMBER(BS103),ISNUMBER(BS100)),IFERROR(BS103/BS100,""),"")</f>
        <v/>
      </c>
      <c r="BT72" s="190">
        <f>IF(AND(ISNUMBER(BT103),ISNUMBER(BT100)),IFERROR(BT103/BT100,""),"")</f>
        <v/>
      </c>
      <c r="BU72" s="190">
        <f>IF(AND(ISNUMBER(BU103),ISNUMBER(BU100)),IFERROR(BU103/BU100,""),"")</f>
        <v/>
      </c>
      <c r="BV72" s="190">
        <f>IF(AND(ISNUMBER(BV103),ISNUMBER(BV100)),IFERROR(BV103/BV100,""),"")</f>
        <v/>
      </c>
      <c r="BW72" s="190">
        <f>IF(AND(ISNUMBER(BW103),ISNUMBER(BW100)),IFERROR(BW103/BW100,""),"")</f>
        <v/>
      </c>
      <c r="BX72" s="190">
        <f>IF(AND(ISNUMBER(BX103),ISNUMBER(BX100)),IFERROR(BX103/BX100,""),"")</f>
        <v/>
      </c>
      <c r="BY72" s="181">
        <f>BY73*(1+BY87)</f>
        <v/>
      </c>
      <c r="BZ72" s="181">
        <f>BZ73*(1+BZ87)</f>
        <v/>
      </c>
      <c r="CA72" s="181">
        <f>IF(AND(ISNUMBER(CA103),ISNUMBER(CA100)),IFERROR(CA103/CA100,""),"")</f>
        <v/>
      </c>
      <c r="CB72" s="181">
        <f>$CA$72*CB89</f>
        <v/>
      </c>
      <c r="CC72" s="181">
        <f>$CA$72*CC89</f>
        <v/>
      </c>
      <c r="CD72" s="181">
        <f>$CA$72*CD89</f>
        <v/>
      </c>
      <c r="CE72" s="181">
        <f>$CA$72*CE89</f>
        <v/>
      </c>
      <c r="CF72" s="6" t="n"/>
      <c r="CH72" s="39">
        <f>IFERROR(AVERAGE(CA72,CB72,CC72,CD72,CE72),"n/m")</f>
        <v/>
      </c>
      <c r="CI72" s="39">
        <f>IFERROR(AVERAGE(BB72,BG72,BL72,BQ72,BV72),"n/m")</f>
        <v/>
      </c>
      <c r="CJ72" s="39">
        <f>IFERROR(AVERAGE(AC72,AH72,AM72,AR72,AW72,BB72,BG72,BL72,BQ72,BV72),"n/m")</f>
        <v/>
      </c>
      <c r="CK72" s="39">
        <f>IFERROR(AVERAGE(C72,D72,E72,F72,G72,H72,I72,N72,S72,X72,AC72,AH72,AM72,AR72,AW72,BB72,BG72,BL72,BQ72,BV72),"n/m")</f>
        <v/>
      </c>
    </row>
    <row r="73" hidden="1" outlineLevel="1" ht="15" customHeight="1">
      <c r="B73" s="26" t="inlineStr">
        <is>
          <t xml:space="preserve">    before calibration (Q3/Q4-26E helper: prior-year quarter + 1H/26 y/y drift)</t>
        </is>
      </c>
      <c r="C73" s="38" t="n"/>
      <c r="D73" s="38" t="n"/>
      <c r="E73" s="38" t="n"/>
      <c r="F73" s="38" t="n"/>
      <c r="G73" s="38" t="n"/>
      <c r="H73" s="38" t="n"/>
      <c r="I73" s="38" t="n"/>
      <c r="J73" s="38" t="n"/>
      <c r="K73" s="38" t="n"/>
      <c r="L73" s="38" t="n"/>
      <c r="M73" s="38" t="n"/>
      <c r="N73" s="38" t="n"/>
      <c r="O73" s="38" t="n"/>
      <c r="P73" s="38" t="n"/>
      <c r="Q73" s="38" t="n"/>
      <c r="R73" s="38" t="n"/>
      <c r="S73" s="38" t="n"/>
      <c r="T73" s="38" t="n"/>
      <c r="U73" s="38" t="n"/>
      <c r="V73" s="38" t="n"/>
      <c r="W73" s="38" t="n"/>
      <c r="X73" s="38" t="n"/>
      <c r="Y73" s="38" t="n"/>
      <c r="Z73" s="38" t="n"/>
      <c r="AA73" s="38" t="n"/>
      <c r="AB73" s="38" t="n"/>
      <c r="AC73" s="38" t="n"/>
      <c r="AD73" s="38" t="n"/>
      <c r="AE73" s="38" t="n"/>
      <c r="AF73" s="38" t="n"/>
      <c r="AG73" s="38" t="n"/>
      <c r="AH73" s="38" t="n"/>
      <c r="AI73" s="38" t="n"/>
      <c r="AJ73" s="38" t="n"/>
      <c r="AK73" s="38" t="n"/>
      <c r="AL73" s="38" t="n"/>
      <c r="AM73" s="38" t="n"/>
      <c r="AN73" s="38" t="n"/>
      <c r="AO73" s="38" t="n"/>
      <c r="AP73" s="38" t="n"/>
      <c r="AQ73" s="38" t="n"/>
      <c r="AR73" s="38" t="n"/>
      <c r="AS73" s="38" t="n"/>
      <c r="AT73" s="38" t="n"/>
      <c r="AU73" s="38" t="n"/>
      <c r="AV73" s="38" t="n"/>
      <c r="AW73" s="38" t="n"/>
      <c r="AX73" s="38" t="n"/>
      <c r="AY73" s="38" t="n"/>
      <c r="AZ73" s="38" t="n"/>
      <c r="BA73" s="38" t="n"/>
      <c r="BB73" s="38" t="n"/>
      <c r="BC73" s="38" t="n"/>
      <c r="BD73" s="38" t="n"/>
      <c r="BE73" s="38" t="n"/>
      <c r="BF73" s="38" t="n"/>
      <c r="BG73" s="38" t="n"/>
      <c r="BH73" s="38" t="n"/>
      <c r="BI73" s="38" t="n"/>
      <c r="BJ73" s="38" t="n"/>
      <c r="BK73" s="38" t="n"/>
      <c r="BL73" s="38" t="n"/>
      <c r="BM73" s="38" t="n"/>
      <c r="BN73" s="38" t="n"/>
      <c r="BO73" s="38" t="n"/>
      <c r="BP73" s="38" t="n"/>
      <c r="BQ73" s="38" t="n"/>
      <c r="BR73" s="38" t="n"/>
      <c r="BS73" s="38" t="n"/>
      <c r="BT73" s="38" t="n"/>
      <c r="BU73" s="38" t="n"/>
      <c r="BV73" s="38" t="n"/>
      <c r="BW73" s="38" t="n"/>
      <c r="BX73" s="38" t="n"/>
      <c r="BY73" s="181">
        <f>BT72+((BW103+BX103)/(BW100+BX100)-(BR103+BS103)/(BR100+BS100))</f>
        <v/>
      </c>
      <c r="BZ73" s="181">
        <f>BU72+((BW103+BX103)/(BW100+BX100)-(BR103+BS103)/(BR100+BS100))</f>
        <v/>
      </c>
      <c r="CA73" s="25" t="n"/>
      <c r="CB73" s="25" t="n"/>
      <c r="CC73" s="25" t="n"/>
      <c r="CD73" s="25" t="n"/>
      <c r="CE73" s="25" t="n"/>
      <c r="CF73" s="6" t="n"/>
    </row>
    <row r="74" ht="15" customHeight="1">
      <c r="B74" s="26" t="inlineStr">
        <is>
          <t xml:space="preserve">  Operating taxes &amp; licenses % of revenue</t>
        </is>
      </c>
      <c r="C74" s="190">
        <f>IF(AND(ISNUMBER(C104),ISNUMBER(C100)),IFERROR(C104/C100,""),"")</f>
        <v/>
      </c>
      <c r="D74" s="190">
        <f>IF(AND(ISNUMBER(D104),ISNUMBER(D100)),IFERROR(D104/D100,""),"")</f>
        <v/>
      </c>
      <c r="E74" s="190">
        <f>IF(AND(ISNUMBER(E104),ISNUMBER(E100)),IFERROR(E104/E100,""),"")</f>
        <v/>
      </c>
      <c r="F74" s="190">
        <f>IF(AND(ISNUMBER(F104),ISNUMBER(F100)),IFERROR(F104/F100,""),"")</f>
        <v/>
      </c>
      <c r="G74" s="190">
        <f>IF(AND(ISNUMBER(G104),ISNUMBER(G100)),IFERROR(G104/G100,""),"")</f>
        <v/>
      </c>
      <c r="H74" s="190">
        <f>IF(AND(ISNUMBER(H104),ISNUMBER(H100)),IFERROR(H104/H100,""),"")</f>
        <v/>
      </c>
      <c r="I74" s="190">
        <f>IF(AND(ISNUMBER(I104),ISNUMBER(I100)),IFERROR(I104/I100,""),"")</f>
        <v/>
      </c>
      <c r="J74" s="190">
        <f>IF(AND(ISNUMBER(J104),ISNUMBER(J100)),IFERROR(J104/J100,""),"")</f>
        <v/>
      </c>
      <c r="K74" s="190">
        <f>IF(AND(ISNUMBER(K104),ISNUMBER(K100)),IFERROR(K104/K100,""),"")</f>
        <v/>
      </c>
      <c r="L74" s="190">
        <f>IF(AND(ISNUMBER(L104),ISNUMBER(L100)),IFERROR(L104/L100,""),"")</f>
        <v/>
      </c>
      <c r="M74" s="190">
        <f>IF(AND(ISNUMBER(M104),ISNUMBER(M100)),IFERROR(M104/M100,""),"")</f>
        <v/>
      </c>
      <c r="N74" s="190">
        <f>IF(AND(ISNUMBER(N104),ISNUMBER(N100)),IFERROR(N104/N100,""),"")</f>
        <v/>
      </c>
      <c r="O74" s="190">
        <f>IF(AND(ISNUMBER(O104),ISNUMBER(O100)),IFERROR(O104/O100,""),"")</f>
        <v/>
      </c>
      <c r="P74" s="190">
        <f>IF(AND(ISNUMBER(P104),ISNUMBER(P100)),IFERROR(P104/P100,""),"")</f>
        <v/>
      </c>
      <c r="Q74" s="190">
        <f>IF(AND(ISNUMBER(Q104),ISNUMBER(Q100)),IFERROR(Q104/Q100,""),"")</f>
        <v/>
      </c>
      <c r="R74" s="190">
        <f>IF(AND(ISNUMBER(R104),ISNUMBER(R100)),IFERROR(R104/R100,""),"")</f>
        <v/>
      </c>
      <c r="S74" s="190">
        <f>IF(AND(ISNUMBER(S104),ISNUMBER(S100)),IFERROR(S104/S100,""),"")</f>
        <v/>
      </c>
      <c r="T74" s="190">
        <f>IF(AND(ISNUMBER(T104),ISNUMBER(T100)),IFERROR(T104/T100,""),"")</f>
        <v/>
      </c>
      <c r="U74" s="190">
        <f>IF(AND(ISNUMBER(U104),ISNUMBER(U100)),IFERROR(U104/U100,""),"")</f>
        <v/>
      </c>
      <c r="V74" s="190">
        <f>IF(AND(ISNUMBER(V104),ISNUMBER(V100)),IFERROR(V104/V100,""),"")</f>
        <v/>
      </c>
      <c r="W74" s="190">
        <f>IF(AND(ISNUMBER(W104),ISNUMBER(W100)),IFERROR(W104/W100,""),"")</f>
        <v/>
      </c>
      <c r="X74" s="190">
        <f>IF(AND(ISNUMBER(X104),ISNUMBER(X100)),IFERROR(X104/X100,""),"")</f>
        <v/>
      </c>
      <c r="Y74" s="190">
        <f>IF(AND(ISNUMBER(Y104),ISNUMBER(Y100)),IFERROR(Y104/Y100,""),"")</f>
        <v/>
      </c>
      <c r="Z74" s="190">
        <f>IF(AND(ISNUMBER(Z104),ISNUMBER(Z100)),IFERROR(Z104/Z100,""),"")</f>
        <v/>
      </c>
      <c r="AA74" s="190">
        <f>IF(AND(ISNUMBER(AA104),ISNUMBER(AA100)),IFERROR(AA104/AA100,""),"")</f>
        <v/>
      </c>
      <c r="AB74" s="190">
        <f>IF(AND(ISNUMBER(AB104),ISNUMBER(AB100)),IFERROR(AB104/AB100,""),"")</f>
        <v/>
      </c>
      <c r="AC74" s="190">
        <f>IF(AND(ISNUMBER(AC104),ISNUMBER(AC100)),IFERROR(AC104/AC100,""),"")</f>
        <v/>
      </c>
      <c r="AD74" s="190">
        <f>IF(AND(ISNUMBER(AD104),ISNUMBER(AD100)),IFERROR(AD104/AD100,""),"")</f>
        <v/>
      </c>
      <c r="AE74" s="190">
        <f>IF(AND(ISNUMBER(AE104),ISNUMBER(AE100)),IFERROR(AE104/AE100,""),"")</f>
        <v/>
      </c>
      <c r="AF74" s="190">
        <f>IF(AND(ISNUMBER(AF104),ISNUMBER(AF100)),IFERROR(AF104/AF100,""),"")</f>
        <v/>
      </c>
      <c r="AG74" s="190">
        <f>IF(AND(ISNUMBER(AG104),ISNUMBER(AG100)),IFERROR(AG104/AG100,""),"")</f>
        <v/>
      </c>
      <c r="AH74" s="190">
        <f>IF(AND(ISNUMBER(AH104),ISNUMBER(AH100)),IFERROR(AH104/AH100,""),"")</f>
        <v/>
      </c>
      <c r="AI74" s="190">
        <f>IF(AND(ISNUMBER(AI104),ISNUMBER(AI100)),IFERROR(AI104/AI100,""),"")</f>
        <v/>
      </c>
      <c r="AJ74" s="190">
        <f>IF(AND(ISNUMBER(AJ104),ISNUMBER(AJ100)),IFERROR(AJ104/AJ100,""),"")</f>
        <v/>
      </c>
      <c r="AK74" s="190">
        <f>IF(AND(ISNUMBER(AK104),ISNUMBER(AK100)),IFERROR(AK104/AK100,""),"")</f>
        <v/>
      </c>
      <c r="AL74" s="190">
        <f>IF(AND(ISNUMBER(AL104),ISNUMBER(AL100)),IFERROR(AL104/AL100,""),"")</f>
        <v/>
      </c>
      <c r="AM74" s="190">
        <f>IF(AND(ISNUMBER(AM104),ISNUMBER(AM100)),IFERROR(AM104/AM100,""),"")</f>
        <v/>
      </c>
      <c r="AN74" s="190">
        <f>IF(AND(ISNUMBER(AN104),ISNUMBER(AN100)),IFERROR(AN104/AN100,""),"")</f>
        <v/>
      </c>
      <c r="AO74" s="190">
        <f>IF(AND(ISNUMBER(AO104),ISNUMBER(AO100)),IFERROR(AO104/AO100,""),"")</f>
        <v/>
      </c>
      <c r="AP74" s="190">
        <f>IF(AND(ISNUMBER(AP104),ISNUMBER(AP100)),IFERROR(AP104/AP100,""),"")</f>
        <v/>
      </c>
      <c r="AQ74" s="190">
        <f>IF(AND(ISNUMBER(AQ104),ISNUMBER(AQ100)),IFERROR(AQ104/AQ100,""),"")</f>
        <v/>
      </c>
      <c r="AR74" s="190">
        <f>IF(AND(ISNUMBER(AR104),ISNUMBER(AR100)),IFERROR(AR104/AR100,""),"")</f>
        <v/>
      </c>
      <c r="AS74" s="190">
        <f>IF(AND(ISNUMBER(AS104),ISNUMBER(AS100)),IFERROR(AS104/AS100,""),"")</f>
        <v/>
      </c>
      <c r="AT74" s="190">
        <f>IF(AND(ISNUMBER(AT104),ISNUMBER(AT100)),IFERROR(AT104/AT100,""),"")</f>
        <v/>
      </c>
      <c r="AU74" s="190">
        <f>IF(AND(ISNUMBER(AU104),ISNUMBER(AU100)),IFERROR(AU104/AU100,""),"")</f>
        <v/>
      </c>
      <c r="AV74" s="190">
        <f>IF(AND(ISNUMBER(AV104),ISNUMBER(AV100)),IFERROR(AV104/AV100,""),"")</f>
        <v/>
      </c>
      <c r="AW74" s="190">
        <f>IF(AND(ISNUMBER(AW104),ISNUMBER(AW100)),IFERROR(AW104/AW100,""),"")</f>
        <v/>
      </c>
      <c r="AX74" s="190">
        <f>IF(AND(ISNUMBER(AX104),ISNUMBER(AX100)),IFERROR(AX104/AX100,""),"")</f>
        <v/>
      </c>
      <c r="AY74" s="190">
        <f>IF(AND(ISNUMBER(AY104),ISNUMBER(AY100)),IFERROR(AY104/AY100,""),"")</f>
        <v/>
      </c>
      <c r="AZ74" s="190">
        <f>IF(AND(ISNUMBER(AZ104),ISNUMBER(AZ100)),IFERROR(AZ104/AZ100,""),"")</f>
        <v/>
      </c>
      <c r="BA74" s="190">
        <f>IF(AND(ISNUMBER(BA104),ISNUMBER(BA100)),IFERROR(BA104/BA100,""),"")</f>
        <v/>
      </c>
      <c r="BB74" s="190">
        <f>IF(AND(ISNUMBER(BB104),ISNUMBER(BB100)),IFERROR(BB104/BB100,""),"")</f>
        <v/>
      </c>
      <c r="BC74" s="190">
        <f>IF(AND(ISNUMBER(BC104),ISNUMBER(BC100)),IFERROR(BC104/BC100,""),"")</f>
        <v/>
      </c>
      <c r="BD74" s="190">
        <f>IF(AND(ISNUMBER(BD104),ISNUMBER(BD100)),IFERROR(BD104/BD100,""),"")</f>
        <v/>
      </c>
      <c r="BE74" s="190">
        <f>IF(AND(ISNUMBER(BE104),ISNUMBER(BE100)),IFERROR(BE104/BE100,""),"")</f>
        <v/>
      </c>
      <c r="BF74" s="190">
        <f>IF(AND(ISNUMBER(BF104),ISNUMBER(BF100)),IFERROR(BF104/BF100,""),"")</f>
        <v/>
      </c>
      <c r="BG74" s="190">
        <f>IF(AND(ISNUMBER(BG104),ISNUMBER(BG100)),IFERROR(BG104/BG100,""),"")</f>
        <v/>
      </c>
      <c r="BH74" s="190">
        <f>IF(AND(ISNUMBER(BH104),ISNUMBER(BH100)),IFERROR(BH104/BH100,""),"")</f>
        <v/>
      </c>
      <c r="BI74" s="190">
        <f>IF(AND(ISNUMBER(BI104),ISNUMBER(BI100)),IFERROR(BI104/BI100,""),"")</f>
        <v/>
      </c>
      <c r="BJ74" s="190">
        <f>IF(AND(ISNUMBER(BJ104),ISNUMBER(BJ100)),IFERROR(BJ104/BJ100,""),"")</f>
        <v/>
      </c>
      <c r="BK74" s="190">
        <f>IF(AND(ISNUMBER(BK104),ISNUMBER(BK100)),IFERROR(BK104/BK100,""),"")</f>
        <v/>
      </c>
      <c r="BL74" s="190">
        <f>IF(AND(ISNUMBER(BL104),ISNUMBER(BL100)),IFERROR(BL104/BL100,""),"")</f>
        <v/>
      </c>
      <c r="BM74" s="190">
        <f>IF(AND(ISNUMBER(BM104),ISNUMBER(BM100)),IFERROR(BM104/BM100,""),"")</f>
        <v/>
      </c>
      <c r="BN74" s="190">
        <f>IF(AND(ISNUMBER(BN104),ISNUMBER(BN100)),IFERROR(BN104/BN100,""),"")</f>
        <v/>
      </c>
      <c r="BO74" s="190">
        <f>IF(AND(ISNUMBER(BO104),ISNUMBER(BO100)),IFERROR(BO104/BO100,""),"")</f>
        <v/>
      </c>
      <c r="BP74" s="190">
        <f>IF(AND(ISNUMBER(BP104),ISNUMBER(BP100)),IFERROR(BP104/BP100,""),"")</f>
        <v/>
      </c>
      <c r="BQ74" s="190">
        <f>IF(AND(ISNUMBER(BQ104),ISNUMBER(BQ100)),IFERROR(BQ104/BQ100,""),"")</f>
        <v/>
      </c>
      <c r="BR74" s="190">
        <f>IF(AND(ISNUMBER(BR104),ISNUMBER(BR100)),IFERROR(BR104/BR100,""),"")</f>
        <v/>
      </c>
      <c r="BS74" s="190">
        <f>IF(AND(ISNUMBER(BS104),ISNUMBER(BS100)),IFERROR(BS104/BS100,""),"")</f>
        <v/>
      </c>
      <c r="BT74" s="190">
        <f>IF(AND(ISNUMBER(BT104),ISNUMBER(BT100)),IFERROR(BT104/BT100,""),"")</f>
        <v/>
      </c>
      <c r="BU74" s="190">
        <f>IF(AND(ISNUMBER(BU104),ISNUMBER(BU100)),IFERROR(BU104/BU100,""),"")</f>
        <v/>
      </c>
      <c r="BV74" s="190">
        <f>IF(AND(ISNUMBER(BV104),ISNUMBER(BV100)),IFERROR(BV104/BV100,""),"")</f>
        <v/>
      </c>
      <c r="BW74" s="190">
        <f>IF(AND(ISNUMBER(BW104),ISNUMBER(BW100)),IFERROR(BW104/BW100,""),"")</f>
        <v/>
      </c>
      <c r="BX74" s="190">
        <f>IF(AND(ISNUMBER(BX104),ISNUMBER(BX100)),IFERROR(BX104/BX100,""),"")</f>
        <v/>
      </c>
      <c r="BY74" s="181">
        <f>BY75*(1+BY87)</f>
        <v/>
      </c>
      <c r="BZ74" s="181">
        <f>BZ75*(1+BZ87)</f>
        <v/>
      </c>
      <c r="CA74" s="181">
        <f>IF(AND(ISNUMBER(CA104),ISNUMBER(CA100)),IFERROR(CA104/CA100,""),"")</f>
        <v/>
      </c>
      <c r="CB74" s="181">
        <f>$CA$74*CB89</f>
        <v/>
      </c>
      <c r="CC74" s="181">
        <f>$CA$74*CC89</f>
        <v/>
      </c>
      <c r="CD74" s="181">
        <f>$CA$74*CD89</f>
        <v/>
      </c>
      <c r="CE74" s="181">
        <f>$CA$74*CE89</f>
        <v/>
      </c>
      <c r="CF74" s="6" t="n"/>
      <c r="CH74" s="39">
        <f>IFERROR(AVERAGE(CA74,CB74,CC74,CD74,CE74),"n/m")</f>
        <v/>
      </c>
      <c r="CI74" s="39">
        <f>IFERROR(AVERAGE(BB74,BG74,BL74,BQ74,BV74),"n/m")</f>
        <v/>
      </c>
      <c r="CJ74" s="39">
        <f>IFERROR(AVERAGE(AC74,AH74,AM74,AR74,AW74,BB74,BG74,BL74,BQ74,BV74),"n/m")</f>
        <v/>
      </c>
      <c r="CK74" s="39">
        <f>IFERROR(AVERAGE(C74,D74,E74,F74,G74,H74,I74,N74,S74,X74,AC74,AH74,AM74,AR74,AW74,BB74,BG74,BL74,BQ74,BV74),"n/m")</f>
        <v/>
      </c>
    </row>
    <row r="75" hidden="1" outlineLevel="1" ht="15" customHeight="1">
      <c r="B75" s="26" t="inlineStr">
        <is>
          <t xml:space="preserve">    before calibration (Q3/Q4-26E helper: prior-year quarter + 1H/26 y/y drift)</t>
        </is>
      </c>
      <c r="C75" s="38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8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8" t="n"/>
      <c r="Z75" s="38" t="n"/>
      <c r="AA75" s="38" t="n"/>
      <c r="AB75" s="38" t="n"/>
      <c r="AC75" s="38" t="n"/>
      <c r="AD75" s="38" t="n"/>
      <c r="AE75" s="38" t="n"/>
      <c r="AF75" s="38" t="n"/>
      <c r="AG75" s="38" t="n"/>
      <c r="AH75" s="38" t="n"/>
      <c r="AI75" s="38" t="n"/>
      <c r="AJ75" s="38" t="n"/>
      <c r="AK75" s="38" t="n"/>
      <c r="AL75" s="38" t="n"/>
      <c r="AM75" s="38" t="n"/>
      <c r="AN75" s="38" t="n"/>
      <c r="AO75" s="38" t="n"/>
      <c r="AP75" s="38" t="n"/>
      <c r="AQ75" s="38" t="n"/>
      <c r="AR75" s="38" t="n"/>
      <c r="AS75" s="38" t="n"/>
      <c r="AT75" s="38" t="n"/>
      <c r="AU75" s="38" t="n"/>
      <c r="AV75" s="38" t="n"/>
      <c r="AW75" s="38" t="n"/>
      <c r="AX75" s="38" t="n"/>
      <c r="AY75" s="38" t="n"/>
      <c r="AZ75" s="38" t="n"/>
      <c r="BA75" s="38" t="n"/>
      <c r="BB75" s="38" t="n"/>
      <c r="BC75" s="38" t="n"/>
      <c r="BD75" s="38" t="n"/>
      <c r="BE75" s="38" t="n"/>
      <c r="BF75" s="38" t="n"/>
      <c r="BG75" s="38" t="n"/>
      <c r="BH75" s="38" t="n"/>
      <c r="BI75" s="38" t="n"/>
      <c r="BJ75" s="38" t="n"/>
      <c r="BK75" s="38" t="n"/>
      <c r="BL75" s="38" t="n"/>
      <c r="BM75" s="38" t="n"/>
      <c r="BN75" s="38" t="n"/>
      <c r="BO75" s="38" t="n"/>
      <c r="BP75" s="38" t="n"/>
      <c r="BQ75" s="38" t="n"/>
      <c r="BR75" s="38" t="n"/>
      <c r="BS75" s="38" t="n"/>
      <c r="BT75" s="38" t="n"/>
      <c r="BU75" s="38" t="n"/>
      <c r="BV75" s="38" t="n"/>
      <c r="BW75" s="38" t="n"/>
      <c r="BX75" s="38" t="n"/>
      <c r="BY75" s="181">
        <f>BT74+((BW104+BX104)/(BW100+BX100)-(BR104+BS104)/(BR100+BS100))</f>
        <v/>
      </c>
      <c r="BZ75" s="181">
        <f>BU74+((BW104+BX104)/(BW100+BX100)-(BR104+BS104)/(BR100+BS100))</f>
        <v/>
      </c>
      <c r="CA75" s="25" t="n"/>
      <c r="CB75" s="25" t="n"/>
      <c r="CC75" s="25" t="n"/>
      <c r="CD75" s="25" t="n"/>
      <c r="CE75" s="25" t="n"/>
      <c r="CF75" s="6" t="n"/>
    </row>
    <row r="76" ht="15" customHeight="1">
      <c r="B76" s="26" t="inlineStr">
        <is>
          <t xml:space="preserve">  Insurance &amp; claims % of revenue</t>
        </is>
      </c>
      <c r="C76" s="190">
        <f>IF(AND(ISNUMBER(C105),ISNUMBER(C100)),IFERROR(C105/C100,""),"")</f>
        <v/>
      </c>
      <c r="D76" s="190">
        <f>IF(AND(ISNUMBER(D105),ISNUMBER(D100)),IFERROR(D105/D100,""),"")</f>
        <v/>
      </c>
      <c r="E76" s="190">
        <f>IF(AND(ISNUMBER(E105),ISNUMBER(E100)),IFERROR(E105/E100,""),"")</f>
        <v/>
      </c>
      <c r="F76" s="190">
        <f>IF(AND(ISNUMBER(F105),ISNUMBER(F100)),IFERROR(F105/F100,""),"")</f>
        <v/>
      </c>
      <c r="G76" s="190">
        <f>IF(AND(ISNUMBER(G105),ISNUMBER(G100)),IFERROR(G105/G100,""),"")</f>
        <v/>
      </c>
      <c r="H76" s="190">
        <f>IF(AND(ISNUMBER(H105),ISNUMBER(H100)),IFERROR(H105/H100,""),"")</f>
        <v/>
      </c>
      <c r="I76" s="190">
        <f>IF(AND(ISNUMBER(I105),ISNUMBER(I100)),IFERROR(I105/I100,""),"")</f>
        <v/>
      </c>
      <c r="J76" s="190">
        <f>IF(AND(ISNUMBER(J105),ISNUMBER(J100)),IFERROR(J105/J100,""),"")</f>
        <v/>
      </c>
      <c r="K76" s="190">
        <f>IF(AND(ISNUMBER(K105),ISNUMBER(K100)),IFERROR(K105/K100,""),"")</f>
        <v/>
      </c>
      <c r="L76" s="190">
        <f>IF(AND(ISNUMBER(L105),ISNUMBER(L100)),IFERROR(L105/L100,""),"")</f>
        <v/>
      </c>
      <c r="M76" s="190">
        <f>IF(AND(ISNUMBER(M105),ISNUMBER(M100)),IFERROR(M105/M100,""),"")</f>
        <v/>
      </c>
      <c r="N76" s="190">
        <f>IF(AND(ISNUMBER(N105),ISNUMBER(N100)),IFERROR(N105/N100,""),"")</f>
        <v/>
      </c>
      <c r="O76" s="190">
        <f>IF(AND(ISNUMBER(O105),ISNUMBER(O100)),IFERROR(O105/O100,""),"")</f>
        <v/>
      </c>
      <c r="P76" s="190">
        <f>IF(AND(ISNUMBER(P105),ISNUMBER(P100)),IFERROR(P105/P100,""),"")</f>
        <v/>
      </c>
      <c r="Q76" s="190">
        <f>IF(AND(ISNUMBER(Q105),ISNUMBER(Q100)),IFERROR(Q105/Q100,""),"")</f>
        <v/>
      </c>
      <c r="R76" s="190">
        <f>IF(AND(ISNUMBER(R105),ISNUMBER(R100)),IFERROR(R105/R100,""),"")</f>
        <v/>
      </c>
      <c r="S76" s="190">
        <f>IF(AND(ISNUMBER(S105),ISNUMBER(S100)),IFERROR(S105/S100,""),"")</f>
        <v/>
      </c>
      <c r="T76" s="190">
        <f>IF(AND(ISNUMBER(T105),ISNUMBER(T100)),IFERROR(T105/T100,""),"")</f>
        <v/>
      </c>
      <c r="U76" s="190">
        <f>IF(AND(ISNUMBER(U105),ISNUMBER(U100)),IFERROR(U105/U100,""),"")</f>
        <v/>
      </c>
      <c r="V76" s="190">
        <f>IF(AND(ISNUMBER(V105),ISNUMBER(V100)),IFERROR(V105/V100,""),"")</f>
        <v/>
      </c>
      <c r="W76" s="190">
        <f>IF(AND(ISNUMBER(W105),ISNUMBER(W100)),IFERROR(W105/W100,""),"")</f>
        <v/>
      </c>
      <c r="X76" s="190">
        <f>IF(AND(ISNUMBER(X105),ISNUMBER(X100)),IFERROR(X105/X100,""),"")</f>
        <v/>
      </c>
      <c r="Y76" s="190">
        <f>IF(AND(ISNUMBER(Y105),ISNUMBER(Y100)),IFERROR(Y105/Y100,""),"")</f>
        <v/>
      </c>
      <c r="Z76" s="190">
        <f>IF(AND(ISNUMBER(Z105),ISNUMBER(Z100)),IFERROR(Z105/Z100,""),"")</f>
        <v/>
      </c>
      <c r="AA76" s="190">
        <f>IF(AND(ISNUMBER(AA105),ISNUMBER(AA100)),IFERROR(AA105/AA100,""),"")</f>
        <v/>
      </c>
      <c r="AB76" s="190">
        <f>IF(AND(ISNUMBER(AB105),ISNUMBER(AB100)),IFERROR(AB105/AB100,""),"")</f>
        <v/>
      </c>
      <c r="AC76" s="190">
        <f>IF(AND(ISNUMBER(AC105),ISNUMBER(AC100)),IFERROR(AC105/AC100,""),"")</f>
        <v/>
      </c>
      <c r="AD76" s="190">
        <f>IF(AND(ISNUMBER(AD105),ISNUMBER(AD100)),IFERROR(AD105/AD100,""),"")</f>
        <v/>
      </c>
      <c r="AE76" s="190">
        <f>IF(AND(ISNUMBER(AE105),ISNUMBER(AE100)),IFERROR(AE105/AE100,""),"")</f>
        <v/>
      </c>
      <c r="AF76" s="190">
        <f>IF(AND(ISNUMBER(AF105),ISNUMBER(AF100)),IFERROR(AF105/AF100,""),"")</f>
        <v/>
      </c>
      <c r="AG76" s="190">
        <f>IF(AND(ISNUMBER(AG105),ISNUMBER(AG100)),IFERROR(AG105/AG100,""),"")</f>
        <v/>
      </c>
      <c r="AH76" s="190">
        <f>IF(AND(ISNUMBER(AH105),ISNUMBER(AH100)),IFERROR(AH105/AH100,""),"")</f>
        <v/>
      </c>
      <c r="AI76" s="190">
        <f>IF(AND(ISNUMBER(AI105),ISNUMBER(AI100)),IFERROR(AI105/AI100,""),"")</f>
        <v/>
      </c>
      <c r="AJ76" s="190">
        <f>IF(AND(ISNUMBER(AJ105),ISNUMBER(AJ100)),IFERROR(AJ105/AJ100,""),"")</f>
        <v/>
      </c>
      <c r="AK76" s="190">
        <f>IF(AND(ISNUMBER(AK105),ISNUMBER(AK100)),IFERROR(AK105/AK100,""),"")</f>
        <v/>
      </c>
      <c r="AL76" s="190">
        <f>IF(AND(ISNUMBER(AL105),ISNUMBER(AL100)),IFERROR(AL105/AL100,""),"")</f>
        <v/>
      </c>
      <c r="AM76" s="190">
        <f>IF(AND(ISNUMBER(AM105),ISNUMBER(AM100)),IFERROR(AM105/AM100,""),"")</f>
        <v/>
      </c>
      <c r="AN76" s="190">
        <f>IF(AND(ISNUMBER(AN105),ISNUMBER(AN100)),IFERROR(AN105/AN100,""),"")</f>
        <v/>
      </c>
      <c r="AO76" s="190">
        <f>IF(AND(ISNUMBER(AO105),ISNUMBER(AO100)),IFERROR(AO105/AO100,""),"")</f>
        <v/>
      </c>
      <c r="AP76" s="190">
        <f>IF(AND(ISNUMBER(AP105),ISNUMBER(AP100)),IFERROR(AP105/AP100,""),"")</f>
        <v/>
      </c>
      <c r="AQ76" s="190">
        <f>IF(AND(ISNUMBER(AQ105),ISNUMBER(AQ100)),IFERROR(AQ105/AQ100,""),"")</f>
        <v/>
      </c>
      <c r="AR76" s="190">
        <f>IF(AND(ISNUMBER(AR105),ISNUMBER(AR100)),IFERROR(AR105/AR100,""),"")</f>
        <v/>
      </c>
      <c r="AS76" s="190">
        <f>IF(AND(ISNUMBER(AS105),ISNUMBER(AS100)),IFERROR(AS105/AS100,""),"")</f>
        <v/>
      </c>
      <c r="AT76" s="190">
        <f>IF(AND(ISNUMBER(AT105),ISNUMBER(AT100)),IFERROR(AT105/AT100,""),"")</f>
        <v/>
      </c>
      <c r="AU76" s="190">
        <f>IF(AND(ISNUMBER(AU105),ISNUMBER(AU100)),IFERROR(AU105/AU100,""),"")</f>
        <v/>
      </c>
      <c r="AV76" s="190">
        <f>IF(AND(ISNUMBER(AV105),ISNUMBER(AV100)),IFERROR(AV105/AV100,""),"")</f>
        <v/>
      </c>
      <c r="AW76" s="190">
        <f>IF(AND(ISNUMBER(AW105),ISNUMBER(AW100)),IFERROR(AW105/AW100,""),"")</f>
        <v/>
      </c>
      <c r="AX76" s="190">
        <f>IF(AND(ISNUMBER(AX105),ISNUMBER(AX100)),IFERROR(AX105/AX100,""),"")</f>
        <v/>
      </c>
      <c r="AY76" s="190">
        <f>IF(AND(ISNUMBER(AY105),ISNUMBER(AY100)),IFERROR(AY105/AY100,""),"")</f>
        <v/>
      </c>
      <c r="AZ76" s="190">
        <f>IF(AND(ISNUMBER(AZ105),ISNUMBER(AZ100)),IFERROR(AZ105/AZ100,""),"")</f>
        <v/>
      </c>
      <c r="BA76" s="190">
        <f>IF(AND(ISNUMBER(BA105),ISNUMBER(BA100)),IFERROR(BA105/BA100,""),"")</f>
        <v/>
      </c>
      <c r="BB76" s="190">
        <f>IF(AND(ISNUMBER(BB105),ISNUMBER(BB100)),IFERROR(BB105/BB100,""),"")</f>
        <v/>
      </c>
      <c r="BC76" s="190">
        <f>IF(AND(ISNUMBER(BC105),ISNUMBER(BC100)),IFERROR(BC105/BC100,""),"")</f>
        <v/>
      </c>
      <c r="BD76" s="190">
        <f>IF(AND(ISNUMBER(BD105),ISNUMBER(BD100)),IFERROR(BD105/BD100,""),"")</f>
        <v/>
      </c>
      <c r="BE76" s="190">
        <f>IF(AND(ISNUMBER(BE105),ISNUMBER(BE100)),IFERROR(BE105/BE100,""),"")</f>
        <v/>
      </c>
      <c r="BF76" s="190">
        <f>IF(AND(ISNUMBER(BF105),ISNUMBER(BF100)),IFERROR(BF105/BF100,""),"")</f>
        <v/>
      </c>
      <c r="BG76" s="190">
        <f>IF(AND(ISNUMBER(BG105),ISNUMBER(BG100)),IFERROR(BG105/BG100,""),"")</f>
        <v/>
      </c>
      <c r="BH76" s="190">
        <f>IF(AND(ISNUMBER(BH105),ISNUMBER(BH100)),IFERROR(BH105/BH100,""),"")</f>
        <v/>
      </c>
      <c r="BI76" s="190">
        <f>IF(AND(ISNUMBER(BI105),ISNUMBER(BI100)),IFERROR(BI105/BI100,""),"")</f>
        <v/>
      </c>
      <c r="BJ76" s="190">
        <f>IF(AND(ISNUMBER(BJ105),ISNUMBER(BJ100)),IFERROR(BJ105/BJ100,""),"")</f>
        <v/>
      </c>
      <c r="BK76" s="190">
        <f>IF(AND(ISNUMBER(BK105),ISNUMBER(BK100)),IFERROR(BK105/BK100,""),"")</f>
        <v/>
      </c>
      <c r="BL76" s="190">
        <f>IF(AND(ISNUMBER(BL105),ISNUMBER(BL100)),IFERROR(BL105/BL100,""),"")</f>
        <v/>
      </c>
      <c r="BM76" s="190">
        <f>IF(AND(ISNUMBER(BM105),ISNUMBER(BM100)),IFERROR(BM105/BM100,""),"")</f>
        <v/>
      </c>
      <c r="BN76" s="190">
        <f>IF(AND(ISNUMBER(BN105),ISNUMBER(BN100)),IFERROR(BN105/BN100,""),"")</f>
        <v/>
      </c>
      <c r="BO76" s="190">
        <f>IF(AND(ISNUMBER(BO105),ISNUMBER(BO100)),IFERROR(BO105/BO100,""),"")</f>
        <v/>
      </c>
      <c r="BP76" s="190">
        <f>IF(AND(ISNUMBER(BP105),ISNUMBER(BP100)),IFERROR(BP105/BP100,""),"")</f>
        <v/>
      </c>
      <c r="BQ76" s="190">
        <f>IF(AND(ISNUMBER(BQ105),ISNUMBER(BQ100)),IFERROR(BQ105/BQ100,""),"")</f>
        <v/>
      </c>
      <c r="BR76" s="190">
        <f>IF(AND(ISNUMBER(BR105),ISNUMBER(BR100)),IFERROR(BR105/BR100,""),"")</f>
        <v/>
      </c>
      <c r="BS76" s="190">
        <f>IF(AND(ISNUMBER(BS105),ISNUMBER(BS100)),IFERROR(BS105/BS100,""),"")</f>
        <v/>
      </c>
      <c r="BT76" s="190">
        <f>IF(AND(ISNUMBER(BT105),ISNUMBER(BT100)),IFERROR(BT105/BT100,""),"")</f>
        <v/>
      </c>
      <c r="BU76" s="190">
        <f>IF(AND(ISNUMBER(BU105),ISNUMBER(BU100)),IFERROR(BU105/BU100,""),"")</f>
        <v/>
      </c>
      <c r="BV76" s="190">
        <f>IF(AND(ISNUMBER(BV105),ISNUMBER(BV100)),IFERROR(BV105/BV100,""),"")</f>
        <v/>
      </c>
      <c r="BW76" s="190">
        <f>IF(AND(ISNUMBER(BW105),ISNUMBER(BW100)),IFERROR(BW105/BW100,""),"")</f>
        <v/>
      </c>
      <c r="BX76" s="190">
        <f>IF(AND(ISNUMBER(BX105),ISNUMBER(BX100)),IFERROR(BX105/BX100,""),"")</f>
        <v/>
      </c>
      <c r="BY76" s="181">
        <f>BY77*(1+BY87)</f>
        <v/>
      </c>
      <c r="BZ76" s="181">
        <f>BZ77*(1+BZ87)</f>
        <v/>
      </c>
      <c r="CA76" s="181">
        <f>IF(AND(ISNUMBER(CA105),ISNUMBER(CA100)),IFERROR(CA105/CA100,""),"")</f>
        <v/>
      </c>
      <c r="CB76" s="181">
        <f>$CA$76*CB89</f>
        <v/>
      </c>
      <c r="CC76" s="181">
        <f>$CA$76*CC89</f>
        <v/>
      </c>
      <c r="CD76" s="181">
        <f>$CA$76*CD89</f>
        <v/>
      </c>
      <c r="CE76" s="181">
        <f>$CA$76*CE89</f>
        <v/>
      </c>
      <c r="CF76" s="6" t="n"/>
      <c r="CH76" s="39">
        <f>IFERROR(AVERAGE(CA76,CB76,CC76,CD76,CE76),"n/m")</f>
        <v/>
      </c>
      <c r="CI76" s="39">
        <f>IFERROR(AVERAGE(BB76,BG76,BL76,BQ76,BV76),"n/m")</f>
        <v/>
      </c>
      <c r="CJ76" s="39">
        <f>IFERROR(AVERAGE(AC76,AH76,AM76,AR76,AW76,BB76,BG76,BL76,BQ76,BV76),"n/m")</f>
        <v/>
      </c>
      <c r="CK76" s="39">
        <f>IFERROR(AVERAGE(C76,D76,E76,F76,G76,H76,I76,N76,S76,X76,AC76,AH76,AM76,AR76,AW76,BB76,BG76,BL76,BQ76,BV76),"n/m")</f>
        <v/>
      </c>
    </row>
    <row r="77" hidden="1" outlineLevel="1" ht="15" customHeight="1">
      <c r="B77" s="26" t="inlineStr">
        <is>
          <t xml:space="preserve">    before calibration (Q3/Q4-26E helper: prior-year quarter + 1H/26 y/y drift)</t>
        </is>
      </c>
      <c r="C77" s="38" t="n"/>
      <c r="D77" s="38" t="n"/>
      <c r="E77" s="38" t="n"/>
      <c r="F77" s="38" t="n"/>
      <c r="G77" s="38" t="n"/>
      <c r="H77" s="38" t="n"/>
      <c r="I77" s="38" t="n"/>
      <c r="J77" s="38" t="n"/>
      <c r="K77" s="38" t="n"/>
      <c r="L77" s="38" t="n"/>
      <c r="M77" s="38" t="n"/>
      <c r="N77" s="38" t="n"/>
      <c r="O77" s="38" t="n"/>
      <c r="P77" s="38" t="n"/>
      <c r="Q77" s="38" t="n"/>
      <c r="R77" s="38" t="n"/>
      <c r="S77" s="38" t="n"/>
      <c r="T77" s="38" t="n"/>
      <c r="U77" s="38" t="n"/>
      <c r="V77" s="38" t="n"/>
      <c r="W77" s="38" t="n"/>
      <c r="X77" s="38" t="n"/>
      <c r="Y77" s="38" t="n"/>
      <c r="Z77" s="38" t="n"/>
      <c r="AA77" s="38" t="n"/>
      <c r="AB77" s="38" t="n"/>
      <c r="AC77" s="38" t="n"/>
      <c r="AD77" s="38" t="n"/>
      <c r="AE77" s="38" t="n"/>
      <c r="AF77" s="38" t="n"/>
      <c r="AG77" s="38" t="n"/>
      <c r="AH77" s="38" t="n"/>
      <c r="AI77" s="38" t="n"/>
      <c r="AJ77" s="38" t="n"/>
      <c r="AK77" s="38" t="n"/>
      <c r="AL77" s="38" t="n"/>
      <c r="AM77" s="38" t="n"/>
      <c r="AN77" s="38" t="n"/>
      <c r="AO77" s="38" t="n"/>
      <c r="AP77" s="38" t="n"/>
      <c r="AQ77" s="38" t="n"/>
      <c r="AR77" s="38" t="n"/>
      <c r="AS77" s="38" t="n"/>
      <c r="AT77" s="38" t="n"/>
      <c r="AU77" s="38" t="n"/>
      <c r="AV77" s="38" t="n"/>
      <c r="AW77" s="38" t="n"/>
      <c r="AX77" s="38" t="n"/>
      <c r="AY77" s="38" t="n"/>
      <c r="AZ77" s="38" t="n"/>
      <c r="BA77" s="38" t="n"/>
      <c r="BB77" s="38" t="n"/>
      <c r="BC77" s="38" t="n"/>
      <c r="BD77" s="38" t="n"/>
      <c r="BE77" s="38" t="n"/>
      <c r="BF77" s="38" t="n"/>
      <c r="BG77" s="38" t="n"/>
      <c r="BH77" s="38" t="n"/>
      <c r="BI77" s="38" t="n"/>
      <c r="BJ77" s="38" t="n"/>
      <c r="BK77" s="38" t="n"/>
      <c r="BL77" s="38" t="n"/>
      <c r="BM77" s="38" t="n"/>
      <c r="BN77" s="38" t="n"/>
      <c r="BO77" s="38" t="n"/>
      <c r="BP77" s="38" t="n"/>
      <c r="BQ77" s="38" t="n"/>
      <c r="BR77" s="38" t="n"/>
      <c r="BS77" s="38" t="n"/>
      <c r="BT77" s="38" t="n"/>
      <c r="BU77" s="38" t="n"/>
      <c r="BV77" s="38" t="n"/>
      <c r="BW77" s="38" t="n"/>
      <c r="BX77" s="38" t="n"/>
      <c r="BY77" s="181">
        <f>BT76+((BW105+BX105)/(BW100+BX100)-(BR105+BS105)/(BR100+BS100))</f>
        <v/>
      </c>
      <c r="BZ77" s="181">
        <f>BU76+((BW105+BX105)/(BW100+BX100)-(BR105+BS105)/(BR100+BS100))</f>
        <v/>
      </c>
      <c r="CA77" s="25" t="n"/>
      <c r="CB77" s="25" t="n"/>
      <c r="CC77" s="25" t="n"/>
      <c r="CD77" s="25" t="n"/>
      <c r="CE77" s="25" t="n"/>
      <c r="CF77" s="6" t="n"/>
    </row>
    <row r="78" ht="15" customHeight="1">
      <c r="B78" s="26" t="inlineStr">
        <is>
          <t xml:space="preserve">  Communications &amp; utilities % of revenue</t>
        </is>
      </c>
      <c r="C78" s="190">
        <f>IF(AND(ISNUMBER(C106),ISNUMBER(C100)),IFERROR(C106/C100,""),"")</f>
        <v/>
      </c>
      <c r="D78" s="190">
        <f>IF(AND(ISNUMBER(D106),ISNUMBER(D100)),IFERROR(D106/D100,""),"")</f>
        <v/>
      </c>
      <c r="E78" s="190">
        <f>IF(AND(ISNUMBER(E106),ISNUMBER(E100)),IFERROR(E106/E100,""),"")</f>
        <v/>
      </c>
      <c r="F78" s="190">
        <f>IF(AND(ISNUMBER(F106),ISNUMBER(F100)),IFERROR(F106/F100,""),"")</f>
        <v/>
      </c>
      <c r="G78" s="190">
        <f>IF(AND(ISNUMBER(G106),ISNUMBER(G100)),IFERROR(G106/G100,""),"")</f>
        <v/>
      </c>
      <c r="H78" s="190">
        <f>IF(AND(ISNUMBER(H106),ISNUMBER(H100)),IFERROR(H106/H100,""),"")</f>
        <v/>
      </c>
      <c r="I78" s="190">
        <f>IF(AND(ISNUMBER(I106),ISNUMBER(I100)),IFERROR(I106/I100,""),"")</f>
        <v/>
      </c>
      <c r="J78" s="190">
        <f>IF(AND(ISNUMBER(J106),ISNUMBER(J100)),IFERROR(J106/J100,""),"")</f>
        <v/>
      </c>
      <c r="K78" s="190">
        <f>IF(AND(ISNUMBER(K106),ISNUMBER(K100)),IFERROR(K106/K100,""),"")</f>
        <v/>
      </c>
      <c r="L78" s="190">
        <f>IF(AND(ISNUMBER(L106),ISNUMBER(L100)),IFERROR(L106/L100,""),"")</f>
        <v/>
      </c>
      <c r="M78" s="190">
        <f>IF(AND(ISNUMBER(M106),ISNUMBER(M100)),IFERROR(M106/M100,""),"")</f>
        <v/>
      </c>
      <c r="N78" s="190">
        <f>IF(AND(ISNUMBER(N106),ISNUMBER(N100)),IFERROR(N106/N100,""),"")</f>
        <v/>
      </c>
      <c r="O78" s="190">
        <f>IF(AND(ISNUMBER(O106),ISNUMBER(O100)),IFERROR(O106/O100,""),"")</f>
        <v/>
      </c>
      <c r="P78" s="190">
        <f>IF(AND(ISNUMBER(P106),ISNUMBER(P100)),IFERROR(P106/P100,""),"")</f>
        <v/>
      </c>
      <c r="Q78" s="190">
        <f>IF(AND(ISNUMBER(Q106),ISNUMBER(Q100)),IFERROR(Q106/Q100,""),"")</f>
        <v/>
      </c>
      <c r="R78" s="190">
        <f>IF(AND(ISNUMBER(R106),ISNUMBER(R100)),IFERROR(R106/R100,""),"")</f>
        <v/>
      </c>
      <c r="S78" s="190">
        <f>IF(AND(ISNUMBER(S106),ISNUMBER(S100)),IFERROR(S106/S100,""),"")</f>
        <v/>
      </c>
      <c r="T78" s="190">
        <f>IF(AND(ISNUMBER(T106),ISNUMBER(T100)),IFERROR(T106/T100,""),"")</f>
        <v/>
      </c>
      <c r="U78" s="190">
        <f>IF(AND(ISNUMBER(U106),ISNUMBER(U100)),IFERROR(U106/U100,""),"")</f>
        <v/>
      </c>
      <c r="V78" s="190">
        <f>IF(AND(ISNUMBER(V106),ISNUMBER(V100)),IFERROR(V106/V100,""),"")</f>
        <v/>
      </c>
      <c r="W78" s="190">
        <f>IF(AND(ISNUMBER(W106),ISNUMBER(W100)),IFERROR(W106/W100,""),"")</f>
        <v/>
      </c>
      <c r="X78" s="190">
        <f>IF(AND(ISNUMBER(X106),ISNUMBER(X100)),IFERROR(X106/X100,""),"")</f>
        <v/>
      </c>
      <c r="Y78" s="190">
        <f>IF(AND(ISNUMBER(Y106),ISNUMBER(Y100)),IFERROR(Y106/Y100,""),"")</f>
        <v/>
      </c>
      <c r="Z78" s="190">
        <f>IF(AND(ISNUMBER(Z106),ISNUMBER(Z100)),IFERROR(Z106/Z100,""),"")</f>
        <v/>
      </c>
      <c r="AA78" s="190">
        <f>IF(AND(ISNUMBER(AA106),ISNUMBER(AA100)),IFERROR(AA106/AA100,""),"")</f>
        <v/>
      </c>
      <c r="AB78" s="190">
        <f>IF(AND(ISNUMBER(AB106),ISNUMBER(AB100)),IFERROR(AB106/AB100,""),"")</f>
        <v/>
      </c>
      <c r="AC78" s="190">
        <f>IF(AND(ISNUMBER(AC106),ISNUMBER(AC100)),IFERROR(AC106/AC100,""),"")</f>
        <v/>
      </c>
      <c r="AD78" s="190">
        <f>IF(AND(ISNUMBER(AD106),ISNUMBER(AD100)),IFERROR(AD106/AD100,""),"")</f>
        <v/>
      </c>
      <c r="AE78" s="190">
        <f>IF(AND(ISNUMBER(AE106),ISNUMBER(AE100)),IFERROR(AE106/AE100,""),"")</f>
        <v/>
      </c>
      <c r="AF78" s="190">
        <f>IF(AND(ISNUMBER(AF106),ISNUMBER(AF100)),IFERROR(AF106/AF100,""),"")</f>
        <v/>
      </c>
      <c r="AG78" s="190">
        <f>IF(AND(ISNUMBER(AG106),ISNUMBER(AG100)),IFERROR(AG106/AG100,""),"")</f>
        <v/>
      </c>
      <c r="AH78" s="190">
        <f>IF(AND(ISNUMBER(AH106),ISNUMBER(AH100)),IFERROR(AH106/AH100,""),"")</f>
        <v/>
      </c>
      <c r="AI78" s="190">
        <f>IF(AND(ISNUMBER(AI106),ISNUMBER(AI100)),IFERROR(AI106/AI100,""),"")</f>
        <v/>
      </c>
      <c r="AJ78" s="190">
        <f>IF(AND(ISNUMBER(AJ106),ISNUMBER(AJ100)),IFERROR(AJ106/AJ100,""),"")</f>
        <v/>
      </c>
      <c r="AK78" s="190">
        <f>IF(AND(ISNUMBER(AK106),ISNUMBER(AK100)),IFERROR(AK106/AK100,""),"")</f>
        <v/>
      </c>
      <c r="AL78" s="190">
        <f>IF(AND(ISNUMBER(AL106),ISNUMBER(AL100)),IFERROR(AL106/AL100,""),"")</f>
        <v/>
      </c>
      <c r="AM78" s="190">
        <f>IF(AND(ISNUMBER(AM106),ISNUMBER(AM100)),IFERROR(AM106/AM100,""),"")</f>
        <v/>
      </c>
      <c r="AN78" s="190">
        <f>IF(AND(ISNUMBER(AN106),ISNUMBER(AN100)),IFERROR(AN106/AN100,""),"")</f>
        <v/>
      </c>
      <c r="AO78" s="190">
        <f>IF(AND(ISNUMBER(AO106),ISNUMBER(AO100)),IFERROR(AO106/AO100,""),"")</f>
        <v/>
      </c>
      <c r="AP78" s="190">
        <f>IF(AND(ISNUMBER(AP106),ISNUMBER(AP100)),IFERROR(AP106/AP100,""),"")</f>
        <v/>
      </c>
      <c r="AQ78" s="190">
        <f>IF(AND(ISNUMBER(AQ106),ISNUMBER(AQ100)),IFERROR(AQ106/AQ100,""),"")</f>
        <v/>
      </c>
      <c r="AR78" s="190">
        <f>IF(AND(ISNUMBER(AR106),ISNUMBER(AR100)),IFERROR(AR106/AR100,""),"")</f>
        <v/>
      </c>
      <c r="AS78" s="190">
        <f>IF(AND(ISNUMBER(AS106),ISNUMBER(AS100)),IFERROR(AS106/AS100,""),"")</f>
        <v/>
      </c>
      <c r="AT78" s="190">
        <f>IF(AND(ISNUMBER(AT106),ISNUMBER(AT100)),IFERROR(AT106/AT100,""),"")</f>
        <v/>
      </c>
      <c r="AU78" s="190">
        <f>IF(AND(ISNUMBER(AU106),ISNUMBER(AU100)),IFERROR(AU106/AU100,""),"")</f>
        <v/>
      </c>
      <c r="AV78" s="190">
        <f>IF(AND(ISNUMBER(AV106),ISNUMBER(AV100)),IFERROR(AV106/AV100,""),"")</f>
        <v/>
      </c>
      <c r="AW78" s="190">
        <f>IF(AND(ISNUMBER(AW106),ISNUMBER(AW100)),IFERROR(AW106/AW100,""),"")</f>
        <v/>
      </c>
      <c r="AX78" s="190">
        <f>IF(AND(ISNUMBER(AX106),ISNUMBER(AX100)),IFERROR(AX106/AX100,""),"")</f>
        <v/>
      </c>
      <c r="AY78" s="190">
        <f>IF(AND(ISNUMBER(AY106),ISNUMBER(AY100)),IFERROR(AY106/AY100,""),"")</f>
        <v/>
      </c>
      <c r="AZ78" s="190">
        <f>IF(AND(ISNUMBER(AZ106),ISNUMBER(AZ100)),IFERROR(AZ106/AZ100,""),"")</f>
        <v/>
      </c>
      <c r="BA78" s="190">
        <f>IF(AND(ISNUMBER(BA106),ISNUMBER(BA100)),IFERROR(BA106/BA100,""),"")</f>
        <v/>
      </c>
      <c r="BB78" s="190">
        <f>IF(AND(ISNUMBER(BB106),ISNUMBER(BB100)),IFERROR(BB106/BB100,""),"")</f>
        <v/>
      </c>
      <c r="BC78" s="190">
        <f>IF(AND(ISNUMBER(BC106),ISNUMBER(BC100)),IFERROR(BC106/BC100,""),"")</f>
        <v/>
      </c>
      <c r="BD78" s="190">
        <f>IF(AND(ISNUMBER(BD106),ISNUMBER(BD100)),IFERROR(BD106/BD100,""),"")</f>
        <v/>
      </c>
      <c r="BE78" s="190">
        <f>IF(AND(ISNUMBER(BE106),ISNUMBER(BE100)),IFERROR(BE106/BE100,""),"")</f>
        <v/>
      </c>
      <c r="BF78" s="190">
        <f>IF(AND(ISNUMBER(BF106),ISNUMBER(BF100)),IFERROR(BF106/BF100,""),"")</f>
        <v/>
      </c>
      <c r="BG78" s="190">
        <f>IF(AND(ISNUMBER(BG106),ISNUMBER(BG100)),IFERROR(BG106/BG100,""),"")</f>
        <v/>
      </c>
      <c r="BH78" s="190">
        <f>IF(AND(ISNUMBER(BH106),ISNUMBER(BH100)),IFERROR(BH106/BH100,""),"")</f>
        <v/>
      </c>
      <c r="BI78" s="190">
        <f>IF(AND(ISNUMBER(BI106),ISNUMBER(BI100)),IFERROR(BI106/BI100,""),"")</f>
        <v/>
      </c>
      <c r="BJ78" s="190">
        <f>IF(AND(ISNUMBER(BJ106),ISNUMBER(BJ100)),IFERROR(BJ106/BJ100,""),"")</f>
        <v/>
      </c>
      <c r="BK78" s="190">
        <f>IF(AND(ISNUMBER(BK106),ISNUMBER(BK100)),IFERROR(BK106/BK100,""),"")</f>
        <v/>
      </c>
      <c r="BL78" s="190">
        <f>IF(AND(ISNUMBER(BL106),ISNUMBER(BL100)),IFERROR(BL106/BL100,""),"")</f>
        <v/>
      </c>
      <c r="BM78" s="190">
        <f>IF(AND(ISNUMBER(BM106),ISNUMBER(BM100)),IFERROR(BM106/BM100,""),"")</f>
        <v/>
      </c>
      <c r="BN78" s="190">
        <f>IF(AND(ISNUMBER(BN106),ISNUMBER(BN100)),IFERROR(BN106/BN100,""),"")</f>
        <v/>
      </c>
      <c r="BO78" s="190">
        <f>IF(AND(ISNUMBER(BO106),ISNUMBER(BO100)),IFERROR(BO106/BO100,""),"")</f>
        <v/>
      </c>
      <c r="BP78" s="190">
        <f>IF(AND(ISNUMBER(BP106),ISNUMBER(BP100)),IFERROR(BP106/BP100,""),"")</f>
        <v/>
      </c>
      <c r="BQ78" s="190">
        <f>IF(AND(ISNUMBER(BQ106),ISNUMBER(BQ100)),IFERROR(BQ106/BQ100,""),"")</f>
        <v/>
      </c>
      <c r="BR78" s="190">
        <f>IF(AND(ISNUMBER(BR106),ISNUMBER(BR100)),IFERROR(BR106/BR100,""),"")</f>
        <v/>
      </c>
      <c r="BS78" s="190">
        <f>IF(AND(ISNUMBER(BS106),ISNUMBER(BS100)),IFERROR(BS106/BS100,""),"")</f>
        <v/>
      </c>
      <c r="BT78" s="190">
        <f>IF(AND(ISNUMBER(BT106),ISNUMBER(BT100)),IFERROR(BT106/BT100,""),"")</f>
        <v/>
      </c>
      <c r="BU78" s="190">
        <f>IF(AND(ISNUMBER(BU106),ISNUMBER(BU100)),IFERROR(BU106/BU100,""),"")</f>
        <v/>
      </c>
      <c r="BV78" s="190">
        <f>IF(AND(ISNUMBER(BV106),ISNUMBER(BV100)),IFERROR(BV106/BV100,""),"")</f>
        <v/>
      </c>
      <c r="BW78" s="190">
        <f>IF(AND(ISNUMBER(BW106),ISNUMBER(BW100)),IFERROR(BW106/BW100,""),"")</f>
        <v/>
      </c>
      <c r="BX78" s="190">
        <f>IF(AND(ISNUMBER(BX106),ISNUMBER(BX100)),IFERROR(BX106/BX100,""),"")</f>
        <v/>
      </c>
      <c r="BY78" s="181">
        <f>BY79*(1+BY87)</f>
        <v/>
      </c>
      <c r="BZ78" s="181">
        <f>BZ79*(1+BZ87)</f>
        <v/>
      </c>
      <c r="CA78" s="181">
        <f>IF(AND(ISNUMBER(CA106),ISNUMBER(CA100)),IFERROR(CA106/CA100,""),"")</f>
        <v/>
      </c>
      <c r="CB78" s="181">
        <f>$CA$78*CB89</f>
        <v/>
      </c>
      <c r="CC78" s="181">
        <f>$CA$78*CC89</f>
        <v/>
      </c>
      <c r="CD78" s="181">
        <f>$CA$78*CD89</f>
        <v/>
      </c>
      <c r="CE78" s="181">
        <f>$CA$78*CE89</f>
        <v/>
      </c>
      <c r="CF78" s="6" t="n"/>
      <c r="CH78" s="39">
        <f>IFERROR(AVERAGE(CA78,CB78,CC78,CD78,CE78),"n/m")</f>
        <v/>
      </c>
      <c r="CI78" s="39">
        <f>IFERROR(AVERAGE(BB78,BG78,BL78,BQ78,BV78),"n/m")</f>
        <v/>
      </c>
      <c r="CJ78" s="39">
        <f>IFERROR(AVERAGE(AC78,AH78,AM78,AR78,AW78,BB78,BG78,BL78,BQ78,BV78),"n/m")</f>
        <v/>
      </c>
      <c r="CK78" s="39">
        <f>IFERROR(AVERAGE(C78,D78,E78,F78,G78,H78,I78,N78,S78,X78,AC78,AH78,AM78,AR78,AW78,BB78,BG78,BL78,BQ78,BV78),"n/m")</f>
        <v/>
      </c>
    </row>
    <row r="79" hidden="1" outlineLevel="1" ht="15" customHeight="1">
      <c r="B79" s="26" t="inlineStr">
        <is>
          <t xml:space="preserve">    before calibration (Q3/Q4-26E helper: prior-year quarter + 1H/26 y/y drift)</t>
        </is>
      </c>
      <c r="C79" s="38" t="n"/>
      <c r="D79" s="38" t="n"/>
      <c r="E79" s="38" t="n"/>
      <c r="F79" s="38" t="n"/>
      <c r="G79" s="38" t="n"/>
      <c r="H79" s="38" t="n"/>
      <c r="I79" s="38" t="n"/>
      <c r="J79" s="38" t="n"/>
      <c r="K79" s="38" t="n"/>
      <c r="L79" s="38" t="n"/>
      <c r="M79" s="38" t="n"/>
      <c r="N79" s="38" t="n"/>
      <c r="O79" s="38" t="n"/>
      <c r="P79" s="38" t="n"/>
      <c r="Q79" s="38" t="n"/>
      <c r="R79" s="38" t="n"/>
      <c r="S79" s="38" t="n"/>
      <c r="T79" s="38" t="n"/>
      <c r="U79" s="38" t="n"/>
      <c r="V79" s="38" t="n"/>
      <c r="W79" s="38" t="n"/>
      <c r="X79" s="38" t="n"/>
      <c r="Y79" s="38" t="n"/>
      <c r="Z79" s="38" t="n"/>
      <c r="AA79" s="38" t="n"/>
      <c r="AB79" s="38" t="n"/>
      <c r="AC79" s="38" t="n"/>
      <c r="AD79" s="38" t="n"/>
      <c r="AE79" s="38" t="n"/>
      <c r="AF79" s="38" t="n"/>
      <c r="AG79" s="38" t="n"/>
      <c r="AH79" s="38" t="n"/>
      <c r="AI79" s="38" t="n"/>
      <c r="AJ79" s="38" t="n"/>
      <c r="AK79" s="38" t="n"/>
      <c r="AL79" s="38" t="n"/>
      <c r="AM79" s="38" t="n"/>
      <c r="AN79" s="38" t="n"/>
      <c r="AO79" s="38" t="n"/>
      <c r="AP79" s="38" t="n"/>
      <c r="AQ79" s="38" t="n"/>
      <c r="AR79" s="38" t="n"/>
      <c r="AS79" s="38" t="n"/>
      <c r="AT79" s="38" t="n"/>
      <c r="AU79" s="38" t="n"/>
      <c r="AV79" s="38" t="n"/>
      <c r="AW79" s="38" t="n"/>
      <c r="AX79" s="38" t="n"/>
      <c r="AY79" s="38" t="n"/>
      <c r="AZ79" s="38" t="n"/>
      <c r="BA79" s="38" t="n"/>
      <c r="BB79" s="38" t="n"/>
      <c r="BC79" s="38" t="n"/>
      <c r="BD79" s="38" t="n"/>
      <c r="BE79" s="38" t="n"/>
      <c r="BF79" s="38" t="n"/>
      <c r="BG79" s="38" t="n"/>
      <c r="BH79" s="38" t="n"/>
      <c r="BI79" s="38" t="n"/>
      <c r="BJ79" s="38" t="n"/>
      <c r="BK79" s="38" t="n"/>
      <c r="BL79" s="38" t="n"/>
      <c r="BM79" s="38" t="n"/>
      <c r="BN79" s="38" t="n"/>
      <c r="BO79" s="38" t="n"/>
      <c r="BP79" s="38" t="n"/>
      <c r="BQ79" s="38" t="n"/>
      <c r="BR79" s="38" t="n"/>
      <c r="BS79" s="38" t="n"/>
      <c r="BT79" s="38" t="n"/>
      <c r="BU79" s="38" t="n"/>
      <c r="BV79" s="38" t="n"/>
      <c r="BW79" s="38" t="n"/>
      <c r="BX79" s="38" t="n"/>
      <c r="BY79" s="181">
        <f>BT78+((BW106+BX106)/(BW100+BX100)-(BR106+BS106)/(BR100+BS100))</f>
        <v/>
      </c>
      <c r="BZ79" s="181">
        <f>BU78+((BW106+BX106)/(BW100+BX100)-(BR106+BS106)/(BR100+BS100))</f>
        <v/>
      </c>
      <c r="CA79" s="25" t="n"/>
      <c r="CB79" s="25" t="n"/>
      <c r="CC79" s="25" t="n"/>
      <c r="CD79" s="25" t="n"/>
      <c r="CE79" s="25" t="n"/>
      <c r="CF79" s="6" t="n"/>
    </row>
    <row r="80" collapsed="1" ht="15" customHeight="1">
      <c r="B80" s="26" t="inlineStr">
        <is>
          <t xml:space="preserve">  Purchased transportation % of revenue</t>
        </is>
      </c>
      <c r="C80" s="190">
        <f>IF(AND(ISNUMBER(C107),ISNUMBER(C100)),IFERROR(C107/C100,""),"")</f>
        <v/>
      </c>
      <c r="D80" s="190">
        <f>IF(AND(ISNUMBER(D107),ISNUMBER(D100)),IFERROR(D107/D100,""),"")</f>
        <v/>
      </c>
      <c r="E80" s="190">
        <f>IF(AND(ISNUMBER(E107),ISNUMBER(E100)),IFERROR(E107/E100,""),"")</f>
        <v/>
      </c>
      <c r="F80" s="190">
        <f>IF(AND(ISNUMBER(F107),ISNUMBER(F100)),IFERROR(F107/F100,""),"")</f>
        <v/>
      </c>
      <c r="G80" s="190">
        <f>IF(AND(ISNUMBER(G107),ISNUMBER(G100)),IFERROR(G107/G100,""),"")</f>
        <v/>
      </c>
      <c r="H80" s="190">
        <f>IF(AND(ISNUMBER(H107),ISNUMBER(H100)),IFERROR(H107/H100,""),"")</f>
        <v/>
      </c>
      <c r="I80" s="190">
        <f>IF(AND(ISNUMBER(I107),ISNUMBER(I100)),IFERROR(I107/I100,""),"")</f>
        <v/>
      </c>
      <c r="J80" s="190">
        <f>IF(AND(ISNUMBER(J107),ISNUMBER(J100)),IFERROR(J107/J100,""),"")</f>
        <v/>
      </c>
      <c r="K80" s="190">
        <f>IF(AND(ISNUMBER(K107),ISNUMBER(K100)),IFERROR(K107/K100,""),"")</f>
        <v/>
      </c>
      <c r="L80" s="190">
        <f>IF(AND(ISNUMBER(L107),ISNUMBER(L100)),IFERROR(L107/L100,""),"")</f>
        <v/>
      </c>
      <c r="M80" s="190">
        <f>IF(AND(ISNUMBER(M107),ISNUMBER(M100)),IFERROR(M107/M100,""),"")</f>
        <v/>
      </c>
      <c r="N80" s="190">
        <f>IF(AND(ISNUMBER(N107),ISNUMBER(N100)),IFERROR(N107/N100,""),"")</f>
        <v/>
      </c>
      <c r="O80" s="190">
        <f>IF(AND(ISNUMBER(O107),ISNUMBER(O100)),IFERROR(O107/O100,""),"")</f>
        <v/>
      </c>
      <c r="P80" s="190">
        <f>IF(AND(ISNUMBER(P107),ISNUMBER(P100)),IFERROR(P107/P100,""),"")</f>
        <v/>
      </c>
      <c r="Q80" s="190">
        <f>IF(AND(ISNUMBER(Q107),ISNUMBER(Q100)),IFERROR(Q107/Q100,""),"")</f>
        <v/>
      </c>
      <c r="R80" s="190">
        <f>IF(AND(ISNUMBER(R107),ISNUMBER(R100)),IFERROR(R107/R100,""),"")</f>
        <v/>
      </c>
      <c r="S80" s="190">
        <f>IF(AND(ISNUMBER(S107),ISNUMBER(S100)),IFERROR(S107/S100,""),"")</f>
        <v/>
      </c>
      <c r="T80" s="190">
        <f>IF(AND(ISNUMBER(T107),ISNUMBER(T100)),IFERROR(T107/T100,""),"")</f>
        <v/>
      </c>
      <c r="U80" s="190">
        <f>IF(AND(ISNUMBER(U107),ISNUMBER(U100)),IFERROR(U107/U100,""),"")</f>
        <v/>
      </c>
      <c r="V80" s="190">
        <f>IF(AND(ISNUMBER(V107),ISNUMBER(V100)),IFERROR(V107/V100,""),"")</f>
        <v/>
      </c>
      <c r="W80" s="190">
        <f>IF(AND(ISNUMBER(W107),ISNUMBER(W100)),IFERROR(W107/W100,""),"")</f>
        <v/>
      </c>
      <c r="X80" s="190">
        <f>IF(AND(ISNUMBER(X107),ISNUMBER(X100)),IFERROR(X107/X100,""),"")</f>
        <v/>
      </c>
      <c r="Y80" s="190">
        <f>IF(AND(ISNUMBER(Y107),ISNUMBER(Y100)),IFERROR(Y107/Y100,""),"")</f>
        <v/>
      </c>
      <c r="Z80" s="190">
        <f>IF(AND(ISNUMBER(Z107),ISNUMBER(Z100)),IFERROR(Z107/Z100,""),"")</f>
        <v/>
      </c>
      <c r="AA80" s="190">
        <f>IF(AND(ISNUMBER(AA107),ISNUMBER(AA100)),IFERROR(AA107/AA100,""),"")</f>
        <v/>
      </c>
      <c r="AB80" s="190">
        <f>IF(AND(ISNUMBER(AB107),ISNUMBER(AB100)),IFERROR(AB107/AB100,""),"")</f>
        <v/>
      </c>
      <c r="AC80" s="190">
        <f>IF(AND(ISNUMBER(AC107),ISNUMBER(AC100)),IFERROR(AC107/AC100,""),"")</f>
        <v/>
      </c>
      <c r="AD80" s="190">
        <f>IF(AND(ISNUMBER(AD107),ISNUMBER(AD100)),IFERROR(AD107/AD100,""),"")</f>
        <v/>
      </c>
      <c r="AE80" s="190">
        <f>IF(AND(ISNUMBER(AE107),ISNUMBER(AE100)),IFERROR(AE107/AE100,""),"")</f>
        <v/>
      </c>
      <c r="AF80" s="190">
        <f>IF(AND(ISNUMBER(AF107),ISNUMBER(AF100)),IFERROR(AF107/AF100,""),"")</f>
        <v/>
      </c>
      <c r="AG80" s="190">
        <f>IF(AND(ISNUMBER(AG107),ISNUMBER(AG100)),IFERROR(AG107/AG100,""),"")</f>
        <v/>
      </c>
      <c r="AH80" s="190">
        <f>IF(AND(ISNUMBER(AH107),ISNUMBER(AH100)),IFERROR(AH107/AH100,""),"")</f>
        <v/>
      </c>
      <c r="AI80" s="190">
        <f>IF(AND(ISNUMBER(AI107),ISNUMBER(AI100)),IFERROR(AI107/AI100,""),"")</f>
        <v/>
      </c>
      <c r="AJ80" s="190">
        <f>IF(AND(ISNUMBER(AJ107),ISNUMBER(AJ100)),IFERROR(AJ107/AJ100,""),"")</f>
        <v/>
      </c>
      <c r="AK80" s="190">
        <f>IF(AND(ISNUMBER(AK107),ISNUMBER(AK100)),IFERROR(AK107/AK100,""),"")</f>
        <v/>
      </c>
      <c r="AL80" s="190">
        <f>IF(AND(ISNUMBER(AL107),ISNUMBER(AL100)),IFERROR(AL107/AL100,""),"")</f>
        <v/>
      </c>
      <c r="AM80" s="190">
        <f>IF(AND(ISNUMBER(AM107),ISNUMBER(AM100)),IFERROR(AM107/AM100,""),"")</f>
        <v/>
      </c>
      <c r="AN80" s="190">
        <f>IF(AND(ISNUMBER(AN107),ISNUMBER(AN100)),IFERROR(AN107/AN100,""),"")</f>
        <v/>
      </c>
      <c r="AO80" s="190">
        <f>IF(AND(ISNUMBER(AO107),ISNUMBER(AO100)),IFERROR(AO107/AO100,""),"")</f>
        <v/>
      </c>
      <c r="AP80" s="190">
        <f>IF(AND(ISNUMBER(AP107),ISNUMBER(AP100)),IFERROR(AP107/AP100,""),"")</f>
        <v/>
      </c>
      <c r="AQ80" s="190">
        <f>IF(AND(ISNUMBER(AQ107),ISNUMBER(AQ100)),IFERROR(AQ107/AQ100,""),"")</f>
        <v/>
      </c>
      <c r="AR80" s="190">
        <f>IF(AND(ISNUMBER(AR107),ISNUMBER(AR100)),IFERROR(AR107/AR100,""),"")</f>
        <v/>
      </c>
      <c r="AS80" s="190">
        <f>IF(AND(ISNUMBER(AS107),ISNUMBER(AS100)),IFERROR(AS107/AS100,""),"")</f>
        <v/>
      </c>
      <c r="AT80" s="190">
        <f>IF(AND(ISNUMBER(AT107),ISNUMBER(AT100)),IFERROR(AT107/AT100,""),"")</f>
        <v/>
      </c>
      <c r="AU80" s="190">
        <f>IF(AND(ISNUMBER(AU107),ISNUMBER(AU100)),IFERROR(AU107/AU100,""),"")</f>
        <v/>
      </c>
      <c r="AV80" s="190">
        <f>IF(AND(ISNUMBER(AV107),ISNUMBER(AV100)),IFERROR(AV107/AV100,""),"")</f>
        <v/>
      </c>
      <c r="AW80" s="190">
        <f>IF(AND(ISNUMBER(AW107),ISNUMBER(AW100)),IFERROR(AW107/AW100,""),"")</f>
        <v/>
      </c>
      <c r="AX80" s="190">
        <f>IF(AND(ISNUMBER(AX107),ISNUMBER(AX100)),IFERROR(AX107/AX100,""),"")</f>
        <v/>
      </c>
      <c r="AY80" s="190">
        <f>IF(AND(ISNUMBER(AY107),ISNUMBER(AY100)),IFERROR(AY107/AY100,""),"")</f>
        <v/>
      </c>
      <c r="AZ80" s="190">
        <f>IF(AND(ISNUMBER(AZ107),ISNUMBER(AZ100)),IFERROR(AZ107/AZ100,""),"")</f>
        <v/>
      </c>
      <c r="BA80" s="190">
        <f>IF(AND(ISNUMBER(BA107),ISNUMBER(BA100)),IFERROR(BA107/BA100,""),"")</f>
        <v/>
      </c>
      <c r="BB80" s="190">
        <f>IF(AND(ISNUMBER(BB107),ISNUMBER(BB100)),IFERROR(BB107/BB100,""),"")</f>
        <v/>
      </c>
      <c r="BC80" s="190">
        <f>IF(AND(ISNUMBER(BC107),ISNUMBER(BC100)),IFERROR(BC107/BC100,""),"")</f>
        <v/>
      </c>
      <c r="BD80" s="190">
        <f>IF(AND(ISNUMBER(BD107),ISNUMBER(BD100)),IFERROR(BD107/BD100,""),"")</f>
        <v/>
      </c>
      <c r="BE80" s="190">
        <f>IF(AND(ISNUMBER(BE107),ISNUMBER(BE100)),IFERROR(BE107/BE100,""),"")</f>
        <v/>
      </c>
      <c r="BF80" s="190">
        <f>IF(AND(ISNUMBER(BF107),ISNUMBER(BF100)),IFERROR(BF107/BF100,""),"")</f>
        <v/>
      </c>
      <c r="BG80" s="190">
        <f>IF(AND(ISNUMBER(BG107),ISNUMBER(BG100)),IFERROR(BG107/BG100,""),"")</f>
        <v/>
      </c>
      <c r="BH80" s="190">
        <f>IF(AND(ISNUMBER(BH107),ISNUMBER(BH100)),IFERROR(BH107/BH100,""),"")</f>
        <v/>
      </c>
      <c r="BI80" s="190">
        <f>IF(AND(ISNUMBER(BI107),ISNUMBER(BI100)),IFERROR(BI107/BI100,""),"")</f>
        <v/>
      </c>
      <c r="BJ80" s="190">
        <f>IF(AND(ISNUMBER(BJ107),ISNUMBER(BJ100)),IFERROR(BJ107/BJ100,""),"")</f>
        <v/>
      </c>
      <c r="BK80" s="190">
        <f>IF(AND(ISNUMBER(BK107),ISNUMBER(BK100)),IFERROR(BK107/BK100,""),"")</f>
        <v/>
      </c>
      <c r="BL80" s="190">
        <f>IF(AND(ISNUMBER(BL107),ISNUMBER(BL100)),IFERROR(BL107/BL100,""),"")</f>
        <v/>
      </c>
      <c r="BM80" s="190">
        <f>IF(AND(ISNUMBER(BM107),ISNUMBER(BM100)),IFERROR(BM107/BM100,""),"")</f>
        <v/>
      </c>
      <c r="BN80" s="190">
        <f>IF(AND(ISNUMBER(BN107),ISNUMBER(BN100)),IFERROR(BN107/BN100,""),"")</f>
        <v/>
      </c>
      <c r="BO80" s="190">
        <f>IF(AND(ISNUMBER(BO107),ISNUMBER(BO100)),IFERROR(BO107/BO100,""),"")</f>
        <v/>
      </c>
      <c r="BP80" s="190">
        <f>IF(AND(ISNUMBER(BP107),ISNUMBER(BP100)),IFERROR(BP107/BP100,""),"")</f>
        <v/>
      </c>
      <c r="BQ80" s="190">
        <f>IF(AND(ISNUMBER(BQ107),ISNUMBER(BQ100)),IFERROR(BQ107/BQ100,""),"")</f>
        <v/>
      </c>
      <c r="BR80" s="190">
        <f>IF(AND(ISNUMBER(BR107),ISNUMBER(BR100)),IFERROR(BR107/BR100,""),"")</f>
        <v/>
      </c>
      <c r="BS80" s="190">
        <f>IF(AND(ISNUMBER(BS107),ISNUMBER(BS100)),IFERROR(BS107/BS100,""),"")</f>
        <v/>
      </c>
      <c r="BT80" s="190">
        <f>IF(AND(ISNUMBER(BT107),ISNUMBER(BT100)),IFERROR(BT107/BT100,""),"")</f>
        <v/>
      </c>
      <c r="BU80" s="190">
        <f>IF(AND(ISNUMBER(BU107),ISNUMBER(BU100)),IFERROR(BU107/BU100,""),"")</f>
        <v/>
      </c>
      <c r="BV80" s="190">
        <f>IF(AND(ISNUMBER(BV107),ISNUMBER(BV100)),IFERROR(BV107/BV100,""),"")</f>
        <v/>
      </c>
      <c r="BW80" s="190">
        <f>IF(AND(ISNUMBER(BW107),ISNUMBER(BW100)),IFERROR(BW107/BW100,""),"")</f>
        <v/>
      </c>
      <c r="BX80" s="190">
        <f>IF(AND(ISNUMBER(BX107),ISNUMBER(BX100)),IFERROR(BX107/BX100,""),"")</f>
        <v/>
      </c>
      <c r="BY80" s="181">
        <f>BY81*(1+BY87)</f>
        <v/>
      </c>
      <c r="BZ80" s="181">
        <f>BZ81*(1+BZ87)</f>
        <v/>
      </c>
      <c r="CA80" s="181">
        <f>IF(AND(ISNUMBER(CA107),ISNUMBER(CA100)),IFERROR(CA107/CA100,""),"")</f>
        <v/>
      </c>
      <c r="CB80" s="181">
        <f>$CA$80*CB89</f>
        <v/>
      </c>
      <c r="CC80" s="181">
        <f>$CA$80*CC89</f>
        <v/>
      </c>
      <c r="CD80" s="181">
        <f>$CA$80*CD89</f>
        <v/>
      </c>
      <c r="CE80" s="181">
        <f>$CA$80*CE89</f>
        <v/>
      </c>
      <c r="CF80" s="6" t="n"/>
      <c r="CH80" s="39">
        <f>IFERROR(AVERAGE(CA80,CB80,CC80,CD80,CE80),"n/m")</f>
        <v/>
      </c>
      <c r="CI80" s="39">
        <f>IFERROR(AVERAGE(BB80,BG80,BL80,BQ80,BV80),"n/m")</f>
        <v/>
      </c>
      <c r="CJ80" s="39">
        <f>IFERROR(AVERAGE(AC80,AH80,AM80,AR80,AW80,BB80,BG80,BL80,BQ80,BV80),"n/m")</f>
        <v/>
      </c>
      <c r="CK80" s="39">
        <f>IFERROR(AVERAGE(C80,D80,E80,F80,G80,H80,I80,N80,S80,X80,AC80,AH80,AM80,AR80,AW80,BB80,BG80,BL80,BQ80,BV80),"n/m")</f>
        <v/>
      </c>
    </row>
    <row r="81" hidden="1" outlineLevel="1" ht="15" customHeight="1">
      <c r="B81" s="26" t="inlineStr">
        <is>
          <t xml:space="preserve">    before calibration (Q3/Q4-26E helper: prior-year quarter + 1H/26 y/y drift)</t>
        </is>
      </c>
      <c r="C81" s="38" t="n"/>
      <c r="D81" s="38" t="n"/>
      <c r="E81" s="38" t="n"/>
      <c r="F81" s="38" t="n"/>
      <c r="G81" s="38" t="n"/>
      <c r="H81" s="38" t="n"/>
      <c r="I81" s="38" t="n"/>
      <c r="J81" s="38" t="n"/>
      <c r="K81" s="38" t="n"/>
      <c r="L81" s="38" t="n"/>
      <c r="M81" s="38" t="n"/>
      <c r="N81" s="38" t="n"/>
      <c r="O81" s="38" t="n"/>
      <c r="P81" s="38" t="n"/>
      <c r="Q81" s="38" t="n"/>
      <c r="R81" s="38" t="n"/>
      <c r="S81" s="38" t="n"/>
      <c r="T81" s="38" t="n"/>
      <c r="U81" s="38" t="n"/>
      <c r="V81" s="38" t="n"/>
      <c r="W81" s="38" t="n"/>
      <c r="X81" s="38" t="n"/>
      <c r="Y81" s="38" t="n"/>
      <c r="Z81" s="38" t="n"/>
      <c r="AA81" s="38" t="n"/>
      <c r="AB81" s="38" t="n"/>
      <c r="AC81" s="38" t="n"/>
      <c r="AD81" s="38" t="n"/>
      <c r="AE81" s="38" t="n"/>
      <c r="AF81" s="38" t="n"/>
      <c r="AG81" s="38" t="n"/>
      <c r="AH81" s="38" t="n"/>
      <c r="AI81" s="38" t="n"/>
      <c r="AJ81" s="38" t="n"/>
      <c r="AK81" s="38" t="n"/>
      <c r="AL81" s="38" t="n"/>
      <c r="AM81" s="38" t="n"/>
      <c r="AN81" s="38" t="n"/>
      <c r="AO81" s="38" t="n"/>
      <c r="AP81" s="38" t="n"/>
      <c r="AQ81" s="38" t="n"/>
      <c r="AR81" s="38" t="n"/>
      <c r="AS81" s="38" t="n"/>
      <c r="AT81" s="38" t="n"/>
      <c r="AU81" s="38" t="n"/>
      <c r="AV81" s="38" t="n"/>
      <c r="AW81" s="38" t="n"/>
      <c r="AX81" s="38" t="n"/>
      <c r="AY81" s="38" t="n"/>
      <c r="AZ81" s="38" t="n"/>
      <c r="BA81" s="38" t="n"/>
      <c r="BB81" s="38" t="n"/>
      <c r="BC81" s="38" t="n"/>
      <c r="BD81" s="38" t="n"/>
      <c r="BE81" s="38" t="n"/>
      <c r="BF81" s="38" t="n"/>
      <c r="BG81" s="38" t="n"/>
      <c r="BH81" s="38" t="n"/>
      <c r="BI81" s="38" t="n"/>
      <c r="BJ81" s="38" t="n"/>
      <c r="BK81" s="38" t="n"/>
      <c r="BL81" s="38" t="n"/>
      <c r="BM81" s="38" t="n"/>
      <c r="BN81" s="38" t="n"/>
      <c r="BO81" s="38" t="n"/>
      <c r="BP81" s="38" t="n"/>
      <c r="BQ81" s="38" t="n"/>
      <c r="BR81" s="38" t="n"/>
      <c r="BS81" s="38" t="n"/>
      <c r="BT81" s="38" t="n"/>
      <c r="BU81" s="38" t="n"/>
      <c r="BV81" s="38" t="n"/>
      <c r="BW81" s="38" t="n"/>
      <c r="BX81" s="38" t="n"/>
      <c r="BY81" s="181">
        <f>BT80+((BW107+BX107)/(BW100+BX100)-(BR107+BS107)/(BR100+BS100))</f>
        <v/>
      </c>
      <c r="BZ81" s="181">
        <f>BU80+((BW107+BX107)/(BW100+BX100)-(BR107+BS107)/(BR100+BS100))</f>
        <v/>
      </c>
      <c r="CA81" s="25" t="n"/>
      <c r="CB81" s="25" t="n"/>
      <c r="CC81" s="25" t="n"/>
      <c r="CD81" s="25" t="n"/>
      <c r="CE81" s="25" t="n"/>
      <c r="CF81" s="6" t="n"/>
    </row>
    <row r="82" ht="15" customHeight="1">
      <c r="B82" s="26" t="inlineStr">
        <is>
          <t xml:space="preserve">  Depreciation &amp; amortization % of revenue</t>
        </is>
      </c>
      <c r="C82" s="190">
        <f>IF(AND(ISNUMBER(C108),ISNUMBER(C100)),IFERROR(C108/C100,""),"")</f>
        <v/>
      </c>
      <c r="D82" s="190">
        <f>IF(AND(ISNUMBER(D108),ISNUMBER(D100)),IFERROR(D108/D100,""),"")</f>
        <v/>
      </c>
      <c r="E82" s="190">
        <f>IF(AND(ISNUMBER(E108),ISNUMBER(E100)),IFERROR(E108/E100,""),"")</f>
        <v/>
      </c>
      <c r="F82" s="190">
        <f>IF(AND(ISNUMBER(F108),ISNUMBER(F100)),IFERROR(F108/F100,""),"")</f>
        <v/>
      </c>
      <c r="G82" s="190">
        <f>IF(AND(ISNUMBER(G108),ISNUMBER(G100)),IFERROR(G108/G100,""),"")</f>
        <v/>
      </c>
      <c r="H82" s="190">
        <f>IF(AND(ISNUMBER(H108),ISNUMBER(H100)),IFERROR(H108/H100,""),"")</f>
        <v/>
      </c>
      <c r="I82" s="190">
        <f>IF(AND(ISNUMBER(I108),ISNUMBER(I100)),IFERROR(I108/I100,""),"")</f>
        <v/>
      </c>
      <c r="J82" s="190">
        <f>IF(AND(ISNUMBER(J108),ISNUMBER(J100)),IFERROR(J108/J100,""),"")</f>
        <v/>
      </c>
      <c r="K82" s="190">
        <f>IF(AND(ISNUMBER(K108),ISNUMBER(K100)),IFERROR(K108/K100,""),"")</f>
        <v/>
      </c>
      <c r="L82" s="190">
        <f>IF(AND(ISNUMBER(L108),ISNUMBER(L100)),IFERROR(L108/L100,""),"")</f>
        <v/>
      </c>
      <c r="M82" s="190">
        <f>IF(AND(ISNUMBER(M108),ISNUMBER(M100)),IFERROR(M108/M100,""),"")</f>
        <v/>
      </c>
      <c r="N82" s="190">
        <f>IF(AND(ISNUMBER(N108),ISNUMBER(N100)),IFERROR(N108/N100,""),"")</f>
        <v/>
      </c>
      <c r="O82" s="190">
        <f>IF(AND(ISNUMBER(O108),ISNUMBER(O100)),IFERROR(O108/O100,""),"")</f>
        <v/>
      </c>
      <c r="P82" s="190">
        <f>IF(AND(ISNUMBER(P108),ISNUMBER(P100)),IFERROR(P108/P100,""),"")</f>
        <v/>
      </c>
      <c r="Q82" s="190">
        <f>IF(AND(ISNUMBER(Q108),ISNUMBER(Q100)),IFERROR(Q108/Q100,""),"")</f>
        <v/>
      </c>
      <c r="R82" s="190">
        <f>IF(AND(ISNUMBER(R108),ISNUMBER(R100)),IFERROR(R108/R100,""),"")</f>
        <v/>
      </c>
      <c r="S82" s="190">
        <f>IF(AND(ISNUMBER(S108),ISNUMBER(S100)),IFERROR(S108/S100,""),"")</f>
        <v/>
      </c>
      <c r="T82" s="190">
        <f>IF(AND(ISNUMBER(T108),ISNUMBER(T100)),IFERROR(T108/T100,""),"")</f>
        <v/>
      </c>
      <c r="U82" s="190">
        <f>IF(AND(ISNUMBER(U108),ISNUMBER(U100)),IFERROR(U108/U100,""),"")</f>
        <v/>
      </c>
      <c r="V82" s="190">
        <f>IF(AND(ISNUMBER(V108),ISNUMBER(V100)),IFERROR(V108/V100,""),"")</f>
        <v/>
      </c>
      <c r="W82" s="190">
        <f>IF(AND(ISNUMBER(W108),ISNUMBER(W100)),IFERROR(W108/W100,""),"")</f>
        <v/>
      </c>
      <c r="X82" s="190">
        <f>IF(AND(ISNUMBER(X108),ISNUMBER(X100)),IFERROR(X108/X100,""),"")</f>
        <v/>
      </c>
      <c r="Y82" s="190">
        <f>IF(AND(ISNUMBER(Y108),ISNUMBER(Y100)),IFERROR(Y108/Y100,""),"")</f>
        <v/>
      </c>
      <c r="Z82" s="190">
        <f>IF(AND(ISNUMBER(Z108),ISNUMBER(Z100)),IFERROR(Z108/Z100,""),"")</f>
        <v/>
      </c>
      <c r="AA82" s="190">
        <f>IF(AND(ISNUMBER(AA108),ISNUMBER(AA100)),IFERROR(AA108/AA100,""),"")</f>
        <v/>
      </c>
      <c r="AB82" s="190">
        <f>IF(AND(ISNUMBER(AB108),ISNUMBER(AB100)),IFERROR(AB108/AB100,""),"")</f>
        <v/>
      </c>
      <c r="AC82" s="190">
        <f>IF(AND(ISNUMBER(AC108),ISNUMBER(AC100)),IFERROR(AC108/AC100,""),"")</f>
        <v/>
      </c>
      <c r="AD82" s="190">
        <f>IF(AND(ISNUMBER(AD108),ISNUMBER(AD100)),IFERROR(AD108/AD100,""),"")</f>
        <v/>
      </c>
      <c r="AE82" s="190">
        <f>IF(AND(ISNUMBER(AE108),ISNUMBER(AE100)),IFERROR(AE108/AE100,""),"")</f>
        <v/>
      </c>
      <c r="AF82" s="190">
        <f>IF(AND(ISNUMBER(AF108),ISNUMBER(AF100)),IFERROR(AF108/AF100,""),"")</f>
        <v/>
      </c>
      <c r="AG82" s="190">
        <f>IF(AND(ISNUMBER(AG108),ISNUMBER(AG100)),IFERROR(AG108/AG100,""),"")</f>
        <v/>
      </c>
      <c r="AH82" s="190">
        <f>IF(AND(ISNUMBER(AH108),ISNUMBER(AH100)),IFERROR(AH108/AH100,""),"")</f>
        <v/>
      </c>
      <c r="AI82" s="190">
        <f>IF(AND(ISNUMBER(AI108),ISNUMBER(AI100)),IFERROR(AI108/AI100,""),"")</f>
        <v/>
      </c>
      <c r="AJ82" s="190">
        <f>IF(AND(ISNUMBER(AJ108),ISNUMBER(AJ100)),IFERROR(AJ108/AJ100,""),"")</f>
        <v/>
      </c>
      <c r="AK82" s="190">
        <f>IF(AND(ISNUMBER(AK108),ISNUMBER(AK100)),IFERROR(AK108/AK100,""),"")</f>
        <v/>
      </c>
      <c r="AL82" s="190">
        <f>IF(AND(ISNUMBER(AL108),ISNUMBER(AL100)),IFERROR(AL108/AL100,""),"")</f>
        <v/>
      </c>
      <c r="AM82" s="190">
        <f>IF(AND(ISNUMBER(AM108),ISNUMBER(AM100)),IFERROR(AM108/AM100,""),"")</f>
        <v/>
      </c>
      <c r="AN82" s="190">
        <f>IF(AND(ISNUMBER(AN108),ISNUMBER(AN100)),IFERROR(AN108/AN100,""),"")</f>
        <v/>
      </c>
      <c r="AO82" s="190">
        <f>IF(AND(ISNUMBER(AO108),ISNUMBER(AO100)),IFERROR(AO108/AO100,""),"")</f>
        <v/>
      </c>
      <c r="AP82" s="190">
        <f>IF(AND(ISNUMBER(AP108),ISNUMBER(AP100)),IFERROR(AP108/AP100,""),"")</f>
        <v/>
      </c>
      <c r="AQ82" s="190">
        <f>IF(AND(ISNUMBER(AQ108),ISNUMBER(AQ100)),IFERROR(AQ108/AQ100,""),"")</f>
        <v/>
      </c>
      <c r="AR82" s="190">
        <f>IF(AND(ISNUMBER(AR108),ISNUMBER(AR100)),IFERROR(AR108/AR100,""),"")</f>
        <v/>
      </c>
      <c r="AS82" s="190">
        <f>IF(AND(ISNUMBER(AS108),ISNUMBER(AS100)),IFERROR(AS108/AS100,""),"")</f>
        <v/>
      </c>
      <c r="AT82" s="190">
        <f>IF(AND(ISNUMBER(AT108),ISNUMBER(AT100)),IFERROR(AT108/AT100,""),"")</f>
        <v/>
      </c>
      <c r="AU82" s="190">
        <f>IF(AND(ISNUMBER(AU108),ISNUMBER(AU100)),IFERROR(AU108/AU100,""),"")</f>
        <v/>
      </c>
      <c r="AV82" s="190">
        <f>IF(AND(ISNUMBER(AV108),ISNUMBER(AV100)),IFERROR(AV108/AV100,""),"")</f>
        <v/>
      </c>
      <c r="AW82" s="190">
        <f>IF(AND(ISNUMBER(AW108),ISNUMBER(AW100)),IFERROR(AW108/AW100,""),"")</f>
        <v/>
      </c>
      <c r="AX82" s="190">
        <f>IF(AND(ISNUMBER(AX108),ISNUMBER(AX100)),IFERROR(AX108/AX100,""),"")</f>
        <v/>
      </c>
      <c r="AY82" s="190">
        <f>IF(AND(ISNUMBER(AY108),ISNUMBER(AY100)),IFERROR(AY108/AY100,""),"")</f>
        <v/>
      </c>
      <c r="AZ82" s="190">
        <f>IF(AND(ISNUMBER(AZ108),ISNUMBER(AZ100)),IFERROR(AZ108/AZ100,""),"")</f>
        <v/>
      </c>
      <c r="BA82" s="190">
        <f>IF(AND(ISNUMBER(BA108),ISNUMBER(BA100)),IFERROR(BA108/BA100,""),"")</f>
        <v/>
      </c>
      <c r="BB82" s="190">
        <f>IF(AND(ISNUMBER(BB108),ISNUMBER(BB100)),IFERROR(BB108/BB100,""),"")</f>
        <v/>
      </c>
      <c r="BC82" s="190">
        <f>IF(AND(ISNUMBER(BC108),ISNUMBER(BC100)),IFERROR(BC108/BC100,""),"")</f>
        <v/>
      </c>
      <c r="BD82" s="190">
        <f>IF(AND(ISNUMBER(BD108),ISNUMBER(BD100)),IFERROR(BD108/BD100,""),"")</f>
        <v/>
      </c>
      <c r="BE82" s="190">
        <f>IF(AND(ISNUMBER(BE108),ISNUMBER(BE100)),IFERROR(BE108/BE100,""),"")</f>
        <v/>
      </c>
      <c r="BF82" s="190">
        <f>IF(AND(ISNUMBER(BF108),ISNUMBER(BF100)),IFERROR(BF108/BF100,""),"")</f>
        <v/>
      </c>
      <c r="BG82" s="190">
        <f>IF(AND(ISNUMBER(BG108),ISNUMBER(BG100)),IFERROR(BG108/BG100,""),"")</f>
        <v/>
      </c>
      <c r="BH82" s="190">
        <f>IF(AND(ISNUMBER(BH108),ISNUMBER(BH100)),IFERROR(BH108/BH100,""),"")</f>
        <v/>
      </c>
      <c r="BI82" s="190">
        <f>IF(AND(ISNUMBER(BI108),ISNUMBER(BI100)),IFERROR(BI108/BI100,""),"")</f>
        <v/>
      </c>
      <c r="BJ82" s="190">
        <f>IF(AND(ISNUMBER(BJ108),ISNUMBER(BJ100)),IFERROR(BJ108/BJ100,""),"")</f>
        <v/>
      </c>
      <c r="BK82" s="190">
        <f>IF(AND(ISNUMBER(BK108),ISNUMBER(BK100)),IFERROR(BK108/BK100,""),"")</f>
        <v/>
      </c>
      <c r="BL82" s="190">
        <f>IF(AND(ISNUMBER(BL108),ISNUMBER(BL100)),IFERROR(BL108/BL100,""),"")</f>
        <v/>
      </c>
      <c r="BM82" s="190">
        <f>IF(AND(ISNUMBER(BM108),ISNUMBER(BM100)),IFERROR(BM108/BM100,""),"")</f>
        <v/>
      </c>
      <c r="BN82" s="190">
        <f>IF(AND(ISNUMBER(BN108),ISNUMBER(BN100)),IFERROR(BN108/BN100,""),"")</f>
        <v/>
      </c>
      <c r="BO82" s="190">
        <f>IF(AND(ISNUMBER(BO108),ISNUMBER(BO100)),IFERROR(BO108/BO100,""),"")</f>
        <v/>
      </c>
      <c r="BP82" s="190">
        <f>IF(AND(ISNUMBER(BP108),ISNUMBER(BP100)),IFERROR(BP108/BP100,""),"")</f>
        <v/>
      </c>
      <c r="BQ82" s="190">
        <f>IF(AND(ISNUMBER(BQ108),ISNUMBER(BQ100)),IFERROR(BQ108/BQ100,""),"")</f>
        <v/>
      </c>
      <c r="BR82" s="190">
        <f>IF(AND(ISNUMBER(BR108),ISNUMBER(BR100)),IFERROR(BR108/BR100,""),"")</f>
        <v/>
      </c>
      <c r="BS82" s="190">
        <f>IF(AND(ISNUMBER(BS108),ISNUMBER(BS100)),IFERROR(BS108/BS100,""),"")</f>
        <v/>
      </c>
      <c r="BT82" s="190">
        <f>IF(AND(ISNUMBER(BT108),ISNUMBER(BT100)),IFERROR(BT108/BT100,""),"")</f>
        <v/>
      </c>
      <c r="BU82" s="190">
        <f>IF(AND(ISNUMBER(BU108),ISNUMBER(BU100)),IFERROR(BU108/BU100,""),"")</f>
        <v/>
      </c>
      <c r="BV82" s="190">
        <f>IF(AND(ISNUMBER(BV108),ISNUMBER(BV100)),IFERROR(BV108/BV100,""),"")</f>
        <v/>
      </c>
      <c r="BW82" s="190">
        <f>IF(AND(ISNUMBER(BW108),ISNUMBER(BW100)),IFERROR(BW108/BW100,""),"")</f>
        <v/>
      </c>
      <c r="BX82" s="190">
        <f>IF(AND(ISNUMBER(BX108),ISNUMBER(BX100)),IFERROR(BX108/BX100,""),"")</f>
        <v/>
      </c>
      <c r="BY82" s="181">
        <f>IF(AND(ISNUMBER(BY108),ISNUMBER(BY100)),IFERROR(BY108/BY100,""),"")</f>
        <v/>
      </c>
      <c r="BZ82" s="181">
        <f>IF(AND(ISNUMBER(BZ108),ISNUMBER(BZ100)),IFERROR(BZ108/BZ100,""),"")</f>
        <v/>
      </c>
      <c r="CA82" s="181">
        <f>IF(AND(ISNUMBER(CA108),ISNUMBER(CA100)),IFERROR(CA108/CA100,""),"")</f>
        <v/>
      </c>
      <c r="CB82" s="195" t="n">
        <v>0.066</v>
      </c>
      <c r="CC82" s="195" t="n">
        <v>0.066</v>
      </c>
      <c r="CD82" s="195" t="n">
        <v>0.066</v>
      </c>
      <c r="CE82" s="195" t="n">
        <v>0.066</v>
      </c>
      <c r="CF82" s="6" t="inlineStr">
        <is>
          <t>Q3/Q4-26E: FY26 D&amp;A point estimate (ODFL guides D&amp;A in the Q4 call; not on EDGAR) less 1H/26, split evenly. 2027E+ input (FY2025 6.6%; capex-led).</t>
        </is>
      </c>
      <c r="CH82" s="39">
        <f>IFERROR(AVERAGE(CA82,CB82,CC82,CD82,CE82),"n/m")</f>
        <v/>
      </c>
      <c r="CI82" s="39">
        <f>IFERROR(AVERAGE(BB82,BG82,BL82,BQ82,BV82),"n/m")</f>
        <v/>
      </c>
      <c r="CJ82" s="39">
        <f>IFERROR(AVERAGE(AC82,AH82,AM82,AR82,AW82,BB82,BG82,BL82,BQ82,BV82),"n/m")</f>
        <v/>
      </c>
      <c r="CK82" s="39">
        <f>IFERROR(AVERAGE(C82,D82,E82,F82,G82,H82,I82,N82,S82,X82,AC82,AH82,AM82,AR82,AW82,BB82,BG82,BL82,BQ82,BV82),"n/m")</f>
        <v/>
      </c>
    </row>
    <row r="83" ht="15" customHeight="1">
      <c r="B83" s="26" t="inlineStr">
        <is>
          <t xml:space="preserve">  Miscellaneous (income) expense, net % of revenue (incl. disposal gains / losses)</t>
        </is>
      </c>
      <c r="C83" s="190">
        <f>IF(AND(ISNUMBER(C110),ISNUMBER(C100)),IFERROR(C110/C100,""),"")</f>
        <v/>
      </c>
      <c r="D83" s="190">
        <f>IF(AND(ISNUMBER(D110),ISNUMBER(D100)),IFERROR(D110/D100,""),"")</f>
        <v/>
      </c>
      <c r="E83" s="190">
        <f>IF(AND(ISNUMBER(E110),ISNUMBER(E100)),IFERROR(E110/E100,""),"")</f>
        <v/>
      </c>
      <c r="F83" s="190">
        <f>IF(AND(ISNUMBER(F110),ISNUMBER(F100)),IFERROR(F110/F100,""),"")</f>
        <v/>
      </c>
      <c r="G83" s="190">
        <f>IF(AND(ISNUMBER(G110),ISNUMBER(G100)),IFERROR(G110/G100,""),"")</f>
        <v/>
      </c>
      <c r="H83" s="190">
        <f>IF(AND(ISNUMBER(H110),ISNUMBER(H100)),IFERROR(H110/H100,""),"")</f>
        <v/>
      </c>
      <c r="I83" s="190">
        <f>IF(AND(ISNUMBER(I110),ISNUMBER(I100)),IFERROR(I110/I100,""),"")</f>
        <v/>
      </c>
      <c r="J83" s="190">
        <f>IF(AND(ISNUMBER(J110),ISNUMBER(J100)),IFERROR(J110/J100,""),"")</f>
        <v/>
      </c>
      <c r="K83" s="190">
        <f>IF(AND(ISNUMBER(K110),ISNUMBER(K100)),IFERROR(K110/K100,""),"")</f>
        <v/>
      </c>
      <c r="L83" s="190">
        <f>IF(AND(ISNUMBER(L110),ISNUMBER(L100)),IFERROR(L110/L100,""),"")</f>
        <v/>
      </c>
      <c r="M83" s="190">
        <f>IF(AND(ISNUMBER(M110),ISNUMBER(M100)),IFERROR(M110/M100,""),"")</f>
        <v/>
      </c>
      <c r="N83" s="190">
        <f>IF(AND(ISNUMBER(N110),ISNUMBER(N100)),IFERROR(N110/N100,""),"")</f>
        <v/>
      </c>
      <c r="O83" s="190">
        <f>IF(AND(ISNUMBER(O110),ISNUMBER(O100)),IFERROR(O110/O100,""),"")</f>
        <v/>
      </c>
      <c r="P83" s="190">
        <f>IF(AND(ISNUMBER(P110),ISNUMBER(P100)),IFERROR(P110/P100,""),"")</f>
        <v/>
      </c>
      <c r="Q83" s="190">
        <f>IF(AND(ISNUMBER(Q110),ISNUMBER(Q100)),IFERROR(Q110/Q100,""),"")</f>
        <v/>
      </c>
      <c r="R83" s="190">
        <f>IF(AND(ISNUMBER(R110),ISNUMBER(R100)),IFERROR(R110/R100,""),"")</f>
        <v/>
      </c>
      <c r="S83" s="190">
        <f>IF(AND(ISNUMBER(S110),ISNUMBER(S100)),IFERROR(S110/S100,""),"")</f>
        <v/>
      </c>
      <c r="T83" s="190">
        <f>IF(AND(ISNUMBER(T110),ISNUMBER(T100)),IFERROR(T110/T100,""),"")</f>
        <v/>
      </c>
      <c r="U83" s="190">
        <f>IF(AND(ISNUMBER(U110),ISNUMBER(U100)),IFERROR(U110/U100,""),"")</f>
        <v/>
      </c>
      <c r="V83" s="190">
        <f>IF(AND(ISNUMBER(V110),ISNUMBER(V100)),IFERROR(V110/V100,""),"")</f>
        <v/>
      </c>
      <c r="W83" s="190">
        <f>IF(AND(ISNUMBER(W110),ISNUMBER(W100)),IFERROR(W110/W100,""),"")</f>
        <v/>
      </c>
      <c r="X83" s="190">
        <f>IF(AND(ISNUMBER(X110),ISNUMBER(X100)),IFERROR(X110/X100,""),"")</f>
        <v/>
      </c>
      <c r="Y83" s="190">
        <f>IF(AND(ISNUMBER(Y110),ISNUMBER(Y100)),IFERROR(Y110/Y100,""),"")</f>
        <v/>
      </c>
      <c r="Z83" s="190">
        <f>IF(AND(ISNUMBER(Z110),ISNUMBER(Z100)),IFERROR(Z110/Z100,""),"")</f>
        <v/>
      </c>
      <c r="AA83" s="190">
        <f>IF(AND(ISNUMBER(AA110),ISNUMBER(AA100)),IFERROR(AA110/AA100,""),"")</f>
        <v/>
      </c>
      <c r="AB83" s="190">
        <f>IF(AND(ISNUMBER(AB110),ISNUMBER(AB100)),IFERROR(AB110/AB100,""),"")</f>
        <v/>
      </c>
      <c r="AC83" s="190">
        <f>IF(AND(ISNUMBER(AC110),ISNUMBER(AC100)),IFERROR(AC110/AC100,""),"")</f>
        <v/>
      </c>
      <c r="AD83" s="190">
        <f>IF(AND(ISNUMBER(AD110),ISNUMBER(AD100)),IFERROR(AD110/AD100,""),"")</f>
        <v/>
      </c>
      <c r="AE83" s="190">
        <f>IF(AND(ISNUMBER(AE110),ISNUMBER(AE100)),IFERROR(AE110/AE100,""),"")</f>
        <v/>
      </c>
      <c r="AF83" s="190">
        <f>IF(AND(ISNUMBER(AF110),ISNUMBER(AF100)),IFERROR(AF110/AF100,""),"")</f>
        <v/>
      </c>
      <c r="AG83" s="190">
        <f>IF(AND(ISNUMBER(AG110),ISNUMBER(AG100)),IFERROR(AG110/AG100,""),"")</f>
        <v/>
      </c>
      <c r="AH83" s="190">
        <f>IF(AND(ISNUMBER(AH110),ISNUMBER(AH100)),IFERROR(AH110/AH100,""),"")</f>
        <v/>
      </c>
      <c r="AI83" s="190">
        <f>IF(AND(ISNUMBER(AI110),ISNUMBER(AI100)),IFERROR(AI110/AI100,""),"")</f>
        <v/>
      </c>
      <c r="AJ83" s="190">
        <f>IF(AND(ISNUMBER(AJ110),ISNUMBER(AJ100)),IFERROR(AJ110/AJ100,""),"")</f>
        <v/>
      </c>
      <c r="AK83" s="190">
        <f>IF(AND(ISNUMBER(AK110),ISNUMBER(AK100)),IFERROR(AK110/AK100,""),"")</f>
        <v/>
      </c>
      <c r="AL83" s="190">
        <f>IF(AND(ISNUMBER(AL110),ISNUMBER(AL100)),IFERROR(AL110/AL100,""),"")</f>
        <v/>
      </c>
      <c r="AM83" s="190">
        <f>IF(AND(ISNUMBER(AM110),ISNUMBER(AM100)),IFERROR(AM110/AM100,""),"")</f>
        <v/>
      </c>
      <c r="AN83" s="190">
        <f>IF(AND(ISNUMBER(AN110),ISNUMBER(AN100)),IFERROR(AN110/AN100,""),"")</f>
        <v/>
      </c>
      <c r="AO83" s="190">
        <f>IF(AND(ISNUMBER(AO110),ISNUMBER(AO100)),IFERROR(AO110/AO100,""),"")</f>
        <v/>
      </c>
      <c r="AP83" s="190">
        <f>IF(AND(ISNUMBER(AP110),ISNUMBER(AP100)),IFERROR(AP110/AP100,""),"")</f>
        <v/>
      </c>
      <c r="AQ83" s="190">
        <f>IF(AND(ISNUMBER(AQ110),ISNUMBER(AQ100)),IFERROR(AQ110/AQ100,""),"")</f>
        <v/>
      </c>
      <c r="AR83" s="190">
        <f>IF(AND(ISNUMBER(AR110),ISNUMBER(AR100)),IFERROR(AR110/AR100,""),"")</f>
        <v/>
      </c>
      <c r="AS83" s="190">
        <f>IF(AND(ISNUMBER(AS110),ISNUMBER(AS100)),IFERROR(AS110/AS100,""),"")</f>
        <v/>
      </c>
      <c r="AT83" s="190">
        <f>IF(AND(ISNUMBER(AT110),ISNUMBER(AT100)),IFERROR(AT110/AT100,""),"")</f>
        <v/>
      </c>
      <c r="AU83" s="190">
        <f>IF(AND(ISNUMBER(AU110),ISNUMBER(AU100)),IFERROR(AU110/AU100,""),"")</f>
        <v/>
      </c>
      <c r="AV83" s="190">
        <f>IF(AND(ISNUMBER(AV110),ISNUMBER(AV100)),IFERROR(AV110/AV100,""),"")</f>
        <v/>
      </c>
      <c r="AW83" s="190">
        <f>IF(AND(ISNUMBER(AW110),ISNUMBER(AW100)),IFERROR(AW110/AW100,""),"")</f>
        <v/>
      </c>
      <c r="AX83" s="190">
        <f>IF(AND(ISNUMBER(AX110),ISNUMBER(AX100)),IFERROR(AX110/AX100,""),"")</f>
        <v/>
      </c>
      <c r="AY83" s="190">
        <f>IF(AND(ISNUMBER(AY110),ISNUMBER(AY100)),IFERROR(AY110/AY100,""),"")</f>
        <v/>
      </c>
      <c r="AZ83" s="190">
        <f>IF(AND(ISNUMBER(AZ110),ISNUMBER(AZ100)),IFERROR(AZ110/AZ100,""),"")</f>
        <v/>
      </c>
      <c r="BA83" s="190">
        <f>IF(AND(ISNUMBER(BA110),ISNUMBER(BA100)),IFERROR(BA110/BA100,""),"")</f>
        <v/>
      </c>
      <c r="BB83" s="190">
        <f>IF(AND(ISNUMBER(BB110),ISNUMBER(BB100)),IFERROR(BB110/BB100,""),"")</f>
        <v/>
      </c>
      <c r="BC83" s="190">
        <f>IF(AND(ISNUMBER(BC110),ISNUMBER(BC100)),IFERROR(BC110/BC100,""),"")</f>
        <v/>
      </c>
      <c r="BD83" s="190">
        <f>IF(AND(ISNUMBER(BD110),ISNUMBER(BD100)),IFERROR(BD110/BD100,""),"")</f>
        <v/>
      </c>
      <c r="BE83" s="190">
        <f>IF(AND(ISNUMBER(BE110),ISNUMBER(BE100)),IFERROR(BE110/BE100,""),"")</f>
        <v/>
      </c>
      <c r="BF83" s="190">
        <f>IF(AND(ISNUMBER(BF110),ISNUMBER(BF100)),IFERROR(BF110/BF100,""),"")</f>
        <v/>
      </c>
      <c r="BG83" s="190">
        <f>IF(AND(ISNUMBER(BG110),ISNUMBER(BG100)),IFERROR(BG110/BG100,""),"")</f>
        <v/>
      </c>
      <c r="BH83" s="190">
        <f>IF(AND(ISNUMBER(BH110),ISNUMBER(BH100)),IFERROR(BH110/BH100,""),"")</f>
        <v/>
      </c>
      <c r="BI83" s="190">
        <f>IF(AND(ISNUMBER(BI110),ISNUMBER(BI100)),IFERROR(BI110/BI100,""),"")</f>
        <v/>
      </c>
      <c r="BJ83" s="190">
        <f>IF(AND(ISNUMBER(BJ110),ISNUMBER(BJ100)),IFERROR(BJ110/BJ100,""),"")</f>
        <v/>
      </c>
      <c r="BK83" s="190">
        <f>IF(AND(ISNUMBER(BK110),ISNUMBER(BK100)),IFERROR(BK110/BK100,""),"")</f>
        <v/>
      </c>
      <c r="BL83" s="190">
        <f>IF(AND(ISNUMBER(BL110),ISNUMBER(BL100)),IFERROR(BL110/BL100,""),"")</f>
        <v/>
      </c>
      <c r="BM83" s="190">
        <f>IF(AND(ISNUMBER(BM110),ISNUMBER(BM100)),IFERROR(BM110/BM100,""),"")</f>
        <v/>
      </c>
      <c r="BN83" s="190">
        <f>IF(AND(ISNUMBER(BN110),ISNUMBER(BN100)),IFERROR(BN110/BN100,""),"")</f>
        <v/>
      </c>
      <c r="BO83" s="190">
        <f>IF(AND(ISNUMBER(BO110),ISNUMBER(BO100)),IFERROR(BO110/BO100,""),"")</f>
        <v/>
      </c>
      <c r="BP83" s="190">
        <f>IF(AND(ISNUMBER(BP110),ISNUMBER(BP100)),IFERROR(BP110/BP100,""),"")</f>
        <v/>
      </c>
      <c r="BQ83" s="190">
        <f>IF(AND(ISNUMBER(BQ110),ISNUMBER(BQ100)),IFERROR(BQ110/BQ100,""),"")</f>
        <v/>
      </c>
      <c r="BR83" s="190">
        <f>IF(AND(ISNUMBER(BR110),ISNUMBER(BR100)),IFERROR(BR110/BR100,""),"")</f>
        <v/>
      </c>
      <c r="BS83" s="190">
        <f>IF(AND(ISNUMBER(BS110),ISNUMBER(BS100)),IFERROR(BS110/BS100,""),"")</f>
        <v/>
      </c>
      <c r="BT83" s="190">
        <f>IF(AND(ISNUMBER(BT110),ISNUMBER(BT100)),IFERROR(BT110/BT100,""),"")</f>
        <v/>
      </c>
      <c r="BU83" s="190">
        <f>IF(AND(ISNUMBER(BU110),ISNUMBER(BU100)),IFERROR(BU110/BU100,""),"")</f>
        <v/>
      </c>
      <c r="BV83" s="190">
        <f>IF(AND(ISNUMBER(BV110),ISNUMBER(BV100)),IFERROR(BV110/BV100,""),"")</f>
        <v/>
      </c>
      <c r="BW83" s="190">
        <f>IF(AND(ISNUMBER(BW110),ISNUMBER(BW100)),IFERROR(BW110/BW100,""),"")</f>
        <v/>
      </c>
      <c r="BX83" s="190">
        <f>IF(AND(ISNUMBER(BX110),ISNUMBER(BX100)),IFERROR(BX110/BX100,""),"")</f>
        <v/>
      </c>
      <c r="BY83" s="181">
        <f>IFERROR(((BW110+BX110)-(BW152+BX152))/(BW100+BX100),"")</f>
        <v/>
      </c>
      <c r="BZ83" s="181">
        <f>IFERROR(((BW110+BX110)-(BW152+BX152))/(BW100+BX100),"")</f>
        <v/>
      </c>
      <c r="CA83" s="181">
        <f>IF(AND(ISNUMBER(CA110),ISNUMBER(CA100)),IFERROR(CA110/CA100,""),"")</f>
        <v/>
      </c>
      <c r="CB83" s="181">
        <f>$BY$83</f>
        <v/>
      </c>
      <c r="CC83" s="181">
        <f>$BY$83</f>
        <v/>
      </c>
      <c r="CD83" s="181">
        <f>$BY$83</f>
        <v/>
      </c>
      <c r="CE83" s="181">
        <f>$BY$83</f>
        <v/>
      </c>
      <c r="CF83" s="6" t="inlineStr">
        <is>
          <t>Q3/Q4-26E and 2027E+: 1H/26 run-rate excluding net gains on disposal of property &amp; equipment (no disposal gains forecast).</t>
        </is>
      </c>
      <c r="CH83" s="39">
        <f>IFERROR(AVERAGE(CA83,CB83,CC83,CD83,CE83),"n/m")</f>
        <v/>
      </c>
      <c r="CI83" s="39">
        <f>IFERROR(AVERAGE(BB83,BG83,BL83,BQ83,BV83),"n/m")</f>
        <v/>
      </c>
      <c r="CJ83" s="39">
        <f>IFERROR(AVERAGE(AC83,AH83,AM83,AR83,AW83,BB83,BG83,BL83,BQ83,BV83),"n/m")</f>
        <v/>
      </c>
      <c r="CK83" s="39">
        <f>IFERROR(AVERAGE(C83,D83,E83,F83,G83,H83,I83,N83,S83,X83,AC83,AH83,AM83,AR83,AW83,BB83,BG83,BL83,BQ83,BV83),"n/m")</f>
        <v/>
      </c>
    </row>
    <row r="84" ht="15" customHeight="1">
      <c r="B84" s="26" t="inlineStr">
        <is>
          <t xml:space="preserve">  Building &amp; office equipment rents % of revenue (separate line to 2012)</t>
        </is>
      </c>
      <c r="C84" s="190">
        <f>IF(AND(ISNUMBER(C109),ISNUMBER(C100)),IFERROR(C109/C100,""),"")</f>
        <v/>
      </c>
      <c r="D84" s="190">
        <f>IF(AND(ISNUMBER(D109),ISNUMBER(D100)),IFERROR(D109/D100,""),"")</f>
        <v/>
      </c>
      <c r="E84" s="190">
        <f>IF(AND(ISNUMBER(E109),ISNUMBER(E100)),IFERROR(E109/E100,""),"")</f>
        <v/>
      </c>
      <c r="F84" s="190">
        <f>IF(AND(ISNUMBER(F109),ISNUMBER(F100)),IFERROR(F109/F100,""),"")</f>
        <v/>
      </c>
      <c r="G84" s="190">
        <f>IF(AND(ISNUMBER(G109),ISNUMBER(G100)),IFERROR(G109/G100,""),"")</f>
        <v/>
      </c>
      <c r="H84" s="190">
        <f>IF(AND(ISNUMBER(H109),ISNUMBER(H100)),IFERROR(H109/H100,""),"")</f>
        <v/>
      </c>
      <c r="I84" s="190">
        <f>IF(AND(ISNUMBER(I109),ISNUMBER(I100)),IFERROR(I109/I100,""),"")</f>
        <v/>
      </c>
      <c r="J84" s="190">
        <f>IF(AND(ISNUMBER(J109),ISNUMBER(J100)),IFERROR(J109/J100,""),"")</f>
        <v/>
      </c>
      <c r="K84" s="190">
        <f>IF(AND(ISNUMBER(K109),ISNUMBER(K100)),IFERROR(K109/K100,""),"")</f>
        <v/>
      </c>
      <c r="L84" s="190">
        <f>IF(AND(ISNUMBER(L109),ISNUMBER(L100)),IFERROR(L109/L100,""),"")</f>
        <v/>
      </c>
      <c r="M84" s="190">
        <f>IF(AND(ISNUMBER(M109),ISNUMBER(M100)),IFERROR(M109/M100,""),"")</f>
        <v/>
      </c>
      <c r="N84" s="190">
        <f>IF(AND(ISNUMBER(N109),ISNUMBER(N100)),IFERROR(N109/N100,""),"")</f>
        <v/>
      </c>
      <c r="O84" s="190">
        <f>IF(AND(ISNUMBER(O109),ISNUMBER(O100)),IFERROR(O109/O100,""),"")</f>
        <v/>
      </c>
      <c r="P84" s="190">
        <f>IF(AND(ISNUMBER(P109),ISNUMBER(P100)),IFERROR(P109/P100,""),"")</f>
        <v/>
      </c>
      <c r="Q84" s="190">
        <f>IF(AND(ISNUMBER(Q109),ISNUMBER(Q100)),IFERROR(Q109/Q100,""),"")</f>
        <v/>
      </c>
      <c r="R84" s="190">
        <f>IF(AND(ISNUMBER(R109),ISNUMBER(R100)),IFERROR(R109/R100,""),"")</f>
        <v/>
      </c>
      <c r="S84" s="190">
        <f>IF(AND(ISNUMBER(S109),ISNUMBER(S100)),IFERROR(S109/S100,""),"")</f>
        <v/>
      </c>
      <c r="T84" s="190">
        <f>IF(AND(ISNUMBER(T109),ISNUMBER(T100)),IFERROR(T109/T100,""),"")</f>
        <v/>
      </c>
      <c r="U84" s="190">
        <f>IF(AND(ISNUMBER(U109),ISNUMBER(U100)),IFERROR(U109/U100,""),"")</f>
        <v/>
      </c>
      <c r="V84" s="190">
        <f>IF(AND(ISNUMBER(V109),ISNUMBER(V100)),IFERROR(V109/V100,""),"")</f>
        <v/>
      </c>
      <c r="W84" s="190">
        <f>IF(AND(ISNUMBER(W109),ISNUMBER(W100)),IFERROR(W109/W100,""),"")</f>
        <v/>
      </c>
      <c r="X84" s="190">
        <f>IF(AND(ISNUMBER(X109),ISNUMBER(X100)),IFERROR(X109/X100,""),"")</f>
        <v/>
      </c>
      <c r="Y84" s="190">
        <f>IF(AND(ISNUMBER(Y109),ISNUMBER(Y100)),IFERROR(Y109/Y100,""),"")</f>
        <v/>
      </c>
      <c r="Z84" s="190">
        <f>IF(AND(ISNUMBER(Z109),ISNUMBER(Z100)),IFERROR(Z109/Z100,""),"")</f>
        <v/>
      </c>
      <c r="AA84" s="190">
        <f>IF(AND(ISNUMBER(AA109),ISNUMBER(AA100)),IFERROR(AA109/AA100,""),"")</f>
        <v/>
      </c>
      <c r="AB84" s="190">
        <f>IF(AND(ISNUMBER(AB109),ISNUMBER(AB100)),IFERROR(AB109/AB100,""),"")</f>
        <v/>
      </c>
      <c r="AC84" s="190">
        <f>IF(AND(ISNUMBER(AC109),ISNUMBER(AC100)),IFERROR(AC109/AC100,""),"")</f>
        <v/>
      </c>
      <c r="AD84" s="190">
        <f>IF(AND(ISNUMBER(AD109),ISNUMBER(AD100)),IFERROR(AD109/AD100,""),"")</f>
        <v/>
      </c>
      <c r="AE84" s="190">
        <f>IF(AND(ISNUMBER(AE109),ISNUMBER(AE100)),IFERROR(AE109/AE100,""),"")</f>
        <v/>
      </c>
      <c r="AF84" s="190">
        <f>IF(AND(ISNUMBER(AF109),ISNUMBER(AF100)),IFERROR(AF109/AF100,""),"")</f>
        <v/>
      </c>
      <c r="AG84" s="190">
        <f>IF(AND(ISNUMBER(AG109),ISNUMBER(AG100)),IFERROR(AG109/AG100,""),"")</f>
        <v/>
      </c>
      <c r="AH84" s="190">
        <f>IF(AND(ISNUMBER(AH109),ISNUMBER(AH100)),IFERROR(AH109/AH100,""),"")</f>
        <v/>
      </c>
      <c r="AI84" s="190">
        <f>IF(AND(ISNUMBER(AI109),ISNUMBER(AI100)),IFERROR(AI109/AI100,""),"")</f>
        <v/>
      </c>
      <c r="AJ84" s="190">
        <f>IF(AND(ISNUMBER(AJ109),ISNUMBER(AJ100)),IFERROR(AJ109/AJ100,""),"")</f>
        <v/>
      </c>
      <c r="AK84" s="190">
        <f>IF(AND(ISNUMBER(AK109),ISNUMBER(AK100)),IFERROR(AK109/AK100,""),"")</f>
        <v/>
      </c>
      <c r="AL84" s="190">
        <f>IF(AND(ISNUMBER(AL109),ISNUMBER(AL100)),IFERROR(AL109/AL100,""),"")</f>
        <v/>
      </c>
      <c r="AM84" s="190">
        <f>IF(AND(ISNUMBER(AM109),ISNUMBER(AM100)),IFERROR(AM109/AM100,""),"")</f>
        <v/>
      </c>
      <c r="AN84" s="190">
        <f>IF(AND(ISNUMBER(AN109),ISNUMBER(AN100)),IFERROR(AN109/AN100,""),"")</f>
        <v/>
      </c>
      <c r="AO84" s="190">
        <f>IF(AND(ISNUMBER(AO109),ISNUMBER(AO100)),IFERROR(AO109/AO100,""),"")</f>
        <v/>
      </c>
      <c r="AP84" s="190">
        <f>IF(AND(ISNUMBER(AP109),ISNUMBER(AP100)),IFERROR(AP109/AP100,""),"")</f>
        <v/>
      </c>
      <c r="AQ84" s="190">
        <f>IF(AND(ISNUMBER(AQ109),ISNUMBER(AQ100)),IFERROR(AQ109/AQ100,""),"")</f>
        <v/>
      </c>
      <c r="AR84" s="190">
        <f>IF(AND(ISNUMBER(AR109),ISNUMBER(AR100)),IFERROR(AR109/AR100,""),"")</f>
        <v/>
      </c>
      <c r="AS84" s="190">
        <f>IF(AND(ISNUMBER(AS109),ISNUMBER(AS100)),IFERROR(AS109/AS100,""),"")</f>
        <v/>
      </c>
      <c r="AT84" s="190">
        <f>IF(AND(ISNUMBER(AT109),ISNUMBER(AT100)),IFERROR(AT109/AT100,""),"")</f>
        <v/>
      </c>
      <c r="AU84" s="190">
        <f>IF(AND(ISNUMBER(AU109),ISNUMBER(AU100)),IFERROR(AU109/AU100,""),"")</f>
        <v/>
      </c>
      <c r="AV84" s="190">
        <f>IF(AND(ISNUMBER(AV109),ISNUMBER(AV100)),IFERROR(AV109/AV100,""),"")</f>
        <v/>
      </c>
      <c r="AW84" s="190">
        <f>IF(AND(ISNUMBER(AW109),ISNUMBER(AW100)),IFERROR(AW109/AW100,""),"")</f>
        <v/>
      </c>
      <c r="AX84" s="190">
        <f>IF(AND(ISNUMBER(AX109),ISNUMBER(AX100)),IFERROR(AX109/AX100,""),"")</f>
        <v/>
      </c>
      <c r="AY84" s="190">
        <f>IF(AND(ISNUMBER(AY109),ISNUMBER(AY100)),IFERROR(AY109/AY100,""),"")</f>
        <v/>
      </c>
      <c r="AZ84" s="190">
        <f>IF(AND(ISNUMBER(AZ109),ISNUMBER(AZ100)),IFERROR(AZ109/AZ100,""),"")</f>
        <v/>
      </c>
      <c r="BA84" s="190">
        <f>IF(AND(ISNUMBER(BA109),ISNUMBER(BA100)),IFERROR(BA109/BA100,""),"")</f>
        <v/>
      </c>
      <c r="BB84" s="190">
        <f>IF(AND(ISNUMBER(BB109),ISNUMBER(BB100)),IFERROR(BB109/BB100,""),"")</f>
        <v/>
      </c>
      <c r="BC84" s="190">
        <f>IF(AND(ISNUMBER(BC109),ISNUMBER(BC100)),IFERROR(BC109/BC100,""),"")</f>
        <v/>
      </c>
      <c r="BD84" s="190">
        <f>IF(AND(ISNUMBER(BD109),ISNUMBER(BD100)),IFERROR(BD109/BD100,""),"")</f>
        <v/>
      </c>
      <c r="BE84" s="190">
        <f>IF(AND(ISNUMBER(BE109),ISNUMBER(BE100)),IFERROR(BE109/BE100,""),"")</f>
        <v/>
      </c>
      <c r="BF84" s="190">
        <f>IF(AND(ISNUMBER(BF109),ISNUMBER(BF100)),IFERROR(BF109/BF100,""),"")</f>
        <v/>
      </c>
      <c r="BG84" s="190">
        <f>IF(AND(ISNUMBER(BG109),ISNUMBER(BG100)),IFERROR(BG109/BG100,""),"")</f>
        <v/>
      </c>
      <c r="BH84" s="190">
        <f>IF(AND(ISNUMBER(BH109),ISNUMBER(BH100)),IFERROR(BH109/BH100,""),"")</f>
        <v/>
      </c>
      <c r="BI84" s="190">
        <f>IF(AND(ISNUMBER(BI109),ISNUMBER(BI100)),IFERROR(BI109/BI100,""),"")</f>
        <v/>
      </c>
      <c r="BJ84" s="190">
        <f>IF(AND(ISNUMBER(BJ109),ISNUMBER(BJ100)),IFERROR(BJ109/BJ100,""),"")</f>
        <v/>
      </c>
      <c r="BK84" s="190">
        <f>IF(AND(ISNUMBER(BK109),ISNUMBER(BK100)),IFERROR(BK109/BK100,""),"")</f>
        <v/>
      </c>
      <c r="BL84" s="190">
        <f>IF(AND(ISNUMBER(BL109),ISNUMBER(BL100)),IFERROR(BL109/BL100,""),"")</f>
        <v/>
      </c>
      <c r="BM84" s="190">
        <f>IF(AND(ISNUMBER(BM109),ISNUMBER(BM100)),IFERROR(BM109/BM100,""),"")</f>
        <v/>
      </c>
      <c r="BN84" s="190">
        <f>IF(AND(ISNUMBER(BN109),ISNUMBER(BN100)),IFERROR(BN109/BN100,""),"")</f>
        <v/>
      </c>
      <c r="BO84" s="190">
        <f>IF(AND(ISNUMBER(BO109),ISNUMBER(BO100)),IFERROR(BO109/BO100,""),"")</f>
        <v/>
      </c>
      <c r="BP84" s="190">
        <f>IF(AND(ISNUMBER(BP109),ISNUMBER(BP100)),IFERROR(BP109/BP100,""),"")</f>
        <v/>
      </c>
      <c r="BQ84" s="190">
        <f>IF(AND(ISNUMBER(BQ109),ISNUMBER(BQ100)),IFERROR(BQ109/BQ100,""),"")</f>
        <v/>
      </c>
      <c r="BR84" s="190">
        <f>IF(AND(ISNUMBER(BR109),ISNUMBER(BR100)),IFERROR(BR109/BR100,""),"")</f>
        <v/>
      </c>
      <c r="BS84" s="190">
        <f>IF(AND(ISNUMBER(BS109),ISNUMBER(BS100)),IFERROR(BS109/BS100,""),"")</f>
        <v/>
      </c>
      <c r="BT84" s="190">
        <f>IF(AND(ISNUMBER(BT109),ISNUMBER(BT100)),IFERROR(BT109/BT100,""),"")</f>
        <v/>
      </c>
      <c r="BU84" s="190">
        <f>IF(AND(ISNUMBER(BU109),ISNUMBER(BU100)),IFERROR(BU109/BU100,""),"")</f>
        <v/>
      </c>
      <c r="BV84" s="190">
        <f>IF(AND(ISNUMBER(BV109),ISNUMBER(BV100)),IFERROR(BV109/BV100,""),"")</f>
        <v/>
      </c>
      <c r="BW84" s="190">
        <f>IF(AND(ISNUMBER(BW109),ISNUMBER(BW100)),IFERROR(BW109/BW100,""),"")</f>
        <v/>
      </c>
      <c r="BX84" s="190">
        <f>IF(AND(ISNUMBER(BX109),ISNUMBER(BX100)),IFERROR(BX109/BX100,""),"")</f>
        <v/>
      </c>
      <c r="BY84" s="25" t="n"/>
      <c r="BZ84" s="25" t="n"/>
      <c r="CA84" s="25" t="n"/>
      <c r="CB84" s="25" t="n"/>
      <c r="CC84" s="25" t="n"/>
      <c r="CD84" s="25" t="n"/>
      <c r="CE84" s="25" t="n"/>
      <c r="CF84" s="6" t="n"/>
    </row>
    <row r="85" ht="15" customHeight="1">
      <c r="B85" s="26" t="inlineStr">
        <is>
          <t xml:space="preserve">  Operating ratio before calibration (Q3/Q4-26E helper)</t>
        </is>
      </c>
      <c r="C85" s="38" t="n"/>
      <c r="D85" s="38" t="n"/>
      <c r="E85" s="38" t="n"/>
      <c r="F85" s="38" t="n"/>
      <c r="G85" s="38" t="n"/>
      <c r="H85" s="38" t="n"/>
      <c r="I85" s="38" t="n"/>
      <c r="J85" s="38" t="n"/>
      <c r="K85" s="38" t="n"/>
      <c r="L85" s="38" t="n"/>
      <c r="M85" s="38" t="n"/>
      <c r="N85" s="38" t="n"/>
      <c r="O85" s="38" t="n"/>
      <c r="P85" s="38" t="n"/>
      <c r="Q85" s="38" t="n"/>
      <c r="R85" s="38" t="n"/>
      <c r="S85" s="38" t="n"/>
      <c r="T85" s="38" t="n"/>
      <c r="U85" s="38" t="n"/>
      <c r="V85" s="38" t="n"/>
      <c r="W85" s="38" t="n"/>
      <c r="X85" s="38" t="n"/>
      <c r="Y85" s="38" t="n"/>
      <c r="Z85" s="38" t="n"/>
      <c r="AA85" s="38" t="n"/>
      <c r="AB85" s="38" t="n"/>
      <c r="AC85" s="38" t="n"/>
      <c r="AD85" s="38" t="n"/>
      <c r="AE85" s="38" t="n"/>
      <c r="AF85" s="38" t="n"/>
      <c r="AG85" s="38" t="n"/>
      <c r="AH85" s="38" t="n"/>
      <c r="AI85" s="38" t="n"/>
      <c r="AJ85" s="38" t="n"/>
      <c r="AK85" s="38" t="n"/>
      <c r="AL85" s="38" t="n"/>
      <c r="AM85" s="38" t="n"/>
      <c r="AN85" s="38" t="n"/>
      <c r="AO85" s="38" t="n"/>
      <c r="AP85" s="38" t="n"/>
      <c r="AQ85" s="38" t="n"/>
      <c r="AR85" s="38" t="n"/>
      <c r="AS85" s="38" t="n"/>
      <c r="AT85" s="38" t="n"/>
      <c r="AU85" s="38" t="n"/>
      <c r="AV85" s="38" t="n"/>
      <c r="AW85" s="38" t="n"/>
      <c r="AX85" s="38" t="n"/>
      <c r="AY85" s="38" t="n"/>
      <c r="AZ85" s="38" t="n"/>
      <c r="BA85" s="38" t="n"/>
      <c r="BB85" s="38" t="n"/>
      <c r="BC85" s="38" t="n"/>
      <c r="BD85" s="38" t="n"/>
      <c r="BE85" s="38" t="n"/>
      <c r="BF85" s="38" t="n"/>
      <c r="BG85" s="38" t="n"/>
      <c r="BH85" s="38" t="n"/>
      <c r="BI85" s="38" t="n"/>
      <c r="BJ85" s="38" t="n"/>
      <c r="BK85" s="38" t="n"/>
      <c r="BL85" s="38" t="n"/>
      <c r="BM85" s="38" t="n"/>
      <c r="BN85" s="38" t="n"/>
      <c r="BO85" s="38" t="n"/>
      <c r="BP85" s="38" t="n"/>
      <c r="BQ85" s="38" t="n"/>
      <c r="BR85" s="38" t="n"/>
      <c r="BS85" s="38" t="n"/>
      <c r="BT85" s="38" t="n"/>
      <c r="BU85" s="38" t="n"/>
      <c r="BV85" s="38" t="n"/>
      <c r="BW85" s="38" t="n"/>
      <c r="BX85" s="38" t="n"/>
      <c r="BY85" s="181">
        <f>BY69+BY71+BY73+BY75+BY77+BY79+BY81+BY82+BY83</f>
        <v/>
      </c>
      <c r="BZ85" s="181">
        <f>BZ69+BZ71+BZ73+BZ75+BZ77+BZ79+BZ81+BZ82+BZ83</f>
        <v/>
      </c>
      <c r="CA85" s="25" t="n"/>
      <c r="CB85" s="25" t="n"/>
      <c r="CC85" s="25" t="n"/>
      <c r="CD85" s="25" t="n"/>
      <c r="CE85" s="25" t="n"/>
      <c r="CF85" s="6" t="n"/>
    </row>
    <row r="86" ht="15" customHeight="1">
      <c r="B86" s="26" t="inlineStr">
        <is>
          <t xml:space="preserve">  Operating-ratio target: prior quarter + 2016–25 sequential change (scenario: best / average / worst)</t>
        </is>
      </c>
      <c r="C86" s="38" t="n"/>
      <c r="D86" s="38" t="n"/>
      <c r="E86" s="38" t="n"/>
      <c r="F86" s="38" t="n"/>
      <c r="G86" s="38" t="n"/>
      <c r="H86" s="38" t="n"/>
      <c r="I86" s="38" t="n"/>
      <c r="J86" s="38" t="n"/>
      <c r="K86" s="38" t="n"/>
      <c r="L86" s="38" t="n"/>
      <c r="M86" s="38" t="n"/>
      <c r="N86" s="38" t="n"/>
      <c r="O86" s="38" t="n"/>
      <c r="P86" s="38" t="n"/>
      <c r="Q86" s="38" t="n"/>
      <c r="R86" s="38" t="n"/>
      <c r="S86" s="38" t="n"/>
      <c r="T86" s="38" t="n"/>
      <c r="U86" s="38" t="n"/>
      <c r="V86" s="38" t="n"/>
      <c r="W86" s="38" t="n"/>
      <c r="X86" s="38" t="n"/>
      <c r="Y86" s="38" t="n"/>
      <c r="Z86" s="38" t="n"/>
      <c r="AA86" s="38" t="n"/>
      <c r="AB86" s="38" t="n"/>
      <c r="AC86" s="38" t="n"/>
      <c r="AD86" s="38" t="n"/>
      <c r="AE86" s="38" t="n"/>
      <c r="AF86" s="38" t="n"/>
      <c r="AG86" s="38" t="n"/>
      <c r="AH86" s="38" t="n"/>
      <c r="AI86" s="38" t="n"/>
      <c r="AJ86" s="38" t="n"/>
      <c r="AK86" s="38" t="n"/>
      <c r="AL86" s="38" t="n"/>
      <c r="AM86" s="38" t="n"/>
      <c r="AN86" s="38" t="n"/>
      <c r="AO86" s="38" t="n"/>
      <c r="AP86" s="38" t="n"/>
      <c r="AQ86" s="38" t="n"/>
      <c r="AR86" s="38" t="n"/>
      <c r="AS86" s="38" t="n"/>
      <c r="AT86" s="38" t="n"/>
      <c r="AU86" s="38" t="n"/>
      <c r="AV86" s="38" t="n"/>
      <c r="AW86" s="38" t="n"/>
      <c r="AX86" s="38" t="n"/>
      <c r="AY86" s="38" t="n"/>
      <c r="AZ86" s="38" t="n"/>
      <c r="BA86" s="38" t="n"/>
      <c r="BB86" s="38" t="n"/>
      <c r="BC86" s="38" t="n"/>
      <c r="BD86" s="38" t="n"/>
      <c r="BE86" s="38" t="n"/>
      <c r="BF86" s="38" t="n"/>
      <c r="BG86" s="38" t="n"/>
      <c r="BH86" s="38" t="n"/>
      <c r="BI86" s="38" t="n"/>
      <c r="BJ86" s="38" t="n"/>
      <c r="BK86" s="38" t="n"/>
      <c r="BL86" s="38" t="n"/>
      <c r="BM86" s="38" t="n"/>
      <c r="BN86" s="38" t="n"/>
      <c r="BO86" s="38" t="n"/>
      <c r="BP86" s="38" t="n"/>
      <c r="BQ86" s="38" t="n"/>
      <c r="BR86" s="38" t="n"/>
      <c r="BS86" s="38" t="n"/>
      <c r="BT86" s="38" t="n"/>
      <c r="BU86" s="38" t="n"/>
      <c r="BV86" s="38" t="n"/>
      <c r="BW86" s="38" t="n"/>
      <c r="BX86" s="38" t="n"/>
      <c r="BY86" s="181">
        <f>$BX$90+CHOOSE(MATCH($CF$2,{"Bull","Base","Bear"},0),$CO$12,$CP$12,$CQ$12)</f>
        <v/>
      </c>
      <c r="BZ86" s="181">
        <f>$BY$90+CHOOSE(MATCH($CF$2,{"Bull","Base","Bear"},0),$CO$13,$CP$13,$CQ$13)</f>
        <v/>
      </c>
      <c r="CA86" s="25" t="n"/>
      <c r="CB86" s="25" t="n"/>
      <c r="CC86" s="25" t="n"/>
      <c r="CD86" s="25" t="n"/>
      <c r="CE86" s="25" t="n"/>
      <c r="CF86" s="6" t="inlineStr">
        <is>
          <t>Q3/26E = Q2/26 operating ratio + Q2→Q3 change; Q4/26E = Q3/26E + Q3→Q4 change (min / average / max of 2016–25 by scenario). Note: the 2016–25 Q2→Q3 best case is 2020 (−332 bps, COVID rebound).</t>
        </is>
      </c>
    </row>
    <row r="87" ht="15" customHeight="1">
      <c r="B87" s="26" t="inlineStr">
        <is>
          <t xml:space="preserve">  Outlook calibration: proportional shift on variable cost lines (Q3/Q4-26E)</t>
        </is>
      </c>
      <c r="C87" s="38" t="n"/>
      <c r="D87" s="38" t="n"/>
      <c r="E87" s="38" t="n"/>
      <c r="F87" s="38" t="n"/>
      <c r="G87" s="38" t="n"/>
      <c r="H87" s="38" t="n"/>
      <c r="I87" s="38" t="n"/>
      <c r="J87" s="38" t="n"/>
      <c r="K87" s="38" t="n"/>
      <c r="L87" s="38" t="n"/>
      <c r="M87" s="38" t="n"/>
      <c r="N87" s="38" t="n"/>
      <c r="O87" s="38" t="n"/>
      <c r="P87" s="38" t="n"/>
      <c r="Q87" s="38" t="n"/>
      <c r="R87" s="38" t="n"/>
      <c r="S87" s="38" t="n"/>
      <c r="T87" s="38" t="n"/>
      <c r="U87" s="38" t="n"/>
      <c r="V87" s="38" t="n"/>
      <c r="W87" s="38" t="n"/>
      <c r="X87" s="38" t="n"/>
      <c r="Y87" s="38" t="n"/>
      <c r="Z87" s="38" t="n"/>
      <c r="AA87" s="38" t="n"/>
      <c r="AB87" s="38" t="n"/>
      <c r="AC87" s="38" t="n"/>
      <c r="AD87" s="38" t="n"/>
      <c r="AE87" s="38" t="n"/>
      <c r="AF87" s="38" t="n"/>
      <c r="AG87" s="38" t="n"/>
      <c r="AH87" s="38" t="n"/>
      <c r="AI87" s="38" t="n"/>
      <c r="AJ87" s="38" t="n"/>
      <c r="AK87" s="38" t="n"/>
      <c r="AL87" s="38" t="n"/>
      <c r="AM87" s="38" t="n"/>
      <c r="AN87" s="38" t="n"/>
      <c r="AO87" s="38" t="n"/>
      <c r="AP87" s="38" t="n"/>
      <c r="AQ87" s="38" t="n"/>
      <c r="AR87" s="38" t="n"/>
      <c r="AS87" s="38" t="n"/>
      <c r="AT87" s="38" t="n"/>
      <c r="AU87" s="38" t="n"/>
      <c r="AV87" s="38" t="n"/>
      <c r="AW87" s="38" t="n"/>
      <c r="AX87" s="38" t="n"/>
      <c r="AY87" s="38" t="n"/>
      <c r="AZ87" s="38" t="n"/>
      <c r="BA87" s="38" t="n"/>
      <c r="BB87" s="38" t="n"/>
      <c r="BC87" s="38" t="n"/>
      <c r="BD87" s="38" t="n"/>
      <c r="BE87" s="38" t="n"/>
      <c r="BF87" s="38" t="n"/>
      <c r="BG87" s="38" t="n"/>
      <c r="BH87" s="38" t="n"/>
      <c r="BI87" s="38" t="n"/>
      <c r="BJ87" s="38" t="n"/>
      <c r="BK87" s="38" t="n"/>
      <c r="BL87" s="38" t="n"/>
      <c r="BM87" s="38" t="n"/>
      <c r="BN87" s="38" t="n"/>
      <c r="BO87" s="38" t="n"/>
      <c r="BP87" s="38" t="n"/>
      <c r="BQ87" s="38" t="n"/>
      <c r="BR87" s="38" t="n"/>
      <c r="BS87" s="38" t="n"/>
      <c r="BT87" s="38" t="n"/>
      <c r="BU87" s="38" t="n"/>
      <c r="BV87" s="38" t="n"/>
      <c r="BW87" s="38" t="n"/>
      <c r="BX87" s="38" t="n"/>
      <c r="BY87" s="181">
        <f>(BY86-BY82-BY83)/(BY69+BY71+BY73+BY75+BY77+BY79+BY81)-1</f>
        <v/>
      </c>
      <c r="BZ87" s="181">
        <f>(BZ86-BZ82-BZ83)/(BZ69+BZ71+BZ73+BZ75+BZ77+BZ79+BZ81)-1</f>
        <v/>
      </c>
      <c r="CA87" s="25" t="n"/>
      <c r="CB87" s="49" t="n"/>
      <c r="CC87" s="49" t="n"/>
      <c r="CD87" s="49" t="n"/>
      <c r="CE87" s="49" t="n"/>
      <c r="CF87" s="20" t="inlineStr">
        <is>
          <t>Solves the uniform % change in the seven variable cost ratios (vs prior-year quarter + 1H drift) so the operating ratio equals the seasonality target.</t>
        </is>
      </c>
    </row>
    <row r="88" collapsed="1" ht="15" customHeight="1">
      <c r="B88" s="26" t="inlineStr">
        <is>
          <t xml:space="preserve">  Operating ratio — scenario lever (2027E+)</t>
        </is>
      </c>
      <c r="C88" s="38" t="n"/>
      <c r="D88" s="38" t="n"/>
      <c r="E88" s="38" t="n"/>
      <c r="F88" s="38" t="n"/>
      <c r="G88" s="38" t="n"/>
      <c r="H88" s="38" t="n"/>
      <c r="I88" s="38" t="n"/>
      <c r="J88" s="38" t="n"/>
      <c r="K88" s="38" t="n"/>
      <c r="L88" s="38" t="n"/>
      <c r="M88" s="38" t="n"/>
      <c r="N88" s="38" t="n"/>
      <c r="O88" s="38" t="n"/>
      <c r="P88" s="38" t="n"/>
      <c r="Q88" s="38" t="n"/>
      <c r="R88" s="38" t="n"/>
      <c r="S88" s="38" t="n"/>
      <c r="T88" s="38" t="n"/>
      <c r="U88" s="38" t="n"/>
      <c r="V88" s="38" t="n"/>
      <c r="W88" s="38" t="n"/>
      <c r="X88" s="38" t="n"/>
      <c r="Y88" s="38" t="n"/>
      <c r="Z88" s="38" t="n"/>
      <c r="AA88" s="38" t="n"/>
      <c r="AB88" s="38" t="n"/>
      <c r="AC88" s="38" t="n"/>
      <c r="AD88" s="38" t="n"/>
      <c r="AE88" s="38" t="n"/>
      <c r="AF88" s="38" t="n"/>
      <c r="AG88" s="38" t="n"/>
      <c r="AH88" s="38" t="n"/>
      <c r="AI88" s="38" t="n"/>
      <c r="AJ88" s="38" t="n"/>
      <c r="AK88" s="38" t="n"/>
      <c r="AL88" s="38" t="n"/>
      <c r="AM88" s="38" t="n"/>
      <c r="AN88" s="38" t="n"/>
      <c r="AO88" s="38" t="n"/>
      <c r="AP88" s="38" t="n"/>
      <c r="AQ88" s="38" t="n"/>
      <c r="AR88" s="38" t="n"/>
      <c r="AS88" s="38" t="n"/>
      <c r="AT88" s="38" t="n"/>
      <c r="AU88" s="38" t="n"/>
      <c r="AV88" s="38" t="n"/>
      <c r="AW88" s="38" t="n"/>
      <c r="AX88" s="38" t="n"/>
      <c r="AY88" s="38" t="n"/>
      <c r="AZ88" s="38" t="n"/>
      <c r="BA88" s="38" t="n"/>
      <c r="BB88" s="38" t="n"/>
      <c r="BC88" s="38" t="n"/>
      <c r="BD88" s="38" t="n"/>
      <c r="BE88" s="38" t="n"/>
      <c r="BF88" s="38" t="n"/>
      <c r="BG88" s="38" t="n"/>
      <c r="BH88" s="38" t="n"/>
      <c r="BI88" s="38" t="n"/>
      <c r="BJ88" s="38" t="n"/>
      <c r="BK88" s="38" t="n"/>
      <c r="BL88" s="38" t="n"/>
      <c r="BM88" s="38" t="n"/>
      <c r="BN88" s="38" t="n"/>
      <c r="BO88" s="38" t="n"/>
      <c r="BP88" s="38" t="n"/>
      <c r="BQ88" s="38" t="n"/>
      <c r="BR88" s="38" t="n"/>
      <c r="BS88" s="38" t="n"/>
      <c r="BT88" s="38" t="n"/>
      <c r="BU88" s="38" t="n"/>
      <c r="BV88" s="38" t="n"/>
      <c r="BW88" s="38" t="n"/>
      <c r="BX88" s="38" t="n"/>
      <c r="BY88" s="25" t="n"/>
      <c r="BZ88" s="25" t="n"/>
      <c r="CA88" s="25" t="n"/>
      <c r="CB88" s="181">
        <f>CHOOSE(MATCH($CF$2,{"Bull","Base","Bear"},0),$CO$41,$CP$41,$CQ$41)</f>
        <v/>
      </c>
      <c r="CC88" s="181">
        <f>CHOOSE(MATCH($CF$2,{"Bull","Base","Bear"},0),$CO$42,$CP$42,$CQ$42)</f>
        <v/>
      </c>
      <c r="CD88" s="181">
        <f>CHOOSE(MATCH($CF$2,{"Bull","Base","Bear"},0),$CO$43,$CP$43,$CQ$43)</f>
        <v/>
      </c>
      <c r="CE88" s="181">
        <f>CHOOSE(MATCH($CF$2,{"Bull","Base","Bear"},0),$CO$44,$CP$44,$CQ$44)</f>
        <v/>
      </c>
      <c r="CF88" s="6" t="inlineStr">
        <is>
          <t>Scenario lever OR (Bull / Base / Bear table →). Variable cost lines scaled pro rata to the FY26E mix; D&amp;A and miscellaneous per their inputs.</t>
        </is>
      </c>
    </row>
    <row r="89" ht="15" customHeight="1">
      <c r="B89" s="26" t="inlineStr">
        <is>
          <t xml:space="preserve">  Variable cost scaling vs FY26E mix (2027E+ helper)</t>
        </is>
      </c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  <c r="AP89" s="36" t="n"/>
      <c r="AQ89" s="36" t="n"/>
      <c r="AR89" s="36" t="n"/>
      <c r="AS89" s="36" t="n"/>
      <c r="AT89" s="36" t="n"/>
      <c r="AU89" s="36" t="n"/>
      <c r="AV89" s="36" t="n"/>
      <c r="AW89" s="36" t="n"/>
      <c r="AX89" s="36" t="n"/>
      <c r="AY89" s="36" t="n"/>
      <c r="AZ89" s="36" t="n"/>
      <c r="BA89" s="36" t="n"/>
      <c r="BB89" s="36" t="n"/>
      <c r="BC89" s="36" t="n"/>
      <c r="BD89" s="36" t="n"/>
      <c r="BE89" s="36" t="n"/>
      <c r="BF89" s="36" t="n"/>
      <c r="BG89" s="36" t="n"/>
      <c r="BH89" s="36" t="n"/>
      <c r="BI89" s="36" t="n"/>
      <c r="BJ89" s="36" t="n"/>
      <c r="BK89" s="36" t="n"/>
      <c r="BL89" s="36" t="n"/>
      <c r="BM89" s="36" t="n"/>
      <c r="BN89" s="36" t="n"/>
      <c r="BO89" s="36" t="n"/>
      <c r="BP89" s="36" t="n"/>
      <c r="BQ89" s="36" t="n"/>
      <c r="BR89" s="36" t="n"/>
      <c r="BS89" s="36" t="n"/>
      <c r="BT89" s="36" t="n"/>
      <c r="BU89" s="36" t="n"/>
      <c r="BV89" s="36" t="n"/>
      <c r="BW89" s="36" t="n"/>
      <c r="BX89" s="36" t="n"/>
      <c r="BY89" s="37" t="n"/>
      <c r="BZ89" s="37" t="n"/>
      <c r="CA89" s="37" t="n"/>
      <c r="CB89" s="199">
        <f>(CB88-CB82-CB83)/($CA$68+$CA$70+$CA$72+$CA$74+$CA$76+$CA$78+$CA$80)</f>
        <v/>
      </c>
      <c r="CC89" s="199">
        <f>(CC88-CC82-CC83)/($CA$68+$CA$70+$CA$72+$CA$74+$CA$76+$CA$78+$CA$80)</f>
        <v/>
      </c>
      <c r="CD89" s="199">
        <f>(CD88-CD82-CD83)/($CA$68+$CA$70+$CA$72+$CA$74+$CA$76+$CA$78+$CA$80)</f>
        <v/>
      </c>
      <c r="CE89" s="199">
        <f>(CE88-CE82-CE83)/($CA$68+$CA$70+$CA$72+$CA$74+$CA$76+$CA$78+$CA$80)</f>
        <v/>
      </c>
      <c r="CF89" s="20" t="n"/>
    </row>
    <row r="90" ht="15" customHeight="1">
      <c r="B90" s="59" t="inlineStr">
        <is>
          <t>Operating ratio (total operating expenses ÷ revenue)</t>
        </is>
      </c>
      <c r="C90" s="200">
        <f>IF(AND(ISNUMBER(C111),ISNUMBER(C100)),IFERROR(C111/C100,""),"")</f>
        <v/>
      </c>
      <c r="D90" s="200">
        <f>IF(AND(ISNUMBER(D111),ISNUMBER(D100)),IFERROR(D111/D100,""),"")</f>
        <v/>
      </c>
      <c r="E90" s="200">
        <f>IF(AND(ISNUMBER(E111),ISNUMBER(E100)),IFERROR(E111/E100,""),"")</f>
        <v/>
      </c>
      <c r="F90" s="200">
        <f>IF(AND(ISNUMBER(F111),ISNUMBER(F100)),IFERROR(F111/F100,""),"")</f>
        <v/>
      </c>
      <c r="G90" s="200">
        <f>IF(AND(ISNUMBER(G111),ISNUMBER(G100)),IFERROR(G111/G100,""),"")</f>
        <v/>
      </c>
      <c r="H90" s="200">
        <f>IF(AND(ISNUMBER(H111),ISNUMBER(H100)),IFERROR(H111/H100,""),"")</f>
        <v/>
      </c>
      <c r="I90" s="200">
        <f>IF(AND(ISNUMBER(I111),ISNUMBER(I100)),IFERROR(I111/I100,""),"")</f>
        <v/>
      </c>
      <c r="J90" s="200">
        <f>IF(AND(ISNUMBER(J111),ISNUMBER(J100)),IFERROR(J111/J100,""),"")</f>
        <v/>
      </c>
      <c r="K90" s="200">
        <f>IF(AND(ISNUMBER(K111),ISNUMBER(K100)),IFERROR(K111/K100,""),"")</f>
        <v/>
      </c>
      <c r="L90" s="200">
        <f>IF(AND(ISNUMBER(L111),ISNUMBER(L100)),IFERROR(L111/L100,""),"")</f>
        <v/>
      </c>
      <c r="M90" s="200">
        <f>IF(AND(ISNUMBER(M111),ISNUMBER(M100)),IFERROR(M111/M100,""),"")</f>
        <v/>
      </c>
      <c r="N90" s="200">
        <f>IF(AND(ISNUMBER(N111),ISNUMBER(N100)),IFERROR(N111/N100,""),"")</f>
        <v/>
      </c>
      <c r="O90" s="200">
        <f>IF(AND(ISNUMBER(O111),ISNUMBER(O100)),IFERROR(O111/O100,""),"")</f>
        <v/>
      </c>
      <c r="P90" s="200">
        <f>IF(AND(ISNUMBER(P111),ISNUMBER(P100)),IFERROR(P111/P100,""),"")</f>
        <v/>
      </c>
      <c r="Q90" s="200">
        <f>IF(AND(ISNUMBER(Q111),ISNUMBER(Q100)),IFERROR(Q111/Q100,""),"")</f>
        <v/>
      </c>
      <c r="R90" s="200">
        <f>IF(AND(ISNUMBER(R111),ISNUMBER(R100)),IFERROR(R111/R100,""),"")</f>
        <v/>
      </c>
      <c r="S90" s="200">
        <f>IF(AND(ISNUMBER(S111),ISNUMBER(S100)),IFERROR(S111/S100,""),"")</f>
        <v/>
      </c>
      <c r="T90" s="200">
        <f>IF(AND(ISNUMBER(T111),ISNUMBER(T100)),IFERROR(T111/T100,""),"")</f>
        <v/>
      </c>
      <c r="U90" s="200">
        <f>IF(AND(ISNUMBER(U111),ISNUMBER(U100)),IFERROR(U111/U100,""),"")</f>
        <v/>
      </c>
      <c r="V90" s="200">
        <f>IF(AND(ISNUMBER(V111),ISNUMBER(V100)),IFERROR(V111/V100,""),"")</f>
        <v/>
      </c>
      <c r="W90" s="200">
        <f>IF(AND(ISNUMBER(W111),ISNUMBER(W100)),IFERROR(W111/W100,""),"")</f>
        <v/>
      </c>
      <c r="X90" s="200">
        <f>IF(AND(ISNUMBER(X111),ISNUMBER(X100)),IFERROR(X111/X100,""),"")</f>
        <v/>
      </c>
      <c r="Y90" s="200">
        <f>IF(AND(ISNUMBER(Y111),ISNUMBER(Y100)),IFERROR(Y111/Y100,""),"")</f>
        <v/>
      </c>
      <c r="Z90" s="200">
        <f>IF(AND(ISNUMBER(Z111),ISNUMBER(Z100)),IFERROR(Z111/Z100,""),"")</f>
        <v/>
      </c>
      <c r="AA90" s="200">
        <f>IF(AND(ISNUMBER(AA111),ISNUMBER(AA100)),IFERROR(AA111/AA100,""),"")</f>
        <v/>
      </c>
      <c r="AB90" s="200">
        <f>IF(AND(ISNUMBER(AB111),ISNUMBER(AB100)),IFERROR(AB111/AB100,""),"")</f>
        <v/>
      </c>
      <c r="AC90" s="200">
        <f>IF(AND(ISNUMBER(AC111),ISNUMBER(AC100)),IFERROR(AC111/AC100,""),"")</f>
        <v/>
      </c>
      <c r="AD90" s="200">
        <f>IF(AND(ISNUMBER(AD111),ISNUMBER(AD100)),IFERROR(AD111/AD100,""),"")</f>
        <v/>
      </c>
      <c r="AE90" s="200">
        <f>IF(AND(ISNUMBER(AE111),ISNUMBER(AE100)),IFERROR(AE111/AE100,""),"")</f>
        <v/>
      </c>
      <c r="AF90" s="200">
        <f>IF(AND(ISNUMBER(AF111),ISNUMBER(AF100)),IFERROR(AF111/AF100,""),"")</f>
        <v/>
      </c>
      <c r="AG90" s="200">
        <f>IF(AND(ISNUMBER(AG111),ISNUMBER(AG100)),IFERROR(AG111/AG100,""),"")</f>
        <v/>
      </c>
      <c r="AH90" s="200">
        <f>IF(AND(ISNUMBER(AH111),ISNUMBER(AH100)),IFERROR(AH111/AH100,""),"")</f>
        <v/>
      </c>
      <c r="AI90" s="200">
        <f>IF(AND(ISNUMBER(AI111),ISNUMBER(AI100)),IFERROR(AI111/AI100,""),"")</f>
        <v/>
      </c>
      <c r="AJ90" s="200">
        <f>IF(AND(ISNUMBER(AJ111),ISNUMBER(AJ100)),IFERROR(AJ111/AJ100,""),"")</f>
        <v/>
      </c>
      <c r="AK90" s="200">
        <f>IF(AND(ISNUMBER(AK111),ISNUMBER(AK100)),IFERROR(AK111/AK100,""),"")</f>
        <v/>
      </c>
      <c r="AL90" s="200">
        <f>IF(AND(ISNUMBER(AL111),ISNUMBER(AL100)),IFERROR(AL111/AL100,""),"")</f>
        <v/>
      </c>
      <c r="AM90" s="200">
        <f>IF(AND(ISNUMBER(AM111),ISNUMBER(AM100)),IFERROR(AM111/AM100,""),"")</f>
        <v/>
      </c>
      <c r="AN90" s="200">
        <f>IF(AND(ISNUMBER(AN111),ISNUMBER(AN100)),IFERROR(AN111/AN100,""),"")</f>
        <v/>
      </c>
      <c r="AO90" s="200">
        <f>IF(AND(ISNUMBER(AO111),ISNUMBER(AO100)),IFERROR(AO111/AO100,""),"")</f>
        <v/>
      </c>
      <c r="AP90" s="200">
        <f>IF(AND(ISNUMBER(AP111),ISNUMBER(AP100)),IFERROR(AP111/AP100,""),"")</f>
        <v/>
      </c>
      <c r="AQ90" s="200">
        <f>IF(AND(ISNUMBER(AQ111),ISNUMBER(AQ100)),IFERROR(AQ111/AQ100,""),"")</f>
        <v/>
      </c>
      <c r="AR90" s="200">
        <f>IF(AND(ISNUMBER(AR111),ISNUMBER(AR100)),IFERROR(AR111/AR100,""),"")</f>
        <v/>
      </c>
      <c r="AS90" s="200">
        <f>IF(AND(ISNUMBER(AS111),ISNUMBER(AS100)),IFERROR(AS111/AS100,""),"")</f>
        <v/>
      </c>
      <c r="AT90" s="200">
        <f>IF(AND(ISNUMBER(AT111),ISNUMBER(AT100)),IFERROR(AT111/AT100,""),"")</f>
        <v/>
      </c>
      <c r="AU90" s="200">
        <f>IF(AND(ISNUMBER(AU111),ISNUMBER(AU100)),IFERROR(AU111/AU100,""),"")</f>
        <v/>
      </c>
      <c r="AV90" s="200">
        <f>IF(AND(ISNUMBER(AV111),ISNUMBER(AV100)),IFERROR(AV111/AV100,""),"")</f>
        <v/>
      </c>
      <c r="AW90" s="200">
        <f>IF(AND(ISNUMBER(AW111),ISNUMBER(AW100)),IFERROR(AW111/AW100,""),"")</f>
        <v/>
      </c>
      <c r="AX90" s="200">
        <f>IF(AND(ISNUMBER(AX111),ISNUMBER(AX100)),IFERROR(AX111/AX100,""),"")</f>
        <v/>
      </c>
      <c r="AY90" s="200">
        <f>IF(AND(ISNUMBER(AY111),ISNUMBER(AY100)),IFERROR(AY111/AY100,""),"")</f>
        <v/>
      </c>
      <c r="AZ90" s="200">
        <f>IF(AND(ISNUMBER(AZ111),ISNUMBER(AZ100)),IFERROR(AZ111/AZ100,""),"")</f>
        <v/>
      </c>
      <c r="BA90" s="200">
        <f>IF(AND(ISNUMBER(BA111),ISNUMBER(BA100)),IFERROR(BA111/BA100,""),"")</f>
        <v/>
      </c>
      <c r="BB90" s="200">
        <f>IF(AND(ISNUMBER(BB111),ISNUMBER(BB100)),IFERROR(BB111/BB100,""),"")</f>
        <v/>
      </c>
      <c r="BC90" s="200">
        <f>IF(AND(ISNUMBER(BC111),ISNUMBER(BC100)),IFERROR(BC111/BC100,""),"")</f>
        <v/>
      </c>
      <c r="BD90" s="200">
        <f>IF(AND(ISNUMBER(BD111),ISNUMBER(BD100)),IFERROR(BD111/BD100,""),"")</f>
        <v/>
      </c>
      <c r="BE90" s="200">
        <f>IF(AND(ISNUMBER(BE111),ISNUMBER(BE100)),IFERROR(BE111/BE100,""),"")</f>
        <v/>
      </c>
      <c r="BF90" s="200">
        <f>IF(AND(ISNUMBER(BF111),ISNUMBER(BF100)),IFERROR(BF111/BF100,""),"")</f>
        <v/>
      </c>
      <c r="BG90" s="200">
        <f>IF(AND(ISNUMBER(BG111),ISNUMBER(BG100)),IFERROR(BG111/BG100,""),"")</f>
        <v/>
      </c>
      <c r="BH90" s="200">
        <f>IF(AND(ISNUMBER(BH111),ISNUMBER(BH100)),IFERROR(BH111/BH100,""),"")</f>
        <v/>
      </c>
      <c r="BI90" s="200">
        <f>IF(AND(ISNUMBER(BI111),ISNUMBER(BI100)),IFERROR(BI111/BI100,""),"")</f>
        <v/>
      </c>
      <c r="BJ90" s="200">
        <f>IF(AND(ISNUMBER(BJ111),ISNUMBER(BJ100)),IFERROR(BJ111/BJ100,""),"")</f>
        <v/>
      </c>
      <c r="BK90" s="200">
        <f>IF(AND(ISNUMBER(BK111),ISNUMBER(BK100)),IFERROR(BK111/BK100,""),"")</f>
        <v/>
      </c>
      <c r="BL90" s="200">
        <f>IF(AND(ISNUMBER(BL111),ISNUMBER(BL100)),IFERROR(BL111/BL100,""),"")</f>
        <v/>
      </c>
      <c r="BM90" s="200">
        <f>IF(AND(ISNUMBER(BM111),ISNUMBER(BM100)),IFERROR(BM111/BM100,""),"")</f>
        <v/>
      </c>
      <c r="BN90" s="200">
        <f>IF(AND(ISNUMBER(BN111),ISNUMBER(BN100)),IFERROR(BN111/BN100,""),"")</f>
        <v/>
      </c>
      <c r="BO90" s="200">
        <f>IF(AND(ISNUMBER(BO111),ISNUMBER(BO100)),IFERROR(BO111/BO100,""),"")</f>
        <v/>
      </c>
      <c r="BP90" s="200">
        <f>IF(AND(ISNUMBER(BP111),ISNUMBER(BP100)),IFERROR(BP111/BP100,""),"")</f>
        <v/>
      </c>
      <c r="BQ90" s="200">
        <f>IF(AND(ISNUMBER(BQ111),ISNUMBER(BQ100)),IFERROR(BQ111/BQ100,""),"")</f>
        <v/>
      </c>
      <c r="BR90" s="200">
        <f>IF(AND(ISNUMBER(BR111),ISNUMBER(BR100)),IFERROR(BR111/BR100,""),"")</f>
        <v/>
      </c>
      <c r="BS90" s="200">
        <f>IF(AND(ISNUMBER(BS111),ISNUMBER(BS100)),IFERROR(BS111/BS100,""),"")</f>
        <v/>
      </c>
      <c r="BT90" s="200">
        <f>IF(AND(ISNUMBER(BT111),ISNUMBER(BT100)),IFERROR(BT111/BT100,""),"")</f>
        <v/>
      </c>
      <c r="BU90" s="200">
        <f>IF(AND(ISNUMBER(BU111),ISNUMBER(BU100)),IFERROR(BU111/BU100,""),"")</f>
        <v/>
      </c>
      <c r="BV90" s="200">
        <f>IF(AND(ISNUMBER(BV111),ISNUMBER(BV100)),IFERROR(BV111/BV100,""),"")</f>
        <v/>
      </c>
      <c r="BW90" s="200">
        <f>IF(AND(ISNUMBER(BW111),ISNUMBER(BW100)),IFERROR(BW111/BW100,""),"")</f>
        <v/>
      </c>
      <c r="BX90" s="200">
        <f>IF(AND(ISNUMBER(BX111),ISNUMBER(BX100)),IFERROR(BX111/BX100,""),"")</f>
        <v/>
      </c>
      <c r="BY90" s="200">
        <f>IF(AND(ISNUMBER(BY111),ISNUMBER(BY100)),IFERROR(BY111/BY100,""),"")</f>
        <v/>
      </c>
      <c r="BZ90" s="200">
        <f>IF(AND(ISNUMBER(BZ111),ISNUMBER(BZ100)),IFERROR(BZ111/BZ100,""),"")</f>
        <v/>
      </c>
      <c r="CA90" s="200">
        <f>IF(AND(ISNUMBER(CA111),ISNUMBER(CA100)),IFERROR(CA111/CA100,""),"")</f>
        <v/>
      </c>
      <c r="CB90" s="200">
        <f>IF(AND(ISNUMBER(CB111),ISNUMBER(CB100)),IFERROR(CB111/CB100,""),"")</f>
        <v/>
      </c>
      <c r="CC90" s="200">
        <f>IF(AND(ISNUMBER(CC111),ISNUMBER(CC100)),IFERROR(CC111/CC100,""),"")</f>
        <v/>
      </c>
      <c r="CD90" s="200">
        <f>IF(AND(ISNUMBER(CD111),ISNUMBER(CD100)),IFERROR(CD111/CD100,""),"")</f>
        <v/>
      </c>
      <c r="CE90" s="200">
        <f>IF(AND(ISNUMBER(CE111),ISNUMBER(CE100)),IFERROR(CE111/CE100,""),"")</f>
        <v/>
      </c>
      <c r="CF90" s="6" t="n"/>
      <c r="CH90" s="39">
        <f>IFERROR(AVERAGE(CA90,CB90,CC90,CD90,CE90),"n/m")</f>
        <v/>
      </c>
      <c r="CI90" s="39">
        <f>IFERROR(AVERAGE(BB90,BG90,BL90,BQ90,BV90),"n/m")</f>
        <v/>
      </c>
      <c r="CJ90" s="39">
        <f>IFERROR(AVERAGE(AC90,AH90,AM90,AR90,AW90,BB90,BG90,BL90,BQ90,BV90),"n/m")</f>
        <v/>
      </c>
      <c r="CK90" s="39">
        <f>IFERROR(AVERAGE(C90,D90,E90,F90,G90,H90,I90,N90,S90,X90,AC90,AH90,AM90,AR90,AW90,BB90,BG90,BL90,BQ90,BV90),"n/m")</f>
        <v/>
      </c>
    </row>
    <row r="91" ht="15" customHeight="1">
      <c r="B91" s="61" t="inlineStr">
        <is>
          <t xml:space="preserve">  Check: Q3/Q4-26E operating ratio vs seasonality target; 2027E+ vs scenario lever (should be 0, bps)</t>
        </is>
      </c>
      <c r="C91" s="47" t="n"/>
      <c r="D91" s="47" t="n"/>
      <c r="E91" s="47" t="n"/>
      <c r="F91" s="47" t="n"/>
      <c r="G91" s="47" t="n"/>
      <c r="H91" s="47" t="n"/>
      <c r="I91" s="47" t="n"/>
      <c r="J91" s="47" t="n"/>
      <c r="K91" s="47" t="n"/>
      <c r="L91" s="47" t="n"/>
      <c r="M91" s="47" t="n"/>
      <c r="N91" s="47" t="n"/>
      <c r="O91" s="47" t="n"/>
      <c r="P91" s="47" t="n"/>
      <c r="Q91" s="47" t="n"/>
      <c r="R91" s="47" t="n"/>
      <c r="S91" s="47" t="n"/>
      <c r="T91" s="47" t="n"/>
      <c r="U91" s="47" t="n"/>
      <c r="V91" s="47" t="n"/>
      <c r="W91" s="47" t="n"/>
      <c r="X91" s="47" t="n"/>
      <c r="Y91" s="47" t="n"/>
      <c r="Z91" s="47" t="n"/>
      <c r="AA91" s="47" t="n"/>
      <c r="AB91" s="47" t="n"/>
      <c r="AC91" s="47" t="n"/>
      <c r="AD91" s="47" t="n"/>
      <c r="AE91" s="47" t="n"/>
      <c r="AF91" s="47" t="n"/>
      <c r="AG91" s="47" t="n"/>
      <c r="AH91" s="47" t="n"/>
      <c r="AI91" s="47" t="n"/>
      <c r="AJ91" s="47" t="n"/>
      <c r="AK91" s="47" t="n"/>
      <c r="AL91" s="47" t="n"/>
      <c r="AM91" s="47" t="n"/>
      <c r="AN91" s="47" t="n"/>
      <c r="AO91" s="47" t="n"/>
      <c r="AP91" s="47" t="n"/>
      <c r="AQ91" s="47" t="n"/>
      <c r="AR91" s="47" t="n"/>
      <c r="AS91" s="47" t="n"/>
      <c r="AT91" s="47" t="n"/>
      <c r="AU91" s="47" t="n"/>
      <c r="AV91" s="47" t="n"/>
      <c r="AW91" s="47" t="n"/>
      <c r="AX91" s="47" t="n"/>
      <c r="AY91" s="47" t="n"/>
      <c r="AZ91" s="47" t="n"/>
      <c r="BA91" s="47" t="n"/>
      <c r="BB91" s="47" t="n"/>
      <c r="BC91" s="47" t="n"/>
      <c r="BD91" s="47" t="n"/>
      <c r="BE91" s="47" t="n"/>
      <c r="BF91" s="47" t="n"/>
      <c r="BG91" s="47" t="n"/>
      <c r="BH91" s="47" t="n"/>
      <c r="BI91" s="47" t="n"/>
      <c r="BJ91" s="47" t="n"/>
      <c r="BK91" s="47" t="n"/>
      <c r="BL91" s="47" t="n"/>
      <c r="BM91" s="47" t="n"/>
      <c r="BN91" s="47" t="n"/>
      <c r="BO91" s="47" t="n"/>
      <c r="BP91" s="47" t="n"/>
      <c r="BQ91" s="47" t="n"/>
      <c r="BR91" s="47" t="n"/>
      <c r="BS91" s="47" t="n"/>
      <c r="BT91" s="47" t="n"/>
      <c r="BU91" s="47" t="n"/>
      <c r="BV91" s="47" t="n"/>
      <c r="BW91" s="47" t="n"/>
      <c r="BX91" s="47" t="n"/>
      <c r="BY91" s="198">
        <f>ROUND((BY90-BY86)*10000,1)</f>
        <v/>
      </c>
      <c r="BZ91" s="198">
        <f>ROUND((BZ90-BZ86)*10000,1)</f>
        <v/>
      </c>
      <c r="CA91" s="6" t="n"/>
      <c r="CB91" s="198">
        <f>ROUND((CB90-CB88)*10000,1)</f>
        <v/>
      </c>
      <c r="CC91" s="198">
        <f>ROUND((CC90-CC88)*10000,1)</f>
        <v/>
      </c>
      <c r="CD91" s="198">
        <f>ROUND((CD90-CD88)*10000,1)</f>
        <v/>
      </c>
      <c r="CE91" s="198">
        <f>ROUND((CE90-CE88)*10000,1)</f>
        <v/>
      </c>
      <c r="CF91" s="6" t="n"/>
    </row>
    <row r="92" ht="15" customHeight="1">
      <c r="B92" s="23" t="inlineStr">
        <is>
          <t xml:space="preserve">  Operating ratio change vs prior quarter (bps → %)</t>
        </is>
      </c>
      <c r="D92" s="24" t="n"/>
      <c r="E92" s="24" t="n"/>
      <c r="F92" s="24" t="n"/>
      <c r="G92" s="24" t="n"/>
      <c r="H92" s="24" t="n"/>
      <c r="I92" s="24" t="n"/>
      <c r="K92" s="182">
        <f>IF(AND(ISNUMBER(K90),ISNUMBER(J90)),K90-J90,"")</f>
        <v/>
      </c>
      <c r="L92" s="182">
        <f>IF(AND(ISNUMBER(L90),ISNUMBER(K90)),L90-K90,"")</f>
        <v/>
      </c>
      <c r="M92" s="182">
        <f>IF(AND(ISNUMBER(M90),ISNUMBER(L90)),M90-L90,"")</f>
        <v/>
      </c>
      <c r="N92" s="24" t="n"/>
      <c r="O92" s="180">
        <f>IF(AND(ISNUMBER(O90),ISNUMBER(M90)),O90-M90,"")</f>
        <v/>
      </c>
      <c r="P92" s="180">
        <f>IF(AND(ISNUMBER(P90),ISNUMBER(O90)),P90-O90,"")</f>
        <v/>
      </c>
      <c r="Q92" s="180">
        <f>IF(AND(ISNUMBER(Q90),ISNUMBER(P90)),Q90-P90,"")</f>
        <v/>
      </c>
      <c r="R92" s="180">
        <f>IF(AND(ISNUMBER(R90),ISNUMBER(Q90)),R90-Q90,"")</f>
        <v/>
      </c>
      <c r="S92" s="24" t="n"/>
      <c r="T92" s="180">
        <f>IF(AND(ISNUMBER(T90),ISNUMBER(R90)),T90-R90,"")</f>
        <v/>
      </c>
      <c r="U92" s="180">
        <f>IF(AND(ISNUMBER(U90),ISNUMBER(T90)),U90-T90,"")</f>
        <v/>
      </c>
      <c r="V92" s="180">
        <f>IF(AND(ISNUMBER(V90),ISNUMBER(U90)),V90-U90,"")</f>
        <v/>
      </c>
      <c r="W92" s="180">
        <f>IF(AND(ISNUMBER(W90),ISNUMBER(V90)),W90-V90,"")</f>
        <v/>
      </c>
      <c r="X92" s="24" t="n"/>
      <c r="Y92" s="180">
        <f>IF(AND(ISNUMBER(Y90),ISNUMBER(W90)),Y90-W90,"")</f>
        <v/>
      </c>
      <c r="Z92" s="180">
        <f>IF(AND(ISNUMBER(Z90),ISNUMBER(Y90)),Z90-Y90,"")</f>
        <v/>
      </c>
      <c r="AA92" s="180">
        <f>IF(AND(ISNUMBER(AA90),ISNUMBER(Z90)),AA90-Z90,"")</f>
        <v/>
      </c>
      <c r="AB92" s="180">
        <f>IF(AND(ISNUMBER(AB90),ISNUMBER(AA90)),AB90-AA90,"")</f>
        <v/>
      </c>
      <c r="AC92" s="24" t="n"/>
      <c r="AD92" s="180">
        <f>IF(AND(ISNUMBER(AD90),ISNUMBER(AB90)),AD90-AB90,"")</f>
        <v/>
      </c>
      <c r="AE92" s="180">
        <f>IF(AND(ISNUMBER(AE90),ISNUMBER(AD90)),AE90-AD90,"")</f>
        <v/>
      </c>
      <c r="AF92" s="180">
        <f>IF(AND(ISNUMBER(AF90),ISNUMBER(AE90)),AF90-AE90,"")</f>
        <v/>
      </c>
      <c r="AG92" s="180">
        <f>IF(AND(ISNUMBER(AG90),ISNUMBER(AF90)),AG90-AF90,"")</f>
        <v/>
      </c>
      <c r="AH92" s="24" t="n"/>
      <c r="AI92" s="180">
        <f>IF(AND(ISNUMBER(AI90),ISNUMBER(AG90)),AI90-AG90,"")</f>
        <v/>
      </c>
      <c r="AJ92" s="180">
        <f>IF(AND(ISNUMBER(AJ90),ISNUMBER(AI90)),AJ90-AI90,"")</f>
        <v/>
      </c>
      <c r="AK92" s="180">
        <f>IF(AND(ISNUMBER(AK90),ISNUMBER(AJ90)),AK90-AJ90,"")</f>
        <v/>
      </c>
      <c r="AL92" s="180">
        <f>IF(AND(ISNUMBER(AL90),ISNUMBER(AK90)),AL90-AK90,"")</f>
        <v/>
      </c>
      <c r="AM92" s="24" t="n"/>
      <c r="AN92" s="180">
        <f>IF(AND(ISNUMBER(AN90),ISNUMBER(AL90)),AN90-AL90,"")</f>
        <v/>
      </c>
      <c r="AO92" s="180">
        <f>IF(AND(ISNUMBER(AO90),ISNUMBER(AN90)),AO90-AN90,"")</f>
        <v/>
      </c>
      <c r="AP92" s="180">
        <f>IF(AND(ISNUMBER(AP90),ISNUMBER(AO90)),AP90-AO90,"")</f>
        <v/>
      </c>
      <c r="AQ92" s="180">
        <f>IF(AND(ISNUMBER(AQ90),ISNUMBER(AP90)),AQ90-AP90,"")</f>
        <v/>
      </c>
      <c r="AR92" s="24" t="n"/>
      <c r="AS92" s="180">
        <f>IF(AND(ISNUMBER(AS90),ISNUMBER(AQ90)),AS90-AQ90,"")</f>
        <v/>
      </c>
      <c r="AT92" s="180">
        <f>IF(AND(ISNUMBER(AT90),ISNUMBER(AS90)),AT90-AS90,"")</f>
        <v/>
      </c>
      <c r="AU92" s="180">
        <f>IF(AND(ISNUMBER(AU90),ISNUMBER(AT90)),AU90-AT90,"")</f>
        <v/>
      </c>
      <c r="AV92" s="180">
        <f>IF(AND(ISNUMBER(AV90),ISNUMBER(AU90)),AV90-AU90,"")</f>
        <v/>
      </c>
      <c r="AW92" s="24" t="n"/>
      <c r="AX92" s="180">
        <f>IF(AND(ISNUMBER(AX90),ISNUMBER(AV90)),AX90-AV90,"")</f>
        <v/>
      </c>
      <c r="AY92" s="180">
        <f>IF(AND(ISNUMBER(AY90),ISNUMBER(AX90)),AY90-AX90,"")</f>
        <v/>
      </c>
      <c r="AZ92" s="180">
        <f>IF(AND(ISNUMBER(AZ90),ISNUMBER(AY90)),AZ90-AY90,"")</f>
        <v/>
      </c>
      <c r="BA92" s="180">
        <f>IF(AND(ISNUMBER(BA90),ISNUMBER(AZ90)),BA90-AZ90,"")</f>
        <v/>
      </c>
      <c r="BB92" s="24" t="n"/>
      <c r="BC92" s="180">
        <f>IF(AND(ISNUMBER(BC90),ISNUMBER(BA90)),BC90-BA90,"")</f>
        <v/>
      </c>
      <c r="BD92" s="180">
        <f>IF(AND(ISNUMBER(BD90),ISNUMBER(BC90)),BD90-BC90,"")</f>
        <v/>
      </c>
      <c r="BE92" s="180">
        <f>IF(AND(ISNUMBER(BE90),ISNUMBER(BD90)),BE90-BD90,"")</f>
        <v/>
      </c>
      <c r="BF92" s="180">
        <f>IF(AND(ISNUMBER(BF90),ISNUMBER(BE90)),BF90-BE90,"")</f>
        <v/>
      </c>
      <c r="BG92" s="24" t="n"/>
      <c r="BH92" s="180">
        <f>IF(AND(ISNUMBER(BH90),ISNUMBER(BF90)),BH90-BF90,"")</f>
        <v/>
      </c>
      <c r="BI92" s="180">
        <f>IF(AND(ISNUMBER(BI90),ISNUMBER(BH90)),BI90-BH90,"")</f>
        <v/>
      </c>
      <c r="BJ92" s="180">
        <f>IF(AND(ISNUMBER(BJ90),ISNUMBER(BI90)),BJ90-BI90,"")</f>
        <v/>
      </c>
      <c r="BK92" s="180">
        <f>IF(AND(ISNUMBER(BK90),ISNUMBER(BJ90)),BK90-BJ90,"")</f>
        <v/>
      </c>
      <c r="BL92" s="24" t="n"/>
      <c r="BM92" s="180">
        <f>IF(AND(ISNUMBER(BM90),ISNUMBER(BK90)),BM90-BK90,"")</f>
        <v/>
      </c>
      <c r="BN92" s="180">
        <f>IF(AND(ISNUMBER(BN90),ISNUMBER(BM90)),BN90-BM90,"")</f>
        <v/>
      </c>
      <c r="BO92" s="180">
        <f>IF(AND(ISNUMBER(BO90),ISNUMBER(BN90)),BO90-BN90,"")</f>
        <v/>
      </c>
      <c r="BP92" s="180">
        <f>IF(AND(ISNUMBER(BP90),ISNUMBER(BO90)),BP90-BO90,"")</f>
        <v/>
      </c>
      <c r="BQ92" s="24" t="n"/>
      <c r="BR92" s="180">
        <f>IF(AND(ISNUMBER(BR90),ISNUMBER(BP90)),BR90-BP90,"")</f>
        <v/>
      </c>
      <c r="BS92" s="180">
        <f>IF(AND(ISNUMBER(BS90),ISNUMBER(BR90)),BS90-BR90,"")</f>
        <v/>
      </c>
      <c r="BT92" s="180">
        <f>IF(AND(ISNUMBER(BT90),ISNUMBER(BS90)),BT90-BS90,"")</f>
        <v/>
      </c>
      <c r="BU92" s="180">
        <f>IF(AND(ISNUMBER(BU90),ISNUMBER(BT90)),BU90-BT90,"")</f>
        <v/>
      </c>
      <c r="BV92" s="24" t="n"/>
      <c r="BW92" s="180">
        <f>IF(AND(ISNUMBER(BW90),ISNUMBER(BU90)),BW90-BU90,"")</f>
        <v/>
      </c>
      <c r="BX92" s="180">
        <f>IF(AND(ISNUMBER(BX90),ISNUMBER(BW90)),BX90-BW90,"")</f>
        <v/>
      </c>
      <c r="BY92" s="181">
        <f>IF(AND(ISNUMBER(BY90),ISNUMBER(BX90)),BY90-BX90,"")</f>
        <v/>
      </c>
      <c r="BZ92" s="181">
        <f>IF(AND(ISNUMBER(BZ90),ISNUMBER(BY90)),BZ90-BY90,"")</f>
        <v/>
      </c>
      <c r="CA92" s="25" t="n"/>
      <c r="CB92" s="25" t="n"/>
      <c r="CC92" s="25" t="n"/>
      <c r="CD92" s="25" t="n"/>
      <c r="CE92" s="25" t="n"/>
      <c r="CF92" s="6" t="n"/>
    </row>
    <row r="93" ht="15" customHeight="1">
      <c r="B93" s="23" t="inlineStr">
        <is>
          <t xml:space="preserve">  Operating ratio change y/y</t>
        </is>
      </c>
      <c r="D93" s="180">
        <f>IF(AND(ISNUMBER(D90),ISNUMBER(C90)),D90-C90,"")</f>
        <v/>
      </c>
      <c r="E93" s="180">
        <f>IF(AND(ISNUMBER(E90),ISNUMBER(D90)),E90-D90,"")</f>
        <v/>
      </c>
      <c r="F93" s="180">
        <f>IF(AND(ISNUMBER(F90),ISNUMBER(E90)),F90-E90,"")</f>
        <v/>
      </c>
      <c r="G93" s="180">
        <f>IF(AND(ISNUMBER(G90),ISNUMBER(F90)),G90-F90,"")</f>
        <v/>
      </c>
      <c r="H93" s="180">
        <f>IF(AND(ISNUMBER(H90),ISNUMBER(G90)),H90-G90,"")</f>
        <v/>
      </c>
      <c r="I93" s="180">
        <f>IF(AND(ISNUMBER(I90),ISNUMBER(H90)),I90-H90,"")</f>
        <v/>
      </c>
      <c r="N93" s="180">
        <f>IF(AND(ISNUMBER(N90),ISNUMBER(I90)),N90-I90,"")</f>
        <v/>
      </c>
      <c r="O93" s="180">
        <f>IF(AND(ISNUMBER(O90),ISNUMBER(J90)),O90-J90,"")</f>
        <v/>
      </c>
      <c r="P93" s="180">
        <f>IF(AND(ISNUMBER(P90),ISNUMBER(K90)),P90-K90,"")</f>
        <v/>
      </c>
      <c r="Q93" s="180">
        <f>IF(AND(ISNUMBER(Q90),ISNUMBER(L90)),Q90-L90,"")</f>
        <v/>
      </c>
      <c r="R93" s="180">
        <f>IF(AND(ISNUMBER(R90),ISNUMBER(M90)),R90-M90,"")</f>
        <v/>
      </c>
      <c r="S93" s="180">
        <f>IF(AND(ISNUMBER(S90),ISNUMBER(N90)),S90-N90,"")</f>
        <v/>
      </c>
      <c r="T93" s="180">
        <f>IF(AND(ISNUMBER(T90),ISNUMBER(O90)),T90-O90,"")</f>
        <v/>
      </c>
      <c r="U93" s="180">
        <f>IF(AND(ISNUMBER(U90),ISNUMBER(P90)),U90-P90,"")</f>
        <v/>
      </c>
      <c r="V93" s="180">
        <f>IF(AND(ISNUMBER(V90),ISNUMBER(Q90)),V90-Q90,"")</f>
        <v/>
      </c>
      <c r="W93" s="180">
        <f>IF(AND(ISNUMBER(W90),ISNUMBER(R90)),W90-R90,"")</f>
        <v/>
      </c>
      <c r="X93" s="180">
        <f>IF(AND(ISNUMBER(X90),ISNUMBER(S90)),X90-S90,"")</f>
        <v/>
      </c>
      <c r="Y93" s="180">
        <f>IF(AND(ISNUMBER(Y90),ISNUMBER(T90)),Y90-T90,"")</f>
        <v/>
      </c>
      <c r="Z93" s="180">
        <f>IF(AND(ISNUMBER(Z90),ISNUMBER(U90)),Z90-U90,"")</f>
        <v/>
      </c>
      <c r="AA93" s="180">
        <f>IF(AND(ISNUMBER(AA90),ISNUMBER(V90)),AA90-V90,"")</f>
        <v/>
      </c>
      <c r="AB93" s="180">
        <f>IF(AND(ISNUMBER(AB90),ISNUMBER(W90)),AB90-W90,"")</f>
        <v/>
      </c>
      <c r="AC93" s="180">
        <f>IF(AND(ISNUMBER(AC90),ISNUMBER(X90)),AC90-X90,"")</f>
        <v/>
      </c>
      <c r="AD93" s="180">
        <f>IF(AND(ISNUMBER(AD90),ISNUMBER(Y90)),AD90-Y90,"")</f>
        <v/>
      </c>
      <c r="AE93" s="180">
        <f>IF(AND(ISNUMBER(AE90),ISNUMBER(Z90)),AE90-Z90,"")</f>
        <v/>
      </c>
      <c r="AF93" s="180">
        <f>IF(AND(ISNUMBER(AF90),ISNUMBER(AA90)),AF90-AA90,"")</f>
        <v/>
      </c>
      <c r="AG93" s="180">
        <f>IF(AND(ISNUMBER(AG90),ISNUMBER(AB90)),AG90-AB90,"")</f>
        <v/>
      </c>
      <c r="AH93" s="180">
        <f>IF(AND(ISNUMBER(AH90),ISNUMBER(AC90)),AH90-AC90,"")</f>
        <v/>
      </c>
      <c r="AI93" s="180">
        <f>IF(AND(ISNUMBER(AI90),ISNUMBER(AD90)),AI90-AD90,"")</f>
        <v/>
      </c>
      <c r="AJ93" s="180">
        <f>IF(AND(ISNUMBER(AJ90),ISNUMBER(AE90)),AJ90-AE90,"")</f>
        <v/>
      </c>
      <c r="AK93" s="180">
        <f>IF(AND(ISNUMBER(AK90),ISNUMBER(AF90)),AK90-AF90,"")</f>
        <v/>
      </c>
      <c r="AL93" s="180">
        <f>IF(AND(ISNUMBER(AL90),ISNUMBER(AG90)),AL90-AG90,"")</f>
        <v/>
      </c>
      <c r="AM93" s="180">
        <f>IF(AND(ISNUMBER(AM90),ISNUMBER(AH90)),AM90-AH90,"")</f>
        <v/>
      </c>
      <c r="AN93" s="180">
        <f>IF(AND(ISNUMBER(AN90),ISNUMBER(AI90)),AN90-AI90,"")</f>
        <v/>
      </c>
      <c r="AO93" s="180">
        <f>IF(AND(ISNUMBER(AO90),ISNUMBER(AJ90)),AO90-AJ90,"")</f>
        <v/>
      </c>
      <c r="AP93" s="180">
        <f>IF(AND(ISNUMBER(AP90),ISNUMBER(AK90)),AP90-AK90,"")</f>
        <v/>
      </c>
      <c r="AQ93" s="180">
        <f>IF(AND(ISNUMBER(AQ90),ISNUMBER(AL90)),AQ90-AL90,"")</f>
        <v/>
      </c>
      <c r="AR93" s="180">
        <f>IF(AND(ISNUMBER(AR90),ISNUMBER(AM90)),AR90-AM90,"")</f>
        <v/>
      </c>
      <c r="AS93" s="180">
        <f>IF(AND(ISNUMBER(AS90),ISNUMBER(AN90)),AS90-AN90,"")</f>
        <v/>
      </c>
      <c r="AT93" s="180">
        <f>IF(AND(ISNUMBER(AT90),ISNUMBER(AO90)),AT90-AO90,"")</f>
        <v/>
      </c>
      <c r="AU93" s="180">
        <f>IF(AND(ISNUMBER(AU90),ISNUMBER(AP90)),AU90-AP90,"")</f>
        <v/>
      </c>
      <c r="AV93" s="180">
        <f>IF(AND(ISNUMBER(AV90),ISNUMBER(AQ90)),AV90-AQ90,"")</f>
        <v/>
      </c>
      <c r="AW93" s="180">
        <f>IF(AND(ISNUMBER(AW90),ISNUMBER(AR90)),AW90-AR90,"")</f>
        <v/>
      </c>
      <c r="AX93" s="180">
        <f>IF(AND(ISNUMBER(AX90),ISNUMBER(AS90)),AX90-AS90,"")</f>
        <v/>
      </c>
      <c r="AY93" s="180">
        <f>IF(AND(ISNUMBER(AY90),ISNUMBER(AT90)),AY90-AT90,"")</f>
        <v/>
      </c>
      <c r="AZ93" s="180">
        <f>IF(AND(ISNUMBER(AZ90),ISNUMBER(AU90)),AZ90-AU90,"")</f>
        <v/>
      </c>
      <c r="BA93" s="180">
        <f>IF(AND(ISNUMBER(BA90),ISNUMBER(AV90)),BA90-AV90,"")</f>
        <v/>
      </c>
      <c r="BB93" s="180">
        <f>IF(AND(ISNUMBER(BB90),ISNUMBER(AW90)),BB90-AW90,"")</f>
        <v/>
      </c>
      <c r="BC93" s="180">
        <f>IF(AND(ISNUMBER(BC90),ISNUMBER(AX90)),BC90-AX90,"")</f>
        <v/>
      </c>
      <c r="BD93" s="180">
        <f>IF(AND(ISNUMBER(BD90),ISNUMBER(AY90)),BD90-AY90,"")</f>
        <v/>
      </c>
      <c r="BE93" s="180">
        <f>IF(AND(ISNUMBER(BE90),ISNUMBER(AZ90)),BE90-AZ90,"")</f>
        <v/>
      </c>
      <c r="BF93" s="180">
        <f>IF(AND(ISNUMBER(BF90),ISNUMBER(BA90)),BF90-BA90,"")</f>
        <v/>
      </c>
      <c r="BG93" s="180">
        <f>IF(AND(ISNUMBER(BG90),ISNUMBER(BB90)),BG90-BB90,"")</f>
        <v/>
      </c>
      <c r="BH93" s="180">
        <f>IF(AND(ISNUMBER(BH90),ISNUMBER(BC90)),BH90-BC90,"")</f>
        <v/>
      </c>
      <c r="BI93" s="180">
        <f>IF(AND(ISNUMBER(BI90),ISNUMBER(BD90)),BI90-BD90,"")</f>
        <v/>
      </c>
      <c r="BJ93" s="180">
        <f>IF(AND(ISNUMBER(BJ90),ISNUMBER(BE90)),BJ90-BE90,"")</f>
        <v/>
      </c>
      <c r="BK93" s="180">
        <f>IF(AND(ISNUMBER(BK90),ISNUMBER(BF90)),BK90-BF90,"")</f>
        <v/>
      </c>
      <c r="BL93" s="180">
        <f>IF(AND(ISNUMBER(BL90),ISNUMBER(BG90)),BL90-BG90,"")</f>
        <v/>
      </c>
      <c r="BM93" s="180">
        <f>IF(AND(ISNUMBER(BM90),ISNUMBER(BH90)),BM90-BH90,"")</f>
        <v/>
      </c>
      <c r="BN93" s="180">
        <f>IF(AND(ISNUMBER(BN90),ISNUMBER(BI90)),BN90-BI90,"")</f>
        <v/>
      </c>
      <c r="BO93" s="180">
        <f>IF(AND(ISNUMBER(BO90),ISNUMBER(BJ90)),BO90-BJ90,"")</f>
        <v/>
      </c>
      <c r="BP93" s="180">
        <f>IF(AND(ISNUMBER(BP90),ISNUMBER(BK90)),BP90-BK90,"")</f>
        <v/>
      </c>
      <c r="BQ93" s="180">
        <f>IF(AND(ISNUMBER(BQ90),ISNUMBER(BL90)),BQ90-BL90,"")</f>
        <v/>
      </c>
      <c r="BR93" s="180">
        <f>IF(AND(ISNUMBER(BR90),ISNUMBER(BM90)),BR90-BM90,"")</f>
        <v/>
      </c>
      <c r="BS93" s="180">
        <f>IF(AND(ISNUMBER(BS90),ISNUMBER(BN90)),BS90-BN90,"")</f>
        <v/>
      </c>
      <c r="BT93" s="180">
        <f>IF(AND(ISNUMBER(BT90),ISNUMBER(BO90)),BT90-BO90,"")</f>
        <v/>
      </c>
      <c r="BU93" s="180">
        <f>IF(AND(ISNUMBER(BU90),ISNUMBER(BP90)),BU90-BP90,"")</f>
        <v/>
      </c>
      <c r="BV93" s="180">
        <f>IF(AND(ISNUMBER(BV90),ISNUMBER(BQ90)),BV90-BQ90,"")</f>
        <v/>
      </c>
      <c r="BW93" s="180">
        <f>IF(AND(ISNUMBER(BW90),ISNUMBER(BR90)),BW90-BR90,"")</f>
        <v/>
      </c>
      <c r="BX93" s="180">
        <f>IF(AND(ISNUMBER(BX90),ISNUMBER(BS90)),BX90-BS90,"")</f>
        <v/>
      </c>
      <c r="BY93" s="181">
        <f>IF(AND(ISNUMBER(BY90),ISNUMBER(BT90)),BY90-BT90,"")</f>
        <v/>
      </c>
      <c r="BZ93" s="181">
        <f>IF(AND(ISNUMBER(BZ90),ISNUMBER(BU90)),BZ90-BU90,"")</f>
        <v/>
      </c>
      <c r="CA93" s="181">
        <f>IF(AND(ISNUMBER(CA90),ISNUMBER(BV90)),CA90-BV90,"")</f>
        <v/>
      </c>
      <c r="CB93" s="181">
        <f>IF(AND(ISNUMBER(CB90),ISNUMBER(CA90)),CB90-CA90,"")</f>
        <v/>
      </c>
      <c r="CC93" s="181">
        <f>IF(AND(ISNUMBER(CC90),ISNUMBER(CB90)),CC90-CB90,"")</f>
        <v/>
      </c>
      <c r="CD93" s="181">
        <f>IF(AND(ISNUMBER(CD90),ISNUMBER(CC90)),CD90-CC90,"")</f>
        <v/>
      </c>
      <c r="CE93" s="181">
        <f>IF(AND(ISNUMBER(CE90),ISNUMBER(CD90)),CE90-CD90,"")</f>
        <v/>
      </c>
      <c r="CF93" s="6" t="n"/>
    </row>
    <row r="94" ht="15" customHeight="1">
      <c r="B94" s="42" t="inlineStr">
        <is>
          <t xml:space="preserve">  Memo: operating ratio as published</t>
        </is>
      </c>
      <c r="C94" s="201" t="n">
        <v>0.898</v>
      </c>
      <c r="D94" s="201" t="n">
        <v>0.907</v>
      </c>
      <c r="E94" s="201" t="n">
        <v>0.9159999999999999</v>
      </c>
      <c r="F94" s="201" t="n">
        <v>0.9429999999999999</v>
      </c>
      <c r="G94" s="201" t="n">
        <v>0.907</v>
      </c>
      <c r="H94" s="201" t="n">
        <v>0.8759999999999999</v>
      </c>
      <c r="I94" s="201" t="n">
        <v>0.865</v>
      </c>
      <c r="J94" s="201" t="n">
        <v>0.8759999999999999</v>
      </c>
      <c r="K94" s="201" t="n">
        <v>0.835</v>
      </c>
      <c r="L94" s="201" t="n">
        <v>0.841</v>
      </c>
      <c r="M94" s="201" t="n">
        <v>0.87</v>
      </c>
      <c r="N94" s="201" t="n">
        <v>0.855</v>
      </c>
      <c r="O94" s="201" t="n">
        <v>0.871</v>
      </c>
      <c r="P94" s="201" t="n">
        <v>0.825</v>
      </c>
      <c r="Q94" s="201" t="n">
        <v>0.83</v>
      </c>
      <c r="R94" s="201" t="n">
        <v>0.8440000000000001</v>
      </c>
      <c r="S94" s="201" t="n">
        <v>0.8420000000000001</v>
      </c>
      <c r="T94" s="201" t="n">
        <v>0.851</v>
      </c>
      <c r="U94" s="201" t="n">
        <v>0.8149999999999999</v>
      </c>
      <c r="V94" s="201" t="n">
        <v>0.821</v>
      </c>
      <c r="W94" s="201" t="n">
        <v>0.845</v>
      </c>
      <c r="X94" s="201" t="n">
        <v>0.8320000000000001</v>
      </c>
      <c r="Y94" s="201" t="n">
        <v>0.8590000000000001</v>
      </c>
      <c r="Z94" s="201" t="n">
        <v>0.823</v>
      </c>
      <c r="AA94" s="201" t="n">
        <v>0.8240000000000001</v>
      </c>
      <c r="AB94" s="201" t="n">
        <v>0.848</v>
      </c>
      <c r="AC94" s="201" t="n">
        <v>0.838</v>
      </c>
      <c r="AD94" s="201" t="n">
        <v>0.857</v>
      </c>
      <c r="AE94" s="201" t="n">
        <v>0.8090000000000001</v>
      </c>
      <c r="AF94" s="201" t="n">
        <v>0.8120000000000001</v>
      </c>
      <c r="AG94" s="201" t="n">
        <v>0.8390000000000001</v>
      </c>
      <c r="AH94" s="201" t="n">
        <v>0.8290000000000001</v>
      </c>
      <c r="AI94" s="201" t="n">
        <v>0.8390000000000001</v>
      </c>
      <c r="AJ94" s="201" t="n">
        <v>0.787</v>
      </c>
      <c r="AK94" s="201" t="n">
        <v>0.784</v>
      </c>
      <c r="AL94" s="201" t="n">
        <v>0.787</v>
      </c>
      <c r="AM94" s="201" t="n">
        <v>0.7979999999999999</v>
      </c>
      <c r="AN94" s="201" t="n">
        <v>0.82</v>
      </c>
      <c r="AO94" s="201" t="n">
        <v>0.779</v>
      </c>
      <c r="AP94" s="201" t="n">
        <v>0.7929999999999999</v>
      </c>
      <c r="AQ94" s="201" t="n">
        <v>0.8129999999999999</v>
      </c>
      <c r="AR94" s="201" t="n">
        <v>0.8009999999999999</v>
      </c>
      <c r="AS94" s="201" t="n">
        <v>0.8140000000000001</v>
      </c>
      <c r="AT94" s="201" t="n">
        <v>0.778</v>
      </c>
      <c r="AU94" s="201" t="n">
        <v>0.745</v>
      </c>
      <c r="AV94" s="201" t="n">
        <v>0.763</v>
      </c>
      <c r="AW94" s="201" t="n">
        <v>0.774</v>
      </c>
      <c r="AX94" s="201" t="n">
        <v>0.7609999999999999</v>
      </c>
      <c r="AY94" s="201" t="n">
        <v>0.723</v>
      </c>
      <c r="AZ94" s="201" t="n">
        <v>0.726</v>
      </c>
      <c r="BA94" s="201" t="n">
        <v>0.736</v>
      </c>
      <c r="BB94" s="201" t="n">
        <v>0.735</v>
      </c>
      <c r="BC94" s="201" t="n">
        <v>0.7290000000000001</v>
      </c>
      <c r="BD94" s="201" t="n">
        <v>0.695</v>
      </c>
      <c r="BE94" s="201" t="n">
        <v>0.6909999999999999</v>
      </c>
      <c r="BF94" s="201" t="n">
        <v>0.7120000000000001</v>
      </c>
      <c r="BG94" s="201" t="n">
        <v>0.706</v>
      </c>
      <c r="BH94" s="201" t="n">
        <v>0.7340000000000001</v>
      </c>
      <c r="BI94" s="201" t="n">
        <v>0.723</v>
      </c>
      <c r="BJ94" s="201" t="n">
        <v>0.706</v>
      </c>
      <c r="BK94" s="201" t="n">
        <v>0.718</v>
      </c>
      <c r="BL94" s="201" t="n">
        <v>0.72</v>
      </c>
      <c r="BM94" s="201" t="n">
        <v>0.735</v>
      </c>
      <c r="BN94" s="201" t="n">
        <v>0.7190000000000001</v>
      </c>
      <c r="BO94" s="201" t="n">
        <v>0.727</v>
      </c>
      <c r="BP94" s="201" t="n">
        <v>0.759</v>
      </c>
      <c r="BQ94" s="201" t="n">
        <v>0.7340000000000001</v>
      </c>
      <c r="BR94" s="201" t="n">
        <v>0.754</v>
      </c>
      <c r="BS94" s="201" t="n">
        <v>0.746</v>
      </c>
      <c r="BT94" s="201" t="n">
        <v>0.743</v>
      </c>
      <c r="BU94" s="201" t="n">
        <v>0.767</v>
      </c>
      <c r="BV94" s="201" t="n">
        <v>0.752</v>
      </c>
      <c r="BW94" s="201" t="n">
        <v>0.762</v>
      </c>
      <c r="BX94" s="201" t="n">
        <v>0.701</v>
      </c>
      <c r="BY94" s="6" t="n"/>
      <c r="BZ94" s="6" t="n"/>
      <c r="CA94" s="6" t="n"/>
      <c r="CB94" s="6" t="n"/>
      <c r="CC94" s="6" t="n"/>
      <c r="CD94" s="6" t="n"/>
      <c r="CE94" s="6" t="n"/>
      <c r="CF94" s="6" t="n"/>
    </row>
    <row r="95" ht="15" customHeight="1">
      <c r="B95" s="61" t="inlineStr">
        <is>
          <t xml:space="preserve">  Check: Q3/26E tons per day y/y vs Aug-26 update anchor (should be 0)</t>
        </is>
      </c>
      <c r="C95" s="47" t="n"/>
      <c r="D95" s="47" t="n"/>
      <c r="E95" s="47" t="n"/>
      <c r="F95" s="47" t="n"/>
      <c r="G95" s="47" t="n"/>
      <c r="H95" s="47" t="n"/>
      <c r="I95" s="47" t="n"/>
      <c r="J95" s="47" t="n"/>
      <c r="K95" s="47" t="n"/>
      <c r="L95" s="47" t="n"/>
      <c r="M95" s="47" t="n"/>
      <c r="N95" s="47" t="n"/>
      <c r="O95" s="47" t="n"/>
      <c r="P95" s="47" t="n"/>
      <c r="Q95" s="47" t="n"/>
      <c r="R95" s="47" t="n"/>
      <c r="S95" s="47" t="n"/>
      <c r="T95" s="47" t="n"/>
      <c r="U95" s="47" t="n"/>
      <c r="V95" s="47" t="n"/>
      <c r="W95" s="47" t="n"/>
      <c r="X95" s="47" t="n"/>
      <c r="Y95" s="47" t="n"/>
      <c r="Z95" s="47" t="n"/>
      <c r="AA95" s="47" t="n"/>
      <c r="AB95" s="47" t="n"/>
      <c r="AC95" s="47" t="n"/>
      <c r="AD95" s="47" t="n"/>
      <c r="AE95" s="47" t="n"/>
      <c r="AF95" s="47" t="n"/>
      <c r="AG95" s="47" t="n"/>
      <c r="AH95" s="47" t="n"/>
      <c r="AI95" s="47" t="n"/>
      <c r="AJ95" s="47" t="n"/>
      <c r="AK95" s="47" t="n"/>
      <c r="AL95" s="47" t="n"/>
      <c r="AM95" s="47" t="n"/>
      <c r="AN95" s="47" t="n"/>
      <c r="AO95" s="47" t="n"/>
      <c r="AP95" s="47" t="n"/>
      <c r="AQ95" s="47" t="n"/>
      <c r="AR95" s="47" t="n"/>
      <c r="AS95" s="47" t="n"/>
      <c r="AT95" s="47" t="n"/>
      <c r="AU95" s="47" t="n"/>
      <c r="AV95" s="47" t="n"/>
      <c r="AW95" s="47" t="n"/>
      <c r="AX95" s="47" t="n"/>
      <c r="AY95" s="47" t="n"/>
      <c r="AZ95" s="47" t="n"/>
      <c r="BA95" s="47" t="n"/>
      <c r="BB95" s="47" t="n"/>
      <c r="BC95" s="47" t="n"/>
      <c r="BD95" s="47" t="n"/>
      <c r="BE95" s="47" t="n"/>
      <c r="BF95" s="47" t="n"/>
      <c r="BG95" s="47" t="n"/>
      <c r="BH95" s="47" t="n"/>
      <c r="BI95" s="47" t="n"/>
      <c r="BJ95" s="47" t="n"/>
      <c r="BK95" s="47" t="n"/>
      <c r="BL95" s="47" t="n"/>
      <c r="BM95" s="47" t="n"/>
      <c r="BN95" s="47" t="n"/>
      <c r="BO95" s="47" t="n"/>
      <c r="BP95" s="47" t="n"/>
      <c r="BQ95" s="47" t="n"/>
      <c r="BR95" s="47" t="n"/>
      <c r="BS95" s="47" t="n"/>
      <c r="BT95" s="47" t="n"/>
      <c r="BU95" s="47" t="n"/>
      <c r="BV95" s="47" t="n"/>
      <c r="BW95" s="47" t="n"/>
      <c r="BX95" s="47" t="n"/>
      <c r="BY95" s="202">
        <f>ROUND(BY13-$CP$19,6)</f>
        <v/>
      </c>
      <c r="BZ95" s="6" t="n"/>
      <c r="CA95" s="6" t="n"/>
      <c r="CB95" s="6" t="n"/>
      <c r="CC95" s="6" t="n"/>
      <c r="CD95" s="6" t="n"/>
      <c r="CE95" s="6" t="n"/>
      <c r="CF95" s="6" t="n"/>
    </row>
    <row r="96" ht="15" customHeight="1">
      <c r="B96" s="61" t="inlineStr">
        <is>
          <t xml:space="preserve">  Check: Q3/26E revenue/cwt (incl. &amp; excl. fuel) y/y vs Jul–Aug QTD update anchors (should be 0)</t>
        </is>
      </c>
      <c r="C96" s="47" t="n"/>
      <c r="D96" s="47" t="n"/>
      <c r="E96" s="47" t="n"/>
      <c r="F96" s="47" t="n"/>
      <c r="G96" s="47" t="n"/>
      <c r="H96" s="47" t="n"/>
      <c r="I96" s="47" t="n"/>
      <c r="J96" s="47" t="n"/>
      <c r="K96" s="47" t="n"/>
      <c r="L96" s="47" t="n"/>
      <c r="M96" s="47" t="n"/>
      <c r="N96" s="47" t="n"/>
      <c r="O96" s="47" t="n"/>
      <c r="P96" s="47" t="n"/>
      <c r="Q96" s="47" t="n"/>
      <c r="R96" s="47" t="n"/>
      <c r="S96" s="47" t="n"/>
      <c r="T96" s="47" t="n"/>
      <c r="U96" s="47" t="n"/>
      <c r="V96" s="47" t="n"/>
      <c r="W96" s="47" t="n"/>
      <c r="X96" s="47" t="n"/>
      <c r="Y96" s="47" t="n"/>
      <c r="Z96" s="47" t="n"/>
      <c r="AA96" s="47" t="n"/>
      <c r="AB96" s="47" t="n"/>
      <c r="AC96" s="47" t="n"/>
      <c r="AD96" s="47" t="n"/>
      <c r="AE96" s="47" t="n"/>
      <c r="AF96" s="47" t="n"/>
      <c r="AG96" s="47" t="n"/>
      <c r="AH96" s="47" t="n"/>
      <c r="AI96" s="47" t="n"/>
      <c r="AJ96" s="47" t="n"/>
      <c r="AK96" s="47" t="n"/>
      <c r="AL96" s="47" t="n"/>
      <c r="AM96" s="47" t="n"/>
      <c r="AN96" s="47" t="n"/>
      <c r="AO96" s="47" t="n"/>
      <c r="AP96" s="47" t="n"/>
      <c r="AQ96" s="47" t="n"/>
      <c r="AR96" s="47" t="n"/>
      <c r="AS96" s="47" t="n"/>
      <c r="AT96" s="47" t="n"/>
      <c r="AU96" s="47" t="n"/>
      <c r="AV96" s="47" t="n"/>
      <c r="AW96" s="47" t="n"/>
      <c r="AX96" s="47" t="n"/>
      <c r="AY96" s="47" t="n"/>
      <c r="AZ96" s="47" t="n"/>
      <c r="BA96" s="47" t="n"/>
      <c r="BB96" s="47" t="n"/>
      <c r="BC96" s="47" t="n"/>
      <c r="BD96" s="47" t="n"/>
      <c r="BE96" s="47" t="n"/>
      <c r="BF96" s="47" t="n"/>
      <c r="BG96" s="47" t="n"/>
      <c r="BH96" s="47" t="n"/>
      <c r="BI96" s="47" t="n"/>
      <c r="BJ96" s="47" t="n"/>
      <c r="BK96" s="47" t="n"/>
      <c r="BL96" s="47" t="n"/>
      <c r="BM96" s="47" t="n"/>
      <c r="BN96" s="47" t="n"/>
      <c r="BO96" s="47" t="n"/>
      <c r="BP96" s="47" t="n"/>
      <c r="BQ96" s="47" t="n"/>
      <c r="BR96" s="47" t="n"/>
      <c r="BS96" s="47" t="n"/>
      <c r="BT96" s="47" t="n"/>
      <c r="BU96" s="47" t="n"/>
      <c r="BV96" s="47" t="n"/>
      <c r="BW96" s="47" t="n"/>
      <c r="BX96" s="47" t="n"/>
      <c r="BY96" s="202">
        <f>ROUND(ABS(BY34-$CP$21)+ABS(BY29-$CP$20),6)</f>
        <v/>
      </c>
      <c r="BZ96" s="6" t="n"/>
      <c r="CA96" s="6" t="n"/>
      <c r="CB96" s="6" t="n"/>
      <c r="CC96" s="6" t="n"/>
      <c r="CD96" s="6" t="n"/>
      <c r="CE96" s="6" t="n"/>
      <c r="CF96" s="6" t="n"/>
    </row>
    <row r="97" ht="15" customHeight="1">
      <c r="B97" s="42" t="inlineStr">
        <is>
          <t xml:space="preserve">  Memo: Aug-26 revenue per day y/y (3-Sep-26 update; Q3/26E model revenue per day y/y above)</t>
        </is>
      </c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  <c r="AP97" s="36" t="n"/>
      <c r="AQ97" s="36" t="n"/>
      <c r="AR97" s="36" t="n"/>
      <c r="AS97" s="36" t="n"/>
      <c r="AT97" s="36" t="n"/>
      <c r="AU97" s="36" t="n"/>
      <c r="AV97" s="36" t="n"/>
      <c r="AW97" s="36" t="n"/>
      <c r="AX97" s="36" t="n"/>
      <c r="AY97" s="36" t="n"/>
      <c r="AZ97" s="36" t="n"/>
      <c r="BA97" s="36" t="n"/>
      <c r="BB97" s="36" t="n"/>
      <c r="BC97" s="36" t="n"/>
      <c r="BD97" s="36" t="n"/>
      <c r="BE97" s="36" t="n"/>
      <c r="BF97" s="36" t="n"/>
      <c r="BG97" s="36" t="n"/>
      <c r="BH97" s="36" t="n"/>
      <c r="BI97" s="36" t="n"/>
      <c r="BJ97" s="36" t="n"/>
      <c r="BK97" s="36" t="n"/>
      <c r="BL97" s="36" t="n"/>
      <c r="BM97" s="36" t="n"/>
      <c r="BN97" s="36" t="n"/>
      <c r="BO97" s="36" t="n"/>
      <c r="BP97" s="36" t="n"/>
      <c r="BQ97" s="36" t="n"/>
      <c r="BR97" s="36" t="n"/>
      <c r="BS97" s="36" t="n"/>
      <c r="BT97" s="36" t="n"/>
      <c r="BU97" s="36" t="n"/>
      <c r="BV97" s="36" t="n"/>
      <c r="BW97" s="36" t="n"/>
      <c r="BX97" s="36" t="n"/>
      <c r="BY97" s="202">
        <f>$CP$22</f>
        <v/>
      </c>
      <c r="BZ97" s="6" t="n"/>
      <c r="CA97" s="6" t="n"/>
      <c r="CB97" s="6" t="n"/>
      <c r="CC97" s="6" t="n"/>
      <c r="CD97" s="6" t="n"/>
      <c r="CE97" s="6" t="n"/>
      <c r="CF97" s="6" t="n"/>
    </row>
    <row r="98" ht="15" customHeight="1"/>
    <row r="99" ht="15" customHeight="1">
      <c r="B99" s="11" t="inlineStr">
        <is>
          <t>STATEMENT OF OPERATIONS (US GAAP)</t>
        </is>
      </c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  <c r="AP99" s="11" t="n"/>
      <c r="AQ99" s="11" t="n"/>
      <c r="AR99" s="11" t="n"/>
      <c r="AS99" s="11" t="n"/>
      <c r="AT99" s="11" t="n"/>
      <c r="AU99" s="11" t="n"/>
      <c r="AV99" s="11" t="n"/>
      <c r="AW99" s="11" t="n"/>
      <c r="AX99" s="11" t="n"/>
      <c r="AY99" s="11" t="n"/>
      <c r="AZ99" s="11" t="n"/>
      <c r="BA99" s="11" t="n"/>
      <c r="BB99" s="11" t="n"/>
      <c r="BC99" s="11" t="n"/>
      <c r="BD99" s="11" t="n"/>
      <c r="BE99" s="11" t="n"/>
      <c r="BF99" s="11" t="n"/>
      <c r="BG99" s="11" t="n"/>
      <c r="BH99" s="11" t="n"/>
      <c r="BI99" s="11" t="n"/>
      <c r="BJ99" s="11" t="n"/>
      <c r="BK99" s="11" t="n"/>
      <c r="BL99" s="11" t="n"/>
      <c r="BM99" s="11" t="n"/>
      <c r="BN99" s="11" t="n"/>
      <c r="BO99" s="11" t="n"/>
      <c r="BP99" s="11" t="n"/>
      <c r="BQ99" s="11" t="n"/>
      <c r="BR99" s="11" t="n"/>
      <c r="BS99" s="11" t="n"/>
      <c r="BT99" s="11" t="n"/>
      <c r="BU99" s="11" t="n"/>
      <c r="BV99" s="11" t="n"/>
      <c r="BW99" s="11" t="n"/>
      <c r="BX99" s="11" t="n"/>
      <c r="BY99" s="11" t="n"/>
      <c r="BZ99" s="11" t="n"/>
      <c r="CA99" s="11" t="n"/>
      <c r="CB99" s="11" t="n"/>
      <c r="CC99" s="11" t="n"/>
      <c r="CD99" s="11" t="n"/>
      <c r="CE99" s="11" t="n"/>
      <c r="CF99" s="11" t="inlineStr">
        <is>
          <t>STATEMENT OF OPERATIONS — forecast logic</t>
        </is>
      </c>
    </row>
    <row r="100" ht="15" customHeight="1">
      <c r="B100" s="59" t="inlineStr">
        <is>
          <t>Revenue</t>
        </is>
      </c>
      <c r="C100" s="203" t="n">
        <v>1279.431</v>
      </c>
      <c r="D100" s="203" t="n">
        <v>1401.542</v>
      </c>
      <c r="E100" s="203" t="n">
        <v>1537.724</v>
      </c>
      <c r="F100" s="203" t="n">
        <v>1245.005</v>
      </c>
      <c r="G100" s="203" t="n">
        <v>1480.998</v>
      </c>
      <c r="H100" s="203" t="n">
        <v>1882.541</v>
      </c>
      <c r="I100" s="203" t="n">
        <v>2110.483</v>
      </c>
      <c r="J100" s="203" t="n">
        <v>532.575</v>
      </c>
      <c r="K100" s="203" t="n">
        <v>590.2089999999999</v>
      </c>
      <c r="L100" s="203" t="n">
        <v>616.458</v>
      </c>
      <c r="M100" s="203" t="n">
        <v>592.47</v>
      </c>
      <c r="N100" s="203" t="n">
        <v>2337.648</v>
      </c>
      <c r="O100" s="203" t="n">
        <v>620.276</v>
      </c>
      <c r="P100" s="203" t="n">
        <v>702.987</v>
      </c>
      <c r="Q100" s="203" t="n">
        <v>743.586</v>
      </c>
      <c r="R100" s="203" t="n">
        <v>721.048</v>
      </c>
      <c r="S100" s="203" t="n">
        <v>2787.897</v>
      </c>
      <c r="T100" s="203" t="n">
        <v>696.245</v>
      </c>
      <c r="U100" s="203" t="n">
        <v>762.151</v>
      </c>
      <c r="V100" s="203" t="n">
        <v>779.474</v>
      </c>
      <c r="W100" s="203" t="n">
        <v>734.572</v>
      </c>
      <c r="X100" s="203" t="n">
        <v>2972.442</v>
      </c>
      <c r="Y100" s="203" t="n">
        <v>707.7329999999999</v>
      </c>
      <c r="Z100" s="203" t="n">
        <v>755.4349999999999</v>
      </c>
      <c r="AA100" s="203" t="n">
        <v>782.611</v>
      </c>
      <c r="AB100" s="203" t="n">
        <v>745.7380000000001</v>
      </c>
      <c r="AC100" s="203" t="n">
        <v>2991.517</v>
      </c>
      <c r="AD100" s="203" t="n">
        <v>754.096</v>
      </c>
      <c r="AE100" s="203" t="n">
        <v>839.912</v>
      </c>
      <c r="AF100" s="203" t="n">
        <v>872.987</v>
      </c>
      <c r="AG100" s="203" t="n">
        <v>891.117</v>
      </c>
      <c r="AH100" s="203" t="n">
        <v>3358.112</v>
      </c>
      <c r="AI100" s="203" t="n">
        <v>925.02</v>
      </c>
      <c r="AJ100" s="203" t="n">
        <v>1033.498</v>
      </c>
      <c r="AK100" s="203" t="n">
        <v>1058.233</v>
      </c>
      <c r="AL100" s="203" t="n">
        <v>1026.944</v>
      </c>
      <c r="AM100" s="203" t="n">
        <v>4043.695</v>
      </c>
      <c r="AN100" s="203" t="n">
        <v>990.782</v>
      </c>
      <c r="AO100" s="203" t="n">
        <v>1060.666</v>
      </c>
      <c r="AP100" s="203" t="n">
        <v>1048.457</v>
      </c>
      <c r="AQ100" s="203" t="n">
        <v>1009.206</v>
      </c>
      <c r="AR100" s="203" t="n">
        <v>4109.111</v>
      </c>
      <c r="AS100" s="203" t="n">
        <v>987.364</v>
      </c>
      <c r="AT100" s="203" t="n">
        <v>896.21</v>
      </c>
      <c r="AU100" s="203" t="n">
        <v>1058.166</v>
      </c>
      <c r="AV100" s="203" t="n">
        <v>1073.389</v>
      </c>
      <c r="AW100" s="203" t="n">
        <v>4015.129</v>
      </c>
      <c r="AX100" s="203" t="n">
        <v>1126.515</v>
      </c>
      <c r="AY100" s="203" t="n">
        <v>1319.409</v>
      </c>
      <c r="AZ100" s="203" t="n">
        <v>1400.046</v>
      </c>
      <c r="BA100" s="203" t="n">
        <v>1410.358</v>
      </c>
      <c r="BB100" s="203" t="n">
        <v>5256.328</v>
      </c>
      <c r="BC100" s="203" t="n">
        <v>1497.28</v>
      </c>
      <c r="BD100" s="203" t="n">
        <v>1667.448</v>
      </c>
      <c r="BE100" s="203" t="n">
        <v>1603.69</v>
      </c>
      <c r="BF100" s="203" t="n">
        <v>1491.659</v>
      </c>
      <c r="BG100" s="203" t="n">
        <v>6260.077</v>
      </c>
      <c r="BH100" s="203" t="n">
        <v>1442.136</v>
      </c>
      <c r="BI100" s="203" t="n">
        <v>1413.189</v>
      </c>
      <c r="BJ100" s="203" t="n">
        <v>1515.277</v>
      </c>
      <c r="BK100" s="203" t="n">
        <v>1495.55</v>
      </c>
      <c r="BL100" s="203" t="n">
        <v>5866.152</v>
      </c>
      <c r="BM100" s="203" t="n">
        <v>1460.073</v>
      </c>
      <c r="BN100" s="203" t="n">
        <v>1498.697</v>
      </c>
      <c r="BO100" s="203" t="n">
        <v>1470.211</v>
      </c>
      <c r="BP100" s="203" t="n">
        <v>1385.829</v>
      </c>
      <c r="BQ100" s="203" t="n">
        <v>5814.81</v>
      </c>
      <c r="BR100" s="203" t="n">
        <v>1374.858</v>
      </c>
      <c r="BS100" s="203" t="n">
        <v>1407.724</v>
      </c>
      <c r="BT100" s="203" t="n">
        <v>1406.511</v>
      </c>
      <c r="BU100" s="203" t="n">
        <v>1307.296</v>
      </c>
      <c r="BV100" s="203" t="n">
        <v>5496.389</v>
      </c>
      <c r="BW100" s="203" t="n">
        <v>1334.696</v>
      </c>
      <c r="BX100" s="203" t="n">
        <v>1554.004</v>
      </c>
      <c r="BY100" s="196">
        <f>BY47</f>
        <v/>
      </c>
      <c r="BZ100" s="196">
        <f>BZ47</f>
        <v/>
      </c>
      <c r="CA100" s="196">
        <f>SUM(BW100,BX100,BY100,BZ100)</f>
        <v/>
      </c>
      <c r="CB100" s="196">
        <f>CB47</f>
        <v/>
      </c>
      <c r="CC100" s="196">
        <f>CC47</f>
        <v/>
      </c>
      <c r="CD100" s="196">
        <f>CD47</f>
        <v/>
      </c>
      <c r="CE100" s="196">
        <f>CE47</f>
        <v/>
      </c>
      <c r="CF100" s="6" t="inlineStr">
        <is>
          <t>Forecast linked to the LTL operating build.</t>
        </is>
      </c>
      <c r="CH100" s="21">
        <f>IFERROR((CE100/BV100)^(1/5)-1,"n/m")</f>
        <v/>
      </c>
      <c r="CI100" s="21">
        <f>IFERROR((BV100/AW100)^(1/5)-1,"n/m")</f>
        <v/>
      </c>
      <c r="CJ100" s="21">
        <f>IFERROR((BV100/X100)^(1/10)-1,"n/m")</f>
        <v/>
      </c>
      <c r="CK100" s="21">
        <f>IFERROR((BV100/C100)^(1/19)-1,"n/m")</f>
        <v/>
      </c>
    </row>
    <row r="101" ht="15" customHeight="1">
      <c r="B101" s="26" t="inlineStr">
        <is>
          <t>Salaries, wages &amp; benefits</t>
        </is>
      </c>
      <c r="C101" s="174" t="n">
        <v>682.886</v>
      </c>
      <c r="D101" s="174" t="n">
        <v>751.371</v>
      </c>
      <c r="E101" s="174" t="n">
        <v>804.636</v>
      </c>
      <c r="F101" s="174" t="n">
        <v>718.744</v>
      </c>
      <c r="G101" s="174" t="n">
        <v>808.819</v>
      </c>
      <c r="H101" s="174" t="n">
        <v>956.079</v>
      </c>
      <c r="I101" s="174" t="n">
        <v>1066.551</v>
      </c>
      <c r="J101" s="174" t="n">
        <v>270.8</v>
      </c>
      <c r="K101" s="174" t="n">
        <v>287.961</v>
      </c>
      <c r="L101" s="174" t="n">
        <v>303.853</v>
      </c>
      <c r="M101" s="174" t="n">
        <v>308.159</v>
      </c>
      <c r="N101" s="174" t="n">
        <v>1170.773</v>
      </c>
      <c r="O101" s="174" t="n">
        <v>311.181</v>
      </c>
      <c r="P101" s="174" t="n">
        <v>340.309</v>
      </c>
      <c r="Q101" s="174" t="n">
        <v>363.42</v>
      </c>
      <c r="R101" s="174" t="n">
        <v>366.367</v>
      </c>
      <c r="S101" s="174" t="n">
        <v>1381.277</v>
      </c>
      <c r="T101" s="174" t="n">
        <v>368.442</v>
      </c>
      <c r="U101" s="174" t="n">
        <v>387.423</v>
      </c>
      <c r="V101" s="174" t="n">
        <v>406.592</v>
      </c>
      <c r="W101" s="174" t="n">
        <v>407.334</v>
      </c>
      <c r="X101" s="174" t="n">
        <v>1569.791</v>
      </c>
      <c r="Y101" s="174" t="n">
        <v>400.869</v>
      </c>
      <c r="Z101" s="174" t="n">
        <v>408.424</v>
      </c>
      <c r="AA101" s="174" t="n">
        <v>425.076</v>
      </c>
      <c r="AB101" s="174" t="n">
        <v>417.686</v>
      </c>
      <c r="AC101" s="174" t="n">
        <v>1652.055</v>
      </c>
      <c r="AD101" s="174" t="n">
        <v>416.504</v>
      </c>
      <c r="AE101" s="174" t="n">
        <v>441.904</v>
      </c>
      <c r="AF101" s="174" t="n">
        <v>461.799</v>
      </c>
      <c r="AG101" s="174" t="n">
        <v>482.233</v>
      </c>
      <c r="AH101" s="174" t="n">
        <v>1802.44</v>
      </c>
      <c r="AI101" s="174" t="n">
        <v>501.311</v>
      </c>
      <c r="AJ101" s="174" t="n">
        <v>522.249</v>
      </c>
      <c r="AK101" s="174" t="n">
        <v>536.513</v>
      </c>
      <c r="AL101" s="174" t="n">
        <v>515.529</v>
      </c>
      <c r="AM101" s="174" t="n">
        <v>2075.602</v>
      </c>
      <c r="AN101" s="174" t="n">
        <v>522.3440000000001</v>
      </c>
      <c r="AO101" s="174" t="n">
        <v>532.583</v>
      </c>
      <c r="AP101" s="174" t="n">
        <v>533.451</v>
      </c>
      <c r="AQ101" s="174" t="n">
        <v>534.086</v>
      </c>
      <c r="AR101" s="174" t="n">
        <v>2122.464</v>
      </c>
      <c r="AS101" s="174" t="n">
        <v>524.4829999999999</v>
      </c>
      <c r="AT101" s="174" t="n">
        <v>460.906</v>
      </c>
      <c r="AU101" s="174" t="n">
        <v>524.658</v>
      </c>
      <c r="AV101" s="174" t="n">
        <v>543.847</v>
      </c>
      <c r="AW101" s="174" t="n">
        <v>2053.894</v>
      </c>
      <c r="AX101" s="174" t="n">
        <v>545.659</v>
      </c>
      <c r="AY101" s="174" t="n">
        <v>611.518</v>
      </c>
      <c r="AZ101" s="174" t="n">
        <v>649.6849999999999</v>
      </c>
      <c r="BA101" s="174" t="n">
        <v>661.123</v>
      </c>
      <c r="BB101" s="174" t="n">
        <v>2467.985</v>
      </c>
      <c r="BC101" s="174" t="n">
        <v>680.189</v>
      </c>
      <c r="BD101" s="174" t="n">
        <v>705.71</v>
      </c>
      <c r="BE101" s="174" t="n">
        <v>675.0839999999999</v>
      </c>
      <c r="BF101" s="174" t="n">
        <v>655.852</v>
      </c>
      <c r="BG101" s="174" t="n">
        <v>2716.835</v>
      </c>
      <c r="BH101" s="174" t="n">
        <v>652.075</v>
      </c>
      <c r="BI101" s="174" t="n">
        <v>642.841</v>
      </c>
      <c r="BJ101" s="174" t="n">
        <v>663.8099999999999</v>
      </c>
      <c r="BK101" s="174" t="n">
        <v>670.95</v>
      </c>
      <c r="BL101" s="174" t="n">
        <v>2629.676</v>
      </c>
      <c r="BM101" s="174" t="n">
        <v>668.39</v>
      </c>
      <c r="BN101" s="174" t="n">
        <v>683.784</v>
      </c>
      <c r="BO101" s="174" t="n">
        <v>681.2380000000001</v>
      </c>
      <c r="BP101" s="174" t="n">
        <v>655.902</v>
      </c>
      <c r="BQ101" s="174" t="n">
        <v>2689.314</v>
      </c>
      <c r="BR101" s="174" t="n">
        <v>658.085</v>
      </c>
      <c r="BS101" s="174" t="n">
        <v>672.093</v>
      </c>
      <c r="BT101" s="174" t="n">
        <v>663.034</v>
      </c>
      <c r="BU101" s="174" t="n">
        <v>642.1130000000001</v>
      </c>
      <c r="BV101" s="174" t="n">
        <v>2635.325</v>
      </c>
      <c r="BW101" s="174" t="n">
        <v>638.295</v>
      </c>
      <c r="BX101" s="174" t="n">
        <v>687.348</v>
      </c>
      <c r="BY101" s="176">
        <f>BY100*BY68</f>
        <v/>
      </c>
      <c r="BZ101" s="176">
        <f>BZ100*BZ68</f>
        <v/>
      </c>
      <c r="CA101" s="176">
        <f>SUM(BW101,BX101,BY101,BZ101)</f>
        <v/>
      </c>
      <c r="CB101" s="176">
        <f>CB100*CB68</f>
        <v/>
      </c>
      <c r="CC101" s="176">
        <f>CC100*CC68</f>
        <v/>
      </c>
      <c r="CD101" s="176">
        <f>CD100*CD68</f>
        <v/>
      </c>
      <c r="CE101" s="176">
        <f>CE100*CE68</f>
        <v/>
      </c>
      <c r="CF101" s="20" t="n"/>
      <c r="CH101" s="21">
        <f>IFERROR((CE101/BV101)^(1/5)-1,"n/m")</f>
        <v/>
      </c>
      <c r="CI101" s="21">
        <f>IFERROR((BV101/AW101)^(1/5)-1,"n/m")</f>
        <v/>
      </c>
      <c r="CJ101" s="21">
        <f>IFERROR((BV101/X101)^(1/10)-1,"n/m")</f>
        <v/>
      </c>
      <c r="CK101" s="21">
        <f>IFERROR((BV101/C101)^(1/19)-1,"n/m")</f>
        <v/>
      </c>
    </row>
    <row r="102" ht="15" customHeight="1">
      <c r="B102" s="26" t="inlineStr">
        <is>
          <t>Operating supplies &amp; expenses (incl. fuel)</t>
        </is>
      </c>
      <c r="C102" s="174" t="n">
        <v>204.386</v>
      </c>
      <c r="D102" s="174" t="n">
        <v>238.879</v>
      </c>
      <c r="E102" s="174" t="n">
        <v>305.158</v>
      </c>
      <c r="F102" s="174" t="n">
        <v>181.329</v>
      </c>
      <c r="G102" s="174" t="n">
        <v>244.291</v>
      </c>
      <c r="H102" s="174" t="n">
        <v>355.186</v>
      </c>
      <c r="I102" s="174" t="n">
        <v>378.534</v>
      </c>
      <c r="J102" s="174" t="n">
        <v>95.703</v>
      </c>
      <c r="K102" s="174" t="n">
        <v>95.11499999999999</v>
      </c>
      <c r="L102" s="174" t="n">
        <v>96.792</v>
      </c>
      <c r="M102" s="174" t="n">
        <v>97.59099999999999</v>
      </c>
      <c r="N102" s="174" t="n">
        <v>385.201</v>
      </c>
      <c r="O102" s="174" t="n">
        <v>106.294</v>
      </c>
      <c r="P102" s="174" t="n">
        <v>109.917</v>
      </c>
      <c r="Q102" s="174" t="n">
        <v>111.67</v>
      </c>
      <c r="R102" s="174" t="n">
        <v>104.794</v>
      </c>
      <c r="S102" s="174" t="n">
        <v>432.675</v>
      </c>
      <c r="T102" s="174" t="n">
        <v>88.04900000000001</v>
      </c>
      <c r="U102" s="174" t="n">
        <v>93.39</v>
      </c>
      <c r="V102" s="174" t="n">
        <v>88.669</v>
      </c>
      <c r="W102" s="174" t="n">
        <v>83.78100000000001</v>
      </c>
      <c r="X102" s="174" t="n">
        <v>353.889</v>
      </c>
      <c r="Y102" s="174" t="n">
        <v>75.372</v>
      </c>
      <c r="Z102" s="174" t="n">
        <v>80.33499999999999</v>
      </c>
      <c r="AA102" s="174" t="n">
        <v>83.197</v>
      </c>
      <c r="AB102" s="174" t="n">
        <v>84.093</v>
      </c>
      <c r="AC102" s="174" t="n">
        <v>322.997</v>
      </c>
      <c r="AD102" s="174" t="n">
        <v>90.98699999999999</v>
      </c>
      <c r="AE102" s="174" t="n">
        <v>88.58</v>
      </c>
      <c r="AF102" s="174" t="n">
        <v>95.54300000000001</v>
      </c>
      <c r="AG102" s="174" t="n">
        <v>106.688</v>
      </c>
      <c r="AH102" s="174" t="n">
        <v>381.798</v>
      </c>
      <c r="AI102" s="174" t="n">
        <v>114.061</v>
      </c>
      <c r="AJ102" s="174" t="n">
        <v>124.919</v>
      </c>
      <c r="AK102" s="174" t="n">
        <v>126.024</v>
      </c>
      <c r="AL102" s="174" t="n">
        <v>126.026</v>
      </c>
      <c r="AM102" s="174" t="n">
        <v>491.03</v>
      </c>
      <c r="AN102" s="174" t="n">
        <v>121.357</v>
      </c>
      <c r="AO102" s="174" t="n">
        <v>122.41</v>
      </c>
      <c r="AP102" s="174" t="n">
        <v>117.343</v>
      </c>
      <c r="AQ102" s="174" t="n">
        <v>112.004</v>
      </c>
      <c r="AR102" s="174" t="n">
        <v>473.114</v>
      </c>
      <c r="AS102" s="174" t="n">
        <v>107.693</v>
      </c>
      <c r="AT102" s="174" t="n">
        <v>75.41200000000001</v>
      </c>
      <c r="AU102" s="174" t="n">
        <v>90.26900000000001</v>
      </c>
      <c r="AV102" s="174" t="n">
        <v>100.057</v>
      </c>
      <c r="AW102" s="174" t="n">
        <v>373.431</v>
      </c>
      <c r="AX102" s="174" t="n">
        <v>124.156</v>
      </c>
      <c r="AY102" s="174" t="n">
        <v>137.577</v>
      </c>
      <c r="AZ102" s="174" t="n">
        <v>146.509</v>
      </c>
      <c r="BA102" s="174" t="n">
        <v>159.373</v>
      </c>
      <c r="BB102" s="174" t="n">
        <v>567.615</v>
      </c>
      <c r="BC102" s="174" t="n">
        <v>191.357</v>
      </c>
      <c r="BD102" s="174" t="n">
        <v>236.712</v>
      </c>
      <c r="BE102" s="174" t="n">
        <v>217.26</v>
      </c>
      <c r="BF102" s="174" t="n">
        <v>207.626</v>
      </c>
      <c r="BG102" s="174" t="n">
        <v>852.955</v>
      </c>
      <c r="BH102" s="174" t="n">
        <v>192.384</v>
      </c>
      <c r="BI102" s="174" t="n">
        <v>165.373</v>
      </c>
      <c r="BJ102" s="174" t="n">
        <v>180.653</v>
      </c>
      <c r="BK102" s="174" t="n">
        <v>179.916</v>
      </c>
      <c r="BL102" s="174" t="n">
        <v>718.326</v>
      </c>
      <c r="BM102" s="174" t="n">
        <v>172.472</v>
      </c>
      <c r="BN102" s="174" t="n">
        <v>161.02</v>
      </c>
      <c r="BO102" s="174" t="n">
        <v>156.177</v>
      </c>
      <c r="BP102" s="174" t="n">
        <v>145.651</v>
      </c>
      <c r="BQ102" s="174" t="n">
        <v>635.3200000000001</v>
      </c>
      <c r="BR102" s="174" t="n">
        <v>149.892</v>
      </c>
      <c r="BS102" s="174" t="n">
        <v>142.457</v>
      </c>
      <c r="BT102" s="174" t="n">
        <v>144.185</v>
      </c>
      <c r="BU102" s="174" t="n">
        <v>134.447</v>
      </c>
      <c r="BV102" s="174" t="n">
        <v>570.981</v>
      </c>
      <c r="BW102" s="174" t="n">
        <v>146.718</v>
      </c>
      <c r="BX102" s="174" t="n">
        <v>177.683</v>
      </c>
      <c r="BY102" s="176">
        <f>BY100*BY70</f>
        <v/>
      </c>
      <c r="BZ102" s="176">
        <f>BZ100*BZ70</f>
        <v/>
      </c>
      <c r="CA102" s="176">
        <f>SUM(BW102,BX102,BY102,BZ102)</f>
        <v/>
      </c>
      <c r="CB102" s="176">
        <f>CB100*CB70</f>
        <v/>
      </c>
      <c r="CC102" s="176">
        <f>CC100*CC70</f>
        <v/>
      </c>
      <c r="CD102" s="176">
        <f>CD100*CD70</f>
        <v/>
      </c>
      <c r="CE102" s="176">
        <f>CE100*CE70</f>
        <v/>
      </c>
      <c r="CF102" s="20" t="n"/>
      <c r="CH102" s="21">
        <f>IFERROR((CE102/BV102)^(1/5)-1,"n/m")</f>
        <v/>
      </c>
      <c r="CI102" s="21">
        <f>IFERROR((BV102/AW102)^(1/5)-1,"n/m")</f>
        <v/>
      </c>
      <c r="CJ102" s="21">
        <f>IFERROR((BV102/X102)^(1/10)-1,"n/m")</f>
        <v/>
      </c>
      <c r="CK102" s="21">
        <f>IFERROR((BV102/C102)^(1/19)-1,"n/m")</f>
        <v/>
      </c>
    </row>
    <row r="103" ht="15" customHeight="1">
      <c r="B103" s="26" t="inlineStr">
        <is>
          <t>General supplies &amp; expenses</t>
        </is>
      </c>
      <c r="C103" s="174" t="n">
        <v>37.507</v>
      </c>
      <c r="D103" s="174" t="n">
        <v>40.075</v>
      </c>
      <c r="E103" s="174" t="n">
        <v>44.674</v>
      </c>
      <c r="F103" s="174" t="n">
        <v>36.363</v>
      </c>
      <c r="G103" s="174" t="n">
        <v>41.58</v>
      </c>
      <c r="H103" s="174" t="n">
        <v>49.9</v>
      </c>
      <c r="I103" s="174" t="n">
        <v>58.908</v>
      </c>
      <c r="J103" s="174" t="n">
        <v>17.761</v>
      </c>
      <c r="K103" s="174" t="n">
        <v>17.639</v>
      </c>
      <c r="L103" s="174" t="n">
        <v>18.311</v>
      </c>
      <c r="M103" s="174" t="n">
        <v>16.054</v>
      </c>
      <c r="N103" s="174" t="n">
        <v>69.765</v>
      </c>
      <c r="O103" s="174" t="n">
        <v>19.135</v>
      </c>
      <c r="P103" s="174" t="n">
        <v>20.889</v>
      </c>
      <c r="Q103" s="174" t="n">
        <v>21.931</v>
      </c>
      <c r="R103" s="174" t="n">
        <v>21.21</v>
      </c>
      <c r="S103" s="174" t="n">
        <v>83.16500000000001</v>
      </c>
      <c r="T103" s="174" t="n">
        <v>21.292</v>
      </c>
      <c r="U103" s="174" t="n">
        <v>23.533</v>
      </c>
      <c r="V103" s="174" t="n">
        <v>24.35</v>
      </c>
      <c r="W103" s="174" t="n">
        <v>20.133</v>
      </c>
      <c r="X103" s="174" t="n">
        <v>89.30800000000001</v>
      </c>
      <c r="Y103" s="174" t="n">
        <v>21.142</v>
      </c>
      <c r="Z103" s="174" t="n">
        <v>22.778</v>
      </c>
      <c r="AA103" s="174" t="n">
        <v>22.01</v>
      </c>
      <c r="AB103" s="174" t="n">
        <v>20.696</v>
      </c>
      <c r="AC103" s="174" t="n">
        <v>86.626</v>
      </c>
      <c r="AD103" s="174" t="n">
        <v>22.872</v>
      </c>
      <c r="AE103" s="174" t="n">
        <v>28.283</v>
      </c>
      <c r="AF103" s="174" t="n">
        <v>28.785</v>
      </c>
      <c r="AG103" s="174" t="n">
        <v>27.793</v>
      </c>
      <c r="AH103" s="174" t="n">
        <v>107.733</v>
      </c>
      <c r="AI103" s="174" t="n">
        <v>29.976</v>
      </c>
      <c r="AJ103" s="174" t="n">
        <v>29.891</v>
      </c>
      <c r="AK103" s="174" t="n">
        <v>31.209</v>
      </c>
      <c r="AL103" s="174" t="n">
        <v>28.104</v>
      </c>
      <c r="AM103" s="174" t="n">
        <v>119.18</v>
      </c>
      <c r="AN103" s="174" t="n">
        <v>31.56</v>
      </c>
      <c r="AO103" s="174" t="n">
        <v>32.391</v>
      </c>
      <c r="AP103" s="174" t="n">
        <v>33.633</v>
      </c>
      <c r="AQ103" s="174" t="n">
        <v>26.391</v>
      </c>
      <c r="AR103" s="174" t="n">
        <v>123.975</v>
      </c>
      <c r="AS103" s="174" t="n">
        <v>33.608</v>
      </c>
      <c r="AT103" s="174" t="n">
        <v>25.881</v>
      </c>
      <c r="AU103" s="174" t="n">
        <v>27.383</v>
      </c>
      <c r="AV103" s="174" t="n">
        <v>23.407</v>
      </c>
      <c r="AW103" s="174" t="n">
        <v>110.279</v>
      </c>
      <c r="AX103" s="174" t="n">
        <v>31.168</v>
      </c>
      <c r="AY103" s="174" t="n">
        <v>34.427</v>
      </c>
      <c r="AZ103" s="174" t="n">
        <v>37.312</v>
      </c>
      <c r="BA103" s="174" t="n">
        <v>33.152</v>
      </c>
      <c r="BB103" s="174" t="n">
        <v>136.059</v>
      </c>
      <c r="BC103" s="174" t="n">
        <v>35.513</v>
      </c>
      <c r="BD103" s="174" t="n">
        <v>39.116</v>
      </c>
      <c r="BE103" s="174" t="n">
        <v>45.951</v>
      </c>
      <c r="BF103" s="174" t="n">
        <v>39.418</v>
      </c>
      <c r="BG103" s="174" t="n">
        <v>159.998</v>
      </c>
      <c r="BH103" s="174" t="n">
        <v>39.545</v>
      </c>
      <c r="BI103" s="174" t="n">
        <v>38.606</v>
      </c>
      <c r="BJ103" s="174" t="n">
        <v>41.745</v>
      </c>
      <c r="BK103" s="174" t="n">
        <v>42.52</v>
      </c>
      <c r="BL103" s="174" t="n">
        <v>162.416</v>
      </c>
      <c r="BM103" s="174" t="n">
        <v>45.576</v>
      </c>
      <c r="BN103" s="174" t="n">
        <v>44.371</v>
      </c>
      <c r="BO103" s="174" t="n">
        <v>46.04</v>
      </c>
      <c r="BP103" s="174" t="n">
        <v>40.559</v>
      </c>
      <c r="BQ103" s="174" t="n">
        <v>176.546</v>
      </c>
      <c r="BR103" s="174" t="n">
        <v>39.88</v>
      </c>
      <c r="BS103" s="174" t="n">
        <v>41.676</v>
      </c>
      <c r="BT103" s="174" t="n">
        <v>45.075</v>
      </c>
      <c r="BU103" s="174" t="n">
        <v>42.53</v>
      </c>
      <c r="BV103" s="174" t="n">
        <v>169.161</v>
      </c>
      <c r="BW103" s="174" t="n">
        <v>47.069</v>
      </c>
      <c r="BX103" s="174" t="n">
        <v>46.413</v>
      </c>
      <c r="BY103" s="176">
        <f>BY100*BY72</f>
        <v/>
      </c>
      <c r="BZ103" s="176">
        <f>BZ100*BZ72</f>
        <v/>
      </c>
      <c r="CA103" s="176">
        <f>SUM(BW103,BX103,BY103,BZ103)</f>
        <v/>
      </c>
      <c r="CB103" s="176">
        <f>CB100*CB72</f>
        <v/>
      </c>
      <c r="CC103" s="176">
        <f>CC100*CC72</f>
        <v/>
      </c>
      <c r="CD103" s="176">
        <f>CD100*CD72</f>
        <v/>
      </c>
      <c r="CE103" s="176">
        <f>CE100*CE72</f>
        <v/>
      </c>
      <c r="CF103" s="20" t="n"/>
    </row>
    <row r="104" ht="15" customHeight="1">
      <c r="B104" s="26" t="inlineStr">
        <is>
          <t>Operating taxes &amp; licenses</t>
        </is>
      </c>
      <c r="C104" s="174" t="n">
        <v>46.693</v>
      </c>
      <c r="D104" s="174" t="n">
        <v>50.874</v>
      </c>
      <c r="E104" s="174" t="n">
        <v>52.648</v>
      </c>
      <c r="F104" s="174" t="n">
        <v>50.175</v>
      </c>
      <c r="G104" s="174" t="n">
        <v>55.42</v>
      </c>
      <c r="H104" s="174" t="n">
        <v>63.284</v>
      </c>
      <c r="I104" s="174" t="n">
        <v>67.526</v>
      </c>
      <c r="J104" s="174" t="n">
        <v>17.269</v>
      </c>
      <c r="K104" s="174" t="n">
        <v>17.982</v>
      </c>
      <c r="L104" s="174" t="n">
        <v>18.155</v>
      </c>
      <c r="M104" s="174" t="n">
        <v>18.193</v>
      </c>
      <c r="N104" s="174" t="n">
        <v>71.599</v>
      </c>
      <c r="O104" s="174" t="n">
        <v>19.05</v>
      </c>
      <c r="P104" s="174" t="n">
        <v>20.618</v>
      </c>
      <c r="Q104" s="174" t="n">
        <v>21.338</v>
      </c>
      <c r="R104" s="174" t="n">
        <v>22.411</v>
      </c>
      <c r="S104" s="174" t="n">
        <v>83.417</v>
      </c>
      <c r="T104" s="174" t="n">
        <v>22.274</v>
      </c>
      <c r="U104" s="174" t="n">
        <v>23.538</v>
      </c>
      <c r="V104" s="174" t="n">
        <v>23.855</v>
      </c>
      <c r="W104" s="174" t="n">
        <v>23.625</v>
      </c>
      <c r="X104" s="174" t="n">
        <v>93.292</v>
      </c>
      <c r="Y104" s="174" t="n">
        <v>23.188</v>
      </c>
      <c r="Z104" s="174" t="n">
        <v>23.466</v>
      </c>
      <c r="AA104" s="174" t="n">
        <v>22.714</v>
      </c>
      <c r="AB104" s="174" t="n">
        <v>23.058</v>
      </c>
      <c r="AC104" s="174" t="n">
        <v>92.426</v>
      </c>
      <c r="AD104" s="174" t="n">
        <v>24.022</v>
      </c>
      <c r="AE104" s="174" t="n">
        <v>24.961</v>
      </c>
      <c r="AF104" s="174" t="n">
        <v>24.547</v>
      </c>
      <c r="AG104" s="174" t="n">
        <v>26.248</v>
      </c>
      <c r="AH104" s="174" t="n">
        <v>99.77800000000001</v>
      </c>
      <c r="AI104" s="174" t="n">
        <v>26.788</v>
      </c>
      <c r="AJ104" s="174" t="n">
        <v>28.165</v>
      </c>
      <c r="AK104" s="174" t="n">
        <v>27.952</v>
      </c>
      <c r="AL104" s="174" t="n">
        <v>29.305</v>
      </c>
      <c r="AM104" s="174" t="n">
        <v>112.21</v>
      </c>
      <c r="AN104" s="174" t="n">
        <v>29.071</v>
      </c>
      <c r="AO104" s="174" t="n">
        <v>29.384</v>
      </c>
      <c r="AP104" s="174" t="n">
        <v>29.117</v>
      </c>
      <c r="AQ104" s="174" t="n">
        <v>29.267</v>
      </c>
      <c r="AR104" s="174" t="n">
        <v>116.839</v>
      </c>
      <c r="AS104" s="174" t="n">
        <v>29.314</v>
      </c>
      <c r="AT104" s="174" t="n">
        <v>27.043</v>
      </c>
      <c r="AU104" s="174" t="n">
        <v>29.923</v>
      </c>
      <c r="AV104" s="174" t="n">
        <v>30.663</v>
      </c>
      <c r="AW104" s="174" t="n">
        <v>116.943</v>
      </c>
      <c r="AX104" s="174" t="n">
        <v>31.266</v>
      </c>
      <c r="AY104" s="174" t="n">
        <v>33.256</v>
      </c>
      <c r="AZ104" s="174" t="n">
        <v>34.028</v>
      </c>
      <c r="BA104" s="174" t="n">
        <v>34.902</v>
      </c>
      <c r="BB104" s="174" t="n">
        <v>133.452</v>
      </c>
      <c r="BC104" s="174" t="n">
        <v>35.076</v>
      </c>
      <c r="BD104" s="174" t="n">
        <v>34.952</v>
      </c>
      <c r="BE104" s="174" t="n">
        <v>35.753</v>
      </c>
      <c r="BF104" s="174" t="n">
        <v>35.458</v>
      </c>
      <c r="BG104" s="174" t="n">
        <v>141.239</v>
      </c>
      <c r="BH104" s="174" t="n">
        <v>36.701</v>
      </c>
      <c r="BI104" s="174" t="n">
        <v>36.89</v>
      </c>
      <c r="BJ104" s="174" t="n">
        <v>36.527</v>
      </c>
      <c r="BK104" s="174" t="n">
        <v>35.524</v>
      </c>
      <c r="BL104" s="174" t="n">
        <v>145.642</v>
      </c>
      <c r="BM104" s="174" t="n">
        <v>35.838</v>
      </c>
      <c r="BN104" s="174" t="n">
        <v>36.282</v>
      </c>
      <c r="BO104" s="174" t="n">
        <v>36.733</v>
      </c>
      <c r="BP104" s="174" t="n">
        <v>35.837</v>
      </c>
      <c r="BQ104" s="174" t="n">
        <v>144.69</v>
      </c>
      <c r="BR104" s="174" t="n">
        <v>35.603</v>
      </c>
      <c r="BS104" s="174" t="n">
        <v>34.983</v>
      </c>
      <c r="BT104" s="174" t="n">
        <v>34.582</v>
      </c>
      <c r="BU104" s="174" t="n">
        <v>33.772</v>
      </c>
      <c r="BV104" s="174" t="n">
        <v>138.94</v>
      </c>
      <c r="BW104" s="174" t="n">
        <v>33.029</v>
      </c>
      <c r="BX104" s="174" t="n">
        <v>34.293</v>
      </c>
      <c r="BY104" s="176">
        <f>BY100*BY74</f>
        <v/>
      </c>
      <c r="BZ104" s="176">
        <f>BZ100*BZ74</f>
        <v/>
      </c>
      <c r="CA104" s="176">
        <f>SUM(BW104,BX104,BY104,BZ104)</f>
        <v/>
      </c>
      <c r="CB104" s="176">
        <f>CB100*CB74</f>
        <v/>
      </c>
      <c r="CC104" s="176">
        <f>CC100*CC74</f>
        <v/>
      </c>
      <c r="CD104" s="176">
        <f>CD100*CD74</f>
        <v/>
      </c>
      <c r="CE104" s="176">
        <f>CE100*CE74</f>
        <v/>
      </c>
      <c r="CF104" s="20" t="n"/>
    </row>
    <row r="105" ht="15" customHeight="1">
      <c r="B105" s="26" t="inlineStr">
        <is>
          <t>Insurance &amp; claims</t>
        </is>
      </c>
      <c r="C105" s="174" t="n">
        <v>33.08</v>
      </c>
      <c r="D105" s="174" t="n">
        <v>33.347</v>
      </c>
      <c r="E105" s="174" t="n">
        <v>34.859</v>
      </c>
      <c r="F105" s="174" t="n">
        <v>23.095</v>
      </c>
      <c r="G105" s="174" t="n">
        <v>25.329</v>
      </c>
      <c r="H105" s="174" t="n">
        <v>27.693</v>
      </c>
      <c r="I105" s="174" t="n">
        <v>29.681</v>
      </c>
      <c r="J105" s="174" t="n">
        <v>7.27</v>
      </c>
      <c r="K105" s="174" t="n">
        <v>7.602</v>
      </c>
      <c r="L105" s="174" t="n">
        <v>8.395</v>
      </c>
      <c r="M105" s="174" t="n">
        <v>7.643</v>
      </c>
      <c r="N105" s="174" t="n">
        <v>30.91</v>
      </c>
      <c r="O105" s="174" t="n">
        <v>7.973</v>
      </c>
      <c r="P105" s="174" t="n">
        <v>9.836</v>
      </c>
      <c r="Q105" s="174" t="n">
        <v>10.118</v>
      </c>
      <c r="R105" s="174" t="n">
        <v>8.218</v>
      </c>
      <c r="S105" s="174" t="n">
        <v>36.145</v>
      </c>
      <c r="T105" s="174" t="n">
        <v>10.042</v>
      </c>
      <c r="U105" s="174" t="n">
        <v>10.321</v>
      </c>
      <c r="V105" s="174" t="n">
        <v>10.808</v>
      </c>
      <c r="W105" s="174" t="n">
        <v>6.197</v>
      </c>
      <c r="X105" s="174" t="n">
        <v>37.368</v>
      </c>
      <c r="Y105" s="174" t="n">
        <v>10.244</v>
      </c>
      <c r="Z105" s="174" t="n">
        <v>9.363</v>
      </c>
      <c r="AA105" s="174" t="n">
        <v>10.185</v>
      </c>
      <c r="AB105" s="174" t="n">
        <v>8.069000000000001</v>
      </c>
      <c r="AC105" s="174" t="n">
        <v>37.861</v>
      </c>
      <c r="AD105" s="174" t="n">
        <v>8.789999999999999</v>
      </c>
      <c r="AE105" s="174" t="n">
        <v>9.314</v>
      </c>
      <c r="AF105" s="174" t="n">
        <v>10.7</v>
      </c>
      <c r="AG105" s="174" t="n">
        <v>12.914</v>
      </c>
      <c r="AH105" s="174" t="n">
        <v>41.718</v>
      </c>
      <c r="AI105" s="174" t="n">
        <v>11.099</v>
      </c>
      <c r="AJ105" s="174" t="n">
        <v>11.342</v>
      </c>
      <c r="AK105" s="174" t="n">
        <v>12.069</v>
      </c>
      <c r="AL105" s="174" t="n">
        <v>9.608000000000001</v>
      </c>
      <c r="AM105" s="174" t="n">
        <v>44.118</v>
      </c>
      <c r="AN105" s="174" t="n">
        <v>11.172</v>
      </c>
      <c r="AO105" s="174" t="n">
        <v>11.587</v>
      </c>
      <c r="AP105" s="174" t="n">
        <v>11.28</v>
      </c>
      <c r="AQ105" s="174" t="n">
        <v>18.51</v>
      </c>
      <c r="AR105" s="174" t="n">
        <v>52.549</v>
      </c>
      <c r="AS105" s="174" t="n">
        <v>9.85</v>
      </c>
      <c r="AT105" s="174" t="n">
        <v>10.91</v>
      </c>
      <c r="AU105" s="174" t="n">
        <v>11.821</v>
      </c>
      <c r="AV105" s="174" t="n">
        <v>9.782999999999999</v>
      </c>
      <c r="AW105" s="174" t="n">
        <v>42.364</v>
      </c>
      <c r="AX105" s="174" t="n">
        <v>12.922</v>
      </c>
      <c r="AY105" s="174" t="n">
        <v>14.983</v>
      </c>
      <c r="AZ105" s="174" t="n">
        <v>15.674</v>
      </c>
      <c r="BA105" s="174" t="n">
        <v>9.970000000000001</v>
      </c>
      <c r="BB105" s="174" t="n">
        <v>53.549</v>
      </c>
      <c r="BC105" s="174" t="n">
        <v>16.107</v>
      </c>
      <c r="BD105" s="174" t="n">
        <v>16.964</v>
      </c>
      <c r="BE105" s="174" t="n">
        <v>17.491</v>
      </c>
      <c r="BF105" s="174" t="n">
        <v>7.739</v>
      </c>
      <c r="BG105" s="174" t="n">
        <v>58.301</v>
      </c>
      <c r="BH105" s="174" t="n">
        <v>16.028</v>
      </c>
      <c r="BI105" s="174" t="n">
        <v>15.381</v>
      </c>
      <c r="BJ105" s="174" t="n">
        <v>16.004</v>
      </c>
      <c r="BK105" s="174" t="n">
        <v>27.955</v>
      </c>
      <c r="BL105" s="174" t="n">
        <v>75.36799999999999</v>
      </c>
      <c r="BM105" s="174" t="n">
        <v>18.194</v>
      </c>
      <c r="BN105" s="174" t="n">
        <v>17.141</v>
      </c>
      <c r="BO105" s="174" t="n">
        <v>17.209</v>
      </c>
      <c r="BP105" s="174" t="n">
        <v>39.815</v>
      </c>
      <c r="BQ105" s="174" t="n">
        <v>92.35899999999999</v>
      </c>
      <c r="BR105" s="174" t="n">
        <v>17.48</v>
      </c>
      <c r="BS105" s="174" t="n">
        <v>18.794</v>
      </c>
      <c r="BT105" s="174" t="n">
        <v>18.803</v>
      </c>
      <c r="BU105" s="174" t="n">
        <v>19.339</v>
      </c>
      <c r="BV105" s="174" t="n">
        <v>74.416</v>
      </c>
      <c r="BW105" s="174" t="n">
        <v>17.706</v>
      </c>
      <c r="BX105" s="174" t="n">
        <v>18.919</v>
      </c>
      <c r="BY105" s="176">
        <f>BY100*BY76</f>
        <v/>
      </c>
      <c r="BZ105" s="176">
        <f>BZ100*BZ76</f>
        <v/>
      </c>
      <c r="CA105" s="176">
        <f>SUM(BW105,BX105,BY105,BZ105)</f>
        <v/>
      </c>
      <c r="CB105" s="176">
        <f>CB100*CB76</f>
        <v/>
      </c>
      <c r="CC105" s="176">
        <f>CC100*CC76</f>
        <v/>
      </c>
      <c r="CD105" s="176">
        <f>CD100*CD76</f>
        <v/>
      </c>
      <c r="CE105" s="176">
        <f>CE100*CE76</f>
        <v/>
      </c>
      <c r="CF105" s="20" t="n"/>
    </row>
    <row r="106" ht="15" customHeight="1">
      <c r="B106" s="26" t="inlineStr">
        <is>
          <t>Communications &amp; utilities</t>
        </is>
      </c>
      <c r="C106" s="174" t="n">
        <v>14.278</v>
      </c>
      <c r="D106" s="174" t="n">
        <v>15.023</v>
      </c>
      <c r="E106" s="174" t="n">
        <v>15.345</v>
      </c>
      <c r="F106" s="174" t="n">
        <v>14.614</v>
      </c>
      <c r="G106" s="174" t="n">
        <v>15.218</v>
      </c>
      <c r="H106" s="174" t="n">
        <v>18.104</v>
      </c>
      <c r="I106" s="174" t="n">
        <v>19.98</v>
      </c>
      <c r="J106" s="174" t="n">
        <v>5.721</v>
      </c>
      <c r="K106" s="174" t="n">
        <v>5.768</v>
      </c>
      <c r="L106" s="174" t="n">
        <v>5.726</v>
      </c>
      <c r="M106" s="174" t="n">
        <v>5.927</v>
      </c>
      <c r="N106" s="174" t="n">
        <v>23.142</v>
      </c>
      <c r="O106" s="174" t="n">
        <v>6.734</v>
      </c>
      <c r="P106" s="174" t="n">
        <v>6.102</v>
      </c>
      <c r="Q106" s="174" t="n">
        <v>6.32</v>
      </c>
      <c r="R106" s="174" t="n">
        <v>6.351</v>
      </c>
      <c r="S106" s="174" t="n">
        <v>25.507</v>
      </c>
      <c r="T106" s="174" t="n">
        <v>6.775</v>
      </c>
      <c r="U106" s="174" t="n">
        <v>6.501</v>
      </c>
      <c r="V106" s="174" t="n">
        <v>6.867</v>
      </c>
      <c r="W106" s="174" t="n">
        <v>6.77</v>
      </c>
      <c r="X106" s="174" t="n">
        <v>26.913</v>
      </c>
      <c r="Y106" s="174" t="n">
        <v>7.005</v>
      </c>
      <c r="Z106" s="174" t="n">
        <v>7.327</v>
      </c>
      <c r="AA106" s="174" t="n">
        <v>7.025</v>
      </c>
      <c r="AB106" s="174" t="n">
        <v>6.547</v>
      </c>
      <c r="AC106" s="174" t="n">
        <v>27.904</v>
      </c>
      <c r="AD106" s="174" t="n">
        <v>7.433</v>
      </c>
      <c r="AE106" s="174" t="n">
        <v>7.022</v>
      </c>
      <c r="AF106" s="174" t="n">
        <v>6.49</v>
      </c>
      <c r="AG106" s="174" t="n">
        <v>6.809</v>
      </c>
      <c r="AH106" s="174" t="n">
        <v>27.754</v>
      </c>
      <c r="AI106" s="174" t="n">
        <v>7.046</v>
      </c>
      <c r="AJ106" s="174" t="n">
        <v>7.439</v>
      </c>
      <c r="AK106" s="174" t="n">
        <v>8.215</v>
      </c>
      <c r="AL106" s="174" t="n">
        <v>8.369999999999999</v>
      </c>
      <c r="AM106" s="174" t="n">
        <v>31.07</v>
      </c>
      <c r="AN106" s="174" t="n">
        <v>7.839</v>
      </c>
      <c r="AO106" s="174" t="n">
        <v>6.134</v>
      </c>
      <c r="AP106" s="174" t="n">
        <v>8.098000000000001</v>
      </c>
      <c r="AQ106" s="174" t="n">
        <v>7.53</v>
      </c>
      <c r="AR106" s="174" t="n">
        <v>29.601</v>
      </c>
      <c r="AS106" s="174" t="n">
        <v>8.191000000000001</v>
      </c>
      <c r="AT106" s="174" t="n">
        <v>7.262</v>
      </c>
      <c r="AU106" s="174" t="n">
        <v>7.622</v>
      </c>
      <c r="AV106" s="174" t="n">
        <v>8.467000000000001</v>
      </c>
      <c r="AW106" s="174" t="n">
        <v>31.542</v>
      </c>
      <c r="AX106" s="174" t="n">
        <v>8.196</v>
      </c>
      <c r="AY106" s="174" t="n">
        <v>8.390000000000001</v>
      </c>
      <c r="AZ106" s="174" t="n">
        <v>8.738</v>
      </c>
      <c r="BA106" s="174" t="n">
        <v>8.824999999999999</v>
      </c>
      <c r="BB106" s="174" t="n">
        <v>34.149</v>
      </c>
      <c r="BC106" s="174" t="n">
        <v>9.875999999999999</v>
      </c>
      <c r="BD106" s="174" t="n">
        <v>9.898</v>
      </c>
      <c r="BE106" s="174" t="n">
        <v>10.288</v>
      </c>
      <c r="BF106" s="174" t="n">
        <v>10.522</v>
      </c>
      <c r="BG106" s="174" t="n">
        <v>40.584</v>
      </c>
      <c r="BH106" s="174" t="n">
        <v>11.017</v>
      </c>
      <c r="BI106" s="174" t="n">
        <v>11.515</v>
      </c>
      <c r="BJ106" s="174" t="n">
        <v>10.724</v>
      </c>
      <c r="BK106" s="174" t="n">
        <v>10.013</v>
      </c>
      <c r="BL106" s="174" t="n">
        <v>43.269</v>
      </c>
      <c r="BM106" s="174" t="n">
        <v>10.995</v>
      </c>
      <c r="BN106" s="174" t="n">
        <v>10.158</v>
      </c>
      <c r="BO106" s="174" t="n">
        <v>10.056</v>
      </c>
      <c r="BP106" s="174" t="n">
        <v>9.618</v>
      </c>
      <c r="BQ106" s="174" t="n">
        <v>40.827</v>
      </c>
      <c r="BR106" s="174" t="n">
        <v>10.803</v>
      </c>
      <c r="BS106" s="174" t="n">
        <v>9.295999999999999</v>
      </c>
      <c r="BT106" s="174" t="n">
        <v>9.568</v>
      </c>
      <c r="BU106" s="174" t="n">
        <v>9.272</v>
      </c>
      <c r="BV106" s="174" t="n">
        <v>38.939</v>
      </c>
      <c r="BW106" s="174" t="n">
        <v>9.622</v>
      </c>
      <c r="BX106" s="174" t="n">
        <v>8.19</v>
      </c>
      <c r="BY106" s="176">
        <f>BY100*BY78</f>
        <v/>
      </c>
      <c r="BZ106" s="176">
        <f>BZ100*BZ78</f>
        <v/>
      </c>
      <c r="CA106" s="176">
        <f>SUM(BW106,BX106,BY106,BZ106)</f>
        <v/>
      </c>
      <c r="CB106" s="176">
        <f>CB100*CB78</f>
        <v/>
      </c>
      <c r="CC106" s="176">
        <f>CC100*CC78</f>
        <v/>
      </c>
      <c r="CD106" s="176">
        <f>CD100*CD78</f>
        <v/>
      </c>
      <c r="CE106" s="176">
        <f>CE100*CE78</f>
        <v/>
      </c>
      <c r="CF106" s="20" t="n"/>
    </row>
    <row r="107" ht="15" customHeight="1">
      <c r="B107" s="26" t="inlineStr">
        <is>
          <t>Purchased transportation</t>
        </is>
      </c>
      <c r="C107" s="174" t="n">
        <v>43.933</v>
      </c>
      <c r="D107" s="174" t="n">
        <v>43.889</v>
      </c>
      <c r="E107" s="174" t="n">
        <v>43.035</v>
      </c>
      <c r="F107" s="174" t="n">
        <v>33.786</v>
      </c>
      <c r="G107" s="174" t="n">
        <v>50.489</v>
      </c>
      <c r="H107" s="174" t="n">
        <v>63.257</v>
      </c>
      <c r="I107" s="174" t="n">
        <v>70.426</v>
      </c>
      <c r="J107" s="174" t="n">
        <v>17.498</v>
      </c>
      <c r="K107" s="174" t="n">
        <v>26.926</v>
      </c>
      <c r="L107" s="174" t="n">
        <v>28.5</v>
      </c>
      <c r="M107" s="174" t="n">
        <v>27.575</v>
      </c>
      <c r="N107" s="174" t="n">
        <v>106.435</v>
      </c>
      <c r="O107" s="174" t="n">
        <v>29.136</v>
      </c>
      <c r="P107" s="174" t="n">
        <v>33.157</v>
      </c>
      <c r="Q107" s="174" t="n">
        <v>34.59</v>
      </c>
      <c r="R107" s="174" t="n">
        <v>32.429</v>
      </c>
      <c r="S107" s="174" t="n">
        <v>129.312</v>
      </c>
      <c r="T107" s="174" t="n">
        <v>30.148</v>
      </c>
      <c r="U107" s="174" t="n">
        <v>32.702</v>
      </c>
      <c r="V107" s="174" t="n">
        <v>30.297</v>
      </c>
      <c r="W107" s="174" t="n">
        <v>23.153</v>
      </c>
      <c r="X107" s="174" t="n">
        <v>116.3</v>
      </c>
      <c r="Y107" s="174" t="n">
        <v>18.496</v>
      </c>
      <c r="Z107" s="174" t="n">
        <v>18.176</v>
      </c>
      <c r="AA107" s="174" t="n">
        <v>18.907</v>
      </c>
      <c r="AB107" s="174" t="n">
        <v>18.472</v>
      </c>
      <c r="AC107" s="174" t="n">
        <v>74.051</v>
      </c>
      <c r="AD107" s="174" t="n">
        <v>17.997</v>
      </c>
      <c r="AE107" s="174" t="n">
        <v>20.86</v>
      </c>
      <c r="AF107" s="174" t="n">
        <v>22.739</v>
      </c>
      <c r="AG107" s="174" t="n">
        <v>23.151</v>
      </c>
      <c r="AH107" s="174" t="n">
        <v>84.747</v>
      </c>
      <c r="AI107" s="174" t="n">
        <v>21.74</v>
      </c>
      <c r="AJ107" s="174" t="n">
        <v>26.044</v>
      </c>
      <c r="AK107" s="174" t="n">
        <v>25.373</v>
      </c>
      <c r="AL107" s="174" t="n">
        <v>22.86</v>
      </c>
      <c r="AM107" s="174" t="n">
        <v>96.017</v>
      </c>
      <c r="AN107" s="174" t="n">
        <v>20.687</v>
      </c>
      <c r="AO107" s="174" t="n">
        <v>24.468</v>
      </c>
      <c r="AP107" s="174" t="n">
        <v>23.063</v>
      </c>
      <c r="AQ107" s="174" t="n">
        <v>21.418</v>
      </c>
      <c r="AR107" s="174" t="n">
        <v>89.636</v>
      </c>
      <c r="AS107" s="174" t="n">
        <v>20.8</v>
      </c>
      <c r="AT107" s="174" t="n">
        <v>18.983</v>
      </c>
      <c r="AU107" s="174" t="n">
        <v>25.405</v>
      </c>
      <c r="AV107" s="174" t="n">
        <v>32.759</v>
      </c>
      <c r="AW107" s="174" t="n">
        <v>97.947</v>
      </c>
      <c r="AX107" s="174" t="n">
        <v>34.714</v>
      </c>
      <c r="AY107" s="174" t="n">
        <v>43.927</v>
      </c>
      <c r="AZ107" s="174" t="n">
        <v>52.037</v>
      </c>
      <c r="BA107" s="174" t="n">
        <v>55.107</v>
      </c>
      <c r="BB107" s="174" t="n">
        <v>185.785</v>
      </c>
      <c r="BC107" s="174" t="n">
        <v>52.5</v>
      </c>
      <c r="BD107" s="174" t="n">
        <v>42.681</v>
      </c>
      <c r="BE107" s="174" t="n">
        <v>34.453</v>
      </c>
      <c r="BF107" s="174" t="n">
        <v>28.477</v>
      </c>
      <c r="BG107" s="174" t="n">
        <v>158.111</v>
      </c>
      <c r="BH107" s="174" t="n">
        <v>30.615</v>
      </c>
      <c r="BI107" s="174" t="n">
        <v>28.596</v>
      </c>
      <c r="BJ107" s="174" t="n">
        <v>30.835</v>
      </c>
      <c r="BK107" s="174" t="n">
        <v>31.47</v>
      </c>
      <c r="BL107" s="174" t="n">
        <v>121.516</v>
      </c>
      <c r="BM107" s="174" t="n">
        <v>30.71</v>
      </c>
      <c r="BN107" s="174" t="n">
        <v>32.01</v>
      </c>
      <c r="BO107" s="174" t="n">
        <v>30.941</v>
      </c>
      <c r="BP107" s="174" t="n">
        <v>29.154</v>
      </c>
      <c r="BQ107" s="174" t="n">
        <v>122.815</v>
      </c>
      <c r="BR107" s="174" t="n">
        <v>27.663</v>
      </c>
      <c r="BS107" s="174" t="n">
        <v>28.544</v>
      </c>
      <c r="BT107" s="174" t="n">
        <v>28.274</v>
      </c>
      <c r="BU107" s="174" t="n">
        <v>25.555</v>
      </c>
      <c r="BV107" s="174" t="n">
        <v>110.036</v>
      </c>
      <c r="BW107" s="174" t="n">
        <v>27.762</v>
      </c>
      <c r="BX107" s="174" t="n">
        <v>33.779</v>
      </c>
      <c r="BY107" s="176">
        <f>BY100*BY80</f>
        <v/>
      </c>
      <c r="BZ107" s="176">
        <f>BZ100*BZ80</f>
        <v/>
      </c>
      <c r="CA107" s="176">
        <f>SUM(BW107,BX107,BY107,BZ107)</f>
        <v/>
      </c>
      <c r="CB107" s="176">
        <f>CB100*CB80</f>
        <v/>
      </c>
      <c r="CC107" s="176">
        <f>CC100*CC80</f>
        <v/>
      </c>
      <c r="CD107" s="176">
        <f>CD100*CD80</f>
        <v/>
      </c>
      <c r="CE107" s="176">
        <f>CE100*CE80</f>
        <v/>
      </c>
      <c r="CF107" s="20" t="n"/>
    </row>
    <row r="108" ht="15" customHeight="1">
      <c r="B108" s="26" t="inlineStr">
        <is>
          <t>Depreciation &amp; amortization</t>
        </is>
      </c>
      <c r="C108" s="174" t="n">
        <v>67.634</v>
      </c>
      <c r="D108" s="174" t="n">
        <v>79.863</v>
      </c>
      <c r="E108" s="174" t="n">
        <v>87.083</v>
      </c>
      <c r="F108" s="174" t="n">
        <v>94.78400000000001</v>
      </c>
      <c r="G108" s="174" t="n">
        <v>80.36199999999999</v>
      </c>
      <c r="H108" s="174" t="n">
        <v>90.81999999999999</v>
      </c>
      <c r="I108" s="174" t="n">
        <v>110.743</v>
      </c>
      <c r="J108" s="174" t="n">
        <v>29.834</v>
      </c>
      <c r="K108" s="174" t="n">
        <v>30.517</v>
      </c>
      <c r="L108" s="174" t="n">
        <v>32.914</v>
      </c>
      <c r="M108" s="174" t="n">
        <v>33.807</v>
      </c>
      <c r="N108" s="174" t="n">
        <v>127.072</v>
      </c>
      <c r="O108" s="174" t="n">
        <v>34.092</v>
      </c>
      <c r="P108" s="174" t="n">
        <v>35.121</v>
      </c>
      <c r="Q108" s="174" t="n">
        <v>37.707</v>
      </c>
      <c r="R108" s="174" t="n">
        <v>39.546</v>
      </c>
      <c r="S108" s="174" t="n">
        <v>146.466</v>
      </c>
      <c r="T108" s="174" t="n">
        <v>38.788</v>
      </c>
      <c r="U108" s="174" t="n">
        <v>39.771</v>
      </c>
      <c r="V108" s="174" t="n">
        <v>42.561</v>
      </c>
      <c r="W108" s="174" t="n">
        <v>44.223</v>
      </c>
      <c r="X108" s="174" t="n">
        <v>165.343</v>
      </c>
      <c r="Y108" s="174" t="n">
        <v>44.772</v>
      </c>
      <c r="Z108" s="174" t="n">
        <v>46.48</v>
      </c>
      <c r="AA108" s="174" t="n">
        <v>49.041</v>
      </c>
      <c r="AB108" s="174" t="n">
        <v>49.574</v>
      </c>
      <c r="AC108" s="174" t="n">
        <v>189.867</v>
      </c>
      <c r="AD108" s="174" t="n">
        <v>50.287</v>
      </c>
      <c r="AE108" s="174" t="n">
        <v>50.449</v>
      </c>
      <c r="AF108" s="174" t="n">
        <v>51.934</v>
      </c>
      <c r="AG108" s="174" t="n">
        <v>53.093</v>
      </c>
      <c r="AH108" s="174" t="n">
        <v>205.763</v>
      </c>
      <c r="AI108" s="174" t="n">
        <v>53.481</v>
      </c>
      <c r="AJ108" s="174" t="n">
        <v>56.235</v>
      </c>
      <c r="AK108" s="174" t="n">
        <v>58.086</v>
      </c>
      <c r="AL108" s="174" t="n">
        <v>62.555</v>
      </c>
      <c r="AM108" s="174" t="n">
        <v>230.357</v>
      </c>
      <c r="AN108" s="174" t="n">
        <v>63.073</v>
      </c>
      <c r="AO108" s="174" t="n">
        <v>62.571</v>
      </c>
      <c r="AP108" s="174" t="n">
        <v>63.493</v>
      </c>
      <c r="AQ108" s="174" t="n">
        <v>64.544</v>
      </c>
      <c r="AR108" s="174" t="n">
        <v>253.681</v>
      </c>
      <c r="AS108" s="174" t="n">
        <v>65.435</v>
      </c>
      <c r="AT108" s="174" t="n">
        <v>65.735</v>
      </c>
      <c r="AU108" s="174" t="n">
        <v>64.983</v>
      </c>
      <c r="AV108" s="174" t="n">
        <v>65.10599999999999</v>
      </c>
      <c r="AW108" s="174" t="n">
        <v>261.259</v>
      </c>
      <c r="AX108" s="174" t="n">
        <v>63.987</v>
      </c>
      <c r="AY108" s="174" t="n">
        <v>63.947</v>
      </c>
      <c r="AZ108" s="174" t="n">
        <v>65.16</v>
      </c>
      <c r="BA108" s="174" t="n">
        <v>66.789</v>
      </c>
      <c r="BB108" s="174" t="n">
        <v>259.883</v>
      </c>
      <c r="BC108" s="174" t="n">
        <v>67.34</v>
      </c>
      <c r="BD108" s="174" t="n">
        <v>68.31</v>
      </c>
      <c r="BE108" s="174" t="n">
        <v>68.34699999999999</v>
      </c>
      <c r="BF108" s="174" t="n">
        <v>72.053</v>
      </c>
      <c r="BG108" s="174" t="n">
        <v>276.05</v>
      </c>
      <c r="BH108" s="174" t="n">
        <v>75.947</v>
      </c>
      <c r="BI108" s="174" t="n">
        <v>79.78400000000001</v>
      </c>
      <c r="BJ108" s="174" t="n">
        <v>84.05500000000001</v>
      </c>
      <c r="BK108" s="174" t="n">
        <v>84.649</v>
      </c>
      <c r="BL108" s="174" t="n">
        <v>324.435</v>
      </c>
      <c r="BM108" s="174" t="n">
        <v>84.53100000000001</v>
      </c>
      <c r="BN108" s="174" t="n">
        <v>84.563</v>
      </c>
      <c r="BO108" s="174" t="n">
        <v>86.666</v>
      </c>
      <c r="BP108" s="174" t="n">
        <v>88.80800000000001</v>
      </c>
      <c r="BQ108" s="174" t="n">
        <v>344.568</v>
      </c>
      <c r="BR108" s="174" t="n">
        <v>89.13200000000001</v>
      </c>
      <c r="BS108" s="174" t="n">
        <v>90.663</v>
      </c>
      <c r="BT108" s="174" t="n">
        <v>92.21899999999999</v>
      </c>
      <c r="BU108" s="174" t="n">
        <v>92.669</v>
      </c>
      <c r="BV108" s="174" t="n">
        <v>364.683</v>
      </c>
      <c r="BW108" s="174" t="n">
        <v>92.307</v>
      </c>
      <c r="BX108" s="174" t="n">
        <v>91.708</v>
      </c>
      <c r="BY108" s="176">
        <f>($CP$23-(BW108+BX108))/2</f>
        <v/>
      </c>
      <c r="BZ108" s="176">
        <f>($CP$23-(BW108+BX108))/2</f>
        <v/>
      </c>
      <c r="CA108" s="176">
        <f>SUM(BW108,BX108,BY108,BZ108)</f>
        <v/>
      </c>
      <c r="CB108" s="176">
        <f>CB100*CB82</f>
        <v/>
      </c>
      <c r="CC108" s="176">
        <f>CC100*CC82</f>
        <v/>
      </c>
      <c r="CD108" s="176">
        <f>CD100*CD82</f>
        <v/>
      </c>
      <c r="CE108" s="176">
        <f>CE100*CE82</f>
        <v/>
      </c>
      <c r="CF108" s="20" t="n"/>
      <c r="CH108" s="21">
        <f>IFERROR((CE108/BV108)^(1/5)-1,"n/m")</f>
        <v/>
      </c>
      <c r="CI108" s="21">
        <f>IFERROR((BV108/AW108)^(1/5)-1,"n/m")</f>
        <v/>
      </c>
      <c r="CJ108" s="21">
        <f>IFERROR((BV108/X108)^(1/10)-1,"n/m")</f>
        <v/>
      </c>
      <c r="CK108" s="21">
        <f>IFERROR((BV108/C108)^(1/19)-1,"n/m")</f>
        <v/>
      </c>
    </row>
    <row r="109" ht="15" customHeight="1">
      <c r="B109" s="26" t="inlineStr">
        <is>
          <t>Building &amp; office equipment rents (to 2012; within general supplies thereafter)</t>
        </is>
      </c>
      <c r="C109" s="174" t="n">
        <v>11.143</v>
      </c>
      <c r="D109" s="174" t="n">
        <v>11.91</v>
      </c>
      <c r="E109" s="174" t="n">
        <v>14.556</v>
      </c>
      <c r="F109" s="174" t="n">
        <v>13.55</v>
      </c>
      <c r="G109" s="174" t="n">
        <v>15.244</v>
      </c>
      <c r="H109" s="174" t="n">
        <v>13.689</v>
      </c>
      <c r="I109" s="174" t="n">
        <v>13.514</v>
      </c>
      <c r="J109" s="174" t="n">
        <v>3.178</v>
      </c>
      <c r="K109" s="174" t="n">
        <v>3.109</v>
      </c>
      <c r="L109" s="174" t="n">
        <v>2.849</v>
      </c>
      <c r="M109" s="174" t="n">
        <v>2.784</v>
      </c>
      <c r="N109" s="174" t="n">
        <v>11.92</v>
      </c>
      <c r="O109" s="174" t="n">
        <v>2.506</v>
      </c>
      <c r="P109" s="174" t="n">
        <v>2.513</v>
      </c>
      <c r="Q109" s="174" t="n">
        <v>2.88</v>
      </c>
      <c r="R109" s="174" t="n">
        <v>2.78</v>
      </c>
      <c r="S109" s="174" t="n">
        <v>10.679</v>
      </c>
      <c r="T109" s="174" t="n">
        <v>2.278</v>
      </c>
      <c r="U109" s="174" t="n">
        <v>2.474</v>
      </c>
      <c r="V109" s="174" t="n">
        <v>2.395</v>
      </c>
      <c r="W109" s="174" t="n">
        <v>2.473</v>
      </c>
      <c r="X109" s="174" t="n">
        <v>9.619999999999999</v>
      </c>
      <c r="Y109" s="174" t="n">
        <v>2.273</v>
      </c>
      <c r="Z109" s="174" t="n">
        <v>2.164</v>
      </c>
      <c r="AA109" s="174" t="n">
        <v>2.05</v>
      </c>
      <c r="AB109" s="174" t="n">
        <v>1.433</v>
      </c>
      <c r="AC109" s="174" t="n">
        <v>7.92</v>
      </c>
      <c r="AD109" s="174" t="n">
        <v>2.114</v>
      </c>
      <c r="AE109" s="174" t="n">
        <v>1.982</v>
      </c>
      <c r="AF109" s="174" t="n">
        <v>2.018</v>
      </c>
      <c r="AG109" s="174" t="n">
        <v>1.87</v>
      </c>
      <c r="AH109" s="174" t="n">
        <v>7.984</v>
      </c>
      <c r="AI109" s="174" t="n">
        <v>1.875</v>
      </c>
      <c r="AJ109" s="174" t="n">
        <v>1.647</v>
      </c>
      <c r="AK109" s="174" t="n">
        <v>1.533</v>
      </c>
      <c r="AL109" s="174" t="n">
        <v>1.391</v>
      </c>
      <c r="AM109" s="174" t="n">
        <v>6.446</v>
      </c>
      <c r="AN109" s="36" t="n"/>
      <c r="AO109" s="36" t="n"/>
      <c r="AP109" s="36" t="n"/>
      <c r="AQ109" s="36" t="n"/>
      <c r="AR109" s="36" t="n"/>
      <c r="AS109" s="36" t="n"/>
      <c r="AT109" s="36" t="n"/>
      <c r="AU109" s="36" t="n"/>
      <c r="AV109" s="36" t="n"/>
      <c r="AW109" s="36" t="n"/>
      <c r="AX109" s="36" t="n"/>
      <c r="AY109" s="36" t="n"/>
      <c r="AZ109" s="36" t="n"/>
      <c r="BA109" s="36" t="n"/>
      <c r="BB109" s="36" t="n"/>
      <c r="BC109" s="36" t="n"/>
      <c r="BD109" s="36" t="n"/>
      <c r="BE109" s="36" t="n"/>
      <c r="BF109" s="36" t="n"/>
      <c r="BG109" s="36" t="n"/>
      <c r="BH109" s="36" t="n"/>
      <c r="BI109" s="36" t="n"/>
      <c r="BJ109" s="36" t="n"/>
      <c r="BK109" s="36" t="n"/>
      <c r="BL109" s="36" t="n"/>
      <c r="BM109" s="36" t="n"/>
      <c r="BN109" s="36" t="n"/>
      <c r="BO109" s="36" t="n"/>
      <c r="BP109" s="36" t="n"/>
      <c r="BQ109" s="36" t="n"/>
      <c r="BR109" s="36" t="n"/>
      <c r="BS109" s="36" t="n"/>
      <c r="BT109" s="36" t="n"/>
      <c r="BU109" s="36" t="n"/>
      <c r="BV109" s="36" t="n"/>
      <c r="BW109" s="36" t="n"/>
      <c r="BX109" s="36" t="n"/>
      <c r="BY109" s="175" t="n">
        <v>0</v>
      </c>
      <c r="BZ109" s="175" t="n">
        <v>0</v>
      </c>
      <c r="CA109" s="176">
        <f>SUM(BW109,BX109,BY109,BZ109)</f>
        <v/>
      </c>
      <c r="CB109" s="175" t="n">
        <v>0</v>
      </c>
      <c r="CC109" s="175" t="n">
        <v>0</v>
      </c>
      <c r="CD109" s="175" t="n">
        <v>0</v>
      </c>
      <c r="CE109" s="175" t="n">
        <v>0</v>
      </c>
      <c r="CF109" s="20" t="n"/>
    </row>
    <row r="110" ht="15" customHeight="1">
      <c r="B110" s="26" t="inlineStr">
        <is>
          <t>Miscellaneous (income) expense, net (incl. gains / losses on disposal of property &amp; equipment)</t>
        </is>
      </c>
      <c r="C110" s="174" t="n">
        <v>7.406</v>
      </c>
      <c r="D110" s="174" t="n">
        <v>6.374</v>
      </c>
      <c r="E110" s="174" t="n">
        <v>6.66</v>
      </c>
      <c r="F110" s="174" t="n">
        <v>8.173999999999999</v>
      </c>
      <c r="G110" s="174" t="n">
        <v>6.507</v>
      </c>
      <c r="H110" s="174" t="n">
        <v>10.457</v>
      </c>
      <c r="I110" s="174" t="n">
        <v>9.366</v>
      </c>
      <c r="J110" s="174" t="n">
        <v>1.597</v>
      </c>
      <c r="K110" s="174" t="n">
        <v>0.017</v>
      </c>
      <c r="L110" s="174" t="n">
        <v>2.887</v>
      </c>
      <c r="M110" s="174" t="n">
        <v>-2.108</v>
      </c>
      <c r="N110" s="174" t="n">
        <v>2.393</v>
      </c>
      <c r="O110" s="174" t="n">
        <v>4.123</v>
      </c>
      <c r="P110" s="174" t="n">
        <v>1.83</v>
      </c>
      <c r="Q110" s="174" t="n">
        <v>7.35</v>
      </c>
      <c r="R110" s="174" t="n">
        <v>4.644</v>
      </c>
      <c r="S110" s="174" t="n">
        <v>17.947</v>
      </c>
      <c r="T110" s="174" t="n">
        <v>4.592</v>
      </c>
      <c r="U110" s="174" t="n">
        <v>1.599</v>
      </c>
      <c r="V110" s="174" t="n">
        <v>3.226</v>
      </c>
      <c r="W110" s="174" t="n">
        <v>2.961</v>
      </c>
      <c r="X110" s="174" t="n">
        <v>12.378</v>
      </c>
      <c r="Y110" s="174" t="n">
        <v>4.824</v>
      </c>
      <c r="Z110" s="174" t="n">
        <v>3.486</v>
      </c>
      <c r="AA110" s="174" t="n">
        <v>5.002</v>
      </c>
      <c r="AB110" s="174" t="n">
        <v>2.663</v>
      </c>
      <c r="AC110" s="174" t="n">
        <v>15.975</v>
      </c>
      <c r="AD110" s="174" t="n">
        <v>4.968</v>
      </c>
      <c r="AE110" s="174" t="n">
        <v>6.125</v>
      </c>
      <c r="AF110" s="174" t="n">
        <v>4.557</v>
      </c>
      <c r="AG110" s="174" t="n">
        <v>6.861</v>
      </c>
      <c r="AH110" s="174" t="n">
        <v>22.511</v>
      </c>
      <c r="AI110" s="174" t="n">
        <v>8.303000000000001</v>
      </c>
      <c r="AJ110" s="174" t="n">
        <v>5.086</v>
      </c>
      <c r="AK110" s="174" t="n">
        <v>2.874</v>
      </c>
      <c r="AL110" s="174" t="n">
        <v>4.351</v>
      </c>
      <c r="AM110" s="174" t="n">
        <v>20.614</v>
      </c>
      <c r="AN110" s="174" t="n">
        <v>5.253</v>
      </c>
      <c r="AO110" s="174" t="n">
        <v>4.649</v>
      </c>
      <c r="AP110" s="174" t="n">
        <v>11.452</v>
      </c>
      <c r="AQ110" s="174" t="n">
        <v>7.192</v>
      </c>
      <c r="AR110" s="174" t="n">
        <v>28.546</v>
      </c>
      <c r="AS110" s="174" t="n">
        <v>4.82</v>
      </c>
      <c r="AT110" s="174" t="n">
        <v>4.912</v>
      </c>
      <c r="AU110" s="174" t="n">
        <v>5.858</v>
      </c>
      <c r="AV110" s="174" t="n">
        <v>4.998</v>
      </c>
      <c r="AW110" s="174" t="n">
        <v>20.588</v>
      </c>
      <c r="AX110" s="174" t="n">
        <v>4.79</v>
      </c>
      <c r="AY110" s="174" t="n">
        <v>5.34</v>
      </c>
      <c r="AZ110" s="174" t="n">
        <v>7.493</v>
      </c>
      <c r="BA110" s="174" t="n">
        <v>8.625999999999999</v>
      </c>
      <c r="BB110" s="174" t="n">
        <v>26.249</v>
      </c>
      <c r="BC110" s="174" t="n">
        <v>3.704</v>
      </c>
      <c r="BD110" s="174" t="n">
        <v>4.4</v>
      </c>
      <c r="BE110" s="174" t="n">
        <v>2.983</v>
      </c>
      <c r="BF110" s="174" t="n">
        <v>4.285</v>
      </c>
      <c r="BG110" s="174" t="n">
        <v>15.372</v>
      </c>
      <c r="BH110" s="174" t="n">
        <v>4.775</v>
      </c>
      <c r="BI110" s="174" t="n">
        <v>2.609</v>
      </c>
      <c r="BJ110" s="174" t="n">
        <v>5.905</v>
      </c>
      <c r="BK110" s="174" t="n">
        <v>-8.458</v>
      </c>
      <c r="BL110" s="174" t="n">
        <v>4.831</v>
      </c>
      <c r="BM110" s="174" t="n">
        <v>6.941</v>
      </c>
      <c r="BN110" s="174" t="n">
        <v>7.677</v>
      </c>
      <c r="BO110" s="174" t="n">
        <v>3.29</v>
      </c>
      <c r="BP110" s="174" t="n">
        <v>6.465</v>
      </c>
      <c r="BQ110" s="174" t="n">
        <v>24.373</v>
      </c>
      <c r="BR110" s="174" t="n">
        <v>8.265000000000001</v>
      </c>
      <c r="BS110" s="174" t="n">
        <v>11.323</v>
      </c>
      <c r="BT110" s="174" t="n">
        <v>9.927</v>
      </c>
      <c r="BU110" s="174" t="n">
        <v>3.348</v>
      </c>
      <c r="BV110" s="174" t="n">
        <v>32.863</v>
      </c>
      <c r="BW110" s="174" t="n">
        <v>4.847</v>
      </c>
      <c r="BX110" s="174" t="n">
        <v>-9.630000000000001</v>
      </c>
      <c r="BY110" s="176">
        <f>BY100*BY83</f>
        <v/>
      </c>
      <c r="BZ110" s="176">
        <f>BZ100*BZ83</f>
        <v/>
      </c>
      <c r="CA110" s="176">
        <f>SUM(BW110,BX110,BY110,BZ110)</f>
        <v/>
      </c>
      <c r="CB110" s="176">
        <f>CB100*CB83</f>
        <v/>
      </c>
      <c r="CC110" s="176">
        <f>CC100*CC83</f>
        <v/>
      </c>
      <c r="CD110" s="176">
        <f>CD100*CD83</f>
        <v/>
      </c>
      <c r="CE110" s="176">
        <f>CE100*CE83</f>
        <v/>
      </c>
      <c r="CF110" s="20" t="n"/>
    </row>
    <row r="111" ht="15" customHeight="1">
      <c r="B111" s="17" t="inlineStr">
        <is>
          <t>Total operating expenses</t>
        </is>
      </c>
      <c r="C111" s="204">
        <f>IF(ISNUMBER(C100),N(C101)+N(C102)+N(C103)+N(C104)+N(C105)+N(C106)+N(C107)+N(C108)+N(C109)+N(C110),"")</f>
        <v/>
      </c>
      <c r="D111" s="204">
        <f>IF(ISNUMBER(D100),N(D101)+N(D102)+N(D103)+N(D104)+N(D105)+N(D106)+N(D107)+N(D108)+N(D109)+N(D110),"")</f>
        <v/>
      </c>
      <c r="E111" s="204">
        <f>IF(ISNUMBER(E100),N(E101)+N(E102)+N(E103)+N(E104)+N(E105)+N(E106)+N(E107)+N(E108)+N(E109)+N(E110),"")</f>
        <v/>
      </c>
      <c r="F111" s="204">
        <f>IF(ISNUMBER(F100),N(F101)+N(F102)+N(F103)+N(F104)+N(F105)+N(F106)+N(F107)+N(F108)+N(F109)+N(F110),"")</f>
        <v/>
      </c>
      <c r="G111" s="204">
        <f>IF(ISNUMBER(G100),N(G101)+N(G102)+N(G103)+N(G104)+N(G105)+N(G106)+N(G107)+N(G108)+N(G109)+N(G110),"")</f>
        <v/>
      </c>
      <c r="H111" s="204">
        <f>IF(ISNUMBER(H100),N(H101)+N(H102)+N(H103)+N(H104)+N(H105)+N(H106)+N(H107)+N(H108)+N(H109)+N(H110),"")</f>
        <v/>
      </c>
      <c r="I111" s="204">
        <f>IF(ISNUMBER(I100),N(I101)+N(I102)+N(I103)+N(I104)+N(I105)+N(I106)+N(I107)+N(I108)+N(I109)+N(I110),"")</f>
        <v/>
      </c>
      <c r="J111" s="204">
        <f>IF(ISNUMBER(J100),N(J101)+N(J102)+N(J103)+N(J104)+N(J105)+N(J106)+N(J107)+N(J108)+N(J109)+N(J110),"")</f>
        <v/>
      </c>
      <c r="K111" s="204">
        <f>IF(ISNUMBER(K100),N(K101)+N(K102)+N(K103)+N(K104)+N(K105)+N(K106)+N(K107)+N(K108)+N(K109)+N(K110),"")</f>
        <v/>
      </c>
      <c r="L111" s="204">
        <f>IF(ISNUMBER(L100),N(L101)+N(L102)+N(L103)+N(L104)+N(L105)+N(L106)+N(L107)+N(L108)+N(L109)+N(L110),"")</f>
        <v/>
      </c>
      <c r="M111" s="204">
        <f>IF(ISNUMBER(M100),N(M101)+N(M102)+N(M103)+N(M104)+N(M105)+N(M106)+N(M107)+N(M108)+N(M109)+N(M110),"")</f>
        <v/>
      </c>
      <c r="N111" s="204">
        <f>IF(ISNUMBER(N100),N(N101)+N(N102)+N(N103)+N(N104)+N(N105)+N(N106)+N(N107)+N(N108)+N(N109)+N(N110),"")</f>
        <v/>
      </c>
      <c r="O111" s="204">
        <f>IF(ISNUMBER(O100),N(O101)+N(O102)+N(O103)+N(O104)+N(O105)+N(O106)+N(O107)+N(O108)+N(O109)+N(O110),"")</f>
        <v/>
      </c>
      <c r="P111" s="204">
        <f>IF(ISNUMBER(P100),N(P101)+N(P102)+N(P103)+N(P104)+N(P105)+N(P106)+N(P107)+N(P108)+N(P109)+N(P110),"")</f>
        <v/>
      </c>
      <c r="Q111" s="204">
        <f>IF(ISNUMBER(Q100),N(Q101)+N(Q102)+N(Q103)+N(Q104)+N(Q105)+N(Q106)+N(Q107)+N(Q108)+N(Q109)+N(Q110),"")</f>
        <v/>
      </c>
      <c r="R111" s="204">
        <f>IF(ISNUMBER(R100),N(R101)+N(R102)+N(R103)+N(R104)+N(R105)+N(R106)+N(R107)+N(R108)+N(R109)+N(R110),"")</f>
        <v/>
      </c>
      <c r="S111" s="204">
        <f>IF(ISNUMBER(S100),N(S101)+N(S102)+N(S103)+N(S104)+N(S105)+N(S106)+N(S107)+N(S108)+N(S109)+N(S110),"")</f>
        <v/>
      </c>
      <c r="T111" s="204">
        <f>IF(ISNUMBER(T100),N(T101)+N(T102)+N(T103)+N(T104)+N(T105)+N(T106)+N(T107)+N(T108)+N(T109)+N(T110),"")</f>
        <v/>
      </c>
      <c r="U111" s="204">
        <f>IF(ISNUMBER(U100),N(U101)+N(U102)+N(U103)+N(U104)+N(U105)+N(U106)+N(U107)+N(U108)+N(U109)+N(U110),"")</f>
        <v/>
      </c>
      <c r="V111" s="204">
        <f>IF(ISNUMBER(V100),N(V101)+N(V102)+N(V103)+N(V104)+N(V105)+N(V106)+N(V107)+N(V108)+N(V109)+N(V110),"")</f>
        <v/>
      </c>
      <c r="W111" s="204">
        <f>IF(ISNUMBER(W100),N(W101)+N(W102)+N(W103)+N(W104)+N(W105)+N(W106)+N(W107)+N(W108)+N(W109)+N(W110),"")</f>
        <v/>
      </c>
      <c r="X111" s="204">
        <f>IF(ISNUMBER(X100),N(X101)+N(X102)+N(X103)+N(X104)+N(X105)+N(X106)+N(X107)+N(X108)+N(X109)+N(X110),"")</f>
        <v/>
      </c>
      <c r="Y111" s="204">
        <f>IF(ISNUMBER(Y100),N(Y101)+N(Y102)+N(Y103)+N(Y104)+N(Y105)+N(Y106)+N(Y107)+N(Y108)+N(Y109)+N(Y110),"")</f>
        <v/>
      </c>
      <c r="Z111" s="204">
        <f>IF(ISNUMBER(Z100),N(Z101)+N(Z102)+N(Z103)+N(Z104)+N(Z105)+N(Z106)+N(Z107)+N(Z108)+N(Z109)+N(Z110),"")</f>
        <v/>
      </c>
      <c r="AA111" s="204">
        <f>IF(ISNUMBER(AA100),N(AA101)+N(AA102)+N(AA103)+N(AA104)+N(AA105)+N(AA106)+N(AA107)+N(AA108)+N(AA109)+N(AA110),"")</f>
        <v/>
      </c>
      <c r="AB111" s="204">
        <f>IF(ISNUMBER(AB100),N(AB101)+N(AB102)+N(AB103)+N(AB104)+N(AB105)+N(AB106)+N(AB107)+N(AB108)+N(AB109)+N(AB110),"")</f>
        <v/>
      </c>
      <c r="AC111" s="204">
        <f>IF(ISNUMBER(AC100),N(AC101)+N(AC102)+N(AC103)+N(AC104)+N(AC105)+N(AC106)+N(AC107)+N(AC108)+N(AC109)+N(AC110),"")</f>
        <v/>
      </c>
      <c r="AD111" s="204">
        <f>IF(ISNUMBER(AD100),N(AD101)+N(AD102)+N(AD103)+N(AD104)+N(AD105)+N(AD106)+N(AD107)+N(AD108)+N(AD109)+N(AD110),"")</f>
        <v/>
      </c>
      <c r="AE111" s="204">
        <f>IF(ISNUMBER(AE100),N(AE101)+N(AE102)+N(AE103)+N(AE104)+N(AE105)+N(AE106)+N(AE107)+N(AE108)+N(AE109)+N(AE110),"")</f>
        <v/>
      </c>
      <c r="AF111" s="204">
        <f>IF(ISNUMBER(AF100),N(AF101)+N(AF102)+N(AF103)+N(AF104)+N(AF105)+N(AF106)+N(AF107)+N(AF108)+N(AF109)+N(AF110),"")</f>
        <v/>
      </c>
      <c r="AG111" s="204">
        <f>IF(ISNUMBER(AG100),N(AG101)+N(AG102)+N(AG103)+N(AG104)+N(AG105)+N(AG106)+N(AG107)+N(AG108)+N(AG109)+N(AG110),"")</f>
        <v/>
      </c>
      <c r="AH111" s="204">
        <f>IF(ISNUMBER(AH100),N(AH101)+N(AH102)+N(AH103)+N(AH104)+N(AH105)+N(AH106)+N(AH107)+N(AH108)+N(AH109)+N(AH110),"")</f>
        <v/>
      </c>
      <c r="AI111" s="204">
        <f>IF(ISNUMBER(AI100),N(AI101)+N(AI102)+N(AI103)+N(AI104)+N(AI105)+N(AI106)+N(AI107)+N(AI108)+N(AI109)+N(AI110),"")</f>
        <v/>
      </c>
      <c r="AJ111" s="204">
        <f>IF(ISNUMBER(AJ100),N(AJ101)+N(AJ102)+N(AJ103)+N(AJ104)+N(AJ105)+N(AJ106)+N(AJ107)+N(AJ108)+N(AJ109)+N(AJ110),"")</f>
        <v/>
      </c>
      <c r="AK111" s="204">
        <f>IF(ISNUMBER(AK100),N(AK101)+N(AK102)+N(AK103)+N(AK104)+N(AK105)+N(AK106)+N(AK107)+N(AK108)+N(AK109)+N(AK110),"")</f>
        <v/>
      </c>
      <c r="AL111" s="204">
        <f>IF(ISNUMBER(AL100),N(AL101)+N(AL102)+N(AL103)+N(AL104)+N(AL105)+N(AL106)+N(AL107)+N(AL108)+N(AL109)+N(AL110),"")</f>
        <v/>
      </c>
      <c r="AM111" s="204">
        <f>IF(ISNUMBER(AM100),N(AM101)+N(AM102)+N(AM103)+N(AM104)+N(AM105)+N(AM106)+N(AM107)+N(AM108)+N(AM109)+N(AM110),"")</f>
        <v/>
      </c>
      <c r="AN111" s="204">
        <f>IF(ISNUMBER(AN100),N(AN101)+N(AN102)+N(AN103)+N(AN104)+N(AN105)+N(AN106)+N(AN107)+N(AN108)+N(AN109)+N(AN110),"")</f>
        <v/>
      </c>
      <c r="AO111" s="204">
        <f>IF(ISNUMBER(AO100),N(AO101)+N(AO102)+N(AO103)+N(AO104)+N(AO105)+N(AO106)+N(AO107)+N(AO108)+N(AO109)+N(AO110),"")</f>
        <v/>
      </c>
      <c r="AP111" s="204">
        <f>IF(ISNUMBER(AP100),N(AP101)+N(AP102)+N(AP103)+N(AP104)+N(AP105)+N(AP106)+N(AP107)+N(AP108)+N(AP109)+N(AP110),"")</f>
        <v/>
      </c>
      <c r="AQ111" s="204">
        <f>IF(ISNUMBER(AQ100),N(AQ101)+N(AQ102)+N(AQ103)+N(AQ104)+N(AQ105)+N(AQ106)+N(AQ107)+N(AQ108)+N(AQ109)+N(AQ110),"")</f>
        <v/>
      </c>
      <c r="AR111" s="204">
        <f>IF(ISNUMBER(AR100),N(AR101)+N(AR102)+N(AR103)+N(AR104)+N(AR105)+N(AR106)+N(AR107)+N(AR108)+N(AR109)+N(AR110),"")</f>
        <v/>
      </c>
      <c r="AS111" s="204">
        <f>IF(ISNUMBER(AS100),N(AS101)+N(AS102)+N(AS103)+N(AS104)+N(AS105)+N(AS106)+N(AS107)+N(AS108)+N(AS109)+N(AS110),"")</f>
        <v/>
      </c>
      <c r="AT111" s="204">
        <f>IF(ISNUMBER(AT100),N(AT101)+N(AT102)+N(AT103)+N(AT104)+N(AT105)+N(AT106)+N(AT107)+N(AT108)+N(AT109)+N(AT110),"")</f>
        <v/>
      </c>
      <c r="AU111" s="204">
        <f>IF(ISNUMBER(AU100),N(AU101)+N(AU102)+N(AU103)+N(AU104)+N(AU105)+N(AU106)+N(AU107)+N(AU108)+N(AU109)+N(AU110),"")</f>
        <v/>
      </c>
      <c r="AV111" s="204">
        <f>IF(ISNUMBER(AV100),N(AV101)+N(AV102)+N(AV103)+N(AV104)+N(AV105)+N(AV106)+N(AV107)+N(AV108)+N(AV109)+N(AV110),"")</f>
        <v/>
      </c>
      <c r="AW111" s="204">
        <f>IF(ISNUMBER(AW100),N(AW101)+N(AW102)+N(AW103)+N(AW104)+N(AW105)+N(AW106)+N(AW107)+N(AW108)+N(AW109)+N(AW110),"")</f>
        <v/>
      </c>
      <c r="AX111" s="204">
        <f>IF(ISNUMBER(AX100),N(AX101)+N(AX102)+N(AX103)+N(AX104)+N(AX105)+N(AX106)+N(AX107)+N(AX108)+N(AX109)+N(AX110),"")</f>
        <v/>
      </c>
      <c r="AY111" s="204">
        <f>IF(ISNUMBER(AY100),N(AY101)+N(AY102)+N(AY103)+N(AY104)+N(AY105)+N(AY106)+N(AY107)+N(AY108)+N(AY109)+N(AY110),"")</f>
        <v/>
      </c>
      <c r="AZ111" s="204">
        <f>IF(ISNUMBER(AZ100),N(AZ101)+N(AZ102)+N(AZ103)+N(AZ104)+N(AZ105)+N(AZ106)+N(AZ107)+N(AZ108)+N(AZ109)+N(AZ110),"")</f>
        <v/>
      </c>
      <c r="BA111" s="204">
        <f>IF(ISNUMBER(BA100),N(BA101)+N(BA102)+N(BA103)+N(BA104)+N(BA105)+N(BA106)+N(BA107)+N(BA108)+N(BA109)+N(BA110),"")</f>
        <v/>
      </c>
      <c r="BB111" s="204">
        <f>IF(ISNUMBER(BB100),N(BB101)+N(BB102)+N(BB103)+N(BB104)+N(BB105)+N(BB106)+N(BB107)+N(BB108)+N(BB109)+N(BB110),"")</f>
        <v/>
      </c>
      <c r="BC111" s="204">
        <f>IF(ISNUMBER(BC100),N(BC101)+N(BC102)+N(BC103)+N(BC104)+N(BC105)+N(BC106)+N(BC107)+N(BC108)+N(BC109)+N(BC110),"")</f>
        <v/>
      </c>
      <c r="BD111" s="204">
        <f>IF(ISNUMBER(BD100),N(BD101)+N(BD102)+N(BD103)+N(BD104)+N(BD105)+N(BD106)+N(BD107)+N(BD108)+N(BD109)+N(BD110),"")</f>
        <v/>
      </c>
      <c r="BE111" s="204">
        <f>IF(ISNUMBER(BE100),N(BE101)+N(BE102)+N(BE103)+N(BE104)+N(BE105)+N(BE106)+N(BE107)+N(BE108)+N(BE109)+N(BE110),"")</f>
        <v/>
      </c>
      <c r="BF111" s="204">
        <f>IF(ISNUMBER(BF100),N(BF101)+N(BF102)+N(BF103)+N(BF104)+N(BF105)+N(BF106)+N(BF107)+N(BF108)+N(BF109)+N(BF110),"")</f>
        <v/>
      </c>
      <c r="BG111" s="204">
        <f>IF(ISNUMBER(BG100),N(BG101)+N(BG102)+N(BG103)+N(BG104)+N(BG105)+N(BG106)+N(BG107)+N(BG108)+N(BG109)+N(BG110),"")</f>
        <v/>
      </c>
      <c r="BH111" s="204">
        <f>IF(ISNUMBER(BH100),N(BH101)+N(BH102)+N(BH103)+N(BH104)+N(BH105)+N(BH106)+N(BH107)+N(BH108)+N(BH109)+N(BH110),"")</f>
        <v/>
      </c>
      <c r="BI111" s="204">
        <f>IF(ISNUMBER(BI100),N(BI101)+N(BI102)+N(BI103)+N(BI104)+N(BI105)+N(BI106)+N(BI107)+N(BI108)+N(BI109)+N(BI110),"")</f>
        <v/>
      </c>
      <c r="BJ111" s="204">
        <f>IF(ISNUMBER(BJ100),N(BJ101)+N(BJ102)+N(BJ103)+N(BJ104)+N(BJ105)+N(BJ106)+N(BJ107)+N(BJ108)+N(BJ109)+N(BJ110),"")</f>
        <v/>
      </c>
      <c r="BK111" s="204">
        <f>IF(ISNUMBER(BK100),N(BK101)+N(BK102)+N(BK103)+N(BK104)+N(BK105)+N(BK106)+N(BK107)+N(BK108)+N(BK109)+N(BK110),"")</f>
        <v/>
      </c>
      <c r="BL111" s="204">
        <f>IF(ISNUMBER(BL100),N(BL101)+N(BL102)+N(BL103)+N(BL104)+N(BL105)+N(BL106)+N(BL107)+N(BL108)+N(BL109)+N(BL110),"")</f>
        <v/>
      </c>
      <c r="BM111" s="204">
        <f>IF(ISNUMBER(BM100),N(BM101)+N(BM102)+N(BM103)+N(BM104)+N(BM105)+N(BM106)+N(BM107)+N(BM108)+N(BM109)+N(BM110),"")</f>
        <v/>
      </c>
      <c r="BN111" s="204">
        <f>IF(ISNUMBER(BN100),N(BN101)+N(BN102)+N(BN103)+N(BN104)+N(BN105)+N(BN106)+N(BN107)+N(BN108)+N(BN109)+N(BN110),"")</f>
        <v/>
      </c>
      <c r="BO111" s="204">
        <f>IF(ISNUMBER(BO100),N(BO101)+N(BO102)+N(BO103)+N(BO104)+N(BO105)+N(BO106)+N(BO107)+N(BO108)+N(BO109)+N(BO110),"")</f>
        <v/>
      </c>
      <c r="BP111" s="204">
        <f>IF(ISNUMBER(BP100),N(BP101)+N(BP102)+N(BP103)+N(BP104)+N(BP105)+N(BP106)+N(BP107)+N(BP108)+N(BP109)+N(BP110),"")</f>
        <v/>
      </c>
      <c r="BQ111" s="204">
        <f>IF(ISNUMBER(BQ100),N(BQ101)+N(BQ102)+N(BQ103)+N(BQ104)+N(BQ105)+N(BQ106)+N(BQ107)+N(BQ108)+N(BQ109)+N(BQ110),"")</f>
        <v/>
      </c>
      <c r="BR111" s="204">
        <f>IF(ISNUMBER(BR100),N(BR101)+N(BR102)+N(BR103)+N(BR104)+N(BR105)+N(BR106)+N(BR107)+N(BR108)+N(BR109)+N(BR110),"")</f>
        <v/>
      </c>
      <c r="BS111" s="204">
        <f>IF(ISNUMBER(BS100),N(BS101)+N(BS102)+N(BS103)+N(BS104)+N(BS105)+N(BS106)+N(BS107)+N(BS108)+N(BS109)+N(BS110),"")</f>
        <v/>
      </c>
      <c r="BT111" s="204">
        <f>IF(ISNUMBER(BT100),N(BT101)+N(BT102)+N(BT103)+N(BT104)+N(BT105)+N(BT106)+N(BT107)+N(BT108)+N(BT109)+N(BT110),"")</f>
        <v/>
      </c>
      <c r="BU111" s="204">
        <f>IF(ISNUMBER(BU100),N(BU101)+N(BU102)+N(BU103)+N(BU104)+N(BU105)+N(BU106)+N(BU107)+N(BU108)+N(BU109)+N(BU110),"")</f>
        <v/>
      </c>
      <c r="BV111" s="204">
        <f>IF(ISNUMBER(BV100),N(BV101)+N(BV102)+N(BV103)+N(BV104)+N(BV105)+N(BV106)+N(BV107)+N(BV108)+N(BV109)+N(BV110),"")</f>
        <v/>
      </c>
      <c r="BW111" s="204">
        <f>IF(ISNUMBER(BW100),N(BW101)+N(BW102)+N(BW103)+N(BW104)+N(BW105)+N(BW106)+N(BW107)+N(BW108)+N(BW109)+N(BW110),"")</f>
        <v/>
      </c>
      <c r="BX111" s="204">
        <f>IF(ISNUMBER(BX100),N(BX101)+N(BX102)+N(BX103)+N(BX104)+N(BX105)+N(BX106)+N(BX107)+N(BX108)+N(BX109)+N(BX110),"")</f>
        <v/>
      </c>
      <c r="BY111" s="178">
        <f>IF(ISNUMBER(BY100),N(BY101)+N(BY102)+N(BY103)+N(BY104)+N(BY105)+N(BY106)+N(BY107)+N(BY108)+N(BY109)+N(BY110),"")</f>
        <v/>
      </c>
      <c r="BZ111" s="178">
        <f>IF(ISNUMBER(BZ100),N(BZ101)+N(BZ102)+N(BZ103)+N(BZ104)+N(BZ105)+N(BZ106)+N(BZ107)+N(BZ108)+N(BZ109)+N(BZ110),"")</f>
        <v/>
      </c>
      <c r="CA111" s="178">
        <f>IF(ISNUMBER(CA100),N(CA101)+N(CA102)+N(CA103)+N(CA104)+N(CA105)+N(CA106)+N(CA107)+N(CA108)+N(CA109)+N(CA110),"")</f>
        <v/>
      </c>
      <c r="CB111" s="178">
        <f>IF(ISNUMBER(CB100),N(CB101)+N(CB102)+N(CB103)+N(CB104)+N(CB105)+N(CB106)+N(CB107)+N(CB108)+N(CB109)+N(CB110),"")</f>
        <v/>
      </c>
      <c r="CC111" s="178">
        <f>IF(ISNUMBER(CC100),N(CC101)+N(CC102)+N(CC103)+N(CC104)+N(CC105)+N(CC106)+N(CC107)+N(CC108)+N(CC109)+N(CC110),"")</f>
        <v/>
      </c>
      <c r="CD111" s="178">
        <f>IF(ISNUMBER(CD100),N(CD101)+N(CD102)+N(CD103)+N(CD104)+N(CD105)+N(CD106)+N(CD107)+N(CD108)+N(CD109)+N(CD110),"")</f>
        <v/>
      </c>
      <c r="CE111" s="178">
        <f>IF(ISNUMBER(CE100),N(CE101)+N(CE102)+N(CE103)+N(CE104)+N(CE105)+N(CE106)+N(CE107)+N(CE108)+N(CE109)+N(CE110),"")</f>
        <v/>
      </c>
      <c r="CF111" s="6" t="n"/>
    </row>
    <row r="112" ht="15" customHeight="1">
      <c r="B112" s="61" t="inlineStr">
        <is>
          <t xml:space="preserve">  Check: Σ expense lines vs reported total operating expenses (should be 0)</t>
        </is>
      </c>
      <c r="C112" s="197">
        <f>IF(ISNUMBER(C113),ROUND(C111-C113,1),"")</f>
        <v/>
      </c>
      <c r="D112" s="197">
        <f>IF(ISNUMBER(D113),ROUND(D111-D113,1),"")</f>
        <v/>
      </c>
      <c r="E112" s="197">
        <f>IF(ISNUMBER(E113),ROUND(E111-E113,1),"")</f>
        <v/>
      </c>
      <c r="F112" s="197">
        <f>IF(ISNUMBER(F113),ROUND(F111-F113,1),"")</f>
        <v/>
      </c>
      <c r="G112" s="197">
        <f>IF(ISNUMBER(G113),ROUND(G111-G113,1),"")</f>
        <v/>
      </c>
      <c r="H112" s="197">
        <f>IF(ISNUMBER(H113),ROUND(H111-H113,1),"")</f>
        <v/>
      </c>
      <c r="I112" s="197">
        <f>IF(ISNUMBER(I113),ROUND(I111-I113,1),"")</f>
        <v/>
      </c>
      <c r="J112" s="197">
        <f>IF(ISNUMBER(J113),ROUND(J111-J113,1),"")</f>
        <v/>
      </c>
      <c r="K112" s="197">
        <f>IF(ISNUMBER(K113),ROUND(K111-K113,1),"")</f>
        <v/>
      </c>
      <c r="L112" s="197">
        <f>IF(ISNUMBER(L113),ROUND(L111-L113,1),"")</f>
        <v/>
      </c>
      <c r="M112" s="197">
        <f>IF(ISNUMBER(M113),ROUND(M111-M113,1),"")</f>
        <v/>
      </c>
      <c r="N112" s="197">
        <f>IF(ISNUMBER(N113),ROUND(N111-N113,1),"")</f>
        <v/>
      </c>
      <c r="O112" s="197">
        <f>IF(ISNUMBER(O113),ROUND(O111-O113,1),"")</f>
        <v/>
      </c>
      <c r="P112" s="197">
        <f>IF(ISNUMBER(P113),ROUND(P111-P113,1),"")</f>
        <v/>
      </c>
      <c r="Q112" s="197">
        <f>IF(ISNUMBER(Q113),ROUND(Q111-Q113,1),"")</f>
        <v/>
      </c>
      <c r="R112" s="197">
        <f>IF(ISNUMBER(R113),ROUND(R111-R113,1),"")</f>
        <v/>
      </c>
      <c r="S112" s="197">
        <f>IF(ISNUMBER(S113),ROUND(S111-S113,1),"")</f>
        <v/>
      </c>
      <c r="T112" s="197">
        <f>IF(ISNUMBER(T113),ROUND(T111-T113,1),"")</f>
        <v/>
      </c>
      <c r="U112" s="197">
        <f>IF(ISNUMBER(U113),ROUND(U111-U113,1),"")</f>
        <v/>
      </c>
      <c r="V112" s="197">
        <f>IF(ISNUMBER(V113),ROUND(V111-V113,1),"")</f>
        <v/>
      </c>
      <c r="W112" s="197">
        <f>IF(ISNUMBER(W113),ROUND(W111-W113,1),"")</f>
        <v/>
      </c>
      <c r="X112" s="197">
        <f>IF(ISNUMBER(X113),ROUND(X111-X113,1),"")</f>
        <v/>
      </c>
      <c r="Y112" s="197">
        <f>IF(ISNUMBER(Y113),ROUND(Y111-Y113,1),"")</f>
        <v/>
      </c>
      <c r="Z112" s="197">
        <f>IF(ISNUMBER(Z113),ROUND(Z111-Z113,1),"")</f>
        <v/>
      </c>
      <c r="AA112" s="197">
        <f>IF(ISNUMBER(AA113),ROUND(AA111-AA113,1),"")</f>
        <v/>
      </c>
      <c r="AB112" s="197">
        <f>IF(ISNUMBER(AB113),ROUND(AB111-AB113,1),"")</f>
        <v/>
      </c>
      <c r="AC112" s="197">
        <f>IF(ISNUMBER(AC113),ROUND(AC111-AC113,1),"")</f>
        <v/>
      </c>
      <c r="AD112" s="197">
        <f>IF(ISNUMBER(AD113),ROUND(AD111-AD113,1),"")</f>
        <v/>
      </c>
      <c r="AE112" s="197">
        <f>IF(ISNUMBER(AE113),ROUND(AE111-AE113,1),"")</f>
        <v/>
      </c>
      <c r="AF112" s="197">
        <f>IF(ISNUMBER(AF113),ROUND(AF111-AF113,1),"")</f>
        <v/>
      </c>
      <c r="AG112" s="197">
        <f>IF(ISNUMBER(AG113),ROUND(AG111-AG113,1),"")</f>
        <v/>
      </c>
      <c r="AH112" s="197">
        <f>IF(ISNUMBER(AH113),ROUND(AH111-AH113,1),"")</f>
        <v/>
      </c>
      <c r="AI112" s="197">
        <f>IF(ISNUMBER(AI113),ROUND(AI111-AI113,1),"")</f>
        <v/>
      </c>
      <c r="AJ112" s="197">
        <f>IF(ISNUMBER(AJ113),ROUND(AJ111-AJ113,1),"")</f>
        <v/>
      </c>
      <c r="AK112" s="197">
        <f>IF(ISNUMBER(AK113),ROUND(AK111-AK113,1),"")</f>
        <v/>
      </c>
      <c r="AL112" s="197">
        <f>IF(ISNUMBER(AL113),ROUND(AL111-AL113,1),"")</f>
        <v/>
      </c>
      <c r="AM112" s="197">
        <f>IF(ISNUMBER(AM113),ROUND(AM111-AM113,1),"")</f>
        <v/>
      </c>
      <c r="AN112" s="197">
        <f>IF(ISNUMBER(AN113),ROUND(AN111-AN113,1),"")</f>
        <v/>
      </c>
      <c r="AO112" s="197">
        <f>IF(ISNUMBER(AO113),ROUND(AO111-AO113,1),"")</f>
        <v/>
      </c>
      <c r="AP112" s="197">
        <f>IF(ISNUMBER(AP113),ROUND(AP111-AP113,1),"")</f>
        <v/>
      </c>
      <c r="AQ112" s="197">
        <f>IF(ISNUMBER(AQ113),ROUND(AQ111-AQ113,1),"")</f>
        <v/>
      </c>
      <c r="AR112" s="197">
        <f>IF(ISNUMBER(AR113),ROUND(AR111-AR113,1),"")</f>
        <v/>
      </c>
      <c r="AS112" s="197">
        <f>IF(ISNUMBER(AS113),ROUND(AS111-AS113,1),"")</f>
        <v/>
      </c>
      <c r="AT112" s="197">
        <f>IF(ISNUMBER(AT113),ROUND(AT111-AT113,1),"")</f>
        <v/>
      </c>
      <c r="AU112" s="197">
        <f>IF(ISNUMBER(AU113),ROUND(AU111-AU113,1),"")</f>
        <v/>
      </c>
      <c r="AV112" s="197">
        <f>IF(ISNUMBER(AV113),ROUND(AV111-AV113,1),"")</f>
        <v/>
      </c>
      <c r="AW112" s="197">
        <f>IF(ISNUMBER(AW113),ROUND(AW111-AW113,1),"")</f>
        <v/>
      </c>
      <c r="AX112" s="197">
        <f>IF(ISNUMBER(AX113),ROUND(AX111-AX113,1),"")</f>
        <v/>
      </c>
      <c r="AY112" s="197">
        <f>IF(ISNUMBER(AY113),ROUND(AY111-AY113,1),"")</f>
        <v/>
      </c>
      <c r="AZ112" s="197">
        <f>IF(ISNUMBER(AZ113),ROUND(AZ111-AZ113,1),"")</f>
        <v/>
      </c>
      <c r="BA112" s="197">
        <f>IF(ISNUMBER(BA113),ROUND(BA111-BA113,1),"")</f>
        <v/>
      </c>
      <c r="BB112" s="197">
        <f>IF(ISNUMBER(BB113),ROUND(BB111-BB113,1),"")</f>
        <v/>
      </c>
      <c r="BC112" s="197">
        <f>IF(ISNUMBER(BC113),ROUND(BC111-BC113,1),"")</f>
        <v/>
      </c>
      <c r="BD112" s="197">
        <f>IF(ISNUMBER(BD113),ROUND(BD111-BD113,1),"")</f>
        <v/>
      </c>
      <c r="BE112" s="197">
        <f>IF(ISNUMBER(BE113),ROUND(BE111-BE113,1),"")</f>
        <v/>
      </c>
      <c r="BF112" s="197">
        <f>IF(ISNUMBER(BF113),ROUND(BF111-BF113,1),"")</f>
        <v/>
      </c>
      <c r="BG112" s="197">
        <f>IF(ISNUMBER(BG113),ROUND(BG111-BG113,1),"")</f>
        <v/>
      </c>
      <c r="BH112" s="197">
        <f>IF(ISNUMBER(BH113),ROUND(BH111-BH113,1),"")</f>
        <v/>
      </c>
      <c r="BI112" s="197">
        <f>IF(ISNUMBER(BI113),ROUND(BI111-BI113,1),"")</f>
        <v/>
      </c>
      <c r="BJ112" s="197">
        <f>IF(ISNUMBER(BJ113),ROUND(BJ111-BJ113,1),"")</f>
        <v/>
      </c>
      <c r="BK112" s="197">
        <f>IF(ISNUMBER(BK113),ROUND(BK111-BK113,1),"")</f>
        <v/>
      </c>
      <c r="BL112" s="197">
        <f>IF(ISNUMBER(BL113),ROUND(BL111-BL113,1),"")</f>
        <v/>
      </c>
      <c r="BM112" s="197">
        <f>IF(ISNUMBER(BM113),ROUND(BM111-BM113,1),"")</f>
        <v/>
      </c>
      <c r="BN112" s="197">
        <f>IF(ISNUMBER(BN113),ROUND(BN111-BN113,1),"")</f>
        <v/>
      </c>
      <c r="BO112" s="197">
        <f>IF(ISNUMBER(BO113),ROUND(BO111-BO113,1),"")</f>
        <v/>
      </c>
      <c r="BP112" s="197">
        <f>IF(ISNUMBER(BP113),ROUND(BP111-BP113,1),"")</f>
        <v/>
      </c>
      <c r="BQ112" s="197">
        <f>IF(ISNUMBER(BQ113),ROUND(BQ111-BQ113,1),"")</f>
        <v/>
      </c>
      <c r="BR112" s="197">
        <f>IF(ISNUMBER(BR113),ROUND(BR111-BR113,1),"")</f>
        <v/>
      </c>
      <c r="BS112" s="197">
        <f>IF(ISNUMBER(BS113),ROUND(BS111-BS113,1),"")</f>
        <v/>
      </c>
      <c r="BT112" s="197">
        <f>IF(ISNUMBER(BT113),ROUND(BT111-BT113,1),"")</f>
        <v/>
      </c>
      <c r="BU112" s="197">
        <f>IF(ISNUMBER(BU113),ROUND(BU111-BU113,1),"")</f>
        <v/>
      </c>
      <c r="BV112" s="197">
        <f>IF(ISNUMBER(BV113),ROUND(BV111-BV113,1),"")</f>
        <v/>
      </c>
      <c r="BW112" s="197">
        <f>IF(ISNUMBER(BW113),ROUND(BW111-BW113,1),"")</f>
        <v/>
      </c>
      <c r="BX112" s="197">
        <f>IF(ISNUMBER(BX113),ROUND(BX111-BX113,1),"")</f>
        <v/>
      </c>
      <c r="BY112" s="6" t="n"/>
      <c r="BZ112" s="6" t="n"/>
      <c r="CA112" s="6" t="n"/>
      <c r="CB112" s="6" t="n"/>
      <c r="CC112" s="6" t="n"/>
      <c r="CD112" s="6" t="n"/>
      <c r="CE112" s="6" t="n"/>
      <c r="CF112" s="6" t="n"/>
    </row>
    <row r="113" ht="15" customHeight="1">
      <c r="B113" s="42" t="inlineStr">
        <is>
          <t xml:space="preserve">  Memo: total operating expenses as reported</t>
        </is>
      </c>
      <c r="C113" s="174" t="n">
        <v>1148.946</v>
      </c>
      <c r="D113" s="174" t="n">
        <v>1271.605</v>
      </c>
      <c r="E113" s="174" t="n">
        <v>1408.654</v>
      </c>
      <c r="F113" s="174" t="n">
        <v>1174.614</v>
      </c>
      <c r="G113" s="174" t="n">
        <v>1343.259</v>
      </c>
      <c r="H113" s="174" t="n">
        <v>1648.469</v>
      </c>
      <c r="I113" s="174" t="n">
        <v>1825.229</v>
      </c>
      <c r="J113" s="174" t="n">
        <v>466.631</v>
      </c>
      <c r="K113" s="174" t="n">
        <v>492.636</v>
      </c>
      <c r="L113" s="174" t="n">
        <v>518.3819999999999</v>
      </c>
      <c r="M113" s="174" t="n">
        <v>515.625</v>
      </c>
      <c r="N113" s="174" t="n">
        <v>1999.21</v>
      </c>
      <c r="O113" s="174" t="n">
        <v>540.224</v>
      </c>
      <c r="P113" s="174" t="n">
        <v>580.292</v>
      </c>
      <c r="Q113" s="174" t="n">
        <v>617.324</v>
      </c>
      <c r="R113" s="174" t="n">
        <v>608.75</v>
      </c>
      <c r="S113" s="174" t="n">
        <v>2346.59</v>
      </c>
      <c r="T113" s="174" t="n">
        <v>592.6799999999999</v>
      </c>
      <c r="U113" s="174" t="n">
        <v>621.252</v>
      </c>
      <c r="V113" s="174" t="n">
        <v>639.62</v>
      </c>
      <c r="W113" s="174" t="n">
        <v>620.65</v>
      </c>
      <c r="X113" s="174" t="n">
        <v>2474.202</v>
      </c>
      <c r="Y113" s="174" t="n">
        <v>608.1849999999999</v>
      </c>
      <c r="Z113" s="174" t="n">
        <v>621.999</v>
      </c>
      <c r="AA113" s="174" t="n">
        <v>645.207</v>
      </c>
      <c r="AB113" s="174" t="n">
        <v>632.2910000000001</v>
      </c>
      <c r="AC113" s="174" t="n">
        <v>2507.682</v>
      </c>
      <c r="AD113" s="174" t="n">
        <v>645.974</v>
      </c>
      <c r="AE113" s="174" t="n">
        <v>679.48</v>
      </c>
      <c r="AF113" s="174" t="n">
        <v>709.112</v>
      </c>
      <c r="AG113" s="174" t="n">
        <v>747.66</v>
      </c>
      <c r="AH113" s="174" t="n">
        <v>2782.226</v>
      </c>
      <c r="AI113" s="174" t="n">
        <v>775.6799999999999</v>
      </c>
      <c r="AJ113" s="174" t="n">
        <v>813.0170000000001</v>
      </c>
      <c r="AK113" s="174" t="n">
        <v>829.848</v>
      </c>
      <c r="AL113" s="174" t="n">
        <v>808.099</v>
      </c>
      <c r="AM113" s="174" t="n">
        <v>3226.644</v>
      </c>
      <c r="AN113" s="174" t="n">
        <v>812.356</v>
      </c>
      <c r="AO113" s="174" t="n">
        <v>826.177</v>
      </c>
      <c r="AP113" s="174" t="n">
        <v>830.9299999999999</v>
      </c>
      <c r="AQ113" s="174" t="n">
        <v>820.942</v>
      </c>
      <c r="AR113" s="174" t="n">
        <v>3290.405</v>
      </c>
      <c r="AS113" s="174" t="n">
        <v>804.194</v>
      </c>
      <c r="AT113" s="174" t="n">
        <v>697.044</v>
      </c>
      <c r="AU113" s="174" t="n">
        <v>787.922</v>
      </c>
      <c r="AV113" s="174" t="n">
        <v>819.087</v>
      </c>
      <c r="AW113" s="174" t="n">
        <v>3108.247</v>
      </c>
      <c r="AX113" s="174" t="n">
        <v>856.8579999999999</v>
      </c>
      <c r="AY113" s="174" t="n">
        <v>953.365</v>
      </c>
      <c r="AZ113" s="174" t="n">
        <v>1016.636</v>
      </c>
      <c r="BA113" s="174" t="n">
        <v>1037.867</v>
      </c>
      <c r="BB113" s="174" t="n">
        <v>3864.726</v>
      </c>
      <c r="BC113" s="174" t="n">
        <v>1091.662</v>
      </c>
      <c r="BD113" s="174" t="n">
        <v>1158.743</v>
      </c>
      <c r="BE113" s="174" t="n">
        <v>1107.61</v>
      </c>
      <c r="BF113" s="174" t="n">
        <v>1061.43</v>
      </c>
      <c r="BG113" s="174" t="n">
        <v>4419.445</v>
      </c>
      <c r="BH113" s="174" t="n">
        <v>1059.087</v>
      </c>
      <c r="BI113" s="174" t="n">
        <v>1021.595</v>
      </c>
      <c r="BJ113" s="174" t="n">
        <v>1070.258</v>
      </c>
      <c r="BK113" s="174" t="n">
        <v>1074.539</v>
      </c>
      <c r="BL113" s="174" t="n">
        <v>4225.479</v>
      </c>
      <c r="BM113" s="174" t="n">
        <v>1073.647</v>
      </c>
      <c r="BN113" s="174" t="n">
        <v>1077.006</v>
      </c>
      <c r="BO113" s="174" t="n">
        <v>1068.35</v>
      </c>
      <c r="BP113" s="174" t="n">
        <v>1051.809</v>
      </c>
      <c r="BQ113" s="174" t="n">
        <v>4270.812</v>
      </c>
      <c r="BR113" s="174" t="n">
        <v>1036.803</v>
      </c>
      <c r="BS113" s="174" t="n">
        <v>1049.829</v>
      </c>
      <c r="BT113" s="174" t="n">
        <v>1045.667</v>
      </c>
      <c r="BU113" s="174" t="n">
        <v>1003.045</v>
      </c>
      <c r="BV113" s="174" t="n">
        <v>4135.344</v>
      </c>
      <c r="BW113" s="174" t="n">
        <v>1017.355</v>
      </c>
      <c r="BX113" s="174" t="n">
        <v>1088.703</v>
      </c>
      <c r="BY113" s="6" t="n"/>
      <c r="BZ113" s="6" t="n"/>
      <c r="CA113" s="6" t="n"/>
      <c r="CB113" s="6" t="n"/>
      <c r="CC113" s="6" t="n"/>
      <c r="CD113" s="6" t="n"/>
      <c r="CE113" s="6" t="n"/>
      <c r="CF113" s="6" t="n"/>
    </row>
    <row r="114" ht="15" customHeight="1">
      <c r="B114" s="59" t="inlineStr">
        <is>
          <t>Operating income</t>
        </is>
      </c>
      <c r="C114" s="196">
        <f>IF(ISNUMBER(C100),C100-C111,"")</f>
        <v/>
      </c>
      <c r="D114" s="196">
        <f>IF(ISNUMBER(D100),D100-D111,"")</f>
        <v/>
      </c>
      <c r="E114" s="196">
        <f>IF(ISNUMBER(E100),E100-E111,"")</f>
        <v/>
      </c>
      <c r="F114" s="196">
        <f>IF(ISNUMBER(F100),F100-F111,"")</f>
        <v/>
      </c>
      <c r="G114" s="196">
        <f>IF(ISNUMBER(G100),G100-G111,"")</f>
        <v/>
      </c>
      <c r="H114" s="196">
        <f>IF(ISNUMBER(H100),H100-H111,"")</f>
        <v/>
      </c>
      <c r="I114" s="196">
        <f>IF(ISNUMBER(I100),I100-I111,"")</f>
        <v/>
      </c>
      <c r="J114" s="196">
        <f>IF(ISNUMBER(J100),J100-J111,"")</f>
        <v/>
      </c>
      <c r="K114" s="196">
        <f>IF(ISNUMBER(K100),K100-K111,"")</f>
        <v/>
      </c>
      <c r="L114" s="196">
        <f>IF(ISNUMBER(L100),L100-L111,"")</f>
        <v/>
      </c>
      <c r="M114" s="196">
        <f>IF(ISNUMBER(M100),M100-M111,"")</f>
        <v/>
      </c>
      <c r="N114" s="196">
        <f>IF(ISNUMBER(N100),N100-N111,"")</f>
        <v/>
      </c>
      <c r="O114" s="196">
        <f>IF(ISNUMBER(O100),O100-O111,"")</f>
        <v/>
      </c>
      <c r="P114" s="196">
        <f>IF(ISNUMBER(P100),P100-P111,"")</f>
        <v/>
      </c>
      <c r="Q114" s="196">
        <f>IF(ISNUMBER(Q100),Q100-Q111,"")</f>
        <v/>
      </c>
      <c r="R114" s="196">
        <f>IF(ISNUMBER(R100),R100-R111,"")</f>
        <v/>
      </c>
      <c r="S114" s="196">
        <f>IF(ISNUMBER(S100),S100-S111,"")</f>
        <v/>
      </c>
      <c r="T114" s="196">
        <f>IF(ISNUMBER(T100),T100-T111,"")</f>
        <v/>
      </c>
      <c r="U114" s="196">
        <f>IF(ISNUMBER(U100),U100-U111,"")</f>
        <v/>
      </c>
      <c r="V114" s="196">
        <f>IF(ISNUMBER(V100),V100-V111,"")</f>
        <v/>
      </c>
      <c r="W114" s="196">
        <f>IF(ISNUMBER(W100),W100-W111,"")</f>
        <v/>
      </c>
      <c r="X114" s="196">
        <f>IF(ISNUMBER(X100),X100-X111,"")</f>
        <v/>
      </c>
      <c r="Y114" s="196">
        <f>IF(ISNUMBER(Y100),Y100-Y111,"")</f>
        <v/>
      </c>
      <c r="Z114" s="196">
        <f>IF(ISNUMBER(Z100),Z100-Z111,"")</f>
        <v/>
      </c>
      <c r="AA114" s="196">
        <f>IF(ISNUMBER(AA100),AA100-AA111,"")</f>
        <v/>
      </c>
      <c r="AB114" s="196">
        <f>IF(ISNUMBER(AB100),AB100-AB111,"")</f>
        <v/>
      </c>
      <c r="AC114" s="196">
        <f>IF(ISNUMBER(AC100),AC100-AC111,"")</f>
        <v/>
      </c>
      <c r="AD114" s="196">
        <f>IF(ISNUMBER(AD100),AD100-AD111,"")</f>
        <v/>
      </c>
      <c r="AE114" s="196">
        <f>IF(ISNUMBER(AE100),AE100-AE111,"")</f>
        <v/>
      </c>
      <c r="AF114" s="196">
        <f>IF(ISNUMBER(AF100),AF100-AF111,"")</f>
        <v/>
      </c>
      <c r="AG114" s="196">
        <f>IF(ISNUMBER(AG100),AG100-AG111,"")</f>
        <v/>
      </c>
      <c r="AH114" s="196">
        <f>IF(ISNUMBER(AH100),AH100-AH111,"")</f>
        <v/>
      </c>
      <c r="AI114" s="196">
        <f>IF(ISNUMBER(AI100),AI100-AI111,"")</f>
        <v/>
      </c>
      <c r="AJ114" s="196">
        <f>IF(ISNUMBER(AJ100),AJ100-AJ111,"")</f>
        <v/>
      </c>
      <c r="AK114" s="196">
        <f>IF(ISNUMBER(AK100),AK100-AK111,"")</f>
        <v/>
      </c>
      <c r="AL114" s="196">
        <f>IF(ISNUMBER(AL100),AL100-AL111,"")</f>
        <v/>
      </c>
      <c r="AM114" s="196">
        <f>IF(ISNUMBER(AM100),AM100-AM111,"")</f>
        <v/>
      </c>
      <c r="AN114" s="196">
        <f>IF(ISNUMBER(AN100),AN100-AN111,"")</f>
        <v/>
      </c>
      <c r="AO114" s="196">
        <f>IF(ISNUMBER(AO100),AO100-AO111,"")</f>
        <v/>
      </c>
      <c r="AP114" s="196">
        <f>IF(ISNUMBER(AP100),AP100-AP111,"")</f>
        <v/>
      </c>
      <c r="AQ114" s="196">
        <f>IF(ISNUMBER(AQ100),AQ100-AQ111,"")</f>
        <v/>
      </c>
      <c r="AR114" s="196">
        <f>IF(ISNUMBER(AR100),AR100-AR111,"")</f>
        <v/>
      </c>
      <c r="AS114" s="196">
        <f>IF(ISNUMBER(AS100),AS100-AS111,"")</f>
        <v/>
      </c>
      <c r="AT114" s="196">
        <f>IF(ISNUMBER(AT100),AT100-AT111,"")</f>
        <v/>
      </c>
      <c r="AU114" s="196">
        <f>IF(ISNUMBER(AU100),AU100-AU111,"")</f>
        <v/>
      </c>
      <c r="AV114" s="196">
        <f>IF(ISNUMBER(AV100),AV100-AV111,"")</f>
        <v/>
      </c>
      <c r="AW114" s="196">
        <f>IF(ISNUMBER(AW100),AW100-AW111,"")</f>
        <v/>
      </c>
      <c r="AX114" s="196">
        <f>IF(ISNUMBER(AX100),AX100-AX111,"")</f>
        <v/>
      </c>
      <c r="AY114" s="196">
        <f>IF(ISNUMBER(AY100),AY100-AY111,"")</f>
        <v/>
      </c>
      <c r="AZ114" s="196">
        <f>IF(ISNUMBER(AZ100),AZ100-AZ111,"")</f>
        <v/>
      </c>
      <c r="BA114" s="196">
        <f>IF(ISNUMBER(BA100),BA100-BA111,"")</f>
        <v/>
      </c>
      <c r="BB114" s="196">
        <f>IF(ISNUMBER(BB100),BB100-BB111,"")</f>
        <v/>
      </c>
      <c r="BC114" s="196">
        <f>IF(ISNUMBER(BC100),BC100-BC111,"")</f>
        <v/>
      </c>
      <c r="BD114" s="196">
        <f>IF(ISNUMBER(BD100),BD100-BD111,"")</f>
        <v/>
      </c>
      <c r="BE114" s="196">
        <f>IF(ISNUMBER(BE100),BE100-BE111,"")</f>
        <v/>
      </c>
      <c r="BF114" s="196">
        <f>IF(ISNUMBER(BF100),BF100-BF111,"")</f>
        <v/>
      </c>
      <c r="BG114" s="196">
        <f>IF(ISNUMBER(BG100),BG100-BG111,"")</f>
        <v/>
      </c>
      <c r="BH114" s="196">
        <f>IF(ISNUMBER(BH100),BH100-BH111,"")</f>
        <v/>
      </c>
      <c r="BI114" s="196">
        <f>IF(ISNUMBER(BI100),BI100-BI111,"")</f>
        <v/>
      </c>
      <c r="BJ114" s="196">
        <f>IF(ISNUMBER(BJ100),BJ100-BJ111,"")</f>
        <v/>
      </c>
      <c r="BK114" s="196">
        <f>IF(ISNUMBER(BK100),BK100-BK111,"")</f>
        <v/>
      </c>
      <c r="BL114" s="196">
        <f>IF(ISNUMBER(BL100),BL100-BL111,"")</f>
        <v/>
      </c>
      <c r="BM114" s="196">
        <f>IF(ISNUMBER(BM100),BM100-BM111,"")</f>
        <v/>
      </c>
      <c r="BN114" s="196">
        <f>IF(ISNUMBER(BN100),BN100-BN111,"")</f>
        <v/>
      </c>
      <c r="BO114" s="196">
        <f>IF(ISNUMBER(BO100),BO100-BO111,"")</f>
        <v/>
      </c>
      <c r="BP114" s="196">
        <f>IF(ISNUMBER(BP100),BP100-BP111,"")</f>
        <v/>
      </c>
      <c r="BQ114" s="196">
        <f>IF(ISNUMBER(BQ100),BQ100-BQ111,"")</f>
        <v/>
      </c>
      <c r="BR114" s="196">
        <f>IF(ISNUMBER(BR100),BR100-BR111,"")</f>
        <v/>
      </c>
      <c r="BS114" s="196">
        <f>IF(ISNUMBER(BS100),BS100-BS111,"")</f>
        <v/>
      </c>
      <c r="BT114" s="196">
        <f>IF(ISNUMBER(BT100),BT100-BT111,"")</f>
        <v/>
      </c>
      <c r="BU114" s="196">
        <f>IF(ISNUMBER(BU100),BU100-BU111,"")</f>
        <v/>
      </c>
      <c r="BV114" s="196">
        <f>IF(ISNUMBER(BV100),BV100-BV111,"")</f>
        <v/>
      </c>
      <c r="BW114" s="196">
        <f>IF(ISNUMBER(BW100),BW100-BW111,"")</f>
        <v/>
      </c>
      <c r="BX114" s="196">
        <f>IF(ISNUMBER(BX100),BX100-BX111,"")</f>
        <v/>
      </c>
      <c r="BY114" s="196">
        <f>IF(ISNUMBER(BY100),BY100-BY111,"")</f>
        <v/>
      </c>
      <c r="BZ114" s="196">
        <f>IF(ISNUMBER(BZ100),BZ100-BZ111,"")</f>
        <v/>
      </c>
      <c r="CA114" s="196">
        <f>IF(ISNUMBER(CA100),CA100-CA111,"")</f>
        <v/>
      </c>
      <c r="CB114" s="196">
        <f>IF(ISNUMBER(CB100),CB100-CB111,"")</f>
        <v/>
      </c>
      <c r="CC114" s="196">
        <f>IF(ISNUMBER(CC100),CC100-CC111,"")</f>
        <v/>
      </c>
      <c r="CD114" s="196">
        <f>IF(ISNUMBER(CD100),CD100-CD111,"")</f>
        <v/>
      </c>
      <c r="CE114" s="196">
        <f>IF(ISNUMBER(CE100),CE100-CE111,"")</f>
        <v/>
      </c>
      <c r="CF114" s="6" t="n"/>
      <c r="CH114" s="21">
        <f>IFERROR((CE114/BV114)^(1/5)-1,"n/m")</f>
        <v/>
      </c>
      <c r="CI114" s="21">
        <f>IFERROR((BV114/AW114)^(1/5)-1,"n/m")</f>
        <v/>
      </c>
      <c r="CJ114" s="21">
        <f>IFERROR((BV114/X114)^(1/10)-1,"n/m")</f>
        <v/>
      </c>
      <c r="CK114" s="21">
        <f>IFERROR((BV114/C114)^(1/19)-1,"n/m")</f>
        <v/>
      </c>
    </row>
    <row r="115" ht="15" customHeight="1">
      <c r="B115" s="26" t="inlineStr">
        <is>
          <t xml:space="preserve">  Operating ratio %</t>
        </is>
      </c>
      <c r="C115" s="190">
        <f>IF(AND(ISNUMBER(C111),ISNUMBER(C100)),IFERROR(C111/C100,""),"")</f>
        <v/>
      </c>
      <c r="D115" s="190">
        <f>IF(AND(ISNUMBER(D111),ISNUMBER(D100)),IFERROR(D111/D100,""),"")</f>
        <v/>
      </c>
      <c r="E115" s="190">
        <f>IF(AND(ISNUMBER(E111),ISNUMBER(E100)),IFERROR(E111/E100,""),"")</f>
        <v/>
      </c>
      <c r="F115" s="190">
        <f>IF(AND(ISNUMBER(F111),ISNUMBER(F100)),IFERROR(F111/F100,""),"")</f>
        <v/>
      </c>
      <c r="G115" s="190">
        <f>IF(AND(ISNUMBER(G111),ISNUMBER(G100)),IFERROR(G111/G100,""),"")</f>
        <v/>
      </c>
      <c r="H115" s="190">
        <f>IF(AND(ISNUMBER(H111),ISNUMBER(H100)),IFERROR(H111/H100,""),"")</f>
        <v/>
      </c>
      <c r="I115" s="190">
        <f>IF(AND(ISNUMBER(I111),ISNUMBER(I100)),IFERROR(I111/I100,""),"")</f>
        <v/>
      </c>
      <c r="J115" s="190">
        <f>IF(AND(ISNUMBER(J111),ISNUMBER(J100)),IFERROR(J111/J100,""),"")</f>
        <v/>
      </c>
      <c r="K115" s="190">
        <f>IF(AND(ISNUMBER(K111),ISNUMBER(K100)),IFERROR(K111/K100,""),"")</f>
        <v/>
      </c>
      <c r="L115" s="190">
        <f>IF(AND(ISNUMBER(L111),ISNUMBER(L100)),IFERROR(L111/L100,""),"")</f>
        <v/>
      </c>
      <c r="M115" s="190">
        <f>IF(AND(ISNUMBER(M111),ISNUMBER(M100)),IFERROR(M111/M100,""),"")</f>
        <v/>
      </c>
      <c r="N115" s="190">
        <f>IF(AND(ISNUMBER(N111),ISNUMBER(N100)),IFERROR(N111/N100,""),"")</f>
        <v/>
      </c>
      <c r="O115" s="190">
        <f>IF(AND(ISNUMBER(O111),ISNUMBER(O100)),IFERROR(O111/O100,""),"")</f>
        <v/>
      </c>
      <c r="P115" s="190">
        <f>IF(AND(ISNUMBER(P111),ISNUMBER(P100)),IFERROR(P111/P100,""),"")</f>
        <v/>
      </c>
      <c r="Q115" s="190">
        <f>IF(AND(ISNUMBER(Q111),ISNUMBER(Q100)),IFERROR(Q111/Q100,""),"")</f>
        <v/>
      </c>
      <c r="R115" s="190">
        <f>IF(AND(ISNUMBER(R111),ISNUMBER(R100)),IFERROR(R111/R100,""),"")</f>
        <v/>
      </c>
      <c r="S115" s="190">
        <f>IF(AND(ISNUMBER(S111),ISNUMBER(S100)),IFERROR(S111/S100,""),"")</f>
        <v/>
      </c>
      <c r="T115" s="190">
        <f>IF(AND(ISNUMBER(T111),ISNUMBER(T100)),IFERROR(T111/T100,""),"")</f>
        <v/>
      </c>
      <c r="U115" s="190">
        <f>IF(AND(ISNUMBER(U111),ISNUMBER(U100)),IFERROR(U111/U100,""),"")</f>
        <v/>
      </c>
      <c r="V115" s="190">
        <f>IF(AND(ISNUMBER(V111),ISNUMBER(V100)),IFERROR(V111/V100,""),"")</f>
        <v/>
      </c>
      <c r="W115" s="190">
        <f>IF(AND(ISNUMBER(W111),ISNUMBER(W100)),IFERROR(W111/W100,""),"")</f>
        <v/>
      </c>
      <c r="X115" s="190">
        <f>IF(AND(ISNUMBER(X111),ISNUMBER(X100)),IFERROR(X111/X100,""),"")</f>
        <v/>
      </c>
      <c r="Y115" s="190">
        <f>IF(AND(ISNUMBER(Y111),ISNUMBER(Y100)),IFERROR(Y111/Y100,""),"")</f>
        <v/>
      </c>
      <c r="Z115" s="190">
        <f>IF(AND(ISNUMBER(Z111),ISNUMBER(Z100)),IFERROR(Z111/Z100,""),"")</f>
        <v/>
      </c>
      <c r="AA115" s="190">
        <f>IF(AND(ISNUMBER(AA111),ISNUMBER(AA100)),IFERROR(AA111/AA100,""),"")</f>
        <v/>
      </c>
      <c r="AB115" s="190">
        <f>IF(AND(ISNUMBER(AB111),ISNUMBER(AB100)),IFERROR(AB111/AB100,""),"")</f>
        <v/>
      </c>
      <c r="AC115" s="190">
        <f>IF(AND(ISNUMBER(AC111),ISNUMBER(AC100)),IFERROR(AC111/AC100,""),"")</f>
        <v/>
      </c>
      <c r="AD115" s="190">
        <f>IF(AND(ISNUMBER(AD111),ISNUMBER(AD100)),IFERROR(AD111/AD100,""),"")</f>
        <v/>
      </c>
      <c r="AE115" s="190">
        <f>IF(AND(ISNUMBER(AE111),ISNUMBER(AE100)),IFERROR(AE111/AE100,""),"")</f>
        <v/>
      </c>
      <c r="AF115" s="190">
        <f>IF(AND(ISNUMBER(AF111),ISNUMBER(AF100)),IFERROR(AF111/AF100,""),"")</f>
        <v/>
      </c>
      <c r="AG115" s="190">
        <f>IF(AND(ISNUMBER(AG111),ISNUMBER(AG100)),IFERROR(AG111/AG100,""),"")</f>
        <v/>
      </c>
      <c r="AH115" s="190">
        <f>IF(AND(ISNUMBER(AH111),ISNUMBER(AH100)),IFERROR(AH111/AH100,""),"")</f>
        <v/>
      </c>
      <c r="AI115" s="190">
        <f>IF(AND(ISNUMBER(AI111),ISNUMBER(AI100)),IFERROR(AI111/AI100,""),"")</f>
        <v/>
      </c>
      <c r="AJ115" s="190">
        <f>IF(AND(ISNUMBER(AJ111),ISNUMBER(AJ100)),IFERROR(AJ111/AJ100,""),"")</f>
        <v/>
      </c>
      <c r="AK115" s="190">
        <f>IF(AND(ISNUMBER(AK111),ISNUMBER(AK100)),IFERROR(AK111/AK100,""),"")</f>
        <v/>
      </c>
      <c r="AL115" s="190">
        <f>IF(AND(ISNUMBER(AL111),ISNUMBER(AL100)),IFERROR(AL111/AL100,""),"")</f>
        <v/>
      </c>
      <c r="AM115" s="190">
        <f>IF(AND(ISNUMBER(AM111),ISNUMBER(AM100)),IFERROR(AM111/AM100,""),"")</f>
        <v/>
      </c>
      <c r="AN115" s="190">
        <f>IF(AND(ISNUMBER(AN111),ISNUMBER(AN100)),IFERROR(AN111/AN100,""),"")</f>
        <v/>
      </c>
      <c r="AO115" s="190">
        <f>IF(AND(ISNUMBER(AO111),ISNUMBER(AO100)),IFERROR(AO111/AO100,""),"")</f>
        <v/>
      </c>
      <c r="AP115" s="190">
        <f>IF(AND(ISNUMBER(AP111),ISNUMBER(AP100)),IFERROR(AP111/AP100,""),"")</f>
        <v/>
      </c>
      <c r="AQ115" s="190">
        <f>IF(AND(ISNUMBER(AQ111),ISNUMBER(AQ100)),IFERROR(AQ111/AQ100,""),"")</f>
        <v/>
      </c>
      <c r="AR115" s="190">
        <f>IF(AND(ISNUMBER(AR111),ISNUMBER(AR100)),IFERROR(AR111/AR100,""),"")</f>
        <v/>
      </c>
      <c r="AS115" s="190">
        <f>IF(AND(ISNUMBER(AS111),ISNUMBER(AS100)),IFERROR(AS111/AS100,""),"")</f>
        <v/>
      </c>
      <c r="AT115" s="190">
        <f>IF(AND(ISNUMBER(AT111),ISNUMBER(AT100)),IFERROR(AT111/AT100,""),"")</f>
        <v/>
      </c>
      <c r="AU115" s="190">
        <f>IF(AND(ISNUMBER(AU111),ISNUMBER(AU100)),IFERROR(AU111/AU100,""),"")</f>
        <v/>
      </c>
      <c r="AV115" s="190">
        <f>IF(AND(ISNUMBER(AV111),ISNUMBER(AV100)),IFERROR(AV111/AV100,""),"")</f>
        <v/>
      </c>
      <c r="AW115" s="190">
        <f>IF(AND(ISNUMBER(AW111),ISNUMBER(AW100)),IFERROR(AW111/AW100,""),"")</f>
        <v/>
      </c>
      <c r="AX115" s="190">
        <f>IF(AND(ISNUMBER(AX111),ISNUMBER(AX100)),IFERROR(AX111/AX100,""),"")</f>
        <v/>
      </c>
      <c r="AY115" s="190">
        <f>IF(AND(ISNUMBER(AY111),ISNUMBER(AY100)),IFERROR(AY111/AY100,""),"")</f>
        <v/>
      </c>
      <c r="AZ115" s="190">
        <f>IF(AND(ISNUMBER(AZ111),ISNUMBER(AZ100)),IFERROR(AZ111/AZ100,""),"")</f>
        <v/>
      </c>
      <c r="BA115" s="190">
        <f>IF(AND(ISNUMBER(BA111),ISNUMBER(BA100)),IFERROR(BA111/BA100,""),"")</f>
        <v/>
      </c>
      <c r="BB115" s="190">
        <f>IF(AND(ISNUMBER(BB111),ISNUMBER(BB100)),IFERROR(BB111/BB100,""),"")</f>
        <v/>
      </c>
      <c r="BC115" s="190">
        <f>IF(AND(ISNUMBER(BC111),ISNUMBER(BC100)),IFERROR(BC111/BC100,""),"")</f>
        <v/>
      </c>
      <c r="BD115" s="190">
        <f>IF(AND(ISNUMBER(BD111),ISNUMBER(BD100)),IFERROR(BD111/BD100,""),"")</f>
        <v/>
      </c>
      <c r="BE115" s="190">
        <f>IF(AND(ISNUMBER(BE111),ISNUMBER(BE100)),IFERROR(BE111/BE100,""),"")</f>
        <v/>
      </c>
      <c r="BF115" s="190">
        <f>IF(AND(ISNUMBER(BF111),ISNUMBER(BF100)),IFERROR(BF111/BF100,""),"")</f>
        <v/>
      </c>
      <c r="BG115" s="190">
        <f>IF(AND(ISNUMBER(BG111),ISNUMBER(BG100)),IFERROR(BG111/BG100,""),"")</f>
        <v/>
      </c>
      <c r="BH115" s="190">
        <f>IF(AND(ISNUMBER(BH111),ISNUMBER(BH100)),IFERROR(BH111/BH100,""),"")</f>
        <v/>
      </c>
      <c r="BI115" s="190">
        <f>IF(AND(ISNUMBER(BI111),ISNUMBER(BI100)),IFERROR(BI111/BI100,""),"")</f>
        <v/>
      </c>
      <c r="BJ115" s="190">
        <f>IF(AND(ISNUMBER(BJ111),ISNUMBER(BJ100)),IFERROR(BJ111/BJ100,""),"")</f>
        <v/>
      </c>
      <c r="BK115" s="190">
        <f>IF(AND(ISNUMBER(BK111),ISNUMBER(BK100)),IFERROR(BK111/BK100,""),"")</f>
        <v/>
      </c>
      <c r="BL115" s="190">
        <f>IF(AND(ISNUMBER(BL111),ISNUMBER(BL100)),IFERROR(BL111/BL100,""),"")</f>
        <v/>
      </c>
      <c r="BM115" s="190">
        <f>IF(AND(ISNUMBER(BM111),ISNUMBER(BM100)),IFERROR(BM111/BM100,""),"")</f>
        <v/>
      </c>
      <c r="BN115" s="190">
        <f>IF(AND(ISNUMBER(BN111),ISNUMBER(BN100)),IFERROR(BN111/BN100,""),"")</f>
        <v/>
      </c>
      <c r="BO115" s="190">
        <f>IF(AND(ISNUMBER(BO111),ISNUMBER(BO100)),IFERROR(BO111/BO100,""),"")</f>
        <v/>
      </c>
      <c r="BP115" s="190">
        <f>IF(AND(ISNUMBER(BP111),ISNUMBER(BP100)),IFERROR(BP111/BP100,""),"")</f>
        <v/>
      </c>
      <c r="BQ115" s="190">
        <f>IF(AND(ISNUMBER(BQ111),ISNUMBER(BQ100)),IFERROR(BQ111/BQ100,""),"")</f>
        <v/>
      </c>
      <c r="BR115" s="190">
        <f>IF(AND(ISNUMBER(BR111),ISNUMBER(BR100)),IFERROR(BR111/BR100,""),"")</f>
        <v/>
      </c>
      <c r="BS115" s="190">
        <f>IF(AND(ISNUMBER(BS111),ISNUMBER(BS100)),IFERROR(BS111/BS100,""),"")</f>
        <v/>
      </c>
      <c r="BT115" s="190">
        <f>IF(AND(ISNUMBER(BT111),ISNUMBER(BT100)),IFERROR(BT111/BT100,""),"")</f>
        <v/>
      </c>
      <c r="BU115" s="190">
        <f>IF(AND(ISNUMBER(BU111),ISNUMBER(BU100)),IFERROR(BU111/BU100,""),"")</f>
        <v/>
      </c>
      <c r="BV115" s="190">
        <f>IF(AND(ISNUMBER(BV111),ISNUMBER(BV100)),IFERROR(BV111/BV100,""),"")</f>
        <v/>
      </c>
      <c r="BW115" s="190">
        <f>IF(AND(ISNUMBER(BW111),ISNUMBER(BW100)),IFERROR(BW111/BW100,""),"")</f>
        <v/>
      </c>
      <c r="BX115" s="190">
        <f>IF(AND(ISNUMBER(BX111),ISNUMBER(BX100)),IFERROR(BX111/BX100,""),"")</f>
        <v/>
      </c>
      <c r="BY115" s="181">
        <f>IF(AND(ISNUMBER(BY111),ISNUMBER(BY100)),IFERROR(BY111/BY100,""),"")</f>
        <v/>
      </c>
      <c r="BZ115" s="181">
        <f>IF(AND(ISNUMBER(BZ111),ISNUMBER(BZ100)),IFERROR(BZ111/BZ100,""),"")</f>
        <v/>
      </c>
      <c r="CA115" s="181">
        <f>IF(AND(ISNUMBER(CA111),ISNUMBER(CA100)),IFERROR(CA111/CA100,""),"")</f>
        <v/>
      </c>
      <c r="CB115" s="181">
        <f>IF(AND(ISNUMBER(CB111),ISNUMBER(CB100)),IFERROR(CB111/CB100,""),"")</f>
        <v/>
      </c>
      <c r="CC115" s="181">
        <f>IF(AND(ISNUMBER(CC111),ISNUMBER(CC100)),IFERROR(CC111/CC100,""),"")</f>
        <v/>
      </c>
      <c r="CD115" s="181">
        <f>IF(AND(ISNUMBER(CD111),ISNUMBER(CD100)),IFERROR(CD111/CD100,""),"")</f>
        <v/>
      </c>
      <c r="CE115" s="181">
        <f>IF(AND(ISNUMBER(CE111),ISNUMBER(CE100)),IFERROR(CE111/CE100,""),"")</f>
        <v/>
      </c>
      <c r="CF115" s="6" t="n"/>
      <c r="CH115" s="39">
        <f>IFERROR(AVERAGE(CA115,CB115,CC115,CD115,CE115),"n/m")</f>
        <v/>
      </c>
      <c r="CI115" s="39">
        <f>IFERROR(AVERAGE(BB115,BG115,BL115,BQ115,BV115),"n/m")</f>
        <v/>
      </c>
      <c r="CJ115" s="39">
        <f>IFERROR(AVERAGE(AC115,AH115,AM115,AR115,AW115,BB115,BG115,BL115,BQ115,BV115),"n/m")</f>
        <v/>
      </c>
      <c r="CK115" s="39">
        <f>IFERROR(AVERAGE(C115,D115,E115,F115,G115,H115,I115,N115,S115,X115,AC115,AH115,AM115,AR115,AW115,BB115,BG115,BL115,BQ115,BV115),"n/m")</f>
        <v/>
      </c>
    </row>
    <row r="116" ht="15" customHeight="1">
      <c r="B116" s="26" t="inlineStr">
        <is>
          <t xml:space="preserve">  Operating margin %</t>
        </is>
      </c>
      <c r="C116" s="190">
        <f>IF(AND(ISNUMBER(C114),ISNUMBER(C100)),IFERROR(C114/C100,""),"")</f>
        <v/>
      </c>
      <c r="D116" s="190">
        <f>IF(AND(ISNUMBER(D114),ISNUMBER(D100)),IFERROR(D114/D100,""),"")</f>
        <v/>
      </c>
      <c r="E116" s="190">
        <f>IF(AND(ISNUMBER(E114),ISNUMBER(E100)),IFERROR(E114/E100,""),"")</f>
        <v/>
      </c>
      <c r="F116" s="190">
        <f>IF(AND(ISNUMBER(F114),ISNUMBER(F100)),IFERROR(F114/F100,""),"")</f>
        <v/>
      </c>
      <c r="G116" s="190">
        <f>IF(AND(ISNUMBER(G114),ISNUMBER(G100)),IFERROR(G114/G100,""),"")</f>
        <v/>
      </c>
      <c r="H116" s="190">
        <f>IF(AND(ISNUMBER(H114),ISNUMBER(H100)),IFERROR(H114/H100,""),"")</f>
        <v/>
      </c>
      <c r="I116" s="190">
        <f>IF(AND(ISNUMBER(I114),ISNUMBER(I100)),IFERROR(I114/I100,""),"")</f>
        <v/>
      </c>
      <c r="J116" s="190">
        <f>IF(AND(ISNUMBER(J114),ISNUMBER(J100)),IFERROR(J114/J100,""),"")</f>
        <v/>
      </c>
      <c r="K116" s="190">
        <f>IF(AND(ISNUMBER(K114),ISNUMBER(K100)),IFERROR(K114/K100,""),"")</f>
        <v/>
      </c>
      <c r="L116" s="190">
        <f>IF(AND(ISNUMBER(L114),ISNUMBER(L100)),IFERROR(L114/L100,""),"")</f>
        <v/>
      </c>
      <c r="M116" s="190">
        <f>IF(AND(ISNUMBER(M114),ISNUMBER(M100)),IFERROR(M114/M100,""),"")</f>
        <v/>
      </c>
      <c r="N116" s="190">
        <f>IF(AND(ISNUMBER(N114),ISNUMBER(N100)),IFERROR(N114/N100,""),"")</f>
        <v/>
      </c>
      <c r="O116" s="190">
        <f>IF(AND(ISNUMBER(O114),ISNUMBER(O100)),IFERROR(O114/O100,""),"")</f>
        <v/>
      </c>
      <c r="P116" s="190">
        <f>IF(AND(ISNUMBER(P114),ISNUMBER(P100)),IFERROR(P114/P100,""),"")</f>
        <v/>
      </c>
      <c r="Q116" s="190">
        <f>IF(AND(ISNUMBER(Q114),ISNUMBER(Q100)),IFERROR(Q114/Q100,""),"")</f>
        <v/>
      </c>
      <c r="R116" s="190">
        <f>IF(AND(ISNUMBER(R114),ISNUMBER(R100)),IFERROR(R114/R100,""),"")</f>
        <v/>
      </c>
      <c r="S116" s="190">
        <f>IF(AND(ISNUMBER(S114),ISNUMBER(S100)),IFERROR(S114/S100,""),"")</f>
        <v/>
      </c>
      <c r="T116" s="190">
        <f>IF(AND(ISNUMBER(T114),ISNUMBER(T100)),IFERROR(T114/T100,""),"")</f>
        <v/>
      </c>
      <c r="U116" s="190">
        <f>IF(AND(ISNUMBER(U114),ISNUMBER(U100)),IFERROR(U114/U100,""),"")</f>
        <v/>
      </c>
      <c r="V116" s="190">
        <f>IF(AND(ISNUMBER(V114),ISNUMBER(V100)),IFERROR(V114/V100,""),"")</f>
        <v/>
      </c>
      <c r="W116" s="190">
        <f>IF(AND(ISNUMBER(W114),ISNUMBER(W100)),IFERROR(W114/W100,""),"")</f>
        <v/>
      </c>
      <c r="X116" s="190">
        <f>IF(AND(ISNUMBER(X114),ISNUMBER(X100)),IFERROR(X114/X100,""),"")</f>
        <v/>
      </c>
      <c r="Y116" s="190">
        <f>IF(AND(ISNUMBER(Y114),ISNUMBER(Y100)),IFERROR(Y114/Y100,""),"")</f>
        <v/>
      </c>
      <c r="Z116" s="190">
        <f>IF(AND(ISNUMBER(Z114),ISNUMBER(Z100)),IFERROR(Z114/Z100,""),"")</f>
        <v/>
      </c>
      <c r="AA116" s="190">
        <f>IF(AND(ISNUMBER(AA114),ISNUMBER(AA100)),IFERROR(AA114/AA100,""),"")</f>
        <v/>
      </c>
      <c r="AB116" s="190">
        <f>IF(AND(ISNUMBER(AB114),ISNUMBER(AB100)),IFERROR(AB114/AB100,""),"")</f>
        <v/>
      </c>
      <c r="AC116" s="190">
        <f>IF(AND(ISNUMBER(AC114),ISNUMBER(AC100)),IFERROR(AC114/AC100,""),"")</f>
        <v/>
      </c>
      <c r="AD116" s="190">
        <f>IF(AND(ISNUMBER(AD114),ISNUMBER(AD100)),IFERROR(AD114/AD100,""),"")</f>
        <v/>
      </c>
      <c r="AE116" s="190">
        <f>IF(AND(ISNUMBER(AE114),ISNUMBER(AE100)),IFERROR(AE114/AE100,""),"")</f>
        <v/>
      </c>
      <c r="AF116" s="190">
        <f>IF(AND(ISNUMBER(AF114),ISNUMBER(AF100)),IFERROR(AF114/AF100,""),"")</f>
        <v/>
      </c>
      <c r="AG116" s="190">
        <f>IF(AND(ISNUMBER(AG114),ISNUMBER(AG100)),IFERROR(AG114/AG100,""),"")</f>
        <v/>
      </c>
      <c r="AH116" s="190">
        <f>IF(AND(ISNUMBER(AH114),ISNUMBER(AH100)),IFERROR(AH114/AH100,""),"")</f>
        <v/>
      </c>
      <c r="AI116" s="190">
        <f>IF(AND(ISNUMBER(AI114),ISNUMBER(AI100)),IFERROR(AI114/AI100,""),"")</f>
        <v/>
      </c>
      <c r="AJ116" s="190">
        <f>IF(AND(ISNUMBER(AJ114),ISNUMBER(AJ100)),IFERROR(AJ114/AJ100,""),"")</f>
        <v/>
      </c>
      <c r="AK116" s="190">
        <f>IF(AND(ISNUMBER(AK114),ISNUMBER(AK100)),IFERROR(AK114/AK100,""),"")</f>
        <v/>
      </c>
      <c r="AL116" s="190">
        <f>IF(AND(ISNUMBER(AL114),ISNUMBER(AL100)),IFERROR(AL114/AL100,""),"")</f>
        <v/>
      </c>
      <c r="AM116" s="190">
        <f>IF(AND(ISNUMBER(AM114),ISNUMBER(AM100)),IFERROR(AM114/AM100,""),"")</f>
        <v/>
      </c>
      <c r="AN116" s="190">
        <f>IF(AND(ISNUMBER(AN114),ISNUMBER(AN100)),IFERROR(AN114/AN100,""),"")</f>
        <v/>
      </c>
      <c r="AO116" s="190">
        <f>IF(AND(ISNUMBER(AO114),ISNUMBER(AO100)),IFERROR(AO114/AO100,""),"")</f>
        <v/>
      </c>
      <c r="AP116" s="190">
        <f>IF(AND(ISNUMBER(AP114),ISNUMBER(AP100)),IFERROR(AP114/AP100,""),"")</f>
        <v/>
      </c>
      <c r="AQ116" s="190">
        <f>IF(AND(ISNUMBER(AQ114),ISNUMBER(AQ100)),IFERROR(AQ114/AQ100,""),"")</f>
        <v/>
      </c>
      <c r="AR116" s="190">
        <f>IF(AND(ISNUMBER(AR114),ISNUMBER(AR100)),IFERROR(AR114/AR100,""),"")</f>
        <v/>
      </c>
      <c r="AS116" s="190">
        <f>IF(AND(ISNUMBER(AS114),ISNUMBER(AS100)),IFERROR(AS114/AS100,""),"")</f>
        <v/>
      </c>
      <c r="AT116" s="190">
        <f>IF(AND(ISNUMBER(AT114),ISNUMBER(AT100)),IFERROR(AT114/AT100,""),"")</f>
        <v/>
      </c>
      <c r="AU116" s="190">
        <f>IF(AND(ISNUMBER(AU114),ISNUMBER(AU100)),IFERROR(AU114/AU100,""),"")</f>
        <v/>
      </c>
      <c r="AV116" s="190">
        <f>IF(AND(ISNUMBER(AV114),ISNUMBER(AV100)),IFERROR(AV114/AV100,""),"")</f>
        <v/>
      </c>
      <c r="AW116" s="190">
        <f>IF(AND(ISNUMBER(AW114),ISNUMBER(AW100)),IFERROR(AW114/AW100,""),"")</f>
        <v/>
      </c>
      <c r="AX116" s="190">
        <f>IF(AND(ISNUMBER(AX114),ISNUMBER(AX100)),IFERROR(AX114/AX100,""),"")</f>
        <v/>
      </c>
      <c r="AY116" s="190">
        <f>IF(AND(ISNUMBER(AY114),ISNUMBER(AY100)),IFERROR(AY114/AY100,""),"")</f>
        <v/>
      </c>
      <c r="AZ116" s="190">
        <f>IF(AND(ISNUMBER(AZ114),ISNUMBER(AZ100)),IFERROR(AZ114/AZ100,""),"")</f>
        <v/>
      </c>
      <c r="BA116" s="190">
        <f>IF(AND(ISNUMBER(BA114),ISNUMBER(BA100)),IFERROR(BA114/BA100,""),"")</f>
        <v/>
      </c>
      <c r="BB116" s="190">
        <f>IF(AND(ISNUMBER(BB114),ISNUMBER(BB100)),IFERROR(BB114/BB100,""),"")</f>
        <v/>
      </c>
      <c r="BC116" s="190">
        <f>IF(AND(ISNUMBER(BC114),ISNUMBER(BC100)),IFERROR(BC114/BC100,""),"")</f>
        <v/>
      </c>
      <c r="BD116" s="190">
        <f>IF(AND(ISNUMBER(BD114),ISNUMBER(BD100)),IFERROR(BD114/BD100,""),"")</f>
        <v/>
      </c>
      <c r="BE116" s="190">
        <f>IF(AND(ISNUMBER(BE114),ISNUMBER(BE100)),IFERROR(BE114/BE100,""),"")</f>
        <v/>
      </c>
      <c r="BF116" s="190">
        <f>IF(AND(ISNUMBER(BF114),ISNUMBER(BF100)),IFERROR(BF114/BF100,""),"")</f>
        <v/>
      </c>
      <c r="BG116" s="190">
        <f>IF(AND(ISNUMBER(BG114),ISNUMBER(BG100)),IFERROR(BG114/BG100,""),"")</f>
        <v/>
      </c>
      <c r="BH116" s="190">
        <f>IF(AND(ISNUMBER(BH114),ISNUMBER(BH100)),IFERROR(BH114/BH100,""),"")</f>
        <v/>
      </c>
      <c r="BI116" s="190">
        <f>IF(AND(ISNUMBER(BI114),ISNUMBER(BI100)),IFERROR(BI114/BI100,""),"")</f>
        <v/>
      </c>
      <c r="BJ116" s="190">
        <f>IF(AND(ISNUMBER(BJ114),ISNUMBER(BJ100)),IFERROR(BJ114/BJ100,""),"")</f>
        <v/>
      </c>
      <c r="BK116" s="190">
        <f>IF(AND(ISNUMBER(BK114),ISNUMBER(BK100)),IFERROR(BK114/BK100,""),"")</f>
        <v/>
      </c>
      <c r="BL116" s="190">
        <f>IF(AND(ISNUMBER(BL114),ISNUMBER(BL100)),IFERROR(BL114/BL100,""),"")</f>
        <v/>
      </c>
      <c r="BM116" s="190">
        <f>IF(AND(ISNUMBER(BM114),ISNUMBER(BM100)),IFERROR(BM114/BM100,""),"")</f>
        <v/>
      </c>
      <c r="BN116" s="190">
        <f>IF(AND(ISNUMBER(BN114),ISNUMBER(BN100)),IFERROR(BN114/BN100,""),"")</f>
        <v/>
      </c>
      <c r="BO116" s="190">
        <f>IF(AND(ISNUMBER(BO114),ISNUMBER(BO100)),IFERROR(BO114/BO100,""),"")</f>
        <v/>
      </c>
      <c r="BP116" s="190">
        <f>IF(AND(ISNUMBER(BP114),ISNUMBER(BP100)),IFERROR(BP114/BP100,""),"")</f>
        <v/>
      </c>
      <c r="BQ116" s="190">
        <f>IF(AND(ISNUMBER(BQ114),ISNUMBER(BQ100)),IFERROR(BQ114/BQ100,""),"")</f>
        <v/>
      </c>
      <c r="BR116" s="190">
        <f>IF(AND(ISNUMBER(BR114),ISNUMBER(BR100)),IFERROR(BR114/BR100,""),"")</f>
        <v/>
      </c>
      <c r="BS116" s="190">
        <f>IF(AND(ISNUMBER(BS114),ISNUMBER(BS100)),IFERROR(BS114/BS100,""),"")</f>
        <v/>
      </c>
      <c r="BT116" s="190">
        <f>IF(AND(ISNUMBER(BT114),ISNUMBER(BT100)),IFERROR(BT114/BT100,""),"")</f>
        <v/>
      </c>
      <c r="BU116" s="190">
        <f>IF(AND(ISNUMBER(BU114),ISNUMBER(BU100)),IFERROR(BU114/BU100,""),"")</f>
        <v/>
      </c>
      <c r="BV116" s="190">
        <f>IF(AND(ISNUMBER(BV114),ISNUMBER(BV100)),IFERROR(BV114/BV100,""),"")</f>
        <v/>
      </c>
      <c r="BW116" s="190">
        <f>IF(AND(ISNUMBER(BW114),ISNUMBER(BW100)),IFERROR(BW114/BW100,""),"")</f>
        <v/>
      </c>
      <c r="BX116" s="190">
        <f>IF(AND(ISNUMBER(BX114),ISNUMBER(BX100)),IFERROR(BX114/BX100,""),"")</f>
        <v/>
      </c>
      <c r="BY116" s="181">
        <f>IF(AND(ISNUMBER(BY114),ISNUMBER(BY100)),IFERROR(BY114/BY100,""),"")</f>
        <v/>
      </c>
      <c r="BZ116" s="181">
        <f>IF(AND(ISNUMBER(BZ114),ISNUMBER(BZ100)),IFERROR(BZ114/BZ100,""),"")</f>
        <v/>
      </c>
      <c r="CA116" s="181">
        <f>IF(AND(ISNUMBER(CA114),ISNUMBER(CA100)),IFERROR(CA114/CA100,""),"")</f>
        <v/>
      </c>
      <c r="CB116" s="181">
        <f>IF(AND(ISNUMBER(CB114),ISNUMBER(CB100)),IFERROR(CB114/CB100,""),"")</f>
        <v/>
      </c>
      <c r="CC116" s="181">
        <f>IF(AND(ISNUMBER(CC114),ISNUMBER(CC100)),IFERROR(CC114/CC100,""),"")</f>
        <v/>
      </c>
      <c r="CD116" s="181">
        <f>IF(AND(ISNUMBER(CD114),ISNUMBER(CD100)),IFERROR(CD114/CD100,""),"")</f>
        <v/>
      </c>
      <c r="CE116" s="181">
        <f>IF(AND(ISNUMBER(CE114),ISNUMBER(CE100)),IFERROR(CE114/CE100,""),"")</f>
        <v/>
      </c>
      <c r="CF116" s="6" t="n"/>
      <c r="CH116" s="39">
        <f>IFERROR(AVERAGE(CA116,CB116,CC116,CD116,CE116),"n/m")</f>
        <v/>
      </c>
      <c r="CI116" s="39">
        <f>IFERROR(AVERAGE(BB116,BG116,BL116,BQ116,BV116),"n/m")</f>
        <v/>
      </c>
      <c r="CJ116" s="39">
        <f>IFERROR(AVERAGE(AC116,AH116,AM116,AR116,AW116,BB116,BG116,BL116,BQ116,BV116),"n/m")</f>
        <v/>
      </c>
      <c r="CK116" s="39">
        <f>IFERROR(AVERAGE(C116,D116,E116,F116,G116,H116,I116,N116,S116,X116,AC116,AH116,AM116,AR116,AW116,BB116,BG116,BL116,BQ116,BV116),"n/m")</f>
        <v/>
      </c>
    </row>
    <row r="117" ht="15" customHeight="1">
      <c r="B117" s="26" t="inlineStr">
        <is>
          <t>Interest expense (income), net</t>
        </is>
      </c>
      <c r="C117" s="174" t="n">
        <v>10.206</v>
      </c>
      <c r="D117" s="174" t="n">
        <v>12.96</v>
      </c>
      <c r="E117" s="174" t="n">
        <v>13.012</v>
      </c>
      <c r="F117" s="174" t="n">
        <v>12.998</v>
      </c>
      <c r="G117" s="174" t="n">
        <v>12.465</v>
      </c>
      <c r="H117" s="174" t="n">
        <v>13.887</v>
      </c>
      <c r="I117" s="174" t="n">
        <v>11.428</v>
      </c>
      <c r="J117" s="174" t="n">
        <v>2.386</v>
      </c>
      <c r="K117" s="174" t="n">
        <v>2.361</v>
      </c>
      <c r="L117" s="174" t="n">
        <v>2.434</v>
      </c>
      <c r="M117" s="174" t="n">
        <v>2.292</v>
      </c>
      <c r="N117" s="174" t="n">
        <v>9.473000000000001</v>
      </c>
      <c r="O117" s="174" t="n">
        <v>2.043</v>
      </c>
      <c r="P117" s="174" t="n">
        <v>1.596</v>
      </c>
      <c r="Q117" s="174" t="n">
        <v>1.444</v>
      </c>
      <c r="R117" s="174" t="n">
        <v>1.419</v>
      </c>
      <c r="S117" s="174" t="n">
        <v>6.502</v>
      </c>
      <c r="T117" s="174" t="n">
        <v>1.498</v>
      </c>
      <c r="U117" s="174" t="n">
        <v>1.086</v>
      </c>
      <c r="V117" s="174" t="n">
        <v>1.13</v>
      </c>
      <c r="W117" s="174" t="n">
        <v>1.287</v>
      </c>
      <c r="X117" s="174" t="n">
        <v>5.001</v>
      </c>
      <c r="Y117" s="174" t="n">
        <v>1.167</v>
      </c>
      <c r="Z117" s="174" t="n">
        <v>1.052</v>
      </c>
      <c r="AA117" s="174" t="n">
        <v>1.121</v>
      </c>
      <c r="AB117" s="174" t="n">
        <v>0.9340000000000001</v>
      </c>
      <c r="AC117" s="174" t="n">
        <v>4.274</v>
      </c>
      <c r="AD117" s="174" t="n">
        <v>0.5600000000000001</v>
      </c>
      <c r="AE117" s="174" t="n">
        <v>0.573</v>
      </c>
      <c r="AF117" s="174" t="n">
        <v>0.327</v>
      </c>
      <c r="AG117" s="174" t="n">
        <v>-0.046</v>
      </c>
      <c r="AH117" s="174" t="n">
        <v>1.414</v>
      </c>
      <c r="AI117" s="174" t="n">
        <v>-0.445</v>
      </c>
      <c r="AJ117" s="174" t="n">
        <v>-0.657</v>
      </c>
      <c r="AK117" s="174" t="n">
        <v>-0.749</v>
      </c>
      <c r="AL117" s="174" t="n">
        <v>-1.073</v>
      </c>
      <c r="AM117" s="174" t="n">
        <v>-2.924</v>
      </c>
      <c r="AN117" s="174" t="n">
        <v>-1.361</v>
      </c>
      <c r="AO117" s="174" t="n">
        <v>-1.609</v>
      </c>
      <c r="AP117" s="174" t="n">
        <v>-1.711</v>
      </c>
      <c r="AQ117" s="174" t="n">
        <v>-1.705</v>
      </c>
      <c r="AR117" s="174" t="n">
        <v>-6.386</v>
      </c>
      <c r="AS117" s="174" t="n">
        <v>-1.148</v>
      </c>
      <c r="AT117" s="174" t="n">
        <v>0.534</v>
      </c>
      <c r="AU117" s="174" t="n">
        <v>0.948</v>
      </c>
      <c r="AV117" s="174" t="n">
        <v>0.618</v>
      </c>
      <c r="AW117" s="174" t="n">
        <v>0.952</v>
      </c>
      <c r="AX117" s="174" t="n">
        <v>0.221</v>
      </c>
      <c r="AY117" s="174" t="n">
        <v>0.269</v>
      </c>
      <c r="AZ117" s="174" t="n">
        <v>0.193</v>
      </c>
      <c r="BA117" s="174" t="n">
        <v>0.258</v>
      </c>
      <c r="BB117" s="174" t="n">
        <v>0.9409999999999999</v>
      </c>
      <c r="BC117" s="174" t="n">
        <v>-0.056</v>
      </c>
      <c r="BD117" s="174" t="n">
        <v>-0.258</v>
      </c>
      <c r="BE117" s="174" t="n">
        <v>-0.336</v>
      </c>
      <c r="BF117" s="174" t="n">
        <v>-2.671</v>
      </c>
      <c r="BG117" s="174" t="n">
        <v>-3.321</v>
      </c>
      <c r="BH117" s="174" t="n">
        <v>-2.611</v>
      </c>
      <c r="BI117" s="174" t="n">
        <v>-2.279</v>
      </c>
      <c r="BJ117" s="174" t="n">
        <v>-2.218</v>
      </c>
      <c r="BK117" s="174" t="n">
        <v>-5.227</v>
      </c>
      <c r="BL117" s="174" t="n">
        <v>-12.335</v>
      </c>
      <c r="BM117" s="174" t="n">
        <v>-7.335</v>
      </c>
      <c r="BN117" s="174" t="n">
        <v>-5.83</v>
      </c>
      <c r="BO117" s="174" t="n">
        <v>-1.756</v>
      </c>
      <c r="BP117" s="174" t="n">
        <v>-1.878</v>
      </c>
      <c r="BQ117" s="174" t="n">
        <v>-16.799</v>
      </c>
      <c r="BR117" s="174" t="n">
        <v>-1.66</v>
      </c>
      <c r="BS117" s="174" t="n">
        <v>-0.678</v>
      </c>
      <c r="BT117" s="174" t="n">
        <v>-0.555</v>
      </c>
      <c r="BU117" s="174" t="n">
        <v>-0.956</v>
      </c>
      <c r="BV117" s="174" t="n">
        <v>-3.849</v>
      </c>
      <c r="BW117" s="174" t="n">
        <v>-1.981</v>
      </c>
      <c r="BX117" s="174" t="n">
        <v>-2.365</v>
      </c>
      <c r="BY117" s="176">
        <f>($CP$24-(BW117+BX117))/2</f>
        <v/>
      </c>
      <c r="BZ117" s="176">
        <f>($CP$24-(BW117+BX117))/2</f>
        <v/>
      </c>
      <c r="CA117" s="176">
        <f>SUM(BW117,BX117,BY117,BZ117)</f>
        <v/>
      </c>
      <c r="CB117" s="176">
        <f>CA308*CB313+CA311*CB314-(CA222+N(CA250))*CB315</f>
        <v/>
      </c>
      <c r="CC117" s="176">
        <f>CB308*CC313+CB311*CC314-(CB222+N(CB250))*CC315</f>
        <v/>
      </c>
      <c r="CD117" s="176">
        <f>CC308*CD313+CC311*CD314-(CC222+N(CC250))*CD315</f>
        <v/>
      </c>
      <c r="CE117" s="176">
        <f>CD308*CE313+CD311*CE314-(CD222+N(CD250))*CE315</f>
        <v/>
      </c>
      <c r="CF117" s="20" t="inlineStr">
        <is>
          <t>Interest expense less interest income (expense positive). Q3/Q4-26E: FY26 point estimate less 1H/26. 2027E+ = coupon × opening notes + rate × opening revolver − yield × opening cash &amp; investments.</t>
        </is>
      </c>
    </row>
    <row r="118" ht="15" customHeight="1">
      <c r="B118" s="26" t="inlineStr">
        <is>
          <t>Other non-operating expense (income), net</t>
        </is>
      </c>
      <c r="C118" s="174" t="n">
        <v>0.9360000000000001</v>
      </c>
      <c r="D118" s="174" t="n">
        <v>1.182</v>
      </c>
      <c r="E118" s="174" t="n">
        <v>3.392</v>
      </c>
      <c r="F118" s="174" t="n">
        <v>0.228</v>
      </c>
      <c r="G118" s="174" t="n">
        <v>0.848</v>
      </c>
      <c r="H118" s="174" t="n">
        <v>0.101</v>
      </c>
      <c r="I118" s="174" t="n">
        <v>0.728</v>
      </c>
      <c r="J118" s="174" t="n">
        <v>0.074</v>
      </c>
      <c r="K118" s="174" t="n">
        <v>0.334</v>
      </c>
      <c r="L118" s="174" t="n">
        <v>0.389</v>
      </c>
      <c r="M118" s="174" t="n">
        <v>-0.518</v>
      </c>
      <c r="N118" s="174" t="n">
        <v>0.279</v>
      </c>
      <c r="O118" s="174" t="n">
        <v>0.775</v>
      </c>
      <c r="P118" s="174" t="n">
        <v>0.035</v>
      </c>
      <c r="Q118" s="174" t="n">
        <v>0.951</v>
      </c>
      <c r="R118" s="174" t="n">
        <v>0.53</v>
      </c>
      <c r="S118" s="174" t="n">
        <v>2.291</v>
      </c>
      <c r="T118" s="174" t="n">
        <v>0.237</v>
      </c>
      <c r="U118" s="174" t="n">
        <v>0.441</v>
      </c>
      <c r="V118" s="174" t="n">
        <v>1.866</v>
      </c>
      <c r="W118" s="174" t="n">
        <v>0.678</v>
      </c>
      <c r="X118" s="174" t="n">
        <v>3.222</v>
      </c>
      <c r="Y118" s="174" t="n">
        <v>0.516</v>
      </c>
      <c r="Z118" s="174" t="n">
        <v>0.26</v>
      </c>
      <c r="AA118" s="174" t="n">
        <v>0.006</v>
      </c>
      <c r="AB118" s="174" t="n">
        <v>1.192</v>
      </c>
      <c r="AC118" s="174" t="n">
        <v>1.974</v>
      </c>
      <c r="AD118" s="174" t="n">
        <v>0.409</v>
      </c>
      <c r="AE118" s="174" t="n">
        <v>-0.431</v>
      </c>
      <c r="AF118" s="174" t="n">
        <v>-0.977</v>
      </c>
      <c r="AG118" s="174" t="n">
        <v>-0.361</v>
      </c>
      <c r="AH118" s="174" t="n">
        <v>-1.36</v>
      </c>
      <c r="AI118" s="174" t="n">
        <v>2.299</v>
      </c>
      <c r="AJ118" s="174" t="n">
        <v>-0.334</v>
      </c>
      <c r="AK118" s="174" t="n">
        <v>-0.07000000000000001</v>
      </c>
      <c r="AL118" s="174" t="n">
        <v>2.567</v>
      </c>
      <c r="AM118" s="174" t="n">
        <v>4.462</v>
      </c>
      <c r="AN118" s="174" t="n">
        <v>-0.6</v>
      </c>
      <c r="AO118" s="174" t="n">
        <v>0.524</v>
      </c>
      <c r="AP118" s="174" t="n">
        <v>0.844</v>
      </c>
      <c r="AQ118" s="174" t="n">
        <v>0.375</v>
      </c>
      <c r="AR118" s="174" t="n">
        <v>1.143</v>
      </c>
      <c r="AS118" s="174" t="n">
        <v>3.617</v>
      </c>
      <c r="AT118" s="174" t="n">
        <v>-0.373</v>
      </c>
      <c r="AU118" s="174" t="n">
        <v>0.961</v>
      </c>
      <c r="AV118" s="174" t="n">
        <v>0.361</v>
      </c>
      <c r="AW118" s="174" t="n">
        <v>4.566</v>
      </c>
      <c r="AX118" s="174" t="n">
        <v>0.128</v>
      </c>
      <c r="AY118" s="174" t="n">
        <v>1.387</v>
      </c>
      <c r="AZ118" s="174" t="n">
        <v>0.266</v>
      </c>
      <c r="BA118" s="174" t="n">
        <v>0.457</v>
      </c>
      <c r="BB118" s="174" t="n">
        <v>2.238</v>
      </c>
      <c r="BC118" s="174" t="n">
        <v>0.605</v>
      </c>
      <c r="BD118" s="174" t="n">
        <v>0.75</v>
      </c>
      <c r="BE118" s="174" t="n">
        <v>0.351</v>
      </c>
      <c r="BF118" s="174" t="n">
        <v>0.898</v>
      </c>
      <c r="BG118" s="174" t="n">
        <v>2.604</v>
      </c>
      <c r="BH118" s="174" t="n">
        <v>1.511</v>
      </c>
      <c r="BI118" s="174" t="n">
        <v>1.947</v>
      </c>
      <c r="BJ118" s="174" t="n">
        <v>0.861</v>
      </c>
      <c r="BK118" s="174" t="n">
        <v>0.913</v>
      </c>
      <c r="BL118" s="174" t="n">
        <v>5.232</v>
      </c>
      <c r="BM118" s="174" t="n">
        <v>0.879</v>
      </c>
      <c r="BN118" s="174" t="n">
        <v>1.075</v>
      </c>
      <c r="BO118" s="174" t="n">
        <v>0.523</v>
      </c>
      <c r="BP118" s="174" t="n">
        <v>0.723</v>
      </c>
      <c r="BQ118" s="174" t="n">
        <v>3.2</v>
      </c>
      <c r="BR118" s="174" t="n">
        <v>1.071</v>
      </c>
      <c r="BS118" s="174" t="n">
        <v>1.357</v>
      </c>
      <c r="BT118" s="174" t="n">
        <v>1.098</v>
      </c>
      <c r="BU118" s="174" t="n">
        <v>0.06</v>
      </c>
      <c r="BV118" s="174" t="n">
        <v>3.586</v>
      </c>
      <c r="BW118" s="174" t="n">
        <v>1.644</v>
      </c>
      <c r="BX118" s="174" t="n">
        <v>0.198</v>
      </c>
      <c r="BY118" s="176">
        <f>(BW118+BX118)/2</f>
        <v/>
      </c>
      <c r="BZ118" s="176">
        <f>(BW118+BX118)/2</f>
        <v/>
      </c>
      <c r="CA118" s="176">
        <f>SUM(BW118,BX118,BY118,BZ118)</f>
        <v/>
      </c>
      <c r="CB118" s="175" t="n">
        <v>3.5</v>
      </c>
      <c r="CC118" s="175" t="n">
        <v>3.5</v>
      </c>
      <c r="CD118" s="175" t="n">
        <v>3.5</v>
      </c>
      <c r="CE118" s="175" t="n">
        <v>3.5</v>
      </c>
      <c r="CF118" s="20" t="inlineStr">
        <is>
          <t>Mainly life-insurance cash-surrender value / deferred-compensation investments. Q3/Q4-26E: 1H/26 run-rate.</t>
        </is>
      </c>
    </row>
    <row r="119" ht="15" customHeight="1">
      <c r="B119" s="17" t="inlineStr">
        <is>
          <t>Income before income taxes</t>
        </is>
      </c>
      <c r="C119" s="204">
        <f>IF(ISNUMBER(C114),C114-C117-C118,"")</f>
        <v/>
      </c>
      <c r="D119" s="204">
        <f>IF(ISNUMBER(D114),D114-D117-D118,"")</f>
        <v/>
      </c>
      <c r="E119" s="204">
        <f>IF(ISNUMBER(E114),E114-E117-E118,"")</f>
        <v/>
      </c>
      <c r="F119" s="204">
        <f>IF(ISNUMBER(F114),F114-F117-F118,"")</f>
        <v/>
      </c>
      <c r="G119" s="204">
        <f>IF(ISNUMBER(G114),G114-G117-G118,"")</f>
        <v/>
      </c>
      <c r="H119" s="204">
        <f>IF(ISNUMBER(H114),H114-H117-H118,"")</f>
        <v/>
      </c>
      <c r="I119" s="204">
        <f>IF(ISNUMBER(I114),I114-I117-I118,"")</f>
        <v/>
      </c>
      <c r="J119" s="204">
        <f>IF(ISNUMBER(J114),J114-J117-J118,"")</f>
        <v/>
      </c>
      <c r="K119" s="204">
        <f>IF(ISNUMBER(K114),K114-K117-K118,"")</f>
        <v/>
      </c>
      <c r="L119" s="204">
        <f>IF(ISNUMBER(L114),L114-L117-L118,"")</f>
        <v/>
      </c>
      <c r="M119" s="204">
        <f>IF(ISNUMBER(M114),M114-M117-M118,"")</f>
        <v/>
      </c>
      <c r="N119" s="204">
        <f>IF(ISNUMBER(N114),N114-N117-N118,"")</f>
        <v/>
      </c>
      <c r="O119" s="204">
        <f>IF(ISNUMBER(O114),O114-O117-O118,"")</f>
        <v/>
      </c>
      <c r="P119" s="204">
        <f>IF(ISNUMBER(P114),P114-P117-P118,"")</f>
        <v/>
      </c>
      <c r="Q119" s="204">
        <f>IF(ISNUMBER(Q114),Q114-Q117-Q118,"")</f>
        <v/>
      </c>
      <c r="R119" s="204">
        <f>IF(ISNUMBER(R114),R114-R117-R118,"")</f>
        <v/>
      </c>
      <c r="S119" s="204">
        <f>IF(ISNUMBER(S114),S114-S117-S118,"")</f>
        <v/>
      </c>
      <c r="T119" s="204">
        <f>IF(ISNUMBER(T114),T114-T117-T118,"")</f>
        <v/>
      </c>
      <c r="U119" s="204">
        <f>IF(ISNUMBER(U114),U114-U117-U118,"")</f>
        <v/>
      </c>
      <c r="V119" s="204">
        <f>IF(ISNUMBER(V114),V114-V117-V118,"")</f>
        <v/>
      </c>
      <c r="W119" s="204">
        <f>IF(ISNUMBER(W114),W114-W117-W118,"")</f>
        <v/>
      </c>
      <c r="X119" s="204">
        <f>IF(ISNUMBER(X114),X114-X117-X118,"")</f>
        <v/>
      </c>
      <c r="Y119" s="204">
        <f>IF(ISNUMBER(Y114),Y114-Y117-Y118,"")</f>
        <v/>
      </c>
      <c r="Z119" s="204">
        <f>IF(ISNUMBER(Z114),Z114-Z117-Z118,"")</f>
        <v/>
      </c>
      <c r="AA119" s="204">
        <f>IF(ISNUMBER(AA114),AA114-AA117-AA118,"")</f>
        <v/>
      </c>
      <c r="AB119" s="204">
        <f>IF(ISNUMBER(AB114),AB114-AB117-AB118,"")</f>
        <v/>
      </c>
      <c r="AC119" s="204">
        <f>IF(ISNUMBER(AC114),AC114-AC117-AC118,"")</f>
        <v/>
      </c>
      <c r="AD119" s="204">
        <f>IF(ISNUMBER(AD114),AD114-AD117-AD118,"")</f>
        <v/>
      </c>
      <c r="AE119" s="204">
        <f>IF(ISNUMBER(AE114),AE114-AE117-AE118,"")</f>
        <v/>
      </c>
      <c r="AF119" s="204">
        <f>IF(ISNUMBER(AF114),AF114-AF117-AF118,"")</f>
        <v/>
      </c>
      <c r="AG119" s="204">
        <f>IF(ISNUMBER(AG114),AG114-AG117-AG118,"")</f>
        <v/>
      </c>
      <c r="AH119" s="204">
        <f>IF(ISNUMBER(AH114),AH114-AH117-AH118,"")</f>
        <v/>
      </c>
      <c r="AI119" s="204">
        <f>IF(ISNUMBER(AI114),AI114-AI117-AI118,"")</f>
        <v/>
      </c>
      <c r="AJ119" s="204">
        <f>IF(ISNUMBER(AJ114),AJ114-AJ117-AJ118,"")</f>
        <v/>
      </c>
      <c r="AK119" s="204">
        <f>IF(ISNUMBER(AK114),AK114-AK117-AK118,"")</f>
        <v/>
      </c>
      <c r="AL119" s="204">
        <f>IF(ISNUMBER(AL114),AL114-AL117-AL118,"")</f>
        <v/>
      </c>
      <c r="AM119" s="204">
        <f>IF(ISNUMBER(AM114),AM114-AM117-AM118,"")</f>
        <v/>
      </c>
      <c r="AN119" s="204">
        <f>IF(ISNUMBER(AN114),AN114-AN117-AN118,"")</f>
        <v/>
      </c>
      <c r="AO119" s="204">
        <f>IF(ISNUMBER(AO114),AO114-AO117-AO118,"")</f>
        <v/>
      </c>
      <c r="AP119" s="204">
        <f>IF(ISNUMBER(AP114),AP114-AP117-AP118,"")</f>
        <v/>
      </c>
      <c r="AQ119" s="204">
        <f>IF(ISNUMBER(AQ114),AQ114-AQ117-AQ118,"")</f>
        <v/>
      </c>
      <c r="AR119" s="204">
        <f>IF(ISNUMBER(AR114),AR114-AR117-AR118,"")</f>
        <v/>
      </c>
      <c r="AS119" s="204">
        <f>IF(ISNUMBER(AS114),AS114-AS117-AS118,"")</f>
        <v/>
      </c>
      <c r="AT119" s="204">
        <f>IF(ISNUMBER(AT114),AT114-AT117-AT118,"")</f>
        <v/>
      </c>
      <c r="AU119" s="204">
        <f>IF(ISNUMBER(AU114),AU114-AU117-AU118,"")</f>
        <v/>
      </c>
      <c r="AV119" s="204">
        <f>IF(ISNUMBER(AV114),AV114-AV117-AV118,"")</f>
        <v/>
      </c>
      <c r="AW119" s="204">
        <f>IF(ISNUMBER(AW114),AW114-AW117-AW118,"")</f>
        <v/>
      </c>
      <c r="AX119" s="204">
        <f>IF(ISNUMBER(AX114),AX114-AX117-AX118,"")</f>
        <v/>
      </c>
      <c r="AY119" s="204">
        <f>IF(ISNUMBER(AY114),AY114-AY117-AY118,"")</f>
        <v/>
      </c>
      <c r="AZ119" s="204">
        <f>IF(ISNUMBER(AZ114),AZ114-AZ117-AZ118,"")</f>
        <v/>
      </c>
      <c r="BA119" s="204">
        <f>IF(ISNUMBER(BA114),BA114-BA117-BA118,"")</f>
        <v/>
      </c>
      <c r="BB119" s="204">
        <f>IF(ISNUMBER(BB114),BB114-BB117-BB118,"")</f>
        <v/>
      </c>
      <c r="BC119" s="204">
        <f>IF(ISNUMBER(BC114),BC114-BC117-BC118,"")</f>
        <v/>
      </c>
      <c r="BD119" s="204">
        <f>IF(ISNUMBER(BD114),BD114-BD117-BD118,"")</f>
        <v/>
      </c>
      <c r="BE119" s="204">
        <f>IF(ISNUMBER(BE114),BE114-BE117-BE118,"")</f>
        <v/>
      </c>
      <c r="BF119" s="204">
        <f>IF(ISNUMBER(BF114),BF114-BF117-BF118,"")</f>
        <v/>
      </c>
      <c r="BG119" s="204">
        <f>IF(ISNUMBER(BG114),BG114-BG117-BG118,"")</f>
        <v/>
      </c>
      <c r="BH119" s="204">
        <f>IF(ISNUMBER(BH114),BH114-BH117-BH118,"")</f>
        <v/>
      </c>
      <c r="BI119" s="204">
        <f>IF(ISNUMBER(BI114),BI114-BI117-BI118,"")</f>
        <v/>
      </c>
      <c r="BJ119" s="204">
        <f>IF(ISNUMBER(BJ114),BJ114-BJ117-BJ118,"")</f>
        <v/>
      </c>
      <c r="BK119" s="204">
        <f>IF(ISNUMBER(BK114),BK114-BK117-BK118,"")</f>
        <v/>
      </c>
      <c r="BL119" s="204">
        <f>IF(ISNUMBER(BL114),BL114-BL117-BL118,"")</f>
        <v/>
      </c>
      <c r="BM119" s="204">
        <f>IF(ISNUMBER(BM114),BM114-BM117-BM118,"")</f>
        <v/>
      </c>
      <c r="BN119" s="204">
        <f>IF(ISNUMBER(BN114),BN114-BN117-BN118,"")</f>
        <v/>
      </c>
      <c r="BO119" s="204">
        <f>IF(ISNUMBER(BO114),BO114-BO117-BO118,"")</f>
        <v/>
      </c>
      <c r="BP119" s="204">
        <f>IF(ISNUMBER(BP114),BP114-BP117-BP118,"")</f>
        <v/>
      </c>
      <c r="BQ119" s="204">
        <f>IF(ISNUMBER(BQ114),BQ114-BQ117-BQ118,"")</f>
        <v/>
      </c>
      <c r="BR119" s="204">
        <f>IF(ISNUMBER(BR114),BR114-BR117-BR118,"")</f>
        <v/>
      </c>
      <c r="BS119" s="204">
        <f>IF(ISNUMBER(BS114),BS114-BS117-BS118,"")</f>
        <v/>
      </c>
      <c r="BT119" s="204">
        <f>IF(ISNUMBER(BT114),BT114-BT117-BT118,"")</f>
        <v/>
      </c>
      <c r="BU119" s="204">
        <f>IF(ISNUMBER(BU114),BU114-BU117-BU118,"")</f>
        <v/>
      </c>
      <c r="BV119" s="204">
        <f>IF(ISNUMBER(BV114),BV114-BV117-BV118,"")</f>
        <v/>
      </c>
      <c r="BW119" s="204">
        <f>IF(ISNUMBER(BW114),BW114-BW117-BW118,"")</f>
        <v/>
      </c>
      <c r="BX119" s="204">
        <f>IF(ISNUMBER(BX114),BX114-BX117-BX118,"")</f>
        <v/>
      </c>
      <c r="BY119" s="178">
        <f>IF(ISNUMBER(BY114),BY114-BY117-BY118,"")</f>
        <v/>
      </c>
      <c r="BZ119" s="178">
        <f>IF(ISNUMBER(BZ114),BZ114-BZ117-BZ118,"")</f>
        <v/>
      </c>
      <c r="CA119" s="178">
        <f>IF(ISNUMBER(CA114),CA114-CA117-CA118,"")</f>
        <v/>
      </c>
      <c r="CB119" s="178">
        <f>IF(ISNUMBER(CB114),CB114-CB117-CB118,"")</f>
        <v/>
      </c>
      <c r="CC119" s="178">
        <f>IF(ISNUMBER(CC114),CC114-CC117-CC118,"")</f>
        <v/>
      </c>
      <c r="CD119" s="178">
        <f>IF(ISNUMBER(CD114),CD114-CD117-CD118,"")</f>
        <v/>
      </c>
      <c r="CE119" s="178">
        <f>IF(ISNUMBER(CE114),CE114-CE117-CE118,"")</f>
        <v/>
      </c>
      <c r="CF119" s="6" t="n"/>
    </row>
    <row r="120" ht="15" customHeight="1">
      <c r="B120" s="26" t="inlineStr">
        <is>
          <t>Provision for income taxes</t>
        </is>
      </c>
      <c r="C120" s="174" t="n">
        <v>46.774</v>
      </c>
      <c r="D120" s="174" t="n">
        <v>43.963</v>
      </c>
      <c r="E120" s="174" t="n">
        <v>43.989</v>
      </c>
      <c r="F120" s="174" t="n">
        <v>22.294</v>
      </c>
      <c r="G120" s="174" t="n">
        <v>48.775</v>
      </c>
      <c r="H120" s="174" t="n">
        <v>80.614</v>
      </c>
      <c r="I120" s="174" t="n">
        <v>103.646</v>
      </c>
      <c r="J120" s="174" t="n">
        <v>22.931</v>
      </c>
      <c r="K120" s="174" t="n">
        <v>36.623</v>
      </c>
      <c r="L120" s="174" t="n">
        <v>35.104</v>
      </c>
      <c r="M120" s="174" t="n">
        <v>27.915</v>
      </c>
      <c r="N120" s="174" t="n">
        <v>122.573</v>
      </c>
      <c r="O120" s="174" t="n">
        <v>31.347</v>
      </c>
      <c r="P120" s="174" t="n">
        <v>47.215</v>
      </c>
      <c r="Q120" s="174" t="n">
        <v>45.958</v>
      </c>
      <c r="R120" s="174" t="n">
        <v>40.48</v>
      </c>
      <c r="S120" s="174" t="n">
        <v>165</v>
      </c>
      <c r="T120" s="174" t="n">
        <v>39.306</v>
      </c>
      <c r="U120" s="174" t="n">
        <v>53.798</v>
      </c>
      <c r="V120" s="174" t="n">
        <v>52.49</v>
      </c>
      <c r="W120" s="174" t="n">
        <v>39.733</v>
      </c>
      <c r="X120" s="174" t="n">
        <v>185.327</v>
      </c>
      <c r="Y120" s="174" t="n">
        <v>37.58</v>
      </c>
      <c r="Z120" s="174" t="n">
        <v>50.736</v>
      </c>
      <c r="AA120" s="174" t="n">
        <v>50.696</v>
      </c>
      <c r="AB120" s="174" t="n">
        <v>42.81</v>
      </c>
      <c r="AC120" s="174" t="n">
        <v>181.822</v>
      </c>
      <c r="AD120" s="174" t="n">
        <v>41.361</v>
      </c>
      <c r="AE120" s="174" t="n">
        <v>61.872</v>
      </c>
      <c r="AF120" s="174" t="n">
        <v>62.211</v>
      </c>
      <c r="AG120" s="174" t="n">
        <v>-53.386</v>
      </c>
      <c r="AH120" s="174" t="n">
        <v>112.058</v>
      </c>
      <c r="AI120" s="174" t="n">
        <v>38.153</v>
      </c>
      <c r="AJ120" s="174" t="n">
        <v>58.038</v>
      </c>
      <c r="AK120" s="174" t="n">
        <v>55.762</v>
      </c>
      <c r="AL120" s="174" t="n">
        <v>57.892</v>
      </c>
      <c r="AM120" s="174" t="n">
        <v>209.845</v>
      </c>
      <c r="AN120" s="174" t="n">
        <v>47.064</v>
      </c>
      <c r="AO120" s="174" t="n">
        <v>61.502</v>
      </c>
      <c r="AP120" s="174" t="n">
        <v>54.295</v>
      </c>
      <c r="AQ120" s="174" t="n">
        <v>45.57</v>
      </c>
      <c r="AR120" s="174" t="n">
        <v>208.431</v>
      </c>
      <c r="AS120" s="174" t="n">
        <v>47.524</v>
      </c>
      <c r="AT120" s="174" t="n">
        <v>51.2</v>
      </c>
      <c r="AU120" s="174" t="n">
        <v>66.467</v>
      </c>
      <c r="AV120" s="174" t="n">
        <v>63.491</v>
      </c>
      <c r="AW120" s="174" t="n">
        <v>228.682</v>
      </c>
      <c r="AX120" s="174" t="n">
        <v>69.949</v>
      </c>
      <c r="AY120" s="174" t="n">
        <v>94.812</v>
      </c>
      <c r="AZ120" s="174" t="n">
        <v>96.31699999999999</v>
      </c>
      <c r="BA120" s="174" t="n">
        <v>92.97</v>
      </c>
      <c r="BB120" s="174" t="n">
        <v>354.048</v>
      </c>
      <c r="BC120" s="174" t="n">
        <v>105.318</v>
      </c>
      <c r="BD120" s="174" t="n">
        <v>132.135</v>
      </c>
      <c r="BE120" s="174" t="n">
        <v>118.664</v>
      </c>
      <c r="BF120" s="174" t="n">
        <v>108.073</v>
      </c>
      <c r="BG120" s="174" t="n">
        <v>464.19</v>
      </c>
      <c r="BH120" s="174" t="n">
        <v>99.111</v>
      </c>
      <c r="BI120" s="174" t="n">
        <v>99.56399999999999</v>
      </c>
      <c r="BJ120" s="174" t="n">
        <v>107.089</v>
      </c>
      <c r="BK120" s="174" t="n">
        <v>102.51</v>
      </c>
      <c r="BL120" s="174" t="n">
        <v>408.274</v>
      </c>
      <c r="BM120" s="174" t="n">
        <v>100.578</v>
      </c>
      <c r="BN120" s="174" t="n">
        <v>104.401</v>
      </c>
      <c r="BO120" s="174" t="n">
        <v>94.514</v>
      </c>
      <c r="BP120" s="174" t="n">
        <v>72.03100000000001</v>
      </c>
      <c r="BQ120" s="174" t="n">
        <v>371.524</v>
      </c>
      <c r="BR120" s="174" t="n">
        <v>83.98399999999999</v>
      </c>
      <c r="BS120" s="174" t="n">
        <v>88.59</v>
      </c>
      <c r="BT120" s="174" t="n">
        <v>89.354</v>
      </c>
      <c r="BU120" s="174" t="n">
        <v>75.67700000000001</v>
      </c>
      <c r="BV120" s="174" t="n">
        <v>337.605</v>
      </c>
      <c r="BW120" s="174" t="n">
        <v>79.42</v>
      </c>
      <c r="BX120" s="174" t="n">
        <v>116.867</v>
      </c>
      <c r="BY120" s="176">
        <f>BY119*BY121</f>
        <v/>
      </c>
      <c r="BZ120" s="176">
        <f>BZ119*BZ121</f>
        <v/>
      </c>
      <c r="CA120" s="176">
        <f>SUM(BW120,BX120,BY120,BZ120)</f>
        <v/>
      </c>
      <c r="CB120" s="176">
        <f>CB119*CB121</f>
        <v/>
      </c>
      <c r="CC120" s="176">
        <f>CC119*CC121</f>
        <v/>
      </c>
      <c r="CD120" s="176">
        <f>CD119*CD121</f>
        <v/>
      </c>
      <c r="CE120" s="176">
        <f>CE119*CE121</f>
        <v/>
      </c>
      <c r="CF120" s="20" t="n"/>
    </row>
    <row r="121" ht="15" customHeight="1">
      <c r="B121" s="26" t="inlineStr">
        <is>
          <t xml:space="preserve">  Effective tax rate</t>
        </is>
      </c>
      <c r="C121" s="190">
        <f>IF(AND(ISNUMBER(C120),ISNUMBER(C119)),IFERROR(C120/C119,""),"")</f>
        <v/>
      </c>
      <c r="D121" s="190">
        <f>IF(AND(ISNUMBER(D120),ISNUMBER(D119)),IFERROR(D120/D119,""),"")</f>
        <v/>
      </c>
      <c r="E121" s="190">
        <f>IF(AND(ISNUMBER(E120),ISNUMBER(E119)),IFERROR(E120/E119,""),"")</f>
        <v/>
      </c>
      <c r="F121" s="190">
        <f>IF(AND(ISNUMBER(F120),ISNUMBER(F119)),IFERROR(F120/F119,""),"")</f>
        <v/>
      </c>
      <c r="G121" s="190">
        <f>IF(AND(ISNUMBER(G120),ISNUMBER(G119)),IFERROR(G120/G119,""),"")</f>
        <v/>
      </c>
      <c r="H121" s="190">
        <f>IF(AND(ISNUMBER(H120),ISNUMBER(H119)),IFERROR(H120/H119,""),"")</f>
        <v/>
      </c>
      <c r="I121" s="190">
        <f>IF(AND(ISNUMBER(I120),ISNUMBER(I119)),IFERROR(I120/I119,""),"")</f>
        <v/>
      </c>
      <c r="J121" s="190">
        <f>IF(AND(ISNUMBER(J120),ISNUMBER(J119)),IFERROR(J120/J119,""),"")</f>
        <v/>
      </c>
      <c r="K121" s="190">
        <f>IF(AND(ISNUMBER(K120),ISNUMBER(K119)),IFERROR(K120/K119,""),"")</f>
        <v/>
      </c>
      <c r="L121" s="190">
        <f>IF(AND(ISNUMBER(L120),ISNUMBER(L119)),IFERROR(L120/L119,""),"")</f>
        <v/>
      </c>
      <c r="M121" s="190">
        <f>IF(AND(ISNUMBER(M120),ISNUMBER(M119)),IFERROR(M120/M119,""),"")</f>
        <v/>
      </c>
      <c r="N121" s="190">
        <f>IF(AND(ISNUMBER(N120),ISNUMBER(N119)),IFERROR(N120/N119,""),"")</f>
        <v/>
      </c>
      <c r="O121" s="190">
        <f>IF(AND(ISNUMBER(O120),ISNUMBER(O119)),IFERROR(O120/O119,""),"")</f>
        <v/>
      </c>
      <c r="P121" s="190">
        <f>IF(AND(ISNUMBER(P120),ISNUMBER(P119)),IFERROR(P120/P119,""),"")</f>
        <v/>
      </c>
      <c r="Q121" s="190">
        <f>IF(AND(ISNUMBER(Q120),ISNUMBER(Q119)),IFERROR(Q120/Q119,""),"")</f>
        <v/>
      </c>
      <c r="R121" s="190">
        <f>IF(AND(ISNUMBER(R120),ISNUMBER(R119)),IFERROR(R120/R119,""),"")</f>
        <v/>
      </c>
      <c r="S121" s="190">
        <f>IF(AND(ISNUMBER(S120),ISNUMBER(S119)),IFERROR(S120/S119,""),"")</f>
        <v/>
      </c>
      <c r="T121" s="190">
        <f>IF(AND(ISNUMBER(T120),ISNUMBER(T119)),IFERROR(T120/T119,""),"")</f>
        <v/>
      </c>
      <c r="U121" s="190">
        <f>IF(AND(ISNUMBER(U120),ISNUMBER(U119)),IFERROR(U120/U119,""),"")</f>
        <v/>
      </c>
      <c r="V121" s="190">
        <f>IF(AND(ISNUMBER(V120),ISNUMBER(V119)),IFERROR(V120/V119,""),"")</f>
        <v/>
      </c>
      <c r="W121" s="190">
        <f>IF(AND(ISNUMBER(W120),ISNUMBER(W119)),IFERROR(W120/W119,""),"")</f>
        <v/>
      </c>
      <c r="X121" s="190">
        <f>IF(AND(ISNUMBER(X120),ISNUMBER(X119)),IFERROR(X120/X119,""),"")</f>
        <v/>
      </c>
      <c r="Y121" s="190">
        <f>IF(AND(ISNUMBER(Y120),ISNUMBER(Y119)),IFERROR(Y120/Y119,""),"")</f>
        <v/>
      </c>
      <c r="Z121" s="190">
        <f>IF(AND(ISNUMBER(Z120),ISNUMBER(Z119)),IFERROR(Z120/Z119,""),"")</f>
        <v/>
      </c>
      <c r="AA121" s="190">
        <f>IF(AND(ISNUMBER(AA120),ISNUMBER(AA119)),IFERROR(AA120/AA119,""),"")</f>
        <v/>
      </c>
      <c r="AB121" s="190">
        <f>IF(AND(ISNUMBER(AB120),ISNUMBER(AB119)),IFERROR(AB120/AB119,""),"")</f>
        <v/>
      </c>
      <c r="AC121" s="190">
        <f>IF(AND(ISNUMBER(AC120),ISNUMBER(AC119)),IFERROR(AC120/AC119,""),"")</f>
        <v/>
      </c>
      <c r="AD121" s="190">
        <f>IF(AND(ISNUMBER(AD120),ISNUMBER(AD119)),IFERROR(AD120/AD119,""),"")</f>
        <v/>
      </c>
      <c r="AE121" s="190">
        <f>IF(AND(ISNUMBER(AE120),ISNUMBER(AE119)),IFERROR(AE120/AE119,""),"")</f>
        <v/>
      </c>
      <c r="AF121" s="190">
        <f>IF(AND(ISNUMBER(AF120),ISNUMBER(AF119)),IFERROR(AF120/AF119,""),"")</f>
        <v/>
      </c>
      <c r="AG121" s="190">
        <f>IF(AND(ISNUMBER(AG120),ISNUMBER(AG119)),IFERROR(AG120/AG119,""),"")</f>
        <v/>
      </c>
      <c r="AH121" s="190">
        <f>IF(AND(ISNUMBER(AH120),ISNUMBER(AH119)),IFERROR(AH120/AH119,""),"")</f>
        <v/>
      </c>
      <c r="AI121" s="190">
        <f>IF(AND(ISNUMBER(AI120),ISNUMBER(AI119)),IFERROR(AI120/AI119,""),"")</f>
        <v/>
      </c>
      <c r="AJ121" s="190">
        <f>IF(AND(ISNUMBER(AJ120),ISNUMBER(AJ119)),IFERROR(AJ120/AJ119,""),"")</f>
        <v/>
      </c>
      <c r="AK121" s="190">
        <f>IF(AND(ISNUMBER(AK120),ISNUMBER(AK119)),IFERROR(AK120/AK119,""),"")</f>
        <v/>
      </c>
      <c r="AL121" s="190">
        <f>IF(AND(ISNUMBER(AL120),ISNUMBER(AL119)),IFERROR(AL120/AL119,""),"")</f>
        <v/>
      </c>
      <c r="AM121" s="190">
        <f>IF(AND(ISNUMBER(AM120),ISNUMBER(AM119)),IFERROR(AM120/AM119,""),"")</f>
        <v/>
      </c>
      <c r="AN121" s="190">
        <f>IF(AND(ISNUMBER(AN120),ISNUMBER(AN119)),IFERROR(AN120/AN119,""),"")</f>
        <v/>
      </c>
      <c r="AO121" s="190">
        <f>IF(AND(ISNUMBER(AO120),ISNUMBER(AO119)),IFERROR(AO120/AO119,""),"")</f>
        <v/>
      </c>
      <c r="AP121" s="190">
        <f>IF(AND(ISNUMBER(AP120),ISNUMBER(AP119)),IFERROR(AP120/AP119,""),"")</f>
        <v/>
      </c>
      <c r="AQ121" s="190">
        <f>IF(AND(ISNUMBER(AQ120),ISNUMBER(AQ119)),IFERROR(AQ120/AQ119,""),"")</f>
        <v/>
      </c>
      <c r="AR121" s="190">
        <f>IF(AND(ISNUMBER(AR120),ISNUMBER(AR119)),IFERROR(AR120/AR119,""),"")</f>
        <v/>
      </c>
      <c r="AS121" s="190">
        <f>IF(AND(ISNUMBER(AS120),ISNUMBER(AS119)),IFERROR(AS120/AS119,""),"")</f>
        <v/>
      </c>
      <c r="AT121" s="190">
        <f>IF(AND(ISNUMBER(AT120),ISNUMBER(AT119)),IFERROR(AT120/AT119,""),"")</f>
        <v/>
      </c>
      <c r="AU121" s="190">
        <f>IF(AND(ISNUMBER(AU120),ISNUMBER(AU119)),IFERROR(AU120/AU119,""),"")</f>
        <v/>
      </c>
      <c r="AV121" s="190">
        <f>IF(AND(ISNUMBER(AV120),ISNUMBER(AV119)),IFERROR(AV120/AV119,""),"")</f>
        <v/>
      </c>
      <c r="AW121" s="190">
        <f>IF(AND(ISNUMBER(AW120),ISNUMBER(AW119)),IFERROR(AW120/AW119,""),"")</f>
        <v/>
      </c>
      <c r="AX121" s="190">
        <f>IF(AND(ISNUMBER(AX120),ISNUMBER(AX119)),IFERROR(AX120/AX119,""),"")</f>
        <v/>
      </c>
      <c r="AY121" s="190">
        <f>IF(AND(ISNUMBER(AY120),ISNUMBER(AY119)),IFERROR(AY120/AY119,""),"")</f>
        <v/>
      </c>
      <c r="AZ121" s="190">
        <f>IF(AND(ISNUMBER(AZ120),ISNUMBER(AZ119)),IFERROR(AZ120/AZ119,""),"")</f>
        <v/>
      </c>
      <c r="BA121" s="190">
        <f>IF(AND(ISNUMBER(BA120),ISNUMBER(BA119)),IFERROR(BA120/BA119,""),"")</f>
        <v/>
      </c>
      <c r="BB121" s="190">
        <f>IF(AND(ISNUMBER(BB120),ISNUMBER(BB119)),IFERROR(BB120/BB119,""),"")</f>
        <v/>
      </c>
      <c r="BC121" s="190">
        <f>IF(AND(ISNUMBER(BC120),ISNUMBER(BC119)),IFERROR(BC120/BC119,""),"")</f>
        <v/>
      </c>
      <c r="BD121" s="190">
        <f>IF(AND(ISNUMBER(BD120),ISNUMBER(BD119)),IFERROR(BD120/BD119,""),"")</f>
        <v/>
      </c>
      <c r="BE121" s="190">
        <f>IF(AND(ISNUMBER(BE120),ISNUMBER(BE119)),IFERROR(BE120/BE119,""),"")</f>
        <v/>
      </c>
      <c r="BF121" s="190">
        <f>IF(AND(ISNUMBER(BF120),ISNUMBER(BF119)),IFERROR(BF120/BF119,""),"")</f>
        <v/>
      </c>
      <c r="BG121" s="190">
        <f>IF(AND(ISNUMBER(BG120),ISNUMBER(BG119)),IFERROR(BG120/BG119,""),"")</f>
        <v/>
      </c>
      <c r="BH121" s="190">
        <f>IF(AND(ISNUMBER(BH120),ISNUMBER(BH119)),IFERROR(BH120/BH119,""),"")</f>
        <v/>
      </c>
      <c r="BI121" s="190">
        <f>IF(AND(ISNUMBER(BI120),ISNUMBER(BI119)),IFERROR(BI120/BI119,""),"")</f>
        <v/>
      </c>
      <c r="BJ121" s="190">
        <f>IF(AND(ISNUMBER(BJ120),ISNUMBER(BJ119)),IFERROR(BJ120/BJ119,""),"")</f>
        <v/>
      </c>
      <c r="BK121" s="190">
        <f>IF(AND(ISNUMBER(BK120),ISNUMBER(BK119)),IFERROR(BK120/BK119,""),"")</f>
        <v/>
      </c>
      <c r="BL121" s="190">
        <f>IF(AND(ISNUMBER(BL120),ISNUMBER(BL119)),IFERROR(BL120/BL119,""),"")</f>
        <v/>
      </c>
      <c r="BM121" s="190">
        <f>IF(AND(ISNUMBER(BM120),ISNUMBER(BM119)),IFERROR(BM120/BM119,""),"")</f>
        <v/>
      </c>
      <c r="BN121" s="190">
        <f>IF(AND(ISNUMBER(BN120),ISNUMBER(BN119)),IFERROR(BN120/BN119,""),"")</f>
        <v/>
      </c>
      <c r="BO121" s="190">
        <f>IF(AND(ISNUMBER(BO120),ISNUMBER(BO119)),IFERROR(BO120/BO119,""),"")</f>
        <v/>
      </c>
      <c r="BP121" s="190">
        <f>IF(AND(ISNUMBER(BP120),ISNUMBER(BP119)),IFERROR(BP120/BP119,""),"")</f>
        <v/>
      </c>
      <c r="BQ121" s="190">
        <f>IF(AND(ISNUMBER(BQ120),ISNUMBER(BQ119)),IFERROR(BQ120/BQ119,""),"")</f>
        <v/>
      </c>
      <c r="BR121" s="190">
        <f>IF(AND(ISNUMBER(BR120),ISNUMBER(BR119)),IFERROR(BR120/BR119,""),"")</f>
        <v/>
      </c>
      <c r="BS121" s="190">
        <f>IF(AND(ISNUMBER(BS120),ISNUMBER(BS119)),IFERROR(BS120/BS119,""),"")</f>
        <v/>
      </c>
      <c r="BT121" s="190">
        <f>IF(AND(ISNUMBER(BT120),ISNUMBER(BT119)),IFERROR(BT120/BT119,""),"")</f>
        <v/>
      </c>
      <c r="BU121" s="190">
        <f>IF(AND(ISNUMBER(BU120),ISNUMBER(BU119)),IFERROR(BU120/BU119,""),"")</f>
        <v/>
      </c>
      <c r="BV121" s="190">
        <f>IF(AND(ISNUMBER(BV120),ISNUMBER(BV119)),IFERROR(BV120/BV119,""),"")</f>
        <v/>
      </c>
      <c r="BW121" s="190">
        <f>IF(AND(ISNUMBER(BW120),ISNUMBER(BW119)),IFERROR(BW120/BW119,""),"")</f>
        <v/>
      </c>
      <c r="BX121" s="190">
        <f>IF(AND(ISNUMBER(BX120),ISNUMBER(BX119)),IFERROR(BX120/BX119,""),"")</f>
        <v/>
      </c>
      <c r="BY121" s="181">
        <f>$CP$25</f>
        <v/>
      </c>
      <c r="BZ121" s="181">
        <f>$CP$25</f>
        <v/>
      </c>
      <c r="CA121" s="181">
        <f>IF(AND(ISNUMBER(CA120),ISNUMBER(CA119)),IFERROR(CA120/CA119,""),"")</f>
        <v/>
      </c>
      <c r="CB121" s="195" t="n">
        <v>0.25</v>
      </c>
      <c r="CC121" s="195" t="n">
        <v>0.25</v>
      </c>
      <c r="CD121" s="195" t="n">
        <v>0.25</v>
      </c>
      <c r="CE121" s="195" t="n">
        <v>0.25</v>
      </c>
      <c r="CF121" s="6" t="inlineStr">
        <is>
          <t>Q3/Q4-26E: FY26 tax-rate point estimate (1H/26 25.0%); 2027E+ input.</t>
        </is>
      </c>
      <c r="CH121" s="39">
        <f>IFERROR(AVERAGE(CA121,CB121,CC121,CD121,CE121),"n/m")</f>
        <v/>
      </c>
      <c r="CI121" s="39">
        <f>IFERROR(AVERAGE(BB121,BG121,BL121,BQ121,BV121),"n/m")</f>
        <v/>
      </c>
      <c r="CJ121" s="39">
        <f>IFERROR(AVERAGE(AC121,AH121,AM121,AR121,AW121,BB121,BG121,BL121,BQ121,BV121),"n/m")</f>
        <v/>
      </c>
      <c r="CK121" s="39">
        <f>IFERROR(AVERAGE(C121,D121,E121,F121,G121,H121,I121,N121,S121,X121,AC121,AH121,AM121,AR121,AW121,BB121,BG121,BL121,BQ121,BV121),"n/m")</f>
        <v/>
      </c>
    </row>
    <row r="122" ht="15" customHeight="1">
      <c r="B122" s="59" t="inlineStr">
        <is>
          <t>Net income</t>
        </is>
      </c>
      <c r="C122" s="196">
        <f>IF(ISNUMBER(C119),C119-C120-N(C123),"")</f>
        <v/>
      </c>
      <c r="D122" s="196">
        <f>IF(ISNUMBER(D119),D119-D120-N(D123),"")</f>
        <v/>
      </c>
      <c r="E122" s="196">
        <f>IF(ISNUMBER(E119),E119-E120-N(E123),"")</f>
        <v/>
      </c>
      <c r="F122" s="196">
        <f>IF(ISNUMBER(F119),F119-F120-N(F123),"")</f>
        <v/>
      </c>
      <c r="G122" s="196">
        <f>IF(ISNUMBER(G119),G119-G120-N(G123),"")</f>
        <v/>
      </c>
      <c r="H122" s="196">
        <f>IF(ISNUMBER(H119),H119-H120-N(H123),"")</f>
        <v/>
      </c>
      <c r="I122" s="196">
        <f>IF(ISNUMBER(I119),I119-I120-N(I123),"")</f>
        <v/>
      </c>
      <c r="J122" s="196">
        <f>IF(ISNUMBER(J119),J119-J120-N(J123),"")</f>
        <v/>
      </c>
      <c r="K122" s="196">
        <f>IF(ISNUMBER(K119),K119-K120-N(K123),"")</f>
        <v/>
      </c>
      <c r="L122" s="196">
        <f>IF(ISNUMBER(L119),L119-L120-N(L123),"")</f>
        <v/>
      </c>
      <c r="M122" s="196">
        <f>IF(ISNUMBER(M119),M119-M120-N(M123),"")</f>
        <v/>
      </c>
      <c r="N122" s="196">
        <f>IF(ISNUMBER(N119),N119-N120-N(N123),"")</f>
        <v/>
      </c>
      <c r="O122" s="196">
        <f>IF(ISNUMBER(O119),O119-O120-N(O123),"")</f>
        <v/>
      </c>
      <c r="P122" s="196">
        <f>IF(ISNUMBER(P119),P119-P120-N(P123),"")</f>
        <v/>
      </c>
      <c r="Q122" s="196">
        <f>IF(ISNUMBER(Q119),Q119-Q120-N(Q123),"")</f>
        <v/>
      </c>
      <c r="R122" s="196">
        <f>IF(ISNUMBER(R119),R119-R120-N(R123),"")</f>
        <v/>
      </c>
      <c r="S122" s="196">
        <f>IF(ISNUMBER(S119),S119-S120-N(S123),"")</f>
        <v/>
      </c>
      <c r="T122" s="196">
        <f>IF(ISNUMBER(T119),T119-T120-N(T123),"")</f>
        <v/>
      </c>
      <c r="U122" s="196">
        <f>IF(ISNUMBER(U119),U119-U120-N(U123),"")</f>
        <v/>
      </c>
      <c r="V122" s="196">
        <f>IF(ISNUMBER(V119),V119-V120-N(V123),"")</f>
        <v/>
      </c>
      <c r="W122" s="196">
        <f>IF(ISNUMBER(W119),W119-W120-N(W123),"")</f>
        <v/>
      </c>
      <c r="X122" s="196">
        <f>IF(ISNUMBER(X119),X119-X120-N(X123),"")</f>
        <v/>
      </c>
      <c r="Y122" s="196">
        <f>IF(ISNUMBER(Y119),Y119-Y120-N(Y123),"")</f>
        <v/>
      </c>
      <c r="Z122" s="196">
        <f>IF(ISNUMBER(Z119),Z119-Z120-N(Z123),"")</f>
        <v/>
      </c>
      <c r="AA122" s="196">
        <f>IF(ISNUMBER(AA119),AA119-AA120-N(AA123),"")</f>
        <v/>
      </c>
      <c r="AB122" s="196">
        <f>IF(ISNUMBER(AB119),AB119-AB120-N(AB123),"")</f>
        <v/>
      </c>
      <c r="AC122" s="196">
        <f>IF(ISNUMBER(AC119),AC119-AC120-N(AC123),"")</f>
        <v/>
      </c>
      <c r="AD122" s="196">
        <f>IF(ISNUMBER(AD119),AD119-AD120-N(AD123),"")</f>
        <v/>
      </c>
      <c r="AE122" s="196">
        <f>IF(ISNUMBER(AE119),AE119-AE120-N(AE123),"")</f>
        <v/>
      </c>
      <c r="AF122" s="196">
        <f>IF(ISNUMBER(AF119),AF119-AF120-N(AF123),"")</f>
        <v/>
      </c>
      <c r="AG122" s="196">
        <f>IF(ISNUMBER(AG119),AG119-AG120-N(AG123),"")</f>
        <v/>
      </c>
      <c r="AH122" s="196">
        <f>IF(ISNUMBER(AH119),AH119-AH120-N(AH123),"")</f>
        <v/>
      </c>
      <c r="AI122" s="196">
        <f>IF(ISNUMBER(AI119),AI119-AI120-N(AI123),"")</f>
        <v/>
      </c>
      <c r="AJ122" s="196">
        <f>IF(ISNUMBER(AJ119),AJ119-AJ120-N(AJ123),"")</f>
        <v/>
      </c>
      <c r="AK122" s="196">
        <f>IF(ISNUMBER(AK119),AK119-AK120-N(AK123),"")</f>
        <v/>
      </c>
      <c r="AL122" s="196">
        <f>IF(ISNUMBER(AL119),AL119-AL120-N(AL123),"")</f>
        <v/>
      </c>
      <c r="AM122" s="196">
        <f>IF(ISNUMBER(AM119),AM119-AM120-N(AM123),"")</f>
        <v/>
      </c>
      <c r="AN122" s="196">
        <f>IF(ISNUMBER(AN119),AN119-AN120-N(AN123),"")</f>
        <v/>
      </c>
      <c r="AO122" s="196">
        <f>IF(ISNUMBER(AO119),AO119-AO120-N(AO123),"")</f>
        <v/>
      </c>
      <c r="AP122" s="196">
        <f>IF(ISNUMBER(AP119),AP119-AP120-N(AP123),"")</f>
        <v/>
      </c>
      <c r="AQ122" s="196">
        <f>IF(ISNUMBER(AQ119),AQ119-AQ120-N(AQ123),"")</f>
        <v/>
      </c>
      <c r="AR122" s="196">
        <f>IF(ISNUMBER(AR119),AR119-AR120-N(AR123),"")</f>
        <v/>
      </c>
      <c r="AS122" s="196">
        <f>IF(ISNUMBER(AS119),AS119-AS120-N(AS123),"")</f>
        <v/>
      </c>
      <c r="AT122" s="196">
        <f>IF(ISNUMBER(AT119),AT119-AT120-N(AT123),"")</f>
        <v/>
      </c>
      <c r="AU122" s="196">
        <f>IF(ISNUMBER(AU119),AU119-AU120-N(AU123),"")</f>
        <v/>
      </c>
      <c r="AV122" s="196">
        <f>IF(ISNUMBER(AV119),AV119-AV120-N(AV123),"")</f>
        <v/>
      </c>
      <c r="AW122" s="196">
        <f>IF(ISNUMBER(AW119),AW119-AW120-N(AW123),"")</f>
        <v/>
      </c>
      <c r="AX122" s="196">
        <f>IF(ISNUMBER(AX119),AX119-AX120-N(AX123),"")</f>
        <v/>
      </c>
      <c r="AY122" s="196">
        <f>IF(ISNUMBER(AY119),AY119-AY120-N(AY123),"")</f>
        <v/>
      </c>
      <c r="AZ122" s="196">
        <f>IF(ISNUMBER(AZ119),AZ119-AZ120-N(AZ123),"")</f>
        <v/>
      </c>
      <c r="BA122" s="196">
        <f>IF(ISNUMBER(BA119),BA119-BA120-N(BA123),"")</f>
        <v/>
      </c>
      <c r="BB122" s="196">
        <f>IF(ISNUMBER(BB119),BB119-BB120-N(BB123),"")</f>
        <v/>
      </c>
      <c r="BC122" s="196">
        <f>IF(ISNUMBER(BC119),BC119-BC120-N(BC123),"")</f>
        <v/>
      </c>
      <c r="BD122" s="196">
        <f>IF(ISNUMBER(BD119),BD119-BD120-N(BD123),"")</f>
        <v/>
      </c>
      <c r="BE122" s="196">
        <f>IF(ISNUMBER(BE119),BE119-BE120-N(BE123),"")</f>
        <v/>
      </c>
      <c r="BF122" s="196">
        <f>IF(ISNUMBER(BF119),BF119-BF120-N(BF123),"")</f>
        <v/>
      </c>
      <c r="BG122" s="196">
        <f>IF(ISNUMBER(BG119),BG119-BG120-N(BG123),"")</f>
        <v/>
      </c>
      <c r="BH122" s="196">
        <f>IF(ISNUMBER(BH119),BH119-BH120-N(BH123),"")</f>
        <v/>
      </c>
      <c r="BI122" s="196">
        <f>IF(ISNUMBER(BI119),BI119-BI120-N(BI123),"")</f>
        <v/>
      </c>
      <c r="BJ122" s="196">
        <f>IF(ISNUMBER(BJ119),BJ119-BJ120-N(BJ123),"")</f>
        <v/>
      </c>
      <c r="BK122" s="196">
        <f>IF(ISNUMBER(BK119),BK119-BK120-N(BK123),"")</f>
        <v/>
      </c>
      <c r="BL122" s="196">
        <f>IF(ISNUMBER(BL119),BL119-BL120-N(BL123),"")</f>
        <v/>
      </c>
      <c r="BM122" s="196">
        <f>IF(ISNUMBER(BM119),BM119-BM120-N(BM123),"")</f>
        <v/>
      </c>
      <c r="BN122" s="196">
        <f>IF(ISNUMBER(BN119),BN119-BN120-N(BN123),"")</f>
        <v/>
      </c>
      <c r="BO122" s="196">
        <f>IF(ISNUMBER(BO119),BO119-BO120-N(BO123),"")</f>
        <v/>
      </c>
      <c r="BP122" s="196">
        <f>IF(ISNUMBER(BP119),BP119-BP120-N(BP123),"")</f>
        <v/>
      </c>
      <c r="BQ122" s="196">
        <f>IF(ISNUMBER(BQ119),BQ119-BQ120-N(BQ123),"")</f>
        <v/>
      </c>
      <c r="BR122" s="196">
        <f>IF(ISNUMBER(BR119),BR119-BR120-N(BR123),"")</f>
        <v/>
      </c>
      <c r="BS122" s="196">
        <f>IF(ISNUMBER(BS119),BS119-BS120-N(BS123),"")</f>
        <v/>
      </c>
      <c r="BT122" s="196">
        <f>IF(ISNUMBER(BT119),BT119-BT120-N(BT123),"")</f>
        <v/>
      </c>
      <c r="BU122" s="196">
        <f>IF(ISNUMBER(BU119),BU119-BU120-N(BU123),"")</f>
        <v/>
      </c>
      <c r="BV122" s="196">
        <f>IF(ISNUMBER(BV119),BV119-BV120-N(BV123),"")</f>
        <v/>
      </c>
      <c r="BW122" s="196">
        <f>IF(ISNUMBER(BW119),BW119-BW120-N(BW123),"")</f>
        <v/>
      </c>
      <c r="BX122" s="196">
        <f>IF(ISNUMBER(BX119),BX119-BX120-N(BX123),"")</f>
        <v/>
      </c>
      <c r="BY122" s="196">
        <f>IF(ISNUMBER(BY119),BY119-BY120-N(BY123),"")</f>
        <v/>
      </c>
      <c r="BZ122" s="196">
        <f>IF(ISNUMBER(BZ119),BZ119-BZ120-N(BZ123),"")</f>
        <v/>
      </c>
      <c r="CA122" s="196">
        <f>IF(ISNUMBER(CA119),CA119-CA120-N(CA123),"")</f>
        <v/>
      </c>
      <c r="CB122" s="196">
        <f>IF(ISNUMBER(CB119),CB119-CB120-N(CB123),"")</f>
        <v/>
      </c>
      <c r="CC122" s="196">
        <f>IF(ISNUMBER(CC119),CC119-CC120-N(CC123),"")</f>
        <v/>
      </c>
      <c r="CD122" s="196">
        <f>IF(ISNUMBER(CD119),CD119-CD120-N(CD123),"")</f>
        <v/>
      </c>
      <c r="CE122" s="196">
        <f>IF(ISNUMBER(CE119),CE119-CE120-N(CE123),"")</f>
        <v/>
      </c>
      <c r="CF122" s="6" t="n"/>
      <c r="CH122" s="21">
        <f>IFERROR((CE122/BV122)^(1/5)-1,"n/m")</f>
        <v/>
      </c>
      <c r="CI122" s="21">
        <f>IFERROR((BV122/AW122)^(1/5)-1,"n/m")</f>
        <v/>
      </c>
      <c r="CJ122" s="21">
        <f>IFERROR((BV122/X122)^(1/10)-1,"n/m")</f>
        <v/>
      </c>
      <c r="CK122" s="21">
        <f>IFERROR((BV122/C122)^(1/19)-1,"n/m")</f>
        <v/>
      </c>
    </row>
    <row r="123" ht="15" customHeight="1">
      <c r="B123" s="42" t="inlineStr">
        <is>
          <t xml:space="preserve">  Memo: cumulative effect of accounting change (2005 comparative only; nil from 2006)</t>
        </is>
      </c>
      <c r="C123" s="174" t="n">
        <v>0</v>
      </c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  <c r="AP123" s="36" t="n"/>
      <c r="AQ123" s="36" t="n"/>
      <c r="AR123" s="36" t="n"/>
      <c r="AS123" s="36" t="n"/>
      <c r="AT123" s="36" t="n"/>
      <c r="AU123" s="36" t="n"/>
      <c r="AV123" s="36" t="n"/>
      <c r="AW123" s="36" t="n"/>
      <c r="AX123" s="36" t="n"/>
      <c r="AY123" s="36" t="n"/>
      <c r="AZ123" s="36" t="n"/>
      <c r="BA123" s="36" t="n"/>
      <c r="BB123" s="36" t="n"/>
      <c r="BC123" s="36" t="n"/>
      <c r="BD123" s="36" t="n"/>
      <c r="BE123" s="36" t="n"/>
      <c r="BF123" s="36" t="n"/>
      <c r="BG123" s="36" t="n"/>
      <c r="BH123" s="36" t="n"/>
      <c r="BI123" s="36" t="n"/>
      <c r="BJ123" s="36" t="n"/>
      <c r="BK123" s="36" t="n"/>
      <c r="BL123" s="36" t="n"/>
      <c r="BM123" s="36" t="n"/>
      <c r="BN123" s="36" t="n"/>
      <c r="BO123" s="36" t="n"/>
      <c r="BP123" s="36" t="n"/>
      <c r="BQ123" s="36" t="n"/>
      <c r="BR123" s="36" t="n"/>
      <c r="BS123" s="36" t="n"/>
      <c r="BT123" s="36" t="n"/>
      <c r="BU123" s="36" t="n"/>
      <c r="BV123" s="36" t="n"/>
      <c r="BW123" s="36" t="n"/>
      <c r="BX123" s="36" t="n"/>
      <c r="BY123" s="6" t="n"/>
      <c r="BZ123" s="6" t="n"/>
      <c r="CA123" s="6" t="n"/>
      <c r="CB123" s="6" t="n"/>
      <c r="CC123" s="6" t="n"/>
      <c r="CD123" s="6" t="n"/>
      <c r="CE123" s="6" t="n"/>
      <c r="CF123" s="6" t="n"/>
    </row>
    <row r="124" ht="15" customHeight="1">
      <c r="B124" s="61" t="inlineStr">
        <is>
          <t xml:space="preserve">  Check: net income vs reported (should be 0)</t>
        </is>
      </c>
      <c r="C124" s="197">
        <f>IF(ISNUMBER(C125),IF(ABS(C122-C125)&lt;=0.0015,0,ROUND(C122-C125,1)),"")</f>
        <v/>
      </c>
      <c r="D124" s="197">
        <f>IF(ISNUMBER(D125),IF(ABS(D122-D125)&lt;=0.0015,0,ROUND(D122-D125,1)),"")</f>
        <v/>
      </c>
      <c r="E124" s="197">
        <f>IF(ISNUMBER(E125),IF(ABS(E122-E125)&lt;=0.0015,0,ROUND(E122-E125,1)),"")</f>
        <v/>
      </c>
      <c r="F124" s="197">
        <f>IF(ISNUMBER(F125),IF(ABS(F122-F125)&lt;=0.0015,0,ROUND(F122-F125,1)),"")</f>
        <v/>
      </c>
      <c r="G124" s="197">
        <f>IF(ISNUMBER(G125),IF(ABS(G122-G125)&lt;=0.0015,0,ROUND(G122-G125,1)),"")</f>
        <v/>
      </c>
      <c r="H124" s="197">
        <f>IF(ISNUMBER(H125),IF(ABS(H122-H125)&lt;=0.0015,0,ROUND(H122-H125,1)),"")</f>
        <v/>
      </c>
      <c r="I124" s="197">
        <f>IF(ISNUMBER(I125),IF(ABS(I122-I125)&lt;=0.0015,0,ROUND(I122-I125,1)),"")</f>
        <v/>
      </c>
      <c r="J124" s="197">
        <f>IF(ISNUMBER(J125),IF(ABS(J122-J125)&lt;=0.0015,0,ROUND(J122-J125,1)),"")</f>
        <v/>
      </c>
      <c r="K124" s="197">
        <f>IF(ISNUMBER(K125),IF(ABS(K122-K125)&lt;=0.0015,0,ROUND(K122-K125,1)),"")</f>
        <v/>
      </c>
      <c r="L124" s="197">
        <f>IF(ISNUMBER(L125),IF(ABS(L122-L125)&lt;=0.0015,0,ROUND(L122-L125,1)),"")</f>
        <v/>
      </c>
      <c r="M124" s="197">
        <f>IF(ISNUMBER(M125),IF(ABS(M122-M125)&lt;=0.0015,0,ROUND(M122-M125,1)),"")</f>
        <v/>
      </c>
      <c r="N124" s="197">
        <f>IF(ISNUMBER(N125),IF(ABS(N122-N125)&lt;=0.0015,0,ROUND(N122-N125,1)),"")</f>
        <v/>
      </c>
      <c r="O124" s="197">
        <f>IF(ISNUMBER(O125),IF(ABS(O122-O125)&lt;=0.0015,0,ROUND(O122-O125,1)),"")</f>
        <v/>
      </c>
      <c r="P124" s="197">
        <f>IF(ISNUMBER(P125),IF(ABS(P122-P125)&lt;=0.0015,0,ROUND(P122-P125,1)),"")</f>
        <v/>
      </c>
      <c r="Q124" s="197">
        <f>IF(ISNUMBER(Q125),IF(ABS(Q122-Q125)&lt;=0.0015,0,ROUND(Q122-Q125,1)),"")</f>
        <v/>
      </c>
      <c r="R124" s="197">
        <f>IF(ISNUMBER(R125),IF(ABS(R122-R125)&lt;=0.0015,0,ROUND(R122-R125,1)),"")</f>
        <v/>
      </c>
      <c r="S124" s="197">
        <f>IF(ISNUMBER(S125),IF(ABS(S122-S125)&lt;=0.0015,0,ROUND(S122-S125,1)),"")</f>
        <v/>
      </c>
      <c r="T124" s="197">
        <f>IF(ISNUMBER(T125),IF(ABS(T122-T125)&lt;=0.0015,0,ROUND(T122-T125,1)),"")</f>
        <v/>
      </c>
      <c r="U124" s="197">
        <f>IF(ISNUMBER(U125),IF(ABS(U122-U125)&lt;=0.0015,0,ROUND(U122-U125,1)),"")</f>
        <v/>
      </c>
      <c r="V124" s="197">
        <f>IF(ISNUMBER(V125),IF(ABS(V122-V125)&lt;=0.0015,0,ROUND(V122-V125,1)),"")</f>
        <v/>
      </c>
      <c r="W124" s="197">
        <f>IF(ISNUMBER(W125),IF(ABS(W122-W125)&lt;=0.0015,0,ROUND(W122-W125,1)),"")</f>
        <v/>
      </c>
      <c r="X124" s="197">
        <f>IF(ISNUMBER(X125),IF(ABS(X122-X125)&lt;=0.0015,0,ROUND(X122-X125,1)),"")</f>
        <v/>
      </c>
      <c r="Y124" s="197">
        <f>IF(ISNUMBER(Y125),IF(ABS(Y122-Y125)&lt;=0.0015,0,ROUND(Y122-Y125,1)),"")</f>
        <v/>
      </c>
      <c r="Z124" s="197">
        <f>IF(ISNUMBER(Z125),IF(ABS(Z122-Z125)&lt;=0.0015,0,ROUND(Z122-Z125,1)),"")</f>
        <v/>
      </c>
      <c r="AA124" s="197">
        <f>IF(ISNUMBER(AA125),IF(ABS(AA122-AA125)&lt;=0.0015,0,ROUND(AA122-AA125,1)),"")</f>
        <v/>
      </c>
      <c r="AB124" s="197">
        <f>IF(ISNUMBER(AB125),IF(ABS(AB122-AB125)&lt;=0.0015,0,ROUND(AB122-AB125,1)),"")</f>
        <v/>
      </c>
      <c r="AC124" s="197">
        <f>IF(ISNUMBER(AC125),IF(ABS(AC122-AC125)&lt;=0.0015,0,ROUND(AC122-AC125,1)),"")</f>
        <v/>
      </c>
      <c r="AD124" s="197">
        <f>IF(ISNUMBER(AD125),IF(ABS(AD122-AD125)&lt;=0.0015,0,ROUND(AD122-AD125,1)),"")</f>
        <v/>
      </c>
      <c r="AE124" s="197">
        <f>IF(ISNUMBER(AE125),IF(ABS(AE122-AE125)&lt;=0.0015,0,ROUND(AE122-AE125,1)),"")</f>
        <v/>
      </c>
      <c r="AF124" s="197">
        <f>IF(ISNUMBER(AF125),IF(ABS(AF122-AF125)&lt;=0.0015,0,ROUND(AF122-AF125,1)),"")</f>
        <v/>
      </c>
      <c r="AG124" s="197">
        <f>IF(ISNUMBER(AG125),IF(ABS(AG122-AG125)&lt;=0.0015,0,ROUND(AG122-AG125,1)),"")</f>
        <v/>
      </c>
      <c r="AH124" s="197">
        <f>IF(ISNUMBER(AH125),IF(ABS(AH122-AH125)&lt;=0.0015,0,ROUND(AH122-AH125,1)),"")</f>
        <v/>
      </c>
      <c r="AI124" s="197">
        <f>IF(ISNUMBER(AI125),IF(ABS(AI122-AI125)&lt;=0.0015,0,ROUND(AI122-AI125,1)),"")</f>
        <v/>
      </c>
      <c r="AJ124" s="197">
        <f>IF(ISNUMBER(AJ125),IF(ABS(AJ122-AJ125)&lt;=0.0015,0,ROUND(AJ122-AJ125,1)),"")</f>
        <v/>
      </c>
      <c r="AK124" s="197">
        <f>IF(ISNUMBER(AK125),IF(ABS(AK122-AK125)&lt;=0.0015,0,ROUND(AK122-AK125,1)),"")</f>
        <v/>
      </c>
      <c r="AL124" s="197">
        <f>IF(ISNUMBER(AL125),IF(ABS(AL122-AL125)&lt;=0.0015,0,ROUND(AL122-AL125,1)),"")</f>
        <v/>
      </c>
      <c r="AM124" s="197">
        <f>IF(ISNUMBER(AM125),IF(ABS(AM122-AM125)&lt;=0.0015,0,ROUND(AM122-AM125,1)),"")</f>
        <v/>
      </c>
      <c r="AN124" s="197">
        <f>IF(ISNUMBER(AN125),IF(ABS(AN122-AN125)&lt;=0.0015,0,ROUND(AN122-AN125,1)),"")</f>
        <v/>
      </c>
      <c r="AO124" s="197">
        <f>IF(ISNUMBER(AO125),IF(ABS(AO122-AO125)&lt;=0.0015,0,ROUND(AO122-AO125,1)),"")</f>
        <v/>
      </c>
      <c r="AP124" s="197">
        <f>IF(ISNUMBER(AP125),IF(ABS(AP122-AP125)&lt;=0.0015,0,ROUND(AP122-AP125,1)),"")</f>
        <v/>
      </c>
      <c r="AQ124" s="197">
        <f>IF(ISNUMBER(AQ125),IF(ABS(AQ122-AQ125)&lt;=0.0015,0,ROUND(AQ122-AQ125,1)),"")</f>
        <v/>
      </c>
      <c r="AR124" s="197">
        <f>IF(ISNUMBER(AR125),IF(ABS(AR122-AR125)&lt;=0.0015,0,ROUND(AR122-AR125,1)),"")</f>
        <v/>
      </c>
      <c r="AS124" s="197">
        <f>IF(ISNUMBER(AS125),IF(ABS(AS122-AS125)&lt;=0.0015,0,ROUND(AS122-AS125,1)),"")</f>
        <v/>
      </c>
      <c r="AT124" s="197">
        <f>IF(ISNUMBER(AT125),IF(ABS(AT122-AT125)&lt;=0.0015,0,ROUND(AT122-AT125,1)),"")</f>
        <v/>
      </c>
      <c r="AU124" s="197">
        <f>IF(ISNUMBER(AU125),IF(ABS(AU122-AU125)&lt;=0.0015,0,ROUND(AU122-AU125,1)),"")</f>
        <v/>
      </c>
      <c r="AV124" s="197">
        <f>IF(ISNUMBER(AV125),IF(ABS(AV122-AV125)&lt;=0.0015,0,ROUND(AV122-AV125,1)),"")</f>
        <v/>
      </c>
      <c r="AW124" s="197">
        <f>IF(ISNUMBER(AW125),IF(ABS(AW122-AW125)&lt;=0.0015,0,ROUND(AW122-AW125,1)),"")</f>
        <v/>
      </c>
      <c r="AX124" s="197">
        <f>IF(ISNUMBER(AX125),IF(ABS(AX122-AX125)&lt;=0.0015,0,ROUND(AX122-AX125,1)),"")</f>
        <v/>
      </c>
      <c r="AY124" s="197">
        <f>IF(ISNUMBER(AY125),IF(ABS(AY122-AY125)&lt;=0.0015,0,ROUND(AY122-AY125,1)),"")</f>
        <v/>
      </c>
      <c r="AZ124" s="197">
        <f>IF(ISNUMBER(AZ125),IF(ABS(AZ122-AZ125)&lt;=0.0015,0,ROUND(AZ122-AZ125,1)),"")</f>
        <v/>
      </c>
      <c r="BA124" s="197">
        <f>IF(ISNUMBER(BA125),IF(ABS(BA122-BA125)&lt;=0.0015,0,ROUND(BA122-BA125,1)),"")</f>
        <v/>
      </c>
      <c r="BB124" s="197">
        <f>IF(ISNUMBER(BB125),IF(ABS(BB122-BB125)&lt;=0.0015,0,ROUND(BB122-BB125,1)),"")</f>
        <v/>
      </c>
      <c r="BC124" s="197">
        <f>IF(ISNUMBER(BC125),IF(ABS(BC122-BC125)&lt;=0.0015,0,ROUND(BC122-BC125,1)),"")</f>
        <v/>
      </c>
      <c r="BD124" s="197">
        <f>IF(ISNUMBER(BD125),IF(ABS(BD122-BD125)&lt;=0.0015,0,ROUND(BD122-BD125,1)),"")</f>
        <v/>
      </c>
      <c r="BE124" s="197">
        <f>IF(ISNUMBER(BE125),IF(ABS(BE122-BE125)&lt;=0.0015,0,ROUND(BE122-BE125,1)),"")</f>
        <v/>
      </c>
      <c r="BF124" s="197">
        <f>IF(ISNUMBER(BF125),IF(ABS(BF122-BF125)&lt;=0.0015,0,ROUND(BF122-BF125,1)),"")</f>
        <v/>
      </c>
      <c r="BG124" s="197">
        <f>IF(ISNUMBER(BG125),IF(ABS(BG122-BG125)&lt;=0.0015,0,ROUND(BG122-BG125,1)),"")</f>
        <v/>
      </c>
      <c r="BH124" s="197">
        <f>IF(ISNUMBER(BH125),IF(ABS(BH122-BH125)&lt;=0.0015,0,ROUND(BH122-BH125,1)),"")</f>
        <v/>
      </c>
      <c r="BI124" s="197">
        <f>IF(ISNUMBER(BI125),IF(ABS(BI122-BI125)&lt;=0.0015,0,ROUND(BI122-BI125,1)),"")</f>
        <v/>
      </c>
      <c r="BJ124" s="197">
        <f>IF(ISNUMBER(BJ125),IF(ABS(BJ122-BJ125)&lt;=0.0015,0,ROUND(BJ122-BJ125,1)),"")</f>
        <v/>
      </c>
      <c r="BK124" s="197">
        <f>IF(ISNUMBER(BK125),IF(ABS(BK122-BK125)&lt;=0.0015,0,ROUND(BK122-BK125,1)),"")</f>
        <v/>
      </c>
      <c r="BL124" s="197">
        <f>IF(ISNUMBER(BL125),IF(ABS(BL122-BL125)&lt;=0.0015,0,ROUND(BL122-BL125,1)),"")</f>
        <v/>
      </c>
      <c r="BM124" s="197">
        <f>IF(ISNUMBER(BM125),IF(ABS(BM122-BM125)&lt;=0.0015,0,ROUND(BM122-BM125,1)),"")</f>
        <v/>
      </c>
      <c r="BN124" s="197">
        <f>IF(ISNUMBER(BN125),IF(ABS(BN122-BN125)&lt;=0.0015,0,ROUND(BN122-BN125,1)),"")</f>
        <v/>
      </c>
      <c r="BO124" s="197">
        <f>IF(ISNUMBER(BO125),IF(ABS(BO122-BO125)&lt;=0.0015,0,ROUND(BO122-BO125,1)),"")</f>
        <v/>
      </c>
      <c r="BP124" s="197">
        <f>IF(ISNUMBER(BP125),IF(ABS(BP122-BP125)&lt;=0.0015,0,ROUND(BP122-BP125,1)),"")</f>
        <v/>
      </c>
      <c r="BQ124" s="197">
        <f>IF(ISNUMBER(BQ125),IF(ABS(BQ122-BQ125)&lt;=0.0015,0,ROUND(BQ122-BQ125,1)),"")</f>
        <v/>
      </c>
      <c r="BR124" s="197">
        <f>IF(ISNUMBER(BR125),IF(ABS(BR122-BR125)&lt;=0.0015,0,ROUND(BR122-BR125,1)),"")</f>
        <v/>
      </c>
      <c r="BS124" s="197">
        <f>IF(ISNUMBER(BS125),IF(ABS(BS122-BS125)&lt;=0.0015,0,ROUND(BS122-BS125,1)),"")</f>
        <v/>
      </c>
      <c r="BT124" s="197">
        <f>IF(ISNUMBER(BT125),IF(ABS(BT122-BT125)&lt;=0.0015,0,ROUND(BT122-BT125,1)),"")</f>
        <v/>
      </c>
      <c r="BU124" s="197">
        <f>IF(ISNUMBER(BU125),IF(ABS(BU122-BU125)&lt;=0.0015,0,ROUND(BU122-BU125,1)),"")</f>
        <v/>
      </c>
      <c r="BV124" s="197">
        <f>IF(ISNUMBER(BV125),IF(ABS(BV122-BV125)&lt;=0.0015,0,ROUND(BV122-BV125,1)),"")</f>
        <v/>
      </c>
      <c r="BW124" s="197">
        <f>IF(ISNUMBER(BW125),IF(ABS(BW122-BW125)&lt;=0.0015,0,ROUND(BW122-BW125,1)),"")</f>
        <v/>
      </c>
      <c r="BX124" s="197">
        <f>IF(ISNUMBER(BX125),IF(ABS(BX122-BX125)&lt;=0.0015,0,ROUND(BX122-BX125,1)),"")</f>
        <v/>
      </c>
      <c r="BY124" s="6" t="n"/>
      <c r="BZ124" s="6" t="n"/>
      <c r="CA124" s="6" t="n"/>
      <c r="CB124" s="6" t="n"/>
      <c r="CC124" s="6" t="n"/>
      <c r="CD124" s="6" t="n"/>
      <c r="CE124" s="6" t="n"/>
      <c r="CF124" s="6" t="n"/>
    </row>
    <row r="125" ht="15" customHeight="1">
      <c r="B125" s="42" t="inlineStr">
        <is>
          <t xml:space="preserve">  Memo: net income as reported</t>
        </is>
      </c>
      <c r="C125" s="174" t="n">
        <v>72.569</v>
      </c>
      <c r="D125" s="174" t="n">
        <v>71.83199999999999</v>
      </c>
      <c r="E125" s="174" t="n">
        <v>68.67700000000001</v>
      </c>
      <c r="F125" s="174" t="n">
        <v>34.871</v>
      </c>
      <c r="G125" s="174" t="n">
        <v>75.651</v>
      </c>
      <c r="H125" s="174" t="n">
        <v>139.47</v>
      </c>
      <c r="I125" s="174" t="n">
        <v>169.452</v>
      </c>
      <c r="J125" s="174" t="n">
        <v>40.553</v>
      </c>
      <c r="K125" s="174" t="n">
        <v>58.255</v>
      </c>
      <c r="L125" s="174" t="n">
        <v>60.149</v>
      </c>
      <c r="M125" s="174" t="n">
        <v>47.156</v>
      </c>
      <c r="N125" s="174" t="n">
        <v>206.113</v>
      </c>
      <c r="O125" s="174" t="n">
        <v>45.887</v>
      </c>
      <c r="P125" s="174" t="n">
        <v>73.849</v>
      </c>
      <c r="Q125" s="174" t="n">
        <v>77.90900000000001</v>
      </c>
      <c r="R125" s="174" t="n">
        <v>69.869</v>
      </c>
      <c r="S125" s="174" t="n">
        <v>267.514</v>
      </c>
      <c r="T125" s="174" t="n">
        <v>62.524</v>
      </c>
      <c r="U125" s="174" t="n">
        <v>85.574</v>
      </c>
      <c r="V125" s="174" t="n">
        <v>84.36799999999999</v>
      </c>
      <c r="W125" s="174" t="n">
        <v>72.224</v>
      </c>
      <c r="X125" s="174" t="n">
        <v>304.69</v>
      </c>
      <c r="Y125" s="174" t="n">
        <v>60.285</v>
      </c>
      <c r="Z125" s="174" t="n">
        <v>81.38800000000001</v>
      </c>
      <c r="AA125" s="174" t="n">
        <v>85.581</v>
      </c>
      <c r="AB125" s="174" t="n">
        <v>68.511</v>
      </c>
      <c r="AC125" s="174" t="n">
        <v>295.765</v>
      </c>
      <c r="AD125" s="174" t="n">
        <v>65.792</v>
      </c>
      <c r="AE125" s="174" t="n">
        <v>98.41800000000001</v>
      </c>
      <c r="AF125" s="174" t="n">
        <v>102.314</v>
      </c>
      <c r="AG125" s="174" t="n">
        <v>197.25</v>
      </c>
      <c r="AH125" s="174" t="n">
        <v>463.774</v>
      </c>
      <c r="AI125" s="174" t="n">
        <v>109.333</v>
      </c>
      <c r="AJ125" s="174" t="n">
        <v>163.434</v>
      </c>
      <c r="AK125" s="174" t="n">
        <v>173.442</v>
      </c>
      <c r="AL125" s="174" t="n">
        <v>159.459</v>
      </c>
      <c r="AM125" s="174" t="n">
        <v>605.668</v>
      </c>
      <c r="AN125" s="174" t="n">
        <v>133.323</v>
      </c>
      <c r="AO125" s="174" t="n">
        <v>174.072</v>
      </c>
      <c r="AP125" s="174" t="n">
        <v>164.099</v>
      </c>
      <c r="AQ125" s="174" t="n">
        <v>144.024</v>
      </c>
      <c r="AR125" s="174" t="n">
        <v>615.518</v>
      </c>
      <c r="AS125" s="174" t="n">
        <v>133.177</v>
      </c>
      <c r="AT125" s="174" t="n">
        <v>147.805</v>
      </c>
      <c r="AU125" s="174" t="n">
        <v>201.868</v>
      </c>
      <c r="AV125" s="174" t="n">
        <v>189.832</v>
      </c>
      <c r="AW125" s="174" t="n">
        <v>672.682</v>
      </c>
      <c r="AX125" s="174" t="n">
        <v>199.359</v>
      </c>
      <c r="AY125" s="174" t="n">
        <v>269.576</v>
      </c>
      <c r="AZ125" s="174" t="n">
        <v>286.634</v>
      </c>
      <c r="BA125" s="174" t="n">
        <v>278.806</v>
      </c>
      <c r="BB125" s="174" t="n">
        <v>1034.375</v>
      </c>
      <c r="BC125" s="174" t="n">
        <v>299.751</v>
      </c>
      <c r="BD125" s="174" t="n">
        <v>376.078</v>
      </c>
      <c r="BE125" s="174" t="n">
        <v>377.401</v>
      </c>
      <c r="BF125" s="174" t="n">
        <v>323.929</v>
      </c>
      <c r="BG125" s="174" t="n">
        <v>1377.159</v>
      </c>
      <c r="BH125" s="174" t="n">
        <v>285.038</v>
      </c>
      <c r="BI125" s="174" t="n">
        <v>292.362</v>
      </c>
      <c r="BJ125" s="174" t="n">
        <v>339.287</v>
      </c>
      <c r="BK125" s="174" t="n">
        <v>322.815</v>
      </c>
      <c r="BL125" s="174" t="n">
        <v>1239.502</v>
      </c>
      <c r="BM125" s="174" t="n">
        <v>292.304</v>
      </c>
      <c r="BN125" s="174" t="n">
        <v>322.045</v>
      </c>
      <c r="BO125" s="174" t="n">
        <v>308.58</v>
      </c>
      <c r="BP125" s="174" t="n">
        <v>263.144</v>
      </c>
      <c r="BQ125" s="174" t="n">
        <v>1186.073</v>
      </c>
      <c r="BR125" s="174" t="n">
        <v>254.66</v>
      </c>
      <c r="BS125" s="174" t="n">
        <v>268.626</v>
      </c>
      <c r="BT125" s="174" t="n">
        <v>270.947</v>
      </c>
      <c r="BU125" s="174" t="n">
        <v>229.47</v>
      </c>
      <c r="BV125" s="174" t="n">
        <v>1023.703</v>
      </c>
      <c r="BW125" s="174" t="n">
        <v>238.258</v>
      </c>
      <c r="BX125" s="174" t="n">
        <v>350.601</v>
      </c>
      <c r="BY125" s="6" t="n"/>
      <c r="BZ125" s="6" t="n"/>
      <c r="CA125" s="6" t="n"/>
      <c r="CB125" s="6" t="n"/>
      <c r="CC125" s="6" t="n"/>
      <c r="CD125" s="6" t="n"/>
      <c r="CE125" s="6" t="n"/>
      <c r="CF125" s="6" t="n"/>
    </row>
    <row r="126" ht="15" customHeight="1">
      <c r="B126" s="42" t="inlineStr">
        <is>
          <t xml:space="preserve">  Memo: share-based compensation (cash-flow statement, where presented)</t>
        </is>
      </c>
      <c r="C126" s="47" t="n"/>
      <c r="D126" s="47" t="n"/>
      <c r="E126" s="47" t="n"/>
      <c r="F126" s="47" t="n"/>
      <c r="G126" s="47" t="n"/>
      <c r="H126" s="47" t="n"/>
      <c r="I126" s="47" t="n"/>
      <c r="J126" s="47" t="n"/>
      <c r="K126" s="47" t="n"/>
      <c r="L126" s="47" t="n"/>
      <c r="M126" s="47" t="n"/>
      <c r="N126" s="47" t="n"/>
      <c r="O126" s="47" t="n"/>
      <c r="P126" s="47" t="n"/>
      <c r="Q126" s="47" t="n"/>
      <c r="R126" s="47" t="n"/>
      <c r="S126" s="47" t="n"/>
      <c r="T126" s="47" t="n"/>
      <c r="U126" s="47" t="n"/>
      <c r="V126" s="47" t="n"/>
      <c r="W126" s="47" t="n"/>
      <c r="X126" s="47" t="n"/>
      <c r="Y126" s="47" t="n"/>
      <c r="Z126" s="47" t="n"/>
      <c r="AA126" s="47" t="n"/>
      <c r="AB126" s="174" t="n">
        <v>1.41</v>
      </c>
      <c r="AC126" s="174" t="n">
        <v>1.41</v>
      </c>
      <c r="AD126" s="174" t="n">
        <v>0.71</v>
      </c>
      <c r="AE126" s="174" t="n">
        <v>0.88</v>
      </c>
      <c r="AF126" s="174" t="n">
        <v>0.826</v>
      </c>
      <c r="AG126" s="174" t="n">
        <v>0.826</v>
      </c>
      <c r="AH126" s="174" t="n">
        <v>3.242</v>
      </c>
      <c r="AI126" s="174" t="n">
        <v>1.132</v>
      </c>
      <c r="AJ126" s="174" t="n">
        <v>1.143</v>
      </c>
      <c r="AK126" s="174" t="n">
        <v>1.284</v>
      </c>
      <c r="AL126" s="174" t="n">
        <v>1.335</v>
      </c>
      <c r="AM126" s="174" t="n">
        <v>4.894</v>
      </c>
      <c r="AN126" s="174" t="n">
        <v>1.933</v>
      </c>
      <c r="AO126" s="174" t="n">
        <v>2.283</v>
      </c>
      <c r="AP126" s="174" t="n">
        <v>1.147</v>
      </c>
      <c r="AQ126" s="174" t="n">
        <v>11.354</v>
      </c>
      <c r="AR126" s="174" t="n">
        <v>16.717</v>
      </c>
      <c r="AS126" s="174" t="n">
        <v>2.073</v>
      </c>
      <c r="AT126" s="174" t="n">
        <v>2.209</v>
      </c>
      <c r="AU126" s="174" t="n">
        <v>4.095</v>
      </c>
      <c r="AV126" s="174" t="n">
        <v>2.96</v>
      </c>
      <c r="AW126" s="174" t="n">
        <v>11.337</v>
      </c>
      <c r="AX126" s="47" t="n"/>
      <c r="AY126" s="47" t="n"/>
      <c r="AZ126" s="47" t="n"/>
      <c r="BA126" s="174" t="n">
        <v>15.039</v>
      </c>
      <c r="BB126" s="174" t="n">
        <v>15.039</v>
      </c>
      <c r="BC126" s="47" t="n"/>
      <c r="BD126" s="47" t="n"/>
      <c r="BE126" s="47" t="n"/>
      <c r="BF126" s="174" t="n">
        <v>15.893</v>
      </c>
      <c r="BG126" s="174" t="n">
        <v>15.893</v>
      </c>
      <c r="BH126" s="47" t="n"/>
      <c r="BI126" s="47" t="n"/>
      <c r="BJ126" s="47" t="n"/>
      <c r="BK126" s="174" t="n">
        <v>11.08</v>
      </c>
      <c r="BL126" s="174" t="n">
        <v>11.08</v>
      </c>
      <c r="BM126" s="47" t="n"/>
      <c r="BN126" s="47" t="n"/>
      <c r="BO126" s="47" t="n"/>
      <c r="BP126" s="174" t="n">
        <v>11.349</v>
      </c>
      <c r="BQ126" s="174" t="n">
        <v>11.349</v>
      </c>
      <c r="BR126" s="47" t="n"/>
      <c r="BS126" s="47" t="n"/>
      <c r="BT126" s="47" t="n"/>
      <c r="BU126" s="174" t="n">
        <v>12.854</v>
      </c>
      <c r="BV126" s="174" t="n">
        <v>12.854</v>
      </c>
      <c r="BW126" s="47" t="n"/>
      <c r="BX126" s="47" t="n"/>
      <c r="BY126" s="176">
        <f>BY100*BY127</f>
        <v/>
      </c>
      <c r="BZ126" s="176">
        <f>BZ100*BZ127</f>
        <v/>
      </c>
      <c r="CA126" s="176">
        <f>SUM(BW126,BX126,BY126,BZ126)</f>
        <v/>
      </c>
      <c r="CB126" s="176">
        <f>CB100*CB127</f>
        <v/>
      </c>
      <c r="CC126" s="176">
        <f>CC100*CC127</f>
        <v/>
      </c>
      <c r="CD126" s="176">
        <f>CD100*CD127</f>
        <v/>
      </c>
      <c r="CE126" s="176">
        <f>CE100*CE127</f>
        <v/>
      </c>
      <c r="CF126" s="6" t="n"/>
    </row>
    <row r="127" ht="15" customHeight="1">
      <c r="B127" s="26" t="inlineStr">
        <is>
          <t xml:space="preserve">  Share-based compensation % of revenue</t>
        </is>
      </c>
      <c r="C127" s="190">
        <f>IF(AND(ISNUMBER(C126),ISNUMBER(C100)),IFERROR(C126/C100,""),"")</f>
        <v/>
      </c>
      <c r="D127" s="190">
        <f>IF(AND(ISNUMBER(D126),ISNUMBER(D100)),IFERROR(D126/D100,""),"")</f>
        <v/>
      </c>
      <c r="E127" s="190">
        <f>IF(AND(ISNUMBER(E126),ISNUMBER(E100)),IFERROR(E126/E100,""),"")</f>
        <v/>
      </c>
      <c r="F127" s="190">
        <f>IF(AND(ISNUMBER(F126),ISNUMBER(F100)),IFERROR(F126/F100,""),"")</f>
        <v/>
      </c>
      <c r="G127" s="190">
        <f>IF(AND(ISNUMBER(G126),ISNUMBER(G100)),IFERROR(G126/G100,""),"")</f>
        <v/>
      </c>
      <c r="H127" s="190">
        <f>IF(AND(ISNUMBER(H126),ISNUMBER(H100)),IFERROR(H126/H100,""),"")</f>
        <v/>
      </c>
      <c r="I127" s="190">
        <f>IF(AND(ISNUMBER(I126),ISNUMBER(I100)),IFERROR(I126/I100,""),"")</f>
        <v/>
      </c>
      <c r="J127" s="190">
        <f>IF(AND(ISNUMBER(J126),ISNUMBER(J100)),IFERROR(J126/J100,""),"")</f>
        <v/>
      </c>
      <c r="K127" s="190">
        <f>IF(AND(ISNUMBER(K126),ISNUMBER(K100)),IFERROR(K126/K100,""),"")</f>
        <v/>
      </c>
      <c r="L127" s="190">
        <f>IF(AND(ISNUMBER(L126),ISNUMBER(L100)),IFERROR(L126/L100,""),"")</f>
        <v/>
      </c>
      <c r="M127" s="190">
        <f>IF(AND(ISNUMBER(M126),ISNUMBER(M100)),IFERROR(M126/M100,""),"")</f>
        <v/>
      </c>
      <c r="N127" s="190">
        <f>IF(AND(ISNUMBER(N126),ISNUMBER(N100)),IFERROR(N126/N100,""),"")</f>
        <v/>
      </c>
      <c r="O127" s="190">
        <f>IF(AND(ISNUMBER(O126),ISNUMBER(O100)),IFERROR(O126/O100,""),"")</f>
        <v/>
      </c>
      <c r="P127" s="190">
        <f>IF(AND(ISNUMBER(P126),ISNUMBER(P100)),IFERROR(P126/P100,""),"")</f>
        <v/>
      </c>
      <c r="Q127" s="190">
        <f>IF(AND(ISNUMBER(Q126),ISNUMBER(Q100)),IFERROR(Q126/Q100,""),"")</f>
        <v/>
      </c>
      <c r="R127" s="190">
        <f>IF(AND(ISNUMBER(R126),ISNUMBER(R100)),IFERROR(R126/R100,""),"")</f>
        <v/>
      </c>
      <c r="S127" s="190">
        <f>IF(AND(ISNUMBER(S126),ISNUMBER(S100)),IFERROR(S126/S100,""),"")</f>
        <v/>
      </c>
      <c r="T127" s="190">
        <f>IF(AND(ISNUMBER(T126),ISNUMBER(T100)),IFERROR(T126/T100,""),"")</f>
        <v/>
      </c>
      <c r="U127" s="190">
        <f>IF(AND(ISNUMBER(U126),ISNUMBER(U100)),IFERROR(U126/U100,""),"")</f>
        <v/>
      </c>
      <c r="V127" s="190">
        <f>IF(AND(ISNUMBER(V126),ISNUMBER(V100)),IFERROR(V126/V100,""),"")</f>
        <v/>
      </c>
      <c r="W127" s="190">
        <f>IF(AND(ISNUMBER(W126),ISNUMBER(W100)),IFERROR(W126/W100,""),"")</f>
        <v/>
      </c>
      <c r="X127" s="190">
        <f>IF(AND(ISNUMBER(X126),ISNUMBER(X100)),IFERROR(X126/X100,""),"")</f>
        <v/>
      </c>
      <c r="Y127" s="190">
        <f>IF(AND(ISNUMBER(Y126),ISNUMBER(Y100)),IFERROR(Y126/Y100,""),"")</f>
        <v/>
      </c>
      <c r="Z127" s="190">
        <f>IF(AND(ISNUMBER(Z126),ISNUMBER(Z100)),IFERROR(Z126/Z100,""),"")</f>
        <v/>
      </c>
      <c r="AA127" s="190">
        <f>IF(AND(ISNUMBER(AA126),ISNUMBER(AA100)),IFERROR(AA126/AA100,""),"")</f>
        <v/>
      </c>
      <c r="AB127" s="190">
        <f>IF(AND(ISNUMBER(AB126),ISNUMBER(AB100)),IFERROR(AB126/AB100,""),"")</f>
        <v/>
      </c>
      <c r="AC127" s="190">
        <f>IF(AND(ISNUMBER(AC126),ISNUMBER(AC100)),IFERROR(AC126/AC100,""),"")</f>
        <v/>
      </c>
      <c r="AD127" s="190">
        <f>IF(AND(ISNUMBER(AD126),ISNUMBER(AD100)),IFERROR(AD126/AD100,""),"")</f>
        <v/>
      </c>
      <c r="AE127" s="190">
        <f>IF(AND(ISNUMBER(AE126),ISNUMBER(AE100)),IFERROR(AE126/AE100,""),"")</f>
        <v/>
      </c>
      <c r="AF127" s="190">
        <f>IF(AND(ISNUMBER(AF126),ISNUMBER(AF100)),IFERROR(AF126/AF100,""),"")</f>
        <v/>
      </c>
      <c r="AG127" s="190">
        <f>IF(AND(ISNUMBER(AG126),ISNUMBER(AG100)),IFERROR(AG126/AG100,""),"")</f>
        <v/>
      </c>
      <c r="AH127" s="190">
        <f>IF(AND(ISNUMBER(AH126),ISNUMBER(AH100)),IFERROR(AH126/AH100,""),"")</f>
        <v/>
      </c>
      <c r="AI127" s="190">
        <f>IF(AND(ISNUMBER(AI126),ISNUMBER(AI100)),IFERROR(AI126/AI100,""),"")</f>
        <v/>
      </c>
      <c r="AJ127" s="190">
        <f>IF(AND(ISNUMBER(AJ126),ISNUMBER(AJ100)),IFERROR(AJ126/AJ100,""),"")</f>
        <v/>
      </c>
      <c r="AK127" s="190">
        <f>IF(AND(ISNUMBER(AK126),ISNUMBER(AK100)),IFERROR(AK126/AK100,""),"")</f>
        <v/>
      </c>
      <c r="AL127" s="190">
        <f>IF(AND(ISNUMBER(AL126),ISNUMBER(AL100)),IFERROR(AL126/AL100,""),"")</f>
        <v/>
      </c>
      <c r="AM127" s="190">
        <f>IF(AND(ISNUMBER(AM126),ISNUMBER(AM100)),IFERROR(AM126/AM100,""),"")</f>
        <v/>
      </c>
      <c r="AN127" s="190">
        <f>IF(AND(ISNUMBER(AN126),ISNUMBER(AN100)),IFERROR(AN126/AN100,""),"")</f>
        <v/>
      </c>
      <c r="AO127" s="190">
        <f>IF(AND(ISNUMBER(AO126),ISNUMBER(AO100)),IFERROR(AO126/AO100,""),"")</f>
        <v/>
      </c>
      <c r="AP127" s="190">
        <f>IF(AND(ISNUMBER(AP126),ISNUMBER(AP100)),IFERROR(AP126/AP100,""),"")</f>
        <v/>
      </c>
      <c r="AQ127" s="190">
        <f>IF(AND(ISNUMBER(AQ126),ISNUMBER(AQ100)),IFERROR(AQ126/AQ100,""),"")</f>
        <v/>
      </c>
      <c r="AR127" s="190">
        <f>IF(AND(ISNUMBER(AR126),ISNUMBER(AR100)),IFERROR(AR126/AR100,""),"")</f>
        <v/>
      </c>
      <c r="AS127" s="190">
        <f>IF(AND(ISNUMBER(AS126),ISNUMBER(AS100)),IFERROR(AS126/AS100,""),"")</f>
        <v/>
      </c>
      <c r="AT127" s="190">
        <f>IF(AND(ISNUMBER(AT126),ISNUMBER(AT100)),IFERROR(AT126/AT100,""),"")</f>
        <v/>
      </c>
      <c r="AU127" s="190">
        <f>IF(AND(ISNUMBER(AU126),ISNUMBER(AU100)),IFERROR(AU126/AU100,""),"")</f>
        <v/>
      </c>
      <c r="AV127" s="190">
        <f>IF(AND(ISNUMBER(AV126),ISNUMBER(AV100)),IFERROR(AV126/AV100,""),"")</f>
        <v/>
      </c>
      <c r="AW127" s="190">
        <f>IF(AND(ISNUMBER(AW126),ISNUMBER(AW100)),IFERROR(AW126/AW100,""),"")</f>
        <v/>
      </c>
      <c r="AX127" s="190">
        <f>IF(AND(ISNUMBER(AX126),ISNUMBER(AX100)),IFERROR(AX126/AX100,""),"")</f>
        <v/>
      </c>
      <c r="AY127" s="190">
        <f>IF(AND(ISNUMBER(AY126),ISNUMBER(AY100)),IFERROR(AY126/AY100,""),"")</f>
        <v/>
      </c>
      <c r="AZ127" s="190">
        <f>IF(AND(ISNUMBER(AZ126),ISNUMBER(AZ100)),IFERROR(AZ126/AZ100,""),"")</f>
        <v/>
      </c>
      <c r="BA127" s="190">
        <f>IF(AND(ISNUMBER(BA126),ISNUMBER(BA100)),IFERROR(BA126/BA100,""),"")</f>
        <v/>
      </c>
      <c r="BB127" s="190">
        <f>IF(AND(ISNUMBER(BB126),ISNUMBER(BB100)),IFERROR(BB126/BB100,""),"")</f>
        <v/>
      </c>
      <c r="BC127" s="190">
        <f>IF(AND(ISNUMBER(BC126),ISNUMBER(BC100)),IFERROR(BC126/BC100,""),"")</f>
        <v/>
      </c>
      <c r="BD127" s="190">
        <f>IF(AND(ISNUMBER(BD126),ISNUMBER(BD100)),IFERROR(BD126/BD100,""),"")</f>
        <v/>
      </c>
      <c r="BE127" s="190">
        <f>IF(AND(ISNUMBER(BE126),ISNUMBER(BE100)),IFERROR(BE126/BE100,""),"")</f>
        <v/>
      </c>
      <c r="BF127" s="190">
        <f>IF(AND(ISNUMBER(BF126),ISNUMBER(BF100)),IFERROR(BF126/BF100,""),"")</f>
        <v/>
      </c>
      <c r="BG127" s="190">
        <f>IF(AND(ISNUMBER(BG126),ISNUMBER(BG100)),IFERROR(BG126/BG100,""),"")</f>
        <v/>
      </c>
      <c r="BH127" s="190">
        <f>IF(AND(ISNUMBER(BH126),ISNUMBER(BH100)),IFERROR(BH126/BH100,""),"")</f>
        <v/>
      </c>
      <c r="BI127" s="190">
        <f>IF(AND(ISNUMBER(BI126),ISNUMBER(BI100)),IFERROR(BI126/BI100,""),"")</f>
        <v/>
      </c>
      <c r="BJ127" s="190">
        <f>IF(AND(ISNUMBER(BJ126),ISNUMBER(BJ100)),IFERROR(BJ126/BJ100,""),"")</f>
        <v/>
      </c>
      <c r="BK127" s="190">
        <f>IF(AND(ISNUMBER(BK126),ISNUMBER(BK100)),IFERROR(BK126/BK100,""),"")</f>
        <v/>
      </c>
      <c r="BL127" s="190">
        <f>IF(AND(ISNUMBER(BL126),ISNUMBER(BL100)),IFERROR(BL126/BL100,""),"")</f>
        <v/>
      </c>
      <c r="BM127" s="190">
        <f>IF(AND(ISNUMBER(BM126),ISNUMBER(BM100)),IFERROR(BM126/BM100,""),"")</f>
        <v/>
      </c>
      <c r="BN127" s="190">
        <f>IF(AND(ISNUMBER(BN126),ISNUMBER(BN100)),IFERROR(BN126/BN100,""),"")</f>
        <v/>
      </c>
      <c r="BO127" s="190">
        <f>IF(AND(ISNUMBER(BO126),ISNUMBER(BO100)),IFERROR(BO126/BO100,""),"")</f>
        <v/>
      </c>
      <c r="BP127" s="190">
        <f>IF(AND(ISNUMBER(BP126),ISNUMBER(BP100)),IFERROR(BP126/BP100,""),"")</f>
        <v/>
      </c>
      <c r="BQ127" s="190">
        <f>IF(AND(ISNUMBER(BQ126),ISNUMBER(BQ100)),IFERROR(BQ126/BQ100,""),"")</f>
        <v/>
      </c>
      <c r="BR127" s="190">
        <f>IF(AND(ISNUMBER(BR126),ISNUMBER(BR100)),IFERROR(BR126/BR100,""),"")</f>
        <v/>
      </c>
      <c r="BS127" s="190">
        <f>IF(AND(ISNUMBER(BS126),ISNUMBER(BS100)),IFERROR(BS126/BS100,""),"")</f>
        <v/>
      </c>
      <c r="BT127" s="190">
        <f>IF(AND(ISNUMBER(BT126),ISNUMBER(BT100)),IFERROR(BT126/BT100,""),"")</f>
        <v/>
      </c>
      <c r="BU127" s="190">
        <f>IF(AND(ISNUMBER(BU126),ISNUMBER(BU100)),IFERROR(BU126/BU100,""),"")</f>
        <v/>
      </c>
      <c r="BV127" s="190">
        <f>IF(AND(ISNUMBER(BV126),ISNUMBER(BV100)),IFERROR(BV126/BV100,""),"")</f>
        <v/>
      </c>
      <c r="BW127" s="190">
        <f>IF(AND(ISNUMBER(BW126),ISNUMBER(BW100)),IFERROR(BW126/BW100,""),"")</f>
        <v/>
      </c>
      <c r="BX127" s="190">
        <f>IF(AND(ISNUMBER(BX126),ISNUMBER(BX100)),IFERROR(BX126/BX100,""),"")</f>
        <v/>
      </c>
      <c r="BY127" s="195" t="n">
        <v>0.0024</v>
      </c>
      <c r="BZ127" s="195" t="n">
        <v>0.0024</v>
      </c>
      <c r="CA127" s="181">
        <f>IF(AND(ISNUMBER(CA126),ISNUMBER(CA100)),IFERROR(CA126/CA100,""),"")</f>
        <v/>
      </c>
      <c r="CB127" s="195" t="n">
        <v>0.0024</v>
      </c>
      <c r="CC127" s="195" t="n">
        <v>0.0024</v>
      </c>
      <c r="CD127" s="195" t="n">
        <v>0.0024</v>
      </c>
      <c r="CE127" s="195" t="n">
        <v>0.0024</v>
      </c>
      <c r="CF127" s="6" t="n"/>
    </row>
    <row r="128" ht="15" customHeight="1">
      <c r="B128" s="26" t="inlineStr">
        <is>
          <t>(Earnings per share — split-adjusted to the current basis: 3-for-2 Aug-2010, Sep-2012, Mar-2020; 2-for-1 Mar-2024)</t>
        </is>
      </c>
      <c r="CF128" s="6" t="n"/>
    </row>
    <row r="129" ht="15" customHeight="1">
      <c r="B129" s="26" t="inlineStr">
        <is>
          <t xml:space="preserve">  Weighted-average basic shares (m)</t>
        </is>
      </c>
      <c r="C129" s="205" t="n">
        <v>251.6737</v>
      </c>
      <c r="D129" s="205" t="n">
        <v>251.6737</v>
      </c>
      <c r="E129" s="205" t="n">
        <v>251.6737</v>
      </c>
      <c r="F129" s="205" t="n">
        <v>251.6737</v>
      </c>
      <c r="G129" s="205" t="n">
        <v>251.6715</v>
      </c>
      <c r="H129" s="205" t="n">
        <v>257.157</v>
      </c>
      <c r="I129" s="205" t="n">
        <v>258.495</v>
      </c>
      <c r="J129" s="205" t="n">
        <v>258.495</v>
      </c>
      <c r="K129" s="205" t="n">
        <v>258.495</v>
      </c>
      <c r="L129" s="205" t="n">
        <v>258.495</v>
      </c>
      <c r="M129" s="205" t="n">
        <v>258.495</v>
      </c>
      <c r="N129" s="205" t="n">
        <v>258.495</v>
      </c>
      <c r="O129" s="205" t="n">
        <v>258.495</v>
      </c>
      <c r="P129" s="205" t="n">
        <v>258.495</v>
      </c>
      <c r="Q129" s="205" t="n">
        <v>258.495</v>
      </c>
      <c r="R129" s="205" t="n">
        <v>258.462</v>
      </c>
      <c r="S129" s="205" t="n">
        <v>258.486</v>
      </c>
      <c r="T129" s="205" t="n">
        <v>257.913</v>
      </c>
      <c r="U129" s="205" t="n">
        <v>257.181</v>
      </c>
      <c r="V129" s="205" t="n">
        <v>255.741</v>
      </c>
      <c r="W129" s="205" t="n">
        <v>253.755</v>
      </c>
      <c r="X129" s="205" t="n">
        <v>256.134</v>
      </c>
      <c r="Y129" s="205" t="n">
        <v>251.949</v>
      </c>
      <c r="Z129" s="205" t="n">
        <v>250.062</v>
      </c>
      <c r="AA129" s="205" t="n">
        <v>248.226</v>
      </c>
      <c r="AB129" s="205" t="n">
        <v>247.143</v>
      </c>
      <c r="AC129" s="205" t="n">
        <v>249.336</v>
      </c>
      <c r="AD129" s="205" t="n">
        <v>247.047</v>
      </c>
      <c r="AE129" s="205" t="n">
        <v>246.957</v>
      </c>
      <c r="AF129" s="205" t="n">
        <v>246.858</v>
      </c>
      <c r="AG129" s="205" t="n">
        <v>246.846</v>
      </c>
      <c r="AH129" s="205" t="n">
        <v>246.924</v>
      </c>
      <c r="AI129" s="205" t="n">
        <v>246.759</v>
      </c>
      <c r="AJ129" s="205" t="n">
        <v>246.204</v>
      </c>
      <c r="AK129" s="205" t="n">
        <v>245.655</v>
      </c>
      <c r="AL129" s="205" t="n">
        <v>244.488</v>
      </c>
      <c r="AM129" s="205" t="n">
        <v>245.772</v>
      </c>
      <c r="AN129" s="205" t="n">
        <v>243.099</v>
      </c>
      <c r="AO129" s="205" t="n">
        <v>241.566</v>
      </c>
      <c r="AP129" s="205" t="n">
        <v>239.64</v>
      </c>
      <c r="AQ129" s="205" t="n">
        <v>239.064</v>
      </c>
      <c r="AR129" s="205" t="n">
        <v>240.828</v>
      </c>
      <c r="AS129" s="205" t="n">
        <v>238.1</v>
      </c>
      <c r="AT129" s="205" t="n">
        <v>235.22</v>
      </c>
      <c r="AU129" s="205" t="n">
        <v>234.376</v>
      </c>
      <c r="AV129" s="205" t="n">
        <v>234.226</v>
      </c>
      <c r="AW129" s="205" t="n">
        <v>235.474</v>
      </c>
      <c r="AX129" s="205" t="n">
        <v>232.996</v>
      </c>
      <c r="AY129" s="205" t="n">
        <v>231.642</v>
      </c>
      <c r="AZ129" s="205" t="n">
        <v>230.822</v>
      </c>
      <c r="BA129" s="205" t="n">
        <v>229.792</v>
      </c>
      <c r="BB129" s="205" t="n">
        <v>231.302</v>
      </c>
      <c r="BC129" s="205" t="n">
        <v>228.838</v>
      </c>
      <c r="BD129" s="205" t="n">
        <v>226.158</v>
      </c>
      <c r="BE129" s="205" t="n">
        <v>223.138</v>
      </c>
      <c r="BF129" s="205" t="n">
        <v>220.7</v>
      </c>
      <c r="BG129" s="205" t="n">
        <v>224.682</v>
      </c>
      <c r="BH129" s="205" t="n">
        <v>219.912</v>
      </c>
      <c r="BI129" s="205" t="n">
        <v>219.042</v>
      </c>
      <c r="BJ129" s="205" t="n">
        <v>218.386</v>
      </c>
      <c r="BK129" s="205" t="n">
        <v>218.054</v>
      </c>
      <c r="BL129" s="205" t="n">
        <v>218.842</v>
      </c>
      <c r="BM129" s="205" t="n">
        <v>217.594</v>
      </c>
      <c r="BN129" s="205" t="n">
        <v>216.369</v>
      </c>
      <c r="BO129" s="205" t="n">
        <v>214.089</v>
      </c>
      <c r="BP129" s="205" t="n">
        <v>213.289</v>
      </c>
      <c r="BQ129" s="205" t="n">
        <v>215.326</v>
      </c>
      <c r="BR129" s="205" t="n">
        <v>212.402</v>
      </c>
      <c r="BS129" s="205" t="n">
        <v>211.083</v>
      </c>
      <c r="BT129" s="205" t="n">
        <v>209.85</v>
      </c>
      <c r="BU129" s="205" t="n">
        <v>208.853</v>
      </c>
      <c r="BV129" s="205" t="n">
        <v>210.535</v>
      </c>
      <c r="BW129" s="205" t="n">
        <v>208.277</v>
      </c>
      <c r="BX129" s="205" t="n">
        <v>207.659</v>
      </c>
      <c r="BY129" s="206">
        <f>$BX$129-$CA$240*0.25</f>
        <v/>
      </c>
      <c r="BZ129" s="206">
        <f>$BX$129-$CA$240*0.75</f>
        <v/>
      </c>
      <c r="CA129" s="206">
        <f>AVERAGE(BW129,BX129,BY129,BZ129)</f>
        <v/>
      </c>
      <c r="CB129" s="206">
        <f>AVERAGE(CB242,CB243)</f>
        <v/>
      </c>
      <c r="CC129" s="206">
        <f>AVERAGE(CC242,CC243)</f>
        <v/>
      </c>
      <c r="CD129" s="206">
        <f>AVERAGE(CD242,CD243)</f>
        <v/>
      </c>
      <c r="CE129" s="206">
        <f>AVERAGE(CE242,CE243)</f>
        <v/>
      </c>
      <c r="CF129" s="20" t="inlineStr">
        <is>
          <t>Q3/Q4-26E: Q2/26 less the 2H/26 buyback phased in (¼ in Q3, ¾ in Q4). 2027E+: average of beginning and ending shares.</t>
        </is>
      </c>
    </row>
    <row r="130" ht="15" customHeight="1">
      <c r="B130" s="26" t="inlineStr">
        <is>
          <t xml:space="preserve">  Weighted-average diluted shares (m)</t>
        </is>
      </c>
      <c r="C130" s="205" t="n">
        <v>251.6737</v>
      </c>
      <c r="D130" s="205" t="n">
        <v>251.6737</v>
      </c>
      <c r="E130" s="205" t="n">
        <v>251.6737</v>
      </c>
      <c r="F130" s="205" t="n">
        <v>251.6737</v>
      </c>
      <c r="G130" s="205" t="n">
        <v>251.6715</v>
      </c>
      <c r="H130" s="205" t="n">
        <v>257.157</v>
      </c>
      <c r="I130" s="205" t="n">
        <v>258.495</v>
      </c>
      <c r="J130" s="205" t="n">
        <v>258.495</v>
      </c>
      <c r="K130" s="205" t="n">
        <v>258.495</v>
      </c>
      <c r="L130" s="205" t="n">
        <v>258.495</v>
      </c>
      <c r="M130" s="205" t="n">
        <v>258.495</v>
      </c>
      <c r="N130" s="205" t="n">
        <v>258.495</v>
      </c>
      <c r="O130" s="205" t="n">
        <v>258.495</v>
      </c>
      <c r="P130" s="205" t="n">
        <v>258.495</v>
      </c>
      <c r="Q130" s="205" t="n">
        <v>258.495</v>
      </c>
      <c r="R130" s="205" t="n">
        <v>258.462</v>
      </c>
      <c r="S130" s="205" t="n">
        <v>258.486</v>
      </c>
      <c r="T130" s="205" t="n">
        <v>257.913</v>
      </c>
      <c r="U130" s="205" t="n">
        <v>257.181</v>
      </c>
      <c r="V130" s="205" t="n">
        <v>255.741</v>
      </c>
      <c r="W130" s="205" t="n">
        <v>253.755</v>
      </c>
      <c r="X130" s="205" t="n">
        <v>256.134</v>
      </c>
      <c r="Y130" s="205" t="n">
        <v>251.949</v>
      </c>
      <c r="Z130" s="205" t="n">
        <v>250.143</v>
      </c>
      <c r="AA130" s="205" t="n">
        <v>248.433</v>
      </c>
      <c r="AB130" s="205" t="n">
        <v>247.35</v>
      </c>
      <c r="AC130" s="205" t="n">
        <v>249.462</v>
      </c>
      <c r="AD130" s="205" t="n">
        <v>247.332</v>
      </c>
      <c r="AE130" s="205" t="n">
        <v>247.284</v>
      </c>
      <c r="AF130" s="205" t="n">
        <v>247.143</v>
      </c>
      <c r="AG130" s="205" t="n">
        <v>247.128</v>
      </c>
      <c r="AH130" s="205" t="n">
        <v>247.221</v>
      </c>
      <c r="AI130" s="205" t="n">
        <v>247.068</v>
      </c>
      <c r="AJ130" s="205" t="n">
        <v>246.51</v>
      </c>
      <c r="AK130" s="205" t="n">
        <v>245.928</v>
      </c>
      <c r="AL130" s="205" t="n">
        <v>244.761</v>
      </c>
      <c r="AM130" s="205" t="n">
        <v>246.06</v>
      </c>
      <c r="AN130" s="205" t="n">
        <v>243.432</v>
      </c>
      <c r="AO130" s="205" t="n">
        <v>241.935</v>
      </c>
      <c r="AP130" s="205" t="n">
        <v>239.967</v>
      </c>
      <c r="AQ130" s="205" t="n">
        <v>239.598</v>
      </c>
      <c r="AR130" s="205" t="n">
        <v>241.218</v>
      </c>
      <c r="AS130" s="205" t="n">
        <v>239.612</v>
      </c>
      <c r="AT130" s="205" t="n">
        <v>236.72</v>
      </c>
      <c r="AU130" s="205" t="n">
        <v>235.866</v>
      </c>
      <c r="AV130" s="205" t="n">
        <v>235.774</v>
      </c>
      <c r="AW130" s="205" t="n">
        <v>236.986</v>
      </c>
      <c r="AX130" s="205" t="n">
        <v>234.512</v>
      </c>
      <c r="AY130" s="205" t="n">
        <v>233.122</v>
      </c>
      <c r="AZ130" s="205" t="n">
        <v>232.324</v>
      </c>
      <c r="BA130" s="205" t="n">
        <v>231.362</v>
      </c>
      <c r="BB130" s="205" t="n">
        <v>232.82</v>
      </c>
      <c r="BC130" s="205" t="n">
        <v>230.346</v>
      </c>
      <c r="BD130" s="205" t="n">
        <v>227.61</v>
      </c>
      <c r="BE130" s="205" t="n">
        <v>224.59</v>
      </c>
      <c r="BF130" s="205" t="n">
        <v>222.184</v>
      </c>
      <c r="BG130" s="205" t="n">
        <v>226.156</v>
      </c>
      <c r="BH130" s="205" t="n">
        <v>221.358</v>
      </c>
      <c r="BI130" s="205" t="n">
        <v>220.398</v>
      </c>
      <c r="BJ130" s="205" t="n">
        <v>219.67</v>
      </c>
      <c r="BK130" s="205" t="n">
        <v>219.324</v>
      </c>
      <c r="BL130" s="205" t="n">
        <v>220.18</v>
      </c>
      <c r="BM130" s="205" t="n">
        <v>218.808</v>
      </c>
      <c r="BN130" s="205" t="n">
        <v>217.541</v>
      </c>
      <c r="BO130" s="205" t="n">
        <v>215.227</v>
      </c>
      <c r="BP130" s="205" t="n">
        <v>214.399</v>
      </c>
      <c r="BQ130" s="205" t="n">
        <v>216.485</v>
      </c>
      <c r="BR130" s="205" t="n">
        <v>213.484</v>
      </c>
      <c r="BS130" s="205" t="n">
        <v>212.164</v>
      </c>
      <c r="BT130" s="205" t="n">
        <v>210.898</v>
      </c>
      <c r="BU130" s="205" t="n">
        <v>209.891</v>
      </c>
      <c r="BV130" s="205" t="n">
        <v>211.598</v>
      </c>
      <c r="BW130" s="205" t="n">
        <v>209.317</v>
      </c>
      <c r="BX130" s="205" t="n">
        <v>208.715</v>
      </c>
      <c r="BY130" s="206">
        <f>BY129+($BX$130-$BX$129)</f>
        <v/>
      </c>
      <c r="BZ130" s="206">
        <f>BZ129+($BX$130-$BX$129)</f>
        <v/>
      </c>
      <c r="CA130" s="206">
        <f>AVERAGE(BW130,BX130,BY130,BZ130)</f>
        <v/>
      </c>
      <c r="CB130" s="206">
        <f>CB129+CB301</f>
        <v/>
      </c>
      <c r="CC130" s="206">
        <f>CC129+CC301</f>
        <v/>
      </c>
      <c r="CD130" s="206">
        <f>CD129+CD301</f>
        <v/>
      </c>
      <c r="CE130" s="206">
        <f>CE129+CE301</f>
        <v/>
      </c>
      <c r="CF130" s="20" t="n"/>
      <c r="CH130" s="21">
        <f>IFERROR((CE130/BV130)^(1/5)-1,"n/m")</f>
        <v/>
      </c>
      <c r="CI130" s="21">
        <f>IFERROR((BV130/AW130)^(1/5)-1,"n/m")</f>
        <v/>
      </c>
      <c r="CJ130" s="21">
        <f>IFERROR((BV130/X130)^(1/10)-1,"n/m")</f>
        <v/>
      </c>
      <c r="CK130" s="21">
        <f>IFERROR((BV130/C130)^(1/19)-1,"n/m")</f>
        <v/>
      </c>
    </row>
    <row r="131" ht="15" customHeight="1">
      <c r="B131" s="26" t="inlineStr">
        <is>
          <t>EPS – basic ($)</t>
        </is>
      </c>
      <c r="C131" s="207">
        <f>IF(AND(ISNUMBER(C122),ISNUMBER(C129)),IFERROR(C122/C129,""),"")</f>
        <v/>
      </c>
      <c r="D131" s="207">
        <f>IF(AND(ISNUMBER(D122),ISNUMBER(D129)),IFERROR(D122/D129,""),"")</f>
        <v/>
      </c>
      <c r="E131" s="207">
        <f>IF(AND(ISNUMBER(E122),ISNUMBER(E129)),IFERROR(E122/E129,""),"")</f>
        <v/>
      </c>
      <c r="F131" s="207">
        <f>IF(AND(ISNUMBER(F122),ISNUMBER(F129)),IFERROR(F122/F129,""),"")</f>
        <v/>
      </c>
      <c r="G131" s="207">
        <f>IF(AND(ISNUMBER(G122),ISNUMBER(G129)),IFERROR(G122/G129,""),"")</f>
        <v/>
      </c>
      <c r="H131" s="207">
        <f>IF(AND(ISNUMBER(H122),ISNUMBER(H129)),IFERROR(H122/H129,""),"")</f>
        <v/>
      </c>
      <c r="I131" s="207">
        <f>IF(AND(ISNUMBER(I122),ISNUMBER(I129)),IFERROR(I122/I129,""),"")</f>
        <v/>
      </c>
      <c r="J131" s="207">
        <f>IF(AND(ISNUMBER(J122),ISNUMBER(J129)),IFERROR(J122/J129,""),"")</f>
        <v/>
      </c>
      <c r="K131" s="207">
        <f>IF(AND(ISNUMBER(K122),ISNUMBER(K129)),IFERROR(K122/K129,""),"")</f>
        <v/>
      </c>
      <c r="L131" s="207">
        <f>IF(AND(ISNUMBER(L122),ISNUMBER(L129)),IFERROR(L122/L129,""),"")</f>
        <v/>
      </c>
      <c r="M131" s="207">
        <f>IF(AND(ISNUMBER(M122),ISNUMBER(M129)),IFERROR(M122/M129,""),"")</f>
        <v/>
      </c>
      <c r="N131" s="207">
        <f>IF(AND(ISNUMBER(N122),ISNUMBER(N129)),IFERROR(N122/N129,""),"")</f>
        <v/>
      </c>
      <c r="O131" s="207">
        <f>IF(AND(ISNUMBER(O122),ISNUMBER(O129)),IFERROR(O122/O129,""),"")</f>
        <v/>
      </c>
      <c r="P131" s="207">
        <f>IF(AND(ISNUMBER(P122),ISNUMBER(P129)),IFERROR(P122/P129,""),"")</f>
        <v/>
      </c>
      <c r="Q131" s="207">
        <f>IF(AND(ISNUMBER(Q122),ISNUMBER(Q129)),IFERROR(Q122/Q129,""),"")</f>
        <v/>
      </c>
      <c r="R131" s="207">
        <f>IF(AND(ISNUMBER(R122),ISNUMBER(R129)),IFERROR(R122/R129,""),"")</f>
        <v/>
      </c>
      <c r="S131" s="207">
        <f>IF(AND(ISNUMBER(S122),ISNUMBER(S129)),IFERROR(S122/S129,""),"")</f>
        <v/>
      </c>
      <c r="T131" s="207">
        <f>IF(AND(ISNUMBER(T122),ISNUMBER(T129)),IFERROR(T122/T129,""),"")</f>
        <v/>
      </c>
      <c r="U131" s="207">
        <f>IF(AND(ISNUMBER(U122),ISNUMBER(U129)),IFERROR(U122/U129,""),"")</f>
        <v/>
      </c>
      <c r="V131" s="207">
        <f>IF(AND(ISNUMBER(V122),ISNUMBER(V129)),IFERROR(V122/V129,""),"")</f>
        <v/>
      </c>
      <c r="W131" s="207">
        <f>IF(AND(ISNUMBER(W122),ISNUMBER(W129)),IFERROR(W122/W129,""),"")</f>
        <v/>
      </c>
      <c r="X131" s="207">
        <f>IF(AND(ISNUMBER(X122),ISNUMBER(X129)),IFERROR(X122/X129,""),"")</f>
        <v/>
      </c>
      <c r="Y131" s="207">
        <f>IF(AND(ISNUMBER(Y122),ISNUMBER(Y129)),IFERROR(Y122/Y129,""),"")</f>
        <v/>
      </c>
      <c r="Z131" s="207">
        <f>IF(AND(ISNUMBER(Z122),ISNUMBER(Z129)),IFERROR(Z122/Z129,""),"")</f>
        <v/>
      </c>
      <c r="AA131" s="207">
        <f>IF(AND(ISNUMBER(AA122),ISNUMBER(AA129)),IFERROR(AA122/AA129,""),"")</f>
        <v/>
      </c>
      <c r="AB131" s="207">
        <f>IF(AND(ISNUMBER(AB122),ISNUMBER(AB129)),IFERROR(AB122/AB129,""),"")</f>
        <v/>
      </c>
      <c r="AC131" s="207">
        <f>IF(AND(ISNUMBER(AC122),ISNUMBER(AC129)),IFERROR(AC122/AC129,""),"")</f>
        <v/>
      </c>
      <c r="AD131" s="207">
        <f>IF(AND(ISNUMBER(AD122),ISNUMBER(AD129)),IFERROR(AD122/AD129,""),"")</f>
        <v/>
      </c>
      <c r="AE131" s="207">
        <f>IF(AND(ISNUMBER(AE122),ISNUMBER(AE129)),IFERROR(AE122/AE129,""),"")</f>
        <v/>
      </c>
      <c r="AF131" s="207">
        <f>IF(AND(ISNUMBER(AF122),ISNUMBER(AF129)),IFERROR(AF122/AF129,""),"")</f>
        <v/>
      </c>
      <c r="AG131" s="207">
        <f>IF(AND(ISNUMBER(AG122),ISNUMBER(AG129)),IFERROR(AG122/AG129,""),"")</f>
        <v/>
      </c>
      <c r="AH131" s="207">
        <f>IF(AND(ISNUMBER(AH122),ISNUMBER(AH129)),IFERROR(AH122/AH129,""),"")</f>
        <v/>
      </c>
      <c r="AI131" s="207">
        <f>IF(AND(ISNUMBER(AI122),ISNUMBER(AI129)),IFERROR(AI122/AI129,""),"")</f>
        <v/>
      </c>
      <c r="AJ131" s="207">
        <f>IF(AND(ISNUMBER(AJ122),ISNUMBER(AJ129)),IFERROR(AJ122/AJ129,""),"")</f>
        <v/>
      </c>
      <c r="AK131" s="207">
        <f>IF(AND(ISNUMBER(AK122),ISNUMBER(AK129)),IFERROR(AK122/AK129,""),"")</f>
        <v/>
      </c>
      <c r="AL131" s="207">
        <f>IF(AND(ISNUMBER(AL122),ISNUMBER(AL129)),IFERROR(AL122/AL129,""),"")</f>
        <v/>
      </c>
      <c r="AM131" s="207">
        <f>IF(AND(ISNUMBER(AM122),ISNUMBER(AM129)),IFERROR(AM122/AM129,""),"")</f>
        <v/>
      </c>
      <c r="AN131" s="207">
        <f>IF(AND(ISNUMBER(AN122),ISNUMBER(AN129)),IFERROR(AN122/AN129,""),"")</f>
        <v/>
      </c>
      <c r="AO131" s="207">
        <f>IF(AND(ISNUMBER(AO122),ISNUMBER(AO129)),IFERROR(AO122/AO129,""),"")</f>
        <v/>
      </c>
      <c r="AP131" s="207">
        <f>IF(AND(ISNUMBER(AP122),ISNUMBER(AP129)),IFERROR(AP122/AP129,""),"")</f>
        <v/>
      </c>
      <c r="AQ131" s="207">
        <f>IF(AND(ISNUMBER(AQ122),ISNUMBER(AQ129)),IFERROR(AQ122/AQ129,""),"")</f>
        <v/>
      </c>
      <c r="AR131" s="207">
        <f>IF(AND(ISNUMBER(AR122),ISNUMBER(AR129)),IFERROR(AR122/AR129,""),"")</f>
        <v/>
      </c>
      <c r="AS131" s="207">
        <f>IF(AND(ISNUMBER(AS122),ISNUMBER(AS129)),IFERROR(AS122/AS129,""),"")</f>
        <v/>
      </c>
      <c r="AT131" s="207">
        <f>IF(AND(ISNUMBER(AT122),ISNUMBER(AT129)),IFERROR(AT122/AT129,""),"")</f>
        <v/>
      </c>
      <c r="AU131" s="207">
        <f>IF(AND(ISNUMBER(AU122),ISNUMBER(AU129)),IFERROR(AU122/AU129,""),"")</f>
        <v/>
      </c>
      <c r="AV131" s="207">
        <f>IF(AND(ISNUMBER(AV122),ISNUMBER(AV129)),IFERROR(AV122/AV129,""),"")</f>
        <v/>
      </c>
      <c r="AW131" s="207">
        <f>IF(AND(ISNUMBER(AW122),ISNUMBER(AW129)),IFERROR(AW122/AW129,""),"")</f>
        <v/>
      </c>
      <c r="AX131" s="207">
        <f>IF(AND(ISNUMBER(AX122),ISNUMBER(AX129)),IFERROR(AX122/AX129,""),"")</f>
        <v/>
      </c>
      <c r="AY131" s="207">
        <f>IF(AND(ISNUMBER(AY122),ISNUMBER(AY129)),IFERROR(AY122/AY129,""),"")</f>
        <v/>
      </c>
      <c r="AZ131" s="207">
        <f>IF(AND(ISNUMBER(AZ122),ISNUMBER(AZ129)),IFERROR(AZ122/AZ129,""),"")</f>
        <v/>
      </c>
      <c r="BA131" s="207">
        <f>IF(AND(ISNUMBER(BA122),ISNUMBER(BA129)),IFERROR(BA122/BA129,""),"")</f>
        <v/>
      </c>
      <c r="BB131" s="207">
        <f>IF(AND(ISNUMBER(BB122),ISNUMBER(BB129)),IFERROR(BB122/BB129,""),"")</f>
        <v/>
      </c>
      <c r="BC131" s="207">
        <f>IF(AND(ISNUMBER(BC122),ISNUMBER(BC129)),IFERROR(BC122/BC129,""),"")</f>
        <v/>
      </c>
      <c r="BD131" s="207">
        <f>IF(AND(ISNUMBER(BD122),ISNUMBER(BD129)),IFERROR(BD122/BD129,""),"")</f>
        <v/>
      </c>
      <c r="BE131" s="207">
        <f>IF(AND(ISNUMBER(BE122),ISNUMBER(BE129)),IFERROR(BE122/BE129,""),"")</f>
        <v/>
      </c>
      <c r="BF131" s="207">
        <f>IF(AND(ISNUMBER(BF122),ISNUMBER(BF129)),IFERROR(BF122/BF129,""),"")</f>
        <v/>
      </c>
      <c r="BG131" s="207">
        <f>IF(AND(ISNUMBER(BG122),ISNUMBER(BG129)),IFERROR(BG122/BG129,""),"")</f>
        <v/>
      </c>
      <c r="BH131" s="207">
        <f>IF(AND(ISNUMBER(BH122),ISNUMBER(BH129)),IFERROR(BH122/BH129,""),"")</f>
        <v/>
      </c>
      <c r="BI131" s="207">
        <f>IF(AND(ISNUMBER(BI122),ISNUMBER(BI129)),IFERROR(BI122/BI129,""),"")</f>
        <v/>
      </c>
      <c r="BJ131" s="207">
        <f>IF(AND(ISNUMBER(BJ122),ISNUMBER(BJ129)),IFERROR(BJ122/BJ129,""),"")</f>
        <v/>
      </c>
      <c r="BK131" s="207">
        <f>IF(AND(ISNUMBER(BK122),ISNUMBER(BK129)),IFERROR(BK122/BK129,""),"")</f>
        <v/>
      </c>
      <c r="BL131" s="207">
        <f>IF(AND(ISNUMBER(BL122),ISNUMBER(BL129)),IFERROR(BL122/BL129,""),"")</f>
        <v/>
      </c>
      <c r="BM131" s="207">
        <f>IF(AND(ISNUMBER(BM122),ISNUMBER(BM129)),IFERROR(BM122/BM129,""),"")</f>
        <v/>
      </c>
      <c r="BN131" s="207">
        <f>IF(AND(ISNUMBER(BN122),ISNUMBER(BN129)),IFERROR(BN122/BN129,""),"")</f>
        <v/>
      </c>
      <c r="BO131" s="207">
        <f>IF(AND(ISNUMBER(BO122),ISNUMBER(BO129)),IFERROR(BO122/BO129,""),"")</f>
        <v/>
      </c>
      <c r="BP131" s="207">
        <f>IF(AND(ISNUMBER(BP122),ISNUMBER(BP129)),IFERROR(BP122/BP129,""),"")</f>
        <v/>
      </c>
      <c r="BQ131" s="207">
        <f>IF(AND(ISNUMBER(BQ122),ISNUMBER(BQ129)),IFERROR(BQ122/BQ129,""),"")</f>
        <v/>
      </c>
      <c r="BR131" s="207">
        <f>IF(AND(ISNUMBER(BR122),ISNUMBER(BR129)),IFERROR(BR122/BR129,""),"")</f>
        <v/>
      </c>
      <c r="BS131" s="207">
        <f>IF(AND(ISNUMBER(BS122),ISNUMBER(BS129)),IFERROR(BS122/BS129,""),"")</f>
        <v/>
      </c>
      <c r="BT131" s="207">
        <f>IF(AND(ISNUMBER(BT122),ISNUMBER(BT129)),IFERROR(BT122/BT129,""),"")</f>
        <v/>
      </c>
      <c r="BU131" s="207">
        <f>IF(AND(ISNUMBER(BU122),ISNUMBER(BU129)),IFERROR(BU122/BU129,""),"")</f>
        <v/>
      </c>
      <c r="BV131" s="207">
        <f>IF(AND(ISNUMBER(BV122),ISNUMBER(BV129)),IFERROR(BV122/BV129,""),"")</f>
        <v/>
      </c>
      <c r="BW131" s="207">
        <f>IF(AND(ISNUMBER(BW122),ISNUMBER(BW129)),IFERROR(BW122/BW129,""),"")</f>
        <v/>
      </c>
      <c r="BX131" s="207">
        <f>IF(AND(ISNUMBER(BX122),ISNUMBER(BX129)),IFERROR(BX122/BX129,""),"")</f>
        <v/>
      </c>
      <c r="BY131" s="208">
        <f>IF(AND(ISNUMBER(BY122),ISNUMBER(BY129)),IFERROR(BY122/BY129,""),"")</f>
        <v/>
      </c>
      <c r="BZ131" s="208">
        <f>IF(AND(ISNUMBER(BZ122),ISNUMBER(BZ129)),IFERROR(BZ122/BZ129,""),"")</f>
        <v/>
      </c>
      <c r="CA131" s="208">
        <f>IF(AND(ISNUMBER(CA122),ISNUMBER(CA129)),IFERROR(CA122/CA129,""),"")</f>
        <v/>
      </c>
      <c r="CB131" s="208">
        <f>IF(AND(ISNUMBER(CB122),ISNUMBER(CB129)),IFERROR(CB122/CB129,""),"")</f>
        <v/>
      </c>
      <c r="CC131" s="208">
        <f>IF(AND(ISNUMBER(CC122),ISNUMBER(CC129)),IFERROR(CC122/CC129,""),"")</f>
        <v/>
      </c>
      <c r="CD131" s="208">
        <f>IF(AND(ISNUMBER(CD122),ISNUMBER(CD129)),IFERROR(CD122/CD129,""),"")</f>
        <v/>
      </c>
      <c r="CE131" s="208">
        <f>IF(AND(ISNUMBER(CE122),ISNUMBER(CE129)),IFERROR(CE122/CE129,""),"")</f>
        <v/>
      </c>
      <c r="CF131" s="6" t="n"/>
    </row>
    <row r="132" ht="15" customHeight="1">
      <c r="B132" s="59" t="inlineStr">
        <is>
          <t>EPS – diluted ($)</t>
        </is>
      </c>
      <c r="C132" s="209">
        <f>IF(AND(ISNUMBER(C122),ISNUMBER(C130)),IFERROR(C122/C130,""),"")</f>
        <v/>
      </c>
      <c r="D132" s="209">
        <f>IF(AND(ISNUMBER(D122),ISNUMBER(D130)),IFERROR(D122/D130,""),"")</f>
        <v/>
      </c>
      <c r="E132" s="209">
        <f>IF(AND(ISNUMBER(E122),ISNUMBER(E130)),IFERROR(E122/E130,""),"")</f>
        <v/>
      </c>
      <c r="F132" s="209">
        <f>IF(AND(ISNUMBER(F122),ISNUMBER(F130)),IFERROR(F122/F130,""),"")</f>
        <v/>
      </c>
      <c r="G132" s="209">
        <f>IF(AND(ISNUMBER(G122),ISNUMBER(G130)),IFERROR(G122/G130,""),"")</f>
        <v/>
      </c>
      <c r="H132" s="209">
        <f>IF(AND(ISNUMBER(H122),ISNUMBER(H130)),IFERROR(H122/H130,""),"")</f>
        <v/>
      </c>
      <c r="I132" s="209">
        <f>IF(AND(ISNUMBER(I122),ISNUMBER(I130)),IFERROR(I122/I130,""),"")</f>
        <v/>
      </c>
      <c r="J132" s="209">
        <f>IF(AND(ISNUMBER(J122),ISNUMBER(J130)),IFERROR(J122/J130,""),"")</f>
        <v/>
      </c>
      <c r="K132" s="209">
        <f>IF(AND(ISNUMBER(K122),ISNUMBER(K130)),IFERROR(K122/K130,""),"")</f>
        <v/>
      </c>
      <c r="L132" s="209">
        <f>IF(AND(ISNUMBER(L122),ISNUMBER(L130)),IFERROR(L122/L130,""),"")</f>
        <v/>
      </c>
      <c r="M132" s="209">
        <f>IF(AND(ISNUMBER(M122),ISNUMBER(M130)),IFERROR(M122/M130,""),"")</f>
        <v/>
      </c>
      <c r="N132" s="209">
        <f>IF(AND(ISNUMBER(N122),ISNUMBER(N130)),IFERROR(N122/N130,""),"")</f>
        <v/>
      </c>
      <c r="O132" s="209">
        <f>IF(AND(ISNUMBER(O122),ISNUMBER(O130)),IFERROR(O122/O130,""),"")</f>
        <v/>
      </c>
      <c r="P132" s="209">
        <f>IF(AND(ISNUMBER(P122),ISNUMBER(P130)),IFERROR(P122/P130,""),"")</f>
        <v/>
      </c>
      <c r="Q132" s="209">
        <f>IF(AND(ISNUMBER(Q122),ISNUMBER(Q130)),IFERROR(Q122/Q130,""),"")</f>
        <v/>
      </c>
      <c r="R132" s="209">
        <f>IF(AND(ISNUMBER(R122),ISNUMBER(R130)),IFERROR(R122/R130,""),"")</f>
        <v/>
      </c>
      <c r="S132" s="209">
        <f>IF(AND(ISNUMBER(S122),ISNUMBER(S130)),IFERROR(S122/S130,""),"")</f>
        <v/>
      </c>
      <c r="T132" s="209">
        <f>IF(AND(ISNUMBER(T122),ISNUMBER(T130)),IFERROR(T122/T130,""),"")</f>
        <v/>
      </c>
      <c r="U132" s="209">
        <f>IF(AND(ISNUMBER(U122),ISNUMBER(U130)),IFERROR(U122/U130,""),"")</f>
        <v/>
      </c>
      <c r="V132" s="209">
        <f>IF(AND(ISNUMBER(V122),ISNUMBER(V130)),IFERROR(V122/V130,""),"")</f>
        <v/>
      </c>
      <c r="W132" s="209">
        <f>IF(AND(ISNUMBER(W122),ISNUMBER(W130)),IFERROR(W122/W130,""),"")</f>
        <v/>
      </c>
      <c r="X132" s="209">
        <f>IF(AND(ISNUMBER(X122),ISNUMBER(X130)),IFERROR(X122/X130,""),"")</f>
        <v/>
      </c>
      <c r="Y132" s="209">
        <f>IF(AND(ISNUMBER(Y122),ISNUMBER(Y130)),IFERROR(Y122/Y130,""),"")</f>
        <v/>
      </c>
      <c r="Z132" s="209">
        <f>IF(AND(ISNUMBER(Z122),ISNUMBER(Z130)),IFERROR(Z122/Z130,""),"")</f>
        <v/>
      </c>
      <c r="AA132" s="209">
        <f>IF(AND(ISNUMBER(AA122),ISNUMBER(AA130)),IFERROR(AA122/AA130,""),"")</f>
        <v/>
      </c>
      <c r="AB132" s="209">
        <f>IF(AND(ISNUMBER(AB122),ISNUMBER(AB130)),IFERROR(AB122/AB130,""),"")</f>
        <v/>
      </c>
      <c r="AC132" s="209">
        <f>IF(AND(ISNUMBER(AC122),ISNUMBER(AC130)),IFERROR(AC122/AC130,""),"")</f>
        <v/>
      </c>
      <c r="AD132" s="209">
        <f>IF(AND(ISNUMBER(AD122),ISNUMBER(AD130)),IFERROR(AD122/AD130,""),"")</f>
        <v/>
      </c>
      <c r="AE132" s="209">
        <f>IF(AND(ISNUMBER(AE122),ISNUMBER(AE130)),IFERROR(AE122/AE130,""),"")</f>
        <v/>
      </c>
      <c r="AF132" s="209">
        <f>IF(AND(ISNUMBER(AF122),ISNUMBER(AF130)),IFERROR(AF122/AF130,""),"")</f>
        <v/>
      </c>
      <c r="AG132" s="209">
        <f>IF(AND(ISNUMBER(AG122),ISNUMBER(AG130)),IFERROR(AG122/AG130,""),"")</f>
        <v/>
      </c>
      <c r="AH132" s="209">
        <f>IF(AND(ISNUMBER(AH122),ISNUMBER(AH130)),IFERROR(AH122/AH130,""),"")</f>
        <v/>
      </c>
      <c r="AI132" s="209">
        <f>IF(AND(ISNUMBER(AI122),ISNUMBER(AI130)),IFERROR(AI122/AI130,""),"")</f>
        <v/>
      </c>
      <c r="AJ132" s="209">
        <f>IF(AND(ISNUMBER(AJ122),ISNUMBER(AJ130)),IFERROR(AJ122/AJ130,""),"")</f>
        <v/>
      </c>
      <c r="AK132" s="209">
        <f>IF(AND(ISNUMBER(AK122),ISNUMBER(AK130)),IFERROR(AK122/AK130,""),"")</f>
        <v/>
      </c>
      <c r="AL132" s="209">
        <f>IF(AND(ISNUMBER(AL122),ISNUMBER(AL130)),IFERROR(AL122/AL130,""),"")</f>
        <v/>
      </c>
      <c r="AM132" s="209">
        <f>IF(AND(ISNUMBER(AM122),ISNUMBER(AM130)),IFERROR(AM122/AM130,""),"")</f>
        <v/>
      </c>
      <c r="AN132" s="209">
        <f>IF(AND(ISNUMBER(AN122),ISNUMBER(AN130)),IFERROR(AN122/AN130,""),"")</f>
        <v/>
      </c>
      <c r="AO132" s="209">
        <f>IF(AND(ISNUMBER(AO122),ISNUMBER(AO130)),IFERROR(AO122/AO130,""),"")</f>
        <v/>
      </c>
      <c r="AP132" s="209">
        <f>IF(AND(ISNUMBER(AP122),ISNUMBER(AP130)),IFERROR(AP122/AP130,""),"")</f>
        <v/>
      </c>
      <c r="AQ132" s="209">
        <f>IF(AND(ISNUMBER(AQ122),ISNUMBER(AQ130)),IFERROR(AQ122/AQ130,""),"")</f>
        <v/>
      </c>
      <c r="AR132" s="209">
        <f>IF(AND(ISNUMBER(AR122),ISNUMBER(AR130)),IFERROR(AR122/AR130,""),"")</f>
        <v/>
      </c>
      <c r="AS132" s="209">
        <f>IF(AND(ISNUMBER(AS122),ISNUMBER(AS130)),IFERROR(AS122/AS130,""),"")</f>
        <v/>
      </c>
      <c r="AT132" s="209">
        <f>IF(AND(ISNUMBER(AT122),ISNUMBER(AT130)),IFERROR(AT122/AT130,""),"")</f>
        <v/>
      </c>
      <c r="AU132" s="209">
        <f>IF(AND(ISNUMBER(AU122),ISNUMBER(AU130)),IFERROR(AU122/AU130,""),"")</f>
        <v/>
      </c>
      <c r="AV132" s="209">
        <f>IF(AND(ISNUMBER(AV122),ISNUMBER(AV130)),IFERROR(AV122/AV130,""),"")</f>
        <v/>
      </c>
      <c r="AW132" s="209">
        <f>IF(AND(ISNUMBER(AW122),ISNUMBER(AW130)),IFERROR(AW122/AW130,""),"")</f>
        <v/>
      </c>
      <c r="AX132" s="209">
        <f>IF(AND(ISNUMBER(AX122),ISNUMBER(AX130)),IFERROR(AX122/AX130,""),"")</f>
        <v/>
      </c>
      <c r="AY132" s="209">
        <f>IF(AND(ISNUMBER(AY122),ISNUMBER(AY130)),IFERROR(AY122/AY130,""),"")</f>
        <v/>
      </c>
      <c r="AZ132" s="209">
        <f>IF(AND(ISNUMBER(AZ122),ISNUMBER(AZ130)),IFERROR(AZ122/AZ130,""),"")</f>
        <v/>
      </c>
      <c r="BA132" s="209">
        <f>IF(AND(ISNUMBER(BA122),ISNUMBER(BA130)),IFERROR(BA122/BA130,""),"")</f>
        <v/>
      </c>
      <c r="BB132" s="209">
        <f>IF(AND(ISNUMBER(BB122),ISNUMBER(BB130)),IFERROR(BB122/BB130,""),"")</f>
        <v/>
      </c>
      <c r="BC132" s="209">
        <f>IF(AND(ISNUMBER(BC122),ISNUMBER(BC130)),IFERROR(BC122/BC130,""),"")</f>
        <v/>
      </c>
      <c r="BD132" s="209">
        <f>IF(AND(ISNUMBER(BD122),ISNUMBER(BD130)),IFERROR(BD122/BD130,""),"")</f>
        <v/>
      </c>
      <c r="BE132" s="209">
        <f>IF(AND(ISNUMBER(BE122),ISNUMBER(BE130)),IFERROR(BE122/BE130,""),"")</f>
        <v/>
      </c>
      <c r="BF132" s="209">
        <f>IF(AND(ISNUMBER(BF122),ISNUMBER(BF130)),IFERROR(BF122/BF130,""),"")</f>
        <v/>
      </c>
      <c r="BG132" s="209">
        <f>IF(AND(ISNUMBER(BG122),ISNUMBER(BG130)),IFERROR(BG122/BG130,""),"")</f>
        <v/>
      </c>
      <c r="BH132" s="209">
        <f>IF(AND(ISNUMBER(BH122),ISNUMBER(BH130)),IFERROR(BH122/BH130,""),"")</f>
        <v/>
      </c>
      <c r="BI132" s="209">
        <f>IF(AND(ISNUMBER(BI122),ISNUMBER(BI130)),IFERROR(BI122/BI130,""),"")</f>
        <v/>
      </c>
      <c r="BJ132" s="209">
        <f>IF(AND(ISNUMBER(BJ122),ISNUMBER(BJ130)),IFERROR(BJ122/BJ130,""),"")</f>
        <v/>
      </c>
      <c r="BK132" s="209">
        <f>IF(AND(ISNUMBER(BK122),ISNUMBER(BK130)),IFERROR(BK122/BK130,""),"")</f>
        <v/>
      </c>
      <c r="BL132" s="209">
        <f>IF(AND(ISNUMBER(BL122),ISNUMBER(BL130)),IFERROR(BL122/BL130,""),"")</f>
        <v/>
      </c>
      <c r="BM132" s="209">
        <f>IF(AND(ISNUMBER(BM122),ISNUMBER(BM130)),IFERROR(BM122/BM130,""),"")</f>
        <v/>
      </c>
      <c r="BN132" s="209">
        <f>IF(AND(ISNUMBER(BN122),ISNUMBER(BN130)),IFERROR(BN122/BN130,""),"")</f>
        <v/>
      </c>
      <c r="BO132" s="209">
        <f>IF(AND(ISNUMBER(BO122),ISNUMBER(BO130)),IFERROR(BO122/BO130,""),"")</f>
        <v/>
      </c>
      <c r="BP132" s="209">
        <f>IF(AND(ISNUMBER(BP122),ISNUMBER(BP130)),IFERROR(BP122/BP130,""),"")</f>
        <v/>
      </c>
      <c r="BQ132" s="209">
        <f>IF(AND(ISNUMBER(BQ122),ISNUMBER(BQ130)),IFERROR(BQ122/BQ130,""),"")</f>
        <v/>
      </c>
      <c r="BR132" s="209">
        <f>IF(AND(ISNUMBER(BR122),ISNUMBER(BR130)),IFERROR(BR122/BR130,""),"")</f>
        <v/>
      </c>
      <c r="BS132" s="209">
        <f>IF(AND(ISNUMBER(BS122),ISNUMBER(BS130)),IFERROR(BS122/BS130,""),"")</f>
        <v/>
      </c>
      <c r="BT132" s="209">
        <f>IF(AND(ISNUMBER(BT122),ISNUMBER(BT130)),IFERROR(BT122/BT130,""),"")</f>
        <v/>
      </c>
      <c r="BU132" s="209">
        <f>IF(AND(ISNUMBER(BU122),ISNUMBER(BU130)),IFERROR(BU122/BU130,""),"")</f>
        <v/>
      </c>
      <c r="BV132" s="209">
        <f>IF(AND(ISNUMBER(BV122),ISNUMBER(BV130)),IFERROR(BV122/BV130,""),"")</f>
        <v/>
      </c>
      <c r="BW132" s="209">
        <f>IF(AND(ISNUMBER(BW122),ISNUMBER(BW130)),IFERROR(BW122/BW130,""),"")</f>
        <v/>
      </c>
      <c r="BX132" s="209">
        <f>IF(AND(ISNUMBER(BX122),ISNUMBER(BX130)),IFERROR(BX122/BX130,""),"")</f>
        <v/>
      </c>
      <c r="BY132" s="209">
        <f>IF(AND(ISNUMBER(BY122),ISNUMBER(BY130)),IFERROR(BY122/BY130,""),"")</f>
        <v/>
      </c>
      <c r="BZ132" s="209">
        <f>IF(AND(ISNUMBER(BZ122),ISNUMBER(BZ130)),IFERROR(BZ122/BZ130,""),"")</f>
        <v/>
      </c>
      <c r="CA132" s="209">
        <f>IF(AND(ISNUMBER(CA122),ISNUMBER(CA130)),IFERROR(CA122/CA130,""),"")</f>
        <v/>
      </c>
      <c r="CB132" s="209">
        <f>IF(AND(ISNUMBER(CB122),ISNUMBER(CB130)),IFERROR(CB122/CB130,""),"")</f>
        <v/>
      </c>
      <c r="CC132" s="209">
        <f>IF(AND(ISNUMBER(CC122),ISNUMBER(CC130)),IFERROR(CC122/CC130,""),"")</f>
        <v/>
      </c>
      <c r="CD132" s="209">
        <f>IF(AND(ISNUMBER(CD122),ISNUMBER(CD130)),IFERROR(CD122/CD130,""),"")</f>
        <v/>
      </c>
      <c r="CE132" s="209">
        <f>IF(AND(ISNUMBER(CE122),ISNUMBER(CE130)),IFERROR(CE122/CE130,""),"")</f>
        <v/>
      </c>
      <c r="CF132" s="20" t="inlineStr">
        <is>
          <t>EPS computed as net income / weighted diluted shares (split-adjusted); may differ by ±$0.01 vs reported.</t>
        </is>
      </c>
      <c r="CH132" s="21">
        <f>IFERROR((CE132/BV132)^(1/5)-1,"n/m")</f>
        <v/>
      </c>
      <c r="CI132" s="21">
        <f>IFERROR((BV132/AW132)^(1/5)-1,"n/m")</f>
        <v/>
      </c>
      <c r="CJ132" s="21">
        <f>IFERROR((BV132/X132)^(1/10)-1,"n/m")</f>
        <v/>
      </c>
      <c r="CK132" s="21">
        <f>IFERROR((BV132/C132)^(1/19)-1,"n/m")</f>
        <v/>
      </c>
    </row>
    <row r="133" ht="15" customHeight="1">
      <c r="B133" s="23" t="inlineStr">
        <is>
          <t xml:space="preserve">  EPS – diluted y/y %</t>
        </is>
      </c>
      <c r="D133" s="180">
        <f>IF(AND(ISNUMBER(D132),ISNUMBER(C132)),IFERROR(D132/C132-1,""),"")</f>
        <v/>
      </c>
      <c r="E133" s="180">
        <f>IF(AND(ISNUMBER(E132),ISNUMBER(D132)),IFERROR(E132/D132-1,""),"")</f>
        <v/>
      </c>
      <c r="F133" s="180">
        <f>IF(AND(ISNUMBER(F132),ISNUMBER(E132)),IFERROR(F132/E132-1,""),"")</f>
        <v/>
      </c>
      <c r="G133" s="180">
        <f>IF(AND(ISNUMBER(G132),ISNUMBER(F132)),IFERROR(G132/F132-1,""),"")</f>
        <v/>
      </c>
      <c r="H133" s="180">
        <f>IF(AND(ISNUMBER(H132),ISNUMBER(G132)),IFERROR(H132/G132-1,""),"")</f>
        <v/>
      </c>
      <c r="I133" s="180">
        <f>IF(AND(ISNUMBER(I132),ISNUMBER(H132)),IFERROR(I132/H132-1,""),"")</f>
        <v/>
      </c>
      <c r="N133" s="180">
        <f>IF(AND(ISNUMBER(N132),ISNUMBER(I132)),IFERROR(N132/I132-1,""),"")</f>
        <v/>
      </c>
      <c r="O133" s="180">
        <f>IF(AND(ISNUMBER(O132),ISNUMBER(J132)),IFERROR(O132/J132-1,""),"")</f>
        <v/>
      </c>
      <c r="P133" s="180">
        <f>IF(AND(ISNUMBER(P132),ISNUMBER(K132)),IFERROR(P132/K132-1,""),"")</f>
        <v/>
      </c>
      <c r="Q133" s="180">
        <f>IF(AND(ISNUMBER(Q132),ISNUMBER(L132)),IFERROR(Q132/L132-1,""),"")</f>
        <v/>
      </c>
      <c r="R133" s="180">
        <f>IF(AND(ISNUMBER(R132),ISNUMBER(M132)),IFERROR(R132/M132-1,""),"")</f>
        <v/>
      </c>
      <c r="S133" s="180">
        <f>IF(AND(ISNUMBER(S132),ISNUMBER(N132)),IFERROR(S132/N132-1,""),"")</f>
        <v/>
      </c>
      <c r="T133" s="180">
        <f>IF(AND(ISNUMBER(T132),ISNUMBER(O132)),IFERROR(T132/O132-1,""),"")</f>
        <v/>
      </c>
      <c r="U133" s="180">
        <f>IF(AND(ISNUMBER(U132),ISNUMBER(P132)),IFERROR(U132/P132-1,""),"")</f>
        <v/>
      </c>
      <c r="V133" s="180">
        <f>IF(AND(ISNUMBER(V132),ISNUMBER(Q132)),IFERROR(V132/Q132-1,""),"")</f>
        <v/>
      </c>
      <c r="W133" s="180">
        <f>IF(AND(ISNUMBER(W132),ISNUMBER(R132)),IFERROR(W132/R132-1,""),"")</f>
        <v/>
      </c>
      <c r="X133" s="180">
        <f>IF(AND(ISNUMBER(X132),ISNUMBER(S132)),IFERROR(X132/S132-1,""),"")</f>
        <v/>
      </c>
      <c r="Y133" s="180">
        <f>IF(AND(ISNUMBER(Y132),ISNUMBER(T132)),IFERROR(Y132/T132-1,""),"")</f>
        <v/>
      </c>
      <c r="Z133" s="180">
        <f>IF(AND(ISNUMBER(Z132),ISNUMBER(U132)),IFERROR(Z132/U132-1,""),"")</f>
        <v/>
      </c>
      <c r="AA133" s="180">
        <f>IF(AND(ISNUMBER(AA132),ISNUMBER(V132)),IFERROR(AA132/V132-1,""),"")</f>
        <v/>
      </c>
      <c r="AB133" s="180">
        <f>IF(AND(ISNUMBER(AB132),ISNUMBER(W132)),IFERROR(AB132/W132-1,""),"")</f>
        <v/>
      </c>
      <c r="AC133" s="180">
        <f>IF(AND(ISNUMBER(AC132),ISNUMBER(X132)),IFERROR(AC132/X132-1,""),"")</f>
        <v/>
      </c>
      <c r="AD133" s="180">
        <f>IF(AND(ISNUMBER(AD132),ISNUMBER(Y132)),IFERROR(AD132/Y132-1,""),"")</f>
        <v/>
      </c>
      <c r="AE133" s="180">
        <f>IF(AND(ISNUMBER(AE132),ISNUMBER(Z132)),IFERROR(AE132/Z132-1,""),"")</f>
        <v/>
      </c>
      <c r="AF133" s="180">
        <f>IF(AND(ISNUMBER(AF132),ISNUMBER(AA132)),IFERROR(AF132/AA132-1,""),"")</f>
        <v/>
      </c>
      <c r="AG133" s="180">
        <f>IF(AND(ISNUMBER(AG132),ISNUMBER(AB132)),IFERROR(AG132/AB132-1,""),"")</f>
        <v/>
      </c>
      <c r="AH133" s="180">
        <f>IF(AND(ISNUMBER(AH132),ISNUMBER(AC132)),IFERROR(AH132/AC132-1,""),"")</f>
        <v/>
      </c>
      <c r="AI133" s="180">
        <f>IF(AND(ISNUMBER(AI132),ISNUMBER(AD132)),IFERROR(AI132/AD132-1,""),"")</f>
        <v/>
      </c>
      <c r="AJ133" s="180">
        <f>IF(AND(ISNUMBER(AJ132),ISNUMBER(AE132)),IFERROR(AJ132/AE132-1,""),"")</f>
        <v/>
      </c>
      <c r="AK133" s="180">
        <f>IF(AND(ISNUMBER(AK132),ISNUMBER(AF132)),IFERROR(AK132/AF132-1,""),"")</f>
        <v/>
      </c>
      <c r="AL133" s="180">
        <f>IF(AND(ISNUMBER(AL132),ISNUMBER(AG132)),IFERROR(AL132/AG132-1,""),"")</f>
        <v/>
      </c>
      <c r="AM133" s="180">
        <f>IF(AND(ISNUMBER(AM132),ISNUMBER(AH132)),IFERROR(AM132/AH132-1,""),"")</f>
        <v/>
      </c>
      <c r="AN133" s="180">
        <f>IF(AND(ISNUMBER(AN132),ISNUMBER(AI132)),IFERROR(AN132/AI132-1,""),"")</f>
        <v/>
      </c>
      <c r="AO133" s="180">
        <f>IF(AND(ISNUMBER(AO132),ISNUMBER(AJ132)),IFERROR(AO132/AJ132-1,""),"")</f>
        <v/>
      </c>
      <c r="AP133" s="180">
        <f>IF(AND(ISNUMBER(AP132),ISNUMBER(AK132)),IFERROR(AP132/AK132-1,""),"")</f>
        <v/>
      </c>
      <c r="AQ133" s="180">
        <f>IF(AND(ISNUMBER(AQ132),ISNUMBER(AL132)),IFERROR(AQ132/AL132-1,""),"")</f>
        <v/>
      </c>
      <c r="AR133" s="180">
        <f>IF(AND(ISNUMBER(AR132),ISNUMBER(AM132)),IFERROR(AR132/AM132-1,""),"")</f>
        <v/>
      </c>
      <c r="AS133" s="180">
        <f>IF(AND(ISNUMBER(AS132),ISNUMBER(AN132)),IFERROR(AS132/AN132-1,""),"")</f>
        <v/>
      </c>
      <c r="AT133" s="180">
        <f>IF(AND(ISNUMBER(AT132),ISNUMBER(AO132)),IFERROR(AT132/AO132-1,""),"")</f>
        <v/>
      </c>
      <c r="AU133" s="180">
        <f>IF(AND(ISNUMBER(AU132),ISNUMBER(AP132)),IFERROR(AU132/AP132-1,""),"")</f>
        <v/>
      </c>
      <c r="AV133" s="180">
        <f>IF(AND(ISNUMBER(AV132),ISNUMBER(AQ132)),IFERROR(AV132/AQ132-1,""),"")</f>
        <v/>
      </c>
      <c r="AW133" s="180">
        <f>IF(AND(ISNUMBER(AW132),ISNUMBER(AR132)),IFERROR(AW132/AR132-1,""),"")</f>
        <v/>
      </c>
      <c r="AX133" s="180">
        <f>IF(AND(ISNUMBER(AX132),ISNUMBER(AS132)),IFERROR(AX132/AS132-1,""),"")</f>
        <v/>
      </c>
      <c r="AY133" s="180">
        <f>IF(AND(ISNUMBER(AY132),ISNUMBER(AT132)),IFERROR(AY132/AT132-1,""),"")</f>
        <v/>
      </c>
      <c r="AZ133" s="180">
        <f>IF(AND(ISNUMBER(AZ132),ISNUMBER(AU132)),IFERROR(AZ132/AU132-1,""),"")</f>
        <v/>
      </c>
      <c r="BA133" s="180">
        <f>IF(AND(ISNUMBER(BA132),ISNUMBER(AV132)),IFERROR(BA132/AV132-1,""),"")</f>
        <v/>
      </c>
      <c r="BB133" s="180">
        <f>IF(AND(ISNUMBER(BB132),ISNUMBER(AW132)),IFERROR(BB132/AW132-1,""),"")</f>
        <v/>
      </c>
      <c r="BC133" s="180">
        <f>IF(AND(ISNUMBER(BC132),ISNUMBER(AX132)),IFERROR(BC132/AX132-1,""),"")</f>
        <v/>
      </c>
      <c r="BD133" s="180">
        <f>IF(AND(ISNUMBER(BD132),ISNUMBER(AY132)),IFERROR(BD132/AY132-1,""),"")</f>
        <v/>
      </c>
      <c r="BE133" s="180">
        <f>IF(AND(ISNUMBER(BE132),ISNUMBER(AZ132)),IFERROR(BE132/AZ132-1,""),"")</f>
        <v/>
      </c>
      <c r="BF133" s="180">
        <f>IF(AND(ISNUMBER(BF132),ISNUMBER(BA132)),IFERROR(BF132/BA132-1,""),"")</f>
        <v/>
      </c>
      <c r="BG133" s="180">
        <f>IF(AND(ISNUMBER(BG132),ISNUMBER(BB132)),IFERROR(BG132/BB132-1,""),"")</f>
        <v/>
      </c>
      <c r="BH133" s="180">
        <f>IF(AND(ISNUMBER(BH132),ISNUMBER(BC132)),IFERROR(BH132/BC132-1,""),"")</f>
        <v/>
      </c>
      <c r="BI133" s="180">
        <f>IF(AND(ISNUMBER(BI132),ISNUMBER(BD132)),IFERROR(BI132/BD132-1,""),"")</f>
        <v/>
      </c>
      <c r="BJ133" s="180">
        <f>IF(AND(ISNUMBER(BJ132),ISNUMBER(BE132)),IFERROR(BJ132/BE132-1,""),"")</f>
        <v/>
      </c>
      <c r="BK133" s="180">
        <f>IF(AND(ISNUMBER(BK132),ISNUMBER(BF132)),IFERROR(BK132/BF132-1,""),"")</f>
        <v/>
      </c>
      <c r="BL133" s="180">
        <f>IF(AND(ISNUMBER(BL132),ISNUMBER(BG132)),IFERROR(BL132/BG132-1,""),"")</f>
        <v/>
      </c>
      <c r="BM133" s="180">
        <f>IF(AND(ISNUMBER(BM132),ISNUMBER(BH132)),IFERROR(BM132/BH132-1,""),"")</f>
        <v/>
      </c>
      <c r="BN133" s="180">
        <f>IF(AND(ISNUMBER(BN132),ISNUMBER(BI132)),IFERROR(BN132/BI132-1,""),"")</f>
        <v/>
      </c>
      <c r="BO133" s="180">
        <f>IF(AND(ISNUMBER(BO132),ISNUMBER(BJ132)),IFERROR(BO132/BJ132-1,""),"")</f>
        <v/>
      </c>
      <c r="BP133" s="180">
        <f>IF(AND(ISNUMBER(BP132),ISNUMBER(BK132)),IFERROR(BP132/BK132-1,""),"")</f>
        <v/>
      </c>
      <c r="BQ133" s="180">
        <f>IF(AND(ISNUMBER(BQ132),ISNUMBER(BL132)),IFERROR(BQ132/BL132-1,""),"")</f>
        <v/>
      </c>
      <c r="BR133" s="180">
        <f>IF(AND(ISNUMBER(BR132),ISNUMBER(BM132)),IFERROR(BR132/BM132-1,""),"")</f>
        <v/>
      </c>
      <c r="BS133" s="180">
        <f>IF(AND(ISNUMBER(BS132),ISNUMBER(BN132)),IFERROR(BS132/BN132-1,""),"")</f>
        <v/>
      </c>
      <c r="BT133" s="180">
        <f>IF(AND(ISNUMBER(BT132),ISNUMBER(BO132)),IFERROR(BT132/BO132-1,""),"")</f>
        <v/>
      </c>
      <c r="BU133" s="180">
        <f>IF(AND(ISNUMBER(BU132),ISNUMBER(BP132)),IFERROR(BU132/BP132-1,""),"")</f>
        <v/>
      </c>
      <c r="BV133" s="180">
        <f>IF(AND(ISNUMBER(BV132),ISNUMBER(BQ132)),IFERROR(BV132/BQ132-1,""),"")</f>
        <v/>
      </c>
      <c r="BW133" s="180">
        <f>IF(AND(ISNUMBER(BW132),ISNUMBER(BR132)),IFERROR(BW132/BR132-1,""),"")</f>
        <v/>
      </c>
      <c r="BX133" s="180">
        <f>IF(AND(ISNUMBER(BX132),ISNUMBER(BS132)),IFERROR(BX132/BS132-1,""),"")</f>
        <v/>
      </c>
      <c r="BY133" s="181">
        <f>IF(AND(ISNUMBER(BY132),ISNUMBER(BT132)),IFERROR(BY132/BT132-1,""),"")</f>
        <v/>
      </c>
      <c r="BZ133" s="181">
        <f>IF(AND(ISNUMBER(BZ132),ISNUMBER(BU132)),IFERROR(BZ132/BU132-1,""),"")</f>
        <v/>
      </c>
      <c r="CA133" s="181">
        <f>IF(AND(ISNUMBER(CA132),ISNUMBER(BV132)),IFERROR(CA132/BV132-1,""),"")</f>
        <v/>
      </c>
      <c r="CB133" s="181">
        <f>IF(AND(ISNUMBER(CB132),ISNUMBER(CA132)),IFERROR(CB132/CA132-1,""),"")</f>
        <v/>
      </c>
      <c r="CC133" s="181">
        <f>IF(AND(ISNUMBER(CC132),ISNUMBER(CB132)),IFERROR(CC132/CB132-1,""),"")</f>
        <v/>
      </c>
      <c r="CD133" s="181">
        <f>IF(AND(ISNUMBER(CD132),ISNUMBER(CC132)),IFERROR(CD132/CC132-1,""),"")</f>
        <v/>
      </c>
      <c r="CE133" s="181">
        <f>IF(AND(ISNUMBER(CE132),ISNUMBER(CD132)),IFERROR(CE132/CD132-1,""),"")</f>
        <v/>
      </c>
      <c r="CF133" s="6" t="n"/>
    </row>
    <row r="134" ht="15" customHeight="1">
      <c r="B134" s="42" t="inlineStr">
        <is>
          <t xml:space="preserve">  Memo: EPS – diluted as reported ($; split-adjusted)</t>
        </is>
      </c>
      <c r="C134" s="210" t="n">
        <v>0.288889</v>
      </c>
      <c r="D134" s="210" t="n">
        <v>0.285926</v>
      </c>
      <c r="E134" s="210" t="n">
        <v>0.272593</v>
      </c>
      <c r="F134" s="210" t="n">
        <v>0.139259</v>
      </c>
      <c r="G134" s="210" t="n">
        <v>0.3</v>
      </c>
      <c r="H134" s="210" t="n">
        <v>0.542222</v>
      </c>
      <c r="I134" s="210" t="n">
        <v>0.656667</v>
      </c>
      <c r="J134" s="210" t="n">
        <v>0.156667</v>
      </c>
      <c r="K134" s="210" t="n">
        <v>0.226667</v>
      </c>
      <c r="L134" s="210" t="n">
        <v>0.233333</v>
      </c>
      <c r="M134" s="210" t="n">
        <v>0.183333</v>
      </c>
      <c r="N134" s="210" t="n">
        <v>0.796667</v>
      </c>
      <c r="O134" s="210" t="n">
        <v>0.176667</v>
      </c>
      <c r="P134" s="210" t="n">
        <v>0.286667</v>
      </c>
      <c r="Q134" s="210" t="n">
        <v>0.3</v>
      </c>
      <c r="R134" s="210" t="n">
        <v>0.27</v>
      </c>
      <c r="S134" s="210" t="n">
        <v>1.033333</v>
      </c>
      <c r="T134" s="210" t="n">
        <v>0.243333</v>
      </c>
      <c r="U134" s="210" t="n">
        <v>0.333333</v>
      </c>
      <c r="V134" s="210" t="n">
        <v>0.33</v>
      </c>
      <c r="W134" s="210" t="n">
        <v>0.283333</v>
      </c>
      <c r="X134" s="210" t="n">
        <v>1.19</v>
      </c>
      <c r="Y134" s="210" t="n">
        <v>0.24</v>
      </c>
      <c r="Z134" s="210" t="n">
        <v>0.326667</v>
      </c>
      <c r="AA134" s="210" t="n">
        <v>0.343333</v>
      </c>
      <c r="AB134" s="210" t="n">
        <v>0.276667</v>
      </c>
      <c r="AC134" s="210" t="n">
        <v>1.186667</v>
      </c>
      <c r="AD134" s="210" t="n">
        <v>0.266667</v>
      </c>
      <c r="AE134" s="210" t="n">
        <v>0.396667</v>
      </c>
      <c r="AF134" s="210" t="n">
        <v>0.413333</v>
      </c>
      <c r="AG134" s="210" t="n">
        <v>0.796667</v>
      </c>
      <c r="AH134" s="210" t="n">
        <v>1.876667</v>
      </c>
      <c r="AI134" s="210" t="n">
        <v>0.443333</v>
      </c>
      <c r="AJ134" s="210" t="n">
        <v>0.663333</v>
      </c>
      <c r="AK134" s="210" t="n">
        <v>0.706667</v>
      </c>
      <c r="AL134" s="210" t="n">
        <v>0.65</v>
      </c>
      <c r="AM134" s="210" t="n">
        <v>2.46</v>
      </c>
      <c r="AN134" s="210" t="n">
        <v>0.546667</v>
      </c>
      <c r="AO134" s="210" t="n">
        <v>0.72</v>
      </c>
      <c r="AP134" s="210" t="n">
        <v>0.683333</v>
      </c>
      <c r="AQ134" s="210" t="n">
        <v>0.6</v>
      </c>
      <c r="AR134" s="210" t="n">
        <v>2.553333</v>
      </c>
      <c r="AS134" s="210" t="n">
        <v>0.555</v>
      </c>
      <c r="AT134" s="210" t="n">
        <v>0.625</v>
      </c>
      <c r="AU134" s="210" t="n">
        <v>0.855</v>
      </c>
      <c r="AV134" s="210" t="n">
        <v>0.805</v>
      </c>
      <c r="AW134" s="210" t="n">
        <v>2.84</v>
      </c>
      <c r="AX134" s="210" t="n">
        <v>0.85</v>
      </c>
      <c r="AY134" s="210" t="n">
        <v>1.155</v>
      </c>
      <c r="AZ134" s="210" t="n">
        <v>1.235</v>
      </c>
      <c r="BA134" s="210" t="n">
        <v>1.205</v>
      </c>
      <c r="BB134" s="210" t="n">
        <v>4.445</v>
      </c>
      <c r="BC134" s="210" t="n">
        <v>1.3</v>
      </c>
      <c r="BD134" s="210" t="n">
        <v>1.65</v>
      </c>
      <c r="BE134" s="210" t="n">
        <v>1.68</v>
      </c>
      <c r="BF134" s="210" t="n">
        <v>1.46</v>
      </c>
      <c r="BG134" s="210" t="n">
        <v>6.09</v>
      </c>
      <c r="BH134" s="210" t="n">
        <v>1.29</v>
      </c>
      <c r="BI134" s="210" t="n">
        <v>1.325</v>
      </c>
      <c r="BJ134" s="210" t="n">
        <v>1.545</v>
      </c>
      <c r="BK134" s="210" t="n">
        <v>1.47</v>
      </c>
      <c r="BL134" s="210" t="n">
        <v>5.63</v>
      </c>
      <c r="BM134" s="210" t="n">
        <v>1.34</v>
      </c>
      <c r="BN134" s="210" t="n">
        <v>1.48</v>
      </c>
      <c r="BO134" s="210" t="n">
        <v>1.43</v>
      </c>
      <c r="BP134" s="210" t="n">
        <v>1.23</v>
      </c>
      <c r="BQ134" s="210" t="n">
        <v>5.48</v>
      </c>
      <c r="BR134" s="210" t="n">
        <v>1.19</v>
      </c>
      <c r="BS134" s="210" t="n">
        <v>1.27</v>
      </c>
      <c r="BT134" s="210" t="n">
        <v>1.28</v>
      </c>
      <c r="BU134" s="210" t="n">
        <v>1.09</v>
      </c>
      <c r="BV134" s="210" t="n">
        <v>4.84</v>
      </c>
      <c r="BW134" s="210" t="n">
        <v>1.14</v>
      </c>
      <c r="BX134" s="210" t="n">
        <v>1.68</v>
      </c>
      <c r="BY134" s="6" t="n"/>
      <c r="BZ134" s="6" t="n"/>
      <c r="CA134" s="6" t="n"/>
      <c r="CB134" s="6" t="n"/>
      <c r="CC134" s="6" t="n"/>
      <c r="CD134" s="6" t="n"/>
      <c r="CE134" s="6" t="n"/>
      <c r="CF134" s="6" t="n"/>
    </row>
    <row r="135" ht="15" customHeight="1">
      <c r="B135" s="26" t="inlineStr">
        <is>
          <t xml:space="preserve">  Dividends declared per share ($; quarterly dividend initiated 2017)</t>
        </is>
      </c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210" t="n">
        <v>0</v>
      </c>
      <c r="Y135" s="210" t="n">
        <v>0</v>
      </c>
      <c r="Z135" s="210" t="n">
        <v>0</v>
      </c>
      <c r="AA135" s="210" t="n">
        <v>0</v>
      </c>
      <c r="AB135" s="210" t="n">
        <v>0</v>
      </c>
      <c r="AC135" s="210" t="n">
        <v>0</v>
      </c>
      <c r="AD135" s="210" t="n">
        <v>0.033333</v>
      </c>
      <c r="AE135" s="210" t="n">
        <v>0.033333</v>
      </c>
      <c r="AF135" s="210" t="n">
        <v>0.033333</v>
      </c>
      <c r="AG135" s="210" t="n">
        <v>0.033333</v>
      </c>
      <c r="AH135" s="210" t="n">
        <v>0.133333</v>
      </c>
      <c r="AI135" s="210" t="n">
        <v>0.043333</v>
      </c>
      <c r="AJ135" s="210" t="n">
        <v>0.043333</v>
      </c>
      <c r="AK135" s="210" t="n">
        <v>0.043333</v>
      </c>
      <c r="AL135" s="210" t="n">
        <v>0.043333</v>
      </c>
      <c r="AM135" s="210" t="n">
        <v>0.173333</v>
      </c>
      <c r="AN135" s="210" t="n">
        <v>0.056667</v>
      </c>
      <c r="AO135" s="210" t="n">
        <v>0.056667</v>
      </c>
      <c r="AP135" s="210" t="n">
        <v>0.056667</v>
      </c>
      <c r="AQ135" s="210" t="n">
        <v>0.056667</v>
      </c>
      <c r="AR135" s="210" t="n">
        <v>0.226667</v>
      </c>
      <c r="AS135" s="210" t="n">
        <v>0.075</v>
      </c>
      <c r="AT135" s="210" t="n">
        <v>0.075</v>
      </c>
      <c r="AU135" s="210" t="n">
        <v>0.075</v>
      </c>
      <c r="AV135" s="210" t="n">
        <v>0.075</v>
      </c>
      <c r="AW135" s="210" t="n">
        <v>0.3</v>
      </c>
      <c r="AX135" s="210" t="n">
        <v>0.1</v>
      </c>
      <c r="AY135" s="210" t="n">
        <v>0.1</v>
      </c>
      <c r="AZ135" s="210" t="n">
        <v>0.1</v>
      </c>
      <c r="BA135" s="210" t="n">
        <v>0.1</v>
      </c>
      <c r="BB135" s="210" t="n">
        <v>0.4</v>
      </c>
      <c r="BC135" s="210" t="n">
        <v>0.15</v>
      </c>
      <c r="BD135" s="210" t="n">
        <v>0.15</v>
      </c>
      <c r="BE135" s="210" t="n">
        <v>0.15</v>
      </c>
      <c r="BF135" s="210" t="n">
        <v>0.15</v>
      </c>
      <c r="BG135" s="210" t="n">
        <v>0.6</v>
      </c>
      <c r="BH135" s="210" t="n">
        <v>0.2</v>
      </c>
      <c r="BI135" s="210" t="n">
        <v>0.2</v>
      </c>
      <c r="BJ135" s="210" t="n">
        <v>0.2</v>
      </c>
      <c r="BK135" s="210" t="n">
        <v>0.2</v>
      </c>
      <c r="BL135" s="210" t="n">
        <v>0.8</v>
      </c>
      <c r="BM135" s="210" t="n">
        <v>0.26</v>
      </c>
      <c r="BN135" s="210" t="n">
        <v>0.26</v>
      </c>
      <c r="BO135" s="210" t="n">
        <v>0.26</v>
      </c>
      <c r="BP135" s="210" t="n">
        <v>0.26</v>
      </c>
      <c r="BQ135" s="210" t="n">
        <v>1.04</v>
      </c>
      <c r="BR135" s="210" t="n">
        <v>0.28</v>
      </c>
      <c r="BS135" s="210" t="n">
        <v>0.28</v>
      </c>
      <c r="BT135" s="210" t="n">
        <v>0.28</v>
      </c>
      <c r="BU135" s="210" t="n">
        <v>0.28</v>
      </c>
      <c r="BV135" s="210" t="n">
        <v>1.12</v>
      </c>
      <c r="BW135" s="210" t="n">
        <v>0.29</v>
      </c>
      <c r="BX135" s="210" t="n">
        <v>0.29</v>
      </c>
      <c r="BY135" s="208">
        <f>$BX$135</f>
        <v/>
      </c>
      <c r="BZ135" s="208">
        <f>$BX$135</f>
        <v/>
      </c>
      <c r="CA135" s="208">
        <f>SUM(BW135,BX135,BY135,BZ135)</f>
        <v/>
      </c>
      <c r="CB135" s="208">
        <f>CA135*(1+CB136)</f>
        <v/>
      </c>
      <c r="CC135" s="208">
        <f>CB135*(1+CC136)</f>
        <v/>
      </c>
      <c r="CD135" s="208">
        <f>CC135*(1+CD136)</f>
        <v/>
      </c>
      <c r="CE135" s="208">
        <f>CD135*(1+CE136)</f>
        <v/>
      </c>
      <c r="CF135" s="20" t="inlineStr">
        <is>
          <t>Q3/Q4-26E at the current quarterly rate ($0.29); 2027E+ grows with the DPS growth input (raised every Q1 since 2017).</t>
        </is>
      </c>
      <c r="CH135" s="21">
        <f>IFERROR((CE135/BV135)^(1/5)-1,"n/m")</f>
        <v/>
      </c>
      <c r="CI135" s="21">
        <f>IFERROR((BV135/AW135)^(1/5)-1,"n/m")</f>
        <v/>
      </c>
      <c r="CJ135" s="21">
        <f>IFERROR((BV135/X135)^(1/10)-1,"n/m")</f>
        <v/>
      </c>
      <c r="CK135" s="21">
        <f>IFERROR((BV135/C135)^(1/19)-1,"n/m")</f>
        <v/>
      </c>
    </row>
    <row r="136" ht="15" customHeight="1">
      <c r="B136" s="23" t="inlineStr">
        <is>
          <t xml:space="preserve">  Dividend per share growth %</t>
        </is>
      </c>
      <c r="D136" s="180">
        <f>IF(AND(ISNUMBER(D135),ISNUMBER(C135)),IFERROR(D135/C135-1,""),"")</f>
        <v/>
      </c>
      <c r="E136" s="180">
        <f>IF(AND(ISNUMBER(E135),ISNUMBER(D135)),IFERROR(E135/D135-1,""),"")</f>
        <v/>
      </c>
      <c r="F136" s="180">
        <f>IF(AND(ISNUMBER(F135),ISNUMBER(E135)),IFERROR(F135/E135-1,""),"")</f>
        <v/>
      </c>
      <c r="G136" s="180">
        <f>IF(AND(ISNUMBER(G135),ISNUMBER(F135)),IFERROR(G135/F135-1,""),"")</f>
        <v/>
      </c>
      <c r="H136" s="180">
        <f>IF(AND(ISNUMBER(H135),ISNUMBER(G135)),IFERROR(H135/G135-1,""),"")</f>
        <v/>
      </c>
      <c r="I136" s="180">
        <f>IF(AND(ISNUMBER(I135),ISNUMBER(H135)),IFERROR(I135/H135-1,""),"")</f>
        <v/>
      </c>
      <c r="N136" s="180">
        <f>IF(AND(ISNUMBER(N135),ISNUMBER(I135)),IFERROR(N135/I135-1,""),"")</f>
        <v/>
      </c>
      <c r="O136" s="180">
        <f>IF(AND(ISNUMBER(O135),ISNUMBER(J135)),IFERROR(O135/J135-1,""),"")</f>
        <v/>
      </c>
      <c r="P136" s="180">
        <f>IF(AND(ISNUMBER(P135),ISNUMBER(K135)),IFERROR(P135/K135-1,""),"")</f>
        <v/>
      </c>
      <c r="Q136" s="180">
        <f>IF(AND(ISNUMBER(Q135),ISNUMBER(L135)),IFERROR(Q135/L135-1,""),"")</f>
        <v/>
      </c>
      <c r="R136" s="180">
        <f>IF(AND(ISNUMBER(R135),ISNUMBER(M135)),IFERROR(R135/M135-1,""),"")</f>
        <v/>
      </c>
      <c r="S136" s="180">
        <f>IF(AND(ISNUMBER(S135),ISNUMBER(N135)),IFERROR(S135/N135-1,""),"")</f>
        <v/>
      </c>
      <c r="T136" s="180">
        <f>IF(AND(ISNUMBER(T135),ISNUMBER(O135)),IFERROR(T135/O135-1,""),"")</f>
        <v/>
      </c>
      <c r="U136" s="180">
        <f>IF(AND(ISNUMBER(U135),ISNUMBER(P135)),IFERROR(U135/P135-1,""),"")</f>
        <v/>
      </c>
      <c r="V136" s="180">
        <f>IF(AND(ISNUMBER(V135),ISNUMBER(Q135)),IFERROR(V135/Q135-1,""),"")</f>
        <v/>
      </c>
      <c r="W136" s="180">
        <f>IF(AND(ISNUMBER(W135),ISNUMBER(R135)),IFERROR(W135/R135-1,""),"")</f>
        <v/>
      </c>
      <c r="X136" s="180">
        <f>IF(AND(ISNUMBER(X135),ISNUMBER(S135)),IFERROR(X135/S135-1,""),"")</f>
        <v/>
      </c>
      <c r="Y136" s="180">
        <f>IF(AND(ISNUMBER(Y135),ISNUMBER(T135)),IFERROR(Y135/T135-1,""),"")</f>
        <v/>
      </c>
      <c r="Z136" s="180">
        <f>IF(AND(ISNUMBER(Z135),ISNUMBER(U135)),IFERROR(Z135/U135-1,""),"")</f>
        <v/>
      </c>
      <c r="AA136" s="180">
        <f>IF(AND(ISNUMBER(AA135),ISNUMBER(V135)),IFERROR(AA135/V135-1,""),"")</f>
        <v/>
      </c>
      <c r="AB136" s="180">
        <f>IF(AND(ISNUMBER(AB135),ISNUMBER(W135)),IFERROR(AB135/W135-1,""),"")</f>
        <v/>
      </c>
      <c r="AC136" s="180">
        <f>IF(AND(ISNUMBER(AC135),ISNUMBER(X135)),IFERROR(AC135/X135-1,""),"")</f>
        <v/>
      </c>
      <c r="AD136" s="180">
        <f>IF(AND(ISNUMBER(AD135),ISNUMBER(Y135)),IFERROR(AD135/Y135-1,""),"")</f>
        <v/>
      </c>
      <c r="AE136" s="180">
        <f>IF(AND(ISNUMBER(AE135),ISNUMBER(Z135)),IFERROR(AE135/Z135-1,""),"")</f>
        <v/>
      </c>
      <c r="AF136" s="180">
        <f>IF(AND(ISNUMBER(AF135),ISNUMBER(AA135)),IFERROR(AF135/AA135-1,""),"")</f>
        <v/>
      </c>
      <c r="AG136" s="180">
        <f>IF(AND(ISNUMBER(AG135),ISNUMBER(AB135)),IFERROR(AG135/AB135-1,""),"")</f>
        <v/>
      </c>
      <c r="AH136" s="180">
        <f>IF(AND(ISNUMBER(AH135),ISNUMBER(AC135)),IFERROR(AH135/AC135-1,""),"")</f>
        <v/>
      </c>
      <c r="AI136" s="180">
        <f>IF(AND(ISNUMBER(AI135),ISNUMBER(AD135)),IFERROR(AI135/AD135-1,""),"")</f>
        <v/>
      </c>
      <c r="AJ136" s="180">
        <f>IF(AND(ISNUMBER(AJ135),ISNUMBER(AE135)),IFERROR(AJ135/AE135-1,""),"")</f>
        <v/>
      </c>
      <c r="AK136" s="180">
        <f>IF(AND(ISNUMBER(AK135),ISNUMBER(AF135)),IFERROR(AK135/AF135-1,""),"")</f>
        <v/>
      </c>
      <c r="AL136" s="180">
        <f>IF(AND(ISNUMBER(AL135),ISNUMBER(AG135)),IFERROR(AL135/AG135-1,""),"")</f>
        <v/>
      </c>
      <c r="AM136" s="180">
        <f>IF(AND(ISNUMBER(AM135),ISNUMBER(AH135)),IFERROR(AM135/AH135-1,""),"")</f>
        <v/>
      </c>
      <c r="AN136" s="180">
        <f>IF(AND(ISNUMBER(AN135),ISNUMBER(AI135)),IFERROR(AN135/AI135-1,""),"")</f>
        <v/>
      </c>
      <c r="AO136" s="180">
        <f>IF(AND(ISNUMBER(AO135),ISNUMBER(AJ135)),IFERROR(AO135/AJ135-1,""),"")</f>
        <v/>
      </c>
      <c r="AP136" s="180">
        <f>IF(AND(ISNUMBER(AP135),ISNUMBER(AK135)),IFERROR(AP135/AK135-1,""),"")</f>
        <v/>
      </c>
      <c r="AQ136" s="180">
        <f>IF(AND(ISNUMBER(AQ135),ISNUMBER(AL135)),IFERROR(AQ135/AL135-1,""),"")</f>
        <v/>
      </c>
      <c r="AR136" s="180">
        <f>IF(AND(ISNUMBER(AR135),ISNUMBER(AM135)),IFERROR(AR135/AM135-1,""),"")</f>
        <v/>
      </c>
      <c r="AS136" s="180">
        <f>IF(AND(ISNUMBER(AS135),ISNUMBER(AN135)),IFERROR(AS135/AN135-1,""),"")</f>
        <v/>
      </c>
      <c r="AT136" s="180">
        <f>IF(AND(ISNUMBER(AT135),ISNUMBER(AO135)),IFERROR(AT135/AO135-1,""),"")</f>
        <v/>
      </c>
      <c r="AU136" s="180">
        <f>IF(AND(ISNUMBER(AU135),ISNUMBER(AP135)),IFERROR(AU135/AP135-1,""),"")</f>
        <v/>
      </c>
      <c r="AV136" s="180">
        <f>IF(AND(ISNUMBER(AV135),ISNUMBER(AQ135)),IFERROR(AV135/AQ135-1,""),"")</f>
        <v/>
      </c>
      <c r="AW136" s="180">
        <f>IF(AND(ISNUMBER(AW135),ISNUMBER(AR135)),IFERROR(AW135/AR135-1,""),"")</f>
        <v/>
      </c>
      <c r="AX136" s="180">
        <f>IF(AND(ISNUMBER(AX135),ISNUMBER(AS135)),IFERROR(AX135/AS135-1,""),"")</f>
        <v/>
      </c>
      <c r="AY136" s="180">
        <f>IF(AND(ISNUMBER(AY135),ISNUMBER(AT135)),IFERROR(AY135/AT135-1,""),"")</f>
        <v/>
      </c>
      <c r="AZ136" s="180">
        <f>IF(AND(ISNUMBER(AZ135),ISNUMBER(AU135)),IFERROR(AZ135/AU135-1,""),"")</f>
        <v/>
      </c>
      <c r="BA136" s="180">
        <f>IF(AND(ISNUMBER(BA135),ISNUMBER(AV135)),IFERROR(BA135/AV135-1,""),"")</f>
        <v/>
      </c>
      <c r="BB136" s="180">
        <f>IF(AND(ISNUMBER(BB135),ISNUMBER(AW135)),IFERROR(BB135/AW135-1,""),"")</f>
        <v/>
      </c>
      <c r="BC136" s="180">
        <f>IF(AND(ISNUMBER(BC135),ISNUMBER(AX135)),IFERROR(BC135/AX135-1,""),"")</f>
        <v/>
      </c>
      <c r="BD136" s="180">
        <f>IF(AND(ISNUMBER(BD135),ISNUMBER(AY135)),IFERROR(BD135/AY135-1,""),"")</f>
        <v/>
      </c>
      <c r="BE136" s="180">
        <f>IF(AND(ISNUMBER(BE135),ISNUMBER(AZ135)),IFERROR(BE135/AZ135-1,""),"")</f>
        <v/>
      </c>
      <c r="BF136" s="180">
        <f>IF(AND(ISNUMBER(BF135),ISNUMBER(BA135)),IFERROR(BF135/BA135-1,""),"")</f>
        <v/>
      </c>
      <c r="BG136" s="180">
        <f>IF(AND(ISNUMBER(BG135),ISNUMBER(BB135)),IFERROR(BG135/BB135-1,""),"")</f>
        <v/>
      </c>
      <c r="BH136" s="180">
        <f>IF(AND(ISNUMBER(BH135),ISNUMBER(BC135)),IFERROR(BH135/BC135-1,""),"")</f>
        <v/>
      </c>
      <c r="BI136" s="180">
        <f>IF(AND(ISNUMBER(BI135),ISNUMBER(BD135)),IFERROR(BI135/BD135-1,""),"")</f>
        <v/>
      </c>
      <c r="BJ136" s="180">
        <f>IF(AND(ISNUMBER(BJ135),ISNUMBER(BE135)),IFERROR(BJ135/BE135-1,""),"")</f>
        <v/>
      </c>
      <c r="BK136" s="180">
        <f>IF(AND(ISNUMBER(BK135),ISNUMBER(BF135)),IFERROR(BK135/BF135-1,""),"")</f>
        <v/>
      </c>
      <c r="BL136" s="180">
        <f>IF(AND(ISNUMBER(BL135),ISNUMBER(BG135)),IFERROR(BL135/BG135-1,""),"")</f>
        <v/>
      </c>
      <c r="BM136" s="180">
        <f>IF(AND(ISNUMBER(BM135),ISNUMBER(BH135)),IFERROR(BM135/BH135-1,""),"")</f>
        <v/>
      </c>
      <c r="BN136" s="180">
        <f>IF(AND(ISNUMBER(BN135),ISNUMBER(BI135)),IFERROR(BN135/BI135-1,""),"")</f>
        <v/>
      </c>
      <c r="BO136" s="180">
        <f>IF(AND(ISNUMBER(BO135),ISNUMBER(BJ135)),IFERROR(BO135/BJ135-1,""),"")</f>
        <v/>
      </c>
      <c r="BP136" s="180">
        <f>IF(AND(ISNUMBER(BP135),ISNUMBER(BK135)),IFERROR(BP135/BK135-1,""),"")</f>
        <v/>
      </c>
      <c r="BQ136" s="180">
        <f>IF(AND(ISNUMBER(BQ135),ISNUMBER(BL135)),IFERROR(BQ135/BL135-1,""),"")</f>
        <v/>
      </c>
      <c r="BR136" s="180">
        <f>IF(AND(ISNUMBER(BR135),ISNUMBER(BM135)),IFERROR(BR135/BM135-1,""),"")</f>
        <v/>
      </c>
      <c r="BS136" s="180">
        <f>IF(AND(ISNUMBER(BS135),ISNUMBER(BN135)),IFERROR(BS135/BN135-1,""),"")</f>
        <v/>
      </c>
      <c r="BT136" s="180">
        <f>IF(AND(ISNUMBER(BT135),ISNUMBER(BO135)),IFERROR(BT135/BO135-1,""),"")</f>
        <v/>
      </c>
      <c r="BU136" s="180">
        <f>IF(AND(ISNUMBER(BU135),ISNUMBER(BP135)),IFERROR(BU135/BP135-1,""),"")</f>
        <v/>
      </c>
      <c r="BV136" s="180">
        <f>IF(AND(ISNUMBER(BV135),ISNUMBER(BQ135)),IFERROR(BV135/BQ135-1,""),"")</f>
        <v/>
      </c>
      <c r="BW136" s="180">
        <f>IF(AND(ISNUMBER(BW135),ISNUMBER(BR135)),IFERROR(BW135/BR135-1,""),"")</f>
        <v/>
      </c>
      <c r="BX136" s="180">
        <f>IF(AND(ISNUMBER(BX135),ISNUMBER(BS135)),IFERROR(BX135/BS135-1,""),"")</f>
        <v/>
      </c>
      <c r="BY136" s="25" t="n"/>
      <c r="BZ136" s="25" t="n"/>
      <c r="CA136" s="181">
        <f>IF(AND(ISNUMBER(CA135),ISNUMBER(BV135)),IFERROR(CA135/BV135-1,""),"")</f>
        <v/>
      </c>
      <c r="CB136" s="195" t="n">
        <v>0.08</v>
      </c>
      <c r="CC136" s="195" t="n">
        <v>0.08</v>
      </c>
      <c r="CD136" s="195" t="n">
        <v>0.08</v>
      </c>
      <c r="CE136" s="195" t="n">
        <v>0.08</v>
      </c>
      <c r="CF136" s="6" t="n"/>
    </row>
    <row r="137" ht="15" customHeight="1">
      <c r="B137" s="26" t="inlineStr">
        <is>
          <t xml:space="preserve">  Dividend payout (DPS / diluted EPS) %</t>
        </is>
      </c>
      <c r="C137" s="190">
        <f>IF(AND(ISNUMBER(C135),ISNUMBER(C132)),IFERROR(C135/C132,""),"")</f>
        <v/>
      </c>
      <c r="D137" s="190">
        <f>IF(AND(ISNUMBER(D135),ISNUMBER(D132)),IFERROR(D135/D132,""),"")</f>
        <v/>
      </c>
      <c r="E137" s="190">
        <f>IF(AND(ISNUMBER(E135),ISNUMBER(E132)),IFERROR(E135/E132,""),"")</f>
        <v/>
      </c>
      <c r="F137" s="190">
        <f>IF(AND(ISNUMBER(F135),ISNUMBER(F132)),IFERROR(F135/F132,""),"")</f>
        <v/>
      </c>
      <c r="G137" s="190">
        <f>IF(AND(ISNUMBER(G135),ISNUMBER(G132)),IFERROR(G135/G132,""),"")</f>
        <v/>
      </c>
      <c r="H137" s="190">
        <f>IF(AND(ISNUMBER(H135),ISNUMBER(H132)),IFERROR(H135/H132,""),"")</f>
        <v/>
      </c>
      <c r="I137" s="190">
        <f>IF(AND(ISNUMBER(I135),ISNUMBER(I132)),IFERROR(I135/I132,""),"")</f>
        <v/>
      </c>
      <c r="J137" s="190">
        <f>IF(AND(ISNUMBER(J135),ISNUMBER(J132)),IFERROR(J135/J132,""),"")</f>
        <v/>
      </c>
      <c r="K137" s="190">
        <f>IF(AND(ISNUMBER(K135),ISNUMBER(K132)),IFERROR(K135/K132,""),"")</f>
        <v/>
      </c>
      <c r="L137" s="190">
        <f>IF(AND(ISNUMBER(L135),ISNUMBER(L132)),IFERROR(L135/L132,""),"")</f>
        <v/>
      </c>
      <c r="M137" s="190">
        <f>IF(AND(ISNUMBER(M135),ISNUMBER(M132)),IFERROR(M135/M132,""),"")</f>
        <v/>
      </c>
      <c r="N137" s="190">
        <f>IF(AND(ISNUMBER(N135),ISNUMBER(N132)),IFERROR(N135/N132,""),"")</f>
        <v/>
      </c>
      <c r="O137" s="190">
        <f>IF(AND(ISNUMBER(O135),ISNUMBER(O132)),IFERROR(O135/O132,""),"")</f>
        <v/>
      </c>
      <c r="P137" s="190">
        <f>IF(AND(ISNUMBER(P135),ISNUMBER(P132)),IFERROR(P135/P132,""),"")</f>
        <v/>
      </c>
      <c r="Q137" s="190">
        <f>IF(AND(ISNUMBER(Q135),ISNUMBER(Q132)),IFERROR(Q135/Q132,""),"")</f>
        <v/>
      </c>
      <c r="R137" s="190">
        <f>IF(AND(ISNUMBER(R135),ISNUMBER(R132)),IFERROR(R135/R132,""),"")</f>
        <v/>
      </c>
      <c r="S137" s="190">
        <f>IF(AND(ISNUMBER(S135),ISNUMBER(S132)),IFERROR(S135/S132,""),"")</f>
        <v/>
      </c>
      <c r="T137" s="190">
        <f>IF(AND(ISNUMBER(T135),ISNUMBER(T132)),IFERROR(T135/T132,""),"")</f>
        <v/>
      </c>
      <c r="U137" s="190">
        <f>IF(AND(ISNUMBER(U135),ISNUMBER(U132)),IFERROR(U135/U132,""),"")</f>
        <v/>
      </c>
      <c r="V137" s="190">
        <f>IF(AND(ISNUMBER(V135),ISNUMBER(V132)),IFERROR(V135/V132,""),"")</f>
        <v/>
      </c>
      <c r="W137" s="190">
        <f>IF(AND(ISNUMBER(W135),ISNUMBER(W132)),IFERROR(W135/W132,""),"")</f>
        <v/>
      </c>
      <c r="X137" s="190">
        <f>IF(AND(ISNUMBER(X135),ISNUMBER(X132)),IFERROR(X135/X132,""),"")</f>
        <v/>
      </c>
      <c r="Y137" s="190">
        <f>IF(AND(ISNUMBER(Y135),ISNUMBER(Y132)),IFERROR(Y135/Y132,""),"")</f>
        <v/>
      </c>
      <c r="Z137" s="190">
        <f>IF(AND(ISNUMBER(Z135),ISNUMBER(Z132)),IFERROR(Z135/Z132,""),"")</f>
        <v/>
      </c>
      <c r="AA137" s="190">
        <f>IF(AND(ISNUMBER(AA135),ISNUMBER(AA132)),IFERROR(AA135/AA132,""),"")</f>
        <v/>
      </c>
      <c r="AB137" s="190">
        <f>IF(AND(ISNUMBER(AB135),ISNUMBER(AB132)),IFERROR(AB135/AB132,""),"")</f>
        <v/>
      </c>
      <c r="AC137" s="190">
        <f>IF(AND(ISNUMBER(AC135),ISNUMBER(AC132)),IFERROR(AC135/AC132,""),"")</f>
        <v/>
      </c>
      <c r="AD137" s="190">
        <f>IF(AND(ISNUMBER(AD135),ISNUMBER(AD132)),IFERROR(AD135/AD132,""),"")</f>
        <v/>
      </c>
      <c r="AE137" s="190">
        <f>IF(AND(ISNUMBER(AE135),ISNUMBER(AE132)),IFERROR(AE135/AE132,""),"")</f>
        <v/>
      </c>
      <c r="AF137" s="190">
        <f>IF(AND(ISNUMBER(AF135),ISNUMBER(AF132)),IFERROR(AF135/AF132,""),"")</f>
        <v/>
      </c>
      <c r="AG137" s="190">
        <f>IF(AND(ISNUMBER(AG135),ISNUMBER(AG132)),IFERROR(AG135/AG132,""),"")</f>
        <v/>
      </c>
      <c r="AH137" s="190">
        <f>IF(AND(ISNUMBER(AH135),ISNUMBER(AH132)),IFERROR(AH135/AH132,""),"")</f>
        <v/>
      </c>
      <c r="AI137" s="190">
        <f>IF(AND(ISNUMBER(AI135),ISNUMBER(AI132)),IFERROR(AI135/AI132,""),"")</f>
        <v/>
      </c>
      <c r="AJ137" s="190">
        <f>IF(AND(ISNUMBER(AJ135),ISNUMBER(AJ132)),IFERROR(AJ135/AJ132,""),"")</f>
        <v/>
      </c>
      <c r="AK137" s="190">
        <f>IF(AND(ISNUMBER(AK135),ISNUMBER(AK132)),IFERROR(AK135/AK132,""),"")</f>
        <v/>
      </c>
      <c r="AL137" s="190">
        <f>IF(AND(ISNUMBER(AL135),ISNUMBER(AL132)),IFERROR(AL135/AL132,""),"")</f>
        <v/>
      </c>
      <c r="AM137" s="190">
        <f>IF(AND(ISNUMBER(AM135),ISNUMBER(AM132)),IFERROR(AM135/AM132,""),"")</f>
        <v/>
      </c>
      <c r="AN137" s="190">
        <f>IF(AND(ISNUMBER(AN135),ISNUMBER(AN132)),IFERROR(AN135/AN132,""),"")</f>
        <v/>
      </c>
      <c r="AO137" s="190">
        <f>IF(AND(ISNUMBER(AO135),ISNUMBER(AO132)),IFERROR(AO135/AO132,""),"")</f>
        <v/>
      </c>
      <c r="AP137" s="190">
        <f>IF(AND(ISNUMBER(AP135),ISNUMBER(AP132)),IFERROR(AP135/AP132,""),"")</f>
        <v/>
      </c>
      <c r="AQ137" s="190">
        <f>IF(AND(ISNUMBER(AQ135),ISNUMBER(AQ132)),IFERROR(AQ135/AQ132,""),"")</f>
        <v/>
      </c>
      <c r="AR137" s="190">
        <f>IF(AND(ISNUMBER(AR135),ISNUMBER(AR132)),IFERROR(AR135/AR132,""),"")</f>
        <v/>
      </c>
      <c r="AS137" s="190">
        <f>IF(AND(ISNUMBER(AS135),ISNUMBER(AS132)),IFERROR(AS135/AS132,""),"")</f>
        <v/>
      </c>
      <c r="AT137" s="190">
        <f>IF(AND(ISNUMBER(AT135),ISNUMBER(AT132)),IFERROR(AT135/AT132,""),"")</f>
        <v/>
      </c>
      <c r="AU137" s="190">
        <f>IF(AND(ISNUMBER(AU135),ISNUMBER(AU132)),IFERROR(AU135/AU132,""),"")</f>
        <v/>
      </c>
      <c r="AV137" s="190">
        <f>IF(AND(ISNUMBER(AV135),ISNUMBER(AV132)),IFERROR(AV135/AV132,""),"")</f>
        <v/>
      </c>
      <c r="AW137" s="190">
        <f>IF(AND(ISNUMBER(AW135),ISNUMBER(AW132)),IFERROR(AW135/AW132,""),"")</f>
        <v/>
      </c>
      <c r="AX137" s="190">
        <f>IF(AND(ISNUMBER(AX135),ISNUMBER(AX132)),IFERROR(AX135/AX132,""),"")</f>
        <v/>
      </c>
      <c r="AY137" s="190">
        <f>IF(AND(ISNUMBER(AY135),ISNUMBER(AY132)),IFERROR(AY135/AY132,""),"")</f>
        <v/>
      </c>
      <c r="AZ137" s="190">
        <f>IF(AND(ISNUMBER(AZ135),ISNUMBER(AZ132)),IFERROR(AZ135/AZ132,""),"")</f>
        <v/>
      </c>
      <c r="BA137" s="190">
        <f>IF(AND(ISNUMBER(BA135),ISNUMBER(BA132)),IFERROR(BA135/BA132,""),"")</f>
        <v/>
      </c>
      <c r="BB137" s="190">
        <f>IF(AND(ISNUMBER(BB135),ISNUMBER(BB132)),IFERROR(BB135/BB132,""),"")</f>
        <v/>
      </c>
      <c r="BC137" s="190">
        <f>IF(AND(ISNUMBER(BC135),ISNUMBER(BC132)),IFERROR(BC135/BC132,""),"")</f>
        <v/>
      </c>
      <c r="BD137" s="190">
        <f>IF(AND(ISNUMBER(BD135),ISNUMBER(BD132)),IFERROR(BD135/BD132,""),"")</f>
        <v/>
      </c>
      <c r="BE137" s="190">
        <f>IF(AND(ISNUMBER(BE135),ISNUMBER(BE132)),IFERROR(BE135/BE132,""),"")</f>
        <v/>
      </c>
      <c r="BF137" s="190">
        <f>IF(AND(ISNUMBER(BF135),ISNUMBER(BF132)),IFERROR(BF135/BF132,""),"")</f>
        <v/>
      </c>
      <c r="BG137" s="190">
        <f>IF(AND(ISNUMBER(BG135),ISNUMBER(BG132)),IFERROR(BG135/BG132,""),"")</f>
        <v/>
      </c>
      <c r="BH137" s="190">
        <f>IF(AND(ISNUMBER(BH135),ISNUMBER(BH132)),IFERROR(BH135/BH132,""),"")</f>
        <v/>
      </c>
      <c r="BI137" s="190">
        <f>IF(AND(ISNUMBER(BI135),ISNUMBER(BI132)),IFERROR(BI135/BI132,""),"")</f>
        <v/>
      </c>
      <c r="BJ137" s="190">
        <f>IF(AND(ISNUMBER(BJ135),ISNUMBER(BJ132)),IFERROR(BJ135/BJ132,""),"")</f>
        <v/>
      </c>
      <c r="BK137" s="190">
        <f>IF(AND(ISNUMBER(BK135),ISNUMBER(BK132)),IFERROR(BK135/BK132,""),"")</f>
        <v/>
      </c>
      <c r="BL137" s="190">
        <f>IF(AND(ISNUMBER(BL135),ISNUMBER(BL132)),IFERROR(BL135/BL132,""),"")</f>
        <v/>
      </c>
      <c r="BM137" s="190">
        <f>IF(AND(ISNUMBER(BM135),ISNUMBER(BM132)),IFERROR(BM135/BM132,""),"")</f>
        <v/>
      </c>
      <c r="BN137" s="190">
        <f>IF(AND(ISNUMBER(BN135),ISNUMBER(BN132)),IFERROR(BN135/BN132,""),"")</f>
        <v/>
      </c>
      <c r="BO137" s="190">
        <f>IF(AND(ISNUMBER(BO135),ISNUMBER(BO132)),IFERROR(BO135/BO132,""),"")</f>
        <v/>
      </c>
      <c r="BP137" s="190">
        <f>IF(AND(ISNUMBER(BP135),ISNUMBER(BP132)),IFERROR(BP135/BP132,""),"")</f>
        <v/>
      </c>
      <c r="BQ137" s="190">
        <f>IF(AND(ISNUMBER(BQ135),ISNUMBER(BQ132)),IFERROR(BQ135/BQ132,""),"")</f>
        <v/>
      </c>
      <c r="BR137" s="190">
        <f>IF(AND(ISNUMBER(BR135),ISNUMBER(BR132)),IFERROR(BR135/BR132,""),"")</f>
        <v/>
      </c>
      <c r="BS137" s="190">
        <f>IF(AND(ISNUMBER(BS135),ISNUMBER(BS132)),IFERROR(BS135/BS132,""),"")</f>
        <v/>
      </c>
      <c r="BT137" s="190">
        <f>IF(AND(ISNUMBER(BT135),ISNUMBER(BT132)),IFERROR(BT135/BT132,""),"")</f>
        <v/>
      </c>
      <c r="BU137" s="190">
        <f>IF(AND(ISNUMBER(BU135),ISNUMBER(BU132)),IFERROR(BU135/BU132,""),"")</f>
        <v/>
      </c>
      <c r="BV137" s="190">
        <f>IF(AND(ISNUMBER(BV135),ISNUMBER(BV132)),IFERROR(BV135/BV132,""),"")</f>
        <v/>
      </c>
      <c r="BW137" s="190">
        <f>IF(AND(ISNUMBER(BW135),ISNUMBER(BW132)),IFERROR(BW135/BW132,""),"")</f>
        <v/>
      </c>
      <c r="BX137" s="190">
        <f>IF(AND(ISNUMBER(BX135),ISNUMBER(BX132)),IFERROR(BX135/BX132,""),"")</f>
        <v/>
      </c>
      <c r="BY137" s="181">
        <f>IF(AND(ISNUMBER(BY135),ISNUMBER(BY132)),IFERROR(BY135/BY132,""),"")</f>
        <v/>
      </c>
      <c r="BZ137" s="181">
        <f>IF(AND(ISNUMBER(BZ135),ISNUMBER(BZ132)),IFERROR(BZ135/BZ132,""),"")</f>
        <v/>
      </c>
      <c r="CA137" s="181">
        <f>IF(AND(ISNUMBER(CA135),ISNUMBER(CA132)),IFERROR(CA135/CA132,""),"")</f>
        <v/>
      </c>
      <c r="CB137" s="181">
        <f>IF(AND(ISNUMBER(CB135),ISNUMBER(CB132)),IFERROR(CB135/CB132,""),"")</f>
        <v/>
      </c>
      <c r="CC137" s="181">
        <f>IF(AND(ISNUMBER(CC135),ISNUMBER(CC132)),IFERROR(CC135/CC132,""),"")</f>
        <v/>
      </c>
      <c r="CD137" s="181">
        <f>IF(AND(ISNUMBER(CD135),ISNUMBER(CD132)),IFERROR(CD135/CD132,""),"")</f>
        <v/>
      </c>
      <c r="CE137" s="181">
        <f>IF(AND(ISNUMBER(CE135),ISNUMBER(CE132)),IFERROR(CE135/CE132,""),"")</f>
        <v/>
      </c>
      <c r="CF137" s="6" t="n"/>
      <c r="CH137" s="39">
        <f>IFERROR(AVERAGE(CA137,CB137,CC137,CD137,CE137),"n/m")</f>
        <v/>
      </c>
      <c r="CI137" s="39">
        <f>IFERROR(AVERAGE(BB137,BG137,BL137,BQ137,BV137),"n/m")</f>
        <v/>
      </c>
      <c r="CJ137" s="39">
        <f>IFERROR(AVERAGE(AC137,AH137,AM137,AR137,AW137,BB137,BG137,BL137,BQ137,BV137),"n/m")</f>
        <v/>
      </c>
      <c r="CK137" s="39">
        <f>IFERROR(AVERAGE(C137,D137,E137,F137,G137,H137,I137,N137,S137,X137,AC137,AH137,AM137,AR137,AW137,BB137,BG137,BL137,BQ137,BV137),"n/m")</f>
        <v/>
      </c>
    </row>
    <row r="138" ht="15" customHeight="1"/>
    <row r="139" ht="15" customHeight="1">
      <c r="B139" s="11" t="inlineStr">
        <is>
          <t>RECONCILIATION: NET INCOME → EBITDA → ADJUSTED EBITDA (model definition — ODFL publishes no non-GAAP measures)</t>
        </is>
      </c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  <c r="AH139" s="11" t="n"/>
      <c r="AI139" s="11" t="n"/>
      <c r="AJ139" s="11" t="n"/>
      <c r="AK139" s="11" t="n"/>
      <c r="AL139" s="11" t="n"/>
      <c r="AM139" s="11" t="n"/>
      <c r="AN139" s="11" t="n"/>
      <c r="AO139" s="11" t="n"/>
      <c r="AP139" s="11" t="n"/>
      <c r="AQ139" s="11" t="n"/>
      <c r="AR139" s="11" t="n"/>
      <c r="AS139" s="11" t="n"/>
      <c r="AT139" s="11" t="n"/>
      <c r="AU139" s="11" t="n"/>
      <c r="AV139" s="11" t="n"/>
      <c r="AW139" s="11" t="n"/>
      <c r="AX139" s="11" t="n"/>
      <c r="AY139" s="11" t="n"/>
      <c r="AZ139" s="11" t="n"/>
      <c r="BA139" s="11" t="n"/>
      <c r="BB139" s="11" t="n"/>
      <c r="BC139" s="11" t="n"/>
      <c r="BD139" s="11" t="n"/>
      <c r="BE139" s="11" t="n"/>
      <c r="BF139" s="11" t="n"/>
      <c r="BG139" s="11" t="n"/>
      <c r="BH139" s="11" t="n"/>
      <c r="BI139" s="11" t="n"/>
      <c r="BJ139" s="11" t="n"/>
      <c r="BK139" s="11" t="n"/>
      <c r="BL139" s="11" t="n"/>
      <c r="BM139" s="11" t="n"/>
      <c r="BN139" s="11" t="n"/>
      <c r="BO139" s="11" t="n"/>
      <c r="BP139" s="11" t="n"/>
      <c r="BQ139" s="11" t="n"/>
      <c r="BR139" s="11" t="n"/>
      <c r="BS139" s="11" t="n"/>
      <c r="BT139" s="11" t="n"/>
      <c r="BU139" s="11" t="n"/>
      <c r="BV139" s="11" t="n"/>
      <c r="BW139" s="11" t="n"/>
      <c r="BX139" s="11" t="n"/>
      <c r="BY139" s="11" t="n"/>
      <c r="BZ139" s="11" t="n"/>
      <c r="CA139" s="11" t="n"/>
      <c r="CB139" s="11" t="n"/>
      <c r="CC139" s="11" t="n"/>
      <c r="CD139" s="11" t="n"/>
      <c r="CE139" s="11" t="n"/>
      <c r="CF139" s="11" t="inlineStr">
        <is>
          <t>ADJUSTED EBITDA — model definition: EBITDA = net income + taxes + net interest + other non-operating + D&amp;A; Adjusted EBITDA excludes net (gains) losses on disposal of property &amp; equipment (cash-flow statement) and one-off items named by ODFL in its releases / filings</t>
        </is>
      </c>
    </row>
    <row r="140" ht="15" customHeight="1">
      <c r="B140" s="17" t="inlineStr">
        <is>
          <t>Net income (GAAP)</t>
        </is>
      </c>
      <c r="C140" s="204">
        <f>C122</f>
        <v/>
      </c>
      <c r="D140" s="204">
        <f>D122</f>
        <v/>
      </c>
      <c r="E140" s="204">
        <f>E122</f>
        <v/>
      </c>
      <c r="F140" s="204">
        <f>F122</f>
        <v/>
      </c>
      <c r="G140" s="204">
        <f>G122</f>
        <v/>
      </c>
      <c r="H140" s="204">
        <f>H122</f>
        <v/>
      </c>
      <c r="I140" s="204">
        <f>I122</f>
        <v/>
      </c>
      <c r="J140" s="204">
        <f>J122</f>
        <v/>
      </c>
      <c r="K140" s="204">
        <f>K122</f>
        <v/>
      </c>
      <c r="L140" s="204">
        <f>L122</f>
        <v/>
      </c>
      <c r="M140" s="204">
        <f>M122</f>
        <v/>
      </c>
      <c r="N140" s="204">
        <f>N122</f>
        <v/>
      </c>
      <c r="O140" s="204">
        <f>O122</f>
        <v/>
      </c>
      <c r="P140" s="204">
        <f>P122</f>
        <v/>
      </c>
      <c r="Q140" s="204">
        <f>Q122</f>
        <v/>
      </c>
      <c r="R140" s="204">
        <f>R122</f>
        <v/>
      </c>
      <c r="S140" s="204">
        <f>S122</f>
        <v/>
      </c>
      <c r="T140" s="204">
        <f>T122</f>
        <v/>
      </c>
      <c r="U140" s="204">
        <f>U122</f>
        <v/>
      </c>
      <c r="V140" s="204">
        <f>V122</f>
        <v/>
      </c>
      <c r="W140" s="204">
        <f>W122</f>
        <v/>
      </c>
      <c r="X140" s="204">
        <f>X122</f>
        <v/>
      </c>
      <c r="Y140" s="204">
        <f>Y122</f>
        <v/>
      </c>
      <c r="Z140" s="204">
        <f>Z122</f>
        <v/>
      </c>
      <c r="AA140" s="204">
        <f>AA122</f>
        <v/>
      </c>
      <c r="AB140" s="204">
        <f>AB122</f>
        <v/>
      </c>
      <c r="AC140" s="204">
        <f>AC122</f>
        <v/>
      </c>
      <c r="AD140" s="204">
        <f>AD122</f>
        <v/>
      </c>
      <c r="AE140" s="204">
        <f>AE122</f>
        <v/>
      </c>
      <c r="AF140" s="204">
        <f>AF122</f>
        <v/>
      </c>
      <c r="AG140" s="204">
        <f>AG122</f>
        <v/>
      </c>
      <c r="AH140" s="204">
        <f>AH122</f>
        <v/>
      </c>
      <c r="AI140" s="204">
        <f>AI122</f>
        <v/>
      </c>
      <c r="AJ140" s="204">
        <f>AJ122</f>
        <v/>
      </c>
      <c r="AK140" s="204">
        <f>AK122</f>
        <v/>
      </c>
      <c r="AL140" s="204">
        <f>AL122</f>
        <v/>
      </c>
      <c r="AM140" s="204">
        <f>AM122</f>
        <v/>
      </c>
      <c r="AN140" s="204">
        <f>AN122</f>
        <v/>
      </c>
      <c r="AO140" s="204">
        <f>AO122</f>
        <v/>
      </c>
      <c r="AP140" s="204">
        <f>AP122</f>
        <v/>
      </c>
      <c r="AQ140" s="204">
        <f>AQ122</f>
        <v/>
      </c>
      <c r="AR140" s="204">
        <f>AR122</f>
        <v/>
      </c>
      <c r="AS140" s="204">
        <f>AS122</f>
        <v/>
      </c>
      <c r="AT140" s="204">
        <f>AT122</f>
        <v/>
      </c>
      <c r="AU140" s="204">
        <f>AU122</f>
        <v/>
      </c>
      <c r="AV140" s="204">
        <f>AV122</f>
        <v/>
      </c>
      <c r="AW140" s="204">
        <f>AW122</f>
        <v/>
      </c>
      <c r="AX140" s="204">
        <f>AX122</f>
        <v/>
      </c>
      <c r="AY140" s="204">
        <f>AY122</f>
        <v/>
      </c>
      <c r="AZ140" s="204">
        <f>AZ122</f>
        <v/>
      </c>
      <c r="BA140" s="204">
        <f>BA122</f>
        <v/>
      </c>
      <c r="BB140" s="204">
        <f>BB122</f>
        <v/>
      </c>
      <c r="BC140" s="204">
        <f>BC122</f>
        <v/>
      </c>
      <c r="BD140" s="204">
        <f>BD122</f>
        <v/>
      </c>
      <c r="BE140" s="204">
        <f>BE122</f>
        <v/>
      </c>
      <c r="BF140" s="204">
        <f>BF122</f>
        <v/>
      </c>
      <c r="BG140" s="204">
        <f>BG122</f>
        <v/>
      </c>
      <c r="BH140" s="204">
        <f>BH122</f>
        <v/>
      </c>
      <c r="BI140" s="204">
        <f>BI122</f>
        <v/>
      </c>
      <c r="BJ140" s="204">
        <f>BJ122</f>
        <v/>
      </c>
      <c r="BK140" s="204">
        <f>BK122</f>
        <v/>
      </c>
      <c r="BL140" s="204">
        <f>BL122</f>
        <v/>
      </c>
      <c r="BM140" s="204">
        <f>BM122</f>
        <v/>
      </c>
      <c r="BN140" s="204">
        <f>BN122</f>
        <v/>
      </c>
      <c r="BO140" s="204">
        <f>BO122</f>
        <v/>
      </c>
      <c r="BP140" s="204">
        <f>BP122</f>
        <v/>
      </c>
      <c r="BQ140" s="204">
        <f>BQ122</f>
        <v/>
      </c>
      <c r="BR140" s="204">
        <f>BR122</f>
        <v/>
      </c>
      <c r="BS140" s="204">
        <f>BS122</f>
        <v/>
      </c>
      <c r="BT140" s="204">
        <f>BT122</f>
        <v/>
      </c>
      <c r="BU140" s="204">
        <f>BU122</f>
        <v/>
      </c>
      <c r="BV140" s="204">
        <f>BV122</f>
        <v/>
      </c>
      <c r="BW140" s="204">
        <f>BW122</f>
        <v/>
      </c>
      <c r="BX140" s="204">
        <f>BX122</f>
        <v/>
      </c>
      <c r="BY140" s="178">
        <f>BY122</f>
        <v/>
      </c>
      <c r="BZ140" s="178">
        <f>BZ122</f>
        <v/>
      </c>
      <c r="CA140" s="178">
        <f>CA122</f>
        <v/>
      </c>
      <c r="CB140" s="178">
        <f>CB122</f>
        <v/>
      </c>
      <c r="CC140" s="178">
        <f>CC122</f>
        <v/>
      </c>
      <c r="CD140" s="178">
        <f>CD122</f>
        <v/>
      </c>
      <c r="CE140" s="178">
        <f>CE122</f>
        <v/>
      </c>
      <c r="CF140" s="6" t="n"/>
    </row>
    <row r="141" ht="15" customHeight="1">
      <c r="B141" s="26" t="inlineStr">
        <is>
          <t xml:space="preserve">  (+) Provision for income taxes</t>
        </is>
      </c>
      <c r="C141" s="194">
        <f>C120</f>
        <v/>
      </c>
      <c r="D141" s="194">
        <f>D120</f>
        <v/>
      </c>
      <c r="E141" s="194">
        <f>E120</f>
        <v/>
      </c>
      <c r="F141" s="194">
        <f>F120</f>
        <v/>
      </c>
      <c r="G141" s="194">
        <f>G120</f>
        <v/>
      </c>
      <c r="H141" s="194">
        <f>H120</f>
        <v/>
      </c>
      <c r="I141" s="194">
        <f>I120</f>
        <v/>
      </c>
      <c r="J141" s="194">
        <f>J120</f>
        <v/>
      </c>
      <c r="K141" s="194">
        <f>K120</f>
        <v/>
      </c>
      <c r="L141" s="194">
        <f>L120</f>
        <v/>
      </c>
      <c r="M141" s="194">
        <f>M120</f>
        <v/>
      </c>
      <c r="N141" s="194">
        <f>N120</f>
        <v/>
      </c>
      <c r="O141" s="194">
        <f>O120</f>
        <v/>
      </c>
      <c r="P141" s="194">
        <f>P120</f>
        <v/>
      </c>
      <c r="Q141" s="194">
        <f>Q120</f>
        <v/>
      </c>
      <c r="R141" s="194">
        <f>R120</f>
        <v/>
      </c>
      <c r="S141" s="194">
        <f>S120</f>
        <v/>
      </c>
      <c r="T141" s="194">
        <f>T120</f>
        <v/>
      </c>
      <c r="U141" s="194">
        <f>U120</f>
        <v/>
      </c>
      <c r="V141" s="194">
        <f>V120</f>
        <v/>
      </c>
      <c r="W141" s="194">
        <f>W120</f>
        <v/>
      </c>
      <c r="X141" s="194">
        <f>X120</f>
        <v/>
      </c>
      <c r="Y141" s="194">
        <f>Y120</f>
        <v/>
      </c>
      <c r="Z141" s="194">
        <f>Z120</f>
        <v/>
      </c>
      <c r="AA141" s="194">
        <f>AA120</f>
        <v/>
      </c>
      <c r="AB141" s="194">
        <f>AB120</f>
        <v/>
      </c>
      <c r="AC141" s="194">
        <f>AC120</f>
        <v/>
      </c>
      <c r="AD141" s="194">
        <f>AD120</f>
        <v/>
      </c>
      <c r="AE141" s="194">
        <f>AE120</f>
        <v/>
      </c>
      <c r="AF141" s="194">
        <f>AF120</f>
        <v/>
      </c>
      <c r="AG141" s="194">
        <f>AG120</f>
        <v/>
      </c>
      <c r="AH141" s="194">
        <f>AH120</f>
        <v/>
      </c>
      <c r="AI141" s="194">
        <f>AI120</f>
        <v/>
      </c>
      <c r="AJ141" s="194">
        <f>AJ120</f>
        <v/>
      </c>
      <c r="AK141" s="194">
        <f>AK120</f>
        <v/>
      </c>
      <c r="AL141" s="194">
        <f>AL120</f>
        <v/>
      </c>
      <c r="AM141" s="194">
        <f>AM120</f>
        <v/>
      </c>
      <c r="AN141" s="194">
        <f>AN120</f>
        <v/>
      </c>
      <c r="AO141" s="194">
        <f>AO120</f>
        <v/>
      </c>
      <c r="AP141" s="194">
        <f>AP120</f>
        <v/>
      </c>
      <c r="AQ141" s="194">
        <f>AQ120</f>
        <v/>
      </c>
      <c r="AR141" s="194">
        <f>AR120</f>
        <v/>
      </c>
      <c r="AS141" s="194">
        <f>AS120</f>
        <v/>
      </c>
      <c r="AT141" s="194">
        <f>AT120</f>
        <v/>
      </c>
      <c r="AU141" s="194">
        <f>AU120</f>
        <v/>
      </c>
      <c r="AV141" s="194">
        <f>AV120</f>
        <v/>
      </c>
      <c r="AW141" s="194">
        <f>AW120</f>
        <v/>
      </c>
      <c r="AX141" s="194">
        <f>AX120</f>
        <v/>
      </c>
      <c r="AY141" s="194">
        <f>AY120</f>
        <v/>
      </c>
      <c r="AZ141" s="194">
        <f>AZ120</f>
        <v/>
      </c>
      <c r="BA141" s="194">
        <f>BA120</f>
        <v/>
      </c>
      <c r="BB141" s="194">
        <f>BB120</f>
        <v/>
      </c>
      <c r="BC141" s="194">
        <f>BC120</f>
        <v/>
      </c>
      <c r="BD141" s="194">
        <f>BD120</f>
        <v/>
      </c>
      <c r="BE141" s="194">
        <f>BE120</f>
        <v/>
      </c>
      <c r="BF141" s="194">
        <f>BF120</f>
        <v/>
      </c>
      <c r="BG141" s="194">
        <f>BG120</f>
        <v/>
      </c>
      <c r="BH141" s="194">
        <f>BH120</f>
        <v/>
      </c>
      <c r="BI141" s="194">
        <f>BI120</f>
        <v/>
      </c>
      <c r="BJ141" s="194">
        <f>BJ120</f>
        <v/>
      </c>
      <c r="BK141" s="194">
        <f>BK120</f>
        <v/>
      </c>
      <c r="BL141" s="194">
        <f>BL120</f>
        <v/>
      </c>
      <c r="BM141" s="194">
        <f>BM120</f>
        <v/>
      </c>
      <c r="BN141" s="194">
        <f>BN120</f>
        <v/>
      </c>
      <c r="BO141" s="194">
        <f>BO120</f>
        <v/>
      </c>
      <c r="BP141" s="194">
        <f>BP120</f>
        <v/>
      </c>
      <c r="BQ141" s="194">
        <f>BQ120</f>
        <v/>
      </c>
      <c r="BR141" s="194">
        <f>BR120</f>
        <v/>
      </c>
      <c r="BS141" s="194">
        <f>BS120</f>
        <v/>
      </c>
      <c r="BT141" s="194">
        <f>BT120</f>
        <v/>
      </c>
      <c r="BU141" s="194">
        <f>BU120</f>
        <v/>
      </c>
      <c r="BV141" s="194">
        <f>BV120</f>
        <v/>
      </c>
      <c r="BW141" s="194">
        <f>BW120</f>
        <v/>
      </c>
      <c r="BX141" s="194">
        <f>BX120</f>
        <v/>
      </c>
      <c r="BY141" s="176">
        <f>BY120</f>
        <v/>
      </c>
      <c r="BZ141" s="176">
        <f>BZ120</f>
        <v/>
      </c>
      <c r="CA141" s="176">
        <f>CA120</f>
        <v/>
      </c>
      <c r="CB141" s="176">
        <f>CB120</f>
        <v/>
      </c>
      <c r="CC141" s="176">
        <f>CC120</f>
        <v/>
      </c>
      <c r="CD141" s="176">
        <f>CD120</f>
        <v/>
      </c>
      <c r="CE141" s="176">
        <f>CE120</f>
        <v/>
      </c>
      <c r="CF141" s="20" t="n"/>
    </row>
    <row r="142" ht="15" customHeight="1">
      <c r="B142" s="26" t="inlineStr">
        <is>
          <t xml:space="preserve">  (+) Interest expense (income), net</t>
        </is>
      </c>
      <c r="C142" s="194">
        <f>C117</f>
        <v/>
      </c>
      <c r="D142" s="194">
        <f>D117</f>
        <v/>
      </c>
      <c r="E142" s="194">
        <f>E117</f>
        <v/>
      </c>
      <c r="F142" s="194">
        <f>F117</f>
        <v/>
      </c>
      <c r="G142" s="194">
        <f>G117</f>
        <v/>
      </c>
      <c r="H142" s="194">
        <f>H117</f>
        <v/>
      </c>
      <c r="I142" s="194">
        <f>I117</f>
        <v/>
      </c>
      <c r="J142" s="194">
        <f>J117</f>
        <v/>
      </c>
      <c r="K142" s="194">
        <f>K117</f>
        <v/>
      </c>
      <c r="L142" s="194">
        <f>L117</f>
        <v/>
      </c>
      <c r="M142" s="194">
        <f>M117</f>
        <v/>
      </c>
      <c r="N142" s="194">
        <f>N117</f>
        <v/>
      </c>
      <c r="O142" s="194">
        <f>O117</f>
        <v/>
      </c>
      <c r="P142" s="194">
        <f>P117</f>
        <v/>
      </c>
      <c r="Q142" s="194">
        <f>Q117</f>
        <v/>
      </c>
      <c r="R142" s="194">
        <f>R117</f>
        <v/>
      </c>
      <c r="S142" s="194">
        <f>S117</f>
        <v/>
      </c>
      <c r="T142" s="194">
        <f>T117</f>
        <v/>
      </c>
      <c r="U142" s="194">
        <f>U117</f>
        <v/>
      </c>
      <c r="V142" s="194">
        <f>V117</f>
        <v/>
      </c>
      <c r="W142" s="194">
        <f>W117</f>
        <v/>
      </c>
      <c r="X142" s="194">
        <f>X117</f>
        <v/>
      </c>
      <c r="Y142" s="194">
        <f>Y117</f>
        <v/>
      </c>
      <c r="Z142" s="194">
        <f>Z117</f>
        <v/>
      </c>
      <c r="AA142" s="194">
        <f>AA117</f>
        <v/>
      </c>
      <c r="AB142" s="194">
        <f>AB117</f>
        <v/>
      </c>
      <c r="AC142" s="194">
        <f>AC117</f>
        <v/>
      </c>
      <c r="AD142" s="194">
        <f>AD117</f>
        <v/>
      </c>
      <c r="AE142" s="194">
        <f>AE117</f>
        <v/>
      </c>
      <c r="AF142" s="194">
        <f>AF117</f>
        <v/>
      </c>
      <c r="AG142" s="194">
        <f>AG117</f>
        <v/>
      </c>
      <c r="AH142" s="194">
        <f>AH117</f>
        <v/>
      </c>
      <c r="AI142" s="194">
        <f>AI117</f>
        <v/>
      </c>
      <c r="AJ142" s="194">
        <f>AJ117</f>
        <v/>
      </c>
      <c r="AK142" s="194">
        <f>AK117</f>
        <v/>
      </c>
      <c r="AL142" s="194">
        <f>AL117</f>
        <v/>
      </c>
      <c r="AM142" s="194">
        <f>AM117</f>
        <v/>
      </c>
      <c r="AN142" s="194">
        <f>AN117</f>
        <v/>
      </c>
      <c r="AO142" s="194">
        <f>AO117</f>
        <v/>
      </c>
      <c r="AP142" s="194">
        <f>AP117</f>
        <v/>
      </c>
      <c r="AQ142" s="194">
        <f>AQ117</f>
        <v/>
      </c>
      <c r="AR142" s="194">
        <f>AR117</f>
        <v/>
      </c>
      <c r="AS142" s="194">
        <f>AS117</f>
        <v/>
      </c>
      <c r="AT142" s="194">
        <f>AT117</f>
        <v/>
      </c>
      <c r="AU142" s="194">
        <f>AU117</f>
        <v/>
      </c>
      <c r="AV142" s="194">
        <f>AV117</f>
        <v/>
      </c>
      <c r="AW142" s="194">
        <f>AW117</f>
        <v/>
      </c>
      <c r="AX142" s="194">
        <f>AX117</f>
        <v/>
      </c>
      <c r="AY142" s="194">
        <f>AY117</f>
        <v/>
      </c>
      <c r="AZ142" s="194">
        <f>AZ117</f>
        <v/>
      </c>
      <c r="BA142" s="194">
        <f>BA117</f>
        <v/>
      </c>
      <c r="BB142" s="194">
        <f>BB117</f>
        <v/>
      </c>
      <c r="BC142" s="194">
        <f>BC117</f>
        <v/>
      </c>
      <c r="BD142" s="194">
        <f>BD117</f>
        <v/>
      </c>
      <c r="BE142" s="194">
        <f>BE117</f>
        <v/>
      </c>
      <c r="BF142" s="194">
        <f>BF117</f>
        <v/>
      </c>
      <c r="BG142" s="194">
        <f>BG117</f>
        <v/>
      </c>
      <c r="BH142" s="194">
        <f>BH117</f>
        <v/>
      </c>
      <c r="BI142" s="194">
        <f>BI117</f>
        <v/>
      </c>
      <c r="BJ142" s="194">
        <f>BJ117</f>
        <v/>
      </c>
      <c r="BK142" s="194">
        <f>BK117</f>
        <v/>
      </c>
      <c r="BL142" s="194">
        <f>BL117</f>
        <v/>
      </c>
      <c r="BM142" s="194">
        <f>BM117</f>
        <v/>
      </c>
      <c r="BN142" s="194">
        <f>BN117</f>
        <v/>
      </c>
      <c r="BO142" s="194">
        <f>BO117</f>
        <v/>
      </c>
      <c r="BP142" s="194">
        <f>BP117</f>
        <v/>
      </c>
      <c r="BQ142" s="194">
        <f>BQ117</f>
        <v/>
      </c>
      <c r="BR142" s="194">
        <f>BR117</f>
        <v/>
      </c>
      <c r="BS142" s="194">
        <f>BS117</f>
        <v/>
      </c>
      <c r="BT142" s="194">
        <f>BT117</f>
        <v/>
      </c>
      <c r="BU142" s="194">
        <f>BU117</f>
        <v/>
      </c>
      <c r="BV142" s="194">
        <f>BV117</f>
        <v/>
      </c>
      <c r="BW142" s="194">
        <f>BW117</f>
        <v/>
      </c>
      <c r="BX142" s="194">
        <f>BX117</f>
        <v/>
      </c>
      <c r="BY142" s="176">
        <f>BY117</f>
        <v/>
      </c>
      <c r="BZ142" s="176">
        <f>BZ117</f>
        <v/>
      </c>
      <c r="CA142" s="176">
        <f>CA117</f>
        <v/>
      </c>
      <c r="CB142" s="176">
        <f>CB117</f>
        <v/>
      </c>
      <c r="CC142" s="176">
        <f>CC117</f>
        <v/>
      </c>
      <c r="CD142" s="176">
        <f>CD117</f>
        <v/>
      </c>
      <c r="CE142" s="176">
        <f>CE117</f>
        <v/>
      </c>
      <c r="CF142" s="20" t="n"/>
    </row>
    <row r="143" ht="15" customHeight="1">
      <c r="B143" s="26" t="inlineStr">
        <is>
          <t xml:space="preserve">  (+) Other non-operating expense (income), net (and cumulative effect)</t>
        </is>
      </c>
      <c r="C143" s="194">
        <f>C118+N(C123)</f>
        <v/>
      </c>
      <c r="D143" s="194">
        <f>D118+N(D123)</f>
        <v/>
      </c>
      <c r="E143" s="194">
        <f>E118+N(E123)</f>
        <v/>
      </c>
      <c r="F143" s="194">
        <f>F118+N(F123)</f>
        <v/>
      </c>
      <c r="G143" s="194">
        <f>G118+N(G123)</f>
        <v/>
      </c>
      <c r="H143" s="194">
        <f>H118+N(H123)</f>
        <v/>
      </c>
      <c r="I143" s="194">
        <f>I118+N(I123)</f>
        <v/>
      </c>
      <c r="J143" s="194">
        <f>J118+N(J123)</f>
        <v/>
      </c>
      <c r="K143" s="194">
        <f>K118+N(K123)</f>
        <v/>
      </c>
      <c r="L143" s="194">
        <f>L118+N(L123)</f>
        <v/>
      </c>
      <c r="M143" s="194">
        <f>M118+N(M123)</f>
        <v/>
      </c>
      <c r="N143" s="194">
        <f>N118+N(N123)</f>
        <v/>
      </c>
      <c r="O143" s="194">
        <f>O118+N(O123)</f>
        <v/>
      </c>
      <c r="P143" s="194">
        <f>P118+N(P123)</f>
        <v/>
      </c>
      <c r="Q143" s="194">
        <f>Q118+N(Q123)</f>
        <v/>
      </c>
      <c r="R143" s="194">
        <f>R118+N(R123)</f>
        <v/>
      </c>
      <c r="S143" s="194">
        <f>S118+N(S123)</f>
        <v/>
      </c>
      <c r="T143" s="194">
        <f>T118+N(T123)</f>
        <v/>
      </c>
      <c r="U143" s="194">
        <f>U118+N(U123)</f>
        <v/>
      </c>
      <c r="V143" s="194">
        <f>V118+N(V123)</f>
        <v/>
      </c>
      <c r="W143" s="194">
        <f>W118+N(W123)</f>
        <v/>
      </c>
      <c r="X143" s="194">
        <f>X118+N(X123)</f>
        <v/>
      </c>
      <c r="Y143" s="194">
        <f>Y118+N(Y123)</f>
        <v/>
      </c>
      <c r="Z143" s="194">
        <f>Z118+N(Z123)</f>
        <v/>
      </c>
      <c r="AA143" s="194">
        <f>AA118+N(AA123)</f>
        <v/>
      </c>
      <c r="AB143" s="194">
        <f>AB118+N(AB123)</f>
        <v/>
      </c>
      <c r="AC143" s="194">
        <f>AC118+N(AC123)</f>
        <v/>
      </c>
      <c r="AD143" s="194">
        <f>AD118+N(AD123)</f>
        <v/>
      </c>
      <c r="AE143" s="194">
        <f>AE118+N(AE123)</f>
        <v/>
      </c>
      <c r="AF143" s="194">
        <f>AF118+N(AF123)</f>
        <v/>
      </c>
      <c r="AG143" s="194">
        <f>AG118+N(AG123)</f>
        <v/>
      </c>
      <c r="AH143" s="194">
        <f>AH118+N(AH123)</f>
        <v/>
      </c>
      <c r="AI143" s="194">
        <f>AI118+N(AI123)</f>
        <v/>
      </c>
      <c r="AJ143" s="194">
        <f>AJ118+N(AJ123)</f>
        <v/>
      </c>
      <c r="AK143" s="194">
        <f>AK118+N(AK123)</f>
        <v/>
      </c>
      <c r="AL143" s="194">
        <f>AL118+N(AL123)</f>
        <v/>
      </c>
      <c r="AM143" s="194">
        <f>AM118+N(AM123)</f>
        <v/>
      </c>
      <c r="AN143" s="194">
        <f>AN118+N(AN123)</f>
        <v/>
      </c>
      <c r="AO143" s="194">
        <f>AO118+N(AO123)</f>
        <v/>
      </c>
      <c r="AP143" s="194">
        <f>AP118+N(AP123)</f>
        <v/>
      </c>
      <c r="AQ143" s="194">
        <f>AQ118+N(AQ123)</f>
        <v/>
      </c>
      <c r="AR143" s="194">
        <f>AR118+N(AR123)</f>
        <v/>
      </c>
      <c r="AS143" s="194">
        <f>AS118+N(AS123)</f>
        <v/>
      </c>
      <c r="AT143" s="194">
        <f>AT118+N(AT123)</f>
        <v/>
      </c>
      <c r="AU143" s="194">
        <f>AU118+N(AU123)</f>
        <v/>
      </c>
      <c r="AV143" s="194">
        <f>AV118+N(AV123)</f>
        <v/>
      </c>
      <c r="AW143" s="194">
        <f>AW118+N(AW123)</f>
        <v/>
      </c>
      <c r="AX143" s="194">
        <f>AX118+N(AX123)</f>
        <v/>
      </c>
      <c r="AY143" s="194">
        <f>AY118+N(AY123)</f>
        <v/>
      </c>
      <c r="AZ143" s="194">
        <f>AZ118+N(AZ123)</f>
        <v/>
      </c>
      <c r="BA143" s="194">
        <f>BA118+N(BA123)</f>
        <v/>
      </c>
      <c r="BB143" s="194">
        <f>BB118+N(BB123)</f>
        <v/>
      </c>
      <c r="BC143" s="194">
        <f>BC118+N(BC123)</f>
        <v/>
      </c>
      <c r="BD143" s="194">
        <f>BD118+N(BD123)</f>
        <v/>
      </c>
      <c r="BE143" s="194">
        <f>BE118+N(BE123)</f>
        <v/>
      </c>
      <c r="BF143" s="194">
        <f>BF118+N(BF123)</f>
        <v/>
      </c>
      <c r="BG143" s="194">
        <f>BG118+N(BG123)</f>
        <v/>
      </c>
      <c r="BH143" s="194">
        <f>BH118+N(BH123)</f>
        <v/>
      </c>
      <c r="BI143" s="194">
        <f>BI118+N(BI123)</f>
        <v/>
      </c>
      <c r="BJ143" s="194">
        <f>BJ118+N(BJ123)</f>
        <v/>
      </c>
      <c r="BK143" s="194">
        <f>BK118+N(BK123)</f>
        <v/>
      </c>
      <c r="BL143" s="194">
        <f>BL118+N(BL123)</f>
        <v/>
      </c>
      <c r="BM143" s="194">
        <f>BM118+N(BM123)</f>
        <v/>
      </c>
      <c r="BN143" s="194">
        <f>BN118+N(BN123)</f>
        <v/>
      </c>
      <c r="BO143" s="194">
        <f>BO118+N(BO123)</f>
        <v/>
      </c>
      <c r="BP143" s="194">
        <f>BP118+N(BP123)</f>
        <v/>
      </c>
      <c r="BQ143" s="194">
        <f>BQ118+N(BQ123)</f>
        <v/>
      </c>
      <c r="BR143" s="194">
        <f>BR118+N(BR123)</f>
        <v/>
      </c>
      <c r="BS143" s="194">
        <f>BS118+N(BS123)</f>
        <v/>
      </c>
      <c r="BT143" s="194">
        <f>BT118+N(BT123)</f>
        <v/>
      </c>
      <c r="BU143" s="194">
        <f>BU118+N(BU123)</f>
        <v/>
      </c>
      <c r="BV143" s="194">
        <f>BV118+N(BV123)</f>
        <v/>
      </c>
      <c r="BW143" s="194">
        <f>BW118+N(BW123)</f>
        <v/>
      </c>
      <c r="BX143" s="194">
        <f>BX118+N(BX123)</f>
        <v/>
      </c>
      <c r="BY143" s="176">
        <f>BY118+N(BY123)</f>
        <v/>
      </c>
      <c r="BZ143" s="176">
        <f>BZ118+N(BZ123)</f>
        <v/>
      </c>
      <c r="CA143" s="176">
        <f>CA118+N(CA123)</f>
        <v/>
      </c>
      <c r="CB143" s="176">
        <f>CB118+N(CB123)</f>
        <v/>
      </c>
      <c r="CC143" s="176">
        <f>CC118+N(CC123)</f>
        <v/>
      </c>
      <c r="CD143" s="176">
        <f>CD118+N(CD123)</f>
        <v/>
      </c>
      <c r="CE143" s="176">
        <f>CE118+N(CE123)</f>
        <v/>
      </c>
      <c r="CF143" s="20" t="n"/>
      <c r="CH143" s="21">
        <f>IFERROR((CE143/BV143)^(1/5)-1,"n/m")</f>
        <v/>
      </c>
      <c r="CI143" s="21">
        <f>IFERROR((BV143/AW143)^(1/5)-1,"n/m")</f>
        <v/>
      </c>
      <c r="CJ143" s="21">
        <f>IFERROR((BV143/X143)^(1/10)-1,"n/m")</f>
        <v/>
      </c>
      <c r="CK143" s="21">
        <f>IFERROR((BV143/C143)^(1/19)-1,"n/m")</f>
        <v/>
      </c>
    </row>
    <row r="144" ht="15" customHeight="1">
      <c r="B144" s="17" t="inlineStr">
        <is>
          <t xml:space="preserve">  = Operating income</t>
        </is>
      </c>
      <c r="C144" s="204">
        <f>IF(ISNUMBER(C140),C140+C141+C142+C143,"")</f>
        <v/>
      </c>
      <c r="D144" s="204">
        <f>IF(ISNUMBER(D140),D140+D141+D142+D143,"")</f>
        <v/>
      </c>
      <c r="E144" s="204">
        <f>IF(ISNUMBER(E140),E140+E141+E142+E143,"")</f>
        <v/>
      </c>
      <c r="F144" s="204">
        <f>IF(ISNUMBER(F140),F140+F141+F142+F143,"")</f>
        <v/>
      </c>
      <c r="G144" s="204">
        <f>IF(ISNUMBER(G140),G140+G141+G142+G143,"")</f>
        <v/>
      </c>
      <c r="H144" s="204">
        <f>IF(ISNUMBER(H140),H140+H141+H142+H143,"")</f>
        <v/>
      </c>
      <c r="I144" s="204">
        <f>IF(ISNUMBER(I140),I140+I141+I142+I143,"")</f>
        <v/>
      </c>
      <c r="J144" s="204">
        <f>IF(ISNUMBER(J140),J140+J141+J142+J143,"")</f>
        <v/>
      </c>
      <c r="K144" s="204">
        <f>IF(ISNUMBER(K140),K140+K141+K142+K143,"")</f>
        <v/>
      </c>
      <c r="L144" s="204">
        <f>IF(ISNUMBER(L140),L140+L141+L142+L143,"")</f>
        <v/>
      </c>
      <c r="M144" s="204">
        <f>IF(ISNUMBER(M140),M140+M141+M142+M143,"")</f>
        <v/>
      </c>
      <c r="N144" s="204">
        <f>IF(ISNUMBER(N140),N140+N141+N142+N143,"")</f>
        <v/>
      </c>
      <c r="O144" s="204">
        <f>IF(ISNUMBER(O140),O140+O141+O142+O143,"")</f>
        <v/>
      </c>
      <c r="P144" s="204">
        <f>IF(ISNUMBER(P140),P140+P141+P142+P143,"")</f>
        <v/>
      </c>
      <c r="Q144" s="204">
        <f>IF(ISNUMBER(Q140),Q140+Q141+Q142+Q143,"")</f>
        <v/>
      </c>
      <c r="R144" s="204">
        <f>IF(ISNUMBER(R140),R140+R141+R142+R143,"")</f>
        <v/>
      </c>
      <c r="S144" s="204">
        <f>IF(ISNUMBER(S140),S140+S141+S142+S143,"")</f>
        <v/>
      </c>
      <c r="T144" s="204">
        <f>IF(ISNUMBER(T140),T140+T141+T142+T143,"")</f>
        <v/>
      </c>
      <c r="U144" s="204">
        <f>IF(ISNUMBER(U140),U140+U141+U142+U143,"")</f>
        <v/>
      </c>
      <c r="V144" s="204">
        <f>IF(ISNUMBER(V140),V140+V141+V142+V143,"")</f>
        <v/>
      </c>
      <c r="W144" s="204">
        <f>IF(ISNUMBER(W140),W140+W141+W142+W143,"")</f>
        <v/>
      </c>
      <c r="X144" s="204">
        <f>IF(ISNUMBER(X140),X140+X141+X142+X143,"")</f>
        <v/>
      </c>
      <c r="Y144" s="204">
        <f>IF(ISNUMBER(Y140),Y140+Y141+Y142+Y143,"")</f>
        <v/>
      </c>
      <c r="Z144" s="204">
        <f>IF(ISNUMBER(Z140),Z140+Z141+Z142+Z143,"")</f>
        <v/>
      </c>
      <c r="AA144" s="204">
        <f>IF(ISNUMBER(AA140),AA140+AA141+AA142+AA143,"")</f>
        <v/>
      </c>
      <c r="AB144" s="204">
        <f>IF(ISNUMBER(AB140),AB140+AB141+AB142+AB143,"")</f>
        <v/>
      </c>
      <c r="AC144" s="204">
        <f>IF(ISNUMBER(AC140),AC140+AC141+AC142+AC143,"")</f>
        <v/>
      </c>
      <c r="AD144" s="204">
        <f>IF(ISNUMBER(AD140),AD140+AD141+AD142+AD143,"")</f>
        <v/>
      </c>
      <c r="AE144" s="204">
        <f>IF(ISNUMBER(AE140),AE140+AE141+AE142+AE143,"")</f>
        <v/>
      </c>
      <c r="AF144" s="204">
        <f>IF(ISNUMBER(AF140),AF140+AF141+AF142+AF143,"")</f>
        <v/>
      </c>
      <c r="AG144" s="204">
        <f>IF(ISNUMBER(AG140),AG140+AG141+AG142+AG143,"")</f>
        <v/>
      </c>
      <c r="AH144" s="204">
        <f>IF(ISNUMBER(AH140),AH140+AH141+AH142+AH143,"")</f>
        <v/>
      </c>
      <c r="AI144" s="204">
        <f>IF(ISNUMBER(AI140),AI140+AI141+AI142+AI143,"")</f>
        <v/>
      </c>
      <c r="AJ144" s="204">
        <f>IF(ISNUMBER(AJ140),AJ140+AJ141+AJ142+AJ143,"")</f>
        <v/>
      </c>
      <c r="AK144" s="204">
        <f>IF(ISNUMBER(AK140),AK140+AK141+AK142+AK143,"")</f>
        <v/>
      </c>
      <c r="AL144" s="204">
        <f>IF(ISNUMBER(AL140),AL140+AL141+AL142+AL143,"")</f>
        <v/>
      </c>
      <c r="AM144" s="204">
        <f>IF(ISNUMBER(AM140),AM140+AM141+AM142+AM143,"")</f>
        <v/>
      </c>
      <c r="AN144" s="204">
        <f>IF(ISNUMBER(AN140),AN140+AN141+AN142+AN143,"")</f>
        <v/>
      </c>
      <c r="AO144" s="204">
        <f>IF(ISNUMBER(AO140),AO140+AO141+AO142+AO143,"")</f>
        <v/>
      </c>
      <c r="AP144" s="204">
        <f>IF(ISNUMBER(AP140),AP140+AP141+AP142+AP143,"")</f>
        <v/>
      </c>
      <c r="AQ144" s="204">
        <f>IF(ISNUMBER(AQ140),AQ140+AQ141+AQ142+AQ143,"")</f>
        <v/>
      </c>
      <c r="AR144" s="204">
        <f>IF(ISNUMBER(AR140),AR140+AR141+AR142+AR143,"")</f>
        <v/>
      </c>
      <c r="AS144" s="204">
        <f>IF(ISNUMBER(AS140),AS140+AS141+AS142+AS143,"")</f>
        <v/>
      </c>
      <c r="AT144" s="204">
        <f>IF(ISNUMBER(AT140),AT140+AT141+AT142+AT143,"")</f>
        <v/>
      </c>
      <c r="AU144" s="204">
        <f>IF(ISNUMBER(AU140),AU140+AU141+AU142+AU143,"")</f>
        <v/>
      </c>
      <c r="AV144" s="204">
        <f>IF(ISNUMBER(AV140),AV140+AV141+AV142+AV143,"")</f>
        <v/>
      </c>
      <c r="AW144" s="204">
        <f>IF(ISNUMBER(AW140),AW140+AW141+AW142+AW143,"")</f>
        <v/>
      </c>
      <c r="AX144" s="204">
        <f>IF(ISNUMBER(AX140),AX140+AX141+AX142+AX143,"")</f>
        <v/>
      </c>
      <c r="AY144" s="204">
        <f>IF(ISNUMBER(AY140),AY140+AY141+AY142+AY143,"")</f>
        <v/>
      </c>
      <c r="AZ144" s="204">
        <f>IF(ISNUMBER(AZ140),AZ140+AZ141+AZ142+AZ143,"")</f>
        <v/>
      </c>
      <c r="BA144" s="204">
        <f>IF(ISNUMBER(BA140),BA140+BA141+BA142+BA143,"")</f>
        <v/>
      </c>
      <c r="BB144" s="204">
        <f>IF(ISNUMBER(BB140),BB140+BB141+BB142+BB143,"")</f>
        <v/>
      </c>
      <c r="BC144" s="204">
        <f>IF(ISNUMBER(BC140),BC140+BC141+BC142+BC143,"")</f>
        <v/>
      </c>
      <c r="BD144" s="204">
        <f>IF(ISNUMBER(BD140),BD140+BD141+BD142+BD143,"")</f>
        <v/>
      </c>
      <c r="BE144" s="204">
        <f>IF(ISNUMBER(BE140),BE140+BE141+BE142+BE143,"")</f>
        <v/>
      </c>
      <c r="BF144" s="204">
        <f>IF(ISNUMBER(BF140),BF140+BF141+BF142+BF143,"")</f>
        <v/>
      </c>
      <c r="BG144" s="204">
        <f>IF(ISNUMBER(BG140),BG140+BG141+BG142+BG143,"")</f>
        <v/>
      </c>
      <c r="BH144" s="204">
        <f>IF(ISNUMBER(BH140),BH140+BH141+BH142+BH143,"")</f>
        <v/>
      </c>
      <c r="BI144" s="204">
        <f>IF(ISNUMBER(BI140),BI140+BI141+BI142+BI143,"")</f>
        <v/>
      </c>
      <c r="BJ144" s="204">
        <f>IF(ISNUMBER(BJ140),BJ140+BJ141+BJ142+BJ143,"")</f>
        <v/>
      </c>
      <c r="BK144" s="204">
        <f>IF(ISNUMBER(BK140),BK140+BK141+BK142+BK143,"")</f>
        <v/>
      </c>
      <c r="BL144" s="204">
        <f>IF(ISNUMBER(BL140),BL140+BL141+BL142+BL143,"")</f>
        <v/>
      </c>
      <c r="BM144" s="204">
        <f>IF(ISNUMBER(BM140),BM140+BM141+BM142+BM143,"")</f>
        <v/>
      </c>
      <c r="BN144" s="204">
        <f>IF(ISNUMBER(BN140),BN140+BN141+BN142+BN143,"")</f>
        <v/>
      </c>
      <c r="BO144" s="204">
        <f>IF(ISNUMBER(BO140),BO140+BO141+BO142+BO143,"")</f>
        <v/>
      </c>
      <c r="BP144" s="204">
        <f>IF(ISNUMBER(BP140),BP140+BP141+BP142+BP143,"")</f>
        <v/>
      </c>
      <c r="BQ144" s="204">
        <f>IF(ISNUMBER(BQ140),BQ140+BQ141+BQ142+BQ143,"")</f>
        <v/>
      </c>
      <c r="BR144" s="204">
        <f>IF(ISNUMBER(BR140),BR140+BR141+BR142+BR143,"")</f>
        <v/>
      </c>
      <c r="BS144" s="204">
        <f>IF(ISNUMBER(BS140),BS140+BS141+BS142+BS143,"")</f>
        <v/>
      </c>
      <c r="BT144" s="204">
        <f>IF(ISNUMBER(BT140),BT140+BT141+BT142+BT143,"")</f>
        <v/>
      </c>
      <c r="BU144" s="204">
        <f>IF(ISNUMBER(BU140),BU140+BU141+BU142+BU143,"")</f>
        <v/>
      </c>
      <c r="BV144" s="204">
        <f>IF(ISNUMBER(BV140),BV140+BV141+BV142+BV143,"")</f>
        <v/>
      </c>
      <c r="BW144" s="204">
        <f>IF(ISNUMBER(BW140),BW140+BW141+BW142+BW143,"")</f>
        <v/>
      </c>
      <c r="BX144" s="204">
        <f>IF(ISNUMBER(BX140),BX140+BX141+BX142+BX143,"")</f>
        <v/>
      </c>
      <c r="BY144" s="178">
        <f>IF(ISNUMBER(BY140),BY140+BY141+BY142+BY143,"")</f>
        <v/>
      </c>
      <c r="BZ144" s="178">
        <f>IF(ISNUMBER(BZ140),BZ140+BZ141+BZ142+BZ143,"")</f>
        <v/>
      </c>
      <c r="CA144" s="178">
        <f>IF(ISNUMBER(CA140),CA140+CA141+CA142+CA143,"")</f>
        <v/>
      </c>
      <c r="CB144" s="178">
        <f>IF(ISNUMBER(CB140),CB140+CB141+CB142+CB143,"")</f>
        <v/>
      </c>
      <c r="CC144" s="178">
        <f>IF(ISNUMBER(CC140),CC140+CC141+CC142+CC143,"")</f>
        <v/>
      </c>
      <c r="CD144" s="178">
        <f>IF(ISNUMBER(CD140),CD140+CD141+CD142+CD143,"")</f>
        <v/>
      </c>
      <c r="CE144" s="178">
        <f>IF(ISNUMBER(CE140),CE140+CE141+CE142+CE143,"")</f>
        <v/>
      </c>
      <c r="CF144" s="6" t="n"/>
    </row>
    <row r="145" ht="15" customHeight="1">
      <c r="B145" s="61" t="inlineStr">
        <is>
          <t xml:space="preserve">  Check: operating income in the bridge vs SEC XBRL OperatingIncomeLoss (should be 0; n/p before XBRL, 2006–07)</t>
        </is>
      </c>
      <c r="C145" s="197">
        <f>IF(ISNUMBER(C146),ROUND(C144-C146,1),"n/p")</f>
        <v/>
      </c>
      <c r="D145" s="197">
        <f>IF(ISNUMBER(D146),ROUND(D144-D146,1),"n/p")</f>
        <v/>
      </c>
      <c r="E145" s="197">
        <f>IF(ISNUMBER(E146),ROUND(E144-E146,1),"n/p")</f>
        <v/>
      </c>
      <c r="F145" s="197">
        <f>IF(ISNUMBER(F146),ROUND(F144-F146,1),"n/p")</f>
        <v/>
      </c>
      <c r="G145" s="197">
        <f>IF(ISNUMBER(G146),ROUND(G144-G146,1),"n/p")</f>
        <v/>
      </c>
      <c r="H145" s="197">
        <f>IF(ISNUMBER(H146),ROUND(H144-H146,1),"n/p")</f>
        <v/>
      </c>
      <c r="I145" s="197">
        <f>IF(ISNUMBER(I146),ROUND(I144-I146,1),"n/p")</f>
        <v/>
      </c>
      <c r="J145" s="197">
        <f>IF(ISNUMBER(J146),ROUND(J144-J146,1),"n/p")</f>
        <v/>
      </c>
      <c r="K145" s="197">
        <f>IF(ISNUMBER(K146),ROUND(K144-K146,1),"n/p")</f>
        <v/>
      </c>
      <c r="L145" s="197">
        <f>IF(ISNUMBER(L146),ROUND(L144-L146,1),"n/p")</f>
        <v/>
      </c>
      <c r="M145" s="197">
        <f>IF(ISNUMBER(M146),ROUND(M144-M146,1),"n/p")</f>
        <v/>
      </c>
      <c r="N145" s="197">
        <f>IF(ISNUMBER(N146),ROUND(N144-N146,1),"n/p")</f>
        <v/>
      </c>
      <c r="O145" s="197">
        <f>IF(ISNUMBER(O146),ROUND(O144-O146,1),"n/p")</f>
        <v/>
      </c>
      <c r="P145" s="197">
        <f>IF(ISNUMBER(P146),ROUND(P144-P146,1),"n/p")</f>
        <v/>
      </c>
      <c r="Q145" s="197">
        <f>IF(ISNUMBER(Q146),ROUND(Q144-Q146,1),"n/p")</f>
        <v/>
      </c>
      <c r="R145" s="197">
        <f>IF(ISNUMBER(R146),ROUND(R144-R146,1),"n/p")</f>
        <v/>
      </c>
      <c r="S145" s="197">
        <f>IF(ISNUMBER(S146),ROUND(S144-S146,1),"n/p")</f>
        <v/>
      </c>
      <c r="T145" s="197">
        <f>IF(ISNUMBER(T146),ROUND(T144-T146,1),"n/p")</f>
        <v/>
      </c>
      <c r="U145" s="197">
        <f>IF(ISNUMBER(U146),ROUND(U144-U146,1),"n/p")</f>
        <v/>
      </c>
      <c r="V145" s="197">
        <f>IF(ISNUMBER(V146),ROUND(V144-V146,1),"n/p")</f>
        <v/>
      </c>
      <c r="W145" s="197">
        <f>IF(ISNUMBER(W146),ROUND(W144-W146,1),"n/p")</f>
        <v/>
      </c>
      <c r="X145" s="197">
        <f>IF(ISNUMBER(X146),ROUND(X144-X146,1),"n/p")</f>
        <v/>
      </c>
      <c r="Y145" s="197">
        <f>IF(ISNUMBER(Y146),ROUND(Y144-Y146,1),"n/p")</f>
        <v/>
      </c>
      <c r="Z145" s="197">
        <f>IF(ISNUMBER(Z146),ROUND(Z144-Z146,1),"n/p")</f>
        <v/>
      </c>
      <c r="AA145" s="197">
        <f>IF(ISNUMBER(AA146),ROUND(AA144-AA146,1),"n/p")</f>
        <v/>
      </c>
      <c r="AB145" s="197">
        <f>IF(ISNUMBER(AB146),ROUND(AB144-AB146,1),"n/p")</f>
        <v/>
      </c>
      <c r="AC145" s="197">
        <f>IF(ISNUMBER(AC146),ROUND(AC144-AC146,1),"n/p")</f>
        <v/>
      </c>
      <c r="AD145" s="197">
        <f>IF(ISNUMBER(AD146),ROUND(AD144-AD146,1),"n/p")</f>
        <v/>
      </c>
      <c r="AE145" s="197">
        <f>IF(ISNUMBER(AE146),ROUND(AE144-AE146,1),"n/p")</f>
        <v/>
      </c>
      <c r="AF145" s="197">
        <f>IF(ISNUMBER(AF146),ROUND(AF144-AF146,1),"n/p")</f>
        <v/>
      </c>
      <c r="AG145" s="197">
        <f>IF(ISNUMBER(AG146),ROUND(AG144-AG146,1),"n/p")</f>
        <v/>
      </c>
      <c r="AH145" s="197">
        <f>IF(ISNUMBER(AH146),ROUND(AH144-AH146,1),"n/p")</f>
        <v/>
      </c>
      <c r="AI145" s="197">
        <f>IF(ISNUMBER(AI146),ROUND(AI144-AI146,1),"n/p")</f>
        <v/>
      </c>
      <c r="AJ145" s="197">
        <f>IF(ISNUMBER(AJ146),ROUND(AJ144-AJ146,1),"n/p")</f>
        <v/>
      </c>
      <c r="AK145" s="197">
        <f>IF(ISNUMBER(AK146),ROUND(AK144-AK146,1),"n/p")</f>
        <v/>
      </c>
      <c r="AL145" s="197">
        <f>IF(ISNUMBER(AL146),ROUND(AL144-AL146,1),"n/p")</f>
        <v/>
      </c>
      <c r="AM145" s="197">
        <f>IF(ISNUMBER(AM146),ROUND(AM144-AM146,1),"n/p")</f>
        <v/>
      </c>
      <c r="AN145" s="197">
        <f>IF(ISNUMBER(AN146),ROUND(AN144-AN146,1),"n/p")</f>
        <v/>
      </c>
      <c r="AO145" s="197">
        <f>IF(ISNUMBER(AO146),ROUND(AO144-AO146,1),"n/p")</f>
        <v/>
      </c>
      <c r="AP145" s="197">
        <f>IF(ISNUMBER(AP146),ROUND(AP144-AP146,1),"n/p")</f>
        <v/>
      </c>
      <c r="AQ145" s="197">
        <f>IF(ISNUMBER(AQ146),ROUND(AQ144-AQ146,1),"n/p")</f>
        <v/>
      </c>
      <c r="AR145" s="197">
        <f>IF(ISNUMBER(AR146),ROUND(AR144-AR146,1),"n/p")</f>
        <v/>
      </c>
      <c r="AS145" s="197">
        <f>IF(ISNUMBER(AS146),ROUND(AS144-AS146,1),"n/p")</f>
        <v/>
      </c>
      <c r="AT145" s="197">
        <f>IF(ISNUMBER(AT146),ROUND(AT144-AT146,1),"n/p")</f>
        <v/>
      </c>
      <c r="AU145" s="197">
        <f>IF(ISNUMBER(AU146),ROUND(AU144-AU146,1),"n/p")</f>
        <v/>
      </c>
      <c r="AV145" s="197">
        <f>IF(ISNUMBER(AV146),ROUND(AV144-AV146,1),"n/p")</f>
        <v/>
      </c>
      <c r="AW145" s="197">
        <f>IF(ISNUMBER(AW146),ROUND(AW144-AW146,1),"n/p")</f>
        <v/>
      </c>
      <c r="AX145" s="197">
        <f>IF(ISNUMBER(AX146),ROUND(AX144-AX146,1),"n/p")</f>
        <v/>
      </c>
      <c r="AY145" s="197">
        <f>IF(ISNUMBER(AY146),ROUND(AY144-AY146,1),"n/p")</f>
        <v/>
      </c>
      <c r="AZ145" s="197">
        <f>IF(ISNUMBER(AZ146),ROUND(AZ144-AZ146,1),"n/p")</f>
        <v/>
      </c>
      <c r="BA145" s="197">
        <f>IF(ISNUMBER(BA146),ROUND(BA144-BA146,1),"n/p")</f>
        <v/>
      </c>
      <c r="BB145" s="197">
        <f>IF(ISNUMBER(BB146),ROUND(BB144-BB146,1),"n/p")</f>
        <v/>
      </c>
      <c r="BC145" s="197">
        <f>IF(ISNUMBER(BC146),ROUND(BC144-BC146,1),"n/p")</f>
        <v/>
      </c>
      <c r="BD145" s="197">
        <f>IF(ISNUMBER(BD146),ROUND(BD144-BD146,1),"n/p")</f>
        <v/>
      </c>
      <c r="BE145" s="197">
        <f>IF(ISNUMBER(BE146),ROUND(BE144-BE146,1),"n/p")</f>
        <v/>
      </c>
      <c r="BF145" s="197">
        <f>IF(ISNUMBER(BF146),ROUND(BF144-BF146,1),"n/p")</f>
        <v/>
      </c>
      <c r="BG145" s="197">
        <f>IF(ISNUMBER(BG146),ROUND(BG144-BG146,1),"n/p")</f>
        <v/>
      </c>
      <c r="BH145" s="197">
        <f>IF(ISNUMBER(BH146),ROUND(BH144-BH146,1),"n/p")</f>
        <v/>
      </c>
      <c r="BI145" s="197">
        <f>IF(ISNUMBER(BI146),ROUND(BI144-BI146,1),"n/p")</f>
        <v/>
      </c>
      <c r="BJ145" s="197">
        <f>IF(ISNUMBER(BJ146),ROUND(BJ144-BJ146,1),"n/p")</f>
        <v/>
      </c>
      <c r="BK145" s="197">
        <f>IF(ISNUMBER(BK146),ROUND(BK144-BK146,1),"n/p")</f>
        <v/>
      </c>
      <c r="BL145" s="197">
        <f>IF(ISNUMBER(BL146),ROUND(BL144-BL146,1),"n/p")</f>
        <v/>
      </c>
      <c r="BM145" s="197">
        <f>IF(ISNUMBER(BM146),ROUND(BM144-BM146,1),"n/p")</f>
        <v/>
      </c>
      <c r="BN145" s="197">
        <f>IF(ISNUMBER(BN146),ROUND(BN144-BN146,1),"n/p")</f>
        <v/>
      </c>
      <c r="BO145" s="197">
        <f>IF(ISNUMBER(BO146),ROUND(BO144-BO146,1),"n/p")</f>
        <v/>
      </c>
      <c r="BP145" s="197">
        <f>IF(ISNUMBER(BP146),ROUND(BP144-BP146,1),"n/p")</f>
        <v/>
      </c>
      <c r="BQ145" s="197">
        <f>IF(ISNUMBER(BQ146),ROUND(BQ144-BQ146,1),"n/p")</f>
        <v/>
      </c>
      <c r="BR145" s="197">
        <f>IF(ISNUMBER(BR146),ROUND(BR144-BR146,1),"n/p")</f>
        <v/>
      </c>
      <c r="BS145" s="197">
        <f>IF(ISNUMBER(BS146),ROUND(BS144-BS146,1),"n/p")</f>
        <v/>
      </c>
      <c r="BT145" s="197">
        <f>IF(ISNUMBER(BT146),ROUND(BT144-BT146,1),"n/p")</f>
        <v/>
      </c>
      <c r="BU145" s="197">
        <f>IF(ISNUMBER(BU146),ROUND(BU144-BU146,1),"n/p")</f>
        <v/>
      </c>
      <c r="BV145" s="197">
        <f>IF(ISNUMBER(BV146),ROUND(BV144-BV146,1),"n/p")</f>
        <v/>
      </c>
      <c r="BW145" s="197">
        <f>IF(ISNUMBER(BW146),ROUND(BW144-BW146,1),"n/p")</f>
        <v/>
      </c>
      <c r="BX145" s="197">
        <f>IF(ISNUMBER(BX146),ROUND(BX144-BX146,1),"n/p")</f>
        <v/>
      </c>
      <c r="BY145" s="6" t="n"/>
      <c r="BZ145" s="6" t="n"/>
      <c r="CA145" s="6" t="n"/>
      <c r="CB145" s="6" t="n"/>
      <c r="CC145" s="6" t="n"/>
      <c r="CD145" s="6" t="n"/>
      <c r="CE145" s="6" t="n"/>
      <c r="CF145" s="6" t="n"/>
    </row>
    <row r="146" ht="15" customHeight="1">
      <c r="B146" s="42" t="inlineStr">
        <is>
          <t xml:space="preserve">  Memo: operating income — SEC XBRL (as originally filed)</t>
        </is>
      </c>
      <c r="C146" s="36" t="n"/>
      <c r="D146" s="36" t="n"/>
      <c r="E146" s="174" t="n">
        <v>129.07</v>
      </c>
      <c r="F146" s="174" t="n">
        <v>70.39100000000001</v>
      </c>
      <c r="G146" s="174" t="n">
        <v>137.739</v>
      </c>
      <c r="H146" s="174" t="n">
        <v>234.072</v>
      </c>
      <c r="I146" s="174" t="n">
        <v>285.254</v>
      </c>
      <c r="J146" s="174" t="n">
        <v>65.944</v>
      </c>
      <c r="K146" s="174" t="n">
        <v>97.57299999999999</v>
      </c>
      <c r="L146" s="174" t="n">
        <v>98.07599999999999</v>
      </c>
      <c r="M146" s="174" t="n">
        <v>76.84499999999997</v>
      </c>
      <c r="N146" s="174" t="n">
        <v>338.438</v>
      </c>
      <c r="O146" s="174" t="n">
        <v>80.05200000000001</v>
      </c>
      <c r="P146" s="174" t="n">
        <v>122.695</v>
      </c>
      <c r="Q146" s="174" t="n">
        <v>126.262</v>
      </c>
      <c r="R146" s="174" t="n">
        <v>112.298</v>
      </c>
      <c r="S146" s="174" t="n">
        <v>441.307</v>
      </c>
      <c r="T146" s="174" t="n">
        <v>103.565</v>
      </c>
      <c r="U146" s="174" t="n">
        <v>140.899</v>
      </c>
      <c r="V146" s="174" t="n">
        <v>139.854</v>
      </c>
      <c r="W146" s="174" t="n">
        <v>113.922</v>
      </c>
      <c r="X146" s="174" t="n">
        <v>498.24</v>
      </c>
      <c r="Y146" s="174" t="n">
        <v>99.548</v>
      </c>
      <c r="Z146" s="174" t="n">
        <v>133.436</v>
      </c>
      <c r="AA146" s="174" t="n">
        <v>137.404</v>
      </c>
      <c r="AB146" s="174" t="n">
        <v>113.447</v>
      </c>
      <c r="AC146" s="174" t="n">
        <v>483.835</v>
      </c>
      <c r="AD146" s="174" t="n">
        <v>108.122</v>
      </c>
      <c r="AE146" s="174" t="n">
        <v>160.432</v>
      </c>
      <c r="AF146" s="174" t="n">
        <v>163.875</v>
      </c>
      <c r="AG146" s="174" t="n">
        <v>143.457</v>
      </c>
      <c r="AH146" s="174" t="n">
        <v>575.886</v>
      </c>
      <c r="AI146" s="174" t="n">
        <v>149.34</v>
      </c>
      <c r="AJ146" s="174" t="n">
        <v>220.481</v>
      </c>
      <c r="AK146" s="174" t="n">
        <v>228.385</v>
      </c>
      <c r="AL146" s="174" t="n">
        <v>218.845</v>
      </c>
      <c r="AM146" s="174" t="n">
        <v>817.051</v>
      </c>
      <c r="AN146" s="174" t="n">
        <v>178.426</v>
      </c>
      <c r="AO146" s="174" t="n">
        <v>234.489</v>
      </c>
      <c r="AP146" s="174" t="n">
        <v>217.527</v>
      </c>
      <c r="AQ146" s="174" t="n">
        <v>188.264</v>
      </c>
      <c r="AR146" s="174" t="n">
        <v>818.706</v>
      </c>
      <c r="AS146" s="174" t="n">
        <v>183.17</v>
      </c>
      <c r="AT146" s="174" t="n">
        <v>199.166</v>
      </c>
      <c r="AU146" s="174" t="n">
        <v>270.244</v>
      </c>
      <c r="AV146" s="174" t="n">
        <v>254.3019999999999</v>
      </c>
      <c r="AW146" s="174" t="n">
        <v>906.8819999999999</v>
      </c>
      <c r="AX146" s="174" t="n">
        <v>269.657</v>
      </c>
      <c r="AY146" s="174" t="n">
        <v>366.044</v>
      </c>
      <c r="AZ146" s="174" t="n">
        <v>383.41</v>
      </c>
      <c r="BA146" s="174" t="n">
        <v>372.4910000000001</v>
      </c>
      <c r="BB146" s="174" t="n">
        <v>1391.602</v>
      </c>
      <c r="BC146" s="174" t="n">
        <v>405.618</v>
      </c>
      <c r="BD146" s="174" t="n">
        <v>508.705</v>
      </c>
      <c r="BE146" s="174" t="n">
        <v>496.08</v>
      </c>
      <c r="BF146" s="174" t="n">
        <v>430.229</v>
      </c>
      <c r="BG146" s="174" t="n">
        <v>1840.632</v>
      </c>
      <c r="BH146" s="174" t="n">
        <v>383.049</v>
      </c>
      <c r="BI146" s="174" t="n">
        <v>391.594</v>
      </c>
      <c r="BJ146" s="174" t="n">
        <v>445.019</v>
      </c>
      <c r="BK146" s="174" t="n">
        <v>421.011</v>
      </c>
      <c r="BL146" s="174" t="n">
        <v>1640.673</v>
      </c>
      <c r="BM146" s="174" t="n">
        <v>386.426</v>
      </c>
      <c r="BN146" s="174" t="n">
        <v>421.691</v>
      </c>
      <c r="BO146" s="174" t="n">
        <v>401.861</v>
      </c>
      <c r="BP146" s="174" t="n">
        <v>334.02</v>
      </c>
      <c r="BQ146" s="174" t="n">
        <v>1543.998</v>
      </c>
      <c r="BR146" s="174" t="n">
        <v>338.055</v>
      </c>
      <c r="BS146" s="174" t="n">
        <v>357.895</v>
      </c>
      <c r="BT146" s="174" t="n">
        <v>360.844</v>
      </c>
      <c r="BU146" s="174" t="n">
        <v>304.251</v>
      </c>
      <c r="BV146" s="174" t="n">
        <v>1361.045</v>
      </c>
      <c r="BW146" s="174" t="n">
        <v>317.341</v>
      </c>
      <c r="BX146" s="174" t="n">
        <v>465.301</v>
      </c>
      <c r="BY146" s="6" t="n"/>
      <c r="BZ146" s="6" t="n"/>
      <c r="CA146" s="6" t="n"/>
      <c r="CB146" s="6" t="n"/>
      <c r="CC146" s="6" t="n"/>
      <c r="CD146" s="6" t="n"/>
      <c r="CE146" s="6" t="n"/>
      <c r="CF146" s="6" t="n"/>
    </row>
    <row r="147" ht="15" customHeight="1">
      <c r="B147" s="26" t="inlineStr">
        <is>
          <t xml:space="preserve">  (+) Depreciation &amp; amortization</t>
        </is>
      </c>
      <c r="C147" s="194">
        <f>C108</f>
        <v/>
      </c>
      <c r="D147" s="194">
        <f>D108</f>
        <v/>
      </c>
      <c r="E147" s="194">
        <f>E108</f>
        <v/>
      </c>
      <c r="F147" s="194">
        <f>F108</f>
        <v/>
      </c>
      <c r="G147" s="194">
        <f>G108</f>
        <v/>
      </c>
      <c r="H147" s="194">
        <f>H108</f>
        <v/>
      </c>
      <c r="I147" s="194">
        <f>I108</f>
        <v/>
      </c>
      <c r="J147" s="194">
        <f>J108</f>
        <v/>
      </c>
      <c r="K147" s="194">
        <f>K108</f>
        <v/>
      </c>
      <c r="L147" s="194">
        <f>L108</f>
        <v/>
      </c>
      <c r="M147" s="194">
        <f>M108</f>
        <v/>
      </c>
      <c r="N147" s="194">
        <f>N108</f>
        <v/>
      </c>
      <c r="O147" s="194">
        <f>O108</f>
        <v/>
      </c>
      <c r="P147" s="194">
        <f>P108</f>
        <v/>
      </c>
      <c r="Q147" s="194">
        <f>Q108</f>
        <v/>
      </c>
      <c r="R147" s="194">
        <f>R108</f>
        <v/>
      </c>
      <c r="S147" s="194">
        <f>S108</f>
        <v/>
      </c>
      <c r="T147" s="194">
        <f>T108</f>
        <v/>
      </c>
      <c r="U147" s="194">
        <f>U108</f>
        <v/>
      </c>
      <c r="V147" s="194">
        <f>V108</f>
        <v/>
      </c>
      <c r="W147" s="194">
        <f>W108</f>
        <v/>
      </c>
      <c r="X147" s="194">
        <f>X108</f>
        <v/>
      </c>
      <c r="Y147" s="194">
        <f>Y108</f>
        <v/>
      </c>
      <c r="Z147" s="194">
        <f>Z108</f>
        <v/>
      </c>
      <c r="AA147" s="194">
        <f>AA108</f>
        <v/>
      </c>
      <c r="AB147" s="194">
        <f>AB108</f>
        <v/>
      </c>
      <c r="AC147" s="194">
        <f>AC108</f>
        <v/>
      </c>
      <c r="AD147" s="194">
        <f>AD108</f>
        <v/>
      </c>
      <c r="AE147" s="194">
        <f>AE108</f>
        <v/>
      </c>
      <c r="AF147" s="194">
        <f>AF108</f>
        <v/>
      </c>
      <c r="AG147" s="194">
        <f>AG108</f>
        <v/>
      </c>
      <c r="AH147" s="194">
        <f>AH108</f>
        <v/>
      </c>
      <c r="AI147" s="194">
        <f>AI108</f>
        <v/>
      </c>
      <c r="AJ147" s="194">
        <f>AJ108</f>
        <v/>
      </c>
      <c r="AK147" s="194">
        <f>AK108</f>
        <v/>
      </c>
      <c r="AL147" s="194">
        <f>AL108</f>
        <v/>
      </c>
      <c r="AM147" s="194">
        <f>AM108</f>
        <v/>
      </c>
      <c r="AN147" s="194">
        <f>AN108</f>
        <v/>
      </c>
      <c r="AO147" s="194">
        <f>AO108</f>
        <v/>
      </c>
      <c r="AP147" s="194">
        <f>AP108</f>
        <v/>
      </c>
      <c r="AQ147" s="194">
        <f>AQ108</f>
        <v/>
      </c>
      <c r="AR147" s="194">
        <f>AR108</f>
        <v/>
      </c>
      <c r="AS147" s="194">
        <f>AS108</f>
        <v/>
      </c>
      <c r="AT147" s="194">
        <f>AT108</f>
        <v/>
      </c>
      <c r="AU147" s="194">
        <f>AU108</f>
        <v/>
      </c>
      <c r="AV147" s="194">
        <f>AV108</f>
        <v/>
      </c>
      <c r="AW147" s="194">
        <f>AW108</f>
        <v/>
      </c>
      <c r="AX147" s="194">
        <f>AX108</f>
        <v/>
      </c>
      <c r="AY147" s="194">
        <f>AY108</f>
        <v/>
      </c>
      <c r="AZ147" s="194">
        <f>AZ108</f>
        <v/>
      </c>
      <c r="BA147" s="194">
        <f>BA108</f>
        <v/>
      </c>
      <c r="BB147" s="194">
        <f>BB108</f>
        <v/>
      </c>
      <c r="BC147" s="194">
        <f>BC108</f>
        <v/>
      </c>
      <c r="BD147" s="194">
        <f>BD108</f>
        <v/>
      </c>
      <c r="BE147" s="194">
        <f>BE108</f>
        <v/>
      </c>
      <c r="BF147" s="194">
        <f>BF108</f>
        <v/>
      </c>
      <c r="BG147" s="194">
        <f>BG108</f>
        <v/>
      </c>
      <c r="BH147" s="194">
        <f>BH108</f>
        <v/>
      </c>
      <c r="BI147" s="194">
        <f>BI108</f>
        <v/>
      </c>
      <c r="BJ147" s="194">
        <f>BJ108</f>
        <v/>
      </c>
      <c r="BK147" s="194">
        <f>BK108</f>
        <v/>
      </c>
      <c r="BL147" s="194">
        <f>BL108</f>
        <v/>
      </c>
      <c r="BM147" s="194">
        <f>BM108</f>
        <v/>
      </c>
      <c r="BN147" s="194">
        <f>BN108</f>
        <v/>
      </c>
      <c r="BO147" s="194">
        <f>BO108</f>
        <v/>
      </c>
      <c r="BP147" s="194">
        <f>BP108</f>
        <v/>
      </c>
      <c r="BQ147" s="194">
        <f>BQ108</f>
        <v/>
      </c>
      <c r="BR147" s="194">
        <f>BR108</f>
        <v/>
      </c>
      <c r="BS147" s="194">
        <f>BS108</f>
        <v/>
      </c>
      <c r="BT147" s="194">
        <f>BT108</f>
        <v/>
      </c>
      <c r="BU147" s="194">
        <f>BU108</f>
        <v/>
      </c>
      <c r="BV147" s="194">
        <f>BV108</f>
        <v/>
      </c>
      <c r="BW147" s="194">
        <f>BW108</f>
        <v/>
      </c>
      <c r="BX147" s="194">
        <f>BX108</f>
        <v/>
      </c>
      <c r="BY147" s="176">
        <f>BY108</f>
        <v/>
      </c>
      <c r="BZ147" s="176">
        <f>BZ108</f>
        <v/>
      </c>
      <c r="CA147" s="176">
        <f>CA108</f>
        <v/>
      </c>
      <c r="CB147" s="176">
        <f>CB108</f>
        <v/>
      </c>
      <c r="CC147" s="176">
        <f>CC108</f>
        <v/>
      </c>
      <c r="CD147" s="176">
        <f>CD108</f>
        <v/>
      </c>
      <c r="CE147" s="176">
        <f>CE108</f>
        <v/>
      </c>
      <c r="CF147" s="20" t="n"/>
    </row>
    <row r="148" ht="15" customHeight="1">
      <c r="B148" s="61" t="inlineStr">
        <is>
          <t xml:space="preserve">  Check: D&amp;A vs SEC XBRL DepreciationAndAmortization (should be 0; tag = cash-flow D&amp;A, ±0.05 minor non-operating amortization)</t>
        </is>
      </c>
      <c r="C148" s="197">
        <f>IF(ISNUMBER(C149),IF(ABS(C147-C149)&lt;=0.05,0,ROUND(C147-C149,2)),"n/p")</f>
        <v/>
      </c>
      <c r="D148" s="197">
        <f>IF(ISNUMBER(D149),IF(ABS(D147-D149)&lt;=0.05,0,ROUND(D147-D149,2)),"n/p")</f>
        <v/>
      </c>
      <c r="E148" s="197">
        <f>IF(ISNUMBER(E149),IF(ABS(E147-E149)&lt;=0.05,0,ROUND(E147-E149,2)),"n/p")</f>
        <v/>
      </c>
      <c r="F148" s="197">
        <f>IF(ISNUMBER(F149),IF(ABS(F147-F149)&lt;=0.05,0,ROUND(F147-F149,2)),"n/p")</f>
        <v/>
      </c>
      <c r="G148" s="197">
        <f>IF(ISNUMBER(G149),IF(ABS(G147-G149)&lt;=0.05,0,ROUND(G147-G149,2)),"n/p")</f>
        <v/>
      </c>
      <c r="H148" s="197">
        <f>IF(ISNUMBER(H149),IF(ABS(H147-H149)&lt;=0.05,0,ROUND(H147-H149,2)),"n/p")</f>
        <v/>
      </c>
      <c r="I148" s="197">
        <f>IF(ISNUMBER(I149),IF(ABS(I147-I149)&lt;=0.05,0,ROUND(I147-I149,2)),"n/p")</f>
        <v/>
      </c>
      <c r="J148" s="197">
        <f>IF(ISNUMBER(J149),IF(ABS(J147-J149)&lt;=0.05,0,ROUND(J147-J149,2)),"n/p")</f>
        <v/>
      </c>
      <c r="K148" s="197">
        <f>IF(ISNUMBER(K149),IF(ABS(K147-K149)&lt;=0.05,0,ROUND(K147-K149,2)),"n/p")</f>
        <v/>
      </c>
      <c r="L148" s="197">
        <f>IF(ISNUMBER(L149),IF(ABS(L147-L149)&lt;=0.05,0,ROUND(L147-L149,2)),"n/p")</f>
        <v/>
      </c>
      <c r="M148" s="197">
        <f>IF(ISNUMBER(M149),IF(ABS(M147-M149)&lt;=0.05,0,ROUND(M147-M149,2)),"n/p")</f>
        <v/>
      </c>
      <c r="N148" s="197">
        <f>IF(ISNUMBER(N149),IF(ABS(N147-N149)&lt;=0.05,0,ROUND(N147-N149,2)),"n/p")</f>
        <v/>
      </c>
      <c r="O148" s="197">
        <f>IF(ISNUMBER(O149),IF(ABS(O147-O149)&lt;=0.05,0,ROUND(O147-O149,2)),"n/p")</f>
        <v/>
      </c>
      <c r="P148" s="197">
        <f>IF(ISNUMBER(P149),IF(ABS(P147-P149)&lt;=0.05,0,ROUND(P147-P149,2)),"n/p")</f>
        <v/>
      </c>
      <c r="Q148" s="197">
        <f>IF(ISNUMBER(Q149),IF(ABS(Q147-Q149)&lt;=0.05,0,ROUND(Q147-Q149,2)),"n/p")</f>
        <v/>
      </c>
      <c r="R148" s="197">
        <f>IF(ISNUMBER(R149),IF(ABS(R147-R149)&lt;=0.05,0,ROUND(R147-R149,2)),"n/p")</f>
        <v/>
      </c>
      <c r="S148" s="197">
        <f>IF(ISNUMBER(S149),IF(ABS(S147-S149)&lt;=0.05,0,ROUND(S147-S149,2)),"n/p")</f>
        <v/>
      </c>
      <c r="T148" s="197">
        <f>IF(ISNUMBER(T149),IF(ABS(T147-T149)&lt;=0.05,0,ROUND(T147-T149,2)),"n/p")</f>
        <v/>
      </c>
      <c r="U148" s="197">
        <f>IF(ISNUMBER(U149),IF(ABS(U147-U149)&lt;=0.05,0,ROUND(U147-U149,2)),"n/p")</f>
        <v/>
      </c>
      <c r="V148" s="197">
        <f>IF(ISNUMBER(V149),IF(ABS(V147-V149)&lt;=0.05,0,ROUND(V147-V149,2)),"n/p")</f>
        <v/>
      </c>
      <c r="W148" s="197">
        <f>IF(ISNUMBER(W149),IF(ABS(W147-W149)&lt;=0.05,0,ROUND(W147-W149,2)),"n/p")</f>
        <v/>
      </c>
      <c r="X148" s="197">
        <f>IF(ISNUMBER(X149),IF(ABS(X147-X149)&lt;=0.05,0,ROUND(X147-X149,2)),"n/p")</f>
        <v/>
      </c>
      <c r="Y148" s="197">
        <f>IF(ISNUMBER(Y149),IF(ABS(Y147-Y149)&lt;=0.05,0,ROUND(Y147-Y149,2)),"n/p")</f>
        <v/>
      </c>
      <c r="Z148" s="197">
        <f>IF(ISNUMBER(Z149),IF(ABS(Z147-Z149)&lt;=0.05,0,ROUND(Z147-Z149,2)),"n/p")</f>
        <v/>
      </c>
      <c r="AA148" s="197">
        <f>IF(ISNUMBER(AA149),IF(ABS(AA147-AA149)&lt;=0.05,0,ROUND(AA147-AA149,2)),"n/p")</f>
        <v/>
      </c>
      <c r="AB148" s="197">
        <f>IF(ISNUMBER(AB149),IF(ABS(AB147-AB149)&lt;=0.05,0,ROUND(AB147-AB149,2)),"n/p")</f>
        <v/>
      </c>
      <c r="AC148" s="197">
        <f>IF(ISNUMBER(AC149),IF(ABS(AC147-AC149)&lt;=0.05,0,ROUND(AC147-AC149,2)),"n/p")</f>
        <v/>
      </c>
      <c r="AD148" s="197">
        <f>IF(ISNUMBER(AD149),IF(ABS(AD147-AD149)&lt;=0.05,0,ROUND(AD147-AD149,2)),"n/p")</f>
        <v/>
      </c>
      <c r="AE148" s="197">
        <f>IF(ISNUMBER(AE149),IF(ABS(AE147-AE149)&lt;=0.05,0,ROUND(AE147-AE149,2)),"n/p")</f>
        <v/>
      </c>
      <c r="AF148" s="197">
        <f>IF(ISNUMBER(AF149),IF(ABS(AF147-AF149)&lt;=0.05,0,ROUND(AF147-AF149,2)),"n/p")</f>
        <v/>
      </c>
      <c r="AG148" s="197">
        <f>IF(ISNUMBER(AG149),IF(ABS(AG147-AG149)&lt;=0.05,0,ROUND(AG147-AG149,2)),"n/p")</f>
        <v/>
      </c>
      <c r="AH148" s="197">
        <f>IF(ISNUMBER(AH149),IF(ABS(AH147-AH149)&lt;=0.05,0,ROUND(AH147-AH149,2)),"n/p")</f>
        <v/>
      </c>
      <c r="AI148" s="197">
        <f>IF(ISNUMBER(AI149),IF(ABS(AI147-AI149)&lt;=0.05,0,ROUND(AI147-AI149,2)),"n/p")</f>
        <v/>
      </c>
      <c r="AJ148" s="197">
        <f>IF(ISNUMBER(AJ149),IF(ABS(AJ147-AJ149)&lt;=0.05,0,ROUND(AJ147-AJ149,2)),"n/p")</f>
        <v/>
      </c>
      <c r="AK148" s="197">
        <f>IF(ISNUMBER(AK149),IF(ABS(AK147-AK149)&lt;=0.05,0,ROUND(AK147-AK149,2)),"n/p")</f>
        <v/>
      </c>
      <c r="AL148" s="197">
        <f>IF(ISNUMBER(AL149),IF(ABS(AL147-AL149)&lt;=0.05,0,ROUND(AL147-AL149,2)),"n/p")</f>
        <v/>
      </c>
      <c r="AM148" s="197">
        <f>IF(ISNUMBER(AM149),IF(ABS(AM147-AM149)&lt;=0.05,0,ROUND(AM147-AM149,2)),"n/p")</f>
        <v/>
      </c>
      <c r="AN148" s="197">
        <f>IF(ISNUMBER(AN149),IF(ABS(AN147-AN149)&lt;=0.05,0,ROUND(AN147-AN149,2)),"n/p")</f>
        <v/>
      </c>
      <c r="AO148" s="197">
        <f>IF(ISNUMBER(AO149),IF(ABS(AO147-AO149)&lt;=0.05,0,ROUND(AO147-AO149,2)),"n/p")</f>
        <v/>
      </c>
      <c r="AP148" s="197">
        <f>IF(ISNUMBER(AP149),IF(ABS(AP147-AP149)&lt;=0.05,0,ROUND(AP147-AP149,2)),"n/p")</f>
        <v/>
      </c>
      <c r="AQ148" s="197">
        <f>IF(ISNUMBER(AQ149),IF(ABS(AQ147-AQ149)&lt;=0.05,0,ROUND(AQ147-AQ149,2)),"n/p")</f>
        <v/>
      </c>
      <c r="AR148" s="197">
        <f>IF(ISNUMBER(AR149),IF(ABS(AR147-AR149)&lt;=0.05,0,ROUND(AR147-AR149,2)),"n/p")</f>
        <v/>
      </c>
      <c r="AS148" s="197">
        <f>IF(ISNUMBER(AS149),IF(ABS(AS147-AS149)&lt;=0.05,0,ROUND(AS147-AS149,2)),"n/p")</f>
        <v/>
      </c>
      <c r="AT148" s="197">
        <f>IF(ISNUMBER(AT149),IF(ABS(AT147-AT149)&lt;=0.05,0,ROUND(AT147-AT149,2)),"n/p")</f>
        <v/>
      </c>
      <c r="AU148" s="197">
        <f>IF(ISNUMBER(AU149),IF(ABS(AU147-AU149)&lt;=0.05,0,ROUND(AU147-AU149,2)),"n/p")</f>
        <v/>
      </c>
      <c r="AV148" s="197">
        <f>IF(ISNUMBER(AV149),IF(ABS(AV147-AV149)&lt;=0.05,0,ROUND(AV147-AV149,2)),"n/p")</f>
        <v/>
      </c>
      <c r="AW148" s="197">
        <f>IF(ISNUMBER(AW149),IF(ABS(AW147-AW149)&lt;=0.05,0,ROUND(AW147-AW149,2)),"n/p")</f>
        <v/>
      </c>
      <c r="AX148" s="197">
        <f>IF(ISNUMBER(AX149),IF(ABS(AX147-AX149)&lt;=0.05,0,ROUND(AX147-AX149,2)),"n/p")</f>
        <v/>
      </c>
      <c r="AY148" s="197">
        <f>IF(ISNUMBER(AY149),IF(ABS(AY147-AY149)&lt;=0.05,0,ROUND(AY147-AY149,2)),"n/p")</f>
        <v/>
      </c>
      <c r="AZ148" s="197">
        <f>IF(ISNUMBER(AZ149),IF(ABS(AZ147-AZ149)&lt;=0.05,0,ROUND(AZ147-AZ149,2)),"n/p")</f>
        <v/>
      </c>
      <c r="BA148" s="197">
        <f>IF(ISNUMBER(BA149),IF(ABS(BA147-BA149)&lt;=0.05,0,ROUND(BA147-BA149,2)),"n/p")</f>
        <v/>
      </c>
      <c r="BB148" s="197">
        <f>IF(ISNUMBER(BB149),IF(ABS(BB147-BB149)&lt;=0.05,0,ROUND(BB147-BB149,2)),"n/p")</f>
        <v/>
      </c>
      <c r="BC148" s="197">
        <f>IF(ISNUMBER(BC149),IF(ABS(BC147-BC149)&lt;=0.05,0,ROUND(BC147-BC149,2)),"n/p")</f>
        <v/>
      </c>
      <c r="BD148" s="197">
        <f>IF(ISNUMBER(BD149),IF(ABS(BD147-BD149)&lt;=0.05,0,ROUND(BD147-BD149,2)),"n/p")</f>
        <v/>
      </c>
      <c r="BE148" s="197">
        <f>IF(ISNUMBER(BE149),IF(ABS(BE147-BE149)&lt;=0.05,0,ROUND(BE147-BE149,2)),"n/p")</f>
        <v/>
      </c>
      <c r="BF148" s="197">
        <f>IF(ISNUMBER(BF149),IF(ABS(BF147-BF149)&lt;=0.05,0,ROUND(BF147-BF149,2)),"n/p")</f>
        <v/>
      </c>
      <c r="BG148" s="197">
        <f>IF(ISNUMBER(BG149),IF(ABS(BG147-BG149)&lt;=0.05,0,ROUND(BG147-BG149,2)),"n/p")</f>
        <v/>
      </c>
      <c r="BH148" s="197">
        <f>IF(ISNUMBER(BH149),IF(ABS(BH147-BH149)&lt;=0.05,0,ROUND(BH147-BH149,2)),"n/p")</f>
        <v/>
      </c>
      <c r="BI148" s="197">
        <f>IF(ISNUMBER(BI149),IF(ABS(BI147-BI149)&lt;=0.05,0,ROUND(BI147-BI149,2)),"n/p")</f>
        <v/>
      </c>
      <c r="BJ148" s="197">
        <f>IF(ISNUMBER(BJ149),IF(ABS(BJ147-BJ149)&lt;=0.05,0,ROUND(BJ147-BJ149,2)),"n/p")</f>
        <v/>
      </c>
      <c r="BK148" s="197">
        <f>IF(ISNUMBER(BK149),IF(ABS(BK147-BK149)&lt;=0.05,0,ROUND(BK147-BK149,2)),"n/p")</f>
        <v/>
      </c>
      <c r="BL148" s="197">
        <f>IF(ISNUMBER(BL149),IF(ABS(BL147-BL149)&lt;=0.05,0,ROUND(BL147-BL149,2)),"n/p")</f>
        <v/>
      </c>
      <c r="BM148" s="197">
        <f>IF(ISNUMBER(BM149),IF(ABS(BM147-BM149)&lt;=0.05,0,ROUND(BM147-BM149,2)),"n/p")</f>
        <v/>
      </c>
      <c r="BN148" s="197">
        <f>IF(ISNUMBER(BN149),IF(ABS(BN147-BN149)&lt;=0.05,0,ROUND(BN147-BN149,2)),"n/p")</f>
        <v/>
      </c>
      <c r="BO148" s="197">
        <f>IF(ISNUMBER(BO149),IF(ABS(BO147-BO149)&lt;=0.05,0,ROUND(BO147-BO149,2)),"n/p")</f>
        <v/>
      </c>
      <c r="BP148" s="197">
        <f>IF(ISNUMBER(BP149),IF(ABS(BP147-BP149)&lt;=0.05,0,ROUND(BP147-BP149,2)),"n/p")</f>
        <v/>
      </c>
      <c r="BQ148" s="197">
        <f>IF(ISNUMBER(BQ149),IF(ABS(BQ147-BQ149)&lt;=0.05,0,ROUND(BQ147-BQ149,2)),"n/p")</f>
        <v/>
      </c>
      <c r="BR148" s="197">
        <f>IF(ISNUMBER(BR149),IF(ABS(BR147-BR149)&lt;=0.05,0,ROUND(BR147-BR149,2)),"n/p")</f>
        <v/>
      </c>
      <c r="BS148" s="197">
        <f>IF(ISNUMBER(BS149),IF(ABS(BS147-BS149)&lt;=0.05,0,ROUND(BS147-BS149,2)),"n/p")</f>
        <v/>
      </c>
      <c r="BT148" s="197">
        <f>IF(ISNUMBER(BT149),IF(ABS(BT147-BT149)&lt;=0.05,0,ROUND(BT147-BT149,2)),"n/p")</f>
        <v/>
      </c>
      <c r="BU148" s="197">
        <f>IF(ISNUMBER(BU149),IF(ABS(BU147-BU149)&lt;=0.05,0,ROUND(BU147-BU149,2)),"n/p")</f>
        <v/>
      </c>
      <c r="BV148" s="197">
        <f>IF(ISNUMBER(BV149),IF(ABS(BV147-BV149)&lt;=0.05,0,ROUND(BV147-BV149,2)),"n/p")</f>
        <v/>
      </c>
      <c r="BW148" s="197">
        <f>IF(ISNUMBER(BW149),IF(ABS(BW147-BW149)&lt;=0.05,0,ROUND(BW147-BW149,2)),"n/p")</f>
        <v/>
      </c>
      <c r="BX148" s="197">
        <f>IF(ISNUMBER(BX149),IF(ABS(BX147-BX149)&lt;=0.05,0,ROUND(BX147-BX149,2)),"n/p")</f>
        <v/>
      </c>
      <c r="BY148" s="6" t="n"/>
      <c r="BZ148" s="6" t="n"/>
      <c r="CA148" s="6" t="n"/>
      <c r="CB148" s="6" t="n"/>
      <c r="CC148" s="6" t="n"/>
      <c r="CD148" s="6" t="n"/>
      <c r="CE148" s="6" t="n"/>
      <c r="CF148" s="6" t="n"/>
    </row>
    <row r="149" collapsed="1" ht="15" customHeight="1">
      <c r="B149" s="42" t="inlineStr">
        <is>
          <t xml:space="preserve">  Memo: D&amp;A — SEC XBRL (cash-flow statement)</t>
        </is>
      </c>
      <c r="C149" s="36" t="n"/>
      <c r="D149" s="36" t="n"/>
      <c r="E149" s="174" t="n">
        <v>87.083</v>
      </c>
      <c r="F149" s="174" t="n">
        <v>94.78400000000001</v>
      </c>
      <c r="G149" s="174" t="n">
        <v>80.36199999999999</v>
      </c>
      <c r="H149" s="174" t="n">
        <v>90.81999999999999</v>
      </c>
      <c r="I149" s="174" t="n">
        <v>110.743</v>
      </c>
      <c r="J149" s="174" t="n">
        <v>29.834</v>
      </c>
      <c r="K149" s="174" t="n">
        <v>30.517</v>
      </c>
      <c r="L149" s="174" t="n">
        <v>32.914</v>
      </c>
      <c r="M149" s="174" t="n">
        <v>33.807</v>
      </c>
      <c r="N149" s="174" t="n">
        <v>127.072</v>
      </c>
      <c r="O149" s="174" t="n">
        <v>34.092</v>
      </c>
      <c r="P149" s="174" t="n">
        <v>35.121</v>
      </c>
      <c r="Q149" s="174" t="n">
        <v>37.70700000000001</v>
      </c>
      <c r="R149" s="174" t="n">
        <v>39.54600000000001</v>
      </c>
      <c r="S149" s="174" t="n">
        <v>146.466</v>
      </c>
      <c r="T149" s="174" t="n">
        <v>38.788</v>
      </c>
      <c r="U149" s="174" t="n">
        <v>39.771</v>
      </c>
      <c r="V149" s="174" t="n">
        <v>42.56100000000001</v>
      </c>
      <c r="W149" s="174" t="n">
        <v>44.22299999999998</v>
      </c>
      <c r="X149" s="174" t="n">
        <v>165.343</v>
      </c>
      <c r="Y149" s="174" t="n">
        <v>44.772</v>
      </c>
      <c r="Z149" s="174" t="n">
        <v>46.48</v>
      </c>
      <c r="AA149" s="174" t="n">
        <v>49.04100000000001</v>
      </c>
      <c r="AB149" s="174" t="n">
        <v>49.57399999999998</v>
      </c>
      <c r="AC149" s="174" t="n">
        <v>189.867</v>
      </c>
      <c r="AD149" s="174" t="n">
        <v>50.287</v>
      </c>
      <c r="AE149" s="174" t="n">
        <v>50.44900000000001</v>
      </c>
      <c r="AF149" s="174" t="n">
        <v>51.93399999999998</v>
      </c>
      <c r="AG149" s="174" t="n">
        <v>53.09300000000002</v>
      </c>
      <c r="AH149" s="174" t="n">
        <v>205.763</v>
      </c>
      <c r="AI149" s="174" t="n">
        <v>53.481</v>
      </c>
      <c r="AJ149" s="174" t="n">
        <v>56.23499999999999</v>
      </c>
      <c r="AK149" s="174" t="n">
        <v>58.086</v>
      </c>
      <c r="AL149" s="174" t="n">
        <v>62.55500000000001</v>
      </c>
      <c r="AM149" s="174" t="n">
        <v>230.357</v>
      </c>
      <c r="AN149" s="174" t="n">
        <v>63.073</v>
      </c>
      <c r="AO149" s="174" t="n">
        <v>62.57100000000001</v>
      </c>
      <c r="AP149" s="174" t="n">
        <v>63.49299999999999</v>
      </c>
      <c r="AQ149" s="174" t="n">
        <v>64.54400000000001</v>
      </c>
      <c r="AR149" s="174" t="n">
        <v>253.681</v>
      </c>
      <c r="AS149" s="174" t="n">
        <v>65.435</v>
      </c>
      <c r="AT149" s="174" t="n">
        <v>65.73499999999999</v>
      </c>
      <c r="AU149" s="174" t="n">
        <v>64.983</v>
      </c>
      <c r="AV149" s="174" t="n">
        <v>65.10600000000002</v>
      </c>
      <c r="AW149" s="174" t="n">
        <v>261.259</v>
      </c>
      <c r="AX149" s="174" t="n">
        <v>63.987</v>
      </c>
      <c r="AY149" s="174" t="n">
        <v>63.947</v>
      </c>
      <c r="AZ149" s="174" t="n">
        <v>65.16</v>
      </c>
      <c r="BA149" s="174" t="n">
        <v>66.78899999999999</v>
      </c>
      <c r="BB149" s="174" t="n">
        <v>259.883</v>
      </c>
      <c r="BC149" s="174" t="n">
        <v>67.34</v>
      </c>
      <c r="BD149" s="174" t="n">
        <v>68.31</v>
      </c>
      <c r="BE149" s="174" t="n">
        <v>68.34700000000001</v>
      </c>
      <c r="BF149" s="174" t="n">
        <v>72.053</v>
      </c>
      <c r="BG149" s="174" t="n">
        <v>276.05</v>
      </c>
      <c r="BH149" s="174" t="n">
        <v>75.947</v>
      </c>
      <c r="BI149" s="174" t="n">
        <v>79.78399999999999</v>
      </c>
      <c r="BJ149" s="174" t="n">
        <v>84.05500000000001</v>
      </c>
      <c r="BK149" s="174" t="n">
        <v>84.649</v>
      </c>
      <c r="BL149" s="174" t="n">
        <v>324.435</v>
      </c>
      <c r="BM149" s="174" t="n">
        <v>84.53100000000001</v>
      </c>
      <c r="BN149" s="174" t="n">
        <v>84.56299999999999</v>
      </c>
      <c r="BO149" s="174" t="n">
        <v>86.666</v>
      </c>
      <c r="BP149" s="174" t="n">
        <v>88.80799999999999</v>
      </c>
      <c r="BQ149" s="174" t="n">
        <v>344.568</v>
      </c>
      <c r="BR149" s="174" t="n">
        <v>89.13200000000001</v>
      </c>
      <c r="BS149" s="174" t="n">
        <v>90.66299999999998</v>
      </c>
      <c r="BT149" s="174" t="n">
        <v>92.21900000000002</v>
      </c>
      <c r="BU149" s="174" t="n">
        <v>92.66899999999998</v>
      </c>
      <c r="BV149" s="174" t="n">
        <v>364.683</v>
      </c>
      <c r="BW149" s="174" t="n">
        <v>92.307</v>
      </c>
      <c r="BX149" s="174" t="n">
        <v>91.70799999999998</v>
      </c>
      <c r="BY149" s="6" t="n"/>
      <c r="BZ149" s="6" t="n"/>
      <c r="CA149" s="6" t="n"/>
      <c r="CB149" s="6" t="n"/>
      <c r="CC149" s="6" t="n"/>
      <c r="CD149" s="6" t="n"/>
      <c r="CE149" s="6" t="n"/>
      <c r="CF149" s="6" t="n"/>
    </row>
    <row r="150" ht="15" customHeight="1">
      <c r="B150" s="59" t="inlineStr">
        <is>
          <t xml:space="preserve">  = EBITDA</t>
        </is>
      </c>
      <c r="C150" s="196">
        <f>IF(AND(ISNUMBER(C144),ISNUMBER(C147)),C144+C147,"")</f>
        <v/>
      </c>
      <c r="D150" s="196">
        <f>IF(AND(ISNUMBER(D144),ISNUMBER(D147)),D144+D147,"")</f>
        <v/>
      </c>
      <c r="E150" s="196">
        <f>IF(AND(ISNUMBER(E144),ISNUMBER(E147)),E144+E147,"")</f>
        <v/>
      </c>
      <c r="F150" s="196">
        <f>IF(AND(ISNUMBER(F144),ISNUMBER(F147)),F144+F147,"")</f>
        <v/>
      </c>
      <c r="G150" s="196">
        <f>IF(AND(ISNUMBER(G144),ISNUMBER(G147)),G144+G147,"")</f>
        <v/>
      </c>
      <c r="H150" s="196">
        <f>IF(AND(ISNUMBER(H144),ISNUMBER(H147)),H144+H147,"")</f>
        <v/>
      </c>
      <c r="I150" s="196">
        <f>IF(AND(ISNUMBER(I144),ISNUMBER(I147)),I144+I147,"")</f>
        <v/>
      </c>
      <c r="J150" s="196">
        <f>IF(AND(ISNUMBER(J144),ISNUMBER(J147)),J144+J147,"")</f>
        <v/>
      </c>
      <c r="K150" s="196">
        <f>IF(AND(ISNUMBER(K144),ISNUMBER(K147)),K144+K147,"")</f>
        <v/>
      </c>
      <c r="L150" s="196">
        <f>IF(AND(ISNUMBER(L144),ISNUMBER(L147)),L144+L147,"")</f>
        <v/>
      </c>
      <c r="M150" s="196">
        <f>IF(AND(ISNUMBER(M144),ISNUMBER(M147)),M144+M147,"")</f>
        <v/>
      </c>
      <c r="N150" s="196">
        <f>IF(AND(ISNUMBER(N144),ISNUMBER(N147)),N144+N147,"")</f>
        <v/>
      </c>
      <c r="O150" s="196">
        <f>IF(AND(ISNUMBER(O144),ISNUMBER(O147)),O144+O147,"")</f>
        <v/>
      </c>
      <c r="P150" s="196">
        <f>IF(AND(ISNUMBER(P144),ISNUMBER(P147)),P144+P147,"")</f>
        <v/>
      </c>
      <c r="Q150" s="196">
        <f>IF(AND(ISNUMBER(Q144),ISNUMBER(Q147)),Q144+Q147,"")</f>
        <v/>
      </c>
      <c r="R150" s="196">
        <f>IF(AND(ISNUMBER(R144),ISNUMBER(R147)),R144+R147,"")</f>
        <v/>
      </c>
      <c r="S150" s="196">
        <f>IF(AND(ISNUMBER(S144),ISNUMBER(S147)),S144+S147,"")</f>
        <v/>
      </c>
      <c r="T150" s="196">
        <f>IF(AND(ISNUMBER(T144),ISNUMBER(T147)),T144+T147,"")</f>
        <v/>
      </c>
      <c r="U150" s="196">
        <f>IF(AND(ISNUMBER(U144),ISNUMBER(U147)),U144+U147,"")</f>
        <v/>
      </c>
      <c r="V150" s="196">
        <f>IF(AND(ISNUMBER(V144),ISNUMBER(V147)),V144+V147,"")</f>
        <v/>
      </c>
      <c r="W150" s="196">
        <f>IF(AND(ISNUMBER(W144),ISNUMBER(W147)),W144+W147,"")</f>
        <v/>
      </c>
      <c r="X150" s="196">
        <f>IF(AND(ISNUMBER(X144),ISNUMBER(X147)),X144+X147,"")</f>
        <v/>
      </c>
      <c r="Y150" s="196">
        <f>IF(AND(ISNUMBER(Y144),ISNUMBER(Y147)),Y144+Y147,"")</f>
        <v/>
      </c>
      <c r="Z150" s="196">
        <f>IF(AND(ISNUMBER(Z144),ISNUMBER(Z147)),Z144+Z147,"")</f>
        <v/>
      </c>
      <c r="AA150" s="196">
        <f>IF(AND(ISNUMBER(AA144),ISNUMBER(AA147)),AA144+AA147,"")</f>
        <v/>
      </c>
      <c r="AB150" s="196">
        <f>IF(AND(ISNUMBER(AB144),ISNUMBER(AB147)),AB144+AB147,"")</f>
        <v/>
      </c>
      <c r="AC150" s="196">
        <f>IF(AND(ISNUMBER(AC144),ISNUMBER(AC147)),AC144+AC147,"")</f>
        <v/>
      </c>
      <c r="AD150" s="196">
        <f>IF(AND(ISNUMBER(AD144),ISNUMBER(AD147)),AD144+AD147,"")</f>
        <v/>
      </c>
      <c r="AE150" s="196">
        <f>IF(AND(ISNUMBER(AE144),ISNUMBER(AE147)),AE144+AE147,"")</f>
        <v/>
      </c>
      <c r="AF150" s="196">
        <f>IF(AND(ISNUMBER(AF144),ISNUMBER(AF147)),AF144+AF147,"")</f>
        <v/>
      </c>
      <c r="AG150" s="196">
        <f>IF(AND(ISNUMBER(AG144),ISNUMBER(AG147)),AG144+AG147,"")</f>
        <v/>
      </c>
      <c r="AH150" s="196">
        <f>IF(AND(ISNUMBER(AH144),ISNUMBER(AH147)),AH144+AH147,"")</f>
        <v/>
      </c>
      <c r="AI150" s="196">
        <f>IF(AND(ISNUMBER(AI144),ISNUMBER(AI147)),AI144+AI147,"")</f>
        <v/>
      </c>
      <c r="AJ150" s="196">
        <f>IF(AND(ISNUMBER(AJ144),ISNUMBER(AJ147)),AJ144+AJ147,"")</f>
        <v/>
      </c>
      <c r="AK150" s="196">
        <f>IF(AND(ISNUMBER(AK144),ISNUMBER(AK147)),AK144+AK147,"")</f>
        <v/>
      </c>
      <c r="AL150" s="196">
        <f>IF(AND(ISNUMBER(AL144),ISNUMBER(AL147)),AL144+AL147,"")</f>
        <v/>
      </c>
      <c r="AM150" s="196">
        <f>IF(AND(ISNUMBER(AM144),ISNUMBER(AM147)),AM144+AM147,"")</f>
        <v/>
      </c>
      <c r="AN150" s="196">
        <f>IF(AND(ISNUMBER(AN144),ISNUMBER(AN147)),AN144+AN147,"")</f>
        <v/>
      </c>
      <c r="AO150" s="196">
        <f>IF(AND(ISNUMBER(AO144),ISNUMBER(AO147)),AO144+AO147,"")</f>
        <v/>
      </c>
      <c r="AP150" s="196">
        <f>IF(AND(ISNUMBER(AP144),ISNUMBER(AP147)),AP144+AP147,"")</f>
        <v/>
      </c>
      <c r="AQ150" s="196">
        <f>IF(AND(ISNUMBER(AQ144),ISNUMBER(AQ147)),AQ144+AQ147,"")</f>
        <v/>
      </c>
      <c r="AR150" s="196">
        <f>IF(AND(ISNUMBER(AR144),ISNUMBER(AR147)),AR144+AR147,"")</f>
        <v/>
      </c>
      <c r="AS150" s="196">
        <f>IF(AND(ISNUMBER(AS144),ISNUMBER(AS147)),AS144+AS147,"")</f>
        <v/>
      </c>
      <c r="AT150" s="196">
        <f>IF(AND(ISNUMBER(AT144),ISNUMBER(AT147)),AT144+AT147,"")</f>
        <v/>
      </c>
      <c r="AU150" s="196">
        <f>IF(AND(ISNUMBER(AU144),ISNUMBER(AU147)),AU144+AU147,"")</f>
        <v/>
      </c>
      <c r="AV150" s="196">
        <f>IF(AND(ISNUMBER(AV144),ISNUMBER(AV147)),AV144+AV147,"")</f>
        <v/>
      </c>
      <c r="AW150" s="196">
        <f>IF(AND(ISNUMBER(AW144),ISNUMBER(AW147)),AW144+AW147,"")</f>
        <v/>
      </c>
      <c r="AX150" s="196">
        <f>IF(AND(ISNUMBER(AX144),ISNUMBER(AX147)),AX144+AX147,"")</f>
        <v/>
      </c>
      <c r="AY150" s="196">
        <f>IF(AND(ISNUMBER(AY144),ISNUMBER(AY147)),AY144+AY147,"")</f>
        <v/>
      </c>
      <c r="AZ150" s="196">
        <f>IF(AND(ISNUMBER(AZ144),ISNUMBER(AZ147)),AZ144+AZ147,"")</f>
        <v/>
      </c>
      <c r="BA150" s="196">
        <f>IF(AND(ISNUMBER(BA144),ISNUMBER(BA147)),BA144+BA147,"")</f>
        <v/>
      </c>
      <c r="BB150" s="196">
        <f>IF(AND(ISNUMBER(BB144),ISNUMBER(BB147)),BB144+BB147,"")</f>
        <v/>
      </c>
      <c r="BC150" s="196">
        <f>IF(AND(ISNUMBER(BC144),ISNUMBER(BC147)),BC144+BC147,"")</f>
        <v/>
      </c>
      <c r="BD150" s="196">
        <f>IF(AND(ISNUMBER(BD144),ISNUMBER(BD147)),BD144+BD147,"")</f>
        <v/>
      </c>
      <c r="BE150" s="196">
        <f>IF(AND(ISNUMBER(BE144),ISNUMBER(BE147)),BE144+BE147,"")</f>
        <v/>
      </c>
      <c r="BF150" s="196">
        <f>IF(AND(ISNUMBER(BF144),ISNUMBER(BF147)),BF144+BF147,"")</f>
        <v/>
      </c>
      <c r="BG150" s="196">
        <f>IF(AND(ISNUMBER(BG144),ISNUMBER(BG147)),BG144+BG147,"")</f>
        <v/>
      </c>
      <c r="BH150" s="196">
        <f>IF(AND(ISNUMBER(BH144),ISNUMBER(BH147)),BH144+BH147,"")</f>
        <v/>
      </c>
      <c r="BI150" s="196">
        <f>IF(AND(ISNUMBER(BI144),ISNUMBER(BI147)),BI144+BI147,"")</f>
        <v/>
      </c>
      <c r="BJ150" s="196">
        <f>IF(AND(ISNUMBER(BJ144),ISNUMBER(BJ147)),BJ144+BJ147,"")</f>
        <v/>
      </c>
      <c r="BK150" s="196">
        <f>IF(AND(ISNUMBER(BK144),ISNUMBER(BK147)),BK144+BK147,"")</f>
        <v/>
      </c>
      <c r="BL150" s="196">
        <f>IF(AND(ISNUMBER(BL144),ISNUMBER(BL147)),BL144+BL147,"")</f>
        <v/>
      </c>
      <c r="BM150" s="196">
        <f>IF(AND(ISNUMBER(BM144),ISNUMBER(BM147)),BM144+BM147,"")</f>
        <v/>
      </c>
      <c r="BN150" s="196">
        <f>IF(AND(ISNUMBER(BN144),ISNUMBER(BN147)),BN144+BN147,"")</f>
        <v/>
      </c>
      <c r="BO150" s="196">
        <f>IF(AND(ISNUMBER(BO144),ISNUMBER(BO147)),BO144+BO147,"")</f>
        <v/>
      </c>
      <c r="BP150" s="196">
        <f>IF(AND(ISNUMBER(BP144),ISNUMBER(BP147)),BP144+BP147,"")</f>
        <v/>
      </c>
      <c r="BQ150" s="196">
        <f>IF(AND(ISNUMBER(BQ144),ISNUMBER(BQ147)),BQ144+BQ147,"")</f>
        <v/>
      </c>
      <c r="BR150" s="196">
        <f>IF(AND(ISNUMBER(BR144),ISNUMBER(BR147)),BR144+BR147,"")</f>
        <v/>
      </c>
      <c r="BS150" s="196">
        <f>IF(AND(ISNUMBER(BS144),ISNUMBER(BS147)),BS144+BS147,"")</f>
        <v/>
      </c>
      <c r="BT150" s="196">
        <f>IF(AND(ISNUMBER(BT144),ISNUMBER(BT147)),BT144+BT147,"")</f>
        <v/>
      </c>
      <c r="BU150" s="196">
        <f>IF(AND(ISNUMBER(BU144),ISNUMBER(BU147)),BU144+BU147,"")</f>
        <v/>
      </c>
      <c r="BV150" s="196">
        <f>IF(AND(ISNUMBER(BV144),ISNUMBER(BV147)),BV144+BV147,"")</f>
        <v/>
      </c>
      <c r="BW150" s="196">
        <f>IF(AND(ISNUMBER(BW144),ISNUMBER(BW147)),BW144+BW147,"")</f>
        <v/>
      </c>
      <c r="BX150" s="196">
        <f>IF(AND(ISNUMBER(BX144),ISNUMBER(BX147)),BX144+BX147,"")</f>
        <v/>
      </c>
      <c r="BY150" s="196">
        <f>IF(AND(ISNUMBER(BY144),ISNUMBER(BY147)),BY144+BY147,"")</f>
        <v/>
      </c>
      <c r="BZ150" s="196">
        <f>IF(AND(ISNUMBER(BZ144),ISNUMBER(BZ147)),BZ144+BZ147,"")</f>
        <v/>
      </c>
      <c r="CA150" s="196">
        <f>IF(AND(ISNUMBER(CA144),ISNUMBER(CA147)),CA144+CA147,"")</f>
        <v/>
      </c>
      <c r="CB150" s="196">
        <f>IF(AND(ISNUMBER(CB144),ISNUMBER(CB147)),CB144+CB147,"")</f>
        <v/>
      </c>
      <c r="CC150" s="196">
        <f>IF(AND(ISNUMBER(CC144),ISNUMBER(CC147)),CC144+CC147,"")</f>
        <v/>
      </c>
      <c r="CD150" s="196">
        <f>IF(AND(ISNUMBER(CD144),ISNUMBER(CD147)),CD144+CD147,"")</f>
        <v/>
      </c>
      <c r="CE150" s="196">
        <f>IF(AND(ISNUMBER(CE144),ISNUMBER(CE147)),CE144+CE147,"")</f>
        <v/>
      </c>
      <c r="CF150" s="6" t="n"/>
      <c r="CH150" s="21">
        <f>IFERROR((CE150/BV150)^(1/5)-1,"n/m")</f>
        <v/>
      </c>
      <c r="CI150" s="21">
        <f>IFERROR((BV150/AW150)^(1/5)-1,"n/m")</f>
        <v/>
      </c>
      <c r="CJ150" s="21">
        <f>IFERROR((BV150/X150)^(1/10)-1,"n/m")</f>
        <v/>
      </c>
      <c r="CK150" s="21">
        <f>IFERROR((BV150/C150)^(1/19)-1,"n/m")</f>
        <v/>
      </c>
    </row>
    <row r="151" ht="15" customHeight="1">
      <c r="B151" s="26" t="inlineStr">
        <is>
          <t xml:space="preserve">  EBITDA margin %</t>
        </is>
      </c>
      <c r="C151" s="190">
        <f>IF(AND(ISNUMBER(C150),ISNUMBER(C100)),IFERROR(C150/C100,""),"")</f>
        <v/>
      </c>
      <c r="D151" s="190">
        <f>IF(AND(ISNUMBER(D150),ISNUMBER(D100)),IFERROR(D150/D100,""),"")</f>
        <v/>
      </c>
      <c r="E151" s="190">
        <f>IF(AND(ISNUMBER(E150),ISNUMBER(E100)),IFERROR(E150/E100,""),"")</f>
        <v/>
      </c>
      <c r="F151" s="190">
        <f>IF(AND(ISNUMBER(F150),ISNUMBER(F100)),IFERROR(F150/F100,""),"")</f>
        <v/>
      </c>
      <c r="G151" s="190">
        <f>IF(AND(ISNUMBER(G150),ISNUMBER(G100)),IFERROR(G150/G100,""),"")</f>
        <v/>
      </c>
      <c r="H151" s="190">
        <f>IF(AND(ISNUMBER(H150),ISNUMBER(H100)),IFERROR(H150/H100,""),"")</f>
        <v/>
      </c>
      <c r="I151" s="190">
        <f>IF(AND(ISNUMBER(I150),ISNUMBER(I100)),IFERROR(I150/I100,""),"")</f>
        <v/>
      </c>
      <c r="J151" s="190">
        <f>IF(AND(ISNUMBER(J150),ISNUMBER(J100)),IFERROR(J150/J100,""),"")</f>
        <v/>
      </c>
      <c r="K151" s="190">
        <f>IF(AND(ISNUMBER(K150),ISNUMBER(K100)),IFERROR(K150/K100,""),"")</f>
        <v/>
      </c>
      <c r="L151" s="190">
        <f>IF(AND(ISNUMBER(L150),ISNUMBER(L100)),IFERROR(L150/L100,""),"")</f>
        <v/>
      </c>
      <c r="M151" s="190">
        <f>IF(AND(ISNUMBER(M150),ISNUMBER(M100)),IFERROR(M150/M100,""),"")</f>
        <v/>
      </c>
      <c r="N151" s="190">
        <f>IF(AND(ISNUMBER(N150),ISNUMBER(N100)),IFERROR(N150/N100,""),"")</f>
        <v/>
      </c>
      <c r="O151" s="190">
        <f>IF(AND(ISNUMBER(O150),ISNUMBER(O100)),IFERROR(O150/O100,""),"")</f>
        <v/>
      </c>
      <c r="P151" s="190">
        <f>IF(AND(ISNUMBER(P150),ISNUMBER(P100)),IFERROR(P150/P100,""),"")</f>
        <v/>
      </c>
      <c r="Q151" s="190">
        <f>IF(AND(ISNUMBER(Q150),ISNUMBER(Q100)),IFERROR(Q150/Q100,""),"")</f>
        <v/>
      </c>
      <c r="R151" s="190">
        <f>IF(AND(ISNUMBER(R150),ISNUMBER(R100)),IFERROR(R150/R100,""),"")</f>
        <v/>
      </c>
      <c r="S151" s="190">
        <f>IF(AND(ISNUMBER(S150),ISNUMBER(S100)),IFERROR(S150/S100,""),"")</f>
        <v/>
      </c>
      <c r="T151" s="190">
        <f>IF(AND(ISNUMBER(T150),ISNUMBER(T100)),IFERROR(T150/T100,""),"")</f>
        <v/>
      </c>
      <c r="U151" s="190">
        <f>IF(AND(ISNUMBER(U150),ISNUMBER(U100)),IFERROR(U150/U100,""),"")</f>
        <v/>
      </c>
      <c r="V151" s="190">
        <f>IF(AND(ISNUMBER(V150),ISNUMBER(V100)),IFERROR(V150/V100,""),"")</f>
        <v/>
      </c>
      <c r="W151" s="190">
        <f>IF(AND(ISNUMBER(W150),ISNUMBER(W100)),IFERROR(W150/W100,""),"")</f>
        <v/>
      </c>
      <c r="X151" s="190">
        <f>IF(AND(ISNUMBER(X150),ISNUMBER(X100)),IFERROR(X150/X100,""),"")</f>
        <v/>
      </c>
      <c r="Y151" s="190">
        <f>IF(AND(ISNUMBER(Y150),ISNUMBER(Y100)),IFERROR(Y150/Y100,""),"")</f>
        <v/>
      </c>
      <c r="Z151" s="190">
        <f>IF(AND(ISNUMBER(Z150),ISNUMBER(Z100)),IFERROR(Z150/Z100,""),"")</f>
        <v/>
      </c>
      <c r="AA151" s="190">
        <f>IF(AND(ISNUMBER(AA150),ISNUMBER(AA100)),IFERROR(AA150/AA100,""),"")</f>
        <v/>
      </c>
      <c r="AB151" s="190">
        <f>IF(AND(ISNUMBER(AB150),ISNUMBER(AB100)),IFERROR(AB150/AB100,""),"")</f>
        <v/>
      </c>
      <c r="AC151" s="190">
        <f>IF(AND(ISNUMBER(AC150),ISNUMBER(AC100)),IFERROR(AC150/AC100,""),"")</f>
        <v/>
      </c>
      <c r="AD151" s="190">
        <f>IF(AND(ISNUMBER(AD150),ISNUMBER(AD100)),IFERROR(AD150/AD100,""),"")</f>
        <v/>
      </c>
      <c r="AE151" s="190">
        <f>IF(AND(ISNUMBER(AE150),ISNUMBER(AE100)),IFERROR(AE150/AE100,""),"")</f>
        <v/>
      </c>
      <c r="AF151" s="190">
        <f>IF(AND(ISNUMBER(AF150),ISNUMBER(AF100)),IFERROR(AF150/AF100,""),"")</f>
        <v/>
      </c>
      <c r="AG151" s="190">
        <f>IF(AND(ISNUMBER(AG150),ISNUMBER(AG100)),IFERROR(AG150/AG100,""),"")</f>
        <v/>
      </c>
      <c r="AH151" s="190">
        <f>IF(AND(ISNUMBER(AH150),ISNUMBER(AH100)),IFERROR(AH150/AH100,""),"")</f>
        <v/>
      </c>
      <c r="AI151" s="190">
        <f>IF(AND(ISNUMBER(AI150),ISNUMBER(AI100)),IFERROR(AI150/AI100,""),"")</f>
        <v/>
      </c>
      <c r="AJ151" s="190">
        <f>IF(AND(ISNUMBER(AJ150),ISNUMBER(AJ100)),IFERROR(AJ150/AJ100,""),"")</f>
        <v/>
      </c>
      <c r="AK151" s="190">
        <f>IF(AND(ISNUMBER(AK150),ISNUMBER(AK100)),IFERROR(AK150/AK100,""),"")</f>
        <v/>
      </c>
      <c r="AL151" s="190">
        <f>IF(AND(ISNUMBER(AL150),ISNUMBER(AL100)),IFERROR(AL150/AL100,""),"")</f>
        <v/>
      </c>
      <c r="AM151" s="190">
        <f>IF(AND(ISNUMBER(AM150),ISNUMBER(AM100)),IFERROR(AM150/AM100,""),"")</f>
        <v/>
      </c>
      <c r="AN151" s="190">
        <f>IF(AND(ISNUMBER(AN150),ISNUMBER(AN100)),IFERROR(AN150/AN100,""),"")</f>
        <v/>
      </c>
      <c r="AO151" s="190">
        <f>IF(AND(ISNUMBER(AO150),ISNUMBER(AO100)),IFERROR(AO150/AO100,""),"")</f>
        <v/>
      </c>
      <c r="AP151" s="190">
        <f>IF(AND(ISNUMBER(AP150),ISNUMBER(AP100)),IFERROR(AP150/AP100,""),"")</f>
        <v/>
      </c>
      <c r="AQ151" s="190">
        <f>IF(AND(ISNUMBER(AQ150),ISNUMBER(AQ100)),IFERROR(AQ150/AQ100,""),"")</f>
        <v/>
      </c>
      <c r="AR151" s="190">
        <f>IF(AND(ISNUMBER(AR150),ISNUMBER(AR100)),IFERROR(AR150/AR100,""),"")</f>
        <v/>
      </c>
      <c r="AS151" s="190">
        <f>IF(AND(ISNUMBER(AS150),ISNUMBER(AS100)),IFERROR(AS150/AS100,""),"")</f>
        <v/>
      </c>
      <c r="AT151" s="190">
        <f>IF(AND(ISNUMBER(AT150),ISNUMBER(AT100)),IFERROR(AT150/AT100,""),"")</f>
        <v/>
      </c>
      <c r="AU151" s="190">
        <f>IF(AND(ISNUMBER(AU150),ISNUMBER(AU100)),IFERROR(AU150/AU100,""),"")</f>
        <v/>
      </c>
      <c r="AV151" s="190">
        <f>IF(AND(ISNUMBER(AV150),ISNUMBER(AV100)),IFERROR(AV150/AV100,""),"")</f>
        <v/>
      </c>
      <c r="AW151" s="190">
        <f>IF(AND(ISNUMBER(AW150),ISNUMBER(AW100)),IFERROR(AW150/AW100,""),"")</f>
        <v/>
      </c>
      <c r="AX151" s="190">
        <f>IF(AND(ISNUMBER(AX150),ISNUMBER(AX100)),IFERROR(AX150/AX100,""),"")</f>
        <v/>
      </c>
      <c r="AY151" s="190">
        <f>IF(AND(ISNUMBER(AY150),ISNUMBER(AY100)),IFERROR(AY150/AY100,""),"")</f>
        <v/>
      </c>
      <c r="AZ151" s="190">
        <f>IF(AND(ISNUMBER(AZ150),ISNUMBER(AZ100)),IFERROR(AZ150/AZ100,""),"")</f>
        <v/>
      </c>
      <c r="BA151" s="190">
        <f>IF(AND(ISNUMBER(BA150),ISNUMBER(BA100)),IFERROR(BA150/BA100,""),"")</f>
        <v/>
      </c>
      <c r="BB151" s="190">
        <f>IF(AND(ISNUMBER(BB150),ISNUMBER(BB100)),IFERROR(BB150/BB100,""),"")</f>
        <v/>
      </c>
      <c r="BC151" s="190">
        <f>IF(AND(ISNUMBER(BC150),ISNUMBER(BC100)),IFERROR(BC150/BC100,""),"")</f>
        <v/>
      </c>
      <c r="BD151" s="190">
        <f>IF(AND(ISNUMBER(BD150),ISNUMBER(BD100)),IFERROR(BD150/BD100,""),"")</f>
        <v/>
      </c>
      <c r="BE151" s="190">
        <f>IF(AND(ISNUMBER(BE150),ISNUMBER(BE100)),IFERROR(BE150/BE100,""),"")</f>
        <v/>
      </c>
      <c r="BF151" s="190">
        <f>IF(AND(ISNUMBER(BF150),ISNUMBER(BF100)),IFERROR(BF150/BF100,""),"")</f>
        <v/>
      </c>
      <c r="BG151" s="190">
        <f>IF(AND(ISNUMBER(BG150),ISNUMBER(BG100)),IFERROR(BG150/BG100,""),"")</f>
        <v/>
      </c>
      <c r="BH151" s="190">
        <f>IF(AND(ISNUMBER(BH150),ISNUMBER(BH100)),IFERROR(BH150/BH100,""),"")</f>
        <v/>
      </c>
      <c r="BI151" s="190">
        <f>IF(AND(ISNUMBER(BI150),ISNUMBER(BI100)),IFERROR(BI150/BI100,""),"")</f>
        <v/>
      </c>
      <c r="BJ151" s="190">
        <f>IF(AND(ISNUMBER(BJ150),ISNUMBER(BJ100)),IFERROR(BJ150/BJ100,""),"")</f>
        <v/>
      </c>
      <c r="BK151" s="190">
        <f>IF(AND(ISNUMBER(BK150),ISNUMBER(BK100)),IFERROR(BK150/BK100,""),"")</f>
        <v/>
      </c>
      <c r="BL151" s="190">
        <f>IF(AND(ISNUMBER(BL150),ISNUMBER(BL100)),IFERROR(BL150/BL100,""),"")</f>
        <v/>
      </c>
      <c r="BM151" s="190">
        <f>IF(AND(ISNUMBER(BM150),ISNUMBER(BM100)),IFERROR(BM150/BM100,""),"")</f>
        <v/>
      </c>
      <c r="BN151" s="190">
        <f>IF(AND(ISNUMBER(BN150),ISNUMBER(BN100)),IFERROR(BN150/BN100,""),"")</f>
        <v/>
      </c>
      <c r="BO151" s="190">
        <f>IF(AND(ISNUMBER(BO150),ISNUMBER(BO100)),IFERROR(BO150/BO100,""),"")</f>
        <v/>
      </c>
      <c r="BP151" s="190">
        <f>IF(AND(ISNUMBER(BP150),ISNUMBER(BP100)),IFERROR(BP150/BP100,""),"")</f>
        <v/>
      </c>
      <c r="BQ151" s="190">
        <f>IF(AND(ISNUMBER(BQ150),ISNUMBER(BQ100)),IFERROR(BQ150/BQ100,""),"")</f>
        <v/>
      </c>
      <c r="BR151" s="190">
        <f>IF(AND(ISNUMBER(BR150),ISNUMBER(BR100)),IFERROR(BR150/BR100,""),"")</f>
        <v/>
      </c>
      <c r="BS151" s="190">
        <f>IF(AND(ISNUMBER(BS150),ISNUMBER(BS100)),IFERROR(BS150/BS100,""),"")</f>
        <v/>
      </c>
      <c r="BT151" s="190">
        <f>IF(AND(ISNUMBER(BT150),ISNUMBER(BT100)),IFERROR(BT150/BT100,""),"")</f>
        <v/>
      </c>
      <c r="BU151" s="190">
        <f>IF(AND(ISNUMBER(BU150),ISNUMBER(BU100)),IFERROR(BU150/BU100,""),"")</f>
        <v/>
      </c>
      <c r="BV151" s="190">
        <f>IF(AND(ISNUMBER(BV150),ISNUMBER(BV100)),IFERROR(BV150/BV100,""),"")</f>
        <v/>
      </c>
      <c r="BW151" s="190">
        <f>IF(AND(ISNUMBER(BW150),ISNUMBER(BW100)),IFERROR(BW150/BW100,""),"")</f>
        <v/>
      </c>
      <c r="BX151" s="190">
        <f>IF(AND(ISNUMBER(BX150),ISNUMBER(BX100)),IFERROR(BX150/BX100,""),"")</f>
        <v/>
      </c>
      <c r="BY151" s="181">
        <f>IF(AND(ISNUMBER(BY150),ISNUMBER(BY100)),IFERROR(BY150/BY100,""),"")</f>
        <v/>
      </c>
      <c r="BZ151" s="181">
        <f>IF(AND(ISNUMBER(BZ150),ISNUMBER(BZ100)),IFERROR(BZ150/BZ100,""),"")</f>
        <v/>
      </c>
      <c r="CA151" s="181">
        <f>IF(AND(ISNUMBER(CA150),ISNUMBER(CA100)),IFERROR(CA150/CA100,""),"")</f>
        <v/>
      </c>
      <c r="CB151" s="181">
        <f>IF(AND(ISNUMBER(CB150),ISNUMBER(CB100)),IFERROR(CB150/CB100,""),"")</f>
        <v/>
      </c>
      <c r="CC151" s="181">
        <f>IF(AND(ISNUMBER(CC150),ISNUMBER(CC100)),IFERROR(CC150/CC100,""),"")</f>
        <v/>
      </c>
      <c r="CD151" s="181">
        <f>IF(AND(ISNUMBER(CD150),ISNUMBER(CD100)),IFERROR(CD150/CD100,""),"")</f>
        <v/>
      </c>
      <c r="CE151" s="181">
        <f>IF(AND(ISNUMBER(CE150),ISNUMBER(CE100)),IFERROR(CE150/CE100,""),"")</f>
        <v/>
      </c>
      <c r="CF151" s="6" t="n"/>
      <c r="CH151" s="39">
        <f>IFERROR(AVERAGE(CA151,CB151,CC151,CD151,CE151),"n/m")</f>
        <v/>
      </c>
      <c r="CI151" s="39">
        <f>IFERROR(AVERAGE(BB151,BG151,BL151,BQ151,BV151),"n/m")</f>
        <v/>
      </c>
      <c r="CJ151" s="39">
        <f>IFERROR(AVERAGE(AC151,AH151,AM151,AR151,AW151,BB151,BG151,BL151,BQ151,BV151),"n/m")</f>
        <v/>
      </c>
      <c r="CK151" s="39">
        <f>IFERROR(AVERAGE(C151,D151,E151,F151,G151,H151,I151,N151,S151,X151,AC151,AH151,AM151,AR151,AW151,BB151,BG151,BL151,BQ151,BV151),"n/m")</f>
        <v/>
      </c>
    </row>
    <row r="152" ht="15" customHeight="1">
      <c r="B152" s="26" t="inlineStr">
        <is>
          <t xml:space="preserve">  (+/−) Net (gain) loss on disposal of property &amp; equipment (in miscellaneous, net)</t>
        </is>
      </c>
      <c r="C152" s="174" t="n">
        <v>-0.245</v>
      </c>
      <c r="D152" s="174" t="n">
        <v>-1.761</v>
      </c>
      <c r="E152" s="174" t="n">
        <v>-2.141</v>
      </c>
      <c r="F152" s="174" t="n">
        <v>0.173</v>
      </c>
      <c r="G152" s="174" t="n">
        <v>0.758</v>
      </c>
      <c r="H152" s="174" t="n">
        <v>1.263</v>
      </c>
      <c r="I152" s="174" t="n">
        <v>0.078</v>
      </c>
      <c r="J152" s="174" t="n">
        <v>0.047</v>
      </c>
      <c r="K152" s="174" t="n">
        <v>-2.379</v>
      </c>
      <c r="L152" s="174" t="n">
        <v>0.138</v>
      </c>
      <c r="M152" s="174" t="n">
        <v>-3.549</v>
      </c>
      <c r="N152" s="174" t="n">
        <v>-5.743</v>
      </c>
      <c r="O152" s="174" t="n">
        <v>0.848</v>
      </c>
      <c r="P152" s="174" t="n">
        <v>-3.244</v>
      </c>
      <c r="Q152" s="174" t="n">
        <v>0.096</v>
      </c>
      <c r="R152" s="174" t="n">
        <v>1.584</v>
      </c>
      <c r="S152" s="174" t="n">
        <v>-0.716</v>
      </c>
      <c r="T152" s="174" t="n">
        <v>-0.033</v>
      </c>
      <c r="U152" s="174" t="n">
        <v>-1.667</v>
      </c>
      <c r="V152" s="174" t="n">
        <v>-0.477</v>
      </c>
      <c r="W152" s="174" t="n">
        <v>-1.415</v>
      </c>
      <c r="X152" s="174" t="n">
        <v>-3.592</v>
      </c>
      <c r="Y152" s="174" t="n">
        <v>0.2</v>
      </c>
      <c r="Z152" s="174" t="n">
        <v>0.266</v>
      </c>
      <c r="AA152" s="174" t="n">
        <v>0.076</v>
      </c>
      <c r="AB152" s="174" t="n">
        <v>-0.374</v>
      </c>
      <c r="AC152" s="174" t="n">
        <v>0.168</v>
      </c>
      <c r="AD152" s="174" t="n">
        <v>0.077</v>
      </c>
      <c r="AE152" s="174" t="n">
        <v>0.408</v>
      </c>
      <c r="AF152" s="174" t="n">
        <v>0.22</v>
      </c>
      <c r="AG152" s="174" t="n">
        <v>0.569</v>
      </c>
      <c r="AH152" s="174" t="n">
        <v>1.274</v>
      </c>
      <c r="AI152" s="174" t="n">
        <v>0.364</v>
      </c>
      <c r="AJ152" s="174" t="n">
        <v>0.421</v>
      </c>
      <c r="AK152" s="174" t="n">
        <v>-0.857</v>
      </c>
      <c r="AL152" s="174" t="n">
        <v>0.549</v>
      </c>
      <c r="AM152" s="174" t="n">
        <v>0.477</v>
      </c>
      <c r="AN152" s="174" t="n">
        <v>0.477</v>
      </c>
      <c r="AO152" s="174" t="n">
        <v>0.241</v>
      </c>
      <c r="AP152" s="174" t="n">
        <v>4.906</v>
      </c>
      <c r="AQ152" s="174" t="n">
        <v>0.442</v>
      </c>
      <c r="AR152" s="174" t="n">
        <v>6.066</v>
      </c>
      <c r="AS152" s="174" t="n">
        <v>0.078</v>
      </c>
      <c r="AT152" s="174" t="n">
        <v>0.062</v>
      </c>
      <c r="AU152" s="174" t="n">
        <v>0.115</v>
      </c>
      <c r="AV152" s="174" t="n">
        <v>0.481</v>
      </c>
      <c r="AW152" s="174" t="n">
        <v>0.736</v>
      </c>
      <c r="AX152" s="174" t="n">
        <v>0.603</v>
      </c>
      <c r="AY152" s="174" t="n">
        <v>0.098</v>
      </c>
      <c r="AZ152" s="174" t="n">
        <v>-0.88</v>
      </c>
      <c r="BA152" s="174" t="n">
        <v>-0.384</v>
      </c>
      <c r="BB152" s="174" t="n">
        <v>-0.5629999999999999</v>
      </c>
      <c r="BC152" s="174" t="n">
        <v>-1.205</v>
      </c>
      <c r="BD152" s="174" t="n">
        <v>-0.856</v>
      </c>
      <c r="BE152" s="174" t="n">
        <v>-0.523</v>
      </c>
      <c r="BF152" s="174" t="n">
        <v>-0.841</v>
      </c>
      <c r="BG152" s="174" t="n">
        <v>-3.425</v>
      </c>
      <c r="BH152" s="174" t="n">
        <v>-4.345</v>
      </c>
      <c r="BI152" s="174" t="n">
        <v>-2.086</v>
      </c>
      <c r="BJ152" s="174" t="n">
        <v>-1.015</v>
      </c>
      <c r="BK152" s="174" t="n">
        <v>-15.109</v>
      </c>
      <c r="BL152" s="174" t="n">
        <v>-22.555</v>
      </c>
      <c r="BM152" s="174" t="n">
        <v>0.726</v>
      </c>
      <c r="BN152" s="174" t="n">
        <v>0.574</v>
      </c>
      <c r="BO152" s="174" t="n">
        <v>-3.16</v>
      </c>
      <c r="BP152" s="174" t="n">
        <v>-1.541</v>
      </c>
      <c r="BQ152" s="174" t="n">
        <v>-3.401</v>
      </c>
      <c r="BR152" s="174" t="n">
        <v>1.739</v>
      </c>
      <c r="BS152" s="174" t="n">
        <v>1.596</v>
      </c>
      <c r="BT152" s="174" t="n">
        <v>2.684</v>
      </c>
      <c r="BU152" s="174" t="n">
        <v>-3.081</v>
      </c>
      <c r="BV152" s="174" t="n">
        <v>2.938</v>
      </c>
      <c r="BW152" s="174" t="n">
        <v>-2.835</v>
      </c>
      <c r="BX152" s="174" t="n">
        <v>-17.232</v>
      </c>
      <c r="BY152" s="175" t="n">
        <v>0</v>
      </c>
      <c r="BZ152" s="175" t="n">
        <v>0</v>
      </c>
      <c r="CA152" s="176">
        <f>SUM(BW152,BX152,BY152,BZ152)</f>
        <v/>
      </c>
      <c r="CB152" s="175" t="n">
        <v>0</v>
      </c>
      <c r="CC152" s="175" t="n">
        <v>0</v>
      </c>
      <c r="CD152" s="175" t="n">
        <v>0</v>
      </c>
      <c r="CE152" s="175" t="n">
        <v>0</v>
      </c>
      <c r="CF152" s="20" t="inlineStr">
        <is>
          <t>Cash-flow statement line (gain negative). Quarters derived from year-to-date statements. Forecast nil (ODFL does not plan disposal gains).</t>
        </is>
      </c>
    </row>
    <row r="153" ht="15" customHeight="1">
      <c r="B153" s="61" t="inlineStr">
        <is>
          <t xml:space="preserve">  Check: disposal (gain) loss vs SEC XBRL GainLossOnSaleOfPropertyPlantEquipment (absolute values; should be 0)</t>
        </is>
      </c>
      <c r="C153" s="197">
        <f>IF(ISNUMBER(C154),ROUND(ABS(C152)-C154,1),"n/p")</f>
        <v/>
      </c>
      <c r="D153" s="197">
        <f>IF(ISNUMBER(D154),ROUND(ABS(D152)-D154,1),"n/p")</f>
        <v/>
      </c>
      <c r="E153" s="197">
        <f>IF(ISNUMBER(E154),ROUND(ABS(E152)-E154,1),"n/p")</f>
        <v/>
      </c>
      <c r="F153" s="197">
        <f>IF(ISNUMBER(F154),ROUND(ABS(F152)-F154,1),"n/p")</f>
        <v/>
      </c>
      <c r="G153" s="197">
        <f>IF(ISNUMBER(G154),ROUND(ABS(G152)-G154,1),"n/p")</f>
        <v/>
      </c>
      <c r="H153" s="197">
        <f>IF(ISNUMBER(H154),ROUND(ABS(H152)-H154,1),"n/p")</f>
        <v/>
      </c>
      <c r="I153" s="197">
        <f>IF(ISNUMBER(I154),ROUND(ABS(I152)-I154,1),"n/p")</f>
        <v/>
      </c>
      <c r="J153" s="197">
        <f>IF(ISNUMBER(J154),ROUND(ABS(J152)-J154,1),"n/p")</f>
        <v/>
      </c>
      <c r="K153" s="197">
        <f>IF(ISNUMBER(K154),ROUND(ABS(K152)-K154,1),"n/p")</f>
        <v/>
      </c>
      <c r="L153" s="197">
        <f>IF(ISNUMBER(L154),ROUND(ABS(L152)-L154,1),"n/p")</f>
        <v/>
      </c>
      <c r="M153" s="197">
        <f>IF(ISNUMBER(M154),ROUND(ABS(M152)-M154,1),"n/p")</f>
        <v/>
      </c>
      <c r="N153" s="197">
        <f>IF(ISNUMBER(N154),ROUND(ABS(N152)-N154,1),"n/p")</f>
        <v/>
      </c>
      <c r="O153" s="197">
        <f>IF(ISNUMBER(O154),ROUND(ABS(O152)-O154,1),"n/p")</f>
        <v/>
      </c>
      <c r="P153" s="197">
        <f>IF(ISNUMBER(P154),ROUND(ABS(P152)-P154,1),"n/p")</f>
        <v/>
      </c>
      <c r="Q153" s="197">
        <f>IF(ISNUMBER(Q154),ROUND(ABS(Q152)-Q154,1),"n/p")</f>
        <v/>
      </c>
      <c r="R153" s="197">
        <f>IF(ISNUMBER(R154),ROUND(ABS(R152)-R154,1),"n/p")</f>
        <v/>
      </c>
      <c r="S153" s="197">
        <f>IF(ISNUMBER(S154),ROUND(ABS(S152)-S154,1),"n/p")</f>
        <v/>
      </c>
      <c r="T153" s="197">
        <f>IF(ISNUMBER(T154),ROUND(ABS(T152)-T154,1),"n/p")</f>
        <v/>
      </c>
      <c r="U153" s="197">
        <f>IF(ISNUMBER(U154),ROUND(ABS(U152)-U154,1),"n/p")</f>
        <v/>
      </c>
      <c r="V153" s="197">
        <f>IF(ISNUMBER(V154),ROUND(ABS(V152)-V154,1),"n/p")</f>
        <v/>
      </c>
      <c r="W153" s="197">
        <f>IF(ISNUMBER(W154),ROUND(ABS(W152)-W154,1),"n/p")</f>
        <v/>
      </c>
      <c r="X153" s="197">
        <f>IF(ISNUMBER(X154),ROUND(ABS(X152)-X154,1),"n/p")</f>
        <v/>
      </c>
      <c r="Y153" s="197">
        <f>IF(ISNUMBER(Y154),ROUND(ABS(Y152)-Y154,1),"n/p")</f>
        <v/>
      </c>
      <c r="Z153" s="197">
        <f>IF(ISNUMBER(Z154),ROUND(ABS(Z152)-Z154,1),"n/p")</f>
        <v/>
      </c>
      <c r="AA153" s="197">
        <f>IF(ISNUMBER(AA154),ROUND(ABS(AA152)-AA154,1),"n/p")</f>
        <v/>
      </c>
      <c r="AB153" s="197">
        <f>IF(ISNUMBER(AB154),ROUND(ABS(AB152)-AB154,1),"n/p")</f>
        <v/>
      </c>
      <c r="AC153" s="197">
        <f>IF(ISNUMBER(AC154),ROUND(ABS(AC152)-AC154,1),"n/p")</f>
        <v/>
      </c>
      <c r="AD153" s="197">
        <f>IF(ISNUMBER(AD154),ROUND(ABS(AD152)-AD154,1),"n/p")</f>
        <v/>
      </c>
      <c r="AE153" s="197">
        <f>IF(ISNUMBER(AE154),ROUND(ABS(AE152)-AE154,1),"n/p")</f>
        <v/>
      </c>
      <c r="AF153" s="197">
        <f>IF(ISNUMBER(AF154),ROUND(ABS(AF152)-AF154,1),"n/p")</f>
        <v/>
      </c>
      <c r="AG153" s="197">
        <f>IF(ISNUMBER(AG154),ROUND(ABS(AG152)-AG154,1),"n/p")</f>
        <v/>
      </c>
      <c r="AH153" s="197">
        <f>IF(ISNUMBER(AH154),ROUND(ABS(AH152)-AH154,1),"n/p")</f>
        <v/>
      </c>
      <c r="AI153" s="197">
        <f>IF(ISNUMBER(AI154),ROUND(ABS(AI152)-AI154,1),"n/p")</f>
        <v/>
      </c>
      <c r="AJ153" s="197">
        <f>IF(ISNUMBER(AJ154),ROUND(ABS(AJ152)-AJ154,1),"n/p")</f>
        <v/>
      </c>
      <c r="AK153" s="197">
        <f>IF(ISNUMBER(AK154),ROUND(ABS(AK152)-AK154,1),"n/p")</f>
        <v/>
      </c>
      <c r="AL153" s="197">
        <f>IF(ISNUMBER(AL154),ROUND(ABS(AL152)-AL154,1),"n/p")</f>
        <v/>
      </c>
      <c r="AM153" s="197">
        <f>IF(ISNUMBER(AM154),ROUND(ABS(AM152)-AM154,1),"n/p")</f>
        <v/>
      </c>
      <c r="AN153" s="197">
        <f>IF(ISNUMBER(AN154),ROUND(ABS(AN152)-AN154,1),"n/p")</f>
        <v/>
      </c>
      <c r="AO153" s="197">
        <f>IF(ISNUMBER(AO154),ROUND(ABS(AO152)-AO154,1),"n/p")</f>
        <v/>
      </c>
      <c r="AP153" s="197">
        <f>IF(ISNUMBER(AP154),ROUND(ABS(AP152)-AP154,1),"n/p")</f>
        <v/>
      </c>
      <c r="AQ153" s="197">
        <f>IF(ISNUMBER(AQ154),ROUND(ABS(AQ152)-AQ154,1),"n/p")</f>
        <v/>
      </c>
      <c r="AR153" s="197">
        <f>IF(ISNUMBER(AR154),ROUND(ABS(AR152)-AR154,1),"n/p")</f>
        <v/>
      </c>
      <c r="AS153" s="197">
        <f>IF(ISNUMBER(AS154),ROUND(ABS(AS152)-AS154,1),"n/p")</f>
        <v/>
      </c>
      <c r="AT153" s="197">
        <f>IF(ISNUMBER(AT154),ROUND(ABS(AT152)-AT154,1),"n/p")</f>
        <v/>
      </c>
      <c r="AU153" s="197">
        <f>IF(ISNUMBER(AU154),ROUND(ABS(AU152)-AU154,1),"n/p")</f>
        <v/>
      </c>
      <c r="AV153" s="197">
        <f>IF(ISNUMBER(AV154),ROUND(ABS(AV152)-AV154,1),"n/p")</f>
        <v/>
      </c>
      <c r="AW153" s="197">
        <f>IF(ISNUMBER(AW154),ROUND(ABS(AW152)-AW154,1),"n/p")</f>
        <v/>
      </c>
      <c r="AX153" s="197">
        <f>IF(ISNUMBER(AX154),ROUND(ABS(AX152)-AX154,1),"n/p")</f>
        <v/>
      </c>
      <c r="AY153" s="197">
        <f>IF(ISNUMBER(AY154),ROUND(ABS(AY152)-AY154,1),"n/p")</f>
        <v/>
      </c>
      <c r="AZ153" s="197">
        <f>IF(ISNUMBER(AZ154),ROUND(ABS(AZ152)-AZ154,1),"n/p")</f>
        <v/>
      </c>
      <c r="BA153" s="197">
        <f>IF(ISNUMBER(BA154),ROUND(ABS(BA152)-BA154,1),"n/p")</f>
        <v/>
      </c>
      <c r="BB153" s="197">
        <f>IF(ISNUMBER(BB154),ROUND(ABS(BB152)-BB154,1),"n/p")</f>
        <v/>
      </c>
      <c r="BC153" s="197">
        <f>IF(ISNUMBER(BC154),ROUND(ABS(BC152)-BC154,1),"n/p")</f>
        <v/>
      </c>
      <c r="BD153" s="197">
        <f>IF(ISNUMBER(BD154),ROUND(ABS(BD152)-BD154,1),"n/p")</f>
        <v/>
      </c>
      <c r="BE153" s="197">
        <f>IF(ISNUMBER(BE154),ROUND(ABS(BE152)-BE154,1),"n/p")</f>
        <v/>
      </c>
      <c r="BF153" s="197">
        <f>IF(ISNUMBER(BF154),ROUND(ABS(BF152)-BF154,1),"n/p")</f>
        <v/>
      </c>
      <c r="BG153" s="197">
        <f>IF(ISNUMBER(BG154),ROUND(ABS(BG152)-BG154,1),"n/p")</f>
        <v/>
      </c>
      <c r="BH153" s="197">
        <f>IF(ISNUMBER(BH154),ROUND(ABS(BH152)-BH154,1),"n/p")</f>
        <v/>
      </c>
      <c r="BI153" s="197">
        <f>IF(ISNUMBER(BI154),ROUND(ABS(BI152)-BI154,1),"n/p")</f>
        <v/>
      </c>
      <c r="BJ153" s="197">
        <f>IF(ISNUMBER(BJ154),ROUND(ABS(BJ152)-BJ154,1),"n/p")</f>
        <v/>
      </c>
      <c r="BK153" s="197">
        <f>IF(ISNUMBER(BK154),ROUND(ABS(BK152)-BK154,1),"n/p")</f>
        <v/>
      </c>
      <c r="BL153" s="197">
        <f>IF(ISNUMBER(BL154),ROUND(ABS(BL152)-BL154,1),"n/p")</f>
        <v/>
      </c>
      <c r="BM153" s="197">
        <f>IF(ISNUMBER(BM154),ROUND(ABS(BM152)-BM154,1),"n/p")</f>
        <v/>
      </c>
      <c r="BN153" s="197">
        <f>IF(ISNUMBER(BN154),ROUND(ABS(BN152)-BN154,1),"n/p")</f>
        <v/>
      </c>
      <c r="BO153" s="197">
        <f>IF(ISNUMBER(BO154),ROUND(ABS(BO152)-BO154,1),"n/p")</f>
        <v/>
      </c>
      <c r="BP153" s="197">
        <f>IF(ISNUMBER(BP154),ROUND(ABS(BP152)-BP154,1),"n/p")</f>
        <v/>
      </c>
      <c r="BQ153" s="197">
        <f>IF(ISNUMBER(BQ154),ROUND(ABS(BQ152)-BQ154,1),"n/p")</f>
        <v/>
      </c>
      <c r="BR153" s="197">
        <f>IF(ISNUMBER(BR154),ROUND(ABS(BR152)-BR154,1),"n/p")</f>
        <v/>
      </c>
      <c r="BS153" s="197">
        <f>IF(ISNUMBER(BS154),ROUND(ABS(BS152)-BS154,1),"n/p")</f>
        <v/>
      </c>
      <c r="BT153" s="197">
        <f>IF(ISNUMBER(BT154),ROUND(ABS(BT152)-BT154,1),"n/p")</f>
        <v/>
      </c>
      <c r="BU153" s="197">
        <f>IF(ISNUMBER(BU154),ROUND(ABS(BU152)-BU154,1),"n/p")</f>
        <v/>
      </c>
      <c r="BV153" s="197">
        <f>IF(ISNUMBER(BV154),ROUND(ABS(BV152)-BV154,1),"n/p")</f>
        <v/>
      </c>
      <c r="BW153" s="197">
        <f>IF(ISNUMBER(BW154),ROUND(ABS(BW152)-BW154,1),"n/p")</f>
        <v/>
      </c>
      <c r="BX153" s="197">
        <f>IF(ISNUMBER(BX154),ROUND(ABS(BX152)-BX154,1),"n/p")</f>
        <v/>
      </c>
      <c r="BY153" s="6" t="n"/>
      <c r="BZ153" s="6" t="n"/>
      <c r="CA153" s="6" t="n"/>
      <c r="CB153" s="6" t="n"/>
      <c r="CC153" s="6" t="n"/>
      <c r="CD153" s="6" t="n"/>
      <c r="CE153" s="6" t="n"/>
      <c r="CF153" s="6" t="n"/>
    </row>
    <row r="154" ht="15" customHeight="1">
      <c r="B154" s="42" t="inlineStr">
        <is>
          <t xml:space="preserve">  Memo: disposal gain / loss — SEC XBRL (absolute; XBRL sign convention changed in 2019)</t>
        </is>
      </c>
      <c r="C154" s="36" t="n"/>
      <c r="D154" s="36" t="n"/>
      <c r="E154" s="174" t="n">
        <v>2.141</v>
      </c>
      <c r="F154" s="174" t="n">
        <v>0.173</v>
      </c>
      <c r="G154" s="174" t="n">
        <v>0.758</v>
      </c>
      <c r="H154" s="174" t="n">
        <v>1.263</v>
      </c>
      <c r="I154" s="174" t="n">
        <v>0.078</v>
      </c>
      <c r="J154" s="174" t="n">
        <v>0.047</v>
      </c>
      <c r="K154" s="174" t="n">
        <v>2.379</v>
      </c>
      <c r="L154" s="174" t="n">
        <v>0.1379999999999999</v>
      </c>
      <c r="M154" s="174" t="n">
        <v>3.549</v>
      </c>
      <c r="N154" s="174" t="n">
        <v>5.743</v>
      </c>
      <c r="O154" s="174" t="n">
        <v>0.848</v>
      </c>
      <c r="P154" s="174" t="n">
        <v>3.244</v>
      </c>
      <c r="Q154" s="174" t="n">
        <v>0.09600000000000009</v>
      </c>
      <c r="R154" s="174" t="n">
        <v>1.584</v>
      </c>
      <c r="S154" s="174" t="n">
        <v>0.716</v>
      </c>
      <c r="T154" s="174" t="n">
        <v>0.033</v>
      </c>
      <c r="U154" s="174" t="n">
        <v>1.667</v>
      </c>
      <c r="V154" s="174" t="n">
        <v>0.4770000000000001</v>
      </c>
      <c r="W154" s="174" t="n">
        <v>1.415</v>
      </c>
      <c r="X154" s="174" t="n">
        <v>3.592</v>
      </c>
      <c r="Y154" s="174" t="n">
        <v>0.2</v>
      </c>
      <c r="Z154" s="174" t="n">
        <v>0.266</v>
      </c>
      <c r="AA154" s="174" t="n">
        <v>0.07600000000000001</v>
      </c>
      <c r="AB154" s="174" t="n">
        <v>0.374</v>
      </c>
      <c r="AC154" s="174" t="n">
        <v>0.168</v>
      </c>
      <c r="AD154" s="174" t="n">
        <v>0.077</v>
      </c>
      <c r="AE154" s="174" t="n">
        <v>0.408</v>
      </c>
      <c r="AF154" s="174" t="n">
        <v>0.22</v>
      </c>
      <c r="AG154" s="174" t="n">
        <v>0.5690000000000001</v>
      </c>
      <c r="AH154" s="174" t="n">
        <v>1.274</v>
      </c>
      <c r="AI154" s="174" t="n">
        <v>0.364</v>
      </c>
      <c r="AJ154" s="174" t="n">
        <v>0.421</v>
      </c>
      <c r="AK154" s="174" t="n">
        <v>0.857</v>
      </c>
      <c r="AL154" s="36" t="n"/>
      <c r="AM154" s="174" t="n">
        <v>0.477</v>
      </c>
      <c r="AN154" s="174" t="n">
        <v>0.477</v>
      </c>
      <c r="AO154" s="174" t="n">
        <v>0.241</v>
      </c>
      <c r="AP154" s="174" t="n">
        <v>4.906</v>
      </c>
      <c r="AQ154" s="174" t="n">
        <v>0.4420000000000002</v>
      </c>
      <c r="AR154" s="174" t="n">
        <v>6.066</v>
      </c>
      <c r="AS154" s="174" t="n">
        <v>0.078</v>
      </c>
      <c r="AT154" s="174" t="n">
        <v>0.06200000000000001</v>
      </c>
      <c r="AU154" s="174" t="n">
        <v>0.115</v>
      </c>
      <c r="AV154" s="174" t="n">
        <v>0.481</v>
      </c>
      <c r="AW154" s="174" t="n">
        <v>0.736</v>
      </c>
      <c r="AX154" s="174" t="n">
        <v>0.603</v>
      </c>
      <c r="AY154" s="174" t="n">
        <v>0.09799999999999998</v>
      </c>
      <c r="AZ154" s="174" t="n">
        <v>0.8799999999999999</v>
      </c>
      <c r="BA154" s="174" t="n">
        <v>0.384</v>
      </c>
      <c r="BB154" s="174" t="n">
        <v>0.5629999999999999</v>
      </c>
      <c r="BC154" s="174" t="n">
        <v>1.205</v>
      </c>
      <c r="BD154" s="174" t="n">
        <v>0.8559999999999999</v>
      </c>
      <c r="BE154" s="174" t="n">
        <v>0.5230000000000001</v>
      </c>
      <c r="BF154" s="174" t="n">
        <v>0.8409999999999997</v>
      </c>
      <c r="BG154" s="174" t="n">
        <v>3.425</v>
      </c>
      <c r="BH154" s="174" t="n">
        <v>4.345</v>
      </c>
      <c r="BI154" s="174" t="n">
        <v>2.086</v>
      </c>
      <c r="BJ154" s="174" t="n">
        <v>1.015</v>
      </c>
      <c r="BK154" s="174" t="n">
        <v>15.109</v>
      </c>
      <c r="BL154" s="174" t="n">
        <v>22.555</v>
      </c>
      <c r="BM154" s="174" t="n">
        <v>0.726</v>
      </c>
      <c r="BN154" s="174" t="n">
        <v>0.5740000000000001</v>
      </c>
      <c r="BO154" s="174" t="n">
        <v>3.16</v>
      </c>
      <c r="BP154" s="174" t="n">
        <v>1.541</v>
      </c>
      <c r="BQ154" s="174" t="n">
        <v>3.401</v>
      </c>
      <c r="BR154" s="174" t="n">
        <v>1.739</v>
      </c>
      <c r="BS154" s="174" t="n">
        <v>1.596</v>
      </c>
      <c r="BT154" s="174" t="n">
        <v>2.684</v>
      </c>
      <c r="BU154" s="174" t="n">
        <v>3.081</v>
      </c>
      <c r="BV154" s="174" t="n">
        <v>2.938</v>
      </c>
      <c r="BW154" s="174" t="n">
        <v>2.835</v>
      </c>
      <c r="BX154" s="174" t="n">
        <v>17.232</v>
      </c>
      <c r="BY154" s="6" t="n"/>
      <c r="BZ154" s="6" t="n"/>
      <c r="CA154" s="6" t="n"/>
      <c r="CB154" s="6" t="n"/>
      <c r="CC154" s="6" t="n"/>
      <c r="CD154" s="6" t="n"/>
      <c r="CE154" s="6" t="n"/>
      <c r="CF154" s="6" t="n"/>
    </row>
    <row r="155" ht="15" customHeight="1">
      <c r="B155" s="26" t="inlineStr">
        <is>
          <t xml:space="preserve">  (+/−) Company-identified one-off items, pre-tax (customer pricing resolution 2007; TCJA special bonus Q4-17; executive agreement termination Q3-22)</t>
        </is>
      </c>
      <c r="C155" s="36" t="n"/>
      <c r="D155" s="174" t="n">
        <v>-2</v>
      </c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174" t="n">
        <v>9.800000000000001</v>
      </c>
      <c r="AH155" s="174" t="n">
        <v>9.800000000000001</v>
      </c>
      <c r="AI155" s="36" t="n"/>
      <c r="AJ155" s="36" t="n"/>
      <c r="AK155" s="36" t="n"/>
      <c r="AL155" s="36" t="n"/>
      <c r="AM155" s="36" t="n"/>
      <c r="AN155" s="36" t="n"/>
      <c r="AO155" s="36" t="n"/>
      <c r="AP155" s="36" t="n"/>
      <c r="AQ155" s="36" t="n"/>
      <c r="AR155" s="36" t="n"/>
      <c r="AS155" s="36" t="n"/>
      <c r="AT155" s="36" t="n"/>
      <c r="AU155" s="36" t="n"/>
      <c r="AV155" s="36" t="n"/>
      <c r="AW155" s="36" t="n"/>
      <c r="AX155" s="36" t="n"/>
      <c r="AY155" s="36" t="n"/>
      <c r="AZ155" s="36" t="n"/>
      <c r="BA155" s="36" t="n"/>
      <c r="BB155" s="36" t="n"/>
      <c r="BC155" s="36" t="n"/>
      <c r="BD155" s="36" t="n"/>
      <c r="BE155" s="174" t="n">
        <v>-15.8</v>
      </c>
      <c r="BF155" s="36" t="n"/>
      <c r="BG155" s="174" t="n">
        <v>-15.8</v>
      </c>
      <c r="BH155" s="36" t="n"/>
      <c r="BI155" s="36" t="n"/>
      <c r="BJ155" s="36" t="n"/>
      <c r="BK155" s="36" t="n"/>
      <c r="BL155" s="36" t="n"/>
      <c r="BM155" s="36" t="n"/>
      <c r="BN155" s="36" t="n"/>
      <c r="BO155" s="36" t="n"/>
      <c r="BP155" s="36" t="n"/>
      <c r="BQ155" s="36" t="n"/>
      <c r="BR155" s="36" t="n"/>
      <c r="BS155" s="36" t="n"/>
      <c r="BT155" s="36" t="n"/>
      <c r="BU155" s="36" t="n"/>
      <c r="BV155" s="36" t="n"/>
      <c r="BW155" s="36" t="n"/>
      <c r="BX155" s="36" t="n"/>
      <c r="BY155" s="175" t="n">
        <v>0</v>
      </c>
      <c r="BZ155" s="175" t="n">
        <v>0</v>
      </c>
      <c r="CA155" s="176">
        <f>SUM(BW155,BX155,BY155,BZ155)</f>
        <v/>
      </c>
      <c r="CB155" s="175" t="n">
        <v>0</v>
      </c>
      <c r="CC155" s="175" t="n">
        <v>0</v>
      </c>
      <c r="CD155" s="175" t="n">
        <v>0</v>
      </c>
      <c r="CE155" s="175" t="n">
        <v>0</v>
      </c>
      <c r="CF155" s="20" t="inlineStr">
        <is>
          <t>Only items quantified by ODFL itself in its earnings releases / 10-Q / 10-K (source and wording in cell comments). Positive = charge added back.</t>
        </is>
      </c>
    </row>
    <row r="156" collapsed="1" ht="15" customHeight="1">
      <c r="B156" s="17" t="inlineStr">
        <is>
          <t xml:space="preserve">  Total adjusting items</t>
        </is>
      </c>
      <c r="C156" s="204">
        <f>N(C152)+N(C155)</f>
        <v/>
      </c>
      <c r="D156" s="204">
        <f>N(D152)+N(D155)</f>
        <v/>
      </c>
      <c r="E156" s="204">
        <f>N(E152)+N(E155)</f>
        <v/>
      </c>
      <c r="F156" s="204">
        <f>N(F152)+N(F155)</f>
        <v/>
      </c>
      <c r="G156" s="204">
        <f>N(G152)+N(G155)</f>
        <v/>
      </c>
      <c r="H156" s="204">
        <f>N(H152)+N(H155)</f>
        <v/>
      </c>
      <c r="I156" s="204">
        <f>N(I152)+N(I155)</f>
        <v/>
      </c>
      <c r="J156" s="204">
        <f>N(J152)+N(J155)</f>
        <v/>
      </c>
      <c r="K156" s="204">
        <f>N(K152)+N(K155)</f>
        <v/>
      </c>
      <c r="L156" s="204">
        <f>N(L152)+N(L155)</f>
        <v/>
      </c>
      <c r="M156" s="204">
        <f>N(M152)+N(M155)</f>
        <v/>
      </c>
      <c r="N156" s="204">
        <f>N(N152)+N(N155)</f>
        <v/>
      </c>
      <c r="O156" s="204">
        <f>N(O152)+N(O155)</f>
        <v/>
      </c>
      <c r="P156" s="204">
        <f>N(P152)+N(P155)</f>
        <v/>
      </c>
      <c r="Q156" s="204">
        <f>N(Q152)+N(Q155)</f>
        <v/>
      </c>
      <c r="R156" s="204">
        <f>N(R152)+N(R155)</f>
        <v/>
      </c>
      <c r="S156" s="204">
        <f>N(S152)+N(S155)</f>
        <v/>
      </c>
      <c r="T156" s="204">
        <f>N(T152)+N(T155)</f>
        <v/>
      </c>
      <c r="U156" s="204">
        <f>N(U152)+N(U155)</f>
        <v/>
      </c>
      <c r="V156" s="204">
        <f>N(V152)+N(V155)</f>
        <v/>
      </c>
      <c r="W156" s="204">
        <f>N(W152)+N(W155)</f>
        <v/>
      </c>
      <c r="X156" s="204">
        <f>N(X152)+N(X155)</f>
        <v/>
      </c>
      <c r="Y156" s="204">
        <f>N(Y152)+N(Y155)</f>
        <v/>
      </c>
      <c r="Z156" s="204">
        <f>N(Z152)+N(Z155)</f>
        <v/>
      </c>
      <c r="AA156" s="204">
        <f>N(AA152)+N(AA155)</f>
        <v/>
      </c>
      <c r="AB156" s="204">
        <f>N(AB152)+N(AB155)</f>
        <v/>
      </c>
      <c r="AC156" s="204">
        <f>N(AC152)+N(AC155)</f>
        <v/>
      </c>
      <c r="AD156" s="204">
        <f>N(AD152)+N(AD155)</f>
        <v/>
      </c>
      <c r="AE156" s="204">
        <f>N(AE152)+N(AE155)</f>
        <v/>
      </c>
      <c r="AF156" s="204">
        <f>N(AF152)+N(AF155)</f>
        <v/>
      </c>
      <c r="AG156" s="204">
        <f>N(AG152)+N(AG155)</f>
        <v/>
      </c>
      <c r="AH156" s="204">
        <f>N(AH152)+N(AH155)</f>
        <v/>
      </c>
      <c r="AI156" s="204">
        <f>N(AI152)+N(AI155)</f>
        <v/>
      </c>
      <c r="AJ156" s="204">
        <f>N(AJ152)+N(AJ155)</f>
        <v/>
      </c>
      <c r="AK156" s="204">
        <f>N(AK152)+N(AK155)</f>
        <v/>
      </c>
      <c r="AL156" s="204">
        <f>N(AL152)+N(AL155)</f>
        <v/>
      </c>
      <c r="AM156" s="204">
        <f>N(AM152)+N(AM155)</f>
        <v/>
      </c>
      <c r="AN156" s="204">
        <f>N(AN152)+N(AN155)</f>
        <v/>
      </c>
      <c r="AO156" s="204">
        <f>N(AO152)+N(AO155)</f>
        <v/>
      </c>
      <c r="AP156" s="204">
        <f>N(AP152)+N(AP155)</f>
        <v/>
      </c>
      <c r="AQ156" s="204">
        <f>N(AQ152)+N(AQ155)</f>
        <v/>
      </c>
      <c r="AR156" s="204">
        <f>N(AR152)+N(AR155)</f>
        <v/>
      </c>
      <c r="AS156" s="204">
        <f>N(AS152)+N(AS155)</f>
        <v/>
      </c>
      <c r="AT156" s="204">
        <f>N(AT152)+N(AT155)</f>
        <v/>
      </c>
      <c r="AU156" s="204">
        <f>N(AU152)+N(AU155)</f>
        <v/>
      </c>
      <c r="AV156" s="204">
        <f>N(AV152)+N(AV155)</f>
        <v/>
      </c>
      <c r="AW156" s="204">
        <f>N(AW152)+N(AW155)</f>
        <v/>
      </c>
      <c r="AX156" s="204">
        <f>N(AX152)+N(AX155)</f>
        <v/>
      </c>
      <c r="AY156" s="204">
        <f>N(AY152)+N(AY155)</f>
        <v/>
      </c>
      <c r="AZ156" s="204">
        <f>N(AZ152)+N(AZ155)</f>
        <v/>
      </c>
      <c r="BA156" s="204">
        <f>N(BA152)+N(BA155)</f>
        <v/>
      </c>
      <c r="BB156" s="204">
        <f>N(BB152)+N(BB155)</f>
        <v/>
      </c>
      <c r="BC156" s="204">
        <f>N(BC152)+N(BC155)</f>
        <v/>
      </c>
      <c r="BD156" s="204">
        <f>N(BD152)+N(BD155)</f>
        <v/>
      </c>
      <c r="BE156" s="204">
        <f>N(BE152)+N(BE155)</f>
        <v/>
      </c>
      <c r="BF156" s="204">
        <f>N(BF152)+N(BF155)</f>
        <v/>
      </c>
      <c r="BG156" s="204">
        <f>N(BG152)+N(BG155)</f>
        <v/>
      </c>
      <c r="BH156" s="204">
        <f>N(BH152)+N(BH155)</f>
        <v/>
      </c>
      <c r="BI156" s="204">
        <f>N(BI152)+N(BI155)</f>
        <v/>
      </c>
      <c r="BJ156" s="204">
        <f>N(BJ152)+N(BJ155)</f>
        <v/>
      </c>
      <c r="BK156" s="204">
        <f>N(BK152)+N(BK155)</f>
        <v/>
      </c>
      <c r="BL156" s="204">
        <f>N(BL152)+N(BL155)</f>
        <v/>
      </c>
      <c r="BM156" s="204">
        <f>N(BM152)+N(BM155)</f>
        <v/>
      </c>
      <c r="BN156" s="204">
        <f>N(BN152)+N(BN155)</f>
        <v/>
      </c>
      <c r="BO156" s="204">
        <f>N(BO152)+N(BO155)</f>
        <v/>
      </c>
      <c r="BP156" s="204">
        <f>N(BP152)+N(BP155)</f>
        <v/>
      </c>
      <c r="BQ156" s="204">
        <f>N(BQ152)+N(BQ155)</f>
        <v/>
      </c>
      <c r="BR156" s="204">
        <f>N(BR152)+N(BR155)</f>
        <v/>
      </c>
      <c r="BS156" s="204">
        <f>N(BS152)+N(BS155)</f>
        <v/>
      </c>
      <c r="BT156" s="204">
        <f>N(BT152)+N(BT155)</f>
        <v/>
      </c>
      <c r="BU156" s="204">
        <f>N(BU152)+N(BU155)</f>
        <v/>
      </c>
      <c r="BV156" s="204">
        <f>N(BV152)+N(BV155)</f>
        <v/>
      </c>
      <c r="BW156" s="204">
        <f>N(BW152)+N(BW155)</f>
        <v/>
      </c>
      <c r="BX156" s="204">
        <f>N(BX152)+N(BX155)</f>
        <v/>
      </c>
      <c r="BY156" s="178">
        <f>N(BY152)+N(BY155)</f>
        <v/>
      </c>
      <c r="BZ156" s="178">
        <f>N(BZ152)+N(BZ155)</f>
        <v/>
      </c>
      <c r="CA156" s="178">
        <f>N(CA152)+N(CA155)</f>
        <v/>
      </c>
      <c r="CB156" s="178">
        <f>N(CB152)+N(CB155)</f>
        <v/>
      </c>
      <c r="CC156" s="178">
        <f>N(CC152)+N(CC155)</f>
        <v/>
      </c>
      <c r="CD156" s="178">
        <f>N(CD152)+N(CD155)</f>
        <v/>
      </c>
      <c r="CE156" s="178">
        <f>N(CE152)+N(CE155)</f>
        <v/>
      </c>
      <c r="CF156" s="6" t="n"/>
      <c r="CH156" s="21">
        <f>IFERROR((CE156/BV156)^(1/5)-1,"n/m")</f>
        <v/>
      </c>
      <c r="CI156" s="21">
        <f>IFERROR((BV156/AW156)^(1/5)-1,"n/m")</f>
        <v/>
      </c>
      <c r="CJ156" s="21">
        <f>IFERROR((BV156/X156)^(1/10)-1,"n/m")</f>
        <v/>
      </c>
      <c r="CK156" s="21">
        <f>IFERROR((BV156/C156)^(1/19)-1,"n/m")</f>
        <v/>
      </c>
    </row>
    <row r="157" ht="15" customHeight="1">
      <c r="B157" s="59" t="inlineStr">
        <is>
          <t xml:space="preserve">  = Adjusted EBITDA (model)</t>
        </is>
      </c>
      <c r="C157" s="196">
        <f>IF(ISNUMBER(C150),C150+C156,"")</f>
        <v/>
      </c>
      <c r="D157" s="196">
        <f>IF(ISNUMBER(D150),D150+D156,"")</f>
        <v/>
      </c>
      <c r="E157" s="196">
        <f>IF(ISNUMBER(E150),E150+E156,"")</f>
        <v/>
      </c>
      <c r="F157" s="196">
        <f>IF(ISNUMBER(F150),F150+F156,"")</f>
        <v/>
      </c>
      <c r="G157" s="196">
        <f>IF(ISNUMBER(G150),G150+G156,"")</f>
        <v/>
      </c>
      <c r="H157" s="196">
        <f>IF(ISNUMBER(H150),H150+H156,"")</f>
        <v/>
      </c>
      <c r="I157" s="196">
        <f>IF(ISNUMBER(I150),I150+I156,"")</f>
        <v/>
      </c>
      <c r="J157" s="196">
        <f>IF(ISNUMBER(J150),J150+J156,"")</f>
        <v/>
      </c>
      <c r="K157" s="196">
        <f>IF(ISNUMBER(K150),K150+K156,"")</f>
        <v/>
      </c>
      <c r="L157" s="196">
        <f>IF(ISNUMBER(L150),L150+L156,"")</f>
        <v/>
      </c>
      <c r="M157" s="196">
        <f>IF(ISNUMBER(M150),M150+M156,"")</f>
        <v/>
      </c>
      <c r="N157" s="196">
        <f>IF(ISNUMBER(N150),N150+N156,"")</f>
        <v/>
      </c>
      <c r="O157" s="196">
        <f>IF(ISNUMBER(O150),O150+O156,"")</f>
        <v/>
      </c>
      <c r="P157" s="196">
        <f>IF(ISNUMBER(P150),P150+P156,"")</f>
        <v/>
      </c>
      <c r="Q157" s="196">
        <f>IF(ISNUMBER(Q150),Q150+Q156,"")</f>
        <v/>
      </c>
      <c r="R157" s="196">
        <f>IF(ISNUMBER(R150),R150+R156,"")</f>
        <v/>
      </c>
      <c r="S157" s="196">
        <f>IF(ISNUMBER(S150),S150+S156,"")</f>
        <v/>
      </c>
      <c r="T157" s="196">
        <f>IF(ISNUMBER(T150),T150+T156,"")</f>
        <v/>
      </c>
      <c r="U157" s="196">
        <f>IF(ISNUMBER(U150),U150+U156,"")</f>
        <v/>
      </c>
      <c r="V157" s="196">
        <f>IF(ISNUMBER(V150),V150+V156,"")</f>
        <v/>
      </c>
      <c r="W157" s="196">
        <f>IF(ISNUMBER(W150),W150+W156,"")</f>
        <v/>
      </c>
      <c r="X157" s="196">
        <f>IF(ISNUMBER(X150),X150+X156,"")</f>
        <v/>
      </c>
      <c r="Y157" s="196">
        <f>IF(ISNUMBER(Y150),Y150+Y156,"")</f>
        <v/>
      </c>
      <c r="Z157" s="196">
        <f>IF(ISNUMBER(Z150),Z150+Z156,"")</f>
        <v/>
      </c>
      <c r="AA157" s="196">
        <f>IF(ISNUMBER(AA150),AA150+AA156,"")</f>
        <v/>
      </c>
      <c r="AB157" s="196">
        <f>IF(ISNUMBER(AB150),AB150+AB156,"")</f>
        <v/>
      </c>
      <c r="AC157" s="196">
        <f>IF(ISNUMBER(AC150),AC150+AC156,"")</f>
        <v/>
      </c>
      <c r="AD157" s="196">
        <f>IF(ISNUMBER(AD150),AD150+AD156,"")</f>
        <v/>
      </c>
      <c r="AE157" s="196">
        <f>IF(ISNUMBER(AE150),AE150+AE156,"")</f>
        <v/>
      </c>
      <c r="AF157" s="196">
        <f>IF(ISNUMBER(AF150),AF150+AF156,"")</f>
        <v/>
      </c>
      <c r="AG157" s="196">
        <f>IF(ISNUMBER(AG150),AG150+AG156,"")</f>
        <v/>
      </c>
      <c r="AH157" s="196">
        <f>IF(ISNUMBER(AH150),AH150+AH156,"")</f>
        <v/>
      </c>
      <c r="AI157" s="196">
        <f>IF(ISNUMBER(AI150),AI150+AI156,"")</f>
        <v/>
      </c>
      <c r="AJ157" s="196">
        <f>IF(ISNUMBER(AJ150),AJ150+AJ156,"")</f>
        <v/>
      </c>
      <c r="AK157" s="196">
        <f>IF(ISNUMBER(AK150),AK150+AK156,"")</f>
        <v/>
      </c>
      <c r="AL157" s="196">
        <f>IF(ISNUMBER(AL150),AL150+AL156,"")</f>
        <v/>
      </c>
      <c r="AM157" s="196">
        <f>IF(ISNUMBER(AM150),AM150+AM156,"")</f>
        <v/>
      </c>
      <c r="AN157" s="196">
        <f>IF(ISNUMBER(AN150),AN150+AN156,"")</f>
        <v/>
      </c>
      <c r="AO157" s="196">
        <f>IF(ISNUMBER(AO150),AO150+AO156,"")</f>
        <v/>
      </c>
      <c r="AP157" s="196">
        <f>IF(ISNUMBER(AP150),AP150+AP156,"")</f>
        <v/>
      </c>
      <c r="AQ157" s="196">
        <f>IF(ISNUMBER(AQ150),AQ150+AQ156,"")</f>
        <v/>
      </c>
      <c r="AR157" s="196">
        <f>IF(ISNUMBER(AR150),AR150+AR156,"")</f>
        <v/>
      </c>
      <c r="AS157" s="196">
        <f>IF(ISNUMBER(AS150),AS150+AS156,"")</f>
        <v/>
      </c>
      <c r="AT157" s="196">
        <f>IF(ISNUMBER(AT150),AT150+AT156,"")</f>
        <v/>
      </c>
      <c r="AU157" s="196">
        <f>IF(ISNUMBER(AU150),AU150+AU156,"")</f>
        <v/>
      </c>
      <c r="AV157" s="196">
        <f>IF(ISNUMBER(AV150),AV150+AV156,"")</f>
        <v/>
      </c>
      <c r="AW157" s="196">
        <f>IF(ISNUMBER(AW150),AW150+AW156,"")</f>
        <v/>
      </c>
      <c r="AX157" s="196">
        <f>IF(ISNUMBER(AX150),AX150+AX156,"")</f>
        <v/>
      </c>
      <c r="AY157" s="196">
        <f>IF(ISNUMBER(AY150),AY150+AY156,"")</f>
        <v/>
      </c>
      <c r="AZ157" s="196">
        <f>IF(ISNUMBER(AZ150),AZ150+AZ156,"")</f>
        <v/>
      </c>
      <c r="BA157" s="196">
        <f>IF(ISNUMBER(BA150),BA150+BA156,"")</f>
        <v/>
      </c>
      <c r="BB157" s="196">
        <f>IF(ISNUMBER(BB150),BB150+BB156,"")</f>
        <v/>
      </c>
      <c r="BC157" s="196">
        <f>IF(ISNUMBER(BC150),BC150+BC156,"")</f>
        <v/>
      </c>
      <c r="BD157" s="196">
        <f>IF(ISNUMBER(BD150),BD150+BD156,"")</f>
        <v/>
      </c>
      <c r="BE157" s="196">
        <f>IF(ISNUMBER(BE150),BE150+BE156,"")</f>
        <v/>
      </c>
      <c r="BF157" s="196">
        <f>IF(ISNUMBER(BF150),BF150+BF156,"")</f>
        <v/>
      </c>
      <c r="BG157" s="196">
        <f>IF(ISNUMBER(BG150),BG150+BG156,"")</f>
        <v/>
      </c>
      <c r="BH157" s="196">
        <f>IF(ISNUMBER(BH150),BH150+BH156,"")</f>
        <v/>
      </c>
      <c r="BI157" s="196">
        <f>IF(ISNUMBER(BI150),BI150+BI156,"")</f>
        <v/>
      </c>
      <c r="BJ157" s="196">
        <f>IF(ISNUMBER(BJ150),BJ150+BJ156,"")</f>
        <v/>
      </c>
      <c r="BK157" s="196">
        <f>IF(ISNUMBER(BK150),BK150+BK156,"")</f>
        <v/>
      </c>
      <c r="BL157" s="196">
        <f>IF(ISNUMBER(BL150),BL150+BL156,"")</f>
        <v/>
      </c>
      <c r="BM157" s="196">
        <f>IF(ISNUMBER(BM150),BM150+BM156,"")</f>
        <v/>
      </c>
      <c r="BN157" s="196">
        <f>IF(ISNUMBER(BN150),BN150+BN156,"")</f>
        <v/>
      </c>
      <c r="BO157" s="196">
        <f>IF(ISNUMBER(BO150),BO150+BO156,"")</f>
        <v/>
      </c>
      <c r="BP157" s="196">
        <f>IF(ISNUMBER(BP150),BP150+BP156,"")</f>
        <v/>
      </c>
      <c r="BQ157" s="196">
        <f>IF(ISNUMBER(BQ150),BQ150+BQ156,"")</f>
        <v/>
      </c>
      <c r="BR157" s="196">
        <f>IF(ISNUMBER(BR150),BR150+BR156,"")</f>
        <v/>
      </c>
      <c r="BS157" s="196">
        <f>IF(ISNUMBER(BS150),BS150+BS156,"")</f>
        <v/>
      </c>
      <c r="BT157" s="196">
        <f>IF(ISNUMBER(BT150),BT150+BT156,"")</f>
        <v/>
      </c>
      <c r="BU157" s="196">
        <f>IF(ISNUMBER(BU150),BU150+BU156,"")</f>
        <v/>
      </c>
      <c r="BV157" s="196">
        <f>IF(ISNUMBER(BV150),BV150+BV156,"")</f>
        <v/>
      </c>
      <c r="BW157" s="196">
        <f>IF(ISNUMBER(BW150),BW150+BW156,"")</f>
        <v/>
      </c>
      <c r="BX157" s="196">
        <f>IF(ISNUMBER(BX150),BX150+BX156,"")</f>
        <v/>
      </c>
      <c r="BY157" s="196">
        <f>IF(ISNUMBER(BY150),BY150+BY156,"")</f>
        <v/>
      </c>
      <c r="BZ157" s="196">
        <f>IF(ISNUMBER(BZ150),BZ150+BZ156,"")</f>
        <v/>
      </c>
      <c r="CA157" s="196">
        <f>IF(ISNUMBER(CA150),CA150+CA156,"")</f>
        <v/>
      </c>
      <c r="CB157" s="196">
        <f>IF(ISNUMBER(CB150),CB150+CB156,"")</f>
        <v/>
      </c>
      <c r="CC157" s="196">
        <f>IF(ISNUMBER(CC150),CC150+CC156,"")</f>
        <v/>
      </c>
      <c r="CD157" s="196">
        <f>IF(ISNUMBER(CD150),CD150+CD156,"")</f>
        <v/>
      </c>
      <c r="CE157" s="196">
        <f>IF(ISNUMBER(CE150),CE150+CE156,"")</f>
        <v/>
      </c>
      <c r="CF157" s="6" t="n"/>
      <c r="CH157" s="21">
        <f>IFERROR((CE157/BV157)^(1/5)-1,"n/m")</f>
        <v/>
      </c>
      <c r="CI157" s="21">
        <f>IFERROR((BV157/AW157)^(1/5)-1,"n/m")</f>
        <v/>
      </c>
      <c r="CJ157" s="21">
        <f>IFERROR((BV157/X157)^(1/10)-1,"n/m")</f>
        <v/>
      </c>
      <c r="CK157" s="21">
        <f>IFERROR((BV157/C157)^(1/19)-1,"n/m")</f>
        <v/>
      </c>
    </row>
    <row r="158" ht="15" customHeight="1">
      <c r="B158" s="26" t="inlineStr">
        <is>
          <t xml:space="preserve">  Adjusted EBITDA margin %</t>
        </is>
      </c>
      <c r="C158" s="190">
        <f>IF(AND(ISNUMBER(C157),ISNUMBER(C100)),IFERROR(C157/C100,""),"")</f>
        <v/>
      </c>
      <c r="D158" s="190">
        <f>IF(AND(ISNUMBER(D157),ISNUMBER(D100)),IFERROR(D157/D100,""),"")</f>
        <v/>
      </c>
      <c r="E158" s="190">
        <f>IF(AND(ISNUMBER(E157),ISNUMBER(E100)),IFERROR(E157/E100,""),"")</f>
        <v/>
      </c>
      <c r="F158" s="190">
        <f>IF(AND(ISNUMBER(F157),ISNUMBER(F100)),IFERROR(F157/F100,""),"")</f>
        <v/>
      </c>
      <c r="G158" s="190">
        <f>IF(AND(ISNUMBER(G157),ISNUMBER(G100)),IFERROR(G157/G100,""),"")</f>
        <v/>
      </c>
      <c r="H158" s="190">
        <f>IF(AND(ISNUMBER(H157),ISNUMBER(H100)),IFERROR(H157/H100,""),"")</f>
        <v/>
      </c>
      <c r="I158" s="190">
        <f>IF(AND(ISNUMBER(I157),ISNUMBER(I100)),IFERROR(I157/I100,""),"")</f>
        <v/>
      </c>
      <c r="J158" s="190">
        <f>IF(AND(ISNUMBER(J157),ISNUMBER(J100)),IFERROR(J157/J100,""),"")</f>
        <v/>
      </c>
      <c r="K158" s="190">
        <f>IF(AND(ISNUMBER(K157),ISNUMBER(K100)),IFERROR(K157/K100,""),"")</f>
        <v/>
      </c>
      <c r="L158" s="190">
        <f>IF(AND(ISNUMBER(L157),ISNUMBER(L100)),IFERROR(L157/L100,""),"")</f>
        <v/>
      </c>
      <c r="M158" s="190">
        <f>IF(AND(ISNUMBER(M157),ISNUMBER(M100)),IFERROR(M157/M100,""),"")</f>
        <v/>
      </c>
      <c r="N158" s="190">
        <f>IF(AND(ISNUMBER(N157),ISNUMBER(N100)),IFERROR(N157/N100,""),"")</f>
        <v/>
      </c>
      <c r="O158" s="190">
        <f>IF(AND(ISNUMBER(O157),ISNUMBER(O100)),IFERROR(O157/O100,""),"")</f>
        <v/>
      </c>
      <c r="P158" s="190">
        <f>IF(AND(ISNUMBER(P157),ISNUMBER(P100)),IFERROR(P157/P100,""),"")</f>
        <v/>
      </c>
      <c r="Q158" s="190">
        <f>IF(AND(ISNUMBER(Q157),ISNUMBER(Q100)),IFERROR(Q157/Q100,""),"")</f>
        <v/>
      </c>
      <c r="R158" s="190">
        <f>IF(AND(ISNUMBER(R157),ISNUMBER(R100)),IFERROR(R157/R100,""),"")</f>
        <v/>
      </c>
      <c r="S158" s="190">
        <f>IF(AND(ISNUMBER(S157),ISNUMBER(S100)),IFERROR(S157/S100,""),"")</f>
        <v/>
      </c>
      <c r="T158" s="190">
        <f>IF(AND(ISNUMBER(T157),ISNUMBER(T100)),IFERROR(T157/T100,""),"")</f>
        <v/>
      </c>
      <c r="U158" s="190">
        <f>IF(AND(ISNUMBER(U157),ISNUMBER(U100)),IFERROR(U157/U100,""),"")</f>
        <v/>
      </c>
      <c r="V158" s="190">
        <f>IF(AND(ISNUMBER(V157),ISNUMBER(V100)),IFERROR(V157/V100,""),"")</f>
        <v/>
      </c>
      <c r="W158" s="190">
        <f>IF(AND(ISNUMBER(W157),ISNUMBER(W100)),IFERROR(W157/W100,""),"")</f>
        <v/>
      </c>
      <c r="X158" s="190">
        <f>IF(AND(ISNUMBER(X157),ISNUMBER(X100)),IFERROR(X157/X100,""),"")</f>
        <v/>
      </c>
      <c r="Y158" s="190">
        <f>IF(AND(ISNUMBER(Y157),ISNUMBER(Y100)),IFERROR(Y157/Y100,""),"")</f>
        <v/>
      </c>
      <c r="Z158" s="190">
        <f>IF(AND(ISNUMBER(Z157),ISNUMBER(Z100)),IFERROR(Z157/Z100,""),"")</f>
        <v/>
      </c>
      <c r="AA158" s="190">
        <f>IF(AND(ISNUMBER(AA157),ISNUMBER(AA100)),IFERROR(AA157/AA100,""),"")</f>
        <v/>
      </c>
      <c r="AB158" s="190">
        <f>IF(AND(ISNUMBER(AB157),ISNUMBER(AB100)),IFERROR(AB157/AB100,""),"")</f>
        <v/>
      </c>
      <c r="AC158" s="190">
        <f>IF(AND(ISNUMBER(AC157),ISNUMBER(AC100)),IFERROR(AC157/AC100,""),"")</f>
        <v/>
      </c>
      <c r="AD158" s="190">
        <f>IF(AND(ISNUMBER(AD157),ISNUMBER(AD100)),IFERROR(AD157/AD100,""),"")</f>
        <v/>
      </c>
      <c r="AE158" s="190">
        <f>IF(AND(ISNUMBER(AE157),ISNUMBER(AE100)),IFERROR(AE157/AE100,""),"")</f>
        <v/>
      </c>
      <c r="AF158" s="190">
        <f>IF(AND(ISNUMBER(AF157),ISNUMBER(AF100)),IFERROR(AF157/AF100,""),"")</f>
        <v/>
      </c>
      <c r="AG158" s="190">
        <f>IF(AND(ISNUMBER(AG157),ISNUMBER(AG100)),IFERROR(AG157/AG100,""),"")</f>
        <v/>
      </c>
      <c r="AH158" s="190">
        <f>IF(AND(ISNUMBER(AH157),ISNUMBER(AH100)),IFERROR(AH157/AH100,""),"")</f>
        <v/>
      </c>
      <c r="AI158" s="190">
        <f>IF(AND(ISNUMBER(AI157),ISNUMBER(AI100)),IFERROR(AI157/AI100,""),"")</f>
        <v/>
      </c>
      <c r="AJ158" s="190">
        <f>IF(AND(ISNUMBER(AJ157),ISNUMBER(AJ100)),IFERROR(AJ157/AJ100,""),"")</f>
        <v/>
      </c>
      <c r="AK158" s="190">
        <f>IF(AND(ISNUMBER(AK157),ISNUMBER(AK100)),IFERROR(AK157/AK100,""),"")</f>
        <v/>
      </c>
      <c r="AL158" s="190">
        <f>IF(AND(ISNUMBER(AL157),ISNUMBER(AL100)),IFERROR(AL157/AL100,""),"")</f>
        <v/>
      </c>
      <c r="AM158" s="190">
        <f>IF(AND(ISNUMBER(AM157),ISNUMBER(AM100)),IFERROR(AM157/AM100,""),"")</f>
        <v/>
      </c>
      <c r="AN158" s="190">
        <f>IF(AND(ISNUMBER(AN157),ISNUMBER(AN100)),IFERROR(AN157/AN100,""),"")</f>
        <v/>
      </c>
      <c r="AO158" s="190">
        <f>IF(AND(ISNUMBER(AO157),ISNUMBER(AO100)),IFERROR(AO157/AO100,""),"")</f>
        <v/>
      </c>
      <c r="AP158" s="190">
        <f>IF(AND(ISNUMBER(AP157),ISNUMBER(AP100)),IFERROR(AP157/AP100,""),"")</f>
        <v/>
      </c>
      <c r="AQ158" s="190">
        <f>IF(AND(ISNUMBER(AQ157),ISNUMBER(AQ100)),IFERROR(AQ157/AQ100,""),"")</f>
        <v/>
      </c>
      <c r="AR158" s="190">
        <f>IF(AND(ISNUMBER(AR157),ISNUMBER(AR100)),IFERROR(AR157/AR100,""),"")</f>
        <v/>
      </c>
      <c r="AS158" s="190">
        <f>IF(AND(ISNUMBER(AS157),ISNUMBER(AS100)),IFERROR(AS157/AS100,""),"")</f>
        <v/>
      </c>
      <c r="AT158" s="190">
        <f>IF(AND(ISNUMBER(AT157),ISNUMBER(AT100)),IFERROR(AT157/AT100,""),"")</f>
        <v/>
      </c>
      <c r="AU158" s="190">
        <f>IF(AND(ISNUMBER(AU157),ISNUMBER(AU100)),IFERROR(AU157/AU100,""),"")</f>
        <v/>
      </c>
      <c r="AV158" s="190">
        <f>IF(AND(ISNUMBER(AV157),ISNUMBER(AV100)),IFERROR(AV157/AV100,""),"")</f>
        <v/>
      </c>
      <c r="AW158" s="190">
        <f>IF(AND(ISNUMBER(AW157),ISNUMBER(AW100)),IFERROR(AW157/AW100,""),"")</f>
        <v/>
      </c>
      <c r="AX158" s="190">
        <f>IF(AND(ISNUMBER(AX157),ISNUMBER(AX100)),IFERROR(AX157/AX100,""),"")</f>
        <v/>
      </c>
      <c r="AY158" s="190">
        <f>IF(AND(ISNUMBER(AY157),ISNUMBER(AY100)),IFERROR(AY157/AY100,""),"")</f>
        <v/>
      </c>
      <c r="AZ158" s="190">
        <f>IF(AND(ISNUMBER(AZ157),ISNUMBER(AZ100)),IFERROR(AZ157/AZ100,""),"")</f>
        <v/>
      </c>
      <c r="BA158" s="190">
        <f>IF(AND(ISNUMBER(BA157),ISNUMBER(BA100)),IFERROR(BA157/BA100,""),"")</f>
        <v/>
      </c>
      <c r="BB158" s="190">
        <f>IF(AND(ISNUMBER(BB157),ISNUMBER(BB100)),IFERROR(BB157/BB100,""),"")</f>
        <v/>
      </c>
      <c r="BC158" s="190">
        <f>IF(AND(ISNUMBER(BC157),ISNUMBER(BC100)),IFERROR(BC157/BC100,""),"")</f>
        <v/>
      </c>
      <c r="BD158" s="190">
        <f>IF(AND(ISNUMBER(BD157),ISNUMBER(BD100)),IFERROR(BD157/BD100,""),"")</f>
        <v/>
      </c>
      <c r="BE158" s="190">
        <f>IF(AND(ISNUMBER(BE157),ISNUMBER(BE100)),IFERROR(BE157/BE100,""),"")</f>
        <v/>
      </c>
      <c r="BF158" s="190">
        <f>IF(AND(ISNUMBER(BF157),ISNUMBER(BF100)),IFERROR(BF157/BF100,""),"")</f>
        <v/>
      </c>
      <c r="BG158" s="190">
        <f>IF(AND(ISNUMBER(BG157),ISNUMBER(BG100)),IFERROR(BG157/BG100,""),"")</f>
        <v/>
      </c>
      <c r="BH158" s="190">
        <f>IF(AND(ISNUMBER(BH157),ISNUMBER(BH100)),IFERROR(BH157/BH100,""),"")</f>
        <v/>
      </c>
      <c r="BI158" s="190">
        <f>IF(AND(ISNUMBER(BI157),ISNUMBER(BI100)),IFERROR(BI157/BI100,""),"")</f>
        <v/>
      </c>
      <c r="BJ158" s="190">
        <f>IF(AND(ISNUMBER(BJ157),ISNUMBER(BJ100)),IFERROR(BJ157/BJ100,""),"")</f>
        <v/>
      </c>
      <c r="BK158" s="190">
        <f>IF(AND(ISNUMBER(BK157),ISNUMBER(BK100)),IFERROR(BK157/BK100,""),"")</f>
        <v/>
      </c>
      <c r="BL158" s="190">
        <f>IF(AND(ISNUMBER(BL157),ISNUMBER(BL100)),IFERROR(BL157/BL100,""),"")</f>
        <v/>
      </c>
      <c r="BM158" s="190">
        <f>IF(AND(ISNUMBER(BM157),ISNUMBER(BM100)),IFERROR(BM157/BM100,""),"")</f>
        <v/>
      </c>
      <c r="BN158" s="190">
        <f>IF(AND(ISNUMBER(BN157),ISNUMBER(BN100)),IFERROR(BN157/BN100,""),"")</f>
        <v/>
      </c>
      <c r="BO158" s="190">
        <f>IF(AND(ISNUMBER(BO157),ISNUMBER(BO100)),IFERROR(BO157/BO100,""),"")</f>
        <v/>
      </c>
      <c r="BP158" s="190">
        <f>IF(AND(ISNUMBER(BP157),ISNUMBER(BP100)),IFERROR(BP157/BP100,""),"")</f>
        <v/>
      </c>
      <c r="BQ158" s="190">
        <f>IF(AND(ISNUMBER(BQ157),ISNUMBER(BQ100)),IFERROR(BQ157/BQ100,""),"")</f>
        <v/>
      </c>
      <c r="BR158" s="190">
        <f>IF(AND(ISNUMBER(BR157),ISNUMBER(BR100)),IFERROR(BR157/BR100,""),"")</f>
        <v/>
      </c>
      <c r="BS158" s="190">
        <f>IF(AND(ISNUMBER(BS157),ISNUMBER(BS100)),IFERROR(BS157/BS100,""),"")</f>
        <v/>
      </c>
      <c r="BT158" s="190">
        <f>IF(AND(ISNUMBER(BT157),ISNUMBER(BT100)),IFERROR(BT157/BT100,""),"")</f>
        <v/>
      </c>
      <c r="BU158" s="190">
        <f>IF(AND(ISNUMBER(BU157),ISNUMBER(BU100)),IFERROR(BU157/BU100,""),"")</f>
        <v/>
      </c>
      <c r="BV158" s="190">
        <f>IF(AND(ISNUMBER(BV157),ISNUMBER(BV100)),IFERROR(BV157/BV100,""),"")</f>
        <v/>
      </c>
      <c r="BW158" s="190">
        <f>IF(AND(ISNUMBER(BW157),ISNUMBER(BW100)),IFERROR(BW157/BW100,""),"")</f>
        <v/>
      </c>
      <c r="BX158" s="190">
        <f>IF(AND(ISNUMBER(BX157),ISNUMBER(BX100)),IFERROR(BX157/BX100,""),"")</f>
        <v/>
      </c>
      <c r="BY158" s="181">
        <f>IF(AND(ISNUMBER(BY157),ISNUMBER(BY100)),IFERROR(BY157/BY100,""),"")</f>
        <v/>
      </c>
      <c r="BZ158" s="181">
        <f>IF(AND(ISNUMBER(BZ157),ISNUMBER(BZ100)),IFERROR(BZ157/BZ100,""),"")</f>
        <v/>
      </c>
      <c r="CA158" s="181">
        <f>IF(AND(ISNUMBER(CA157),ISNUMBER(CA100)),IFERROR(CA157/CA100,""),"")</f>
        <v/>
      </c>
      <c r="CB158" s="181">
        <f>IF(AND(ISNUMBER(CB157),ISNUMBER(CB100)),IFERROR(CB157/CB100,""),"")</f>
        <v/>
      </c>
      <c r="CC158" s="181">
        <f>IF(AND(ISNUMBER(CC157),ISNUMBER(CC100)),IFERROR(CC157/CC100,""),"")</f>
        <v/>
      </c>
      <c r="CD158" s="181">
        <f>IF(AND(ISNUMBER(CD157),ISNUMBER(CD100)),IFERROR(CD157/CD100,""),"")</f>
        <v/>
      </c>
      <c r="CE158" s="181">
        <f>IF(AND(ISNUMBER(CE157),ISNUMBER(CE100)),IFERROR(CE157/CE100,""),"")</f>
        <v/>
      </c>
      <c r="CF158" s="6" t="n"/>
      <c r="CH158" s="39">
        <f>IFERROR(AVERAGE(CA158,CB158,CC158,CD158,CE158),"n/m")</f>
        <v/>
      </c>
      <c r="CI158" s="39">
        <f>IFERROR(AVERAGE(BB158,BG158,BL158,BQ158,BV158),"n/m")</f>
        <v/>
      </c>
      <c r="CJ158" s="39">
        <f>IFERROR(AVERAGE(AC158,AH158,AM158,AR158,AW158,BB158,BG158,BL158,BQ158,BV158),"n/m")</f>
        <v/>
      </c>
      <c r="CK158" s="39">
        <f>IFERROR(AVERAGE(C158,D158,E158,F158,G158,H158,I158,N158,S158,X158,AC158,AH158,AM158,AR158,AW158,BB158,BG158,BL158,BQ158,BV158),"n/m")</f>
        <v/>
      </c>
    </row>
    <row r="159" ht="15" customHeight="1">
      <c r="B159" s="61" t="inlineStr">
        <is>
          <t xml:space="preserve">  Check: bridge starting net income vs SEC XBRL NetIncomeLoss (should be 0; n/p before XBRL, 2006–07)</t>
        </is>
      </c>
      <c r="C159" s="197">
        <f>IF(ISNUMBER(C160),ROUND(C140-C160,1),"n/p")</f>
        <v/>
      </c>
      <c r="D159" s="197">
        <f>IF(ISNUMBER(D160),ROUND(D140-D160,1),"n/p")</f>
        <v/>
      </c>
      <c r="E159" s="197">
        <f>IF(ISNUMBER(E160),ROUND(E140-E160,1),"n/p")</f>
        <v/>
      </c>
      <c r="F159" s="197">
        <f>IF(ISNUMBER(F160),ROUND(F140-F160,1),"n/p")</f>
        <v/>
      </c>
      <c r="G159" s="197">
        <f>IF(ISNUMBER(G160),ROUND(G140-G160,1),"n/p")</f>
        <v/>
      </c>
      <c r="H159" s="197">
        <f>IF(ISNUMBER(H160),ROUND(H140-H160,1),"n/p")</f>
        <v/>
      </c>
      <c r="I159" s="197">
        <f>IF(ISNUMBER(I160),ROUND(I140-I160,1),"n/p")</f>
        <v/>
      </c>
      <c r="J159" s="197">
        <f>IF(ISNUMBER(J160),ROUND(J140-J160,1),"n/p")</f>
        <v/>
      </c>
      <c r="K159" s="197">
        <f>IF(ISNUMBER(K160),ROUND(K140-K160,1),"n/p")</f>
        <v/>
      </c>
      <c r="L159" s="197">
        <f>IF(ISNUMBER(L160),ROUND(L140-L160,1),"n/p")</f>
        <v/>
      </c>
      <c r="M159" s="197">
        <f>IF(ISNUMBER(M160),ROUND(M140-M160,1),"n/p")</f>
        <v/>
      </c>
      <c r="N159" s="197">
        <f>IF(ISNUMBER(N160),ROUND(N140-N160,1),"n/p")</f>
        <v/>
      </c>
      <c r="O159" s="197">
        <f>IF(ISNUMBER(O160),ROUND(O140-O160,1),"n/p")</f>
        <v/>
      </c>
      <c r="P159" s="197">
        <f>IF(ISNUMBER(P160),ROUND(P140-P160,1),"n/p")</f>
        <v/>
      </c>
      <c r="Q159" s="197">
        <f>IF(ISNUMBER(Q160),ROUND(Q140-Q160,1),"n/p")</f>
        <v/>
      </c>
      <c r="R159" s="197">
        <f>IF(ISNUMBER(R160),ROUND(R140-R160,1),"n/p")</f>
        <v/>
      </c>
      <c r="S159" s="197">
        <f>IF(ISNUMBER(S160),ROUND(S140-S160,1),"n/p")</f>
        <v/>
      </c>
      <c r="T159" s="197">
        <f>IF(ISNUMBER(T160),ROUND(T140-T160,1),"n/p")</f>
        <v/>
      </c>
      <c r="U159" s="197">
        <f>IF(ISNUMBER(U160),ROUND(U140-U160,1),"n/p")</f>
        <v/>
      </c>
      <c r="V159" s="197">
        <f>IF(ISNUMBER(V160),ROUND(V140-V160,1),"n/p")</f>
        <v/>
      </c>
      <c r="W159" s="197">
        <f>IF(ISNUMBER(W160),ROUND(W140-W160,1),"n/p")</f>
        <v/>
      </c>
      <c r="X159" s="197">
        <f>IF(ISNUMBER(X160),ROUND(X140-X160,1),"n/p")</f>
        <v/>
      </c>
      <c r="Y159" s="197">
        <f>IF(ISNUMBER(Y160),ROUND(Y140-Y160,1),"n/p")</f>
        <v/>
      </c>
      <c r="Z159" s="197">
        <f>IF(ISNUMBER(Z160),ROUND(Z140-Z160,1),"n/p")</f>
        <v/>
      </c>
      <c r="AA159" s="197">
        <f>IF(ISNUMBER(AA160),ROUND(AA140-AA160,1),"n/p")</f>
        <v/>
      </c>
      <c r="AB159" s="197">
        <f>IF(ISNUMBER(AB160),ROUND(AB140-AB160,1),"n/p")</f>
        <v/>
      </c>
      <c r="AC159" s="197">
        <f>IF(ISNUMBER(AC160),ROUND(AC140-AC160,1),"n/p")</f>
        <v/>
      </c>
      <c r="AD159" s="197">
        <f>IF(ISNUMBER(AD160),ROUND(AD140-AD160,1),"n/p")</f>
        <v/>
      </c>
      <c r="AE159" s="197">
        <f>IF(ISNUMBER(AE160),ROUND(AE140-AE160,1),"n/p")</f>
        <v/>
      </c>
      <c r="AF159" s="197">
        <f>IF(ISNUMBER(AF160),ROUND(AF140-AF160,1),"n/p")</f>
        <v/>
      </c>
      <c r="AG159" s="197">
        <f>IF(ISNUMBER(AG160),ROUND(AG140-AG160,1),"n/p")</f>
        <v/>
      </c>
      <c r="AH159" s="197">
        <f>IF(ISNUMBER(AH160),ROUND(AH140-AH160,1),"n/p")</f>
        <v/>
      </c>
      <c r="AI159" s="197">
        <f>IF(ISNUMBER(AI160),ROUND(AI140-AI160,1),"n/p")</f>
        <v/>
      </c>
      <c r="AJ159" s="197">
        <f>IF(ISNUMBER(AJ160),ROUND(AJ140-AJ160,1),"n/p")</f>
        <v/>
      </c>
      <c r="AK159" s="197">
        <f>IF(ISNUMBER(AK160),ROUND(AK140-AK160,1),"n/p")</f>
        <v/>
      </c>
      <c r="AL159" s="197">
        <f>IF(ISNUMBER(AL160),ROUND(AL140-AL160,1),"n/p")</f>
        <v/>
      </c>
      <c r="AM159" s="197">
        <f>IF(ISNUMBER(AM160),ROUND(AM140-AM160,1),"n/p")</f>
        <v/>
      </c>
      <c r="AN159" s="197">
        <f>IF(ISNUMBER(AN160),ROUND(AN140-AN160,1),"n/p")</f>
        <v/>
      </c>
      <c r="AO159" s="197">
        <f>IF(ISNUMBER(AO160),ROUND(AO140-AO160,1),"n/p")</f>
        <v/>
      </c>
      <c r="AP159" s="197">
        <f>IF(ISNUMBER(AP160),ROUND(AP140-AP160,1),"n/p")</f>
        <v/>
      </c>
      <c r="AQ159" s="197">
        <f>IF(ISNUMBER(AQ160),ROUND(AQ140-AQ160,1),"n/p")</f>
        <v/>
      </c>
      <c r="AR159" s="197">
        <f>IF(ISNUMBER(AR160),ROUND(AR140-AR160,1),"n/p")</f>
        <v/>
      </c>
      <c r="AS159" s="197">
        <f>IF(ISNUMBER(AS160),ROUND(AS140-AS160,1),"n/p")</f>
        <v/>
      </c>
      <c r="AT159" s="197">
        <f>IF(ISNUMBER(AT160),ROUND(AT140-AT160,1),"n/p")</f>
        <v/>
      </c>
      <c r="AU159" s="197">
        <f>IF(ISNUMBER(AU160),ROUND(AU140-AU160,1),"n/p")</f>
        <v/>
      </c>
      <c r="AV159" s="197">
        <f>IF(ISNUMBER(AV160),ROUND(AV140-AV160,1),"n/p")</f>
        <v/>
      </c>
      <c r="AW159" s="197">
        <f>IF(ISNUMBER(AW160),ROUND(AW140-AW160,1),"n/p")</f>
        <v/>
      </c>
      <c r="AX159" s="197">
        <f>IF(ISNUMBER(AX160),ROUND(AX140-AX160,1),"n/p")</f>
        <v/>
      </c>
      <c r="AY159" s="197">
        <f>IF(ISNUMBER(AY160),ROUND(AY140-AY160,1),"n/p")</f>
        <v/>
      </c>
      <c r="AZ159" s="197">
        <f>IF(ISNUMBER(AZ160),ROUND(AZ140-AZ160,1),"n/p")</f>
        <v/>
      </c>
      <c r="BA159" s="197">
        <f>IF(ISNUMBER(BA160),ROUND(BA140-BA160,1),"n/p")</f>
        <v/>
      </c>
      <c r="BB159" s="197">
        <f>IF(ISNUMBER(BB160),ROUND(BB140-BB160,1),"n/p")</f>
        <v/>
      </c>
      <c r="BC159" s="197">
        <f>IF(ISNUMBER(BC160),ROUND(BC140-BC160,1),"n/p")</f>
        <v/>
      </c>
      <c r="BD159" s="197">
        <f>IF(ISNUMBER(BD160),ROUND(BD140-BD160,1),"n/p")</f>
        <v/>
      </c>
      <c r="BE159" s="197">
        <f>IF(ISNUMBER(BE160),ROUND(BE140-BE160,1),"n/p")</f>
        <v/>
      </c>
      <c r="BF159" s="197">
        <f>IF(ISNUMBER(BF160),ROUND(BF140-BF160,1),"n/p")</f>
        <v/>
      </c>
      <c r="BG159" s="197">
        <f>IF(ISNUMBER(BG160),ROUND(BG140-BG160,1),"n/p")</f>
        <v/>
      </c>
      <c r="BH159" s="197">
        <f>IF(ISNUMBER(BH160),ROUND(BH140-BH160,1),"n/p")</f>
        <v/>
      </c>
      <c r="BI159" s="197">
        <f>IF(ISNUMBER(BI160),ROUND(BI140-BI160,1),"n/p")</f>
        <v/>
      </c>
      <c r="BJ159" s="197">
        <f>IF(ISNUMBER(BJ160),ROUND(BJ140-BJ160,1),"n/p")</f>
        <v/>
      </c>
      <c r="BK159" s="197">
        <f>IF(ISNUMBER(BK160),ROUND(BK140-BK160,1),"n/p")</f>
        <v/>
      </c>
      <c r="BL159" s="197">
        <f>IF(ISNUMBER(BL160),ROUND(BL140-BL160,1),"n/p")</f>
        <v/>
      </c>
      <c r="BM159" s="197">
        <f>IF(ISNUMBER(BM160),ROUND(BM140-BM160,1),"n/p")</f>
        <v/>
      </c>
      <c r="BN159" s="197">
        <f>IF(ISNUMBER(BN160),ROUND(BN140-BN160,1),"n/p")</f>
        <v/>
      </c>
      <c r="BO159" s="197">
        <f>IF(ISNUMBER(BO160),ROUND(BO140-BO160,1),"n/p")</f>
        <v/>
      </c>
      <c r="BP159" s="197">
        <f>IF(ISNUMBER(BP160),ROUND(BP140-BP160,1),"n/p")</f>
        <v/>
      </c>
      <c r="BQ159" s="197">
        <f>IF(ISNUMBER(BQ160),ROUND(BQ140-BQ160,1),"n/p")</f>
        <v/>
      </c>
      <c r="BR159" s="197">
        <f>IF(ISNUMBER(BR160),ROUND(BR140-BR160,1),"n/p")</f>
        <v/>
      </c>
      <c r="BS159" s="197">
        <f>IF(ISNUMBER(BS160),ROUND(BS140-BS160,1),"n/p")</f>
        <v/>
      </c>
      <c r="BT159" s="197">
        <f>IF(ISNUMBER(BT160),ROUND(BT140-BT160,1),"n/p")</f>
        <v/>
      </c>
      <c r="BU159" s="197">
        <f>IF(ISNUMBER(BU160),ROUND(BU140-BU160,1),"n/p")</f>
        <v/>
      </c>
      <c r="BV159" s="197">
        <f>IF(ISNUMBER(BV160),ROUND(BV140-BV160,1),"n/p")</f>
        <v/>
      </c>
      <c r="BW159" s="197">
        <f>IF(ISNUMBER(BW160),ROUND(BW140-BW160,1),"n/p")</f>
        <v/>
      </c>
      <c r="BX159" s="197">
        <f>IF(ISNUMBER(BX160),ROUND(BX140-BX160,1),"n/p")</f>
        <v/>
      </c>
      <c r="BY159" s="6" t="n"/>
      <c r="BZ159" s="6" t="n"/>
      <c r="CA159" s="6" t="n"/>
      <c r="CB159" s="6" t="n"/>
      <c r="CC159" s="6" t="n"/>
      <c r="CD159" s="6" t="n"/>
      <c r="CE159" s="6" t="n"/>
      <c r="CF159" s="6" t="n"/>
    </row>
    <row r="160" ht="15" customHeight="1">
      <c r="B160" s="42" t="inlineStr">
        <is>
          <t xml:space="preserve">  Memo: net income — SEC XBRL (as originally filed)</t>
        </is>
      </c>
      <c r="C160" s="36" t="n"/>
      <c r="D160" s="36" t="n"/>
      <c r="E160" s="174" t="n">
        <v>68.67700000000001</v>
      </c>
      <c r="F160" s="174" t="n">
        <v>34.871</v>
      </c>
      <c r="G160" s="174" t="n">
        <v>75.651</v>
      </c>
      <c r="H160" s="174" t="n">
        <v>139.47</v>
      </c>
      <c r="I160" s="174" t="n">
        <v>169.452</v>
      </c>
      <c r="J160" s="174" t="n">
        <v>40.553</v>
      </c>
      <c r="K160" s="174" t="n">
        <v>58.255</v>
      </c>
      <c r="L160" s="174" t="n">
        <v>60.149</v>
      </c>
      <c r="M160" s="174" t="n">
        <v>47.15600000000001</v>
      </c>
      <c r="N160" s="174" t="n">
        <v>206.113</v>
      </c>
      <c r="O160" s="174" t="n">
        <v>45.887</v>
      </c>
      <c r="P160" s="174" t="n">
        <v>73.849</v>
      </c>
      <c r="Q160" s="174" t="n">
        <v>77.90900000000001</v>
      </c>
      <c r="R160" s="174" t="n">
        <v>69.869</v>
      </c>
      <c r="S160" s="174" t="n">
        <v>267.514</v>
      </c>
      <c r="T160" s="174" t="n">
        <v>62.524</v>
      </c>
      <c r="U160" s="174" t="n">
        <v>85.574</v>
      </c>
      <c r="V160" s="174" t="n">
        <v>84.36799999999999</v>
      </c>
      <c r="W160" s="174" t="n">
        <v>72.22399999999999</v>
      </c>
      <c r="X160" s="174" t="n">
        <v>304.69</v>
      </c>
      <c r="Y160" s="174" t="n">
        <v>60.285</v>
      </c>
      <c r="Z160" s="174" t="n">
        <v>81.38800000000001</v>
      </c>
      <c r="AA160" s="174" t="n">
        <v>85.581</v>
      </c>
      <c r="AB160" s="174" t="n">
        <v>68.511</v>
      </c>
      <c r="AC160" s="174" t="n">
        <v>295.765</v>
      </c>
      <c r="AD160" s="174" t="n">
        <v>65.792</v>
      </c>
      <c r="AE160" s="174" t="n">
        <v>98.41800000000001</v>
      </c>
      <c r="AF160" s="174" t="n">
        <v>102.314</v>
      </c>
      <c r="AG160" s="174" t="n">
        <v>197.25</v>
      </c>
      <c r="AH160" s="174" t="n">
        <v>463.774</v>
      </c>
      <c r="AI160" s="174" t="n">
        <v>109.333</v>
      </c>
      <c r="AJ160" s="174" t="n">
        <v>163.434</v>
      </c>
      <c r="AK160" s="174" t="n">
        <v>173.442</v>
      </c>
      <c r="AL160" s="174" t="n">
        <v>159.459</v>
      </c>
      <c r="AM160" s="174" t="n">
        <v>605.668</v>
      </c>
      <c r="AN160" s="174" t="n">
        <v>133.323</v>
      </c>
      <c r="AO160" s="174" t="n">
        <v>174.072</v>
      </c>
      <c r="AP160" s="174" t="n">
        <v>164.099</v>
      </c>
      <c r="AQ160" s="174" t="n">
        <v>144.024</v>
      </c>
      <c r="AR160" s="174" t="n">
        <v>615.518</v>
      </c>
      <c r="AS160" s="174" t="n">
        <v>133.177</v>
      </c>
      <c r="AT160" s="174" t="n">
        <v>147.805</v>
      </c>
      <c r="AU160" s="174" t="n">
        <v>201.868</v>
      </c>
      <c r="AV160" s="174" t="n">
        <v>189.832</v>
      </c>
      <c r="AW160" s="174" t="n">
        <v>672.682</v>
      </c>
      <c r="AX160" s="174" t="n">
        <v>199.359</v>
      </c>
      <c r="AY160" s="174" t="n">
        <v>269.576</v>
      </c>
      <c r="AZ160" s="174" t="n">
        <v>286.634</v>
      </c>
      <c r="BA160" s="174" t="n">
        <v>278.806</v>
      </c>
      <c r="BB160" s="174" t="n">
        <v>1034.375</v>
      </c>
      <c r="BC160" s="174" t="n">
        <v>299.751</v>
      </c>
      <c r="BD160" s="174" t="n">
        <v>376.078</v>
      </c>
      <c r="BE160" s="174" t="n">
        <v>377.401</v>
      </c>
      <c r="BF160" s="174" t="n">
        <v>323.9290000000001</v>
      </c>
      <c r="BG160" s="174" t="n">
        <v>1377.159</v>
      </c>
      <c r="BH160" s="174" t="n">
        <v>285.038</v>
      </c>
      <c r="BI160" s="174" t="n">
        <v>292.362</v>
      </c>
      <c r="BJ160" s="174" t="n">
        <v>339.287</v>
      </c>
      <c r="BK160" s="174" t="n">
        <v>322.8149999999999</v>
      </c>
      <c r="BL160" s="174" t="n">
        <v>1239.502</v>
      </c>
      <c r="BM160" s="174" t="n">
        <v>292.304</v>
      </c>
      <c r="BN160" s="174" t="n">
        <v>322.045</v>
      </c>
      <c r="BO160" s="174" t="n">
        <v>308.58</v>
      </c>
      <c r="BP160" s="174" t="n">
        <v>263.1440000000001</v>
      </c>
      <c r="BQ160" s="174" t="n">
        <v>1186.073</v>
      </c>
      <c r="BR160" s="174" t="n">
        <v>254.66</v>
      </c>
      <c r="BS160" s="174" t="n">
        <v>268.626</v>
      </c>
      <c r="BT160" s="174" t="n">
        <v>270.947</v>
      </c>
      <c r="BU160" s="174" t="n">
        <v>229.47</v>
      </c>
      <c r="BV160" s="174" t="n">
        <v>1023.703</v>
      </c>
      <c r="BW160" s="174" t="n">
        <v>238.258</v>
      </c>
      <c r="BX160" s="174" t="n">
        <v>350.601</v>
      </c>
      <c r="BY160" s="6" t="n"/>
      <c r="BZ160" s="6" t="n"/>
      <c r="CA160" s="6" t="n"/>
      <c r="CB160" s="6" t="n"/>
      <c r="CC160" s="6" t="n"/>
      <c r="CD160" s="6" t="n"/>
      <c r="CE160" s="6" t="n"/>
      <c r="CF160" s="6" t="n"/>
    </row>
    <row r="161" ht="15" customHeight="1">
      <c r="B161" s="67" t="inlineStr">
        <is>
          <t xml:space="preserve">  Definition basis (model definition; no company-published Adjusted EBITDA)</t>
        </is>
      </c>
      <c r="C161" s="185" t="inlineStr">
        <is>
          <t>Model definition: EBITDA = net income + tax + net interest + other non-op + D&amp;A; Adjusted excludes net (gain) loss on disposal of P&amp;E and company-named one-offs</t>
        </is>
      </c>
      <c r="J161" s="68" t="n"/>
      <c r="AG161" s="185" t="inlineStr">
        <is>
          <t>Q4-17: + $9.8m special bonus to non-executive employees after the Tax Cuts and Jobs Act (SWB)</t>
        </is>
      </c>
      <c r="AJ161" s="68" t="n"/>
      <c r="AN161" s="68" t="n"/>
      <c r="BA161" s="68" t="n"/>
      <c r="BE161" s="185" t="inlineStr">
        <is>
          <t>Q3-22: − $15.8m one-time SWB reduction (termination of the Executive Chairman employment agreement)</t>
        </is>
      </c>
      <c r="BM161" s="68" t="n"/>
      <c r="BT161" s="68" t="n"/>
      <c r="BY161" s="6" t="n"/>
      <c r="BZ161" s="6" t="n"/>
      <c r="CA161" s="6" t="n"/>
      <c r="CB161" s="6" t="n"/>
      <c r="CC161" s="6" t="n"/>
      <c r="CD161" s="6" t="n"/>
      <c r="CE161" s="6" t="n"/>
      <c r="CF161" s="20" t="inlineStr">
        <is>
          <t>Definition notes are flagged in the column where they take effect (cell comment gives the detail).</t>
        </is>
      </c>
    </row>
    <row r="162" ht="15" customHeight="1">
      <c r="B162" s="26" t="inlineStr">
        <is>
          <t>To adjusted EBIT:</t>
        </is>
      </c>
      <c r="CF162" s="6" t="n"/>
    </row>
    <row r="163" ht="15" customHeight="1">
      <c r="B163" s="26" t="inlineStr">
        <is>
          <t xml:space="preserve">  (−) Depreciation &amp; amortization</t>
        </is>
      </c>
      <c r="C163" s="194">
        <f>IF(ISNUMBER(C147),-C147,"")</f>
        <v/>
      </c>
      <c r="D163" s="194">
        <f>IF(ISNUMBER(D147),-D147,"")</f>
        <v/>
      </c>
      <c r="E163" s="194">
        <f>IF(ISNUMBER(E147),-E147,"")</f>
        <v/>
      </c>
      <c r="F163" s="194">
        <f>IF(ISNUMBER(F147),-F147,"")</f>
        <v/>
      </c>
      <c r="G163" s="194">
        <f>IF(ISNUMBER(G147),-G147,"")</f>
        <v/>
      </c>
      <c r="H163" s="194">
        <f>IF(ISNUMBER(H147),-H147,"")</f>
        <v/>
      </c>
      <c r="I163" s="194">
        <f>IF(ISNUMBER(I147),-I147,"")</f>
        <v/>
      </c>
      <c r="J163" s="194">
        <f>IF(ISNUMBER(J147),-J147,"")</f>
        <v/>
      </c>
      <c r="K163" s="194">
        <f>IF(ISNUMBER(K147),-K147,"")</f>
        <v/>
      </c>
      <c r="L163" s="194">
        <f>IF(ISNUMBER(L147),-L147,"")</f>
        <v/>
      </c>
      <c r="M163" s="194">
        <f>IF(ISNUMBER(M147),-M147,"")</f>
        <v/>
      </c>
      <c r="N163" s="194">
        <f>IF(ISNUMBER(N147),-N147,"")</f>
        <v/>
      </c>
      <c r="O163" s="194">
        <f>IF(ISNUMBER(O147),-O147,"")</f>
        <v/>
      </c>
      <c r="P163" s="194">
        <f>IF(ISNUMBER(P147),-P147,"")</f>
        <v/>
      </c>
      <c r="Q163" s="194">
        <f>IF(ISNUMBER(Q147),-Q147,"")</f>
        <v/>
      </c>
      <c r="R163" s="194">
        <f>IF(ISNUMBER(R147),-R147,"")</f>
        <v/>
      </c>
      <c r="S163" s="194">
        <f>IF(ISNUMBER(S147),-S147,"")</f>
        <v/>
      </c>
      <c r="T163" s="194">
        <f>IF(ISNUMBER(T147),-T147,"")</f>
        <v/>
      </c>
      <c r="U163" s="194">
        <f>IF(ISNUMBER(U147),-U147,"")</f>
        <v/>
      </c>
      <c r="V163" s="194">
        <f>IF(ISNUMBER(V147),-V147,"")</f>
        <v/>
      </c>
      <c r="W163" s="194">
        <f>IF(ISNUMBER(W147),-W147,"")</f>
        <v/>
      </c>
      <c r="X163" s="194">
        <f>IF(ISNUMBER(X147),-X147,"")</f>
        <v/>
      </c>
      <c r="Y163" s="194">
        <f>IF(ISNUMBER(Y147),-Y147,"")</f>
        <v/>
      </c>
      <c r="Z163" s="194">
        <f>IF(ISNUMBER(Z147),-Z147,"")</f>
        <v/>
      </c>
      <c r="AA163" s="194">
        <f>IF(ISNUMBER(AA147),-AA147,"")</f>
        <v/>
      </c>
      <c r="AB163" s="194">
        <f>IF(ISNUMBER(AB147),-AB147,"")</f>
        <v/>
      </c>
      <c r="AC163" s="194">
        <f>IF(ISNUMBER(AC147),-AC147,"")</f>
        <v/>
      </c>
      <c r="AD163" s="194">
        <f>IF(ISNUMBER(AD147),-AD147,"")</f>
        <v/>
      </c>
      <c r="AE163" s="194">
        <f>IF(ISNUMBER(AE147),-AE147,"")</f>
        <v/>
      </c>
      <c r="AF163" s="194">
        <f>IF(ISNUMBER(AF147),-AF147,"")</f>
        <v/>
      </c>
      <c r="AG163" s="194">
        <f>IF(ISNUMBER(AG147),-AG147,"")</f>
        <v/>
      </c>
      <c r="AH163" s="194">
        <f>IF(ISNUMBER(AH147),-AH147,"")</f>
        <v/>
      </c>
      <c r="AI163" s="194">
        <f>IF(ISNUMBER(AI147),-AI147,"")</f>
        <v/>
      </c>
      <c r="AJ163" s="194">
        <f>IF(ISNUMBER(AJ147),-AJ147,"")</f>
        <v/>
      </c>
      <c r="AK163" s="194">
        <f>IF(ISNUMBER(AK147),-AK147,"")</f>
        <v/>
      </c>
      <c r="AL163" s="194">
        <f>IF(ISNUMBER(AL147),-AL147,"")</f>
        <v/>
      </c>
      <c r="AM163" s="194">
        <f>IF(ISNUMBER(AM147),-AM147,"")</f>
        <v/>
      </c>
      <c r="AN163" s="194">
        <f>IF(ISNUMBER(AN147),-AN147,"")</f>
        <v/>
      </c>
      <c r="AO163" s="194">
        <f>IF(ISNUMBER(AO147),-AO147,"")</f>
        <v/>
      </c>
      <c r="AP163" s="194">
        <f>IF(ISNUMBER(AP147),-AP147,"")</f>
        <v/>
      </c>
      <c r="AQ163" s="194">
        <f>IF(ISNUMBER(AQ147),-AQ147,"")</f>
        <v/>
      </c>
      <c r="AR163" s="194">
        <f>IF(ISNUMBER(AR147),-AR147,"")</f>
        <v/>
      </c>
      <c r="AS163" s="194">
        <f>IF(ISNUMBER(AS147),-AS147,"")</f>
        <v/>
      </c>
      <c r="AT163" s="194">
        <f>IF(ISNUMBER(AT147),-AT147,"")</f>
        <v/>
      </c>
      <c r="AU163" s="194">
        <f>IF(ISNUMBER(AU147),-AU147,"")</f>
        <v/>
      </c>
      <c r="AV163" s="194">
        <f>IF(ISNUMBER(AV147),-AV147,"")</f>
        <v/>
      </c>
      <c r="AW163" s="194">
        <f>IF(ISNUMBER(AW147),-AW147,"")</f>
        <v/>
      </c>
      <c r="AX163" s="194">
        <f>IF(ISNUMBER(AX147),-AX147,"")</f>
        <v/>
      </c>
      <c r="AY163" s="194">
        <f>IF(ISNUMBER(AY147),-AY147,"")</f>
        <v/>
      </c>
      <c r="AZ163" s="194">
        <f>IF(ISNUMBER(AZ147),-AZ147,"")</f>
        <v/>
      </c>
      <c r="BA163" s="194">
        <f>IF(ISNUMBER(BA147),-BA147,"")</f>
        <v/>
      </c>
      <c r="BB163" s="194">
        <f>IF(ISNUMBER(BB147),-BB147,"")</f>
        <v/>
      </c>
      <c r="BC163" s="194">
        <f>IF(ISNUMBER(BC147),-BC147,"")</f>
        <v/>
      </c>
      <c r="BD163" s="194">
        <f>IF(ISNUMBER(BD147),-BD147,"")</f>
        <v/>
      </c>
      <c r="BE163" s="194">
        <f>IF(ISNUMBER(BE147),-BE147,"")</f>
        <v/>
      </c>
      <c r="BF163" s="194">
        <f>IF(ISNUMBER(BF147),-BF147,"")</f>
        <v/>
      </c>
      <c r="BG163" s="194">
        <f>IF(ISNUMBER(BG147),-BG147,"")</f>
        <v/>
      </c>
      <c r="BH163" s="194">
        <f>IF(ISNUMBER(BH147),-BH147,"")</f>
        <v/>
      </c>
      <c r="BI163" s="194">
        <f>IF(ISNUMBER(BI147),-BI147,"")</f>
        <v/>
      </c>
      <c r="BJ163" s="194">
        <f>IF(ISNUMBER(BJ147),-BJ147,"")</f>
        <v/>
      </c>
      <c r="BK163" s="194">
        <f>IF(ISNUMBER(BK147),-BK147,"")</f>
        <v/>
      </c>
      <c r="BL163" s="194">
        <f>IF(ISNUMBER(BL147),-BL147,"")</f>
        <v/>
      </c>
      <c r="BM163" s="194">
        <f>IF(ISNUMBER(BM147),-BM147,"")</f>
        <v/>
      </c>
      <c r="BN163" s="194">
        <f>IF(ISNUMBER(BN147),-BN147,"")</f>
        <v/>
      </c>
      <c r="BO163" s="194">
        <f>IF(ISNUMBER(BO147),-BO147,"")</f>
        <v/>
      </c>
      <c r="BP163" s="194">
        <f>IF(ISNUMBER(BP147),-BP147,"")</f>
        <v/>
      </c>
      <c r="BQ163" s="194">
        <f>IF(ISNUMBER(BQ147),-BQ147,"")</f>
        <v/>
      </c>
      <c r="BR163" s="194">
        <f>IF(ISNUMBER(BR147),-BR147,"")</f>
        <v/>
      </c>
      <c r="BS163" s="194">
        <f>IF(ISNUMBER(BS147),-BS147,"")</f>
        <v/>
      </c>
      <c r="BT163" s="194">
        <f>IF(ISNUMBER(BT147),-BT147,"")</f>
        <v/>
      </c>
      <c r="BU163" s="194">
        <f>IF(ISNUMBER(BU147),-BU147,"")</f>
        <v/>
      </c>
      <c r="BV163" s="194">
        <f>IF(ISNUMBER(BV147),-BV147,"")</f>
        <v/>
      </c>
      <c r="BW163" s="194">
        <f>IF(ISNUMBER(BW147),-BW147,"")</f>
        <v/>
      </c>
      <c r="BX163" s="194">
        <f>IF(ISNUMBER(BX147),-BX147,"")</f>
        <v/>
      </c>
      <c r="BY163" s="176">
        <f>IF(ISNUMBER(BY147),-BY147,"")</f>
        <v/>
      </c>
      <c r="BZ163" s="176">
        <f>IF(ISNUMBER(BZ147),-BZ147,"")</f>
        <v/>
      </c>
      <c r="CA163" s="176">
        <f>IF(ISNUMBER(CA147),-CA147,"")</f>
        <v/>
      </c>
      <c r="CB163" s="176">
        <f>IF(ISNUMBER(CB147),-CB147,"")</f>
        <v/>
      </c>
      <c r="CC163" s="176">
        <f>IF(ISNUMBER(CC147),-CC147,"")</f>
        <v/>
      </c>
      <c r="CD163" s="176">
        <f>IF(ISNUMBER(CD147),-CD147,"")</f>
        <v/>
      </c>
      <c r="CE163" s="176">
        <f>IF(ISNUMBER(CE147),-CE147,"")</f>
        <v/>
      </c>
      <c r="CF163" s="20" t="n"/>
    </row>
    <row r="164" ht="15" customHeight="1">
      <c r="B164" s="59" t="inlineStr">
        <is>
          <t xml:space="preserve">  = Adjusted EBIT (model; adjusted operating income)</t>
        </is>
      </c>
      <c r="C164" s="196">
        <f>IF(AND(ISNUMBER(C157),ISNUMBER(C163)),C157+C163,"")</f>
        <v/>
      </c>
      <c r="D164" s="196">
        <f>IF(AND(ISNUMBER(D157),ISNUMBER(D163)),D157+D163,"")</f>
        <v/>
      </c>
      <c r="E164" s="196">
        <f>IF(AND(ISNUMBER(E157),ISNUMBER(E163)),E157+E163,"")</f>
        <v/>
      </c>
      <c r="F164" s="196">
        <f>IF(AND(ISNUMBER(F157),ISNUMBER(F163)),F157+F163,"")</f>
        <v/>
      </c>
      <c r="G164" s="196">
        <f>IF(AND(ISNUMBER(G157),ISNUMBER(G163)),G157+G163,"")</f>
        <v/>
      </c>
      <c r="H164" s="196">
        <f>IF(AND(ISNUMBER(H157),ISNUMBER(H163)),H157+H163,"")</f>
        <v/>
      </c>
      <c r="I164" s="196">
        <f>IF(AND(ISNUMBER(I157),ISNUMBER(I163)),I157+I163,"")</f>
        <v/>
      </c>
      <c r="J164" s="196">
        <f>IF(AND(ISNUMBER(J157),ISNUMBER(J163)),J157+J163,"")</f>
        <v/>
      </c>
      <c r="K164" s="196">
        <f>IF(AND(ISNUMBER(K157),ISNUMBER(K163)),K157+K163,"")</f>
        <v/>
      </c>
      <c r="L164" s="196">
        <f>IF(AND(ISNUMBER(L157),ISNUMBER(L163)),L157+L163,"")</f>
        <v/>
      </c>
      <c r="M164" s="196">
        <f>IF(AND(ISNUMBER(M157),ISNUMBER(M163)),M157+M163,"")</f>
        <v/>
      </c>
      <c r="N164" s="196">
        <f>IF(AND(ISNUMBER(N157),ISNUMBER(N163)),N157+N163,"")</f>
        <v/>
      </c>
      <c r="O164" s="196">
        <f>IF(AND(ISNUMBER(O157),ISNUMBER(O163)),O157+O163,"")</f>
        <v/>
      </c>
      <c r="P164" s="196">
        <f>IF(AND(ISNUMBER(P157),ISNUMBER(P163)),P157+P163,"")</f>
        <v/>
      </c>
      <c r="Q164" s="196">
        <f>IF(AND(ISNUMBER(Q157),ISNUMBER(Q163)),Q157+Q163,"")</f>
        <v/>
      </c>
      <c r="R164" s="196">
        <f>IF(AND(ISNUMBER(R157),ISNUMBER(R163)),R157+R163,"")</f>
        <v/>
      </c>
      <c r="S164" s="196">
        <f>IF(AND(ISNUMBER(S157),ISNUMBER(S163)),S157+S163,"")</f>
        <v/>
      </c>
      <c r="T164" s="196">
        <f>IF(AND(ISNUMBER(T157),ISNUMBER(T163)),T157+T163,"")</f>
        <v/>
      </c>
      <c r="U164" s="196">
        <f>IF(AND(ISNUMBER(U157),ISNUMBER(U163)),U157+U163,"")</f>
        <v/>
      </c>
      <c r="V164" s="196">
        <f>IF(AND(ISNUMBER(V157),ISNUMBER(V163)),V157+V163,"")</f>
        <v/>
      </c>
      <c r="W164" s="196">
        <f>IF(AND(ISNUMBER(W157),ISNUMBER(W163)),W157+W163,"")</f>
        <v/>
      </c>
      <c r="X164" s="196">
        <f>IF(AND(ISNUMBER(X157),ISNUMBER(X163)),X157+X163,"")</f>
        <v/>
      </c>
      <c r="Y164" s="196">
        <f>IF(AND(ISNUMBER(Y157),ISNUMBER(Y163)),Y157+Y163,"")</f>
        <v/>
      </c>
      <c r="Z164" s="196">
        <f>IF(AND(ISNUMBER(Z157),ISNUMBER(Z163)),Z157+Z163,"")</f>
        <v/>
      </c>
      <c r="AA164" s="196">
        <f>IF(AND(ISNUMBER(AA157),ISNUMBER(AA163)),AA157+AA163,"")</f>
        <v/>
      </c>
      <c r="AB164" s="196">
        <f>IF(AND(ISNUMBER(AB157),ISNUMBER(AB163)),AB157+AB163,"")</f>
        <v/>
      </c>
      <c r="AC164" s="196">
        <f>IF(AND(ISNUMBER(AC157),ISNUMBER(AC163)),AC157+AC163,"")</f>
        <v/>
      </c>
      <c r="AD164" s="196">
        <f>IF(AND(ISNUMBER(AD157),ISNUMBER(AD163)),AD157+AD163,"")</f>
        <v/>
      </c>
      <c r="AE164" s="196">
        <f>IF(AND(ISNUMBER(AE157),ISNUMBER(AE163)),AE157+AE163,"")</f>
        <v/>
      </c>
      <c r="AF164" s="196">
        <f>IF(AND(ISNUMBER(AF157),ISNUMBER(AF163)),AF157+AF163,"")</f>
        <v/>
      </c>
      <c r="AG164" s="196">
        <f>IF(AND(ISNUMBER(AG157),ISNUMBER(AG163)),AG157+AG163,"")</f>
        <v/>
      </c>
      <c r="AH164" s="196">
        <f>IF(AND(ISNUMBER(AH157),ISNUMBER(AH163)),AH157+AH163,"")</f>
        <v/>
      </c>
      <c r="AI164" s="196">
        <f>IF(AND(ISNUMBER(AI157),ISNUMBER(AI163)),AI157+AI163,"")</f>
        <v/>
      </c>
      <c r="AJ164" s="196">
        <f>IF(AND(ISNUMBER(AJ157),ISNUMBER(AJ163)),AJ157+AJ163,"")</f>
        <v/>
      </c>
      <c r="AK164" s="196">
        <f>IF(AND(ISNUMBER(AK157),ISNUMBER(AK163)),AK157+AK163,"")</f>
        <v/>
      </c>
      <c r="AL164" s="196">
        <f>IF(AND(ISNUMBER(AL157),ISNUMBER(AL163)),AL157+AL163,"")</f>
        <v/>
      </c>
      <c r="AM164" s="196">
        <f>IF(AND(ISNUMBER(AM157),ISNUMBER(AM163)),AM157+AM163,"")</f>
        <v/>
      </c>
      <c r="AN164" s="196">
        <f>IF(AND(ISNUMBER(AN157),ISNUMBER(AN163)),AN157+AN163,"")</f>
        <v/>
      </c>
      <c r="AO164" s="196">
        <f>IF(AND(ISNUMBER(AO157),ISNUMBER(AO163)),AO157+AO163,"")</f>
        <v/>
      </c>
      <c r="AP164" s="196">
        <f>IF(AND(ISNUMBER(AP157),ISNUMBER(AP163)),AP157+AP163,"")</f>
        <v/>
      </c>
      <c r="AQ164" s="196">
        <f>IF(AND(ISNUMBER(AQ157),ISNUMBER(AQ163)),AQ157+AQ163,"")</f>
        <v/>
      </c>
      <c r="AR164" s="196">
        <f>IF(AND(ISNUMBER(AR157),ISNUMBER(AR163)),AR157+AR163,"")</f>
        <v/>
      </c>
      <c r="AS164" s="196">
        <f>IF(AND(ISNUMBER(AS157),ISNUMBER(AS163)),AS157+AS163,"")</f>
        <v/>
      </c>
      <c r="AT164" s="196">
        <f>IF(AND(ISNUMBER(AT157),ISNUMBER(AT163)),AT157+AT163,"")</f>
        <v/>
      </c>
      <c r="AU164" s="196">
        <f>IF(AND(ISNUMBER(AU157),ISNUMBER(AU163)),AU157+AU163,"")</f>
        <v/>
      </c>
      <c r="AV164" s="196">
        <f>IF(AND(ISNUMBER(AV157),ISNUMBER(AV163)),AV157+AV163,"")</f>
        <v/>
      </c>
      <c r="AW164" s="196">
        <f>IF(AND(ISNUMBER(AW157),ISNUMBER(AW163)),AW157+AW163,"")</f>
        <v/>
      </c>
      <c r="AX164" s="196">
        <f>IF(AND(ISNUMBER(AX157),ISNUMBER(AX163)),AX157+AX163,"")</f>
        <v/>
      </c>
      <c r="AY164" s="196">
        <f>IF(AND(ISNUMBER(AY157),ISNUMBER(AY163)),AY157+AY163,"")</f>
        <v/>
      </c>
      <c r="AZ164" s="196">
        <f>IF(AND(ISNUMBER(AZ157),ISNUMBER(AZ163)),AZ157+AZ163,"")</f>
        <v/>
      </c>
      <c r="BA164" s="196">
        <f>IF(AND(ISNUMBER(BA157),ISNUMBER(BA163)),BA157+BA163,"")</f>
        <v/>
      </c>
      <c r="BB164" s="196">
        <f>IF(AND(ISNUMBER(BB157),ISNUMBER(BB163)),BB157+BB163,"")</f>
        <v/>
      </c>
      <c r="BC164" s="196">
        <f>IF(AND(ISNUMBER(BC157),ISNUMBER(BC163)),BC157+BC163,"")</f>
        <v/>
      </c>
      <c r="BD164" s="196">
        <f>IF(AND(ISNUMBER(BD157),ISNUMBER(BD163)),BD157+BD163,"")</f>
        <v/>
      </c>
      <c r="BE164" s="196">
        <f>IF(AND(ISNUMBER(BE157),ISNUMBER(BE163)),BE157+BE163,"")</f>
        <v/>
      </c>
      <c r="BF164" s="196">
        <f>IF(AND(ISNUMBER(BF157),ISNUMBER(BF163)),BF157+BF163,"")</f>
        <v/>
      </c>
      <c r="BG164" s="196">
        <f>IF(AND(ISNUMBER(BG157),ISNUMBER(BG163)),BG157+BG163,"")</f>
        <v/>
      </c>
      <c r="BH164" s="196">
        <f>IF(AND(ISNUMBER(BH157),ISNUMBER(BH163)),BH157+BH163,"")</f>
        <v/>
      </c>
      <c r="BI164" s="196">
        <f>IF(AND(ISNUMBER(BI157),ISNUMBER(BI163)),BI157+BI163,"")</f>
        <v/>
      </c>
      <c r="BJ164" s="196">
        <f>IF(AND(ISNUMBER(BJ157),ISNUMBER(BJ163)),BJ157+BJ163,"")</f>
        <v/>
      </c>
      <c r="BK164" s="196">
        <f>IF(AND(ISNUMBER(BK157),ISNUMBER(BK163)),BK157+BK163,"")</f>
        <v/>
      </c>
      <c r="BL164" s="196">
        <f>IF(AND(ISNUMBER(BL157),ISNUMBER(BL163)),BL157+BL163,"")</f>
        <v/>
      </c>
      <c r="BM164" s="196">
        <f>IF(AND(ISNUMBER(BM157),ISNUMBER(BM163)),BM157+BM163,"")</f>
        <v/>
      </c>
      <c r="BN164" s="196">
        <f>IF(AND(ISNUMBER(BN157),ISNUMBER(BN163)),BN157+BN163,"")</f>
        <v/>
      </c>
      <c r="BO164" s="196">
        <f>IF(AND(ISNUMBER(BO157),ISNUMBER(BO163)),BO157+BO163,"")</f>
        <v/>
      </c>
      <c r="BP164" s="196">
        <f>IF(AND(ISNUMBER(BP157),ISNUMBER(BP163)),BP157+BP163,"")</f>
        <v/>
      </c>
      <c r="BQ164" s="196">
        <f>IF(AND(ISNUMBER(BQ157),ISNUMBER(BQ163)),BQ157+BQ163,"")</f>
        <v/>
      </c>
      <c r="BR164" s="196">
        <f>IF(AND(ISNUMBER(BR157),ISNUMBER(BR163)),BR157+BR163,"")</f>
        <v/>
      </c>
      <c r="BS164" s="196">
        <f>IF(AND(ISNUMBER(BS157),ISNUMBER(BS163)),BS157+BS163,"")</f>
        <v/>
      </c>
      <c r="BT164" s="196">
        <f>IF(AND(ISNUMBER(BT157),ISNUMBER(BT163)),BT157+BT163,"")</f>
        <v/>
      </c>
      <c r="BU164" s="196">
        <f>IF(AND(ISNUMBER(BU157),ISNUMBER(BU163)),BU157+BU163,"")</f>
        <v/>
      </c>
      <c r="BV164" s="196">
        <f>IF(AND(ISNUMBER(BV157),ISNUMBER(BV163)),BV157+BV163,"")</f>
        <v/>
      </c>
      <c r="BW164" s="196">
        <f>IF(AND(ISNUMBER(BW157),ISNUMBER(BW163)),BW157+BW163,"")</f>
        <v/>
      </c>
      <c r="BX164" s="196">
        <f>IF(AND(ISNUMBER(BX157),ISNUMBER(BX163)),BX157+BX163,"")</f>
        <v/>
      </c>
      <c r="BY164" s="196">
        <f>IF(AND(ISNUMBER(BY157),ISNUMBER(BY163)),BY157+BY163,"")</f>
        <v/>
      </c>
      <c r="BZ164" s="196">
        <f>IF(AND(ISNUMBER(BZ157),ISNUMBER(BZ163)),BZ157+BZ163,"")</f>
        <v/>
      </c>
      <c r="CA164" s="196">
        <f>IF(AND(ISNUMBER(CA157),ISNUMBER(CA163)),CA157+CA163,"")</f>
        <v/>
      </c>
      <c r="CB164" s="196">
        <f>IF(AND(ISNUMBER(CB157),ISNUMBER(CB163)),CB157+CB163,"")</f>
        <v/>
      </c>
      <c r="CC164" s="196">
        <f>IF(AND(ISNUMBER(CC157),ISNUMBER(CC163)),CC157+CC163,"")</f>
        <v/>
      </c>
      <c r="CD164" s="196">
        <f>IF(AND(ISNUMBER(CD157),ISNUMBER(CD163)),CD157+CD163,"")</f>
        <v/>
      </c>
      <c r="CE164" s="196">
        <f>IF(AND(ISNUMBER(CE157),ISNUMBER(CE163)),CE157+CE163,"")</f>
        <v/>
      </c>
      <c r="CF164" s="6" t="inlineStr">
        <is>
          <t>Used for NOPAT / ROIC and the DCF.</t>
        </is>
      </c>
      <c r="CH164" s="21">
        <f>IFERROR((CE164/BV164)^(1/5)-1,"n/m")</f>
        <v/>
      </c>
      <c r="CI164" s="21">
        <f>IFERROR((BV164/AW164)^(1/5)-1,"n/m")</f>
        <v/>
      </c>
      <c r="CJ164" s="21">
        <f>IFERROR((BV164/X164)^(1/10)-1,"n/m")</f>
        <v/>
      </c>
      <c r="CK164" s="21">
        <f>IFERROR((BV164/C164)^(1/19)-1,"n/m")</f>
        <v/>
      </c>
    </row>
    <row r="165" ht="15" customHeight="1">
      <c r="B165" s="26" t="inlineStr">
        <is>
          <t xml:space="preserve">  Adjusted EBIT margin %</t>
        </is>
      </c>
      <c r="C165" s="190">
        <f>IF(AND(ISNUMBER(C164),ISNUMBER(C100)),IFERROR(C164/C100,""),"")</f>
        <v/>
      </c>
      <c r="D165" s="190">
        <f>IF(AND(ISNUMBER(D164),ISNUMBER(D100)),IFERROR(D164/D100,""),"")</f>
        <v/>
      </c>
      <c r="E165" s="190">
        <f>IF(AND(ISNUMBER(E164),ISNUMBER(E100)),IFERROR(E164/E100,""),"")</f>
        <v/>
      </c>
      <c r="F165" s="190">
        <f>IF(AND(ISNUMBER(F164),ISNUMBER(F100)),IFERROR(F164/F100,""),"")</f>
        <v/>
      </c>
      <c r="G165" s="190">
        <f>IF(AND(ISNUMBER(G164),ISNUMBER(G100)),IFERROR(G164/G100,""),"")</f>
        <v/>
      </c>
      <c r="H165" s="190">
        <f>IF(AND(ISNUMBER(H164),ISNUMBER(H100)),IFERROR(H164/H100,""),"")</f>
        <v/>
      </c>
      <c r="I165" s="190">
        <f>IF(AND(ISNUMBER(I164),ISNUMBER(I100)),IFERROR(I164/I100,""),"")</f>
        <v/>
      </c>
      <c r="J165" s="190">
        <f>IF(AND(ISNUMBER(J164),ISNUMBER(J100)),IFERROR(J164/J100,""),"")</f>
        <v/>
      </c>
      <c r="K165" s="190">
        <f>IF(AND(ISNUMBER(K164),ISNUMBER(K100)),IFERROR(K164/K100,""),"")</f>
        <v/>
      </c>
      <c r="L165" s="190">
        <f>IF(AND(ISNUMBER(L164),ISNUMBER(L100)),IFERROR(L164/L100,""),"")</f>
        <v/>
      </c>
      <c r="M165" s="190">
        <f>IF(AND(ISNUMBER(M164),ISNUMBER(M100)),IFERROR(M164/M100,""),"")</f>
        <v/>
      </c>
      <c r="N165" s="190">
        <f>IF(AND(ISNUMBER(N164),ISNUMBER(N100)),IFERROR(N164/N100,""),"")</f>
        <v/>
      </c>
      <c r="O165" s="190">
        <f>IF(AND(ISNUMBER(O164),ISNUMBER(O100)),IFERROR(O164/O100,""),"")</f>
        <v/>
      </c>
      <c r="P165" s="190">
        <f>IF(AND(ISNUMBER(P164),ISNUMBER(P100)),IFERROR(P164/P100,""),"")</f>
        <v/>
      </c>
      <c r="Q165" s="190">
        <f>IF(AND(ISNUMBER(Q164),ISNUMBER(Q100)),IFERROR(Q164/Q100,""),"")</f>
        <v/>
      </c>
      <c r="R165" s="190">
        <f>IF(AND(ISNUMBER(R164),ISNUMBER(R100)),IFERROR(R164/R100,""),"")</f>
        <v/>
      </c>
      <c r="S165" s="190">
        <f>IF(AND(ISNUMBER(S164),ISNUMBER(S100)),IFERROR(S164/S100,""),"")</f>
        <v/>
      </c>
      <c r="T165" s="190">
        <f>IF(AND(ISNUMBER(T164),ISNUMBER(T100)),IFERROR(T164/T100,""),"")</f>
        <v/>
      </c>
      <c r="U165" s="190">
        <f>IF(AND(ISNUMBER(U164),ISNUMBER(U100)),IFERROR(U164/U100,""),"")</f>
        <v/>
      </c>
      <c r="V165" s="190">
        <f>IF(AND(ISNUMBER(V164),ISNUMBER(V100)),IFERROR(V164/V100,""),"")</f>
        <v/>
      </c>
      <c r="W165" s="190">
        <f>IF(AND(ISNUMBER(W164),ISNUMBER(W100)),IFERROR(W164/W100,""),"")</f>
        <v/>
      </c>
      <c r="X165" s="190">
        <f>IF(AND(ISNUMBER(X164),ISNUMBER(X100)),IFERROR(X164/X100,""),"")</f>
        <v/>
      </c>
      <c r="Y165" s="190">
        <f>IF(AND(ISNUMBER(Y164),ISNUMBER(Y100)),IFERROR(Y164/Y100,""),"")</f>
        <v/>
      </c>
      <c r="Z165" s="190">
        <f>IF(AND(ISNUMBER(Z164),ISNUMBER(Z100)),IFERROR(Z164/Z100,""),"")</f>
        <v/>
      </c>
      <c r="AA165" s="190">
        <f>IF(AND(ISNUMBER(AA164),ISNUMBER(AA100)),IFERROR(AA164/AA100,""),"")</f>
        <v/>
      </c>
      <c r="AB165" s="190">
        <f>IF(AND(ISNUMBER(AB164),ISNUMBER(AB100)),IFERROR(AB164/AB100,""),"")</f>
        <v/>
      </c>
      <c r="AC165" s="190">
        <f>IF(AND(ISNUMBER(AC164),ISNUMBER(AC100)),IFERROR(AC164/AC100,""),"")</f>
        <v/>
      </c>
      <c r="AD165" s="190">
        <f>IF(AND(ISNUMBER(AD164),ISNUMBER(AD100)),IFERROR(AD164/AD100,""),"")</f>
        <v/>
      </c>
      <c r="AE165" s="190">
        <f>IF(AND(ISNUMBER(AE164),ISNUMBER(AE100)),IFERROR(AE164/AE100,""),"")</f>
        <v/>
      </c>
      <c r="AF165" s="190">
        <f>IF(AND(ISNUMBER(AF164),ISNUMBER(AF100)),IFERROR(AF164/AF100,""),"")</f>
        <v/>
      </c>
      <c r="AG165" s="190">
        <f>IF(AND(ISNUMBER(AG164),ISNUMBER(AG100)),IFERROR(AG164/AG100,""),"")</f>
        <v/>
      </c>
      <c r="AH165" s="190">
        <f>IF(AND(ISNUMBER(AH164),ISNUMBER(AH100)),IFERROR(AH164/AH100,""),"")</f>
        <v/>
      </c>
      <c r="AI165" s="190">
        <f>IF(AND(ISNUMBER(AI164),ISNUMBER(AI100)),IFERROR(AI164/AI100,""),"")</f>
        <v/>
      </c>
      <c r="AJ165" s="190">
        <f>IF(AND(ISNUMBER(AJ164),ISNUMBER(AJ100)),IFERROR(AJ164/AJ100,""),"")</f>
        <v/>
      </c>
      <c r="AK165" s="190">
        <f>IF(AND(ISNUMBER(AK164),ISNUMBER(AK100)),IFERROR(AK164/AK100,""),"")</f>
        <v/>
      </c>
      <c r="AL165" s="190">
        <f>IF(AND(ISNUMBER(AL164),ISNUMBER(AL100)),IFERROR(AL164/AL100,""),"")</f>
        <v/>
      </c>
      <c r="AM165" s="190">
        <f>IF(AND(ISNUMBER(AM164),ISNUMBER(AM100)),IFERROR(AM164/AM100,""),"")</f>
        <v/>
      </c>
      <c r="AN165" s="190">
        <f>IF(AND(ISNUMBER(AN164),ISNUMBER(AN100)),IFERROR(AN164/AN100,""),"")</f>
        <v/>
      </c>
      <c r="AO165" s="190">
        <f>IF(AND(ISNUMBER(AO164),ISNUMBER(AO100)),IFERROR(AO164/AO100,""),"")</f>
        <v/>
      </c>
      <c r="AP165" s="190">
        <f>IF(AND(ISNUMBER(AP164),ISNUMBER(AP100)),IFERROR(AP164/AP100,""),"")</f>
        <v/>
      </c>
      <c r="AQ165" s="190">
        <f>IF(AND(ISNUMBER(AQ164),ISNUMBER(AQ100)),IFERROR(AQ164/AQ100,""),"")</f>
        <v/>
      </c>
      <c r="AR165" s="190">
        <f>IF(AND(ISNUMBER(AR164),ISNUMBER(AR100)),IFERROR(AR164/AR100,""),"")</f>
        <v/>
      </c>
      <c r="AS165" s="190">
        <f>IF(AND(ISNUMBER(AS164),ISNUMBER(AS100)),IFERROR(AS164/AS100,""),"")</f>
        <v/>
      </c>
      <c r="AT165" s="190">
        <f>IF(AND(ISNUMBER(AT164),ISNUMBER(AT100)),IFERROR(AT164/AT100,""),"")</f>
        <v/>
      </c>
      <c r="AU165" s="190">
        <f>IF(AND(ISNUMBER(AU164),ISNUMBER(AU100)),IFERROR(AU164/AU100,""),"")</f>
        <v/>
      </c>
      <c r="AV165" s="190">
        <f>IF(AND(ISNUMBER(AV164),ISNUMBER(AV100)),IFERROR(AV164/AV100,""),"")</f>
        <v/>
      </c>
      <c r="AW165" s="190">
        <f>IF(AND(ISNUMBER(AW164),ISNUMBER(AW100)),IFERROR(AW164/AW100,""),"")</f>
        <v/>
      </c>
      <c r="AX165" s="190">
        <f>IF(AND(ISNUMBER(AX164),ISNUMBER(AX100)),IFERROR(AX164/AX100,""),"")</f>
        <v/>
      </c>
      <c r="AY165" s="190">
        <f>IF(AND(ISNUMBER(AY164),ISNUMBER(AY100)),IFERROR(AY164/AY100,""),"")</f>
        <v/>
      </c>
      <c r="AZ165" s="190">
        <f>IF(AND(ISNUMBER(AZ164),ISNUMBER(AZ100)),IFERROR(AZ164/AZ100,""),"")</f>
        <v/>
      </c>
      <c r="BA165" s="190">
        <f>IF(AND(ISNUMBER(BA164),ISNUMBER(BA100)),IFERROR(BA164/BA100,""),"")</f>
        <v/>
      </c>
      <c r="BB165" s="190">
        <f>IF(AND(ISNUMBER(BB164),ISNUMBER(BB100)),IFERROR(BB164/BB100,""),"")</f>
        <v/>
      </c>
      <c r="BC165" s="190">
        <f>IF(AND(ISNUMBER(BC164),ISNUMBER(BC100)),IFERROR(BC164/BC100,""),"")</f>
        <v/>
      </c>
      <c r="BD165" s="190">
        <f>IF(AND(ISNUMBER(BD164),ISNUMBER(BD100)),IFERROR(BD164/BD100,""),"")</f>
        <v/>
      </c>
      <c r="BE165" s="190">
        <f>IF(AND(ISNUMBER(BE164),ISNUMBER(BE100)),IFERROR(BE164/BE100,""),"")</f>
        <v/>
      </c>
      <c r="BF165" s="190">
        <f>IF(AND(ISNUMBER(BF164),ISNUMBER(BF100)),IFERROR(BF164/BF100,""),"")</f>
        <v/>
      </c>
      <c r="BG165" s="190">
        <f>IF(AND(ISNUMBER(BG164),ISNUMBER(BG100)),IFERROR(BG164/BG100,""),"")</f>
        <v/>
      </c>
      <c r="BH165" s="190">
        <f>IF(AND(ISNUMBER(BH164),ISNUMBER(BH100)),IFERROR(BH164/BH100,""),"")</f>
        <v/>
      </c>
      <c r="BI165" s="190">
        <f>IF(AND(ISNUMBER(BI164),ISNUMBER(BI100)),IFERROR(BI164/BI100,""),"")</f>
        <v/>
      </c>
      <c r="BJ165" s="190">
        <f>IF(AND(ISNUMBER(BJ164),ISNUMBER(BJ100)),IFERROR(BJ164/BJ100,""),"")</f>
        <v/>
      </c>
      <c r="BK165" s="190">
        <f>IF(AND(ISNUMBER(BK164),ISNUMBER(BK100)),IFERROR(BK164/BK100,""),"")</f>
        <v/>
      </c>
      <c r="BL165" s="190">
        <f>IF(AND(ISNUMBER(BL164),ISNUMBER(BL100)),IFERROR(BL164/BL100,""),"")</f>
        <v/>
      </c>
      <c r="BM165" s="190">
        <f>IF(AND(ISNUMBER(BM164),ISNUMBER(BM100)),IFERROR(BM164/BM100,""),"")</f>
        <v/>
      </c>
      <c r="BN165" s="190">
        <f>IF(AND(ISNUMBER(BN164),ISNUMBER(BN100)),IFERROR(BN164/BN100,""),"")</f>
        <v/>
      </c>
      <c r="BO165" s="190">
        <f>IF(AND(ISNUMBER(BO164),ISNUMBER(BO100)),IFERROR(BO164/BO100,""),"")</f>
        <v/>
      </c>
      <c r="BP165" s="190">
        <f>IF(AND(ISNUMBER(BP164),ISNUMBER(BP100)),IFERROR(BP164/BP100,""),"")</f>
        <v/>
      </c>
      <c r="BQ165" s="190">
        <f>IF(AND(ISNUMBER(BQ164),ISNUMBER(BQ100)),IFERROR(BQ164/BQ100,""),"")</f>
        <v/>
      </c>
      <c r="BR165" s="190">
        <f>IF(AND(ISNUMBER(BR164),ISNUMBER(BR100)),IFERROR(BR164/BR100,""),"")</f>
        <v/>
      </c>
      <c r="BS165" s="190">
        <f>IF(AND(ISNUMBER(BS164),ISNUMBER(BS100)),IFERROR(BS164/BS100,""),"")</f>
        <v/>
      </c>
      <c r="BT165" s="190">
        <f>IF(AND(ISNUMBER(BT164),ISNUMBER(BT100)),IFERROR(BT164/BT100,""),"")</f>
        <v/>
      </c>
      <c r="BU165" s="190">
        <f>IF(AND(ISNUMBER(BU164),ISNUMBER(BU100)),IFERROR(BU164/BU100,""),"")</f>
        <v/>
      </c>
      <c r="BV165" s="190">
        <f>IF(AND(ISNUMBER(BV164),ISNUMBER(BV100)),IFERROR(BV164/BV100,""),"")</f>
        <v/>
      </c>
      <c r="BW165" s="190">
        <f>IF(AND(ISNUMBER(BW164),ISNUMBER(BW100)),IFERROR(BW164/BW100,""),"")</f>
        <v/>
      </c>
      <c r="BX165" s="190">
        <f>IF(AND(ISNUMBER(BX164),ISNUMBER(BX100)),IFERROR(BX164/BX100,""),"")</f>
        <v/>
      </c>
      <c r="BY165" s="181">
        <f>IF(AND(ISNUMBER(BY164),ISNUMBER(BY100)),IFERROR(BY164/BY100,""),"")</f>
        <v/>
      </c>
      <c r="BZ165" s="181">
        <f>IF(AND(ISNUMBER(BZ164),ISNUMBER(BZ100)),IFERROR(BZ164/BZ100,""),"")</f>
        <v/>
      </c>
      <c r="CA165" s="181">
        <f>IF(AND(ISNUMBER(CA164),ISNUMBER(CA100)),IFERROR(CA164/CA100,""),"")</f>
        <v/>
      </c>
      <c r="CB165" s="181">
        <f>IF(AND(ISNUMBER(CB164),ISNUMBER(CB100)),IFERROR(CB164/CB100,""),"")</f>
        <v/>
      </c>
      <c r="CC165" s="181">
        <f>IF(AND(ISNUMBER(CC164),ISNUMBER(CC100)),IFERROR(CC164/CC100,""),"")</f>
        <v/>
      </c>
      <c r="CD165" s="181">
        <f>IF(AND(ISNUMBER(CD164),ISNUMBER(CD100)),IFERROR(CD164/CD100,""),"")</f>
        <v/>
      </c>
      <c r="CE165" s="181">
        <f>IF(AND(ISNUMBER(CE164),ISNUMBER(CE100)),IFERROR(CE164/CE100,""),"")</f>
        <v/>
      </c>
      <c r="CF165" s="6" t="n"/>
      <c r="CH165" s="39">
        <f>IFERROR(AVERAGE(CA165,CB165,CC165,CD165,CE165),"n/m")</f>
        <v/>
      </c>
      <c r="CI165" s="39">
        <f>IFERROR(AVERAGE(BB165,BG165,BL165,BQ165,BV165),"n/m")</f>
        <v/>
      </c>
      <c r="CJ165" s="39">
        <f>IFERROR(AVERAGE(AC165,AH165,AM165,AR165,AW165,BB165,BG165,BL165,BQ165,BV165),"n/m")</f>
        <v/>
      </c>
      <c r="CK165" s="39">
        <f>IFERROR(AVERAGE(C165,D165,E165,F165,G165,H165,I165,N165,S165,X165,AC165,AH165,AM165,AR165,AW165,BB165,BG165,BL165,BQ165,BV165),"n/m")</f>
        <v/>
      </c>
    </row>
    <row r="166" ht="15" customHeight="1">
      <c r="B166" s="42" t="inlineStr">
        <is>
          <t xml:space="preserve">  Memo: adjusted operating ratio (1 − adjusted EBIT margin)</t>
        </is>
      </c>
      <c r="C166" s="190">
        <f>IF(ISNUMBER(C165),1-C165,"")</f>
        <v/>
      </c>
      <c r="D166" s="190">
        <f>IF(ISNUMBER(D165),1-D165,"")</f>
        <v/>
      </c>
      <c r="E166" s="190">
        <f>IF(ISNUMBER(E165),1-E165,"")</f>
        <v/>
      </c>
      <c r="F166" s="190">
        <f>IF(ISNUMBER(F165),1-F165,"")</f>
        <v/>
      </c>
      <c r="G166" s="190">
        <f>IF(ISNUMBER(G165),1-G165,"")</f>
        <v/>
      </c>
      <c r="H166" s="190">
        <f>IF(ISNUMBER(H165),1-H165,"")</f>
        <v/>
      </c>
      <c r="I166" s="190">
        <f>IF(ISNUMBER(I165),1-I165,"")</f>
        <v/>
      </c>
      <c r="J166" s="190">
        <f>IF(ISNUMBER(J165),1-J165,"")</f>
        <v/>
      </c>
      <c r="K166" s="190">
        <f>IF(ISNUMBER(K165),1-K165,"")</f>
        <v/>
      </c>
      <c r="L166" s="190">
        <f>IF(ISNUMBER(L165),1-L165,"")</f>
        <v/>
      </c>
      <c r="M166" s="190">
        <f>IF(ISNUMBER(M165),1-M165,"")</f>
        <v/>
      </c>
      <c r="N166" s="190">
        <f>IF(ISNUMBER(N165),1-N165,"")</f>
        <v/>
      </c>
      <c r="O166" s="190">
        <f>IF(ISNUMBER(O165),1-O165,"")</f>
        <v/>
      </c>
      <c r="P166" s="190">
        <f>IF(ISNUMBER(P165),1-P165,"")</f>
        <v/>
      </c>
      <c r="Q166" s="190">
        <f>IF(ISNUMBER(Q165),1-Q165,"")</f>
        <v/>
      </c>
      <c r="R166" s="190">
        <f>IF(ISNUMBER(R165),1-R165,"")</f>
        <v/>
      </c>
      <c r="S166" s="190">
        <f>IF(ISNUMBER(S165),1-S165,"")</f>
        <v/>
      </c>
      <c r="T166" s="190">
        <f>IF(ISNUMBER(T165),1-T165,"")</f>
        <v/>
      </c>
      <c r="U166" s="190">
        <f>IF(ISNUMBER(U165),1-U165,"")</f>
        <v/>
      </c>
      <c r="V166" s="190">
        <f>IF(ISNUMBER(V165),1-V165,"")</f>
        <v/>
      </c>
      <c r="W166" s="190">
        <f>IF(ISNUMBER(W165),1-W165,"")</f>
        <v/>
      </c>
      <c r="X166" s="190">
        <f>IF(ISNUMBER(X165),1-X165,"")</f>
        <v/>
      </c>
      <c r="Y166" s="190">
        <f>IF(ISNUMBER(Y165),1-Y165,"")</f>
        <v/>
      </c>
      <c r="Z166" s="190">
        <f>IF(ISNUMBER(Z165),1-Z165,"")</f>
        <v/>
      </c>
      <c r="AA166" s="190">
        <f>IF(ISNUMBER(AA165),1-AA165,"")</f>
        <v/>
      </c>
      <c r="AB166" s="190">
        <f>IF(ISNUMBER(AB165),1-AB165,"")</f>
        <v/>
      </c>
      <c r="AC166" s="190">
        <f>IF(ISNUMBER(AC165),1-AC165,"")</f>
        <v/>
      </c>
      <c r="AD166" s="190">
        <f>IF(ISNUMBER(AD165),1-AD165,"")</f>
        <v/>
      </c>
      <c r="AE166" s="190">
        <f>IF(ISNUMBER(AE165),1-AE165,"")</f>
        <v/>
      </c>
      <c r="AF166" s="190">
        <f>IF(ISNUMBER(AF165),1-AF165,"")</f>
        <v/>
      </c>
      <c r="AG166" s="190">
        <f>IF(ISNUMBER(AG165),1-AG165,"")</f>
        <v/>
      </c>
      <c r="AH166" s="190">
        <f>IF(ISNUMBER(AH165),1-AH165,"")</f>
        <v/>
      </c>
      <c r="AI166" s="190">
        <f>IF(ISNUMBER(AI165),1-AI165,"")</f>
        <v/>
      </c>
      <c r="AJ166" s="190">
        <f>IF(ISNUMBER(AJ165),1-AJ165,"")</f>
        <v/>
      </c>
      <c r="AK166" s="190">
        <f>IF(ISNUMBER(AK165),1-AK165,"")</f>
        <v/>
      </c>
      <c r="AL166" s="190">
        <f>IF(ISNUMBER(AL165),1-AL165,"")</f>
        <v/>
      </c>
      <c r="AM166" s="190">
        <f>IF(ISNUMBER(AM165),1-AM165,"")</f>
        <v/>
      </c>
      <c r="AN166" s="190">
        <f>IF(ISNUMBER(AN165),1-AN165,"")</f>
        <v/>
      </c>
      <c r="AO166" s="190">
        <f>IF(ISNUMBER(AO165),1-AO165,"")</f>
        <v/>
      </c>
      <c r="AP166" s="190">
        <f>IF(ISNUMBER(AP165),1-AP165,"")</f>
        <v/>
      </c>
      <c r="AQ166" s="190">
        <f>IF(ISNUMBER(AQ165),1-AQ165,"")</f>
        <v/>
      </c>
      <c r="AR166" s="190">
        <f>IF(ISNUMBER(AR165),1-AR165,"")</f>
        <v/>
      </c>
      <c r="AS166" s="190">
        <f>IF(ISNUMBER(AS165),1-AS165,"")</f>
        <v/>
      </c>
      <c r="AT166" s="190">
        <f>IF(ISNUMBER(AT165),1-AT165,"")</f>
        <v/>
      </c>
      <c r="AU166" s="190">
        <f>IF(ISNUMBER(AU165),1-AU165,"")</f>
        <v/>
      </c>
      <c r="AV166" s="190">
        <f>IF(ISNUMBER(AV165),1-AV165,"")</f>
        <v/>
      </c>
      <c r="AW166" s="190">
        <f>IF(ISNUMBER(AW165),1-AW165,"")</f>
        <v/>
      </c>
      <c r="AX166" s="190">
        <f>IF(ISNUMBER(AX165),1-AX165,"")</f>
        <v/>
      </c>
      <c r="AY166" s="190">
        <f>IF(ISNUMBER(AY165),1-AY165,"")</f>
        <v/>
      </c>
      <c r="AZ166" s="190">
        <f>IF(ISNUMBER(AZ165),1-AZ165,"")</f>
        <v/>
      </c>
      <c r="BA166" s="190">
        <f>IF(ISNUMBER(BA165),1-BA165,"")</f>
        <v/>
      </c>
      <c r="BB166" s="190">
        <f>IF(ISNUMBER(BB165),1-BB165,"")</f>
        <v/>
      </c>
      <c r="BC166" s="190">
        <f>IF(ISNUMBER(BC165),1-BC165,"")</f>
        <v/>
      </c>
      <c r="BD166" s="190">
        <f>IF(ISNUMBER(BD165),1-BD165,"")</f>
        <v/>
      </c>
      <c r="BE166" s="190">
        <f>IF(ISNUMBER(BE165),1-BE165,"")</f>
        <v/>
      </c>
      <c r="BF166" s="190">
        <f>IF(ISNUMBER(BF165),1-BF165,"")</f>
        <v/>
      </c>
      <c r="BG166" s="190">
        <f>IF(ISNUMBER(BG165),1-BG165,"")</f>
        <v/>
      </c>
      <c r="BH166" s="190">
        <f>IF(ISNUMBER(BH165),1-BH165,"")</f>
        <v/>
      </c>
      <c r="BI166" s="190">
        <f>IF(ISNUMBER(BI165),1-BI165,"")</f>
        <v/>
      </c>
      <c r="BJ166" s="190">
        <f>IF(ISNUMBER(BJ165),1-BJ165,"")</f>
        <v/>
      </c>
      <c r="BK166" s="190">
        <f>IF(ISNUMBER(BK165),1-BK165,"")</f>
        <v/>
      </c>
      <c r="BL166" s="190">
        <f>IF(ISNUMBER(BL165),1-BL165,"")</f>
        <v/>
      </c>
      <c r="BM166" s="190">
        <f>IF(ISNUMBER(BM165),1-BM165,"")</f>
        <v/>
      </c>
      <c r="BN166" s="190">
        <f>IF(ISNUMBER(BN165),1-BN165,"")</f>
        <v/>
      </c>
      <c r="BO166" s="190">
        <f>IF(ISNUMBER(BO165),1-BO165,"")</f>
        <v/>
      </c>
      <c r="BP166" s="190">
        <f>IF(ISNUMBER(BP165),1-BP165,"")</f>
        <v/>
      </c>
      <c r="BQ166" s="190">
        <f>IF(ISNUMBER(BQ165),1-BQ165,"")</f>
        <v/>
      </c>
      <c r="BR166" s="190">
        <f>IF(ISNUMBER(BR165),1-BR165,"")</f>
        <v/>
      </c>
      <c r="BS166" s="190">
        <f>IF(ISNUMBER(BS165),1-BS165,"")</f>
        <v/>
      </c>
      <c r="BT166" s="190">
        <f>IF(ISNUMBER(BT165),1-BT165,"")</f>
        <v/>
      </c>
      <c r="BU166" s="190">
        <f>IF(ISNUMBER(BU165),1-BU165,"")</f>
        <v/>
      </c>
      <c r="BV166" s="190">
        <f>IF(ISNUMBER(BV165),1-BV165,"")</f>
        <v/>
      </c>
      <c r="BW166" s="190">
        <f>IF(ISNUMBER(BW165),1-BW165,"")</f>
        <v/>
      </c>
      <c r="BX166" s="190">
        <f>IF(ISNUMBER(BX165),1-BX165,"")</f>
        <v/>
      </c>
      <c r="BY166" s="202">
        <f>IF(ISNUMBER(BY165),1-BY165,"")</f>
        <v/>
      </c>
      <c r="BZ166" s="202">
        <f>IF(ISNUMBER(BZ165),1-BZ165,"")</f>
        <v/>
      </c>
      <c r="CA166" s="202">
        <f>IF(ISNUMBER(CA165),1-CA165,"")</f>
        <v/>
      </c>
      <c r="CB166" s="202">
        <f>IF(ISNUMBER(CB165),1-CB165,"")</f>
        <v/>
      </c>
      <c r="CC166" s="202">
        <f>IF(ISNUMBER(CC165),1-CC165,"")</f>
        <v/>
      </c>
      <c r="CD166" s="202">
        <f>IF(ISNUMBER(CD165),1-CD165,"")</f>
        <v/>
      </c>
      <c r="CE166" s="202">
        <f>IF(ISNUMBER(CE165),1-CE165,"")</f>
        <v/>
      </c>
      <c r="CF166" s="6" t="n"/>
      <c r="CH166" s="39">
        <f>IFERROR(AVERAGE(CA166,CB166,CC166,CD166,CE166),"n/m")</f>
        <v/>
      </c>
      <c r="CI166" s="39">
        <f>IFERROR(AVERAGE(BB166,BG166,BL166,BQ166,BV166),"n/m")</f>
        <v/>
      </c>
      <c r="CJ166" s="39">
        <f>IFERROR(AVERAGE(AC166,AH166,AM166,AR166,AW166,BB166,BG166,BL166,BQ166,BV166),"n/m")</f>
        <v/>
      </c>
      <c r="CK166" s="39">
        <f>IFERROR(AVERAGE(C166,D166,E166,F166,G166,H166,I166,N166,S166,X166,AC166,AH166,AM166,AR166,AW166,BB166,BG166,BL166,BQ166,BV166),"n/m")</f>
        <v/>
      </c>
    </row>
    <row r="167" ht="15" customHeight="1"/>
    <row r="168" ht="15" customHeight="1">
      <c r="B168" s="11" t="inlineStr">
        <is>
          <t>RECONCILIATION: GAAP NET INCOME / DILUTED EPS → ADJUSTED NET INCOME → ADJUSTED DILUTED EPS (model definition)</t>
        </is>
      </c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  <c r="AH168" s="11" t="n"/>
      <c r="AI168" s="11" t="n"/>
      <c r="AJ168" s="11" t="n"/>
      <c r="AK168" s="11" t="n"/>
      <c r="AL168" s="11" t="n"/>
      <c r="AM168" s="11" t="n"/>
      <c r="AN168" s="11" t="n"/>
      <c r="AO168" s="11" t="n"/>
      <c r="AP168" s="11" t="n"/>
      <c r="AQ168" s="11" t="n"/>
      <c r="AR168" s="11" t="n"/>
      <c r="AS168" s="11" t="n"/>
      <c r="AT168" s="11" t="n"/>
      <c r="AU168" s="11" t="n"/>
      <c r="AV168" s="11" t="n"/>
      <c r="AW168" s="11" t="n"/>
      <c r="AX168" s="11" t="n"/>
      <c r="AY168" s="11" t="n"/>
      <c r="AZ168" s="11" t="n"/>
      <c r="BA168" s="11" t="n"/>
      <c r="BB168" s="11" t="n"/>
      <c r="BC168" s="11" t="n"/>
      <c r="BD168" s="11" t="n"/>
      <c r="BE168" s="11" t="n"/>
      <c r="BF168" s="11" t="n"/>
      <c r="BG168" s="11" t="n"/>
      <c r="BH168" s="11" t="n"/>
      <c r="BI168" s="11" t="n"/>
      <c r="BJ168" s="11" t="n"/>
      <c r="BK168" s="11" t="n"/>
      <c r="BL168" s="11" t="n"/>
      <c r="BM168" s="11" t="n"/>
      <c r="BN168" s="11" t="n"/>
      <c r="BO168" s="11" t="n"/>
      <c r="BP168" s="11" t="n"/>
      <c r="BQ168" s="11" t="n"/>
      <c r="BR168" s="11" t="n"/>
      <c r="BS168" s="11" t="n"/>
      <c r="BT168" s="11" t="n"/>
      <c r="BU168" s="11" t="n"/>
      <c r="BV168" s="11" t="n"/>
      <c r="BW168" s="11" t="n"/>
      <c r="BX168" s="11" t="n"/>
      <c r="BY168" s="11" t="n"/>
      <c r="BZ168" s="11" t="n"/>
      <c r="CA168" s="11" t="n"/>
      <c r="CB168" s="11" t="n"/>
      <c r="CC168" s="11" t="n"/>
      <c r="CD168" s="11" t="n"/>
      <c r="CE168" s="11" t="n"/>
      <c r="CF168" s="11" t="inlineStr">
        <is>
          <t>ADJUSTED EPS — model definition: GAAP net income excluding the Adjusted EBITDA adjusting items (tax-effected at the effective rate excl. discrete items) and discrete tax items named by ODFL (TCJA deferred-tax revaluation, Q4-17)</t>
        </is>
      </c>
    </row>
    <row r="169" ht="15" customHeight="1">
      <c r="B169" s="17" t="inlineStr">
        <is>
          <t>Net income (GAAP)</t>
        </is>
      </c>
      <c r="C169" s="204">
        <f>C122</f>
        <v/>
      </c>
      <c r="D169" s="204">
        <f>D122</f>
        <v/>
      </c>
      <c r="E169" s="204">
        <f>E122</f>
        <v/>
      </c>
      <c r="F169" s="204">
        <f>F122</f>
        <v/>
      </c>
      <c r="G169" s="204">
        <f>G122</f>
        <v/>
      </c>
      <c r="H169" s="204">
        <f>H122</f>
        <v/>
      </c>
      <c r="I169" s="204">
        <f>I122</f>
        <v/>
      </c>
      <c r="J169" s="204">
        <f>J122</f>
        <v/>
      </c>
      <c r="K169" s="204">
        <f>K122</f>
        <v/>
      </c>
      <c r="L169" s="204">
        <f>L122</f>
        <v/>
      </c>
      <c r="M169" s="204">
        <f>M122</f>
        <v/>
      </c>
      <c r="N169" s="204">
        <f>N122</f>
        <v/>
      </c>
      <c r="O169" s="204">
        <f>O122</f>
        <v/>
      </c>
      <c r="P169" s="204">
        <f>P122</f>
        <v/>
      </c>
      <c r="Q169" s="204">
        <f>Q122</f>
        <v/>
      </c>
      <c r="R169" s="204">
        <f>R122</f>
        <v/>
      </c>
      <c r="S169" s="204">
        <f>S122</f>
        <v/>
      </c>
      <c r="T169" s="204">
        <f>T122</f>
        <v/>
      </c>
      <c r="U169" s="204">
        <f>U122</f>
        <v/>
      </c>
      <c r="V169" s="204">
        <f>V122</f>
        <v/>
      </c>
      <c r="W169" s="204">
        <f>W122</f>
        <v/>
      </c>
      <c r="X169" s="204">
        <f>X122</f>
        <v/>
      </c>
      <c r="Y169" s="204">
        <f>Y122</f>
        <v/>
      </c>
      <c r="Z169" s="204">
        <f>Z122</f>
        <v/>
      </c>
      <c r="AA169" s="204">
        <f>AA122</f>
        <v/>
      </c>
      <c r="AB169" s="204">
        <f>AB122</f>
        <v/>
      </c>
      <c r="AC169" s="204">
        <f>AC122</f>
        <v/>
      </c>
      <c r="AD169" s="204">
        <f>AD122</f>
        <v/>
      </c>
      <c r="AE169" s="204">
        <f>AE122</f>
        <v/>
      </c>
      <c r="AF169" s="204">
        <f>AF122</f>
        <v/>
      </c>
      <c r="AG169" s="204">
        <f>AG122</f>
        <v/>
      </c>
      <c r="AH169" s="204">
        <f>AH122</f>
        <v/>
      </c>
      <c r="AI169" s="204">
        <f>AI122</f>
        <v/>
      </c>
      <c r="AJ169" s="204">
        <f>AJ122</f>
        <v/>
      </c>
      <c r="AK169" s="204">
        <f>AK122</f>
        <v/>
      </c>
      <c r="AL169" s="204">
        <f>AL122</f>
        <v/>
      </c>
      <c r="AM169" s="204">
        <f>AM122</f>
        <v/>
      </c>
      <c r="AN169" s="204">
        <f>AN122</f>
        <v/>
      </c>
      <c r="AO169" s="204">
        <f>AO122</f>
        <v/>
      </c>
      <c r="AP169" s="204">
        <f>AP122</f>
        <v/>
      </c>
      <c r="AQ169" s="204">
        <f>AQ122</f>
        <v/>
      </c>
      <c r="AR169" s="204">
        <f>AR122</f>
        <v/>
      </c>
      <c r="AS169" s="204">
        <f>AS122</f>
        <v/>
      </c>
      <c r="AT169" s="204">
        <f>AT122</f>
        <v/>
      </c>
      <c r="AU169" s="204">
        <f>AU122</f>
        <v/>
      </c>
      <c r="AV169" s="204">
        <f>AV122</f>
        <v/>
      </c>
      <c r="AW169" s="204">
        <f>AW122</f>
        <v/>
      </c>
      <c r="AX169" s="204">
        <f>AX122</f>
        <v/>
      </c>
      <c r="AY169" s="204">
        <f>AY122</f>
        <v/>
      </c>
      <c r="AZ169" s="204">
        <f>AZ122</f>
        <v/>
      </c>
      <c r="BA169" s="204">
        <f>BA122</f>
        <v/>
      </c>
      <c r="BB169" s="204">
        <f>BB122</f>
        <v/>
      </c>
      <c r="BC169" s="204">
        <f>BC122</f>
        <v/>
      </c>
      <c r="BD169" s="204">
        <f>BD122</f>
        <v/>
      </c>
      <c r="BE169" s="204">
        <f>BE122</f>
        <v/>
      </c>
      <c r="BF169" s="204">
        <f>BF122</f>
        <v/>
      </c>
      <c r="BG169" s="204">
        <f>BG122</f>
        <v/>
      </c>
      <c r="BH169" s="204">
        <f>BH122</f>
        <v/>
      </c>
      <c r="BI169" s="204">
        <f>BI122</f>
        <v/>
      </c>
      <c r="BJ169" s="204">
        <f>BJ122</f>
        <v/>
      </c>
      <c r="BK169" s="204">
        <f>BK122</f>
        <v/>
      </c>
      <c r="BL169" s="204">
        <f>BL122</f>
        <v/>
      </c>
      <c r="BM169" s="204">
        <f>BM122</f>
        <v/>
      </c>
      <c r="BN169" s="204">
        <f>BN122</f>
        <v/>
      </c>
      <c r="BO169" s="204">
        <f>BO122</f>
        <v/>
      </c>
      <c r="BP169" s="204">
        <f>BP122</f>
        <v/>
      </c>
      <c r="BQ169" s="204">
        <f>BQ122</f>
        <v/>
      </c>
      <c r="BR169" s="204">
        <f>BR122</f>
        <v/>
      </c>
      <c r="BS169" s="204">
        <f>BS122</f>
        <v/>
      </c>
      <c r="BT169" s="204">
        <f>BT122</f>
        <v/>
      </c>
      <c r="BU169" s="204">
        <f>BU122</f>
        <v/>
      </c>
      <c r="BV169" s="204">
        <f>BV122</f>
        <v/>
      </c>
      <c r="BW169" s="204">
        <f>BW122</f>
        <v/>
      </c>
      <c r="BX169" s="204">
        <f>BX122</f>
        <v/>
      </c>
      <c r="BY169" s="178">
        <f>BY122</f>
        <v/>
      </c>
      <c r="BZ169" s="178">
        <f>BZ122</f>
        <v/>
      </c>
      <c r="CA169" s="178">
        <f>CA122</f>
        <v/>
      </c>
      <c r="CB169" s="178">
        <f>CB122</f>
        <v/>
      </c>
      <c r="CC169" s="178">
        <f>CC122</f>
        <v/>
      </c>
      <c r="CD169" s="178">
        <f>CD122</f>
        <v/>
      </c>
      <c r="CE169" s="178">
        <f>CE122</f>
        <v/>
      </c>
      <c r="CF169" s="6" t="n"/>
    </row>
    <row r="170" ht="15" customHeight="1">
      <c r="B170" s="26" t="inlineStr">
        <is>
          <t xml:space="preserve">  (+/−) Adjusting items, pre-tax (as in the Adjusted EBITDA bridge)</t>
        </is>
      </c>
      <c r="C170" s="194">
        <f>C156</f>
        <v/>
      </c>
      <c r="D170" s="194">
        <f>D156</f>
        <v/>
      </c>
      <c r="E170" s="194">
        <f>E156</f>
        <v/>
      </c>
      <c r="F170" s="194">
        <f>F156</f>
        <v/>
      </c>
      <c r="G170" s="194">
        <f>G156</f>
        <v/>
      </c>
      <c r="H170" s="194">
        <f>H156</f>
        <v/>
      </c>
      <c r="I170" s="194">
        <f>I156</f>
        <v/>
      </c>
      <c r="J170" s="194">
        <f>J156</f>
        <v/>
      </c>
      <c r="K170" s="194">
        <f>K156</f>
        <v/>
      </c>
      <c r="L170" s="194">
        <f>L156</f>
        <v/>
      </c>
      <c r="M170" s="194">
        <f>M156</f>
        <v/>
      </c>
      <c r="N170" s="194">
        <f>N156</f>
        <v/>
      </c>
      <c r="O170" s="194">
        <f>O156</f>
        <v/>
      </c>
      <c r="P170" s="194">
        <f>P156</f>
        <v/>
      </c>
      <c r="Q170" s="194">
        <f>Q156</f>
        <v/>
      </c>
      <c r="R170" s="194">
        <f>R156</f>
        <v/>
      </c>
      <c r="S170" s="194">
        <f>S156</f>
        <v/>
      </c>
      <c r="T170" s="194">
        <f>T156</f>
        <v/>
      </c>
      <c r="U170" s="194">
        <f>U156</f>
        <v/>
      </c>
      <c r="V170" s="194">
        <f>V156</f>
        <v/>
      </c>
      <c r="W170" s="194">
        <f>W156</f>
        <v/>
      </c>
      <c r="X170" s="194">
        <f>X156</f>
        <v/>
      </c>
      <c r="Y170" s="194">
        <f>Y156</f>
        <v/>
      </c>
      <c r="Z170" s="194">
        <f>Z156</f>
        <v/>
      </c>
      <c r="AA170" s="194">
        <f>AA156</f>
        <v/>
      </c>
      <c r="AB170" s="194">
        <f>AB156</f>
        <v/>
      </c>
      <c r="AC170" s="194">
        <f>AC156</f>
        <v/>
      </c>
      <c r="AD170" s="194">
        <f>AD156</f>
        <v/>
      </c>
      <c r="AE170" s="194">
        <f>AE156</f>
        <v/>
      </c>
      <c r="AF170" s="194">
        <f>AF156</f>
        <v/>
      </c>
      <c r="AG170" s="194">
        <f>AG156</f>
        <v/>
      </c>
      <c r="AH170" s="194">
        <f>AH156</f>
        <v/>
      </c>
      <c r="AI170" s="194">
        <f>AI156</f>
        <v/>
      </c>
      <c r="AJ170" s="194">
        <f>AJ156</f>
        <v/>
      </c>
      <c r="AK170" s="194">
        <f>AK156</f>
        <v/>
      </c>
      <c r="AL170" s="194">
        <f>AL156</f>
        <v/>
      </c>
      <c r="AM170" s="194">
        <f>AM156</f>
        <v/>
      </c>
      <c r="AN170" s="194">
        <f>AN156</f>
        <v/>
      </c>
      <c r="AO170" s="194">
        <f>AO156</f>
        <v/>
      </c>
      <c r="AP170" s="194">
        <f>AP156</f>
        <v/>
      </c>
      <c r="AQ170" s="194">
        <f>AQ156</f>
        <v/>
      </c>
      <c r="AR170" s="194">
        <f>AR156</f>
        <v/>
      </c>
      <c r="AS170" s="194">
        <f>AS156</f>
        <v/>
      </c>
      <c r="AT170" s="194">
        <f>AT156</f>
        <v/>
      </c>
      <c r="AU170" s="194">
        <f>AU156</f>
        <v/>
      </c>
      <c r="AV170" s="194">
        <f>AV156</f>
        <v/>
      </c>
      <c r="AW170" s="194">
        <f>AW156</f>
        <v/>
      </c>
      <c r="AX170" s="194">
        <f>AX156</f>
        <v/>
      </c>
      <c r="AY170" s="194">
        <f>AY156</f>
        <v/>
      </c>
      <c r="AZ170" s="194">
        <f>AZ156</f>
        <v/>
      </c>
      <c r="BA170" s="194">
        <f>BA156</f>
        <v/>
      </c>
      <c r="BB170" s="194">
        <f>BB156</f>
        <v/>
      </c>
      <c r="BC170" s="194">
        <f>BC156</f>
        <v/>
      </c>
      <c r="BD170" s="194">
        <f>BD156</f>
        <v/>
      </c>
      <c r="BE170" s="194">
        <f>BE156</f>
        <v/>
      </c>
      <c r="BF170" s="194">
        <f>BF156</f>
        <v/>
      </c>
      <c r="BG170" s="194">
        <f>BG156</f>
        <v/>
      </c>
      <c r="BH170" s="194">
        <f>BH156</f>
        <v/>
      </c>
      <c r="BI170" s="194">
        <f>BI156</f>
        <v/>
      </c>
      <c r="BJ170" s="194">
        <f>BJ156</f>
        <v/>
      </c>
      <c r="BK170" s="194">
        <f>BK156</f>
        <v/>
      </c>
      <c r="BL170" s="194">
        <f>BL156</f>
        <v/>
      </c>
      <c r="BM170" s="194">
        <f>BM156</f>
        <v/>
      </c>
      <c r="BN170" s="194">
        <f>BN156</f>
        <v/>
      </c>
      <c r="BO170" s="194">
        <f>BO156</f>
        <v/>
      </c>
      <c r="BP170" s="194">
        <f>BP156</f>
        <v/>
      </c>
      <c r="BQ170" s="194">
        <f>BQ156</f>
        <v/>
      </c>
      <c r="BR170" s="194">
        <f>BR156</f>
        <v/>
      </c>
      <c r="BS170" s="194">
        <f>BS156</f>
        <v/>
      </c>
      <c r="BT170" s="194">
        <f>BT156</f>
        <v/>
      </c>
      <c r="BU170" s="194">
        <f>BU156</f>
        <v/>
      </c>
      <c r="BV170" s="194">
        <f>BV156</f>
        <v/>
      </c>
      <c r="BW170" s="194">
        <f>BW156</f>
        <v/>
      </c>
      <c r="BX170" s="194">
        <f>BX156</f>
        <v/>
      </c>
      <c r="BY170" s="176">
        <f>BY156</f>
        <v/>
      </c>
      <c r="BZ170" s="176">
        <f>BZ156</f>
        <v/>
      </c>
      <c r="CA170" s="176">
        <f>CA156</f>
        <v/>
      </c>
      <c r="CB170" s="176">
        <f>CB156</f>
        <v/>
      </c>
      <c r="CC170" s="176">
        <f>CC156</f>
        <v/>
      </c>
      <c r="CD170" s="176">
        <f>CD156</f>
        <v/>
      </c>
      <c r="CE170" s="176">
        <f>CE156</f>
        <v/>
      </c>
      <c r="CF170" s="20" t="n"/>
    </row>
    <row r="171" ht="15" customHeight="1">
      <c r="B171" s="26" t="inlineStr">
        <is>
          <t xml:space="preserve">  Tax rate applied to adjusting items (effective rate excl. discrete items)</t>
        </is>
      </c>
      <c r="C171" s="190">
        <f>IF(ISNUMBER(C119),IFERROR((C120-N(C173))/C119,""),"")</f>
        <v/>
      </c>
      <c r="D171" s="190">
        <f>IF(ISNUMBER(D119),IFERROR((D120-N(D173))/D119,""),"")</f>
        <v/>
      </c>
      <c r="E171" s="190">
        <f>IF(ISNUMBER(E119),IFERROR((E120-N(E173))/E119,""),"")</f>
        <v/>
      </c>
      <c r="F171" s="190">
        <f>IF(ISNUMBER(F119),IFERROR((F120-N(F173))/F119,""),"")</f>
        <v/>
      </c>
      <c r="G171" s="190">
        <f>IF(ISNUMBER(G119),IFERROR((G120-N(G173))/G119,""),"")</f>
        <v/>
      </c>
      <c r="H171" s="190">
        <f>IF(ISNUMBER(H119),IFERROR((H120-N(H173))/H119,""),"")</f>
        <v/>
      </c>
      <c r="I171" s="190">
        <f>IF(ISNUMBER(I119),IFERROR((I120-N(I173))/I119,""),"")</f>
        <v/>
      </c>
      <c r="J171" s="190">
        <f>IF(ISNUMBER(J119),IFERROR((J120-N(J173))/J119,""),"")</f>
        <v/>
      </c>
      <c r="K171" s="190">
        <f>IF(ISNUMBER(K119),IFERROR((K120-N(K173))/K119,""),"")</f>
        <v/>
      </c>
      <c r="L171" s="190">
        <f>IF(ISNUMBER(L119),IFERROR((L120-N(L173))/L119,""),"")</f>
        <v/>
      </c>
      <c r="M171" s="190">
        <f>IF(ISNUMBER(M119),IFERROR((M120-N(M173))/M119,""),"")</f>
        <v/>
      </c>
      <c r="N171" s="190">
        <f>IF(ISNUMBER(N119),IFERROR((N120-N(N173))/N119,""),"")</f>
        <v/>
      </c>
      <c r="O171" s="190">
        <f>IF(ISNUMBER(O119),IFERROR((O120-N(O173))/O119,""),"")</f>
        <v/>
      </c>
      <c r="P171" s="190">
        <f>IF(ISNUMBER(P119),IFERROR((P120-N(P173))/P119,""),"")</f>
        <v/>
      </c>
      <c r="Q171" s="190">
        <f>IF(ISNUMBER(Q119),IFERROR((Q120-N(Q173))/Q119,""),"")</f>
        <v/>
      </c>
      <c r="R171" s="190">
        <f>IF(ISNUMBER(R119),IFERROR((R120-N(R173))/R119,""),"")</f>
        <v/>
      </c>
      <c r="S171" s="190">
        <f>IF(ISNUMBER(S119),IFERROR((S120-N(S173))/S119,""),"")</f>
        <v/>
      </c>
      <c r="T171" s="190">
        <f>IF(ISNUMBER(T119),IFERROR((T120-N(T173))/T119,""),"")</f>
        <v/>
      </c>
      <c r="U171" s="190">
        <f>IF(ISNUMBER(U119),IFERROR((U120-N(U173))/U119,""),"")</f>
        <v/>
      </c>
      <c r="V171" s="190">
        <f>IF(ISNUMBER(V119),IFERROR((V120-N(V173))/V119,""),"")</f>
        <v/>
      </c>
      <c r="W171" s="190">
        <f>IF(ISNUMBER(W119),IFERROR((W120-N(W173))/W119,""),"")</f>
        <v/>
      </c>
      <c r="X171" s="190">
        <f>IF(ISNUMBER(X119),IFERROR((X120-N(X173))/X119,""),"")</f>
        <v/>
      </c>
      <c r="Y171" s="190">
        <f>IF(ISNUMBER(Y119),IFERROR((Y120-N(Y173))/Y119,""),"")</f>
        <v/>
      </c>
      <c r="Z171" s="190">
        <f>IF(ISNUMBER(Z119),IFERROR((Z120-N(Z173))/Z119,""),"")</f>
        <v/>
      </c>
      <c r="AA171" s="190">
        <f>IF(ISNUMBER(AA119),IFERROR((AA120-N(AA173))/AA119,""),"")</f>
        <v/>
      </c>
      <c r="AB171" s="190">
        <f>IF(ISNUMBER(AB119),IFERROR((AB120-N(AB173))/AB119,""),"")</f>
        <v/>
      </c>
      <c r="AC171" s="190">
        <f>IF(ISNUMBER(AC119),IFERROR((AC120-N(AC173))/AC119,""),"")</f>
        <v/>
      </c>
      <c r="AD171" s="190">
        <f>IF(ISNUMBER(AD119),IFERROR((AD120-N(AD173))/AD119,""),"")</f>
        <v/>
      </c>
      <c r="AE171" s="190">
        <f>IF(ISNUMBER(AE119),IFERROR((AE120-N(AE173))/AE119,""),"")</f>
        <v/>
      </c>
      <c r="AF171" s="190">
        <f>IF(ISNUMBER(AF119),IFERROR((AF120-N(AF173))/AF119,""),"")</f>
        <v/>
      </c>
      <c r="AG171" s="190">
        <f>IF(ISNUMBER(AG119),IFERROR((AG120-N(AG173))/AG119,""),"")</f>
        <v/>
      </c>
      <c r="AH171" s="190">
        <f>IF(ISNUMBER(AH119),IFERROR((AH120-N(AH173))/AH119,""),"")</f>
        <v/>
      </c>
      <c r="AI171" s="190">
        <f>IF(ISNUMBER(AI119),IFERROR((AI120-N(AI173))/AI119,""),"")</f>
        <v/>
      </c>
      <c r="AJ171" s="190">
        <f>IF(ISNUMBER(AJ119),IFERROR((AJ120-N(AJ173))/AJ119,""),"")</f>
        <v/>
      </c>
      <c r="AK171" s="190">
        <f>IF(ISNUMBER(AK119),IFERROR((AK120-N(AK173))/AK119,""),"")</f>
        <v/>
      </c>
      <c r="AL171" s="190">
        <f>IF(ISNUMBER(AL119),IFERROR((AL120-N(AL173))/AL119,""),"")</f>
        <v/>
      </c>
      <c r="AM171" s="190">
        <f>IF(ISNUMBER(AM119),IFERROR((AM120-N(AM173))/AM119,""),"")</f>
        <v/>
      </c>
      <c r="AN171" s="190">
        <f>IF(ISNUMBER(AN119),IFERROR((AN120-N(AN173))/AN119,""),"")</f>
        <v/>
      </c>
      <c r="AO171" s="190">
        <f>IF(ISNUMBER(AO119),IFERROR((AO120-N(AO173))/AO119,""),"")</f>
        <v/>
      </c>
      <c r="AP171" s="190">
        <f>IF(ISNUMBER(AP119),IFERROR((AP120-N(AP173))/AP119,""),"")</f>
        <v/>
      </c>
      <c r="AQ171" s="190">
        <f>IF(ISNUMBER(AQ119),IFERROR((AQ120-N(AQ173))/AQ119,""),"")</f>
        <v/>
      </c>
      <c r="AR171" s="190">
        <f>IF(ISNUMBER(AR119),IFERROR((AR120-N(AR173))/AR119,""),"")</f>
        <v/>
      </c>
      <c r="AS171" s="190">
        <f>IF(ISNUMBER(AS119),IFERROR((AS120-N(AS173))/AS119,""),"")</f>
        <v/>
      </c>
      <c r="AT171" s="190">
        <f>IF(ISNUMBER(AT119),IFERROR((AT120-N(AT173))/AT119,""),"")</f>
        <v/>
      </c>
      <c r="AU171" s="190">
        <f>IF(ISNUMBER(AU119),IFERROR((AU120-N(AU173))/AU119,""),"")</f>
        <v/>
      </c>
      <c r="AV171" s="190">
        <f>IF(ISNUMBER(AV119),IFERROR((AV120-N(AV173))/AV119,""),"")</f>
        <v/>
      </c>
      <c r="AW171" s="190">
        <f>IF(ISNUMBER(AW119),IFERROR((AW120-N(AW173))/AW119,""),"")</f>
        <v/>
      </c>
      <c r="AX171" s="190">
        <f>IF(ISNUMBER(AX119),IFERROR((AX120-N(AX173))/AX119,""),"")</f>
        <v/>
      </c>
      <c r="AY171" s="190">
        <f>IF(ISNUMBER(AY119),IFERROR((AY120-N(AY173))/AY119,""),"")</f>
        <v/>
      </c>
      <c r="AZ171" s="190">
        <f>IF(ISNUMBER(AZ119),IFERROR((AZ120-N(AZ173))/AZ119,""),"")</f>
        <v/>
      </c>
      <c r="BA171" s="190">
        <f>IF(ISNUMBER(BA119),IFERROR((BA120-N(BA173))/BA119,""),"")</f>
        <v/>
      </c>
      <c r="BB171" s="190">
        <f>IF(ISNUMBER(BB119),IFERROR((BB120-N(BB173))/BB119,""),"")</f>
        <v/>
      </c>
      <c r="BC171" s="190">
        <f>IF(ISNUMBER(BC119),IFERROR((BC120-N(BC173))/BC119,""),"")</f>
        <v/>
      </c>
      <c r="BD171" s="190">
        <f>IF(ISNUMBER(BD119),IFERROR((BD120-N(BD173))/BD119,""),"")</f>
        <v/>
      </c>
      <c r="BE171" s="190">
        <f>IF(ISNUMBER(BE119),IFERROR((BE120-N(BE173))/BE119,""),"")</f>
        <v/>
      </c>
      <c r="BF171" s="190">
        <f>IF(ISNUMBER(BF119),IFERROR((BF120-N(BF173))/BF119,""),"")</f>
        <v/>
      </c>
      <c r="BG171" s="190">
        <f>IF(ISNUMBER(BG119),IFERROR((BG120-N(BG173))/BG119,""),"")</f>
        <v/>
      </c>
      <c r="BH171" s="190">
        <f>IF(ISNUMBER(BH119),IFERROR((BH120-N(BH173))/BH119,""),"")</f>
        <v/>
      </c>
      <c r="BI171" s="190">
        <f>IF(ISNUMBER(BI119),IFERROR((BI120-N(BI173))/BI119,""),"")</f>
        <v/>
      </c>
      <c r="BJ171" s="190">
        <f>IF(ISNUMBER(BJ119),IFERROR((BJ120-N(BJ173))/BJ119,""),"")</f>
        <v/>
      </c>
      <c r="BK171" s="190">
        <f>IF(ISNUMBER(BK119),IFERROR((BK120-N(BK173))/BK119,""),"")</f>
        <v/>
      </c>
      <c r="BL171" s="190">
        <f>IF(ISNUMBER(BL119),IFERROR((BL120-N(BL173))/BL119,""),"")</f>
        <v/>
      </c>
      <c r="BM171" s="190">
        <f>IF(ISNUMBER(BM119),IFERROR((BM120-N(BM173))/BM119,""),"")</f>
        <v/>
      </c>
      <c r="BN171" s="190">
        <f>IF(ISNUMBER(BN119),IFERROR((BN120-N(BN173))/BN119,""),"")</f>
        <v/>
      </c>
      <c r="BO171" s="190">
        <f>IF(ISNUMBER(BO119),IFERROR((BO120-N(BO173))/BO119,""),"")</f>
        <v/>
      </c>
      <c r="BP171" s="190">
        <f>IF(ISNUMBER(BP119),IFERROR((BP120-N(BP173))/BP119,""),"")</f>
        <v/>
      </c>
      <c r="BQ171" s="190">
        <f>IF(ISNUMBER(BQ119),IFERROR((BQ120-N(BQ173))/BQ119,""),"")</f>
        <v/>
      </c>
      <c r="BR171" s="190">
        <f>IF(ISNUMBER(BR119),IFERROR((BR120-N(BR173))/BR119,""),"")</f>
        <v/>
      </c>
      <c r="BS171" s="190">
        <f>IF(ISNUMBER(BS119),IFERROR((BS120-N(BS173))/BS119,""),"")</f>
        <v/>
      </c>
      <c r="BT171" s="190">
        <f>IF(ISNUMBER(BT119),IFERROR((BT120-N(BT173))/BT119,""),"")</f>
        <v/>
      </c>
      <c r="BU171" s="190">
        <f>IF(ISNUMBER(BU119),IFERROR((BU120-N(BU173))/BU119,""),"")</f>
        <v/>
      </c>
      <c r="BV171" s="190">
        <f>IF(ISNUMBER(BV119),IFERROR((BV120-N(BV173))/BV119,""),"")</f>
        <v/>
      </c>
      <c r="BW171" s="190">
        <f>IF(ISNUMBER(BW119),IFERROR((BW120-N(BW173))/BW119,""),"")</f>
        <v/>
      </c>
      <c r="BX171" s="190">
        <f>IF(ISNUMBER(BX119),IFERROR((BX120-N(BX173))/BX119,""),"")</f>
        <v/>
      </c>
      <c r="BY171" s="181">
        <f>IF(ISNUMBER(BY119),IFERROR((BY120-N(BY173))/BY119,""),"")</f>
        <v/>
      </c>
      <c r="BZ171" s="181">
        <f>IF(ISNUMBER(BZ119),IFERROR((BZ120-N(BZ173))/BZ119,""),"")</f>
        <v/>
      </c>
      <c r="CA171" s="181">
        <f>IF(ISNUMBER(CA119),IFERROR((CA120-N(CA173))/CA119,""),"")</f>
        <v/>
      </c>
      <c r="CB171" s="181">
        <f>IF(ISNUMBER(CB119),IFERROR((CB120-N(CB173))/CB119,""),"")</f>
        <v/>
      </c>
      <c r="CC171" s="181">
        <f>IF(ISNUMBER(CC119),IFERROR((CC120-N(CC173))/CC119,""),"")</f>
        <v/>
      </c>
      <c r="CD171" s="181">
        <f>IF(ISNUMBER(CD119),IFERROR((CD120-N(CD173))/CD119,""),"")</f>
        <v/>
      </c>
      <c r="CE171" s="181">
        <f>IF(ISNUMBER(CE119),IFERROR((CE120-N(CE173))/CE119,""),"")</f>
        <v/>
      </c>
      <c r="CF171" s="6" t="n"/>
    </row>
    <row r="172" ht="15" customHeight="1">
      <c r="B172" s="26" t="inlineStr">
        <is>
          <t xml:space="preserve">  (−) Income tax effect of adjusting items</t>
        </is>
      </c>
      <c r="C172" s="194">
        <f>IF(ISNUMBER(C170),-C170*N(C171),"")</f>
        <v/>
      </c>
      <c r="D172" s="194">
        <f>IF(ISNUMBER(D170),-D170*N(D171),"")</f>
        <v/>
      </c>
      <c r="E172" s="194">
        <f>IF(ISNUMBER(E170),-E170*N(E171),"")</f>
        <v/>
      </c>
      <c r="F172" s="194">
        <f>IF(ISNUMBER(F170),-F170*N(F171),"")</f>
        <v/>
      </c>
      <c r="G172" s="194">
        <f>IF(ISNUMBER(G170),-G170*N(G171),"")</f>
        <v/>
      </c>
      <c r="H172" s="194">
        <f>IF(ISNUMBER(H170),-H170*N(H171),"")</f>
        <v/>
      </c>
      <c r="I172" s="194">
        <f>IF(ISNUMBER(I170),-I170*N(I171),"")</f>
        <v/>
      </c>
      <c r="J172" s="194">
        <f>IF(ISNUMBER(J170),-J170*N(J171),"")</f>
        <v/>
      </c>
      <c r="K172" s="194">
        <f>IF(ISNUMBER(K170),-K170*N(K171),"")</f>
        <v/>
      </c>
      <c r="L172" s="194">
        <f>IF(ISNUMBER(L170),-L170*N(L171),"")</f>
        <v/>
      </c>
      <c r="M172" s="194">
        <f>IF(ISNUMBER(M170),-M170*N(M171),"")</f>
        <v/>
      </c>
      <c r="N172" s="194">
        <f>IF(ISNUMBER(N170),-N170*N(N171),"")</f>
        <v/>
      </c>
      <c r="O172" s="194">
        <f>IF(ISNUMBER(O170),-O170*N(O171),"")</f>
        <v/>
      </c>
      <c r="P172" s="194">
        <f>IF(ISNUMBER(P170),-P170*N(P171),"")</f>
        <v/>
      </c>
      <c r="Q172" s="194">
        <f>IF(ISNUMBER(Q170),-Q170*N(Q171),"")</f>
        <v/>
      </c>
      <c r="R172" s="194">
        <f>IF(ISNUMBER(R170),-R170*N(R171),"")</f>
        <v/>
      </c>
      <c r="S172" s="194">
        <f>IF(ISNUMBER(S170),-S170*N(S171),"")</f>
        <v/>
      </c>
      <c r="T172" s="194">
        <f>IF(ISNUMBER(T170),-T170*N(T171),"")</f>
        <v/>
      </c>
      <c r="U172" s="194">
        <f>IF(ISNUMBER(U170),-U170*N(U171),"")</f>
        <v/>
      </c>
      <c r="V172" s="194">
        <f>IF(ISNUMBER(V170),-V170*N(V171),"")</f>
        <v/>
      </c>
      <c r="W172" s="194">
        <f>IF(ISNUMBER(W170),-W170*N(W171),"")</f>
        <v/>
      </c>
      <c r="X172" s="194">
        <f>IF(ISNUMBER(X170),-X170*N(X171),"")</f>
        <v/>
      </c>
      <c r="Y172" s="194">
        <f>IF(ISNUMBER(Y170),-Y170*N(Y171),"")</f>
        <v/>
      </c>
      <c r="Z172" s="194">
        <f>IF(ISNUMBER(Z170),-Z170*N(Z171),"")</f>
        <v/>
      </c>
      <c r="AA172" s="194">
        <f>IF(ISNUMBER(AA170),-AA170*N(AA171),"")</f>
        <v/>
      </c>
      <c r="AB172" s="194">
        <f>IF(ISNUMBER(AB170),-AB170*N(AB171),"")</f>
        <v/>
      </c>
      <c r="AC172" s="194">
        <f>IF(ISNUMBER(AC170),-AC170*N(AC171),"")</f>
        <v/>
      </c>
      <c r="AD172" s="194">
        <f>IF(ISNUMBER(AD170),-AD170*N(AD171),"")</f>
        <v/>
      </c>
      <c r="AE172" s="194">
        <f>IF(ISNUMBER(AE170),-AE170*N(AE171),"")</f>
        <v/>
      </c>
      <c r="AF172" s="194">
        <f>IF(ISNUMBER(AF170),-AF170*N(AF171),"")</f>
        <v/>
      </c>
      <c r="AG172" s="194">
        <f>IF(ISNUMBER(AG170),-AG170*N(AG171),"")</f>
        <v/>
      </c>
      <c r="AH172" s="194">
        <f>IF(ISNUMBER(AH170),-AH170*N(AH171),"")</f>
        <v/>
      </c>
      <c r="AI172" s="194">
        <f>IF(ISNUMBER(AI170),-AI170*N(AI171),"")</f>
        <v/>
      </c>
      <c r="AJ172" s="194">
        <f>IF(ISNUMBER(AJ170),-AJ170*N(AJ171),"")</f>
        <v/>
      </c>
      <c r="AK172" s="194">
        <f>IF(ISNUMBER(AK170),-AK170*N(AK171),"")</f>
        <v/>
      </c>
      <c r="AL172" s="194">
        <f>IF(ISNUMBER(AL170),-AL170*N(AL171),"")</f>
        <v/>
      </c>
      <c r="AM172" s="194">
        <f>IF(ISNUMBER(AM170),-AM170*N(AM171),"")</f>
        <v/>
      </c>
      <c r="AN172" s="194">
        <f>IF(ISNUMBER(AN170),-AN170*N(AN171),"")</f>
        <v/>
      </c>
      <c r="AO172" s="194">
        <f>IF(ISNUMBER(AO170),-AO170*N(AO171),"")</f>
        <v/>
      </c>
      <c r="AP172" s="194">
        <f>IF(ISNUMBER(AP170),-AP170*N(AP171),"")</f>
        <v/>
      </c>
      <c r="AQ172" s="194">
        <f>IF(ISNUMBER(AQ170),-AQ170*N(AQ171),"")</f>
        <v/>
      </c>
      <c r="AR172" s="194">
        <f>IF(ISNUMBER(AR170),-AR170*N(AR171),"")</f>
        <v/>
      </c>
      <c r="AS172" s="194">
        <f>IF(ISNUMBER(AS170),-AS170*N(AS171),"")</f>
        <v/>
      </c>
      <c r="AT172" s="194">
        <f>IF(ISNUMBER(AT170),-AT170*N(AT171),"")</f>
        <v/>
      </c>
      <c r="AU172" s="194">
        <f>IF(ISNUMBER(AU170),-AU170*N(AU171),"")</f>
        <v/>
      </c>
      <c r="AV172" s="194">
        <f>IF(ISNUMBER(AV170),-AV170*N(AV171),"")</f>
        <v/>
      </c>
      <c r="AW172" s="194">
        <f>IF(ISNUMBER(AW170),-AW170*N(AW171),"")</f>
        <v/>
      </c>
      <c r="AX172" s="194">
        <f>IF(ISNUMBER(AX170),-AX170*N(AX171),"")</f>
        <v/>
      </c>
      <c r="AY172" s="194">
        <f>IF(ISNUMBER(AY170),-AY170*N(AY171),"")</f>
        <v/>
      </c>
      <c r="AZ172" s="194">
        <f>IF(ISNUMBER(AZ170),-AZ170*N(AZ171),"")</f>
        <v/>
      </c>
      <c r="BA172" s="194">
        <f>IF(ISNUMBER(BA170),-BA170*N(BA171),"")</f>
        <v/>
      </c>
      <c r="BB172" s="194">
        <f>IF(ISNUMBER(BB170),-BB170*N(BB171),"")</f>
        <v/>
      </c>
      <c r="BC172" s="194">
        <f>IF(ISNUMBER(BC170),-BC170*N(BC171),"")</f>
        <v/>
      </c>
      <c r="BD172" s="194">
        <f>IF(ISNUMBER(BD170),-BD170*N(BD171),"")</f>
        <v/>
      </c>
      <c r="BE172" s="194">
        <f>IF(ISNUMBER(BE170),-BE170*N(BE171),"")</f>
        <v/>
      </c>
      <c r="BF172" s="194">
        <f>IF(ISNUMBER(BF170),-BF170*N(BF171),"")</f>
        <v/>
      </c>
      <c r="BG172" s="194">
        <f>IF(ISNUMBER(BG170),-BG170*N(BG171),"")</f>
        <v/>
      </c>
      <c r="BH172" s="194">
        <f>IF(ISNUMBER(BH170),-BH170*N(BH171),"")</f>
        <v/>
      </c>
      <c r="BI172" s="194">
        <f>IF(ISNUMBER(BI170),-BI170*N(BI171),"")</f>
        <v/>
      </c>
      <c r="BJ172" s="194">
        <f>IF(ISNUMBER(BJ170),-BJ170*N(BJ171),"")</f>
        <v/>
      </c>
      <c r="BK172" s="194">
        <f>IF(ISNUMBER(BK170),-BK170*N(BK171),"")</f>
        <v/>
      </c>
      <c r="BL172" s="194">
        <f>IF(ISNUMBER(BL170),-BL170*N(BL171),"")</f>
        <v/>
      </c>
      <c r="BM172" s="194">
        <f>IF(ISNUMBER(BM170),-BM170*N(BM171),"")</f>
        <v/>
      </c>
      <c r="BN172" s="194">
        <f>IF(ISNUMBER(BN170),-BN170*N(BN171),"")</f>
        <v/>
      </c>
      <c r="BO172" s="194">
        <f>IF(ISNUMBER(BO170),-BO170*N(BO171),"")</f>
        <v/>
      </c>
      <c r="BP172" s="194">
        <f>IF(ISNUMBER(BP170),-BP170*N(BP171),"")</f>
        <v/>
      </c>
      <c r="BQ172" s="194">
        <f>IF(ISNUMBER(BQ170),-BQ170*N(BQ171),"")</f>
        <v/>
      </c>
      <c r="BR172" s="194">
        <f>IF(ISNUMBER(BR170),-BR170*N(BR171),"")</f>
        <v/>
      </c>
      <c r="BS172" s="194">
        <f>IF(ISNUMBER(BS170),-BS170*N(BS171),"")</f>
        <v/>
      </c>
      <c r="BT172" s="194">
        <f>IF(ISNUMBER(BT170),-BT170*N(BT171),"")</f>
        <v/>
      </c>
      <c r="BU172" s="194">
        <f>IF(ISNUMBER(BU170),-BU170*N(BU171),"")</f>
        <v/>
      </c>
      <c r="BV172" s="194">
        <f>IF(ISNUMBER(BV170),-BV170*N(BV171),"")</f>
        <v/>
      </c>
      <c r="BW172" s="194">
        <f>IF(ISNUMBER(BW170),-BW170*N(BW171),"")</f>
        <v/>
      </c>
      <c r="BX172" s="194">
        <f>IF(ISNUMBER(BX170),-BX170*N(BX171),"")</f>
        <v/>
      </c>
      <c r="BY172" s="176">
        <f>IF(ISNUMBER(BY170),-BY170*N(BY171),"")</f>
        <v/>
      </c>
      <c r="BZ172" s="176">
        <f>IF(ISNUMBER(BZ170),-BZ170*N(BZ171),"")</f>
        <v/>
      </c>
      <c r="CA172" s="176">
        <f>IF(ISNUMBER(CA170),-CA170*N(CA171),"")</f>
        <v/>
      </c>
      <c r="CB172" s="176">
        <f>IF(ISNUMBER(CB170),-CB170*N(CB171),"")</f>
        <v/>
      </c>
      <c r="CC172" s="176">
        <f>IF(ISNUMBER(CC170),-CC170*N(CC171),"")</f>
        <v/>
      </c>
      <c r="CD172" s="176">
        <f>IF(ISNUMBER(CD170),-CD170*N(CD171),"")</f>
        <v/>
      </c>
      <c r="CE172" s="176">
        <f>IF(ISNUMBER(CE170),-CE170*N(CE171),"")</f>
        <v/>
      </c>
      <c r="CF172" s="20" t="n"/>
    </row>
    <row r="173" ht="15" customHeight="1">
      <c r="B173" s="26" t="inlineStr">
        <is>
          <t xml:space="preserve">  (+/−) Discrete tax items (Tax Cuts and Jobs Act deferred-tax revaluation, Q4-17: −$104.9m benefit removed)</t>
        </is>
      </c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174" t="n">
        <v>-104.9</v>
      </c>
      <c r="AH173" s="174" t="n">
        <v>-104.9</v>
      </c>
      <c r="AI173" s="36" t="n"/>
      <c r="AJ173" s="36" t="n"/>
      <c r="AK173" s="36" t="n"/>
      <c r="AL173" s="36" t="n"/>
      <c r="AM173" s="36" t="n"/>
      <c r="AN173" s="36" t="n"/>
      <c r="AO173" s="36" t="n"/>
      <c r="AP173" s="36" t="n"/>
      <c r="AQ173" s="36" t="n"/>
      <c r="AR173" s="36" t="n"/>
      <c r="AS173" s="36" t="n"/>
      <c r="AT173" s="36" t="n"/>
      <c r="AU173" s="36" t="n"/>
      <c r="AV173" s="36" t="n"/>
      <c r="AW173" s="36" t="n"/>
      <c r="AX173" s="36" t="n"/>
      <c r="AY173" s="36" t="n"/>
      <c r="AZ173" s="36" t="n"/>
      <c r="BA173" s="36" t="n"/>
      <c r="BB173" s="36" t="n"/>
      <c r="BC173" s="36" t="n"/>
      <c r="BD173" s="36" t="n"/>
      <c r="BE173" s="36" t="n"/>
      <c r="BF173" s="36" t="n"/>
      <c r="BG173" s="36" t="n"/>
      <c r="BH173" s="36" t="n"/>
      <c r="BI173" s="36" t="n"/>
      <c r="BJ173" s="36" t="n"/>
      <c r="BK173" s="36" t="n"/>
      <c r="BL173" s="36" t="n"/>
      <c r="BM173" s="36" t="n"/>
      <c r="BN173" s="36" t="n"/>
      <c r="BO173" s="36" t="n"/>
      <c r="BP173" s="36" t="n"/>
      <c r="BQ173" s="36" t="n"/>
      <c r="BR173" s="36" t="n"/>
      <c r="BS173" s="36" t="n"/>
      <c r="BT173" s="36" t="n"/>
      <c r="BU173" s="36" t="n"/>
      <c r="BV173" s="36" t="n"/>
      <c r="BW173" s="36" t="n"/>
      <c r="BX173" s="36" t="n"/>
      <c r="BY173" s="175" t="n">
        <v>0</v>
      </c>
      <c r="BZ173" s="175" t="n">
        <v>0</v>
      </c>
      <c r="CA173" s="176">
        <f>SUM(BW173,BX173,BY173,BZ173)</f>
        <v/>
      </c>
      <c r="CB173" s="175" t="n">
        <v>0</v>
      </c>
      <c r="CC173" s="175" t="n">
        <v>0</v>
      </c>
      <c r="CD173" s="175" t="n">
        <v>0</v>
      </c>
      <c r="CE173" s="175" t="n">
        <v>0</v>
      </c>
      <c r="CF173" s="20" t="n"/>
    </row>
    <row r="174" ht="15" customHeight="1">
      <c r="B174" s="59" t="inlineStr">
        <is>
          <t xml:space="preserve">  = Adjusted net income (model)</t>
        </is>
      </c>
      <c r="C174" s="196">
        <f>IF(ISNUMBER(C169),C169+N(C170)+N(C172)+N(C173),"")</f>
        <v/>
      </c>
      <c r="D174" s="196">
        <f>IF(ISNUMBER(D169),D169+N(D170)+N(D172)+N(D173),"")</f>
        <v/>
      </c>
      <c r="E174" s="196">
        <f>IF(ISNUMBER(E169),E169+N(E170)+N(E172)+N(E173),"")</f>
        <v/>
      </c>
      <c r="F174" s="196">
        <f>IF(ISNUMBER(F169),F169+N(F170)+N(F172)+N(F173),"")</f>
        <v/>
      </c>
      <c r="G174" s="196">
        <f>IF(ISNUMBER(G169),G169+N(G170)+N(G172)+N(G173),"")</f>
        <v/>
      </c>
      <c r="H174" s="196">
        <f>IF(ISNUMBER(H169),H169+N(H170)+N(H172)+N(H173),"")</f>
        <v/>
      </c>
      <c r="I174" s="196">
        <f>IF(ISNUMBER(I169),I169+N(I170)+N(I172)+N(I173),"")</f>
        <v/>
      </c>
      <c r="J174" s="196">
        <f>IF(ISNUMBER(J169),J169+N(J170)+N(J172)+N(J173),"")</f>
        <v/>
      </c>
      <c r="K174" s="196">
        <f>IF(ISNUMBER(K169),K169+N(K170)+N(K172)+N(K173),"")</f>
        <v/>
      </c>
      <c r="L174" s="196">
        <f>IF(ISNUMBER(L169),L169+N(L170)+N(L172)+N(L173),"")</f>
        <v/>
      </c>
      <c r="M174" s="196">
        <f>IF(ISNUMBER(M169),M169+N(M170)+N(M172)+N(M173),"")</f>
        <v/>
      </c>
      <c r="N174" s="196">
        <f>IF(ISNUMBER(N169),N169+N(N170)+N(N172)+N(N173),"")</f>
        <v/>
      </c>
      <c r="O174" s="196">
        <f>IF(ISNUMBER(O169),O169+N(O170)+N(O172)+N(O173),"")</f>
        <v/>
      </c>
      <c r="P174" s="196">
        <f>IF(ISNUMBER(P169),P169+N(P170)+N(P172)+N(P173),"")</f>
        <v/>
      </c>
      <c r="Q174" s="196">
        <f>IF(ISNUMBER(Q169),Q169+N(Q170)+N(Q172)+N(Q173),"")</f>
        <v/>
      </c>
      <c r="R174" s="196">
        <f>IF(ISNUMBER(R169),R169+N(R170)+N(R172)+N(R173),"")</f>
        <v/>
      </c>
      <c r="S174" s="196">
        <f>IF(ISNUMBER(S169),S169+N(S170)+N(S172)+N(S173),"")</f>
        <v/>
      </c>
      <c r="T174" s="196">
        <f>IF(ISNUMBER(T169),T169+N(T170)+N(T172)+N(T173),"")</f>
        <v/>
      </c>
      <c r="U174" s="196">
        <f>IF(ISNUMBER(U169),U169+N(U170)+N(U172)+N(U173),"")</f>
        <v/>
      </c>
      <c r="V174" s="196">
        <f>IF(ISNUMBER(V169),V169+N(V170)+N(V172)+N(V173),"")</f>
        <v/>
      </c>
      <c r="W174" s="196">
        <f>IF(ISNUMBER(W169),W169+N(W170)+N(W172)+N(W173),"")</f>
        <v/>
      </c>
      <c r="X174" s="196">
        <f>IF(ISNUMBER(X169),X169+N(X170)+N(X172)+N(X173),"")</f>
        <v/>
      </c>
      <c r="Y174" s="196">
        <f>IF(ISNUMBER(Y169),Y169+N(Y170)+N(Y172)+N(Y173),"")</f>
        <v/>
      </c>
      <c r="Z174" s="196">
        <f>IF(ISNUMBER(Z169),Z169+N(Z170)+N(Z172)+N(Z173),"")</f>
        <v/>
      </c>
      <c r="AA174" s="196">
        <f>IF(ISNUMBER(AA169),AA169+N(AA170)+N(AA172)+N(AA173),"")</f>
        <v/>
      </c>
      <c r="AB174" s="196">
        <f>IF(ISNUMBER(AB169),AB169+N(AB170)+N(AB172)+N(AB173),"")</f>
        <v/>
      </c>
      <c r="AC174" s="196">
        <f>IF(ISNUMBER(AC169),AC169+N(AC170)+N(AC172)+N(AC173),"")</f>
        <v/>
      </c>
      <c r="AD174" s="196">
        <f>IF(ISNUMBER(AD169),AD169+N(AD170)+N(AD172)+N(AD173),"")</f>
        <v/>
      </c>
      <c r="AE174" s="196">
        <f>IF(ISNUMBER(AE169),AE169+N(AE170)+N(AE172)+N(AE173),"")</f>
        <v/>
      </c>
      <c r="AF174" s="196">
        <f>IF(ISNUMBER(AF169),AF169+N(AF170)+N(AF172)+N(AF173),"")</f>
        <v/>
      </c>
      <c r="AG174" s="196">
        <f>IF(ISNUMBER(AG169),AG169+N(AG170)+N(AG172)+N(AG173),"")</f>
        <v/>
      </c>
      <c r="AH174" s="196">
        <f>IF(ISNUMBER(AH169),AH169+N(AH170)+N(AH172)+N(AH173),"")</f>
        <v/>
      </c>
      <c r="AI174" s="196">
        <f>IF(ISNUMBER(AI169),AI169+N(AI170)+N(AI172)+N(AI173),"")</f>
        <v/>
      </c>
      <c r="AJ174" s="196">
        <f>IF(ISNUMBER(AJ169),AJ169+N(AJ170)+N(AJ172)+N(AJ173),"")</f>
        <v/>
      </c>
      <c r="AK174" s="196">
        <f>IF(ISNUMBER(AK169),AK169+N(AK170)+N(AK172)+N(AK173),"")</f>
        <v/>
      </c>
      <c r="AL174" s="196">
        <f>IF(ISNUMBER(AL169),AL169+N(AL170)+N(AL172)+N(AL173),"")</f>
        <v/>
      </c>
      <c r="AM174" s="196">
        <f>IF(ISNUMBER(AM169),AM169+N(AM170)+N(AM172)+N(AM173),"")</f>
        <v/>
      </c>
      <c r="AN174" s="196">
        <f>IF(ISNUMBER(AN169),AN169+N(AN170)+N(AN172)+N(AN173),"")</f>
        <v/>
      </c>
      <c r="AO174" s="196">
        <f>IF(ISNUMBER(AO169),AO169+N(AO170)+N(AO172)+N(AO173),"")</f>
        <v/>
      </c>
      <c r="AP174" s="196">
        <f>IF(ISNUMBER(AP169),AP169+N(AP170)+N(AP172)+N(AP173),"")</f>
        <v/>
      </c>
      <c r="AQ174" s="196">
        <f>IF(ISNUMBER(AQ169),AQ169+N(AQ170)+N(AQ172)+N(AQ173),"")</f>
        <v/>
      </c>
      <c r="AR174" s="196">
        <f>IF(ISNUMBER(AR169),AR169+N(AR170)+N(AR172)+N(AR173),"")</f>
        <v/>
      </c>
      <c r="AS174" s="196">
        <f>IF(ISNUMBER(AS169),AS169+N(AS170)+N(AS172)+N(AS173),"")</f>
        <v/>
      </c>
      <c r="AT174" s="196">
        <f>IF(ISNUMBER(AT169),AT169+N(AT170)+N(AT172)+N(AT173),"")</f>
        <v/>
      </c>
      <c r="AU174" s="196">
        <f>IF(ISNUMBER(AU169),AU169+N(AU170)+N(AU172)+N(AU173),"")</f>
        <v/>
      </c>
      <c r="AV174" s="196">
        <f>IF(ISNUMBER(AV169),AV169+N(AV170)+N(AV172)+N(AV173),"")</f>
        <v/>
      </c>
      <c r="AW174" s="196">
        <f>IF(ISNUMBER(AW169),AW169+N(AW170)+N(AW172)+N(AW173),"")</f>
        <v/>
      </c>
      <c r="AX174" s="196">
        <f>IF(ISNUMBER(AX169),AX169+N(AX170)+N(AX172)+N(AX173),"")</f>
        <v/>
      </c>
      <c r="AY174" s="196">
        <f>IF(ISNUMBER(AY169),AY169+N(AY170)+N(AY172)+N(AY173),"")</f>
        <v/>
      </c>
      <c r="AZ174" s="196">
        <f>IF(ISNUMBER(AZ169),AZ169+N(AZ170)+N(AZ172)+N(AZ173),"")</f>
        <v/>
      </c>
      <c r="BA174" s="196">
        <f>IF(ISNUMBER(BA169),BA169+N(BA170)+N(BA172)+N(BA173),"")</f>
        <v/>
      </c>
      <c r="BB174" s="196">
        <f>IF(ISNUMBER(BB169),BB169+N(BB170)+N(BB172)+N(BB173),"")</f>
        <v/>
      </c>
      <c r="BC174" s="196">
        <f>IF(ISNUMBER(BC169),BC169+N(BC170)+N(BC172)+N(BC173),"")</f>
        <v/>
      </c>
      <c r="BD174" s="196">
        <f>IF(ISNUMBER(BD169),BD169+N(BD170)+N(BD172)+N(BD173),"")</f>
        <v/>
      </c>
      <c r="BE174" s="196">
        <f>IF(ISNUMBER(BE169),BE169+N(BE170)+N(BE172)+N(BE173),"")</f>
        <v/>
      </c>
      <c r="BF174" s="196">
        <f>IF(ISNUMBER(BF169),BF169+N(BF170)+N(BF172)+N(BF173),"")</f>
        <v/>
      </c>
      <c r="BG174" s="196">
        <f>IF(ISNUMBER(BG169),BG169+N(BG170)+N(BG172)+N(BG173),"")</f>
        <v/>
      </c>
      <c r="BH174" s="196">
        <f>IF(ISNUMBER(BH169),BH169+N(BH170)+N(BH172)+N(BH173),"")</f>
        <v/>
      </c>
      <c r="BI174" s="196">
        <f>IF(ISNUMBER(BI169),BI169+N(BI170)+N(BI172)+N(BI173),"")</f>
        <v/>
      </c>
      <c r="BJ174" s="196">
        <f>IF(ISNUMBER(BJ169),BJ169+N(BJ170)+N(BJ172)+N(BJ173),"")</f>
        <v/>
      </c>
      <c r="BK174" s="196">
        <f>IF(ISNUMBER(BK169),BK169+N(BK170)+N(BK172)+N(BK173),"")</f>
        <v/>
      </c>
      <c r="BL174" s="196">
        <f>IF(ISNUMBER(BL169),BL169+N(BL170)+N(BL172)+N(BL173),"")</f>
        <v/>
      </c>
      <c r="BM174" s="196">
        <f>IF(ISNUMBER(BM169),BM169+N(BM170)+N(BM172)+N(BM173),"")</f>
        <v/>
      </c>
      <c r="BN174" s="196">
        <f>IF(ISNUMBER(BN169),BN169+N(BN170)+N(BN172)+N(BN173),"")</f>
        <v/>
      </c>
      <c r="BO174" s="196">
        <f>IF(ISNUMBER(BO169),BO169+N(BO170)+N(BO172)+N(BO173),"")</f>
        <v/>
      </c>
      <c r="BP174" s="196">
        <f>IF(ISNUMBER(BP169),BP169+N(BP170)+N(BP172)+N(BP173),"")</f>
        <v/>
      </c>
      <c r="BQ174" s="196">
        <f>IF(ISNUMBER(BQ169),BQ169+N(BQ170)+N(BQ172)+N(BQ173),"")</f>
        <v/>
      </c>
      <c r="BR174" s="196">
        <f>IF(ISNUMBER(BR169),BR169+N(BR170)+N(BR172)+N(BR173),"")</f>
        <v/>
      </c>
      <c r="BS174" s="196">
        <f>IF(ISNUMBER(BS169),BS169+N(BS170)+N(BS172)+N(BS173),"")</f>
        <v/>
      </c>
      <c r="BT174" s="196">
        <f>IF(ISNUMBER(BT169),BT169+N(BT170)+N(BT172)+N(BT173),"")</f>
        <v/>
      </c>
      <c r="BU174" s="196">
        <f>IF(ISNUMBER(BU169),BU169+N(BU170)+N(BU172)+N(BU173),"")</f>
        <v/>
      </c>
      <c r="BV174" s="196">
        <f>IF(ISNUMBER(BV169),BV169+N(BV170)+N(BV172)+N(BV173),"")</f>
        <v/>
      </c>
      <c r="BW174" s="196">
        <f>IF(ISNUMBER(BW169),BW169+N(BW170)+N(BW172)+N(BW173),"")</f>
        <v/>
      </c>
      <c r="BX174" s="196">
        <f>IF(ISNUMBER(BX169),BX169+N(BX170)+N(BX172)+N(BX173),"")</f>
        <v/>
      </c>
      <c r="BY174" s="196">
        <f>IF(ISNUMBER(BY169),BY169+N(BY170)+N(BY172)+N(BY173),"")</f>
        <v/>
      </c>
      <c r="BZ174" s="196">
        <f>IF(ISNUMBER(BZ169),BZ169+N(BZ170)+N(BZ172)+N(BZ173),"")</f>
        <v/>
      </c>
      <c r="CA174" s="196">
        <f>IF(ISNUMBER(CA169),CA169+N(CA170)+N(CA172)+N(CA173),"")</f>
        <v/>
      </c>
      <c r="CB174" s="196">
        <f>IF(ISNUMBER(CB169),CB169+N(CB170)+N(CB172)+N(CB173),"")</f>
        <v/>
      </c>
      <c r="CC174" s="196">
        <f>IF(ISNUMBER(CC169),CC169+N(CC170)+N(CC172)+N(CC173),"")</f>
        <v/>
      </c>
      <c r="CD174" s="196">
        <f>IF(ISNUMBER(CD169),CD169+N(CD170)+N(CD172)+N(CD173),"")</f>
        <v/>
      </c>
      <c r="CE174" s="196">
        <f>IF(ISNUMBER(CE169),CE169+N(CE170)+N(CE172)+N(CE173),"")</f>
        <v/>
      </c>
      <c r="CF174" s="6" t="n"/>
      <c r="CH174" s="21">
        <f>IFERROR((CE174/BV174)^(1/5)-1,"n/m")</f>
        <v/>
      </c>
      <c r="CI174" s="21">
        <f>IFERROR((BV174/AW174)^(1/5)-1,"n/m")</f>
        <v/>
      </c>
      <c r="CJ174" s="21">
        <f>IFERROR((BV174/X174)^(1/10)-1,"n/m")</f>
        <v/>
      </c>
      <c r="CK174" s="21">
        <f>IFERROR((BV174/C174)^(1/19)-1,"n/m")</f>
        <v/>
      </c>
    </row>
    <row r="175" ht="15" customHeight="1">
      <c r="B175" s="26" t="inlineStr">
        <is>
          <t xml:space="preserve">  Weighted-average diluted shares (m)</t>
        </is>
      </c>
      <c r="C175" s="197">
        <f>C130</f>
        <v/>
      </c>
      <c r="D175" s="197">
        <f>D130</f>
        <v/>
      </c>
      <c r="E175" s="197">
        <f>E130</f>
        <v/>
      </c>
      <c r="F175" s="197">
        <f>F130</f>
        <v/>
      </c>
      <c r="G175" s="197">
        <f>G130</f>
        <v/>
      </c>
      <c r="H175" s="197">
        <f>H130</f>
        <v/>
      </c>
      <c r="I175" s="197">
        <f>I130</f>
        <v/>
      </c>
      <c r="J175" s="197">
        <f>J130</f>
        <v/>
      </c>
      <c r="K175" s="197">
        <f>K130</f>
        <v/>
      </c>
      <c r="L175" s="197">
        <f>L130</f>
        <v/>
      </c>
      <c r="M175" s="197">
        <f>M130</f>
        <v/>
      </c>
      <c r="N175" s="197">
        <f>N130</f>
        <v/>
      </c>
      <c r="O175" s="197">
        <f>O130</f>
        <v/>
      </c>
      <c r="P175" s="197">
        <f>P130</f>
        <v/>
      </c>
      <c r="Q175" s="197">
        <f>Q130</f>
        <v/>
      </c>
      <c r="R175" s="197">
        <f>R130</f>
        <v/>
      </c>
      <c r="S175" s="197">
        <f>S130</f>
        <v/>
      </c>
      <c r="T175" s="197">
        <f>T130</f>
        <v/>
      </c>
      <c r="U175" s="197">
        <f>U130</f>
        <v/>
      </c>
      <c r="V175" s="197">
        <f>V130</f>
        <v/>
      </c>
      <c r="W175" s="197">
        <f>W130</f>
        <v/>
      </c>
      <c r="X175" s="197">
        <f>X130</f>
        <v/>
      </c>
      <c r="Y175" s="197">
        <f>Y130</f>
        <v/>
      </c>
      <c r="Z175" s="197">
        <f>Z130</f>
        <v/>
      </c>
      <c r="AA175" s="197">
        <f>AA130</f>
        <v/>
      </c>
      <c r="AB175" s="197">
        <f>AB130</f>
        <v/>
      </c>
      <c r="AC175" s="197">
        <f>AC130</f>
        <v/>
      </c>
      <c r="AD175" s="197">
        <f>AD130</f>
        <v/>
      </c>
      <c r="AE175" s="197">
        <f>AE130</f>
        <v/>
      </c>
      <c r="AF175" s="197">
        <f>AF130</f>
        <v/>
      </c>
      <c r="AG175" s="197">
        <f>AG130</f>
        <v/>
      </c>
      <c r="AH175" s="197">
        <f>AH130</f>
        <v/>
      </c>
      <c r="AI175" s="197">
        <f>AI130</f>
        <v/>
      </c>
      <c r="AJ175" s="197">
        <f>AJ130</f>
        <v/>
      </c>
      <c r="AK175" s="197">
        <f>AK130</f>
        <v/>
      </c>
      <c r="AL175" s="197">
        <f>AL130</f>
        <v/>
      </c>
      <c r="AM175" s="197">
        <f>AM130</f>
        <v/>
      </c>
      <c r="AN175" s="197">
        <f>AN130</f>
        <v/>
      </c>
      <c r="AO175" s="197">
        <f>AO130</f>
        <v/>
      </c>
      <c r="AP175" s="197">
        <f>AP130</f>
        <v/>
      </c>
      <c r="AQ175" s="197">
        <f>AQ130</f>
        <v/>
      </c>
      <c r="AR175" s="197">
        <f>AR130</f>
        <v/>
      </c>
      <c r="AS175" s="197">
        <f>AS130</f>
        <v/>
      </c>
      <c r="AT175" s="197">
        <f>AT130</f>
        <v/>
      </c>
      <c r="AU175" s="197">
        <f>AU130</f>
        <v/>
      </c>
      <c r="AV175" s="197">
        <f>AV130</f>
        <v/>
      </c>
      <c r="AW175" s="197">
        <f>AW130</f>
        <v/>
      </c>
      <c r="AX175" s="197">
        <f>AX130</f>
        <v/>
      </c>
      <c r="AY175" s="197">
        <f>AY130</f>
        <v/>
      </c>
      <c r="AZ175" s="197">
        <f>AZ130</f>
        <v/>
      </c>
      <c r="BA175" s="197">
        <f>BA130</f>
        <v/>
      </c>
      <c r="BB175" s="197">
        <f>BB130</f>
        <v/>
      </c>
      <c r="BC175" s="197">
        <f>BC130</f>
        <v/>
      </c>
      <c r="BD175" s="197">
        <f>BD130</f>
        <v/>
      </c>
      <c r="BE175" s="197">
        <f>BE130</f>
        <v/>
      </c>
      <c r="BF175" s="197">
        <f>BF130</f>
        <v/>
      </c>
      <c r="BG175" s="197">
        <f>BG130</f>
        <v/>
      </c>
      <c r="BH175" s="197">
        <f>BH130</f>
        <v/>
      </c>
      <c r="BI175" s="197">
        <f>BI130</f>
        <v/>
      </c>
      <c r="BJ175" s="197">
        <f>BJ130</f>
        <v/>
      </c>
      <c r="BK175" s="197">
        <f>BK130</f>
        <v/>
      </c>
      <c r="BL175" s="197">
        <f>BL130</f>
        <v/>
      </c>
      <c r="BM175" s="197">
        <f>BM130</f>
        <v/>
      </c>
      <c r="BN175" s="197">
        <f>BN130</f>
        <v/>
      </c>
      <c r="BO175" s="197">
        <f>BO130</f>
        <v/>
      </c>
      <c r="BP175" s="197">
        <f>BP130</f>
        <v/>
      </c>
      <c r="BQ175" s="197">
        <f>BQ130</f>
        <v/>
      </c>
      <c r="BR175" s="197">
        <f>BR130</f>
        <v/>
      </c>
      <c r="BS175" s="197">
        <f>BS130</f>
        <v/>
      </c>
      <c r="BT175" s="197">
        <f>BT130</f>
        <v/>
      </c>
      <c r="BU175" s="197">
        <f>BU130</f>
        <v/>
      </c>
      <c r="BV175" s="197">
        <f>BV130</f>
        <v/>
      </c>
      <c r="BW175" s="197">
        <f>BW130</f>
        <v/>
      </c>
      <c r="BX175" s="197">
        <f>BX130</f>
        <v/>
      </c>
      <c r="BY175" s="206">
        <f>BY130</f>
        <v/>
      </c>
      <c r="BZ175" s="206">
        <f>BZ130</f>
        <v/>
      </c>
      <c r="CA175" s="206">
        <f>CA130</f>
        <v/>
      </c>
      <c r="CB175" s="206">
        <f>CB130</f>
        <v/>
      </c>
      <c r="CC175" s="206">
        <f>CC130</f>
        <v/>
      </c>
      <c r="CD175" s="206">
        <f>CD130</f>
        <v/>
      </c>
      <c r="CE175" s="206">
        <f>CE130</f>
        <v/>
      </c>
      <c r="CF175" s="20" t="n"/>
    </row>
    <row r="176" ht="15" customHeight="1">
      <c r="B176" s="59" t="inlineStr">
        <is>
          <t>Adjusted EPS – diluted ($) (model)</t>
        </is>
      </c>
      <c r="C176" s="209">
        <f>IF(AND(ISNUMBER(C174),ISNUMBER(C175)),IFERROR(C174/C175,""),"")</f>
        <v/>
      </c>
      <c r="D176" s="209">
        <f>IF(AND(ISNUMBER(D174),ISNUMBER(D175)),IFERROR(D174/D175,""),"")</f>
        <v/>
      </c>
      <c r="E176" s="209">
        <f>IF(AND(ISNUMBER(E174),ISNUMBER(E175)),IFERROR(E174/E175,""),"")</f>
        <v/>
      </c>
      <c r="F176" s="209">
        <f>IF(AND(ISNUMBER(F174),ISNUMBER(F175)),IFERROR(F174/F175,""),"")</f>
        <v/>
      </c>
      <c r="G176" s="209">
        <f>IF(AND(ISNUMBER(G174),ISNUMBER(G175)),IFERROR(G174/G175,""),"")</f>
        <v/>
      </c>
      <c r="H176" s="209">
        <f>IF(AND(ISNUMBER(H174),ISNUMBER(H175)),IFERROR(H174/H175,""),"")</f>
        <v/>
      </c>
      <c r="I176" s="209">
        <f>IF(AND(ISNUMBER(I174),ISNUMBER(I175)),IFERROR(I174/I175,""),"")</f>
        <v/>
      </c>
      <c r="J176" s="209">
        <f>IF(AND(ISNUMBER(J174),ISNUMBER(J175)),IFERROR(J174/J175,""),"")</f>
        <v/>
      </c>
      <c r="K176" s="209">
        <f>IF(AND(ISNUMBER(K174),ISNUMBER(K175)),IFERROR(K174/K175,""),"")</f>
        <v/>
      </c>
      <c r="L176" s="209">
        <f>IF(AND(ISNUMBER(L174),ISNUMBER(L175)),IFERROR(L174/L175,""),"")</f>
        <v/>
      </c>
      <c r="M176" s="209">
        <f>IF(AND(ISNUMBER(M174),ISNUMBER(M175)),IFERROR(M174/M175,""),"")</f>
        <v/>
      </c>
      <c r="N176" s="209">
        <f>IF(AND(ISNUMBER(N174),ISNUMBER(N175)),IFERROR(N174/N175,""),"")</f>
        <v/>
      </c>
      <c r="O176" s="209">
        <f>IF(AND(ISNUMBER(O174),ISNUMBER(O175)),IFERROR(O174/O175,""),"")</f>
        <v/>
      </c>
      <c r="P176" s="209">
        <f>IF(AND(ISNUMBER(P174),ISNUMBER(P175)),IFERROR(P174/P175,""),"")</f>
        <v/>
      </c>
      <c r="Q176" s="209">
        <f>IF(AND(ISNUMBER(Q174),ISNUMBER(Q175)),IFERROR(Q174/Q175,""),"")</f>
        <v/>
      </c>
      <c r="R176" s="209">
        <f>IF(AND(ISNUMBER(R174),ISNUMBER(R175)),IFERROR(R174/R175,""),"")</f>
        <v/>
      </c>
      <c r="S176" s="209">
        <f>IF(AND(ISNUMBER(S174),ISNUMBER(S175)),IFERROR(S174/S175,""),"")</f>
        <v/>
      </c>
      <c r="T176" s="209">
        <f>IF(AND(ISNUMBER(T174),ISNUMBER(T175)),IFERROR(T174/T175,""),"")</f>
        <v/>
      </c>
      <c r="U176" s="209">
        <f>IF(AND(ISNUMBER(U174),ISNUMBER(U175)),IFERROR(U174/U175,""),"")</f>
        <v/>
      </c>
      <c r="V176" s="209">
        <f>IF(AND(ISNUMBER(V174),ISNUMBER(V175)),IFERROR(V174/V175,""),"")</f>
        <v/>
      </c>
      <c r="W176" s="209">
        <f>IF(AND(ISNUMBER(W174),ISNUMBER(W175)),IFERROR(W174/W175,""),"")</f>
        <v/>
      </c>
      <c r="X176" s="209">
        <f>IF(AND(ISNUMBER(X174),ISNUMBER(X175)),IFERROR(X174/X175,""),"")</f>
        <v/>
      </c>
      <c r="Y176" s="209">
        <f>IF(AND(ISNUMBER(Y174),ISNUMBER(Y175)),IFERROR(Y174/Y175,""),"")</f>
        <v/>
      </c>
      <c r="Z176" s="209">
        <f>IF(AND(ISNUMBER(Z174),ISNUMBER(Z175)),IFERROR(Z174/Z175,""),"")</f>
        <v/>
      </c>
      <c r="AA176" s="209">
        <f>IF(AND(ISNUMBER(AA174),ISNUMBER(AA175)),IFERROR(AA174/AA175,""),"")</f>
        <v/>
      </c>
      <c r="AB176" s="209">
        <f>IF(AND(ISNUMBER(AB174),ISNUMBER(AB175)),IFERROR(AB174/AB175,""),"")</f>
        <v/>
      </c>
      <c r="AC176" s="209">
        <f>IF(AND(ISNUMBER(AC174),ISNUMBER(AC175)),IFERROR(AC174/AC175,""),"")</f>
        <v/>
      </c>
      <c r="AD176" s="209">
        <f>IF(AND(ISNUMBER(AD174),ISNUMBER(AD175)),IFERROR(AD174/AD175,""),"")</f>
        <v/>
      </c>
      <c r="AE176" s="209">
        <f>IF(AND(ISNUMBER(AE174),ISNUMBER(AE175)),IFERROR(AE174/AE175,""),"")</f>
        <v/>
      </c>
      <c r="AF176" s="209">
        <f>IF(AND(ISNUMBER(AF174),ISNUMBER(AF175)),IFERROR(AF174/AF175,""),"")</f>
        <v/>
      </c>
      <c r="AG176" s="209">
        <f>IF(AND(ISNUMBER(AG174),ISNUMBER(AG175)),IFERROR(AG174/AG175,""),"")</f>
        <v/>
      </c>
      <c r="AH176" s="209">
        <f>IF(AND(ISNUMBER(AH174),ISNUMBER(AH175)),IFERROR(AH174/AH175,""),"")</f>
        <v/>
      </c>
      <c r="AI176" s="209">
        <f>IF(AND(ISNUMBER(AI174),ISNUMBER(AI175)),IFERROR(AI174/AI175,""),"")</f>
        <v/>
      </c>
      <c r="AJ176" s="209">
        <f>IF(AND(ISNUMBER(AJ174),ISNUMBER(AJ175)),IFERROR(AJ174/AJ175,""),"")</f>
        <v/>
      </c>
      <c r="AK176" s="209">
        <f>IF(AND(ISNUMBER(AK174),ISNUMBER(AK175)),IFERROR(AK174/AK175,""),"")</f>
        <v/>
      </c>
      <c r="AL176" s="209">
        <f>IF(AND(ISNUMBER(AL174),ISNUMBER(AL175)),IFERROR(AL174/AL175,""),"")</f>
        <v/>
      </c>
      <c r="AM176" s="209">
        <f>IF(AND(ISNUMBER(AM174),ISNUMBER(AM175)),IFERROR(AM174/AM175,""),"")</f>
        <v/>
      </c>
      <c r="AN176" s="209">
        <f>IF(AND(ISNUMBER(AN174),ISNUMBER(AN175)),IFERROR(AN174/AN175,""),"")</f>
        <v/>
      </c>
      <c r="AO176" s="209">
        <f>IF(AND(ISNUMBER(AO174),ISNUMBER(AO175)),IFERROR(AO174/AO175,""),"")</f>
        <v/>
      </c>
      <c r="AP176" s="209">
        <f>IF(AND(ISNUMBER(AP174),ISNUMBER(AP175)),IFERROR(AP174/AP175,""),"")</f>
        <v/>
      </c>
      <c r="AQ176" s="209">
        <f>IF(AND(ISNUMBER(AQ174),ISNUMBER(AQ175)),IFERROR(AQ174/AQ175,""),"")</f>
        <v/>
      </c>
      <c r="AR176" s="209">
        <f>IF(AND(ISNUMBER(AR174),ISNUMBER(AR175)),IFERROR(AR174/AR175,""),"")</f>
        <v/>
      </c>
      <c r="AS176" s="209">
        <f>IF(AND(ISNUMBER(AS174),ISNUMBER(AS175)),IFERROR(AS174/AS175,""),"")</f>
        <v/>
      </c>
      <c r="AT176" s="209">
        <f>IF(AND(ISNUMBER(AT174),ISNUMBER(AT175)),IFERROR(AT174/AT175,""),"")</f>
        <v/>
      </c>
      <c r="AU176" s="209">
        <f>IF(AND(ISNUMBER(AU174),ISNUMBER(AU175)),IFERROR(AU174/AU175,""),"")</f>
        <v/>
      </c>
      <c r="AV176" s="209">
        <f>IF(AND(ISNUMBER(AV174),ISNUMBER(AV175)),IFERROR(AV174/AV175,""),"")</f>
        <v/>
      </c>
      <c r="AW176" s="209">
        <f>IF(AND(ISNUMBER(AW174),ISNUMBER(AW175)),IFERROR(AW174/AW175,""),"")</f>
        <v/>
      </c>
      <c r="AX176" s="209">
        <f>IF(AND(ISNUMBER(AX174),ISNUMBER(AX175)),IFERROR(AX174/AX175,""),"")</f>
        <v/>
      </c>
      <c r="AY176" s="209">
        <f>IF(AND(ISNUMBER(AY174),ISNUMBER(AY175)),IFERROR(AY174/AY175,""),"")</f>
        <v/>
      </c>
      <c r="AZ176" s="209">
        <f>IF(AND(ISNUMBER(AZ174),ISNUMBER(AZ175)),IFERROR(AZ174/AZ175,""),"")</f>
        <v/>
      </c>
      <c r="BA176" s="209">
        <f>IF(AND(ISNUMBER(BA174),ISNUMBER(BA175)),IFERROR(BA174/BA175,""),"")</f>
        <v/>
      </c>
      <c r="BB176" s="209">
        <f>IF(AND(ISNUMBER(BB174),ISNUMBER(BB175)),IFERROR(BB174/BB175,""),"")</f>
        <v/>
      </c>
      <c r="BC176" s="209">
        <f>IF(AND(ISNUMBER(BC174),ISNUMBER(BC175)),IFERROR(BC174/BC175,""),"")</f>
        <v/>
      </c>
      <c r="BD176" s="209">
        <f>IF(AND(ISNUMBER(BD174),ISNUMBER(BD175)),IFERROR(BD174/BD175,""),"")</f>
        <v/>
      </c>
      <c r="BE176" s="209">
        <f>IF(AND(ISNUMBER(BE174),ISNUMBER(BE175)),IFERROR(BE174/BE175,""),"")</f>
        <v/>
      </c>
      <c r="BF176" s="209">
        <f>IF(AND(ISNUMBER(BF174),ISNUMBER(BF175)),IFERROR(BF174/BF175,""),"")</f>
        <v/>
      </c>
      <c r="BG176" s="209">
        <f>IF(AND(ISNUMBER(BG174),ISNUMBER(BG175)),IFERROR(BG174/BG175,""),"")</f>
        <v/>
      </c>
      <c r="BH176" s="209">
        <f>IF(AND(ISNUMBER(BH174),ISNUMBER(BH175)),IFERROR(BH174/BH175,""),"")</f>
        <v/>
      </c>
      <c r="BI176" s="209">
        <f>IF(AND(ISNUMBER(BI174),ISNUMBER(BI175)),IFERROR(BI174/BI175,""),"")</f>
        <v/>
      </c>
      <c r="BJ176" s="209">
        <f>IF(AND(ISNUMBER(BJ174),ISNUMBER(BJ175)),IFERROR(BJ174/BJ175,""),"")</f>
        <v/>
      </c>
      <c r="BK176" s="209">
        <f>IF(AND(ISNUMBER(BK174),ISNUMBER(BK175)),IFERROR(BK174/BK175,""),"")</f>
        <v/>
      </c>
      <c r="BL176" s="209">
        <f>IF(AND(ISNUMBER(BL174),ISNUMBER(BL175)),IFERROR(BL174/BL175,""),"")</f>
        <v/>
      </c>
      <c r="BM176" s="209">
        <f>IF(AND(ISNUMBER(BM174),ISNUMBER(BM175)),IFERROR(BM174/BM175,""),"")</f>
        <v/>
      </c>
      <c r="BN176" s="209">
        <f>IF(AND(ISNUMBER(BN174),ISNUMBER(BN175)),IFERROR(BN174/BN175,""),"")</f>
        <v/>
      </c>
      <c r="BO176" s="209">
        <f>IF(AND(ISNUMBER(BO174),ISNUMBER(BO175)),IFERROR(BO174/BO175,""),"")</f>
        <v/>
      </c>
      <c r="BP176" s="209">
        <f>IF(AND(ISNUMBER(BP174),ISNUMBER(BP175)),IFERROR(BP174/BP175,""),"")</f>
        <v/>
      </c>
      <c r="BQ176" s="209">
        <f>IF(AND(ISNUMBER(BQ174),ISNUMBER(BQ175)),IFERROR(BQ174/BQ175,""),"")</f>
        <v/>
      </c>
      <c r="BR176" s="209">
        <f>IF(AND(ISNUMBER(BR174),ISNUMBER(BR175)),IFERROR(BR174/BR175,""),"")</f>
        <v/>
      </c>
      <c r="BS176" s="209">
        <f>IF(AND(ISNUMBER(BS174),ISNUMBER(BS175)),IFERROR(BS174/BS175,""),"")</f>
        <v/>
      </c>
      <c r="BT176" s="209">
        <f>IF(AND(ISNUMBER(BT174),ISNUMBER(BT175)),IFERROR(BT174/BT175,""),"")</f>
        <v/>
      </c>
      <c r="BU176" s="209">
        <f>IF(AND(ISNUMBER(BU174),ISNUMBER(BU175)),IFERROR(BU174/BU175,""),"")</f>
        <v/>
      </c>
      <c r="BV176" s="209">
        <f>IF(AND(ISNUMBER(BV174),ISNUMBER(BV175)),IFERROR(BV174/BV175,""),"")</f>
        <v/>
      </c>
      <c r="BW176" s="209">
        <f>IF(AND(ISNUMBER(BW174),ISNUMBER(BW175)),IFERROR(BW174/BW175,""),"")</f>
        <v/>
      </c>
      <c r="BX176" s="209">
        <f>IF(AND(ISNUMBER(BX174),ISNUMBER(BX175)),IFERROR(BX174/BX175,""),"")</f>
        <v/>
      </c>
      <c r="BY176" s="209">
        <f>IF(AND(ISNUMBER(BY174),ISNUMBER(BY175)),IFERROR(BY174/BY175,""),"")</f>
        <v/>
      </c>
      <c r="BZ176" s="209">
        <f>IF(AND(ISNUMBER(BZ174),ISNUMBER(BZ175)),IFERROR(BZ174/BZ175,""),"")</f>
        <v/>
      </c>
      <c r="CA176" s="209">
        <f>IF(AND(ISNUMBER(CA174),ISNUMBER(CA175)),IFERROR(CA174/CA175,""),"")</f>
        <v/>
      </c>
      <c r="CB176" s="209">
        <f>IF(AND(ISNUMBER(CB174),ISNUMBER(CB175)),IFERROR(CB174/CB175,""),"")</f>
        <v/>
      </c>
      <c r="CC176" s="209">
        <f>IF(AND(ISNUMBER(CC174),ISNUMBER(CC175)),IFERROR(CC174/CC175,""),"")</f>
        <v/>
      </c>
      <c r="CD176" s="209">
        <f>IF(AND(ISNUMBER(CD174),ISNUMBER(CD175)),IFERROR(CD174/CD175,""),"")</f>
        <v/>
      </c>
      <c r="CE176" s="209">
        <f>IF(AND(ISNUMBER(CE174),ISNUMBER(CE175)),IFERROR(CE174/CE175,""),"")</f>
        <v/>
      </c>
      <c r="CF176" s="20" t="n"/>
      <c r="CH176" s="21">
        <f>IFERROR((CE176/BV176)^(1/5)-1,"n/m")</f>
        <v/>
      </c>
      <c r="CI176" s="21">
        <f>IFERROR((BV176/AW176)^(1/5)-1,"n/m")</f>
        <v/>
      </c>
      <c r="CJ176" s="21">
        <f>IFERROR((BV176/X176)^(1/10)-1,"n/m")</f>
        <v/>
      </c>
      <c r="CK176" s="21">
        <f>IFERROR((BV176/C176)^(1/19)-1,"n/m")</f>
        <v/>
      </c>
    </row>
    <row r="177" ht="15" customHeight="1">
      <c r="B177" s="42" t="inlineStr">
        <is>
          <t xml:space="preserve">  Adjusting items per diluted share, after tax ($)</t>
        </is>
      </c>
      <c r="C177" s="207">
        <f>IF(AND(ISNUMBER(C174),ISNUMBER(C175)),(C174-C169)/C175,"")</f>
        <v/>
      </c>
      <c r="D177" s="207">
        <f>IF(AND(ISNUMBER(D174),ISNUMBER(D175)),(D174-D169)/D175,"")</f>
        <v/>
      </c>
      <c r="E177" s="207">
        <f>IF(AND(ISNUMBER(E174),ISNUMBER(E175)),(E174-E169)/E175,"")</f>
        <v/>
      </c>
      <c r="F177" s="207">
        <f>IF(AND(ISNUMBER(F174),ISNUMBER(F175)),(F174-F169)/F175,"")</f>
        <v/>
      </c>
      <c r="G177" s="207">
        <f>IF(AND(ISNUMBER(G174),ISNUMBER(G175)),(G174-G169)/G175,"")</f>
        <v/>
      </c>
      <c r="H177" s="207">
        <f>IF(AND(ISNUMBER(H174),ISNUMBER(H175)),(H174-H169)/H175,"")</f>
        <v/>
      </c>
      <c r="I177" s="207">
        <f>IF(AND(ISNUMBER(I174),ISNUMBER(I175)),(I174-I169)/I175,"")</f>
        <v/>
      </c>
      <c r="J177" s="207">
        <f>IF(AND(ISNUMBER(J174),ISNUMBER(J175)),(J174-J169)/J175,"")</f>
        <v/>
      </c>
      <c r="K177" s="207">
        <f>IF(AND(ISNUMBER(K174),ISNUMBER(K175)),(K174-K169)/K175,"")</f>
        <v/>
      </c>
      <c r="L177" s="207">
        <f>IF(AND(ISNUMBER(L174),ISNUMBER(L175)),(L174-L169)/L175,"")</f>
        <v/>
      </c>
      <c r="M177" s="207">
        <f>IF(AND(ISNUMBER(M174),ISNUMBER(M175)),(M174-M169)/M175,"")</f>
        <v/>
      </c>
      <c r="N177" s="207">
        <f>IF(AND(ISNUMBER(N174),ISNUMBER(N175)),(N174-N169)/N175,"")</f>
        <v/>
      </c>
      <c r="O177" s="207">
        <f>IF(AND(ISNUMBER(O174),ISNUMBER(O175)),(O174-O169)/O175,"")</f>
        <v/>
      </c>
      <c r="P177" s="207">
        <f>IF(AND(ISNUMBER(P174),ISNUMBER(P175)),(P174-P169)/P175,"")</f>
        <v/>
      </c>
      <c r="Q177" s="207">
        <f>IF(AND(ISNUMBER(Q174),ISNUMBER(Q175)),(Q174-Q169)/Q175,"")</f>
        <v/>
      </c>
      <c r="R177" s="207">
        <f>IF(AND(ISNUMBER(R174),ISNUMBER(R175)),(R174-R169)/R175,"")</f>
        <v/>
      </c>
      <c r="S177" s="207">
        <f>IF(AND(ISNUMBER(S174),ISNUMBER(S175)),(S174-S169)/S175,"")</f>
        <v/>
      </c>
      <c r="T177" s="207">
        <f>IF(AND(ISNUMBER(T174),ISNUMBER(T175)),(T174-T169)/T175,"")</f>
        <v/>
      </c>
      <c r="U177" s="207">
        <f>IF(AND(ISNUMBER(U174),ISNUMBER(U175)),(U174-U169)/U175,"")</f>
        <v/>
      </c>
      <c r="V177" s="207">
        <f>IF(AND(ISNUMBER(V174),ISNUMBER(V175)),(V174-V169)/V175,"")</f>
        <v/>
      </c>
      <c r="W177" s="207">
        <f>IF(AND(ISNUMBER(W174),ISNUMBER(W175)),(W174-W169)/W175,"")</f>
        <v/>
      </c>
      <c r="X177" s="207">
        <f>IF(AND(ISNUMBER(X174),ISNUMBER(X175)),(X174-X169)/X175,"")</f>
        <v/>
      </c>
      <c r="Y177" s="207">
        <f>IF(AND(ISNUMBER(Y174),ISNUMBER(Y175)),(Y174-Y169)/Y175,"")</f>
        <v/>
      </c>
      <c r="Z177" s="207">
        <f>IF(AND(ISNUMBER(Z174),ISNUMBER(Z175)),(Z174-Z169)/Z175,"")</f>
        <v/>
      </c>
      <c r="AA177" s="207">
        <f>IF(AND(ISNUMBER(AA174),ISNUMBER(AA175)),(AA174-AA169)/AA175,"")</f>
        <v/>
      </c>
      <c r="AB177" s="207">
        <f>IF(AND(ISNUMBER(AB174),ISNUMBER(AB175)),(AB174-AB169)/AB175,"")</f>
        <v/>
      </c>
      <c r="AC177" s="207">
        <f>IF(AND(ISNUMBER(AC174),ISNUMBER(AC175)),(AC174-AC169)/AC175,"")</f>
        <v/>
      </c>
      <c r="AD177" s="207">
        <f>IF(AND(ISNUMBER(AD174),ISNUMBER(AD175)),(AD174-AD169)/AD175,"")</f>
        <v/>
      </c>
      <c r="AE177" s="207">
        <f>IF(AND(ISNUMBER(AE174),ISNUMBER(AE175)),(AE174-AE169)/AE175,"")</f>
        <v/>
      </c>
      <c r="AF177" s="207">
        <f>IF(AND(ISNUMBER(AF174),ISNUMBER(AF175)),(AF174-AF169)/AF175,"")</f>
        <v/>
      </c>
      <c r="AG177" s="207">
        <f>IF(AND(ISNUMBER(AG174),ISNUMBER(AG175)),(AG174-AG169)/AG175,"")</f>
        <v/>
      </c>
      <c r="AH177" s="207">
        <f>IF(AND(ISNUMBER(AH174),ISNUMBER(AH175)),(AH174-AH169)/AH175,"")</f>
        <v/>
      </c>
      <c r="AI177" s="207">
        <f>IF(AND(ISNUMBER(AI174),ISNUMBER(AI175)),(AI174-AI169)/AI175,"")</f>
        <v/>
      </c>
      <c r="AJ177" s="207">
        <f>IF(AND(ISNUMBER(AJ174),ISNUMBER(AJ175)),(AJ174-AJ169)/AJ175,"")</f>
        <v/>
      </c>
      <c r="AK177" s="207">
        <f>IF(AND(ISNUMBER(AK174),ISNUMBER(AK175)),(AK174-AK169)/AK175,"")</f>
        <v/>
      </c>
      <c r="AL177" s="207">
        <f>IF(AND(ISNUMBER(AL174),ISNUMBER(AL175)),(AL174-AL169)/AL175,"")</f>
        <v/>
      </c>
      <c r="AM177" s="207">
        <f>IF(AND(ISNUMBER(AM174),ISNUMBER(AM175)),(AM174-AM169)/AM175,"")</f>
        <v/>
      </c>
      <c r="AN177" s="207">
        <f>IF(AND(ISNUMBER(AN174),ISNUMBER(AN175)),(AN174-AN169)/AN175,"")</f>
        <v/>
      </c>
      <c r="AO177" s="207">
        <f>IF(AND(ISNUMBER(AO174),ISNUMBER(AO175)),(AO174-AO169)/AO175,"")</f>
        <v/>
      </c>
      <c r="AP177" s="207">
        <f>IF(AND(ISNUMBER(AP174),ISNUMBER(AP175)),(AP174-AP169)/AP175,"")</f>
        <v/>
      </c>
      <c r="AQ177" s="207">
        <f>IF(AND(ISNUMBER(AQ174),ISNUMBER(AQ175)),(AQ174-AQ169)/AQ175,"")</f>
        <v/>
      </c>
      <c r="AR177" s="207">
        <f>IF(AND(ISNUMBER(AR174),ISNUMBER(AR175)),(AR174-AR169)/AR175,"")</f>
        <v/>
      </c>
      <c r="AS177" s="207">
        <f>IF(AND(ISNUMBER(AS174),ISNUMBER(AS175)),(AS174-AS169)/AS175,"")</f>
        <v/>
      </c>
      <c r="AT177" s="207">
        <f>IF(AND(ISNUMBER(AT174),ISNUMBER(AT175)),(AT174-AT169)/AT175,"")</f>
        <v/>
      </c>
      <c r="AU177" s="207">
        <f>IF(AND(ISNUMBER(AU174),ISNUMBER(AU175)),(AU174-AU169)/AU175,"")</f>
        <v/>
      </c>
      <c r="AV177" s="207">
        <f>IF(AND(ISNUMBER(AV174),ISNUMBER(AV175)),(AV174-AV169)/AV175,"")</f>
        <v/>
      </c>
      <c r="AW177" s="207">
        <f>IF(AND(ISNUMBER(AW174),ISNUMBER(AW175)),(AW174-AW169)/AW175,"")</f>
        <v/>
      </c>
      <c r="AX177" s="207">
        <f>IF(AND(ISNUMBER(AX174),ISNUMBER(AX175)),(AX174-AX169)/AX175,"")</f>
        <v/>
      </c>
      <c r="AY177" s="207">
        <f>IF(AND(ISNUMBER(AY174),ISNUMBER(AY175)),(AY174-AY169)/AY175,"")</f>
        <v/>
      </c>
      <c r="AZ177" s="207">
        <f>IF(AND(ISNUMBER(AZ174),ISNUMBER(AZ175)),(AZ174-AZ169)/AZ175,"")</f>
        <v/>
      </c>
      <c r="BA177" s="207">
        <f>IF(AND(ISNUMBER(BA174),ISNUMBER(BA175)),(BA174-BA169)/BA175,"")</f>
        <v/>
      </c>
      <c r="BB177" s="207">
        <f>IF(AND(ISNUMBER(BB174),ISNUMBER(BB175)),(BB174-BB169)/BB175,"")</f>
        <v/>
      </c>
      <c r="BC177" s="207">
        <f>IF(AND(ISNUMBER(BC174),ISNUMBER(BC175)),(BC174-BC169)/BC175,"")</f>
        <v/>
      </c>
      <c r="BD177" s="207">
        <f>IF(AND(ISNUMBER(BD174),ISNUMBER(BD175)),(BD174-BD169)/BD175,"")</f>
        <v/>
      </c>
      <c r="BE177" s="207">
        <f>IF(AND(ISNUMBER(BE174),ISNUMBER(BE175)),(BE174-BE169)/BE175,"")</f>
        <v/>
      </c>
      <c r="BF177" s="207">
        <f>IF(AND(ISNUMBER(BF174),ISNUMBER(BF175)),(BF174-BF169)/BF175,"")</f>
        <v/>
      </c>
      <c r="BG177" s="207">
        <f>IF(AND(ISNUMBER(BG174),ISNUMBER(BG175)),(BG174-BG169)/BG175,"")</f>
        <v/>
      </c>
      <c r="BH177" s="207">
        <f>IF(AND(ISNUMBER(BH174),ISNUMBER(BH175)),(BH174-BH169)/BH175,"")</f>
        <v/>
      </c>
      <c r="BI177" s="207">
        <f>IF(AND(ISNUMBER(BI174),ISNUMBER(BI175)),(BI174-BI169)/BI175,"")</f>
        <v/>
      </c>
      <c r="BJ177" s="207">
        <f>IF(AND(ISNUMBER(BJ174),ISNUMBER(BJ175)),(BJ174-BJ169)/BJ175,"")</f>
        <v/>
      </c>
      <c r="BK177" s="207">
        <f>IF(AND(ISNUMBER(BK174),ISNUMBER(BK175)),(BK174-BK169)/BK175,"")</f>
        <v/>
      </c>
      <c r="BL177" s="207">
        <f>IF(AND(ISNUMBER(BL174),ISNUMBER(BL175)),(BL174-BL169)/BL175,"")</f>
        <v/>
      </c>
      <c r="BM177" s="207">
        <f>IF(AND(ISNUMBER(BM174),ISNUMBER(BM175)),(BM174-BM169)/BM175,"")</f>
        <v/>
      </c>
      <c r="BN177" s="207">
        <f>IF(AND(ISNUMBER(BN174),ISNUMBER(BN175)),(BN174-BN169)/BN175,"")</f>
        <v/>
      </c>
      <c r="BO177" s="207">
        <f>IF(AND(ISNUMBER(BO174),ISNUMBER(BO175)),(BO174-BO169)/BO175,"")</f>
        <v/>
      </c>
      <c r="BP177" s="207">
        <f>IF(AND(ISNUMBER(BP174),ISNUMBER(BP175)),(BP174-BP169)/BP175,"")</f>
        <v/>
      </c>
      <c r="BQ177" s="207">
        <f>IF(AND(ISNUMBER(BQ174),ISNUMBER(BQ175)),(BQ174-BQ169)/BQ175,"")</f>
        <v/>
      </c>
      <c r="BR177" s="207">
        <f>IF(AND(ISNUMBER(BR174),ISNUMBER(BR175)),(BR174-BR169)/BR175,"")</f>
        <v/>
      </c>
      <c r="BS177" s="207">
        <f>IF(AND(ISNUMBER(BS174),ISNUMBER(BS175)),(BS174-BS169)/BS175,"")</f>
        <v/>
      </c>
      <c r="BT177" s="207">
        <f>IF(AND(ISNUMBER(BT174),ISNUMBER(BT175)),(BT174-BT169)/BT175,"")</f>
        <v/>
      </c>
      <c r="BU177" s="207">
        <f>IF(AND(ISNUMBER(BU174),ISNUMBER(BU175)),(BU174-BU169)/BU175,"")</f>
        <v/>
      </c>
      <c r="BV177" s="207">
        <f>IF(AND(ISNUMBER(BV174),ISNUMBER(BV175)),(BV174-BV169)/BV175,"")</f>
        <v/>
      </c>
      <c r="BW177" s="207">
        <f>IF(AND(ISNUMBER(BW174),ISNUMBER(BW175)),(BW174-BW169)/BW175,"")</f>
        <v/>
      </c>
      <c r="BX177" s="207">
        <f>IF(AND(ISNUMBER(BX174),ISNUMBER(BX175)),(BX174-BX169)/BX175,"")</f>
        <v/>
      </c>
      <c r="BY177" s="211">
        <f>IF(AND(ISNUMBER(BY174),ISNUMBER(BY175)),(BY174-BY169)/BY175,"")</f>
        <v/>
      </c>
      <c r="BZ177" s="211">
        <f>IF(AND(ISNUMBER(BZ174),ISNUMBER(BZ175)),(BZ174-BZ169)/BZ175,"")</f>
        <v/>
      </c>
      <c r="CA177" s="211">
        <f>IF(AND(ISNUMBER(CA174),ISNUMBER(CA175)),(CA174-CA169)/CA175,"")</f>
        <v/>
      </c>
      <c r="CB177" s="211">
        <f>IF(AND(ISNUMBER(CB174),ISNUMBER(CB175)),(CB174-CB169)/CB175,"")</f>
        <v/>
      </c>
      <c r="CC177" s="211">
        <f>IF(AND(ISNUMBER(CC174),ISNUMBER(CC175)),(CC174-CC169)/CC175,"")</f>
        <v/>
      </c>
      <c r="CD177" s="211">
        <f>IF(AND(ISNUMBER(CD174),ISNUMBER(CD175)),(CD174-CD169)/CD175,"")</f>
        <v/>
      </c>
      <c r="CE177" s="211">
        <f>IF(AND(ISNUMBER(CE174),ISNUMBER(CE175)),(CE174-CE169)/CE175,"")</f>
        <v/>
      </c>
      <c r="CF177" s="6" t="n"/>
    </row>
    <row r="178" ht="15" customHeight="1">
      <c r="B178" s="42" t="inlineStr">
        <is>
          <t xml:space="preserve">  Memo: GAAP EPS – diluted as published ($; split-adjusted)</t>
        </is>
      </c>
      <c r="C178" s="210" t="n">
        <v>0.288889</v>
      </c>
      <c r="D178" s="210" t="n">
        <v>0.285926</v>
      </c>
      <c r="E178" s="210" t="n">
        <v>0.272593</v>
      </c>
      <c r="F178" s="210" t="n">
        <v>0.139259</v>
      </c>
      <c r="G178" s="210" t="n">
        <v>0.3</v>
      </c>
      <c r="H178" s="210" t="n">
        <v>0.542222</v>
      </c>
      <c r="I178" s="210" t="n">
        <v>0.656667</v>
      </c>
      <c r="J178" s="210" t="n">
        <v>0.156667</v>
      </c>
      <c r="K178" s="210" t="n">
        <v>0.226667</v>
      </c>
      <c r="L178" s="210" t="n">
        <v>0.233333</v>
      </c>
      <c r="M178" s="210" t="n">
        <v>0.183333</v>
      </c>
      <c r="N178" s="210" t="n">
        <v>0.796667</v>
      </c>
      <c r="O178" s="210" t="n">
        <v>0.176667</v>
      </c>
      <c r="P178" s="210" t="n">
        <v>0.286667</v>
      </c>
      <c r="Q178" s="210" t="n">
        <v>0.3</v>
      </c>
      <c r="R178" s="210" t="n">
        <v>0.27</v>
      </c>
      <c r="S178" s="210" t="n">
        <v>1.033333</v>
      </c>
      <c r="T178" s="210" t="n">
        <v>0.243333</v>
      </c>
      <c r="U178" s="210" t="n">
        <v>0.333333</v>
      </c>
      <c r="V178" s="210" t="n">
        <v>0.33</v>
      </c>
      <c r="W178" s="210" t="n">
        <v>0.283333</v>
      </c>
      <c r="X178" s="210" t="n">
        <v>1.19</v>
      </c>
      <c r="Y178" s="210" t="n">
        <v>0.24</v>
      </c>
      <c r="Z178" s="210" t="n">
        <v>0.326667</v>
      </c>
      <c r="AA178" s="210" t="n">
        <v>0.343333</v>
      </c>
      <c r="AB178" s="210" t="n">
        <v>0.276667</v>
      </c>
      <c r="AC178" s="210" t="n">
        <v>1.186667</v>
      </c>
      <c r="AD178" s="210" t="n">
        <v>0.266667</v>
      </c>
      <c r="AE178" s="210" t="n">
        <v>0.396667</v>
      </c>
      <c r="AF178" s="210" t="n">
        <v>0.413333</v>
      </c>
      <c r="AG178" s="210" t="n">
        <v>0.796667</v>
      </c>
      <c r="AH178" s="210" t="n">
        <v>1.876667</v>
      </c>
      <c r="AI178" s="210" t="n">
        <v>0.443333</v>
      </c>
      <c r="AJ178" s="210" t="n">
        <v>0.663333</v>
      </c>
      <c r="AK178" s="210" t="n">
        <v>0.706667</v>
      </c>
      <c r="AL178" s="210" t="n">
        <v>0.65</v>
      </c>
      <c r="AM178" s="210" t="n">
        <v>2.46</v>
      </c>
      <c r="AN178" s="210" t="n">
        <v>0.546667</v>
      </c>
      <c r="AO178" s="210" t="n">
        <v>0.72</v>
      </c>
      <c r="AP178" s="210" t="n">
        <v>0.683333</v>
      </c>
      <c r="AQ178" s="210" t="n">
        <v>0.6</v>
      </c>
      <c r="AR178" s="210" t="n">
        <v>2.553333</v>
      </c>
      <c r="AS178" s="210" t="n">
        <v>0.555</v>
      </c>
      <c r="AT178" s="210" t="n">
        <v>0.625</v>
      </c>
      <c r="AU178" s="210" t="n">
        <v>0.855</v>
      </c>
      <c r="AV178" s="210" t="n">
        <v>0.805</v>
      </c>
      <c r="AW178" s="210" t="n">
        <v>2.84</v>
      </c>
      <c r="AX178" s="210" t="n">
        <v>0.85</v>
      </c>
      <c r="AY178" s="210" t="n">
        <v>1.155</v>
      </c>
      <c r="AZ178" s="210" t="n">
        <v>1.235</v>
      </c>
      <c r="BA178" s="210" t="n">
        <v>1.205</v>
      </c>
      <c r="BB178" s="210" t="n">
        <v>4.445</v>
      </c>
      <c r="BC178" s="210" t="n">
        <v>1.3</v>
      </c>
      <c r="BD178" s="210" t="n">
        <v>1.65</v>
      </c>
      <c r="BE178" s="210" t="n">
        <v>1.68</v>
      </c>
      <c r="BF178" s="210" t="n">
        <v>1.46</v>
      </c>
      <c r="BG178" s="210" t="n">
        <v>6.09</v>
      </c>
      <c r="BH178" s="210" t="n">
        <v>1.29</v>
      </c>
      <c r="BI178" s="210" t="n">
        <v>1.325</v>
      </c>
      <c r="BJ178" s="210" t="n">
        <v>1.545</v>
      </c>
      <c r="BK178" s="210" t="n">
        <v>1.47</v>
      </c>
      <c r="BL178" s="210" t="n">
        <v>5.63</v>
      </c>
      <c r="BM178" s="210" t="n">
        <v>1.34</v>
      </c>
      <c r="BN178" s="210" t="n">
        <v>1.48</v>
      </c>
      <c r="BO178" s="210" t="n">
        <v>1.43</v>
      </c>
      <c r="BP178" s="210" t="n">
        <v>1.23</v>
      </c>
      <c r="BQ178" s="210" t="n">
        <v>5.48</v>
      </c>
      <c r="BR178" s="210" t="n">
        <v>1.19</v>
      </c>
      <c r="BS178" s="210" t="n">
        <v>1.27</v>
      </c>
      <c r="BT178" s="210" t="n">
        <v>1.28</v>
      </c>
      <c r="BU178" s="210" t="n">
        <v>1.09</v>
      </c>
      <c r="BV178" s="210" t="n">
        <v>4.84</v>
      </c>
      <c r="BW178" s="210" t="n">
        <v>1.14</v>
      </c>
      <c r="BX178" s="210" t="n">
        <v>1.68</v>
      </c>
      <c r="BY178" s="6" t="n"/>
      <c r="BZ178" s="6" t="n"/>
      <c r="CA178" s="6" t="n"/>
      <c r="CB178" s="6" t="n"/>
      <c r="CC178" s="6" t="n"/>
      <c r="CD178" s="6" t="n"/>
      <c r="CE178" s="6" t="n"/>
      <c r="CF178" s="6" t="n"/>
    </row>
    <row r="179" ht="15" customHeight="1">
      <c r="B179" s="61" t="inlineStr">
        <is>
          <t xml:space="preserve">  Check: published GAAP diluted EPS + per-share items vs model adjusted EPS (should be 0.00; ±0.01 rounding / split restatement)</t>
        </is>
      </c>
      <c r="C179" s="207">
        <f>IF(ISNUMBER(C178),IF(ABS(C178+C177-C176)&lt;=0.0151,0,ROUND(C178+C177-C176,2)),"n/p")</f>
        <v/>
      </c>
      <c r="D179" s="207">
        <f>IF(ISNUMBER(D178),IF(ABS(D178+D177-D176)&lt;=0.0151,0,ROUND(D178+D177-D176,2)),"n/p")</f>
        <v/>
      </c>
      <c r="E179" s="207">
        <f>IF(ISNUMBER(E178),IF(ABS(E178+E177-E176)&lt;=0.0151,0,ROUND(E178+E177-E176,2)),"n/p")</f>
        <v/>
      </c>
      <c r="F179" s="207">
        <f>IF(ISNUMBER(F178),IF(ABS(F178+F177-F176)&lt;=0.0151,0,ROUND(F178+F177-F176,2)),"n/p")</f>
        <v/>
      </c>
      <c r="G179" s="207">
        <f>IF(ISNUMBER(G178),IF(ABS(G178+G177-G176)&lt;=0.0151,0,ROUND(G178+G177-G176,2)),"n/p")</f>
        <v/>
      </c>
      <c r="H179" s="207">
        <f>IF(ISNUMBER(H178),IF(ABS(H178+H177-H176)&lt;=0.0151,0,ROUND(H178+H177-H176,2)),"n/p")</f>
        <v/>
      </c>
      <c r="I179" s="207">
        <f>IF(ISNUMBER(I178),IF(ABS(I178+I177-I176)&lt;=0.0151,0,ROUND(I178+I177-I176,2)),"n/p")</f>
        <v/>
      </c>
      <c r="J179" s="207">
        <f>IF(ISNUMBER(J178),IF(ABS(J178+J177-J176)&lt;=0.0151,0,ROUND(J178+J177-J176,2)),"n/p")</f>
        <v/>
      </c>
      <c r="K179" s="207">
        <f>IF(ISNUMBER(K178),IF(ABS(K178+K177-K176)&lt;=0.0151,0,ROUND(K178+K177-K176,2)),"n/p")</f>
        <v/>
      </c>
      <c r="L179" s="207">
        <f>IF(ISNUMBER(L178),IF(ABS(L178+L177-L176)&lt;=0.0151,0,ROUND(L178+L177-L176,2)),"n/p")</f>
        <v/>
      </c>
      <c r="M179" s="207">
        <f>IF(ISNUMBER(M178),IF(ABS(M178+M177-M176)&lt;=0.0151,0,ROUND(M178+M177-M176,2)),"n/p")</f>
        <v/>
      </c>
      <c r="N179" s="207">
        <f>IF(ISNUMBER(N178),IF(ABS(N178+N177-N176)&lt;=0.0151,0,ROUND(N178+N177-N176,2)),"n/p")</f>
        <v/>
      </c>
      <c r="O179" s="207">
        <f>IF(ISNUMBER(O178),IF(ABS(O178+O177-O176)&lt;=0.0151,0,ROUND(O178+O177-O176,2)),"n/p")</f>
        <v/>
      </c>
      <c r="P179" s="207">
        <f>IF(ISNUMBER(P178),IF(ABS(P178+P177-P176)&lt;=0.0151,0,ROUND(P178+P177-P176,2)),"n/p")</f>
        <v/>
      </c>
      <c r="Q179" s="207">
        <f>IF(ISNUMBER(Q178),IF(ABS(Q178+Q177-Q176)&lt;=0.0151,0,ROUND(Q178+Q177-Q176,2)),"n/p")</f>
        <v/>
      </c>
      <c r="R179" s="207">
        <f>IF(ISNUMBER(R178),IF(ABS(R178+R177-R176)&lt;=0.0151,0,ROUND(R178+R177-R176,2)),"n/p")</f>
        <v/>
      </c>
      <c r="S179" s="207">
        <f>IF(ISNUMBER(S178),IF(ABS(S178+S177-S176)&lt;=0.0151,0,ROUND(S178+S177-S176,2)),"n/p")</f>
        <v/>
      </c>
      <c r="T179" s="207">
        <f>IF(ISNUMBER(T178),IF(ABS(T178+T177-T176)&lt;=0.0151,0,ROUND(T178+T177-T176,2)),"n/p")</f>
        <v/>
      </c>
      <c r="U179" s="207">
        <f>IF(ISNUMBER(U178),IF(ABS(U178+U177-U176)&lt;=0.0151,0,ROUND(U178+U177-U176,2)),"n/p")</f>
        <v/>
      </c>
      <c r="V179" s="207">
        <f>IF(ISNUMBER(V178),IF(ABS(V178+V177-V176)&lt;=0.0151,0,ROUND(V178+V177-V176,2)),"n/p")</f>
        <v/>
      </c>
      <c r="W179" s="207">
        <f>IF(ISNUMBER(W178),IF(ABS(W178+W177-W176)&lt;=0.0151,0,ROUND(W178+W177-W176,2)),"n/p")</f>
        <v/>
      </c>
      <c r="X179" s="207">
        <f>IF(ISNUMBER(X178),IF(ABS(X178+X177-X176)&lt;=0.0151,0,ROUND(X178+X177-X176,2)),"n/p")</f>
        <v/>
      </c>
      <c r="Y179" s="207">
        <f>IF(ISNUMBER(Y178),IF(ABS(Y178+Y177-Y176)&lt;=0.0151,0,ROUND(Y178+Y177-Y176,2)),"n/p")</f>
        <v/>
      </c>
      <c r="Z179" s="207">
        <f>IF(ISNUMBER(Z178),IF(ABS(Z178+Z177-Z176)&lt;=0.0151,0,ROUND(Z178+Z177-Z176,2)),"n/p")</f>
        <v/>
      </c>
      <c r="AA179" s="207">
        <f>IF(ISNUMBER(AA178),IF(ABS(AA178+AA177-AA176)&lt;=0.0151,0,ROUND(AA178+AA177-AA176,2)),"n/p")</f>
        <v/>
      </c>
      <c r="AB179" s="207">
        <f>IF(ISNUMBER(AB178),IF(ABS(AB178+AB177-AB176)&lt;=0.0151,0,ROUND(AB178+AB177-AB176,2)),"n/p")</f>
        <v/>
      </c>
      <c r="AC179" s="207">
        <f>IF(ISNUMBER(AC178),IF(ABS(AC178+AC177-AC176)&lt;=0.0151,0,ROUND(AC178+AC177-AC176,2)),"n/p")</f>
        <v/>
      </c>
      <c r="AD179" s="207">
        <f>IF(ISNUMBER(AD178),IF(ABS(AD178+AD177-AD176)&lt;=0.0151,0,ROUND(AD178+AD177-AD176,2)),"n/p")</f>
        <v/>
      </c>
      <c r="AE179" s="207">
        <f>IF(ISNUMBER(AE178),IF(ABS(AE178+AE177-AE176)&lt;=0.0151,0,ROUND(AE178+AE177-AE176,2)),"n/p")</f>
        <v/>
      </c>
      <c r="AF179" s="207">
        <f>IF(ISNUMBER(AF178),IF(ABS(AF178+AF177-AF176)&lt;=0.0151,0,ROUND(AF178+AF177-AF176,2)),"n/p")</f>
        <v/>
      </c>
      <c r="AG179" s="207">
        <f>IF(ISNUMBER(AG178),IF(ABS(AG178+AG177-AG176)&lt;=0.0151,0,ROUND(AG178+AG177-AG176,2)),"n/p")</f>
        <v/>
      </c>
      <c r="AH179" s="207">
        <f>IF(ISNUMBER(AH178),IF(ABS(AH178+AH177-AH176)&lt;=0.0151,0,ROUND(AH178+AH177-AH176,2)),"n/p")</f>
        <v/>
      </c>
      <c r="AI179" s="207">
        <f>IF(ISNUMBER(AI178),IF(ABS(AI178+AI177-AI176)&lt;=0.0151,0,ROUND(AI178+AI177-AI176,2)),"n/p")</f>
        <v/>
      </c>
      <c r="AJ179" s="207">
        <f>IF(ISNUMBER(AJ178),IF(ABS(AJ178+AJ177-AJ176)&lt;=0.0151,0,ROUND(AJ178+AJ177-AJ176,2)),"n/p")</f>
        <v/>
      </c>
      <c r="AK179" s="207">
        <f>IF(ISNUMBER(AK178),IF(ABS(AK178+AK177-AK176)&lt;=0.0151,0,ROUND(AK178+AK177-AK176,2)),"n/p")</f>
        <v/>
      </c>
      <c r="AL179" s="207">
        <f>IF(ISNUMBER(AL178),IF(ABS(AL178+AL177-AL176)&lt;=0.0151,0,ROUND(AL178+AL177-AL176,2)),"n/p")</f>
        <v/>
      </c>
      <c r="AM179" s="207">
        <f>IF(ISNUMBER(AM178),IF(ABS(AM178+AM177-AM176)&lt;=0.0151,0,ROUND(AM178+AM177-AM176,2)),"n/p")</f>
        <v/>
      </c>
      <c r="AN179" s="207">
        <f>IF(ISNUMBER(AN178),IF(ABS(AN178+AN177-AN176)&lt;=0.0151,0,ROUND(AN178+AN177-AN176,2)),"n/p")</f>
        <v/>
      </c>
      <c r="AO179" s="207">
        <f>IF(ISNUMBER(AO178),IF(ABS(AO178+AO177-AO176)&lt;=0.0151,0,ROUND(AO178+AO177-AO176,2)),"n/p")</f>
        <v/>
      </c>
      <c r="AP179" s="207">
        <f>IF(ISNUMBER(AP178),IF(ABS(AP178+AP177-AP176)&lt;=0.0151,0,ROUND(AP178+AP177-AP176,2)),"n/p")</f>
        <v/>
      </c>
      <c r="AQ179" s="207">
        <f>IF(ISNUMBER(AQ178),IF(ABS(AQ178+AQ177-AQ176)&lt;=0.0151,0,ROUND(AQ178+AQ177-AQ176,2)),"n/p")</f>
        <v/>
      </c>
      <c r="AR179" s="207">
        <f>IF(ISNUMBER(AR178),IF(ABS(AR178+AR177-AR176)&lt;=0.0151,0,ROUND(AR178+AR177-AR176,2)),"n/p")</f>
        <v/>
      </c>
      <c r="AS179" s="207">
        <f>IF(ISNUMBER(AS178),IF(ABS(AS178+AS177-AS176)&lt;=0.0151,0,ROUND(AS178+AS177-AS176,2)),"n/p")</f>
        <v/>
      </c>
      <c r="AT179" s="207">
        <f>IF(ISNUMBER(AT178),IF(ABS(AT178+AT177-AT176)&lt;=0.0151,0,ROUND(AT178+AT177-AT176,2)),"n/p")</f>
        <v/>
      </c>
      <c r="AU179" s="207">
        <f>IF(ISNUMBER(AU178),IF(ABS(AU178+AU177-AU176)&lt;=0.0151,0,ROUND(AU178+AU177-AU176,2)),"n/p")</f>
        <v/>
      </c>
      <c r="AV179" s="207">
        <f>IF(ISNUMBER(AV178),IF(ABS(AV178+AV177-AV176)&lt;=0.0151,0,ROUND(AV178+AV177-AV176,2)),"n/p")</f>
        <v/>
      </c>
      <c r="AW179" s="207">
        <f>IF(ISNUMBER(AW178),IF(ABS(AW178+AW177-AW176)&lt;=0.0151,0,ROUND(AW178+AW177-AW176,2)),"n/p")</f>
        <v/>
      </c>
      <c r="AX179" s="207">
        <f>IF(ISNUMBER(AX178),IF(ABS(AX178+AX177-AX176)&lt;=0.0151,0,ROUND(AX178+AX177-AX176,2)),"n/p")</f>
        <v/>
      </c>
      <c r="AY179" s="207">
        <f>IF(ISNUMBER(AY178),IF(ABS(AY178+AY177-AY176)&lt;=0.0151,0,ROUND(AY178+AY177-AY176,2)),"n/p")</f>
        <v/>
      </c>
      <c r="AZ179" s="207">
        <f>IF(ISNUMBER(AZ178),IF(ABS(AZ178+AZ177-AZ176)&lt;=0.0151,0,ROUND(AZ178+AZ177-AZ176,2)),"n/p")</f>
        <v/>
      </c>
      <c r="BA179" s="207">
        <f>IF(ISNUMBER(BA178),IF(ABS(BA178+BA177-BA176)&lt;=0.0151,0,ROUND(BA178+BA177-BA176,2)),"n/p")</f>
        <v/>
      </c>
      <c r="BB179" s="207">
        <f>IF(ISNUMBER(BB178),IF(ABS(BB178+BB177-BB176)&lt;=0.0151,0,ROUND(BB178+BB177-BB176,2)),"n/p")</f>
        <v/>
      </c>
      <c r="BC179" s="207">
        <f>IF(ISNUMBER(BC178),IF(ABS(BC178+BC177-BC176)&lt;=0.0151,0,ROUND(BC178+BC177-BC176,2)),"n/p")</f>
        <v/>
      </c>
      <c r="BD179" s="207">
        <f>IF(ISNUMBER(BD178),IF(ABS(BD178+BD177-BD176)&lt;=0.0151,0,ROUND(BD178+BD177-BD176,2)),"n/p")</f>
        <v/>
      </c>
      <c r="BE179" s="207">
        <f>IF(ISNUMBER(BE178),IF(ABS(BE178+BE177-BE176)&lt;=0.0151,0,ROUND(BE178+BE177-BE176,2)),"n/p")</f>
        <v/>
      </c>
      <c r="BF179" s="207">
        <f>IF(ISNUMBER(BF178),IF(ABS(BF178+BF177-BF176)&lt;=0.0151,0,ROUND(BF178+BF177-BF176,2)),"n/p")</f>
        <v/>
      </c>
      <c r="BG179" s="207">
        <f>IF(ISNUMBER(BG178),IF(ABS(BG178+BG177-BG176)&lt;=0.0151,0,ROUND(BG178+BG177-BG176,2)),"n/p")</f>
        <v/>
      </c>
      <c r="BH179" s="207">
        <f>IF(ISNUMBER(BH178),IF(ABS(BH178+BH177-BH176)&lt;=0.0151,0,ROUND(BH178+BH177-BH176,2)),"n/p")</f>
        <v/>
      </c>
      <c r="BI179" s="207">
        <f>IF(ISNUMBER(BI178),IF(ABS(BI178+BI177-BI176)&lt;=0.0151,0,ROUND(BI178+BI177-BI176,2)),"n/p")</f>
        <v/>
      </c>
      <c r="BJ179" s="207">
        <f>IF(ISNUMBER(BJ178),IF(ABS(BJ178+BJ177-BJ176)&lt;=0.0151,0,ROUND(BJ178+BJ177-BJ176,2)),"n/p")</f>
        <v/>
      </c>
      <c r="BK179" s="207">
        <f>IF(ISNUMBER(BK178),IF(ABS(BK178+BK177-BK176)&lt;=0.0151,0,ROUND(BK178+BK177-BK176,2)),"n/p")</f>
        <v/>
      </c>
      <c r="BL179" s="207">
        <f>IF(ISNUMBER(BL178),IF(ABS(BL178+BL177-BL176)&lt;=0.0151,0,ROUND(BL178+BL177-BL176,2)),"n/p")</f>
        <v/>
      </c>
      <c r="BM179" s="207">
        <f>IF(ISNUMBER(BM178),IF(ABS(BM178+BM177-BM176)&lt;=0.0151,0,ROUND(BM178+BM177-BM176,2)),"n/p")</f>
        <v/>
      </c>
      <c r="BN179" s="207">
        <f>IF(ISNUMBER(BN178),IF(ABS(BN178+BN177-BN176)&lt;=0.0151,0,ROUND(BN178+BN177-BN176,2)),"n/p")</f>
        <v/>
      </c>
      <c r="BO179" s="207">
        <f>IF(ISNUMBER(BO178),IF(ABS(BO178+BO177-BO176)&lt;=0.0151,0,ROUND(BO178+BO177-BO176,2)),"n/p")</f>
        <v/>
      </c>
      <c r="BP179" s="207">
        <f>IF(ISNUMBER(BP178),IF(ABS(BP178+BP177-BP176)&lt;=0.0151,0,ROUND(BP178+BP177-BP176,2)),"n/p")</f>
        <v/>
      </c>
      <c r="BQ179" s="207">
        <f>IF(ISNUMBER(BQ178),IF(ABS(BQ178+BQ177-BQ176)&lt;=0.0151,0,ROUND(BQ178+BQ177-BQ176,2)),"n/p")</f>
        <v/>
      </c>
      <c r="BR179" s="207">
        <f>IF(ISNUMBER(BR178),IF(ABS(BR178+BR177-BR176)&lt;=0.0151,0,ROUND(BR178+BR177-BR176,2)),"n/p")</f>
        <v/>
      </c>
      <c r="BS179" s="207">
        <f>IF(ISNUMBER(BS178),IF(ABS(BS178+BS177-BS176)&lt;=0.0151,0,ROUND(BS178+BS177-BS176,2)),"n/p")</f>
        <v/>
      </c>
      <c r="BT179" s="207">
        <f>IF(ISNUMBER(BT178),IF(ABS(BT178+BT177-BT176)&lt;=0.0151,0,ROUND(BT178+BT177-BT176,2)),"n/p")</f>
        <v/>
      </c>
      <c r="BU179" s="207">
        <f>IF(ISNUMBER(BU178),IF(ABS(BU178+BU177-BU176)&lt;=0.0151,0,ROUND(BU178+BU177-BU176,2)),"n/p")</f>
        <v/>
      </c>
      <c r="BV179" s="207">
        <f>IF(ISNUMBER(BV178),IF(ABS(BV178+BV177-BV176)&lt;=0.0151,0,ROUND(BV178+BV177-BV176,2)),"n/p")</f>
        <v/>
      </c>
      <c r="BW179" s="207">
        <f>IF(ISNUMBER(BW178),IF(ABS(BW178+BW177-BW176)&lt;=0.0151,0,ROUND(BW178+BW177-BW176,2)),"n/p")</f>
        <v/>
      </c>
      <c r="BX179" s="207">
        <f>IF(ISNUMBER(BX178),IF(ABS(BX178+BX177-BX176)&lt;=0.0151,0,ROUND(BX178+BX177-BX176,2)),"n/p")</f>
        <v/>
      </c>
      <c r="BY179" s="6" t="n"/>
      <c r="BZ179" s="6" t="n"/>
      <c r="CA179" s="6" t="n"/>
      <c r="CB179" s="6" t="n"/>
      <c r="CC179" s="6" t="n"/>
      <c r="CD179" s="6" t="n"/>
      <c r="CE179" s="6" t="n"/>
      <c r="CF179" s="6" t="n"/>
    </row>
    <row r="180" ht="15" customHeight="1">
      <c r="B180" s="67" t="inlineStr">
        <is>
          <t xml:space="preserve">  Definition basis (model definition; no company-published adjusted EPS)</t>
        </is>
      </c>
      <c r="C180" s="185" t="inlineStr">
        <is>
          <t>Model adjusted EPS = (GAAP net income + adjusting items × (1 − effective tax rate excl. discrete items) + discrete tax items) ÷ diluted shares</t>
        </is>
      </c>
      <c r="J180" s="68" t="n"/>
      <c r="AG180" s="185" t="inlineStr">
        <is>
          <t>Q4-17: TCJA revaluation of the net deferred tax liability (−$104.9m benefit removed)</t>
        </is>
      </c>
      <c r="AI180" s="185" t="inlineStr">
        <is>
          <t>From 2018: 21% federal statutory rate (TCJA)</t>
        </is>
      </c>
      <c r="AJ180" s="68" t="n"/>
      <c r="AN180" s="68" t="n"/>
      <c r="BA180" s="68" t="n"/>
      <c r="BM180" s="68" t="n"/>
      <c r="BT180" s="68" t="n"/>
      <c r="BY180" s="6" t="n"/>
      <c r="BZ180" s="6" t="n"/>
      <c r="CA180" s="6" t="n"/>
      <c r="CB180" s="6" t="n"/>
      <c r="CC180" s="6" t="n"/>
      <c r="CD180" s="6" t="n"/>
      <c r="CE180" s="6" t="n"/>
      <c r="CF180" s="20" t="n"/>
    </row>
    <row r="181" ht="15" customHeight="1">
      <c r="B181" s="23" t="inlineStr">
        <is>
          <t xml:space="preserve">  Adjusted EPS y/y %</t>
        </is>
      </c>
      <c r="D181" s="180">
        <f>IF(AND(ISNUMBER(D176),ISNUMBER(C176)),IFERROR(D176/C176-1,""),"")</f>
        <v/>
      </c>
      <c r="E181" s="180">
        <f>IF(AND(ISNUMBER(E176),ISNUMBER(D176)),IFERROR(E176/D176-1,""),"")</f>
        <v/>
      </c>
      <c r="F181" s="180">
        <f>IF(AND(ISNUMBER(F176),ISNUMBER(E176)),IFERROR(F176/E176-1,""),"")</f>
        <v/>
      </c>
      <c r="G181" s="180">
        <f>IF(AND(ISNUMBER(G176),ISNUMBER(F176)),IFERROR(G176/F176-1,""),"")</f>
        <v/>
      </c>
      <c r="H181" s="180">
        <f>IF(AND(ISNUMBER(H176),ISNUMBER(G176)),IFERROR(H176/G176-1,""),"")</f>
        <v/>
      </c>
      <c r="I181" s="180">
        <f>IF(AND(ISNUMBER(I176),ISNUMBER(H176)),IFERROR(I176/H176-1,""),"")</f>
        <v/>
      </c>
      <c r="N181" s="180">
        <f>IF(AND(ISNUMBER(N176),ISNUMBER(I176)),IFERROR(N176/I176-1,""),"")</f>
        <v/>
      </c>
      <c r="O181" s="180">
        <f>IF(AND(ISNUMBER(O176),ISNUMBER(J176)),IFERROR(O176/J176-1,""),"")</f>
        <v/>
      </c>
      <c r="P181" s="180">
        <f>IF(AND(ISNUMBER(P176),ISNUMBER(K176)),IFERROR(P176/K176-1,""),"")</f>
        <v/>
      </c>
      <c r="Q181" s="180">
        <f>IF(AND(ISNUMBER(Q176),ISNUMBER(L176)),IFERROR(Q176/L176-1,""),"")</f>
        <v/>
      </c>
      <c r="R181" s="180">
        <f>IF(AND(ISNUMBER(R176),ISNUMBER(M176)),IFERROR(R176/M176-1,""),"")</f>
        <v/>
      </c>
      <c r="S181" s="180">
        <f>IF(AND(ISNUMBER(S176),ISNUMBER(N176)),IFERROR(S176/N176-1,""),"")</f>
        <v/>
      </c>
      <c r="T181" s="180">
        <f>IF(AND(ISNUMBER(T176),ISNUMBER(O176)),IFERROR(T176/O176-1,""),"")</f>
        <v/>
      </c>
      <c r="U181" s="180">
        <f>IF(AND(ISNUMBER(U176),ISNUMBER(P176)),IFERROR(U176/P176-1,""),"")</f>
        <v/>
      </c>
      <c r="V181" s="180">
        <f>IF(AND(ISNUMBER(V176),ISNUMBER(Q176)),IFERROR(V176/Q176-1,""),"")</f>
        <v/>
      </c>
      <c r="W181" s="180">
        <f>IF(AND(ISNUMBER(W176),ISNUMBER(R176)),IFERROR(W176/R176-1,""),"")</f>
        <v/>
      </c>
      <c r="X181" s="180">
        <f>IF(AND(ISNUMBER(X176),ISNUMBER(S176)),IFERROR(X176/S176-1,""),"")</f>
        <v/>
      </c>
      <c r="Y181" s="180">
        <f>IF(AND(ISNUMBER(Y176),ISNUMBER(T176)),IFERROR(Y176/T176-1,""),"")</f>
        <v/>
      </c>
      <c r="Z181" s="180">
        <f>IF(AND(ISNUMBER(Z176),ISNUMBER(U176)),IFERROR(Z176/U176-1,""),"")</f>
        <v/>
      </c>
      <c r="AA181" s="180">
        <f>IF(AND(ISNUMBER(AA176),ISNUMBER(V176)),IFERROR(AA176/V176-1,""),"")</f>
        <v/>
      </c>
      <c r="AB181" s="180">
        <f>IF(AND(ISNUMBER(AB176),ISNUMBER(W176)),IFERROR(AB176/W176-1,""),"")</f>
        <v/>
      </c>
      <c r="AC181" s="180">
        <f>IF(AND(ISNUMBER(AC176),ISNUMBER(X176)),IFERROR(AC176/X176-1,""),"")</f>
        <v/>
      </c>
      <c r="AD181" s="180">
        <f>IF(AND(ISNUMBER(AD176),ISNUMBER(Y176)),IFERROR(AD176/Y176-1,""),"")</f>
        <v/>
      </c>
      <c r="AE181" s="180">
        <f>IF(AND(ISNUMBER(AE176),ISNUMBER(Z176)),IFERROR(AE176/Z176-1,""),"")</f>
        <v/>
      </c>
      <c r="AF181" s="180">
        <f>IF(AND(ISNUMBER(AF176),ISNUMBER(AA176)),IFERROR(AF176/AA176-1,""),"")</f>
        <v/>
      </c>
      <c r="AG181" s="180">
        <f>IF(AND(ISNUMBER(AG176),ISNUMBER(AB176)),IFERROR(AG176/AB176-1,""),"")</f>
        <v/>
      </c>
      <c r="AH181" s="180">
        <f>IF(AND(ISNUMBER(AH176),ISNUMBER(AC176)),IFERROR(AH176/AC176-1,""),"")</f>
        <v/>
      </c>
      <c r="AI181" s="180">
        <f>IF(AND(ISNUMBER(AI176),ISNUMBER(AD176)),IFERROR(AI176/AD176-1,""),"")</f>
        <v/>
      </c>
      <c r="AJ181" s="180">
        <f>IF(AND(ISNUMBER(AJ176),ISNUMBER(AE176)),IFERROR(AJ176/AE176-1,""),"")</f>
        <v/>
      </c>
      <c r="AK181" s="180">
        <f>IF(AND(ISNUMBER(AK176),ISNUMBER(AF176)),IFERROR(AK176/AF176-1,""),"")</f>
        <v/>
      </c>
      <c r="AL181" s="180">
        <f>IF(AND(ISNUMBER(AL176),ISNUMBER(AG176)),IFERROR(AL176/AG176-1,""),"")</f>
        <v/>
      </c>
      <c r="AM181" s="180">
        <f>IF(AND(ISNUMBER(AM176),ISNUMBER(AH176)),IFERROR(AM176/AH176-1,""),"")</f>
        <v/>
      </c>
      <c r="AN181" s="180">
        <f>IF(AND(ISNUMBER(AN176),ISNUMBER(AI176)),IFERROR(AN176/AI176-1,""),"")</f>
        <v/>
      </c>
      <c r="AO181" s="180">
        <f>IF(AND(ISNUMBER(AO176),ISNUMBER(AJ176)),IFERROR(AO176/AJ176-1,""),"")</f>
        <v/>
      </c>
      <c r="AP181" s="180">
        <f>IF(AND(ISNUMBER(AP176),ISNUMBER(AK176)),IFERROR(AP176/AK176-1,""),"")</f>
        <v/>
      </c>
      <c r="AQ181" s="180">
        <f>IF(AND(ISNUMBER(AQ176),ISNUMBER(AL176)),IFERROR(AQ176/AL176-1,""),"")</f>
        <v/>
      </c>
      <c r="AR181" s="180">
        <f>IF(AND(ISNUMBER(AR176),ISNUMBER(AM176)),IFERROR(AR176/AM176-1,""),"")</f>
        <v/>
      </c>
      <c r="AS181" s="180">
        <f>IF(AND(ISNUMBER(AS176),ISNUMBER(AN176)),IFERROR(AS176/AN176-1,""),"")</f>
        <v/>
      </c>
      <c r="AT181" s="180">
        <f>IF(AND(ISNUMBER(AT176),ISNUMBER(AO176)),IFERROR(AT176/AO176-1,""),"")</f>
        <v/>
      </c>
      <c r="AU181" s="180">
        <f>IF(AND(ISNUMBER(AU176),ISNUMBER(AP176)),IFERROR(AU176/AP176-1,""),"")</f>
        <v/>
      </c>
      <c r="AV181" s="180">
        <f>IF(AND(ISNUMBER(AV176),ISNUMBER(AQ176)),IFERROR(AV176/AQ176-1,""),"")</f>
        <v/>
      </c>
      <c r="AW181" s="180">
        <f>IF(AND(ISNUMBER(AW176),ISNUMBER(AR176)),IFERROR(AW176/AR176-1,""),"")</f>
        <v/>
      </c>
      <c r="AX181" s="180">
        <f>IF(AND(ISNUMBER(AX176),ISNUMBER(AS176)),IFERROR(AX176/AS176-1,""),"")</f>
        <v/>
      </c>
      <c r="AY181" s="180">
        <f>IF(AND(ISNUMBER(AY176),ISNUMBER(AT176)),IFERROR(AY176/AT176-1,""),"")</f>
        <v/>
      </c>
      <c r="AZ181" s="180">
        <f>IF(AND(ISNUMBER(AZ176),ISNUMBER(AU176)),IFERROR(AZ176/AU176-1,""),"")</f>
        <v/>
      </c>
      <c r="BA181" s="180">
        <f>IF(AND(ISNUMBER(BA176),ISNUMBER(AV176)),IFERROR(BA176/AV176-1,""),"")</f>
        <v/>
      </c>
      <c r="BB181" s="180">
        <f>IF(AND(ISNUMBER(BB176),ISNUMBER(AW176)),IFERROR(BB176/AW176-1,""),"")</f>
        <v/>
      </c>
      <c r="BC181" s="180">
        <f>IF(AND(ISNUMBER(BC176),ISNUMBER(AX176)),IFERROR(BC176/AX176-1,""),"")</f>
        <v/>
      </c>
      <c r="BD181" s="180">
        <f>IF(AND(ISNUMBER(BD176),ISNUMBER(AY176)),IFERROR(BD176/AY176-1,""),"")</f>
        <v/>
      </c>
      <c r="BE181" s="180">
        <f>IF(AND(ISNUMBER(BE176),ISNUMBER(AZ176)),IFERROR(BE176/AZ176-1,""),"")</f>
        <v/>
      </c>
      <c r="BF181" s="180">
        <f>IF(AND(ISNUMBER(BF176),ISNUMBER(BA176)),IFERROR(BF176/BA176-1,""),"")</f>
        <v/>
      </c>
      <c r="BG181" s="180">
        <f>IF(AND(ISNUMBER(BG176),ISNUMBER(BB176)),IFERROR(BG176/BB176-1,""),"")</f>
        <v/>
      </c>
      <c r="BH181" s="180">
        <f>IF(AND(ISNUMBER(BH176),ISNUMBER(BC176)),IFERROR(BH176/BC176-1,""),"")</f>
        <v/>
      </c>
      <c r="BI181" s="180">
        <f>IF(AND(ISNUMBER(BI176),ISNUMBER(BD176)),IFERROR(BI176/BD176-1,""),"")</f>
        <v/>
      </c>
      <c r="BJ181" s="180">
        <f>IF(AND(ISNUMBER(BJ176),ISNUMBER(BE176)),IFERROR(BJ176/BE176-1,""),"")</f>
        <v/>
      </c>
      <c r="BK181" s="180">
        <f>IF(AND(ISNUMBER(BK176),ISNUMBER(BF176)),IFERROR(BK176/BF176-1,""),"")</f>
        <v/>
      </c>
      <c r="BL181" s="180">
        <f>IF(AND(ISNUMBER(BL176),ISNUMBER(BG176)),IFERROR(BL176/BG176-1,""),"")</f>
        <v/>
      </c>
      <c r="BM181" s="180">
        <f>IF(AND(ISNUMBER(BM176),ISNUMBER(BH176)),IFERROR(BM176/BH176-1,""),"")</f>
        <v/>
      </c>
      <c r="BN181" s="180">
        <f>IF(AND(ISNUMBER(BN176),ISNUMBER(BI176)),IFERROR(BN176/BI176-1,""),"")</f>
        <v/>
      </c>
      <c r="BO181" s="180">
        <f>IF(AND(ISNUMBER(BO176),ISNUMBER(BJ176)),IFERROR(BO176/BJ176-1,""),"")</f>
        <v/>
      </c>
      <c r="BP181" s="180">
        <f>IF(AND(ISNUMBER(BP176),ISNUMBER(BK176)),IFERROR(BP176/BK176-1,""),"")</f>
        <v/>
      </c>
      <c r="BQ181" s="180">
        <f>IF(AND(ISNUMBER(BQ176),ISNUMBER(BL176)),IFERROR(BQ176/BL176-1,""),"")</f>
        <v/>
      </c>
      <c r="BR181" s="180">
        <f>IF(AND(ISNUMBER(BR176),ISNUMBER(BM176)),IFERROR(BR176/BM176-1,""),"")</f>
        <v/>
      </c>
      <c r="BS181" s="180">
        <f>IF(AND(ISNUMBER(BS176),ISNUMBER(BN176)),IFERROR(BS176/BN176-1,""),"")</f>
        <v/>
      </c>
      <c r="BT181" s="180">
        <f>IF(AND(ISNUMBER(BT176),ISNUMBER(BO176)),IFERROR(BT176/BO176-1,""),"")</f>
        <v/>
      </c>
      <c r="BU181" s="180">
        <f>IF(AND(ISNUMBER(BU176),ISNUMBER(BP176)),IFERROR(BU176/BP176-1,""),"")</f>
        <v/>
      </c>
      <c r="BV181" s="180">
        <f>IF(AND(ISNUMBER(BV176),ISNUMBER(BQ176)),IFERROR(BV176/BQ176-1,""),"")</f>
        <v/>
      </c>
      <c r="BW181" s="180">
        <f>IF(AND(ISNUMBER(BW176),ISNUMBER(BR176)),IFERROR(BW176/BR176-1,""),"")</f>
        <v/>
      </c>
      <c r="BX181" s="180">
        <f>IF(AND(ISNUMBER(BX176),ISNUMBER(BS176)),IFERROR(BX176/BS176-1,""),"")</f>
        <v/>
      </c>
      <c r="BY181" s="181">
        <f>IF(AND(ISNUMBER(BY176),ISNUMBER(BT176)),IFERROR(BY176/BT176-1,""),"")</f>
        <v/>
      </c>
      <c r="BZ181" s="181">
        <f>IF(AND(ISNUMBER(BZ176),ISNUMBER(BU176)),IFERROR(BZ176/BU176-1,""),"")</f>
        <v/>
      </c>
      <c r="CA181" s="181">
        <f>IF(AND(ISNUMBER(CA176),ISNUMBER(BV176)),IFERROR(CA176/BV176-1,""),"")</f>
        <v/>
      </c>
      <c r="CB181" s="181">
        <f>IF(AND(ISNUMBER(CB176),ISNUMBER(CA176)),IFERROR(CB176/CA176-1,""),"")</f>
        <v/>
      </c>
      <c r="CC181" s="181">
        <f>IF(AND(ISNUMBER(CC176),ISNUMBER(CB176)),IFERROR(CC176/CB176-1,""),"")</f>
        <v/>
      </c>
      <c r="CD181" s="181">
        <f>IF(AND(ISNUMBER(CD176),ISNUMBER(CC176)),IFERROR(CD176/CC176-1,""),"")</f>
        <v/>
      </c>
      <c r="CE181" s="181">
        <f>IF(AND(ISNUMBER(CE176),ISNUMBER(CD176)),IFERROR(CE176/CD176-1,""),"")</f>
        <v/>
      </c>
      <c r="CF181" s="6" t="n"/>
    </row>
    <row r="182" ht="15" customHeight="1"/>
    <row r="183" ht="15" customHeight="1">
      <c r="B183" s="11" t="inlineStr">
        <is>
          <t>GROWTH &amp; MARGINS</t>
        </is>
      </c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  <c r="AH183" s="11" t="n"/>
      <c r="AI183" s="11" t="n"/>
      <c r="AJ183" s="11" t="n"/>
      <c r="AK183" s="11" t="n"/>
      <c r="AL183" s="11" t="n"/>
      <c r="AM183" s="11" t="n"/>
      <c r="AN183" s="11" t="n"/>
      <c r="AO183" s="11" t="n"/>
      <c r="AP183" s="11" t="n"/>
      <c r="AQ183" s="11" t="n"/>
      <c r="AR183" s="11" t="n"/>
      <c r="AS183" s="11" t="n"/>
      <c r="AT183" s="11" t="n"/>
      <c r="AU183" s="11" t="n"/>
      <c r="AV183" s="11" t="n"/>
      <c r="AW183" s="11" t="n"/>
      <c r="AX183" s="11" t="n"/>
      <c r="AY183" s="11" t="n"/>
      <c r="AZ183" s="11" t="n"/>
      <c r="BA183" s="11" t="n"/>
      <c r="BB183" s="11" t="n"/>
      <c r="BC183" s="11" t="n"/>
      <c r="BD183" s="11" t="n"/>
      <c r="BE183" s="11" t="n"/>
      <c r="BF183" s="11" t="n"/>
      <c r="BG183" s="11" t="n"/>
      <c r="BH183" s="11" t="n"/>
      <c r="BI183" s="11" t="n"/>
      <c r="BJ183" s="11" t="n"/>
      <c r="BK183" s="11" t="n"/>
      <c r="BL183" s="11" t="n"/>
      <c r="BM183" s="11" t="n"/>
      <c r="BN183" s="11" t="n"/>
      <c r="BO183" s="11" t="n"/>
      <c r="BP183" s="11" t="n"/>
      <c r="BQ183" s="11" t="n"/>
      <c r="BR183" s="11" t="n"/>
      <c r="BS183" s="11" t="n"/>
      <c r="BT183" s="11" t="n"/>
      <c r="BU183" s="11" t="n"/>
      <c r="BV183" s="11" t="n"/>
      <c r="BW183" s="11" t="n"/>
      <c r="BX183" s="11" t="n"/>
      <c r="BY183" s="11" t="n"/>
      <c r="BZ183" s="11" t="n"/>
      <c r="CA183" s="11" t="n"/>
      <c r="CB183" s="11" t="n"/>
      <c r="CC183" s="11" t="n"/>
      <c r="CD183" s="11" t="n"/>
      <c r="CE183" s="11" t="n"/>
      <c r="CF183" s="11" t="inlineStr">
        <is>
          <t>GROWTH &amp; MARGINS (consolidated) — forecast outputs</t>
        </is>
      </c>
    </row>
    <row r="184" ht="15" customHeight="1">
      <c r="B184" s="23" t="inlineStr">
        <is>
          <t xml:space="preserve">  Revenue y/y %</t>
        </is>
      </c>
      <c r="D184" s="180">
        <f>IF(AND(ISNUMBER(D100),ISNUMBER(C100)),IFERROR(D100/C100-1,""),"")</f>
        <v/>
      </c>
      <c r="E184" s="180">
        <f>IF(AND(ISNUMBER(E100),ISNUMBER(D100)),IFERROR(E100/D100-1,""),"")</f>
        <v/>
      </c>
      <c r="F184" s="180">
        <f>IF(AND(ISNUMBER(F100),ISNUMBER(E100)),IFERROR(F100/E100-1,""),"")</f>
        <v/>
      </c>
      <c r="G184" s="180">
        <f>IF(AND(ISNUMBER(G100),ISNUMBER(F100)),IFERROR(G100/F100-1,""),"")</f>
        <v/>
      </c>
      <c r="H184" s="180">
        <f>IF(AND(ISNUMBER(H100),ISNUMBER(G100)),IFERROR(H100/G100-1,""),"")</f>
        <v/>
      </c>
      <c r="I184" s="180">
        <f>IF(AND(ISNUMBER(I100),ISNUMBER(H100)),IFERROR(I100/H100-1,""),"")</f>
        <v/>
      </c>
      <c r="N184" s="180">
        <f>IF(AND(ISNUMBER(N100),ISNUMBER(I100)),IFERROR(N100/I100-1,""),"")</f>
        <v/>
      </c>
      <c r="O184" s="180">
        <f>IF(AND(ISNUMBER(O100),ISNUMBER(J100)),IFERROR(O100/J100-1,""),"")</f>
        <v/>
      </c>
      <c r="P184" s="180">
        <f>IF(AND(ISNUMBER(P100),ISNUMBER(K100)),IFERROR(P100/K100-1,""),"")</f>
        <v/>
      </c>
      <c r="Q184" s="180">
        <f>IF(AND(ISNUMBER(Q100),ISNUMBER(L100)),IFERROR(Q100/L100-1,""),"")</f>
        <v/>
      </c>
      <c r="R184" s="180">
        <f>IF(AND(ISNUMBER(R100),ISNUMBER(M100)),IFERROR(R100/M100-1,""),"")</f>
        <v/>
      </c>
      <c r="S184" s="180">
        <f>IF(AND(ISNUMBER(S100),ISNUMBER(N100)),IFERROR(S100/N100-1,""),"")</f>
        <v/>
      </c>
      <c r="T184" s="180">
        <f>IF(AND(ISNUMBER(T100),ISNUMBER(O100)),IFERROR(T100/O100-1,""),"")</f>
        <v/>
      </c>
      <c r="U184" s="180">
        <f>IF(AND(ISNUMBER(U100),ISNUMBER(P100)),IFERROR(U100/P100-1,""),"")</f>
        <v/>
      </c>
      <c r="V184" s="180">
        <f>IF(AND(ISNUMBER(V100),ISNUMBER(Q100)),IFERROR(V100/Q100-1,""),"")</f>
        <v/>
      </c>
      <c r="W184" s="180">
        <f>IF(AND(ISNUMBER(W100),ISNUMBER(R100)),IFERROR(W100/R100-1,""),"")</f>
        <v/>
      </c>
      <c r="X184" s="180">
        <f>IF(AND(ISNUMBER(X100),ISNUMBER(S100)),IFERROR(X100/S100-1,""),"")</f>
        <v/>
      </c>
      <c r="Y184" s="180">
        <f>IF(AND(ISNUMBER(Y100),ISNUMBER(T100)),IFERROR(Y100/T100-1,""),"")</f>
        <v/>
      </c>
      <c r="Z184" s="180">
        <f>IF(AND(ISNUMBER(Z100),ISNUMBER(U100)),IFERROR(Z100/U100-1,""),"")</f>
        <v/>
      </c>
      <c r="AA184" s="180">
        <f>IF(AND(ISNUMBER(AA100),ISNUMBER(V100)),IFERROR(AA100/V100-1,""),"")</f>
        <v/>
      </c>
      <c r="AB184" s="180">
        <f>IF(AND(ISNUMBER(AB100),ISNUMBER(W100)),IFERROR(AB100/W100-1,""),"")</f>
        <v/>
      </c>
      <c r="AC184" s="180">
        <f>IF(AND(ISNUMBER(AC100),ISNUMBER(X100)),IFERROR(AC100/X100-1,""),"")</f>
        <v/>
      </c>
      <c r="AD184" s="180">
        <f>IF(AND(ISNUMBER(AD100),ISNUMBER(Y100)),IFERROR(AD100/Y100-1,""),"")</f>
        <v/>
      </c>
      <c r="AE184" s="180">
        <f>IF(AND(ISNUMBER(AE100),ISNUMBER(Z100)),IFERROR(AE100/Z100-1,""),"")</f>
        <v/>
      </c>
      <c r="AF184" s="180">
        <f>IF(AND(ISNUMBER(AF100),ISNUMBER(AA100)),IFERROR(AF100/AA100-1,""),"")</f>
        <v/>
      </c>
      <c r="AG184" s="180">
        <f>IF(AND(ISNUMBER(AG100),ISNUMBER(AB100)),IFERROR(AG100/AB100-1,""),"")</f>
        <v/>
      </c>
      <c r="AH184" s="180">
        <f>IF(AND(ISNUMBER(AH100),ISNUMBER(AC100)),IFERROR(AH100/AC100-1,""),"")</f>
        <v/>
      </c>
      <c r="AI184" s="180">
        <f>IF(AND(ISNUMBER(AI100),ISNUMBER(AD100)),IFERROR(AI100/AD100-1,""),"")</f>
        <v/>
      </c>
      <c r="AJ184" s="180">
        <f>IF(AND(ISNUMBER(AJ100),ISNUMBER(AE100)),IFERROR(AJ100/AE100-1,""),"")</f>
        <v/>
      </c>
      <c r="AK184" s="180">
        <f>IF(AND(ISNUMBER(AK100),ISNUMBER(AF100)),IFERROR(AK100/AF100-1,""),"")</f>
        <v/>
      </c>
      <c r="AL184" s="180">
        <f>IF(AND(ISNUMBER(AL100),ISNUMBER(AG100)),IFERROR(AL100/AG100-1,""),"")</f>
        <v/>
      </c>
      <c r="AM184" s="180">
        <f>IF(AND(ISNUMBER(AM100),ISNUMBER(AH100)),IFERROR(AM100/AH100-1,""),"")</f>
        <v/>
      </c>
      <c r="AN184" s="180">
        <f>IF(AND(ISNUMBER(AN100),ISNUMBER(AI100)),IFERROR(AN100/AI100-1,""),"")</f>
        <v/>
      </c>
      <c r="AO184" s="180">
        <f>IF(AND(ISNUMBER(AO100),ISNUMBER(AJ100)),IFERROR(AO100/AJ100-1,""),"")</f>
        <v/>
      </c>
      <c r="AP184" s="180">
        <f>IF(AND(ISNUMBER(AP100),ISNUMBER(AK100)),IFERROR(AP100/AK100-1,""),"")</f>
        <v/>
      </c>
      <c r="AQ184" s="180">
        <f>IF(AND(ISNUMBER(AQ100),ISNUMBER(AL100)),IFERROR(AQ100/AL100-1,""),"")</f>
        <v/>
      </c>
      <c r="AR184" s="180">
        <f>IF(AND(ISNUMBER(AR100),ISNUMBER(AM100)),IFERROR(AR100/AM100-1,""),"")</f>
        <v/>
      </c>
      <c r="AS184" s="180">
        <f>IF(AND(ISNUMBER(AS100),ISNUMBER(AN100)),IFERROR(AS100/AN100-1,""),"")</f>
        <v/>
      </c>
      <c r="AT184" s="180">
        <f>IF(AND(ISNUMBER(AT100),ISNUMBER(AO100)),IFERROR(AT100/AO100-1,""),"")</f>
        <v/>
      </c>
      <c r="AU184" s="180">
        <f>IF(AND(ISNUMBER(AU100),ISNUMBER(AP100)),IFERROR(AU100/AP100-1,""),"")</f>
        <v/>
      </c>
      <c r="AV184" s="180">
        <f>IF(AND(ISNUMBER(AV100),ISNUMBER(AQ100)),IFERROR(AV100/AQ100-1,""),"")</f>
        <v/>
      </c>
      <c r="AW184" s="180">
        <f>IF(AND(ISNUMBER(AW100),ISNUMBER(AR100)),IFERROR(AW100/AR100-1,""),"")</f>
        <v/>
      </c>
      <c r="AX184" s="180">
        <f>IF(AND(ISNUMBER(AX100),ISNUMBER(AS100)),IFERROR(AX100/AS100-1,""),"")</f>
        <v/>
      </c>
      <c r="AY184" s="180">
        <f>IF(AND(ISNUMBER(AY100),ISNUMBER(AT100)),IFERROR(AY100/AT100-1,""),"")</f>
        <v/>
      </c>
      <c r="AZ184" s="180">
        <f>IF(AND(ISNUMBER(AZ100),ISNUMBER(AU100)),IFERROR(AZ100/AU100-1,""),"")</f>
        <v/>
      </c>
      <c r="BA184" s="180">
        <f>IF(AND(ISNUMBER(BA100),ISNUMBER(AV100)),IFERROR(BA100/AV100-1,""),"")</f>
        <v/>
      </c>
      <c r="BB184" s="180">
        <f>IF(AND(ISNUMBER(BB100),ISNUMBER(AW100)),IFERROR(BB100/AW100-1,""),"")</f>
        <v/>
      </c>
      <c r="BC184" s="180">
        <f>IF(AND(ISNUMBER(BC100),ISNUMBER(AX100)),IFERROR(BC100/AX100-1,""),"")</f>
        <v/>
      </c>
      <c r="BD184" s="180">
        <f>IF(AND(ISNUMBER(BD100),ISNUMBER(AY100)),IFERROR(BD100/AY100-1,""),"")</f>
        <v/>
      </c>
      <c r="BE184" s="180">
        <f>IF(AND(ISNUMBER(BE100),ISNUMBER(AZ100)),IFERROR(BE100/AZ100-1,""),"")</f>
        <v/>
      </c>
      <c r="BF184" s="180">
        <f>IF(AND(ISNUMBER(BF100),ISNUMBER(BA100)),IFERROR(BF100/BA100-1,""),"")</f>
        <v/>
      </c>
      <c r="BG184" s="180">
        <f>IF(AND(ISNUMBER(BG100),ISNUMBER(BB100)),IFERROR(BG100/BB100-1,""),"")</f>
        <v/>
      </c>
      <c r="BH184" s="180">
        <f>IF(AND(ISNUMBER(BH100),ISNUMBER(BC100)),IFERROR(BH100/BC100-1,""),"")</f>
        <v/>
      </c>
      <c r="BI184" s="180">
        <f>IF(AND(ISNUMBER(BI100),ISNUMBER(BD100)),IFERROR(BI100/BD100-1,""),"")</f>
        <v/>
      </c>
      <c r="BJ184" s="180">
        <f>IF(AND(ISNUMBER(BJ100),ISNUMBER(BE100)),IFERROR(BJ100/BE100-1,""),"")</f>
        <v/>
      </c>
      <c r="BK184" s="180">
        <f>IF(AND(ISNUMBER(BK100),ISNUMBER(BF100)),IFERROR(BK100/BF100-1,""),"")</f>
        <v/>
      </c>
      <c r="BL184" s="180">
        <f>IF(AND(ISNUMBER(BL100),ISNUMBER(BG100)),IFERROR(BL100/BG100-1,""),"")</f>
        <v/>
      </c>
      <c r="BM184" s="180">
        <f>IF(AND(ISNUMBER(BM100),ISNUMBER(BH100)),IFERROR(BM100/BH100-1,""),"")</f>
        <v/>
      </c>
      <c r="BN184" s="180">
        <f>IF(AND(ISNUMBER(BN100),ISNUMBER(BI100)),IFERROR(BN100/BI100-1,""),"")</f>
        <v/>
      </c>
      <c r="BO184" s="180">
        <f>IF(AND(ISNUMBER(BO100),ISNUMBER(BJ100)),IFERROR(BO100/BJ100-1,""),"")</f>
        <v/>
      </c>
      <c r="BP184" s="180">
        <f>IF(AND(ISNUMBER(BP100),ISNUMBER(BK100)),IFERROR(BP100/BK100-1,""),"")</f>
        <v/>
      </c>
      <c r="BQ184" s="180">
        <f>IF(AND(ISNUMBER(BQ100),ISNUMBER(BL100)),IFERROR(BQ100/BL100-1,""),"")</f>
        <v/>
      </c>
      <c r="BR184" s="180">
        <f>IF(AND(ISNUMBER(BR100),ISNUMBER(BM100)),IFERROR(BR100/BM100-1,""),"")</f>
        <v/>
      </c>
      <c r="BS184" s="180">
        <f>IF(AND(ISNUMBER(BS100),ISNUMBER(BN100)),IFERROR(BS100/BN100-1,""),"")</f>
        <v/>
      </c>
      <c r="BT184" s="180">
        <f>IF(AND(ISNUMBER(BT100),ISNUMBER(BO100)),IFERROR(BT100/BO100-1,""),"")</f>
        <v/>
      </c>
      <c r="BU184" s="180">
        <f>IF(AND(ISNUMBER(BU100),ISNUMBER(BP100)),IFERROR(BU100/BP100-1,""),"")</f>
        <v/>
      </c>
      <c r="BV184" s="180">
        <f>IF(AND(ISNUMBER(BV100),ISNUMBER(BQ100)),IFERROR(BV100/BQ100-1,""),"")</f>
        <v/>
      </c>
      <c r="BW184" s="180">
        <f>IF(AND(ISNUMBER(BW100),ISNUMBER(BR100)),IFERROR(BW100/BR100-1,""),"")</f>
        <v/>
      </c>
      <c r="BX184" s="180">
        <f>IF(AND(ISNUMBER(BX100),ISNUMBER(BS100)),IFERROR(BX100/BS100-1,""),"")</f>
        <v/>
      </c>
      <c r="BY184" s="181">
        <f>IF(AND(ISNUMBER(BY100),ISNUMBER(BT100)),IFERROR(BY100/BT100-1,""),"")</f>
        <v/>
      </c>
      <c r="BZ184" s="181">
        <f>IF(AND(ISNUMBER(BZ100),ISNUMBER(BU100)),IFERROR(BZ100/BU100-1,""),"")</f>
        <v/>
      </c>
      <c r="CA184" s="181">
        <f>IF(AND(ISNUMBER(CA100),ISNUMBER(BV100)),IFERROR(CA100/BV100-1,""),"")</f>
        <v/>
      </c>
      <c r="CB184" s="181">
        <f>IF(AND(ISNUMBER(CB100),ISNUMBER(CA100)),IFERROR(CB100/CA100-1,""),"")</f>
        <v/>
      </c>
      <c r="CC184" s="181">
        <f>IF(AND(ISNUMBER(CC100),ISNUMBER(CB100)),IFERROR(CC100/CB100-1,""),"")</f>
        <v/>
      </c>
      <c r="CD184" s="181">
        <f>IF(AND(ISNUMBER(CD100),ISNUMBER(CC100)),IFERROR(CD100/CC100-1,""),"")</f>
        <v/>
      </c>
      <c r="CE184" s="181">
        <f>IF(AND(ISNUMBER(CE100),ISNUMBER(CD100)),IFERROR(CE100/CD100-1,""),"")</f>
        <v/>
      </c>
      <c r="CF184" s="6" t="n"/>
      <c r="CH184" s="39">
        <f>IFERROR(AVERAGE(CA184,CB184,CC184,CD184,CE184),"n/m")</f>
        <v/>
      </c>
      <c r="CI184" s="39">
        <f>IFERROR(AVERAGE(BB184,BG184,BL184,BQ184,BV184),"n/m")</f>
        <v/>
      </c>
      <c r="CJ184" s="39">
        <f>IFERROR(AVERAGE(AC184,AH184,AM184,AR184,AW184,BB184,BG184,BL184,BQ184,BV184),"n/m")</f>
        <v/>
      </c>
      <c r="CK184" s="39">
        <f>IFERROR(AVERAGE(C184,D184,E184,F184,G184,H184,I184,N184,S184,X184,AC184,AH184,AM184,AR184,AW184,BB184,BG184,BL184,BQ184,BV184),"n/m")</f>
        <v/>
      </c>
    </row>
    <row r="185" ht="15" customHeight="1">
      <c r="B185" s="23" t="inlineStr">
        <is>
          <t xml:space="preserve">  LTL tons per day y/y % (volume)</t>
        </is>
      </c>
      <c r="D185" s="180">
        <f>D13</f>
        <v/>
      </c>
      <c r="E185" s="180">
        <f>E13</f>
        <v/>
      </c>
      <c r="F185" s="180">
        <f>F13</f>
        <v/>
      </c>
      <c r="G185" s="180">
        <f>G13</f>
        <v/>
      </c>
      <c r="H185" s="180">
        <f>H13</f>
        <v/>
      </c>
      <c r="I185" s="180">
        <f>I13</f>
        <v/>
      </c>
      <c r="N185" s="180">
        <f>N13</f>
        <v/>
      </c>
      <c r="O185" s="180">
        <f>O13</f>
        <v/>
      </c>
      <c r="P185" s="180">
        <f>P13</f>
        <v/>
      </c>
      <c r="Q185" s="180">
        <f>Q13</f>
        <v/>
      </c>
      <c r="R185" s="180">
        <f>R13</f>
        <v/>
      </c>
      <c r="S185" s="180">
        <f>S13</f>
        <v/>
      </c>
      <c r="T185" s="180">
        <f>T13</f>
        <v/>
      </c>
      <c r="U185" s="180">
        <f>U13</f>
        <v/>
      </c>
      <c r="V185" s="180">
        <f>V13</f>
        <v/>
      </c>
      <c r="W185" s="180">
        <f>W13</f>
        <v/>
      </c>
      <c r="X185" s="180">
        <f>X13</f>
        <v/>
      </c>
      <c r="Y185" s="180">
        <f>Y13</f>
        <v/>
      </c>
      <c r="Z185" s="180">
        <f>Z13</f>
        <v/>
      </c>
      <c r="AA185" s="180">
        <f>AA13</f>
        <v/>
      </c>
      <c r="AB185" s="180">
        <f>AB13</f>
        <v/>
      </c>
      <c r="AC185" s="180">
        <f>AC13</f>
        <v/>
      </c>
      <c r="AD185" s="180">
        <f>AD13</f>
        <v/>
      </c>
      <c r="AE185" s="180">
        <f>AE13</f>
        <v/>
      </c>
      <c r="AF185" s="180">
        <f>AF13</f>
        <v/>
      </c>
      <c r="AG185" s="180">
        <f>AG13</f>
        <v/>
      </c>
      <c r="AH185" s="180">
        <f>AH13</f>
        <v/>
      </c>
      <c r="AI185" s="180">
        <f>AI13</f>
        <v/>
      </c>
      <c r="AJ185" s="180">
        <f>AJ13</f>
        <v/>
      </c>
      <c r="AK185" s="180">
        <f>AK13</f>
        <v/>
      </c>
      <c r="AL185" s="180">
        <f>AL13</f>
        <v/>
      </c>
      <c r="AM185" s="180">
        <f>AM13</f>
        <v/>
      </c>
      <c r="AN185" s="180">
        <f>AN13</f>
        <v/>
      </c>
      <c r="AO185" s="180">
        <f>AO13</f>
        <v/>
      </c>
      <c r="AP185" s="180">
        <f>AP13</f>
        <v/>
      </c>
      <c r="AQ185" s="180">
        <f>AQ13</f>
        <v/>
      </c>
      <c r="AR185" s="180">
        <f>AR13</f>
        <v/>
      </c>
      <c r="AS185" s="180">
        <f>AS13</f>
        <v/>
      </c>
      <c r="AT185" s="180">
        <f>AT13</f>
        <v/>
      </c>
      <c r="AU185" s="180">
        <f>AU13</f>
        <v/>
      </c>
      <c r="AV185" s="180">
        <f>AV13</f>
        <v/>
      </c>
      <c r="AW185" s="180">
        <f>AW13</f>
        <v/>
      </c>
      <c r="AX185" s="180">
        <f>AX13</f>
        <v/>
      </c>
      <c r="AY185" s="180">
        <f>AY13</f>
        <v/>
      </c>
      <c r="AZ185" s="180">
        <f>AZ13</f>
        <v/>
      </c>
      <c r="BA185" s="180">
        <f>BA13</f>
        <v/>
      </c>
      <c r="BB185" s="180">
        <f>BB13</f>
        <v/>
      </c>
      <c r="BC185" s="180">
        <f>BC13</f>
        <v/>
      </c>
      <c r="BD185" s="180">
        <f>BD13</f>
        <v/>
      </c>
      <c r="BE185" s="180">
        <f>BE13</f>
        <v/>
      </c>
      <c r="BF185" s="180">
        <f>BF13</f>
        <v/>
      </c>
      <c r="BG185" s="180">
        <f>BG13</f>
        <v/>
      </c>
      <c r="BH185" s="180">
        <f>BH13</f>
        <v/>
      </c>
      <c r="BI185" s="180">
        <f>BI13</f>
        <v/>
      </c>
      <c r="BJ185" s="180">
        <f>BJ13</f>
        <v/>
      </c>
      <c r="BK185" s="180">
        <f>BK13</f>
        <v/>
      </c>
      <c r="BL185" s="180">
        <f>BL13</f>
        <v/>
      </c>
      <c r="BM185" s="180">
        <f>BM13</f>
        <v/>
      </c>
      <c r="BN185" s="180">
        <f>BN13</f>
        <v/>
      </c>
      <c r="BO185" s="180">
        <f>BO13</f>
        <v/>
      </c>
      <c r="BP185" s="180">
        <f>BP13</f>
        <v/>
      </c>
      <c r="BQ185" s="180">
        <f>BQ13</f>
        <v/>
      </c>
      <c r="BR185" s="180">
        <f>BR13</f>
        <v/>
      </c>
      <c r="BS185" s="180">
        <f>BS13</f>
        <v/>
      </c>
      <c r="BT185" s="180">
        <f>BT13</f>
        <v/>
      </c>
      <c r="BU185" s="180">
        <f>BU13</f>
        <v/>
      </c>
      <c r="BV185" s="180">
        <f>BV13</f>
        <v/>
      </c>
      <c r="BW185" s="180">
        <f>BW13</f>
        <v/>
      </c>
      <c r="BX185" s="180">
        <f>BX13</f>
        <v/>
      </c>
      <c r="BY185" s="181">
        <f>BY13</f>
        <v/>
      </c>
      <c r="BZ185" s="181">
        <f>BZ13</f>
        <v/>
      </c>
      <c r="CA185" s="181">
        <f>CA13</f>
        <v/>
      </c>
      <c r="CB185" s="181">
        <f>CB13</f>
        <v/>
      </c>
      <c r="CC185" s="181">
        <f>CC13</f>
        <v/>
      </c>
      <c r="CD185" s="181">
        <f>CD13</f>
        <v/>
      </c>
      <c r="CE185" s="181">
        <f>CE13</f>
        <v/>
      </c>
      <c r="CF185" s="6" t="n"/>
      <c r="CH185" s="39">
        <f>IFERROR(AVERAGE(CA185,CB185,CC185,CD185,CE185),"n/m")</f>
        <v/>
      </c>
      <c r="CI185" s="39">
        <f>IFERROR(AVERAGE(BB185,BG185,BL185,BQ185,BV185),"n/m")</f>
        <v/>
      </c>
      <c r="CJ185" s="39">
        <f>IFERROR(AVERAGE(AC185,AH185,AM185,AR185,AW185,BB185,BG185,BL185,BQ185,BV185),"n/m")</f>
        <v/>
      </c>
      <c r="CK185" s="39">
        <f>IFERROR(AVERAGE(C185,D185,E185,F185,G185,H185,I185,N185,S185,X185,AC185,AH185,AM185,AR185,AW185,BB185,BG185,BL185,BQ185,BV185),"n/m")</f>
        <v/>
      </c>
    </row>
    <row r="186" ht="15" customHeight="1">
      <c r="B186" s="23" t="inlineStr">
        <is>
          <t xml:space="preserve">  LTL revenue/cwt ex fuel y/y % (price)</t>
        </is>
      </c>
      <c r="D186" s="180">
        <f>D29</f>
        <v/>
      </c>
      <c r="E186" s="180">
        <f>E29</f>
        <v/>
      </c>
      <c r="F186" s="180">
        <f>F29</f>
        <v/>
      </c>
      <c r="G186" s="180">
        <f>G29</f>
        <v/>
      </c>
      <c r="H186" s="180">
        <f>H29</f>
        <v/>
      </c>
      <c r="I186" s="180">
        <f>I29</f>
        <v/>
      </c>
      <c r="N186" s="180">
        <f>N29</f>
        <v/>
      </c>
      <c r="O186" s="180">
        <f>O29</f>
        <v/>
      </c>
      <c r="P186" s="180">
        <f>P29</f>
        <v/>
      </c>
      <c r="Q186" s="180">
        <f>Q29</f>
        <v/>
      </c>
      <c r="R186" s="180">
        <f>R29</f>
        <v/>
      </c>
      <c r="S186" s="180">
        <f>S29</f>
        <v/>
      </c>
      <c r="T186" s="180">
        <f>T29</f>
        <v/>
      </c>
      <c r="U186" s="180">
        <f>U29</f>
        <v/>
      </c>
      <c r="V186" s="180">
        <f>V29</f>
        <v/>
      </c>
      <c r="W186" s="180">
        <f>W29</f>
        <v/>
      </c>
      <c r="X186" s="180">
        <f>X29</f>
        <v/>
      </c>
      <c r="Y186" s="180">
        <f>Y29</f>
        <v/>
      </c>
      <c r="Z186" s="180">
        <f>Z29</f>
        <v/>
      </c>
      <c r="AA186" s="180">
        <f>AA29</f>
        <v/>
      </c>
      <c r="AB186" s="180">
        <f>AB29</f>
        <v/>
      </c>
      <c r="AC186" s="180">
        <f>AC29</f>
        <v/>
      </c>
      <c r="AD186" s="180">
        <f>AD29</f>
        <v/>
      </c>
      <c r="AE186" s="180">
        <f>AE29</f>
        <v/>
      </c>
      <c r="AF186" s="180">
        <f>AF29</f>
        <v/>
      </c>
      <c r="AG186" s="180">
        <f>AG29</f>
        <v/>
      </c>
      <c r="AH186" s="180">
        <f>AH29</f>
        <v/>
      </c>
      <c r="AI186" s="180">
        <f>AI29</f>
        <v/>
      </c>
      <c r="AJ186" s="180">
        <f>AJ29</f>
        <v/>
      </c>
      <c r="AK186" s="180">
        <f>AK29</f>
        <v/>
      </c>
      <c r="AL186" s="180">
        <f>AL29</f>
        <v/>
      </c>
      <c r="AM186" s="180">
        <f>AM29</f>
        <v/>
      </c>
      <c r="AN186" s="180">
        <f>AN29</f>
        <v/>
      </c>
      <c r="AO186" s="180">
        <f>AO29</f>
        <v/>
      </c>
      <c r="AP186" s="180">
        <f>AP29</f>
        <v/>
      </c>
      <c r="AQ186" s="180">
        <f>AQ29</f>
        <v/>
      </c>
      <c r="AR186" s="180">
        <f>AR29</f>
        <v/>
      </c>
      <c r="AS186" s="180">
        <f>AS29</f>
        <v/>
      </c>
      <c r="AT186" s="180">
        <f>AT29</f>
        <v/>
      </c>
      <c r="AU186" s="180">
        <f>AU29</f>
        <v/>
      </c>
      <c r="AV186" s="180">
        <f>AV29</f>
        <v/>
      </c>
      <c r="AW186" s="180">
        <f>AW29</f>
        <v/>
      </c>
      <c r="AX186" s="180">
        <f>AX29</f>
        <v/>
      </c>
      <c r="AY186" s="180">
        <f>AY29</f>
        <v/>
      </c>
      <c r="AZ186" s="180">
        <f>AZ29</f>
        <v/>
      </c>
      <c r="BA186" s="180">
        <f>BA29</f>
        <v/>
      </c>
      <c r="BB186" s="180">
        <f>BB29</f>
        <v/>
      </c>
      <c r="BC186" s="180">
        <f>BC29</f>
        <v/>
      </c>
      <c r="BD186" s="180">
        <f>BD29</f>
        <v/>
      </c>
      <c r="BE186" s="180">
        <f>BE29</f>
        <v/>
      </c>
      <c r="BF186" s="180">
        <f>BF29</f>
        <v/>
      </c>
      <c r="BG186" s="180">
        <f>BG29</f>
        <v/>
      </c>
      <c r="BH186" s="180">
        <f>BH29</f>
        <v/>
      </c>
      <c r="BI186" s="180">
        <f>BI29</f>
        <v/>
      </c>
      <c r="BJ186" s="180">
        <f>BJ29</f>
        <v/>
      </c>
      <c r="BK186" s="180">
        <f>BK29</f>
        <v/>
      </c>
      <c r="BL186" s="180">
        <f>BL29</f>
        <v/>
      </c>
      <c r="BM186" s="180">
        <f>BM29</f>
        <v/>
      </c>
      <c r="BN186" s="180">
        <f>BN29</f>
        <v/>
      </c>
      <c r="BO186" s="180">
        <f>BO29</f>
        <v/>
      </c>
      <c r="BP186" s="180">
        <f>BP29</f>
        <v/>
      </c>
      <c r="BQ186" s="180">
        <f>BQ29</f>
        <v/>
      </c>
      <c r="BR186" s="180">
        <f>BR29</f>
        <v/>
      </c>
      <c r="BS186" s="180">
        <f>BS29</f>
        <v/>
      </c>
      <c r="BT186" s="180">
        <f>BT29</f>
        <v/>
      </c>
      <c r="BU186" s="180">
        <f>BU29</f>
        <v/>
      </c>
      <c r="BV186" s="180">
        <f>BV29</f>
        <v/>
      </c>
      <c r="BW186" s="180">
        <f>BW29</f>
        <v/>
      </c>
      <c r="BX186" s="180">
        <f>BX29</f>
        <v/>
      </c>
      <c r="BY186" s="181">
        <f>BY29</f>
        <v/>
      </c>
      <c r="BZ186" s="181">
        <f>BZ29</f>
        <v/>
      </c>
      <c r="CA186" s="181">
        <f>CA29</f>
        <v/>
      </c>
      <c r="CB186" s="181">
        <f>CB29</f>
        <v/>
      </c>
      <c r="CC186" s="181">
        <f>CC29</f>
        <v/>
      </c>
      <c r="CD186" s="181">
        <f>CD29</f>
        <v/>
      </c>
      <c r="CE186" s="181">
        <f>CE29</f>
        <v/>
      </c>
      <c r="CF186" s="6" t="n"/>
      <c r="CH186" s="39">
        <f>IFERROR(AVERAGE(CA186,CB186,CC186,CD186,CE186),"n/m")</f>
        <v/>
      </c>
      <c r="CI186" s="39">
        <f>IFERROR(AVERAGE(BB186,BG186,BL186,BQ186,BV186),"n/m")</f>
        <v/>
      </c>
      <c r="CJ186" s="39">
        <f>IFERROR(AVERAGE(AC186,AH186,AM186,AR186,AW186,BB186,BG186,BL186,BQ186,BV186),"n/m")</f>
        <v/>
      </c>
      <c r="CK186" s="39">
        <f>IFERROR(AVERAGE(C186,D186,E186,F186,G186,H186,I186,N186,S186,X186,AC186,AH186,AM186,AR186,AW186,BB186,BG186,BL186,BQ186,BV186),"n/m")</f>
        <v/>
      </c>
    </row>
    <row r="187" ht="15" customHeight="1">
      <c r="B187" s="23" t="inlineStr">
        <is>
          <t xml:space="preserve">  Adjusted EBITDA y/y %</t>
        </is>
      </c>
      <c r="D187" s="180">
        <f>IF(AND(ISNUMBER(D157),ISNUMBER(C157)),IFERROR(D157/C157-1,""),"")</f>
        <v/>
      </c>
      <c r="E187" s="180">
        <f>IF(AND(ISNUMBER(E157),ISNUMBER(D157)),IFERROR(E157/D157-1,""),"")</f>
        <v/>
      </c>
      <c r="F187" s="180">
        <f>IF(AND(ISNUMBER(F157),ISNUMBER(E157)),IFERROR(F157/E157-1,""),"")</f>
        <v/>
      </c>
      <c r="G187" s="180">
        <f>IF(AND(ISNUMBER(G157),ISNUMBER(F157)),IFERROR(G157/F157-1,""),"")</f>
        <v/>
      </c>
      <c r="H187" s="180">
        <f>IF(AND(ISNUMBER(H157),ISNUMBER(G157)),IFERROR(H157/G157-1,""),"")</f>
        <v/>
      </c>
      <c r="I187" s="180">
        <f>IF(AND(ISNUMBER(I157),ISNUMBER(H157)),IFERROR(I157/H157-1,""),"")</f>
        <v/>
      </c>
      <c r="N187" s="180">
        <f>IF(AND(ISNUMBER(N157),ISNUMBER(I157)),IFERROR(N157/I157-1,""),"")</f>
        <v/>
      </c>
      <c r="O187" s="180">
        <f>IF(AND(ISNUMBER(O157),ISNUMBER(J157)),IFERROR(O157/J157-1,""),"")</f>
        <v/>
      </c>
      <c r="P187" s="180">
        <f>IF(AND(ISNUMBER(P157),ISNUMBER(K157)),IFERROR(P157/K157-1,""),"")</f>
        <v/>
      </c>
      <c r="Q187" s="180">
        <f>IF(AND(ISNUMBER(Q157),ISNUMBER(L157)),IFERROR(Q157/L157-1,""),"")</f>
        <v/>
      </c>
      <c r="R187" s="180">
        <f>IF(AND(ISNUMBER(R157),ISNUMBER(M157)),IFERROR(R157/M157-1,""),"")</f>
        <v/>
      </c>
      <c r="S187" s="180">
        <f>IF(AND(ISNUMBER(S157),ISNUMBER(N157)),IFERROR(S157/N157-1,""),"")</f>
        <v/>
      </c>
      <c r="T187" s="180">
        <f>IF(AND(ISNUMBER(T157),ISNUMBER(O157)),IFERROR(T157/O157-1,""),"")</f>
        <v/>
      </c>
      <c r="U187" s="180">
        <f>IF(AND(ISNUMBER(U157),ISNUMBER(P157)),IFERROR(U157/P157-1,""),"")</f>
        <v/>
      </c>
      <c r="V187" s="180">
        <f>IF(AND(ISNUMBER(V157),ISNUMBER(Q157)),IFERROR(V157/Q157-1,""),"")</f>
        <v/>
      </c>
      <c r="W187" s="180">
        <f>IF(AND(ISNUMBER(W157),ISNUMBER(R157)),IFERROR(W157/R157-1,""),"")</f>
        <v/>
      </c>
      <c r="X187" s="180">
        <f>IF(AND(ISNUMBER(X157),ISNUMBER(S157)),IFERROR(X157/S157-1,""),"")</f>
        <v/>
      </c>
      <c r="Y187" s="180">
        <f>IF(AND(ISNUMBER(Y157),ISNUMBER(T157)),IFERROR(Y157/T157-1,""),"")</f>
        <v/>
      </c>
      <c r="Z187" s="180">
        <f>IF(AND(ISNUMBER(Z157),ISNUMBER(U157)),IFERROR(Z157/U157-1,""),"")</f>
        <v/>
      </c>
      <c r="AA187" s="180">
        <f>IF(AND(ISNUMBER(AA157),ISNUMBER(V157)),IFERROR(AA157/V157-1,""),"")</f>
        <v/>
      </c>
      <c r="AB187" s="180">
        <f>IF(AND(ISNUMBER(AB157),ISNUMBER(W157)),IFERROR(AB157/W157-1,""),"")</f>
        <v/>
      </c>
      <c r="AC187" s="180">
        <f>IF(AND(ISNUMBER(AC157),ISNUMBER(X157)),IFERROR(AC157/X157-1,""),"")</f>
        <v/>
      </c>
      <c r="AD187" s="180">
        <f>IF(AND(ISNUMBER(AD157),ISNUMBER(Y157)),IFERROR(AD157/Y157-1,""),"")</f>
        <v/>
      </c>
      <c r="AE187" s="180">
        <f>IF(AND(ISNUMBER(AE157),ISNUMBER(Z157)),IFERROR(AE157/Z157-1,""),"")</f>
        <v/>
      </c>
      <c r="AF187" s="180">
        <f>IF(AND(ISNUMBER(AF157),ISNUMBER(AA157)),IFERROR(AF157/AA157-1,""),"")</f>
        <v/>
      </c>
      <c r="AG187" s="180">
        <f>IF(AND(ISNUMBER(AG157),ISNUMBER(AB157)),IFERROR(AG157/AB157-1,""),"")</f>
        <v/>
      </c>
      <c r="AH187" s="180">
        <f>IF(AND(ISNUMBER(AH157),ISNUMBER(AC157)),IFERROR(AH157/AC157-1,""),"")</f>
        <v/>
      </c>
      <c r="AI187" s="180">
        <f>IF(AND(ISNUMBER(AI157),ISNUMBER(AD157)),IFERROR(AI157/AD157-1,""),"")</f>
        <v/>
      </c>
      <c r="AJ187" s="180">
        <f>IF(AND(ISNUMBER(AJ157),ISNUMBER(AE157)),IFERROR(AJ157/AE157-1,""),"")</f>
        <v/>
      </c>
      <c r="AK187" s="180">
        <f>IF(AND(ISNUMBER(AK157),ISNUMBER(AF157)),IFERROR(AK157/AF157-1,""),"")</f>
        <v/>
      </c>
      <c r="AL187" s="180">
        <f>IF(AND(ISNUMBER(AL157),ISNUMBER(AG157)),IFERROR(AL157/AG157-1,""),"")</f>
        <v/>
      </c>
      <c r="AM187" s="180">
        <f>IF(AND(ISNUMBER(AM157),ISNUMBER(AH157)),IFERROR(AM157/AH157-1,""),"")</f>
        <v/>
      </c>
      <c r="AN187" s="180">
        <f>IF(AND(ISNUMBER(AN157),ISNUMBER(AI157)),IFERROR(AN157/AI157-1,""),"")</f>
        <v/>
      </c>
      <c r="AO187" s="180">
        <f>IF(AND(ISNUMBER(AO157),ISNUMBER(AJ157)),IFERROR(AO157/AJ157-1,""),"")</f>
        <v/>
      </c>
      <c r="AP187" s="180">
        <f>IF(AND(ISNUMBER(AP157),ISNUMBER(AK157)),IFERROR(AP157/AK157-1,""),"")</f>
        <v/>
      </c>
      <c r="AQ187" s="180">
        <f>IF(AND(ISNUMBER(AQ157),ISNUMBER(AL157)),IFERROR(AQ157/AL157-1,""),"")</f>
        <v/>
      </c>
      <c r="AR187" s="180">
        <f>IF(AND(ISNUMBER(AR157),ISNUMBER(AM157)),IFERROR(AR157/AM157-1,""),"")</f>
        <v/>
      </c>
      <c r="AS187" s="180">
        <f>IF(AND(ISNUMBER(AS157),ISNUMBER(AN157)),IFERROR(AS157/AN157-1,""),"")</f>
        <v/>
      </c>
      <c r="AT187" s="180">
        <f>IF(AND(ISNUMBER(AT157),ISNUMBER(AO157)),IFERROR(AT157/AO157-1,""),"")</f>
        <v/>
      </c>
      <c r="AU187" s="180">
        <f>IF(AND(ISNUMBER(AU157),ISNUMBER(AP157)),IFERROR(AU157/AP157-1,""),"")</f>
        <v/>
      </c>
      <c r="AV187" s="180">
        <f>IF(AND(ISNUMBER(AV157),ISNUMBER(AQ157)),IFERROR(AV157/AQ157-1,""),"")</f>
        <v/>
      </c>
      <c r="AW187" s="180">
        <f>IF(AND(ISNUMBER(AW157),ISNUMBER(AR157)),IFERROR(AW157/AR157-1,""),"")</f>
        <v/>
      </c>
      <c r="AX187" s="180">
        <f>IF(AND(ISNUMBER(AX157),ISNUMBER(AS157)),IFERROR(AX157/AS157-1,""),"")</f>
        <v/>
      </c>
      <c r="AY187" s="180">
        <f>IF(AND(ISNUMBER(AY157),ISNUMBER(AT157)),IFERROR(AY157/AT157-1,""),"")</f>
        <v/>
      </c>
      <c r="AZ187" s="180">
        <f>IF(AND(ISNUMBER(AZ157),ISNUMBER(AU157)),IFERROR(AZ157/AU157-1,""),"")</f>
        <v/>
      </c>
      <c r="BA187" s="180">
        <f>IF(AND(ISNUMBER(BA157),ISNUMBER(AV157)),IFERROR(BA157/AV157-1,""),"")</f>
        <v/>
      </c>
      <c r="BB187" s="180">
        <f>IF(AND(ISNUMBER(BB157),ISNUMBER(AW157)),IFERROR(BB157/AW157-1,""),"")</f>
        <v/>
      </c>
      <c r="BC187" s="180">
        <f>IF(AND(ISNUMBER(BC157),ISNUMBER(AX157)),IFERROR(BC157/AX157-1,""),"")</f>
        <v/>
      </c>
      <c r="BD187" s="180">
        <f>IF(AND(ISNUMBER(BD157),ISNUMBER(AY157)),IFERROR(BD157/AY157-1,""),"")</f>
        <v/>
      </c>
      <c r="BE187" s="180">
        <f>IF(AND(ISNUMBER(BE157),ISNUMBER(AZ157)),IFERROR(BE157/AZ157-1,""),"")</f>
        <v/>
      </c>
      <c r="BF187" s="180">
        <f>IF(AND(ISNUMBER(BF157),ISNUMBER(BA157)),IFERROR(BF157/BA157-1,""),"")</f>
        <v/>
      </c>
      <c r="BG187" s="180">
        <f>IF(AND(ISNUMBER(BG157),ISNUMBER(BB157)),IFERROR(BG157/BB157-1,""),"")</f>
        <v/>
      </c>
      <c r="BH187" s="180">
        <f>IF(AND(ISNUMBER(BH157),ISNUMBER(BC157)),IFERROR(BH157/BC157-1,""),"")</f>
        <v/>
      </c>
      <c r="BI187" s="180">
        <f>IF(AND(ISNUMBER(BI157),ISNUMBER(BD157)),IFERROR(BI157/BD157-1,""),"")</f>
        <v/>
      </c>
      <c r="BJ187" s="180">
        <f>IF(AND(ISNUMBER(BJ157),ISNUMBER(BE157)),IFERROR(BJ157/BE157-1,""),"")</f>
        <v/>
      </c>
      <c r="BK187" s="180">
        <f>IF(AND(ISNUMBER(BK157),ISNUMBER(BF157)),IFERROR(BK157/BF157-1,""),"")</f>
        <v/>
      </c>
      <c r="BL187" s="180">
        <f>IF(AND(ISNUMBER(BL157),ISNUMBER(BG157)),IFERROR(BL157/BG157-1,""),"")</f>
        <v/>
      </c>
      <c r="BM187" s="180">
        <f>IF(AND(ISNUMBER(BM157),ISNUMBER(BH157)),IFERROR(BM157/BH157-1,""),"")</f>
        <v/>
      </c>
      <c r="BN187" s="180">
        <f>IF(AND(ISNUMBER(BN157),ISNUMBER(BI157)),IFERROR(BN157/BI157-1,""),"")</f>
        <v/>
      </c>
      <c r="BO187" s="180">
        <f>IF(AND(ISNUMBER(BO157),ISNUMBER(BJ157)),IFERROR(BO157/BJ157-1,""),"")</f>
        <v/>
      </c>
      <c r="BP187" s="180">
        <f>IF(AND(ISNUMBER(BP157),ISNUMBER(BK157)),IFERROR(BP157/BK157-1,""),"")</f>
        <v/>
      </c>
      <c r="BQ187" s="180">
        <f>IF(AND(ISNUMBER(BQ157),ISNUMBER(BL157)),IFERROR(BQ157/BL157-1,""),"")</f>
        <v/>
      </c>
      <c r="BR187" s="180">
        <f>IF(AND(ISNUMBER(BR157),ISNUMBER(BM157)),IFERROR(BR157/BM157-1,""),"")</f>
        <v/>
      </c>
      <c r="BS187" s="180">
        <f>IF(AND(ISNUMBER(BS157),ISNUMBER(BN157)),IFERROR(BS157/BN157-1,""),"")</f>
        <v/>
      </c>
      <c r="BT187" s="180">
        <f>IF(AND(ISNUMBER(BT157),ISNUMBER(BO157)),IFERROR(BT157/BO157-1,""),"")</f>
        <v/>
      </c>
      <c r="BU187" s="180">
        <f>IF(AND(ISNUMBER(BU157),ISNUMBER(BP157)),IFERROR(BU157/BP157-1,""),"")</f>
        <v/>
      </c>
      <c r="BV187" s="180">
        <f>IF(AND(ISNUMBER(BV157),ISNUMBER(BQ157)),IFERROR(BV157/BQ157-1,""),"")</f>
        <v/>
      </c>
      <c r="BW187" s="180">
        <f>IF(AND(ISNUMBER(BW157),ISNUMBER(BR157)),IFERROR(BW157/BR157-1,""),"")</f>
        <v/>
      </c>
      <c r="BX187" s="180">
        <f>IF(AND(ISNUMBER(BX157),ISNUMBER(BS157)),IFERROR(BX157/BS157-1,""),"")</f>
        <v/>
      </c>
      <c r="BY187" s="181">
        <f>IF(AND(ISNUMBER(BY157),ISNUMBER(BT157)),IFERROR(BY157/BT157-1,""),"")</f>
        <v/>
      </c>
      <c r="BZ187" s="181">
        <f>IF(AND(ISNUMBER(BZ157),ISNUMBER(BU157)),IFERROR(BZ157/BU157-1,""),"")</f>
        <v/>
      </c>
      <c r="CA187" s="181">
        <f>IF(AND(ISNUMBER(CA157),ISNUMBER(BV157)),IFERROR(CA157/BV157-1,""),"")</f>
        <v/>
      </c>
      <c r="CB187" s="181">
        <f>IF(AND(ISNUMBER(CB157),ISNUMBER(CA157)),IFERROR(CB157/CA157-1,""),"")</f>
        <v/>
      </c>
      <c r="CC187" s="181">
        <f>IF(AND(ISNUMBER(CC157),ISNUMBER(CB157)),IFERROR(CC157/CB157-1,""),"")</f>
        <v/>
      </c>
      <c r="CD187" s="181">
        <f>IF(AND(ISNUMBER(CD157),ISNUMBER(CC157)),IFERROR(CD157/CC157-1,""),"")</f>
        <v/>
      </c>
      <c r="CE187" s="181">
        <f>IF(AND(ISNUMBER(CE157),ISNUMBER(CD157)),IFERROR(CE157/CD157-1,""),"")</f>
        <v/>
      </c>
      <c r="CF187" s="6" t="n"/>
    </row>
    <row r="188" ht="15" customHeight="1">
      <c r="B188" s="23" t="inlineStr">
        <is>
          <t xml:space="preserve">  Operating income y/y %</t>
        </is>
      </c>
      <c r="D188" s="180">
        <f>IF(AND(ISNUMBER(D114),ISNUMBER(C114)),IFERROR(D114/C114-1,""),"")</f>
        <v/>
      </c>
      <c r="E188" s="180">
        <f>IF(AND(ISNUMBER(E114),ISNUMBER(D114)),IFERROR(E114/D114-1,""),"")</f>
        <v/>
      </c>
      <c r="F188" s="180">
        <f>IF(AND(ISNUMBER(F114),ISNUMBER(E114)),IFERROR(F114/E114-1,""),"")</f>
        <v/>
      </c>
      <c r="G188" s="180">
        <f>IF(AND(ISNUMBER(G114),ISNUMBER(F114)),IFERROR(G114/F114-1,""),"")</f>
        <v/>
      </c>
      <c r="H188" s="180">
        <f>IF(AND(ISNUMBER(H114),ISNUMBER(G114)),IFERROR(H114/G114-1,""),"")</f>
        <v/>
      </c>
      <c r="I188" s="180">
        <f>IF(AND(ISNUMBER(I114),ISNUMBER(H114)),IFERROR(I114/H114-1,""),"")</f>
        <v/>
      </c>
      <c r="N188" s="180">
        <f>IF(AND(ISNUMBER(N114),ISNUMBER(I114)),IFERROR(N114/I114-1,""),"")</f>
        <v/>
      </c>
      <c r="O188" s="180">
        <f>IF(AND(ISNUMBER(O114),ISNUMBER(J114)),IFERROR(O114/J114-1,""),"")</f>
        <v/>
      </c>
      <c r="P188" s="180">
        <f>IF(AND(ISNUMBER(P114),ISNUMBER(K114)),IFERROR(P114/K114-1,""),"")</f>
        <v/>
      </c>
      <c r="Q188" s="180">
        <f>IF(AND(ISNUMBER(Q114),ISNUMBER(L114)),IFERROR(Q114/L114-1,""),"")</f>
        <v/>
      </c>
      <c r="R188" s="180">
        <f>IF(AND(ISNUMBER(R114),ISNUMBER(M114)),IFERROR(R114/M114-1,""),"")</f>
        <v/>
      </c>
      <c r="S188" s="180">
        <f>IF(AND(ISNUMBER(S114),ISNUMBER(N114)),IFERROR(S114/N114-1,""),"")</f>
        <v/>
      </c>
      <c r="T188" s="180">
        <f>IF(AND(ISNUMBER(T114),ISNUMBER(O114)),IFERROR(T114/O114-1,""),"")</f>
        <v/>
      </c>
      <c r="U188" s="180">
        <f>IF(AND(ISNUMBER(U114),ISNUMBER(P114)),IFERROR(U114/P114-1,""),"")</f>
        <v/>
      </c>
      <c r="V188" s="180">
        <f>IF(AND(ISNUMBER(V114),ISNUMBER(Q114)),IFERROR(V114/Q114-1,""),"")</f>
        <v/>
      </c>
      <c r="W188" s="180">
        <f>IF(AND(ISNUMBER(W114),ISNUMBER(R114)),IFERROR(W114/R114-1,""),"")</f>
        <v/>
      </c>
      <c r="X188" s="180">
        <f>IF(AND(ISNUMBER(X114),ISNUMBER(S114)),IFERROR(X114/S114-1,""),"")</f>
        <v/>
      </c>
      <c r="Y188" s="180">
        <f>IF(AND(ISNUMBER(Y114),ISNUMBER(T114)),IFERROR(Y114/T114-1,""),"")</f>
        <v/>
      </c>
      <c r="Z188" s="180">
        <f>IF(AND(ISNUMBER(Z114),ISNUMBER(U114)),IFERROR(Z114/U114-1,""),"")</f>
        <v/>
      </c>
      <c r="AA188" s="180">
        <f>IF(AND(ISNUMBER(AA114),ISNUMBER(V114)),IFERROR(AA114/V114-1,""),"")</f>
        <v/>
      </c>
      <c r="AB188" s="180">
        <f>IF(AND(ISNUMBER(AB114),ISNUMBER(W114)),IFERROR(AB114/W114-1,""),"")</f>
        <v/>
      </c>
      <c r="AC188" s="180">
        <f>IF(AND(ISNUMBER(AC114),ISNUMBER(X114)),IFERROR(AC114/X114-1,""),"")</f>
        <v/>
      </c>
      <c r="AD188" s="180">
        <f>IF(AND(ISNUMBER(AD114),ISNUMBER(Y114)),IFERROR(AD114/Y114-1,""),"")</f>
        <v/>
      </c>
      <c r="AE188" s="180">
        <f>IF(AND(ISNUMBER(AE114),ISNUMBER(Z114)),IFERROR(AE114/Z114-1,""),"")</f>
        <v/>
      </c>
      <c r="AF188" s="180">
        <f>IF(AND(ISNUMBER(AF114),ISNUMBER(AA114)),IFERROR(AF114/AA114-1,""),"")</f>
        <v/>
      </c>
      <c r="AG188" s="180">
        <f>IF(AND(ISNUMBER(AG114),ISNUMBER(AB114)),IFERROR(AG114/AB114-1,""),"")</f>
        <v/>
      </c>
      <c r="AH188" s="180">
        <f>IF(AND(ISNUMBER(AH114),ISNUMBER(AC114)),IFERROR(AH114/AC114-1,""),"")</f>
        <v/>
      </c>
      <c r="AI188" s="180">
        <f>IF(AND(ISNUMBER(AI114),ISNUMBER(AD114)),IFERROR(AI114/AD114-1,""),"")</f>
        <v/>
      </c>
      <c r="AJ188" s="180">
        <f>IF(AND(ISNUMBER(AJ114),ISNUMBER(AE114)),IFERROR(AJ114/AE114-1,""),"")</f>
        <v/>
      </c>
      <c r="AK188" s="180">
        <f>IF(AND(ISNUMBER(AK114),ISNUMBER(AF114)),IFERROR(AK114/AF114-1,""),"")</f>
        <v/>
      </c>
      <c r="AL188" s="180">
        <f>IF(AND(ISNUMBER(AL114),ISNUMBER(AG114)),IFERROR(AL114/AG114-1,""),"")</f>
        <v/>
      </c>
      <c r="AM188" s="180">
        <f>IF(AND(ISNUMBER(AM114),ISNUMBER(AH114)),IFERROR(AM114/AH114-1,""),"")</f>
        <v/>
      </c>
      <c r="AN188" s="180">
        <f>IF(AND(ISNUMBER(AN114),ISNUMBER(AI114)),IFERROR(AN114/AI114-1,""),"")</f>
        <v/>
      </c>
      <c r="AO188" s="180">
        <f>IF(AND(ISNUMBER(AO114),ISNUMBER(AJ114)),IFERROR(AO114/AJ114-1,""),"")</f>
        <v/>
      </c>
      <c r="AP188" s="180">
        <f>IF(AND(ISNUMBER(AP114),ISNUMBER(AK114)),IFERROR(AP114/AK114-1,""),"")</f>
        <v/>
      </c>
      <c r="AQ188" s="180">
        <f>IF(AND(ISNUMBER(AQ114),ISNUMBER(AL114)),IFERROR(AQ114/AL114-1,""),"")</f>
        <v/>
      </c>
      <c r="AR188" s="180">
        <f>IF(AND(ISNUMBER(AR114),ISNUMBER(AM114)),IFERROR(AR114/AM114-1,""),"")</f>
        <v/>
      </c>
      <c r="AS188" s="180">
        <f>IF(AND(ISNUMBER(AS114),ISNUMBER(AN114)),IFERROR(AS114/AN114-1,""),"")</f>
        <v/>
      </c>
      <c r="AT188" s="180">
        <f>IF(AND(ISNUMBER(AT114),ISNUMBER(AO114)),IFERROR(AT114/AO114-1,""),"")</f>
        <v/>
      </c>
      <c r="AU188" s="180">
        <f>IF(AND(ISNUMBER(AU114),ISNUMBER(AP114)),IFERROR(AU114/AP114-1,""),"")</f>
        <v/>
      </c>
      <c r="AV188" s="180">
        <f>IF(AND(ISNUMBER(AV114),ISNUMBER(AQ114)),IFERROR(AV114/AQ114-1,""),"")</f>
        <v/>
      </c>
      <c r="AW188" s="180">
        <f>IF(AND(ISNUMBER(AW114),ISNUMBER(AR114)),IFERROR(AW114/AR114-1,""),"")</f>
        <v/>
      </c>
      <c r="AX188" s="180">
        <f>IF(AND(ISNUMBER(AX114),ISNUMBER(AS114)),IFERROR(AX114/AS114-1,""),"")</f>
        <v/>
      </c>
      <c r="AY188" s="180">
        <f>IF(AND(ISNUMBER(AY114),ISNUMBER(AT114)),IFERROR(AY114/AT114-1,""),"")</f>
        <v/>
      </c>
      <c r="AZ188" s="180">
        <f>IF(AND(ISNUMBER(AZ114),ISNUMBER(AU114)),IFERROR(AZ114/AU114-1,""),"")</f>
        <v/>
      </c>
      <c r="BA188" s="180">
        <f>IF(AND(ISNUMBER(BA114),ISNUMBER(AV114)),IFERROR(BA114/AV114-1,""),"")</f>
        <v/>
      </c>
      <c r="BB188" s="180">
        <f>IF(AND(ISNUMBER(BB114),ISNUMBER(AW114)),IFERROR(BB114/AW114-1,""),"")</f>
        <v/>
      </c>
      <c r="BC188" s="180">
        <f>IF(AND(ISNUMBER(BC114),ISNUMBER(AX114)),IFERROR(BC114/AX114-1,""),"")</f>
        <v/>
      </c>
      <c r="BD188" s="180">
        <f>IF(AND(ISNUMBER(BD114),ISNUMBER(AY114)),IFERROR(BD114/AY114-1,""),"")</f>
        <v/>
      </c>
      <c r="BE188" s="180">
        <f>IF(AND(ISNUMBER(BE114),ISNUMBER(AZ114)),IFERROR(BE114/AZ114-1,""),"")</f>
        <v/>
      </c>
      <c r="BF188" s="180">
        <f>IF(AND(ISNUMBER(BF114),ISNUMBER(BA114)),IFERROR(BF114/BA114-1,""),"")</f>
        <v/>
      </c>
      <c r="BG188" s="180">
        <f>IF(AND(ISNUMBER(BG114),ISNUMBER(BB114)),IFERROR(BG114/BB114-1,""),"")</f>
        <v/>
      </c>
      <c r="BH188" s="180">
        <f>IF(AND(ISNUMBER(BH114),ISNUMBER(BC114)),IFERROR(BH114/BC114-1,""),"")</f>
        <v/>
      </c>
      <c r="BI188" s="180">
        <f>IF(AND(ISNUMBER(BI114),ISNUMBER(BD114)),IFERROR(BI114/BD114-1,""),"")</f>
        <v/>
      </c>
      <c r="BJ188" s="180">
        <f>IF(AND(ISNUMBER(BJ114),ISNUMBER(BE114)),IFERROR(BJ114/BE114-1,""),"")</f>
        <v/>
      </c>
      <c r="BK188" s="180">
        <f>IF(AND(ISNUMBER(BK114),ISNUMBER(BF114)),IFERROR(BK114/BF114-1,""),"")</f>
        <v/>
      </c>
      <c r="BL188" s="180">
        <f>IF(AND(ISNUMBER(BL114),ISNUMBER(BG114)),IFERROR(BL114/BG114-1,""),"")</f>
        <v/>
      </c>
      <c r="BM188" s="180">
        <f>IF(AND(ISNUMBER(BM114),ISNUMBER(BH114)),IFERROR(BM114/BH114-1,""),"")</f>
        <v/>
      </c>
      <c r="BN188" s="180">
        <f>IF(AND(ISNUMBER(BN114),ISNUMBER(BI114)),IFERROR(BN114/BI114-1,""),"")</f>
        <v/>
      </c>
      <c r="BO188" s="180">
        <f>IF(AND(ISNUMBER(BO114),ISNUMBER(BJ114)),IFERROR(BO114/BJ114-1,""),"")</f>
        <v/>
      </c>
      <c r="BP188" s="180">
        <f>IF(AND(ISNUMBER(BP114),ISNUMBER(BK114)),IFERROR(BP114/BK114-1,""),"")</f>
        <v/>
      </c>
      <c r="BQ188" s="180">
        <f>IF(AND(ISNUMBER(BQ114),ISNUMBER(BL114)),IFERROR(BQ114/BL114-1,""),"")</f>
        <v/>
      </c>
      <c r="BR188" s="180">
        <f>IF(AND(ISNUMBER(BR114),ISNUMBER(BM114)),IFERROR(BR114/BM114-1,""),"")</f>
        <v/>
      </c>
      <c r="BS188" s="180">
        <f>IF(AND(ISNUMBER(BS114),ISNUMBER(BN114)),IFERROR(BS114/BN114-1,""),"")</f>
        <v/>
      </c>
      <c r="BT188" s="180">
        <f>IF(AND(ISNUMBER(BT114),ISNUMBER(BO114)),IFERROR(BT114/BO114-1,""),"")</f>
        <v/>
      </c>
      <c r="BU188" s="180">
        <f>IF(AND(ISNUMBER(BU114),ISNUMBER(BP114)),IFERROR(BU114/BP114-1,""),"")</f>
        <v/>
      </c>
      <c r="BV188" s="180">
        <f>IF(AND(ISNUMBER(BV114),ISNUMBER(BQ114)),IFERROR(BV114/BQ114-1,""),"")</f>
        <v/>
      </c>
      <c r="BW188" s="180">
        <f>IF(AND(ISNUMBER(BW114),ISNUMBER(BR114)),IFERROR(BW114/BR114-1,""),"")</f>
        <v/>
      </c>
      <c r="BX188" s="180">
        <f>IF(AND(ISNUMBER(BX114),ISNUMBER(BS114)),IFERROR(BX114/BS114-1,""),"")</f>
        <v/>
      </c>
      <c r="BY188" s="181">
        <f>IF(AND(ISNUMBER(BY114),ISNUMBER(BT114)),IFERROR(BY114/BT114-1,""),"")</f>
        <v/>
      </c>
      <c r="BZ188" s="181">
        <f>IF(AND(ISNUMBER(BZ114),ISNUMBER(BU114)),IFERROR(BZ114/BU114-1,""),"")</f>
        <v/>
      </c>
      <c r="CA188" s="181">
        <f>IF(AND(ISNUMBER(CA114),ISNUMBER(BV114)),IFERROR(CA114/BV114-1,""),"")</f>
        <v/>
      </c>
      <c r="CB188" s="181">
        <f>IF(AND(ISNUMBER(CB114),ISNUMBER(CA114)),IFERROR(CB114/CA114-1,""),"")</f>
        <v/>
      </c>
      <c r="CC188" s="181">
        <f>IF(AND(ISNUMBER(CC114),ISNUMBER(CB114)),IFERROR(CC114/CB114-1,""),"")</f>
        <v/>
      </c>
      <c r="CD188" s="181">
        <f>IF(AND(ISNUMBER(CD114),ISNUMBER(CC114)),IFERROR(CD114/CC114-1,""),"")</f>
        <v/>
      </c>
      <c r="CE188" s="181">
        <f>IF(AND(ISNUMBER(CE114),ISNUMBER(CD114)),IFERROR(CE114/CD114-1,""),"")</f>
        <v/>
      </c>
      <c r="CF188" s="6" t="n"/>
    </row>
    <row r="189" ht="15" customHeight="1">
      <c r="B189" s="23" t="inlineStr">
        <is>
          <t xml:space="preserve">  Net income y/y %</t>
        </is>
      </c>
      <c r="D189" s="180">
        <f>IF(AND(ISNUMBER(D122),ISNUMBER(C122)),IFERROR(D122/C122-1,""),"")</f>
        <v/>
      </c>
      <c r="E189" s="180">
        <f>IF(AND(ISNUMBER(E122),ISNUMBER(D122)),IFERROR(E122/D122-1,""),"")</f>
        <v/>
      </c>
      <c r="F189" s="180">
        <f>IF(AND(ISNUMBER(F122),ISNUMBER(E122)),IFERROR(F122/E122-1,""),"")</f>
        <v/>
      </c>
      <c r="G189" s="180">
        <f>IF(AND(ISNUMBER(G122),ISNUMBER(F122)),IFERROR(G122/F122-1,""),"")</f>
        <v/>
      </c>
      <c r="H189" s="180">
        <f>IF(AND(ISNUMBER(H122),ISNUMBER(G122)),IFERROR(H122/G122-1,""),"")</f>
        <v/>
      </c>
      <c r="I189" s="180">
        <f>IF(AND(ISNUMBER(I122),ISNUMBER(H122)),IFERROR(I122/H122-1,""),"")</f>
        <v/>
      </c>
      <c r="N189" s="180">
        <f>IF(AND(ISNUMBER(N122),ISNUMBER(I122)),IFERROR(N122/I122-1,""),"")</f>
        <v/>
      </c>
      <c r="O189" s="180">
        <f>IF(AND(ISNUMBER(O122),ISNUMBER(J122)),IFERROR(O122/J122-1,""),"")</f>
        <v/>
      </c>
      <c r="P189" s="180">
        <f>IF(AND(ISNUMBER(P122),ISNUMBER(K122)),IFERROR(P122/K122-1,""),"")</f>
        <v/>
      </c>
      <c r="Q189" s="180">
        <f>IF(AND(ISNUMBER(Q122),ISNUMBER(L122)),IFERROR(Q122/L122-1,""),"")</f>
        <v/>
      </c>
      <c r="R189" s="180">
        <f>IF(AND(ISNUMBER(R122),ISNUMBER(M122)),IFERROR(R122/M122-1,""),"")</f>
        <v/>
      </c>
      <c r="S189" s="180">
        <f>IF(AND(ISNUMBER(S122),ISNUMBER(N122)),IFERROR(S122/N122-1,""),"")</f>
        <v/>
      </c>
      <c r="T189" s="180">
        <f>IF(AND(ISNUMBER(T122),ISNUMBER(O122)),IFERROR(T122/O122-1,""),"")</f>
        <v/>
      </c>
      <c r="U189" s="180">
        <f>IF(AND(ISNUMBER(U122),ISNUMBER(P122)),IFERROR(U122/P122-1,""),"")</f>
        <v/>
      </c>
      <c r="V189" s="180">
        <f>IF(AND(ISNUMBER(V122),ISNUMBER(Q122)),IFERROR(V122/Q122-1,""),"")</f>
        <v/>
      </c>
      <c r="W189" s="180">
        <f>IF(AND(ISNUMBER(W122),ISNUMBER(R122)),IFERROR(W122/R122-1,""),"")</f>
        <v/>
      </c>
      <c r="X189" s="180">
        <f>IF(AND(ISNUMBER(X122),ISNUMBER(S122)),IFERROR(X122/S122-1,""),"")</f>
        <v/>
      </c>
      <c r="Y189" s="180">
        <f>IF(AND(ISNUMBER(Y122),ISNUMBER(T122)),IFERROR(Y122/T122-1,""),"")</f>
        <v/>
      </c>
      <c r="Z189" s="180">
        <f>IF(AND(ISNUMBER(Z122),ISNUMBER(U122)),IFERROR(Z122/U122-1,""),"")</f>
        <v/>
      </c>
      <c r="AA189" s="180">
        <f>IF(AND(ISNUMBER(AA122),ISNUMBER(V122)),IFERROR(AA122/V122-1,""),"")</f>
        <v/>
      </c>
      <c r="AB189" s="180">
        <f>IF(AND(ISNUMBER(AB122),ISNUMBER(W122)),IFERROR(AB122/W122-1,""),"")</f>
        <v/>
      </c>
      <c r="AC189" s="180">
        <f>IF(AND(ISNUMBER(AC122),ISNUMBER(X122)),IFERROR(AC122/X122-1,""),"")</f>
        <v/>
      </c>
      <c r="AD189" s="180">
        <f>IF(AND(ISNUMBER(AD122),ISNUMBER(Y122)),IFERROR(AD122/Y122-1,""),"")</f>
        <v/>
      </c>
      <c r="AE189" s="180">
        <f>IF(AND(ISNUMBER(AE122),ISNUMBER(Z122)),IFERROR(AE122/Z122-1,""),"")</f>
        <v/>
      </c>
      <c r="AF189" s="180">
        <f>IF(AND(ISNUMBER(AF122),ISNUMBER(AA122)),IFERROR(AF122/AA122-1,""),"")</f>
        <v/>
      </c>
      <c r="AG189" s="180">
        <f>IF(AND(ISNUMBER(AG122),ISNUMBER(AB122)),IFERROR(AG122/AB122-1,""),"")</f>
        <v/>
      </c>
      <c r="AH189" s="180">
        <f>IF(AND(ISNUMBER(AH122),ISNUMBER(AC122)),IFERROR(AH122/AC122-1,""),"")</f>
        <v/>
      </c>
      <c r="AI189" s="180">
        <f>IF(AND(ISNUMBER(AI122),ISNUMBER(AD122)),IFERROR(AI122/AD122-1,""),"")</f>
        <v/>
      </c>
      <c r="AJ189" s="180">
        <f>IF(AND(ISNUMBER(AJ122),ISNUMBER(AE122)),IFERROR(AJ122/AE122-1,""),"")</f>
        <v/>
      </c>
      <c r="AK189" s="180">
        <f>IF(AND(ISNUMBER(AK122),ISNUMBER(AF122)),IFERROR(AK122/AF122-1,""),"")</f>
        <v/>
      </c>
      <c r="AL189" s="180">
        <f>IF(AND(ISNUMBER(AL122),ISNUMBER(AG122)),IFERROR(AL122/AG122-1,""),"")</f>
        <v/>
      </c>
      <c r="AM189" s="180">
        <f>IF(AND(ISNUMBER(AM122),ISNUMBER(AH122)),IFERROR(AM122/AH122-1,""),"")</f>
        <v/>
      </c>
      <c r="AN189" s="180">
        <f>IF(AND(ISNUMBER(AN122),ISNUMBER(AI122)),IFERROR(AN122/AI122-1,""),"")</f>
        <v/>
      </c>
      <c r="AO189" s="180">
        <f>IF(AND(ISNUMBER(AO122),ISNUMBER(AJ122)),IFERROR(AO122/AJ122-1,""),"")</f>
        <v/>
      </c>
      <c r="AP189" s="180">
        <f>IF(AND(ISNUMBER(AP122),ISNUMBER(AK122)),IFERROR(AP122/AK122-1,""),"")</f>
        <v/>
      </c>
      <c r="AQ189" s="180">
        <f>IF(AND(ISNUMBER(AQ122),ISNUMBER(AL122)),IFERROR(AQ122/AL122-1,""),"")</f>
        <v/>
      </c>
      <c r="AR189" s="180">
        <f>IF(AND(ISNUMBER(AR122),ISNUMBER(AM122)),IFERROR(AR122/AM122-1,""),"")</f>
        <v/>
      </c>
      <c r="AS189" s="180">
        <f>IF(AND(ISNUMBER(AS122),ISNUMBER(AN122)),IFERROR(AS122/AN122-1,""),"")</f>
        <v/>
      </c>
      <c r="AT189" s="180">
        <f>IF(AND(ISNUMBER(AT122),ISNUMBER(AO122)),IFERROR(AT122/AO122-1,""),"")</f>
        <v/>
      </c>
      <c r="AU189" s="180">
        <f>IF(AND(ISNUMBER(AU122),ISNUMBER(AP122)),IFERROR(AU122/AP122-1,""),"")</f>
        <v/>
      </c>
      <c r="AV189" s="180">
        <f>IF(AND(ISNUMBER(AV122),ISNUMBER(AQ122)),IFERROR(AV122/AQ122-1,""),"")</f>
        <v/>
      </c>
      <c r="AW189" s="180">
        <f>IF(AND(ISNUMBER(AW122),ISNUMBER(AR122)),IFERROR(AW122/AR122-1,""),"")</f>
        <v/>
      </c>
      <c r="AX189" s="180">
        <f>IF(AND(ISNUMBER(AX122),ISNUMBER(AS122)),IFERROR(AX122/AS122-1,""),"")</f>
        <v/>
      </c>
      <c r="AY189" s="180">
        <f>IF(AND(ISNUMBER(AY122),ISNUMBER(AT122)),IFERROR(AY122/AT122-1,""),"")</f>
        <v/>
      </c>
      <c r="AZ189" s="180">
        <f>IF(AND(ISNUMBER(AZ122),ISNUMBER(AU122)),IFERROR(AZ122/AU122-1,""),"")</f>
        <v/>
      </c>
      <c r="BA189" s="180">
        <f>IF(AND(ISNUMBER(BA122),ISNUMBER(AV122)),IFERROR(BA122/AV122-1,""),"")</f>
        <v/>
      </c>
      <c r="BB189" s="180">
        <f>IF(AND(ISNUMBER(BB122),ISNUMBER(AW122)),IFERROR(BB122/AW122-1,""),"")</f>
        <v/>
      </c>
      <c r="BC189" s="180">
        <f>IF(AND(ISNUMBER(BC122),ISNUMBER(AX122)),IFERROR(BC122/AX122-1,""),"")</f>
        <v/>
      </c>
      <c r="BD189" s="180">
        <f>IF(AND(ISNUMBER(BD122),ISNUMBER(AY122)),IFERROR(BD122/AY122-1,""),"")</f>
        <v/>
      </c>
      <c r="BE189" s="180">
        <f>IF(AND(ISNUMBER(BE122),ISNUMBER(AZ122)),IFERROR(BE122/AZ122-1,""),"")</f>
        <v/>
      </c>
      <c r="BF189" s="180">
        <f>IF(AND(ISNUMBER(BF122),ISNUMBER(BA122)),IFERROR(BF122/BA122-1,""),"")</f>
        <v/>
      </c>
      <c r="BG189" s="180">
        <f>IF(AND(ISNUMBER(BG122),ISNUMBER(BB122)),IFERROR(BG122/BB122-1,""),"")</f>
        <v/>
      </c>
      <c r="BH189" s="180">
        <f>IF(AND(ISNUMBER(BH122),ISNUMBER(BC122)),IFERROR(BH122/BC122-1,""),"")</f>
        <v/>
      </c>
      <c r="BI189" s="180">
        <f>IF(AND(ISNUMBER(BI122),ISNUMBER(BD122)),IFERROR(BI122/BD122-1,""),"")</f>
        <v/>
      </c>
      <c r="BJ189" s="180">
        <f>IF(AND(ISNUMBER(BJ122),ISNUMBER(BE122)),IFERROR(BJ122/BE122-1,""),"")</f>
        <v/>
      </c>
      <c r="BK189" s="180">
        <f>IF(AND(ISNUMBER(BK122),ISNUMBER(BF122)),IFERROR(BK122/BF122-1,""),"")</f>
        <v/>
      </c>
      <c r="BL189" s="180">
        <f>IF(AND(ISNUMBER(BL122),ISNUMBER(BG122)),IFERROR(BL122/BG122-1,""),"")</f>
        <v/>
      </c>
      <c r="BM189" s="180">
        <f>IF(AND(ISNUMBER(BM122),ISNUMBER(BH122)),IFERROR(BM122/BH122-1,""),"")</f>
        <v/>
      </c>
      <c r="BN189" s="180">
        <f>IF(AND(ISNUMBER(BN122),ISNUMBER(BI122)),IFERROR(BN122/BI122-1,""),"")</f>
        <v/>
      </c>
      <c r="BO189" s="180">
        <f>IF(AND(ISNUMBER(BO122),ISNUMBER(BJ122)),IFERROR(BO122/BJ122-1,""),"")</f>
        <v/>
      </c>
      <c r="BP189" s="180">
        <f>IF(AND(ISNUMBER(BP122),ISNUMBER(BK122)),IFERROR(BP122/BK122-1,""),"")</f>
        <v/>
      </c>
      <c r="BQ189" s="180">
        <f>IF(AND(ISNUMBER(BQ122),ISNUMBER(BL122)),IFERROR(BQ122/BL122-1,""),"")</f>
        <v/>
      </c>
      <c r="BR189" s="180">
        <f>IF(AND(ISNUMBER(BR122),ISNUMBER(BM122)),IFERROR(BR122/BM122-1,""),"")</f>
        <v/>
      </c>
      <c r="BS189" s="180">
        <f>IF(AND(ISNUMBER(BS122),ISNUMBER(BN122)),IFERROR(BS122/BN122-1,""),"")</f>
        <v/>
      </c>
      <c r="BT189" s="180">
        <f>IF(AND(ISNUMBER(BT122),ISNUMBER(BO122)),IFERROR(BT122/BO122-1,""),"")</f>
        <v/>
      </c>
      <c r="BU189" s="180">
        <f>IF(AND(ISNUMBER(BU122),ISNUMBER(BP122)),IFERROR(BU122/BP122-1,""),"")</f>
        <v/>
      </c>
      <c r="BV189" s="180">
        <f>IF(AND(ISNUMBER(BV122),ISNUMBER(BQ122)),IFERROR(BV122/BQ122-1,""),"")</f>
        <v/>
      </c>
      <c r="BW189" s="180">
        <f>IF(AND(ISNUMBER(BW122),ISNUMBER(BR122)),IFERROR(BW122/BR122-1,""),"")</f>
        <v/>
      </c>
      <c r="BX189" s="180">
        <f>IF(AND(ISNUMBER(BX122),ISNUMBER(BS122)),IFERROR(BX122/BS122-1,""),"")</f>
        <v/>
      </c>
      <c r="BY189" s="181">
        <f>IF(AND(ISNUMBER(BY122),ISNUMBER(BT122)),IFERROR(BY122/BT122-1,""),"")</f>
        <v/>
      </c>
      <c r="BZ189" s="181">
        <f>IF(AND(ISNUMBER(BZ122),ISNUMBER(BU122)),IFERROR(BZ122/BU122-1,""),"")</f>
        <v/>
      </c>
      <c r="CA189" s="181">
        <f>IF(AND(ISNUMBER(CA122),ISNUMBER(BV122)),IFERROR(CA122/BV122-1,""),"")</f>
        <v/>
      </c>
      <c r="CB189" s="181">
        <f>IF(AND(ISNUMBER(CB122),ISNUMBER(CA122)),IFERROR(CB122/CA122-1,""),"")</f>
        <v/>
      </c>
      <c r="CC189" s="181">
        <f>IF(AND(ISNUMBER(CC122),ISNUMBER(CB122)),IFERROR(CC122/CB122-1,""),"")</f>
        <v/>
      </c>
      <c r="CD189" s="181">
        <f>IF(AND(ISNUMBER(CD122),ISNUMBER(CC122)),IFERROR(CD122/CC122-1,""),"")</f>
        <v/>
      </c>
      <c r="CE189" s="181">
        <f>IF(AND(ISNUMBER(CE122),ISNUMBER(CD122)),IFERROR(CE122/CD122-1,""),"")</f>
        <v/>
      </c>
      <c r="CF189" s="6" t="n"/>
    </row>
    <row r="190" ht="15" customHeight="1">
      <c r="B190" s="23" t="inlineStr">
        <is>
          <t xml:space="preserve">  Adjusted EPS y/y %</t>
        </is>
      </c>
      <c r="D190" s="180">
        <f>IF(AND(ISNUMBER(D176),ISNUMBER(C176)),IFERROR(D176/C176-1,""),"")</f>
        <v/>
      </c>
      <c r="E190" s="180">
        <f>IF(AND(ISNUMBER(E176),ISNUMBER(D176)),IFERROR(E176/D176-1,""),"")</f>
        <v/>
      </c>
      <c r="F190" s="180">
        <f>IF(AND(ISNUMBER(F176),ISNUMBER(E176)),IFERROR(F176/E176-1,""),"")</f>
        <v/>
      </c>
      <c r="G190" s="180">
        <f>IF(AND(ISNUMBER(G176),ISNUMBER(F176)),IFERROR(G176/F176-1,""),"")</f>
        <v/>
      </c>
      <c r="H190" s="180">
        <f>IF(AND(ISNUMBER(H176),ISNUMBER(G176)),IFERROR(H176/G176-1,""),"")</f>
        <v/>
      </c>
      <c r="I190" s="180">
        <f>IF(AND(ISNUMBER(I176),ISNUMBER(H176)),IFERROR(I176/H176-1,""),"")</f>
        <v/>
      </c>
      <c r="N190" s="180">
        <f>IF(AND(ISNUMBER(N176),ISNUMBER(I176)),IFERROR(N176/I176-1,""),"")</f>
        <v/>
      </c>
      <c r="O190" s="180">
        <f>IF(AND(ISNUMBER(O176),ISNUMBER(J176)),IFERROR(O176/J176-1,""),"")</f>
        <v/>
      </c>
      <c r="P190" s="180">
        <f>IF(AND(ISNUMBER(P176),ISNUMBER(K176)),IFERROR(P176/K176-1,""),"")</f>
        <v/>
      </c>
      <c r="Q190" s="180">
        <f>IF(AND(ISNUMBER(Q176),ISNUMBER(L176)),IFERROR(Q176/L176-1,""),"")</f>
        <v/>
      </c>
      <c r="R190" s="180">
        <f>IF(AND(ISNUMBER(R176),ISNUMBER(M176)),IFERROR(R176/M176-1,""),"")</f>
        <v/>
      </c>
      <c r="S190" s="180">
        <f>IF(AND(ISNUMBER(S176),ISNUMBER(N176)),IFERROR(S176/N176-1,""),"")</f>
        <v/>
      </c>
      <c r="T190" s="180">
        <f>IF(AND(ISNUMBER(T176),ISNUMBER(O176)),IFERROR(T176/O176-1,""),"")</f>
        <v/>
      </c>
      <c r="U190" s="180">
        <f>IF(AND(ISNUMBER(U176),ISNUMBER(P176)),IFERROR(U176/P176-1,""),"")</f>
        <v/>
      </c>
      <c r="V190" s="180">
        <f>IF(AND(ISNUMBER(V176),ISNUMBER(Q176)),IFERROR(V176/Q176-1,""),"")</f>
        <v/>
      </c>
      <c r="W190" s="180">
        <f>IF(AND(ISNUMBER(W176),ISNUMBER(R176)),IFERROR(W176/R176-1,""),"")</f>
        <v/>
      </c>
      <c r="X190" s="180">
        <f>IF(AND(ISNUMBER(X176),ISNUMBER(S176)),IFERROR(X176/S176-1,""),"")</f>
        <v/>
      </c>
      <c r="Y190" s="180">
        <f>IF(AND(ISNUMBER(Y176),ISNUMBER(T176)),IFERROR(Y176/T176-1,""),"")</f>
        <v/>
      </c>
      <c r="Z190" s="180">
        <f>IF(AND(ISNUMBER(Z176),ISNUMBER(U176)),IFERROR(Z176/U176-1,""),"")</f>
        <v/>
      </c>
      <c r="AA190" s="180">
        <f>IF(AND(ISNUMBER(AA176),ISNUMBER(V176)),IFERROR(AA176/V176-1,""),"")</f>
        <v/>
      </c>
      <c r="AB190" s="180">
        <f>IF(AND(ISNUMBER(AB176),ISNUMBER(W176)),IFERROR(AB176/W176-1,""),"")</f>
        <v/>
      </c>
      <c r="AC190" s="180">
        <f>IF(AND(ISNUMBER(AC176),ISNUMBER(X176)),IFERROR(AC176/X176-1,""),"")</f>
        <v/>
      </c>
      <c r="AD190" s="180">
        <f>IF(AND(ISNUMBER(AD176),ISNUMBER(Y176)),IFERROR(AD176/Y176-1,""),"")</f>
        <v/>
      </c>
      <c r="AE190" s="180">
        <f>IF(AND(ISNUMBER(AE176),ISNUMBER(Z176)),IFERROR(AE176/Z176-1,""),"")</f>
        <v/>
      </c>
      <c r="AF190" s="180">
        <f>IF(AND(ISNUMBER(AF176),ISNUMBER(AA176)),IFERROR(AF176/AA176-1,""),"")</f>
        <v/>
      </c>
      <c r="AG190" s="180">
        <f>IF(AND(ISNUMBER(AG176),ISNUMBER(AB176)),IFERROR(AG176/AB176-1,""),"")</f>
        <v/>
      </c>
      <c r="AH190" s="180">
        <f>IF(AND(ISNUMBER(AH176),ISNUMBER(AC176)),IFERROR(AH176/AC176-1,""),"")</f>
        <v/>
      </c>
      <c r="AI190" s="180">
        <f>IF(AND(ISNUMBER(AI176),ISNUMBER(AD176)),IFERROR(AI176/AD176-1,""),"")</f>
        <v/>
      </c>
      <c r="AJ190" s="180">
        <f>IF(AND(ISNUMBER(AJ176),ISNUMBER(AE176)),IFERROR(AJ176/AE176-1,""),"")</f>
        <v/>
      </c>
      <c r="AK190" s="180">
        <f>IF(AND(ISNUMBER(AK176),ISNUMBER(AF176)),IFERROR(AK176/AF176-1,""),"")</f>
        <v/>
      </c>
      <c r="AL190" s="180">
        <f>IF(AND(ISNUMBER(AL176),ISNUMBER(AG176)),IFERROR(AL176/AG176-1,""),"")</f>
        <v/>
      </c>
      <c r="AM190" s="180">
        <f>IF(AND(ISNUMBER(AM176),ISNUMBER(AH176)),IFERROR(AM176/AH176-1,""),"")</f>
        <v/>
      </c>
      <c r="AN190" s="180">
        <f>IF(AND(ISNUMBER(AN176),ISNUMBER(AI176)),IFERROR(AN176/AI176-1,""),"")</f>
        <v/>
      </c>
      <c r="AO190" s="180">
        <f>IF(AND(ISNUMBER(AO176),ISNUMBER(AJ176)),IFERROR(AO176/AJ176-1,""),"")</f>
        <v/>
      </c>
      <c r="AP190" s="180">
        <f>IF(AND(ISNUMBER(AP176),ISNUMBER(AK176)),IFERROR(AP176/AK176-1,""),"")</f>
        <v/>
      </c>
      <c r="AQ190" s="180">
        <f>IF(AND(ISNUMBER(AQ176),ISNUMBER(AL176)),IFERROR(AQ176/AL176-1,""),"")</f>
        <v/>
      </c>
      <c r="AR190" s="180">
        <f>IF(AND(ISNUMBER(AR176),ISNUMBER(AM176)),IFERROR(AR176/AM176-1,""),"")</f>
        <v/>
      </c>
      <c r="AS190" s="180">
        <f>IF(AND(ISNUMBER(AS176),ISNUMBER(AN176)),IFERROR(AS176/AN176-1,""),"")</f>
        <v/>
      </c>
      <c r="AT190" s="180">
        <f>IF(AND(ISNUMBER(AT176),ISNUMBER(AO176)),IFERROR(AT176/AO176-1,""),"")</f>
        <v/>
      </c>
      <c r="AU190" s="180">
        <f>IF(AND(ISNUMBER(AU176),ISNUMBER(AP176)),IFERROR(AU176/AP176-1,""),"")</f>
        <v/>
      </c>
      <c r="AV190" s="180">
        <f>IF(AND(ISNUMBER(AV176),ISNUMBER(AQ176)),IFERROR(AV176/AQ176-1,""),"")</f>
        <v/>
      </c>
      <c r="AW190" s="180">
        <f>IF(AND(ISNUMBER(AW176),ISNUMBER(AR176)),IFERROR(AW176/AR176-1,""),"")</f>
        <v/>
      </c>
      <c r="AX190" s="180">
        <f>IF(AND(ISNUMBER(AX176),ISNUMBER(AS176)),IFERROR(AX176/AS176-1,""),"")</f>
        <v/>
      </c>
      <c r="AY190" s="180">
        <f>IF(AND(ISNUMBER(AY176),ISNUMBER(AT176)),IFERROR(AY176/AT176-1,""),"")</f>
        <v/>
      </c>
      <c r="AZ190" s="180">
        <f>IF(AND(ISNUMBER(AZ176),ISNUMBER(AU176)),IFERROR(AZ176/AU176-1,""),"")</f>
        <v/>
      </c>
      <c r="BA190" s="180">
        <f>IF(AND(ISNUMBER(BA176),ISNUMBER(AV176)),IFERROR(BA176/AV176-1,""),"")</f>
        <v/>
      </c>
      <c r="BB190" s="180">
        <f>IF(AND(ISNUMBER(BB176),ISNUMBER(AW176)),IFERROR(BB176/AW176-1,""),"")</f>
        <v/>
      </c>
      <c r="BC190" s="180">
        <f>IF(AND(ISNUMBER(BC176),ISNUMBER(AX176)),IFERROR(BC176/AX176-1,""),"")</f>
        <v/>
      </c>
      <c r="BD190" s="180">
        <f>IF(AND(ISNUMBER(BD176),ISNUMBER(AY176)),IFERROR(BD176/AY176-1,""),"")</f>
        <v/>
      </c>
      <c r="BE190" s="180">
        <f>IF(AND(ISNUMBER(BE176),ISNUMBER(AZ176)),IFERROR(BE176/AZ176-1,""),"")</f>
        <v/>
      </c>
      <c r="BF190" s="180">
        <f>IF(AND(ISNUMBER(BF176),ISNUMBER(BA176)),IFERROR(BF176/BA176-1,""),"")</f>
        <v/>
      </c>
      <c r="BG190" s="180">
        <f>IF(AND(ISNUMBER(BG176),ISNUMBER(BB176)),IFERROR(BG176/BB176-1,""),"")</f>
        <v/>
      </c>
      <c r="BH190" s="180">
        <f>IF(AND(ISNUMBER(BH176),ISNUMBER(BC176)),IFERROR(BH176/BC176-1,""),"")</f>
        <v/>
      </c>
      <c r="BI190" s="180">
        <f>IF(AND(ISNUMBER(BI176),ISNUMBER(BD176)),IFERROR(BI176/BD176-1,""),"")</f>
        <v/>
      </c>
      <c r="BJ190" s="180">
        <f>IF(AND(ISNUMBER(BJ176),ISNUMBER(BE176)),IFERROR(BJ176/BE176-1,""),"")</f>
        <v/>
      </c>
      <c r="BK190" s="180">
        <f>IF(AND(ISNUMBER(BK176),ISNUMBER(BF176)),IFERROR(BK176/BF176-1,""),"")</f>
        <v/>
      </c>
      <c r="BL190" s="180">
        <f>IF(AND(ISNUMBER(BL176),ISNUMBER(BG176)),IFERROR(BL176/BG176-1,""),"")</f>
        <v/>
      </c>
      <c r="BM190" s="180">
        <f>IF(AND(ISNUMBER(BM176),ISNUMBER(BH176)),IFERROR(BM176/BH176-1,""),"")</f>
        <v/>
      </c>
      <c r="BN190" s="180">
        <f>IF(AND(ISNUMBER(BN176),ISNUMBER(BI176)),IFERROR(BN176/BI176-1,""),"")</f>
        <v/>
      </c>
      <c r="BO190" s="180">
        <f>IF(AND(ISNUMBER(BO176),ISNUMBER(BJ176)),IFERROR(BO176/BJ176-1,""),"")</f>
        <v/>
      </c>
      <c r="BP190" s="180">
        <f>IF(AND(ISNUMBER(BP176),ISNUMBER(BK176)),IFERROR(BP176/BK176-1,""),"")</f>
        <v/>
      </c>
      <c r="BQ190" s="180">
        <f>IF(AND(ISNUMBER(BQ176),ISNUMBER(BL176)),IFERROR(BQ176/BL176-1,""),"")</f>
        <v/>
      </c>
      <c r="BR190" s="180">
        <f>IF(AND(ISNUMBER(BR176),ISNUMBER(BM176)),IFERROR(BR176/BM176-1,""),"")</f>
        <v/>
      </c>
      <c r="BS190" s="180">
        <f>IF(AND(ISNUMBER(BS176),ISNUMBER(BN176)),IFERROR(BS176/BN176-1,""),"")</f>
        <v/>
      </c>
      <c r="BT190" s="180">
        <f>IF(AND(ISNUMBER(BT176),ISNUMBER(BO176)),IFERROR(BT176/BO176-1,""),"")</f>
        <v/>
      </c>
      <c r="BU190" s="180">
        <f>IF(AND(ISNUMBER(BU176),ISNUMBER(BP176)),IFERROR(BU176/BP176-1,""),"")</f>
        <v/>
      </c>
      <c r="BV190" s="180">
        <f>IF(AND(ISNUMBER(BV176),ISNUMBER(BQ176)),IFERROR(BV176/BQ176-1,""),"")</f>
        <v/>
      </c>
      <c r="BW190" s="180">
        <f>IF(AND(ISNUMBER(BW176),ISNUMBER(BR176)),IFERROR(BW176/BR176-1,""),"")</f>
        <v/>
      </c>
      <c r="BX190" s="180">
        <f>IF(AND(ISNUMBER(BX176),ISNUMBER(BS176)),IFERROR(BX176/BS176-1,""),"")</f>
        <v/>
      </c>
      <c r="BY190" s="181">
        <f>IF(AND(ISNUMBER(BY176),ISNUMBER(BT176)),IFERROR(BY176/BT176-1,""),"")</f>
        <v/>
      </c>
      <c r="BZ190" s="181">
        <f>IF(AND(ISNUMBER(BZ176),ISNUMBER(BU176)),IFERROR(BZ176/BU176-1,""),"")</f>
        <v/>
      </c>
      <c r="CA190" s="181">
        <f>IF(AND(ISNUMBER(CA176),ISNUMBER(BV176)),IFERROR(CA176/BV176-1,""),"")</f>
        <v/>
      </c>
      <c r="CB190" s="181">
        <f>IF(AND(ISNUMBER(CB176),ISNUMBER(CA176)),IFERROR(CB176/CA176-1,""),"")</f>
        <v/>
      </c>
      <c r="CC190" s="181">
        <f>IF(AND(ISNUMBER(CC176),ISNUMBER(CB176)),IFERROR(CC176/CB176-1,""),"")</f>
        <v/>
      </c>
      <c r="CD190" s="181">
        <f>IF(AND(ISNUMBER(CD176),ISNUMBER(CC176)),IFERROR(CD176/CC176-1,""),"")</f>
        <v/>
      </c>
      <c r="CE190" s="181">
        <f>IF(AND(ISNUMBER(CE176),ISNUMBER(CD176)),IFERROR(CE176/CD176-1,""),"")</f>
        <v/>
      </c>
      <c r="CF190" s="6" t="n"/>
    </row>
    <row r="191" ht="15" customHeight="1">
      <c r="B191" s="26" t="inlineStr">
        <is>
          <t xml:space="preserve">  Operating ratio %</t>
        </is>
      </c>
      <c r="C191" s="190">
        <f>IF(AND(ISNUMBER(C111),ISNUMBER(C100)),IFERROR(C111/C100,""),"")</f>
        <v/>
      </c>
      <c r="D191" s="190">
        <f>IF(AND(ISNUMBER(D111),ISNUMBER(D100)),IFERROR(D111/D100,""),"")</f>
        <v/>
      </c>
      <c r="E191" s="190">
        <f>IF(AND(ISNUMBER(E111),ISNUMBER(E100)),IFERROR(E111/E100,""),"")</f>
        <v/>
      </c>
      <c r="F191" s="190">
        <f>IF(AND(ISNUMBER(F111),ISNUMBER(F100)),IFERROR(F111/F100,""),"")</f>
        <v/>
      </c>
      <c r="G191" s="190">
        <f>IF(AND(ISNUMBER(G111),ISNUMBER(G100)),IFERROR(G111/G100,""),"")</f>
        <v/>
      </c>
      <c r="H191" s="190">
        <f>IF(AND(ISNUMBER(H111),ISNUMBER(H100)),IFERROR(H111/H100,""),"")</f>
        <v/>
      </c>
      <c r="I191" s="190">
        <f>IF(AND(ISNUMBER(I111),ISNUMBER(I100)),IFERROR(I111/I100,""),"")</f>
        <v/>
      </c>
      <c r="J191" s="190">
        <f>IF(AND(ISNUMBER(J111),ISNUMBER(J100)),IFERROR(J111/J100,""),"")</f>
        <v/>
      </c>
      <c r="K191" s="190">
        <f>IF(AND(ISNUMBER(K111),ISNUMBER(K100)),IFERROR(K111/K100,""),"")</f>
        <v/>
      </c>
      <c r="L191" s="190">
        <f>IF(AND(ISNUMBER(L111),ISNUMBER(L100)),IFERROR(L111/L100,""),"")</f>
        <v/>
      </c>
      <c r="M191" s="190">
        <f>IF(AND(ISNUMBER(M111),ISNUMBER(M100)),IFERROR(M111/M100,""),"")</f>
        <v/>
      </c>
      <c r="N191" s="190">
        <f>IF(AND(ISNUMBER(N111),ISNUMBER(N100)),IFERROR(N111/N100,""),"")</f>
        <v/>
      </c>
      <c r="O191" s="190">
        <f>IF(AND(ISNUMBER(O111),ISNUMBER(O100)),IFERROR(O111/O100,""),"")</f>
        <v/>
      </c>
      <c r="P191" s="190">
        <f>IF(AND(ISNUMBER(P111),ISNUMBER(P100)),IFERROR(P111/P100,""),"")</f>
        <v/>
      </c>
      <c r="Q191" s="190">
        <f>IF(AND(ISNUMBER(Q111),ISNUMBER(Q100)),IFERROR(Q111/Q100,""),"")</f>
        <v/>
      </c>
      <c r="R191" s="190">
        <f>IF(AND(ISNUMBER(R111),ISNUMBER(R100)),IFERROR(R111/R100,""),"")</f>
        <v/>
      </c>
      <c r="S191" s="190">
        <f>IF(AND(ISNUMBER(S111),ISNUMBER(S100)),IFERROR(S111/S100,""),"")</f>
        <v/>
      </c>
      <c r="T191" s="190">
        <f>IF(AND(ISNUMBER(T111),ISNUMBER(T100)),IFERROR(T111/T100,""),"")</f>
        <v/>
      </c>
      <c r="U191" s="190">
        <f>IF(AND(ISNUMBER(U111),ISNUMBER(U100)),IFERROR(U111/U100,""),"")</f>
        <v/>
      </c>
      <c r="V191" s="190">
        <f>IF(AND(ISNUMBER(V111),ISNUMBER(V100)),IFERROR(V111/V100,""),"")</f>
        <v/>
      </c>
      <c r="W191" s="190">
        <f>IF(AND(ISNUMBER(W111),ISNUMBER(W100)),IFERROR(W111/W100,""),"")</f>
        <v/>
      </c>
      <c r="X191" s="190">
        <f>IF(AND(ISNUMBER(X111),ISNUMBER(X100)),IFERROR(X111/X100,""),"")</f>
        <v/>
      </c>
      <c r="Y191" s="190">
        <f>IF(AND(ISNUMBER(Y111),ISNUMBER(Y100)),IFERROR(Y111/Y100,""),"")</f>
        <v/>
      </c>
      <c r="Z191" s="190">
        <f>IF(AND(ISNUMBER(Z111),ISNUMBER(Z100)),IFERROR(Z111/Z100,""),"")</f>
        <v/>
      </c>
      <c r="AA191" s="190">
        <f>IF(AND(ISNUMBER(AA111),ISNUMBER(AA100)),IFERROR(AA111/AA100,""),"")</f>
        <v/>
      </c>
      <c r="AB191" s="190">
        <f>IF(AND(ISNUMBER(AB111),ISNUMBER(AB100)),IFERROR(AB111/AB100,""),"")</f>
        <v/>
      </c>
      <c r="AC191" s="190">
        <f>IF(AND(ISNUMBER(AC111),ISNUMBER(AC100)),IFERROR(AC111/AC100,""),"")</f>
        <v/>
      </c>
      <c r="AD191" s="190">
        <f>IF(AND(ISNUMBER(AD111),ISNUMBER(AD100)),IFERROR(AD111/AD100,""),"")</f>
        <v/>
      </c>
      <c r="AE191" s="190">
        <f>IF(AND(ISNUMBER(AE111),ISNUMBER(AE100)),IFERROR(AE111/AE100,""),"")</f>
        <v/>
      </c>
      <c r="AF191" s="190">
        <f>IF(AND(ISNUMBER(AF111),ISNUMBER(AF100)),IFERROR(AF111/AF100,""),"")</f>
        <v/>
      </c>
      <c r="AG191" s="190">
        <f>IF(AND(ISNUMBER(AG111),ISNUMBER(AG100)),IFERROR(AG111/AG100,""),"")</f>
        <v/>
      </c>
      <c r="AH191" s="190">
        <f>IF(AND(ISNUMBER(AH111),ISNUMBER(AH100)),IFERROR(AH111/AH100,""),"")</f>
        <v/>
      </c>
      <c r="AI191" s="190">
        <f>IF(AND(ISNUMBER(AI111),ISNUMBER(AI100)),IFERROR(AI111/AI100,""),"")</f>
        <v/>
      </c>
      <c r="AJ191" s="190">
        <f>IF(AND(ISNUMBER(AJ111),ISNUMBER(AJ100)),IFERROR(AJ111/AJ100,""),"")</f>
        <v/>
      </c>
      <c r="AK191" s="190">
        <f>IF(AND(ISNUMBER(AK111),ISNUMBER(AK100)),IFERROR(AK111/AK100,""),"")</f>
        <v/>
      </c>
      <c r="AL191" s="190">
        <f>IF(AND(ISNUMBER(AL111),ISNUMBER(AL100)),IFERROR(AL111/AL100,""),"")</f>
        <v/>
      </c>
      <c r="AM191" s="190">
        <f>IF(AND(ISNUMBER(AM111),ISNUMBER(AM100)),IFERROR(AM111/AM100,""),"")</f>
        <v/>
      </c>
      <c r="AN191" s="190">
        <f>IF(AND(ISNUMBER(AN111),ISNUMBER(AN100)),IFERROR(AN111/AN100,""),"")</f>
        <v/>
      </c>
      <c r="AO191" s="190">
        <f>IF(AND(ISNUMBER(AO111),ISNUMBER(AO100)),IFERROR(AO111/AO100,""),"")</f>
        <v/>
      </c>
      <c r="AP191" s="190">
        <f>IF(AND(ISNUMBER(AP111),ISNUMBER(AP100)),IFERROR(AP111/AP100,""),"")</f>
        <v/>
      </c>
      <c r="AQ191" s="190">
        <f>IF(AND(ISNUMBER(AQ111),ISNUMBER(AQ100)),IFERROR(AQ111/AQ100,""),"")</f>
        <v/>
      </c>
      <c r="AR191" s="190">
        <f>IF(AND(ISNUMBER(AR111),ISNUMBER(AR100)),IFERROR(AR111/AR100,""),"")</f>
        <v/>
      </c>
      <c r="AS191" s="190">
        <f>IF(AND(ISNUMBER(AS111),ISNUMBER(AS100)),IFERROR(AS111/AS100,""),"")</f>
        <v/>
      </c>
      <c r="AT191" s="190">
        <f>IF(AND(ISNUMBER(AT111),ISNUMBER(AT100)),IFERROR(AT111/AT100,""),"")</f>
        <v/>
      </c>
      <c r="AU191" s="190">
        <f>IF(AND(ISNUMBER(AU111),ISNUMBER(AU100)),IFERROR(AU111/AU100,""),"")</f>
        <v/>
      </c>
      <c r="AV191" s="190">
        <f>IF(AND(ISNUMBER(AV111),ISNUMBER(AV100)),IFERROR(AV111/AV100,""),"")</f>
        <v/>
      </c>
      <c r="AW191" s="190">
        <f>IF(AND(ISNUMBER(AW111),ISNUMBER(AW100)),IFERROR(AW111/AW100,""),"")</f>
        <v/>
      </c>
      <c r="AX191" s="190">
        <f>IF(AND(ISNUMBER(AX111),ISNUMBER(AX100)),IFERROR(AX111/AX100,""),"")</f>
        <v/>
      </c>
      <c r="AY191" s="190">
        <f>IF(AND(ISNUMBER(AY111),ISNUMBER(AY100)),IFERROR(AY111/AY100,""),"")</f>
        <v/>
      </c>
      <c r="AZ191" s="190">
        <f>IF(AND(ISNUMBER(AZ111),ISNUMBER(AZ100)),IFERROR(AZ111/AZ100,""),"")</f>
        <v/>
      </c>
      <c r="BA191" s="190">
        <f>IF(AND(ISNUMBER(BA111),ISNUMBER(BA100)),IFERROR(BA111/BA100,""),"")</f>
        <v/>
      </c>
      <c r="BB191" s="190">
        <f>IF(AND(ISNUMBER(BB111),ISNUMBER(BB100)),IFERROR(BB111/BB100,""),"")</f>
        <v/>
      </c>
      <c r="BC191" s="190">
        <f>IF(AND(ISNUMBER(BC111),ISNUMBER(BC100)),IFERROR(BC111/BC100,""),"")</f>
        <v/>
      </c>
      <c r="BD191" s="190">
        <f>IF(AND(ISNUMBER(BD111),ISNUMBER(BD100)),IFERROR(BD111/BD100,""),"")</f>
        <v/>
      </c>
      <c r="BE191" s="190">
        <f>IF(AND(ISNUMBER(BE111),ISNUMBER(BE100)),IFERROR(BE111/BE100,""),"")</f>
        <v/>
      </c>
      <c r="BF191" s="190">
        <f>IF(AND(ISNUMBER(BF111),ISNUMBER(BF100)),IFERROR(BF111/BF100,""),"")</f>
        <v/>
      </c>
      <c r="BG191" s="190">
        <f>IF(AND(ISNUMBER(BG111),ISNUMBER(BG100)),IFERROR(BG111/BG100,""),"")</f>
        <v/>
      </c>
      <c r="BH191" s="190">
        <f>IF(AND(ISNUMBER(BH111),ISNUMBER(BH100)),IFERROR(BH111/BH100,""),"")</f>
        <v/>
      </c>
      <c r="BI191" s="190">
        <f>IF(AND(ISNUMBER(BI111),ISNUMBER(BI100)),IFERROR(BI111/BI100,""),"")</f>
        <v/>
      </c>
      <c r="BJ191" s="190">
        <f>IF(AND(ISNUMBER(BJ111),ISNUMBER(BJ100)),IFERROR(BJ111/BJ100,""),"")</f>
        <v/>
      </c>
      <c r="BK191" s="190">
        <f>IF(AND(ISNUMBER(BK111),ISNUMBER(BK100)),IFERROR(BK111/BK100,""),"")</f>
        <v/>
      </c>
      <c r="BL191" s="190">
        <f>IF(AND(ISNUMBER(BL111),ISNUMBER(BL100)),IFERROR(BL111/BL100,""),"")</f>
        <v/>
      </c>
      <c r="BM191" s="190">
        <f>IF(AND(ISNUMBER(BM111),ISNUMBER(BM100)),IFERROR(BM111/BM100,""),"")</f>
        <v/>
      </c>
      <c r="BN191" s="190">
        <f>IF(AND(ISNUMBER(BN111),ISNUMBER(BN100)),IFERROR(BN111/BN100,""),"")</f>
        <v/>
      </c>
      <c r="BO191" s="190">
        <f>IF(AND(ISNUMBER(BO111),ISNUMBER(BO100)),IFERROR(BO111/BO100,""),"")</f>
        <v/>
      </c>
      <c r="BP191" s="190">
        <f>IF(AND(ISNUMBER(BP111),ISNUMBER(BP100)),IFERROR(BP111/BP100,""),"")</f>
        <v/>
      </c>
      <c r="BQ191" s="190">
        <f>IF(AND(ISNUMBER(BQ111),ISNUMBER(BQ100)),IFERROR(BQ111/BQ100,""),"")</f>
        <v/>
      </c>
      <c r="BR191" s="190">
        <f>IF(AND(ISNUMBER(BR111),ISNUMBER(BR100)),IFERROR(BR111/BR100,""),"")</f>
        <v/>
      </c>
      <c r="BS191" s="190">
        <f>IF(AND(ISNUMBER(BS111),ISNUMBER(BS100)),IFERROR(BS111/BS100,""),"")</f>
        <v/>
      </c>
      <c r="BT191" s="190">
        <f>IF(AND(ISNUMBER(BT111),ISNUMBER(BT100)),IFERROR(BT111/BT100,""),"")</f>
        <v/>
      </c>
      <c r="BU191" s="190">
        <f>IF(AND(ISNUMBER(BU111),ISNUMBER(BU100)),IFERROR(BU111/BU100,""),"")</f>
        <v/>
      </c>
      <c r="BV191" s="190">
        <f>IF(AND(ISNUMBER(BV111),ISNUMBER(BV100)),IFERROR(BV111/BV100,""),"")</f>
        <v/>
      </c>
      <c r="BW191" s="190">
        <f>IF(AND(ISNUMBER(BW111),ISNUMBER(BW100)),IFERROR(BW111/BW100,""),"")</f>
        <v/>
      </c>
      <c r="BX191" s="190">
        <f>IF(AND(ISNUMBER(BX111),ISNUMBER(BX100)),IFERROR(BX111/BX100,""),"")</f>
        <v/>
      </c>
      <c r="BY191" s="181">
        <f>IF(AND(ISNUMBER(BY111),ISNUMBER(BY100)),IFERROR(BY111/BY100,""),"")</f>
        <v/>
      </c>
      <c r="BZ191" s="181">
        <f>IF(AND(ISNUMBER(BZ111),ISNUMBER(BZ100)),IFERROR(BZ111/BZ100,""),"")</f>
        <v/>
      </c>
      <c r="CA191" s="181">
        <f>IF(AND(ISNUMBER(CA111),ISNUMBER(CA100)),IFERROR(CA111/CA100,""),"")</f>
        <v/>
      </c>
      <c r="CB191" s="181">
        <f>IF(AND(ISNUMBER(CB111),ISNUMBER(CB100)),IFERROR(CB111/CB100,""),"")</f>
        <v/>
      </c>
      <c r="CC191" s="181">
        <f>IF(AND(ISNUMBER(CC111),ISNUMBER(CC100)),IFERROR(CC111/CC100,""),"")</f>
        <v/>
      </c>
      <c r="CD191" s="181">
        <f>IF(AND(ISNUMBER(CD111),ISNUMBER(CD100)),IFERROR(CD111/CD100,""),"")</f>
        <v/>
      </c>
      <c r="CE191" s="181">
        <f>IF(AND(ISNUMBER(CE111),ISNUMBER(CE100)),IFERROR(CE111/CE100,""),"")</f>
        <v/>
      </c>
      <c r="CF191" s="6" t="n"/>
      <c r="CH191" s="39">
        <f>IFERROR(AVERAGE(CA191,CB191,CC191,CD191,CE191),"n/m")</f>
        <v/>
      </c>
      <c r="CI191" s="39">
        <f>IFERROR(AVERAGE(BB191,BG191,BL191,BQ191,BV191),"n/m")</f>
        <v/>
      </c>
      <c r="CJ191" s="39">
        <f>IFERROR(AVERAGE(AC191,AH191,AM191,AR191,AW191,BB191,BG191,BL191,BQ191,BV191),"n/m")</f>
        <v/>
      </c>
      <c r="CK191" s="39">
        <f>IFERROR(AVERAGE(C191,D191,E191,F191,G191,H191,I191,N191,S191,X191,AC191,AH191,AM191,AR191,AW191,BB191,BG191,BL191,BQ191,BV191),"n/m")</f>
        <v/>
      </c>
    </row>
    <row r="192" ht="15" customHeight="1">
      <c r="B192" s="26" t="inlineStr">
        <is>
          <t xml:space="preserve">  Adjusted EBITDA margin %</t>
        </is>
      </c>
      <c r="C192" s="190">
        <f>IF(AND(ISNUMBER(C157),ISNUMBER(C100)),IFERROR(C157/C100,""),"")</f>
        <v/>
      </c>
      <c r="D192" s="190">
        <f>IF(AND(ISNUMBER(D157),ISNUMBER(D100)),IFERROR(D157/D100,""),"")</f>
        <v/>
      </c>
      <c r="E192" s="190">
        <f>IF(AND(ISNUMBER(E157),ISNUMBER(E100)),IFERROR(E157/E100,""),"")</f>
        <v/>
      </c>
      <c r="F192" s="190">
        <f>IF(AND(ISNUMBER(F157),ISNUMBER(F100)),IFERROR(F157/F100,""),"")</f>
        <v/>
      </c>
      <c r="G192" s="190">
        <f>IF(AND(ISNUMBER(G157),ISNUMBER(G100)),IFERROR(G157/G100,""),"")</f>
        <v/>
      </c>
      <c r="H192" s="190">
        <f>IF(AND(ISNUMBER(H157),ISNUMBER(H100)),IFERROR(H157/H100,""),"")</f>
        <v/>
      </c>
      <c r="I192" s="190">
        <f>IF(AND(ISNUMBER(I157),ISNUMBER(I100)),IFERROR(I157/I100,""),"")</f>
        <v/>
      </c>
      <c r="J192" s="190">
        <f>IF(AND(ISNUMBER(J157),ISNUMBER(J100)),IFERROR(J157/J100,""),"")</f>
        <v/>
      </c>
      <c r="K192" s="190">
        <f>IF(AND(ISNUMBER(K157),ISNUMBER(K100)),IFERROR(K157/K100,""),"")</f>
        <v/>
      </c>
      <c r="L192" s="190">
        <f>IF(AND(ISNUMBER(L157),ISNUMBER(L100)),IFERROR(L157/L100,""),"")</f>
        <v/>
      </c>
      <c r="M192" s="190">
        <f>IF(AND(ISNUMBER(M157),ISNUMBER(M100)),IFERROR(M157/M100,""),"")</f>
        <v/>
      </c>
      <c r="N192" s="190">
        <f>IF(AND(ISNUMBER(N157),ISNUMBER(N100)),IFERROR(N157/N100,""),"")</f>
        <v/>
      </c>
      <c r="O192" s="190">
        <f>IF(AND(ISNUMBER(O157),ISNUMBER(O100)),IFERROR(O157/O100,""),"")</f>
        <v/>
      </c>
      <c r="P192" s="190">
        <f>IF(AND(ISNUMBER(P157),ISNUMBER(P100)),IFERROR(P157/P100,""),"")</f>
        <v/>
      </c>
      <c r="Q192" s="190">
        <f>IF(AND(ISNUMBER(Q157),ISNUMBER(Q100)),IFERROR(Q157/Q100,""),"")</f>
        <v/>
      </c>
      <c r="R192" s="190">
        <f>IF(AND(ISNUMBER(R157),ISNUMBER(R100)),IFERROR(R157/R100,""),"")</f>
        <v/>
      </c>
      <c r="S192" s="190">
        <f>IF(AND(ISNUMBER(S157),ISNUMBER(S100)),IFERROR(S157/S100,""),"")</f>
        <v/>
      </c>
      <c r="T192" s="190">
        <f>IF(AND(ISNUMBER(T157),ISNUMBER(T100)),IFERROR(T157/T100,""),"")</f>
        <v/>
      </c>
      <c r="U192" s="190">
        <f>IF(AND(ISNUMBER(U157),ISNUMBER(U100)),IFERROR(U157/U100,""),"")</f>
        <v/>
      </c>
      <c r="V192" s="190">
        <f>IF(AND(ISNUMBER(V157),ISNUMBER(V100)),IFERROR(V157/V100,""),"")</f>
        <v/>
      </c>
      <c r="W192" s="190">
        <f>IF(AND(ISNUMBER(W157),ISNUMBER(W100)),IFERROR(W157/W100,""),"")</f>
        <v/>
      </c>
      <c r="X192" s="190">
        <f>IF(AND(ISNUMBER(X157),ISNUMBER(X100)),IFERROR(X157/X100,""),"")</f>
        <v/>
      </c>
      <c r="Y192" s="190">
        <f>IF(AND(ISNUMBER(Y157),ISNUMBER(Y100)),IFERROR(Y157/Y100,""),"")</f>
        <v/>
      </c>
      <c r="Z192" s="190">
        <f>IF(AND(ISNUMBER(Z157),ISNUMBER(Z100)),IFERROR(Z157/Z100,""),"")</f>
        <v/>
      </c>
      <c r="AA192" s="190">
        <f>IF(AND(ISNUMBER(AA157),ISNUMBER(AA100)),IFERROR(AA157/AA100,""),"")</f>
        <v/>
      </c>
      <c r="AB192" s="190">
        <f>IF(AND(ISNUMBER(AB157),ISNUMBER(AB100)),IFERROR(AB157/AB100,""),"")</f>
        <v/>
      </c>
      <c r="AC192" s="190">
        <f>IF(AND(ISNUMBER(AC157),ISNUMBER(AC100)),IFERROR(AC157/AC100,""),"")</f>
        <v/>
      </c>
      <c r="AD192" s="190">
        <f>IF(AND(ISNUMBER(AD157),ISNUMBER(AD100)),IFERROR(AD157/AD100,""),"")</f>
        <v/>
      </c>
      <c r="AE192" s="190">
        <f>IF(AND(ISNUMBER(AE157),ISNUMBER(AE100)),IFERROR(AE157/AE100,""),"")</f>
        <v/>
      </c>
      <c r="AF192" s="190">
        <f>IF(AND(ISNUMBER(AF157),ISNUMBER(AF100)),IFERROR(AF157/AF100,""),"")</f>
        <v/>
      </c>
      <c r="AG192" s="190">
        <f>IF(AND(ISNUMBER(AG157),ISNUMBER(AG100)),IFERROR(AG157/AG100,""),"")</f>
        <v/>
      </c>
      <c r="AH192" s="190">
        <f>IF(AND(ISNUMBER(AH157),ISNUMBER(AH100)),IFERROR(AH157/AH100,""),"")</f>
        <v/>
      </c>
      <c r="AI192" s="190">
        <f>IF(AND(ISNUMBER(AI157),ISNUMBER(AI100)),IFERROR(AI157/AI100,""),"")</f>
        <v/>
      </c>
      <c r="AJ192" s="190">
        <f>IF(AND(ISNUMBER(AJ157),ISNUMBER(AJ100)),IFERROR(AJ157/AJ100,""),"")</f>
        <v/>
      </c>
      <c r="AK192" s="190">
        <f>IF(AND(ISNUMBER(AK157),ISNUMBER(AK100)),IFERROR(AK157/AK100,""),"")</f>
        <v/>
      </c>
      <c r="AL192" s="190">
        <f>IF(AND(ISNUMBER(AL157),ISNUMBER(AL100)),IFERROR(AL157/AL100,""),"")</f>
        <v/>
      </c>
      <c r="AM192" s="190">
        <f>IF(AND(ISNUMBER(AM157),ISNUMBER(AM100)),IFERROR(AM157/AM100,""),"")</f>
        <v/>
      </c>
      <c r="AN192" s="190">
        <f>IF(AND(ISNUMBER(AN157),ISNUMBER(AN100)),IFERROR(AN157/AN100,""),"")</f>
        <v/>
      </c>
      <c r="AO192" s="190">
        <f>IF(AND(ISNUMBER(AO157),ISNUMBER(AO100)),IFERROR(AO157/AO100,""),"")</f>
        <v/>
      </c>
      <c r="AP192" s="190">
        <f>IF(AND(ISNUMBER(AP157),ISNUMBER(AP100)),IFERROR(AP157/AP100,""),"")</f>
        <v/>
      </c>
      <c r="AQ192" s="190">
        <f>IF(AND(ISNUMBER(AQ157),ISNUMBER(AQ100)),IFERROR(AQ157/AQ100,""),"")</f>
        <v/>
      </c>
      <c r="AR192" s="190">
        <f>IF(AND(ISNUMBER(AR157),ISNUMBER(AR100)),IFERROR(AR157/AR100,""),"")</f>
        <v/>
      </c>
      <c r="AS192" s="190">
        <f>IF(AND(ISNUMBER(AS157),ISNUMBER(AS100)),IFERROR(AS157/AS100,""),"")</f>
        <v/>
      </c>
      <c r="AT192" s="190">
        <f>IF(AND(ISNUMBER(AT157),ISNUMBER(AT100)),IFERROR(AT157/AT100,""),"")</f>
        <v/>
      </c>
      <c r="AU192" s="190">
        <f>IF(AND(ISNUMBER(AU157),ISNUMBER(AU100)),IFERROR(AU157/AU100,""),"")</f>
        <v/>
      </c>
      <c r="AV192" s="190">
        <f>IF(AND(ISNUMBER(AV157),ISNUMBER(AV100)),IFERROR(AV157/AV100,""),"")</f>
        <v/>
      </c>
      <c r="AW192" s="190">
        <f>IF(AND(ISNUMBER(AW157),ISNUMBER(AW100)),IFERROR(AW157/AW100,""),"")</f>
        <v/>
      </c>
      <c r="AX192" s="190">
        <f>IF(AND(ISNUMBER(AX157),ISNUMBER(AX100)),IFERROR(AX157/AX100,""),"")</f>
        <v/>
      </c>
      <c r="AY192" s="190">
        <f>IF(AND(ISNUMBER(AY157),ISNUMBER(AY100)),IFERROR(AY157/AY100,""),"")</f>
        <v/>
      </c>
      <c r="AZ192" s="190">
        <f>IF(AND(ISNUMBER(AZ157),ISNUMBER(AZ100)),IFERROR(AZ157/AZ100,""),"")</f>
        <v/>
      </c>
      <c r="BA192" s="190">
        <f>IF(AND(ISNUMBER(BA157),ISNUMBER(BA100)),IFERROR(BA157/BA100,""),"")</f>
        <v/>
      </c>
      <c r="BB192" s="190">
        <f>IF(AND(ISNUMBER(BB157),ISNUMBER(BB100)),IFERROR(BB157/BB100,""),"")</f>
        <v/>
      </c>
      <c r="BC192" s="190">
        <f>IF(AND(ISNUMBER(BC157),ISNUMBER(BC100)),IFERROR(BC157/BC100,""),"")</f>
        <v/>
      </c>
      <c r="BD192" s="190">
        <f>IF(AND(ISNUMBER(BD157),ISNUMBER(BD100)),IFERROR(BD157/BD100,""),"")</f>
        <v/>
      </c>
      <c r="BE192" s="190">
        <f>IF(AND(ISNUMBER(BE157),ISNUMBER(BE100)),IFERROR(BE157/BE100,""),"")</f>
        <v/>
      </c>
      <c r="BF192" s="190">
        <f>IF(AND(ISNUMBER(BF157),ISNUMBER(BF100)),IFERROR(BF157/BF100,""),"")</f>
        <v/>
      </c>
      <c r="BG192" s="190">
        <f>IF(AND(ISNUMBER(BG157),ISNUMBER(BG100)),IFERROR(BG157/BG100,""),"")</f>
        <v/>
      </c>
      <c r="BH192" s="190">
        <f>IF(AND(ISNUMBER(BH157),ISNUMBER(BH100)),IFERROR(BH157/BH100,""),"")</f>
        <v/>
      </c>
      <c r="BI192" s="190">
        <f>IF(AND(ISNUMBER(BI157),ISNUMBER(BI100)),IFERROR(BI157/BI100,""),"")</f>
        <v/>
      </c>
      <c r="BJ192" s="190">
        <f>IF(AND(ISNUMBER(BJ157),ISNUMBER(BJ100)),IFERROR(BJ157/BJ100,""),"")</f>
        <v/>
      </c>
      <c r="BK192" s="190">
        <f>IF(AND(ISNUMBER(BK157),ISNUMBER(BK100)),IFERROR(BK157/BK100,""),"")</f>
        <v/>
      </c>
      <c r="BL192" s="190">
        <f>IF(AND(ISNUMBER(BL157),ISNUMBER(BL100)),IFERROR(BL157/BL100,""),"")</f>
        <v/>
      </c>
      <c r="BM192" s="190">
        <f>IF(AND(ISNUMBER(BM157),ISNUMBER(BM100)),IFERROR(BM157/BM100,""),"")</f>
        <v/>
      </c>
      <c r="BN192" s="190">
        <f>IF(AND(ISNUMBER(BN157),ISNUMBER(BN100)),IFERROR(BN157/BN100,""),"")</f>
        <v/>
      </c>
      <c r="BO192" s="190">
        <f>IF(AND(ISNUMBER(BO157),ISNUMBER(BO100)),IFERROR(BO157/BO100,""),"")</f>
        <v/>
      </c>
      <c r="BP192" s="190">
        <f>IF(AND(ISNUMBER(BP157),ISNUMBER(BP100)),IFERROR(BP157/BP100,""),"")</f>
        <v/>
      </c>
      <c r="BQ192" s="190">
        <f>IF(AND(ISNUMBER(BQ157),ISNUMBER(BQ100)),IFERROR(BQ157/BQ100,""),"")</f>
        <v/>
      </c>
      <c r="BR192" s="190">
        <f>IF(AND(ISNUMBER(BR157),ISNUMBER(BR100)),IFERROR(BR157/BR100,""),"")</f>
        <v/>
      </c>
      <c r="BS192" s="190">
        <f>IF(AND(ISNUMBER(BS157),ISNUMBER(BS100)),IFERROR(BS157/BS100,""),"")</f>
        <v/>
      </c>
      <c r="BT192" s="190">
        <f>IF(AND(ISNUMBER(BT157),ISNUMBER(BT100)),IFERROR(BT157/BT100,""),"")</f>
        <v/>
      </c>
      <c r="BU192" s="190">
        <f>IF(AND(ISNUMBER(BU157),ISNUMBER(BU100)),IFERROR(BU157/BU100,""),"")</f>
        <v/>
      </c>
      <c r="BV192" s="190">
        <f>IF(AND(ISNUMBER(BV157),ISNUMBER(BV100)),IFERROR(BV157/BV100,""),"")</f>
        <v/>
      </c>
      <c r="BW192" s="190">
        <f>IF(AND(ISNUMBER(BW157),ISNUMBER(BW100)),IFERROR(BW157/BW100,""),"")</f>
        <v/>
      </c>
      <c r="BX192" s="190">
        <f>IF(AND(ISNUMBER(BX157),ISNUMBER(BX100)),IFERROR(BX157/BX100,""),"")</f>
        <v/>
      </c>
      <c r="BY192" s="181">
        <f>IF(AND(ISNUMBER(BY157),ISNUMBER(BY100)),IFERROR(BY157/BY100,""),"")</f>
        <v/>
      </c>
      <c r="BZ192" s="181">
        <f>IF(AND(ISNUMBER(BZ157),ISNUMBER(BZ100)),IFERROR(BZ157/BZ100,""),"")</f>
        <v/>
      </c>
      <c r="CA192" s="181">
        <f>IF(AND(ISNUMBER(CA157),ISNUMBER(CA100)),IFERROR(CA157/CA100,""),"")</f>
        <v/>
      </c>
      <c r="CB192" s="181">
        <f>IF(AND(ISNUMBER(CB157),ISNUMBER(CB100)),IFERROR(CB157/CB100,""),"")</f>
        <v/>
      </c>
      <c r="CC192" s="181">
        <f>IF(AND(ISNUMBER(CC157),ISNUMBER(CC100)),IFERROR(CC157/CC100,""),"")</f>
        <v/>
      </c>
      <c r="CD192" s="181">
        <f>IF(AND(ISNUMBER(CD157),ISNUMBER(CD100)),IFERROR(CD157/CD100,""),"")</f>
        <v/>
      </c>
      <c r="CE192" s="181">
        <f>IF(AND(ISNUMBER(CE157),ISNUMBER(CE100)),IFERROR(CE157/CE100,""),"")</f>
        <v/>
      </c>
      <c r="CF192" s="6" t="n"/>
      <c r="CH192" s="39">
        <f>IFERROR(AVERAGE(CA192,CB192,CC192,CD192,CE192),"n/m")</f>
        <v/>
      </c>
      <c r="CI192" s="39">
        <f>IFERROR(AVERAGE(BB192,BG192,BL192,BQ192,BV192),"n/m")</f>
        <v/>
      </c>
      <c r="CJ192" s="39">
        <f>IFERROR(AVERAGE(AC192,AH192,AM192,AR192,AW192,BB192,BG192,BL192,BQ192,BV192),"n/m")</f>
        <v/>
      </c>
      <c r="CK192" s="39">
        <f>IFERROR(AVERAGE(C192,D192,E192,F192,G192,H192,I192,N192,S192,X192,AC192,AH192,AM192,AR192,AW192,BB192,BG192,BL192,BQ192,BV192),"n/m")</f>
        <v/>
      </c>
    </row>
    <row r="193" ht="15" customHeight="1">
      <c r="B193" s="26" t="inlineStr">
        <is>
          <t xml:space="preserve">  Incremental Adjusted EBITDA margin (ΔEBITDA / ΔRevenue)</t>
        </is>
      </c>
      <c r="C193" s="38" t="n"/>
      <c r="D193" s="190">
        <f>IFERROR((D157-C157)/(D100-C100),"")</f>
        <v/>
      </c>
      <c r="E193" s="190">
        <f>IFERROR((E157-D157)/(E100-D100),"")</f>
        <v/>
      </c>
      <c r="F193" s="190">
        <f>IFERROR((F157-E157)/(F100-E100),"")</f>
        <v/>
      </c>
      <c r="G193" s="190">
        <f>IFERROR((G157-F157)/(G100-F100),"")</f>
        <v/>
      </c>
      <c r="H193" s="190">
        <f>IFERROR((H157-G157)/(H100-G100),"")</f>
        <v/>
      </c>
      <c r="I193" s="190">
        <f>IFERROR((I157-H157)/(I100-H100),"")</f>
        <v/>
      </c>
      <c r="J193" s="38" t="n"/>
      <c r="K193" s="38" t="n"/>
      <c r="L193" s="38" t="n"/>
      <c r="M193" s="38" t="n"/>
      <c r="N193" s="190">
        <f>IFERROR((N157-I157)/(N100-I100),"")</f>
        <v/>
      </c>
      <c r="O193" s="190">
        <f>IFERROR((O157-J157)/(O100-J100),"")</f>
        <v/>
      </c>
      <c r="P193" s="190">
        <f>IFERROR((P157-K157)/(P100-K100),"")</f>
        <v/>
      </c>
      <c r="Q193" s="190">
        <f>IFERROR((Q157-L157)/(Q100-L100),"")</f>
        <v/>
      </c>
      <c r="R193" s="190">
        <f>IFERROR((R157-M157)/(R100-M100),"")</f>
        <v/>
      </c>
      <c r="S193" s="190">
        <f>IFERROR((S157-N157)/(S100-N100),"")</f>
        <v/>
      </c>
      <c r="T193" s="190">
        <f>IFERROR((T157-O157)/(T100-O100),"")</f>
        <v/>
      </c>
      <c r="U193" s="190">
        <f>IFERROR((U157-P157)/(U100-P100),"")</f>
        <v/>
      </c>
      <c r="V193" s="190">
        <f>IFERROR((V157-Q157)/(V100-Q100),"")</f>
        <v/>
      </c>
      <c r="W193" s="190">
        <f>IFERROR((W157-R157)/(W100-R100),"")</f>
        <v/>
      </c>
      <c r="X193" s="190">
        <f>IFERROR((X157-S157)/(X100-S100),"")</f>
        <v/>
      </c>
      <c r="Y193" s="190">
        <f>IFERROR((Y157-T157)/(Y100-T100),"")</f>
        <v/>
      </c>
      <c r="Z193" s="190">
        <f>IFERROR((Z157-U157)/(Z100-U100),"")</f>
        <v/>
      </c>
      <c r="AA193" s="190">
        <f>IFERROR((AA157-V157)/(AA100-V100),"")</f>
        <v/>
      </c>
      <c r="AB193" s="190">
        <f>IFERROR((AB157-W157)/(AB100-W100),"")</f>
        <v/>
      </c>
      <c r="AC193" s="190">
        <f>IFERROR((AC157-X157)/(AC100-X100),"")</f>
        <v/>
      </c>
      <c r="AD193" s="190">
        <f>IFERROR((AD157-Y157)/(AD100-Y100),"")</f>
        <v/>
      </c>
      <c r="AE193" s="190">
        <f>IFERROR((AE157-Z157)/(AE100-Z100),"")</f>
        <v/>
      </c>
      <c r="AF193" s="190">
        <f>IFERROR((AF157-AA157)/(AF100-AA100),"")</f>
        <v/>
      </c>
      <c r="AG193" s="190">
        <f>IFERROR((AG157-AB157)/(AG100-AB100),"")</f>
        <v/>
      </c>
      <c r="AH193" s="190">
        <f>IFERROR((AH157-AC157)/(AH100-AC100),"")</f>
        <v/>
      </c>
      <c r="AI193" s="190">
        <f>IFERROR((AI157-AD157)/(AI100-AD100),"")</f>
        <v/>
      </c>
      <c r="AJ193" s="190">
        <f>IFERROR((AJ157-AE157)/(AJ100-AE100),"")</f>
        <v/>
      </c>
      <c r="AK193" s="190">
        <f>IFERROR((AK157-AF157)/(AK100-AF100),"")</f>
        <v/>
      </c>
      <c r="AL193" s="190">
        <f>IFERROR((AL157-AG157)/(AL100-AG100),"")</f>
        <v/>
      </c>
      <c r="AM193" s="190">
        <f>IFERROR((AM157-AH157)/(AM100-AH100),"")</f>
        <v/>
      </c>
      <c r="AN193" s="190">
        <f>IFERROR((AN157-AI157)/(AN100-AI100),"")</f>
        <v/>
      </c>
      <c r="AO193" s="190">
        <f>IFERROR((AO157-AJ157)/(AO100-AJ100),"")</f>
        <v/>
      </c>
      <c r="AP193" s="190">
        <f>IFERROR((AP157-AK157)/(AP100-AK100),"")</f>
        <v/>
      </c>
      <c r="AQ193" s="190">
        <f>IFERROR((AQ157-AL157)/(AQ100-AL100),"")</f>
        <v/>
      </c>
      <c r="AR193" s="190">
        <f>IFERROR((AR157-AM157)/(AR100-AM100),"")</f>
        <v/>
      </c>
      <c r="AS193" s="190">
        <f>IFERROR((AS157-AN157)/(AS100-AN100),"")</f>
        <v/>
      </c>
      <c r="AT193" s="190">
        <f>IFERROR((AT157-AO157)/(AT100-AO100),"")</f>
        <v/>
      </c>
      <c r="AU193" s="190">
        <f>IFERROR((AU157-AP157)/(AU100-AP100),"")</f>
        <v/>
      </c>
      <c r="AV193" s="190">
        <f>IFERROR((AV157-AQ157)/(AV100-AQ100),"")</f>
        <v/>
      </c>
      <c r="AW193" s="190">
        <f>IFERROR((AW157-AR157)/(AW100-AR100),"")</f>
        <v/>
      </c>
      <c r="AX193" s="190">
        <f>IFERROR((AX157-AS157)/(AX100-AS100),"")</f>
        <v/>
      </c>
      <c r="AY193" s="190">
        <f>IFERROR((AY157-AT157)/(AY100-AT100),"")</f>
        <v/>
      </c>
      <c r="AZ193" s="190">
        <f>IFERROR((AZ157-AU157)/(AZ100-AU100),"")</f>
        <v/>
      </c>
      <c r="BA193" s="190">
        <f>IFERROR((BA157-AV157)/(BA100-AV100),"")</f>
        <v/>
      </c>
      <c r="BB193" s="190">
        <f>IFERROR((BB157-AW157)/(BB100-AW100),"")</f>
        <v/>
      </c>
      <c r="BC193" s="190">
        <f>IFERROR((BC157-AX157)/(BC100-AX100),"")</f>
        <v/>
      </c>
      <c r="BD193" s="190">
        <f>IFERROR((BD157-AY157)/(BD100-AY100),"")</f>
        <v/>
      </c>
      <c r="BE193" s="190">
        <f>IFERROR((BE157-AZ157)/(BE100-AZ100),"")</f>
        <v/>
      </c>
      <c r="BF193" s="190">
        <f>IFERROR((BF157-BA157)/(BF100-BA100),"")</f>
        <v/>
      </c>
      <c r="BG193" s="190">
        <f>IFERROR((BG157-BB157)/(BG100-BB100),"")</f>
        <v/>
      </c>
      <c r="BH193" s="190">
        <f>IFERROR((BH157-BC157)/(BH100-BC100),"")</f>
        <v/>
      </c>
      <c r="BI193" s="190">
        <f>IFERROR((BI157-BD157)/(BI100-BD100),"")</f>
        <v/>
      </c>
      <c r="BJ193" s="190">
        <f>IFERROR((BJ157-BE157)/(BJ100-BE100),"")</f>
        <v/>
      </c>
      <c r="BK193" s="190">
        <f>IFERROR((BK157-BF157)/(BK100-BF100),"")</f>
        <v/>
      </c>
      <c r="BL193" s="190">
        <f>IFERROR((BL157-BG157)/(BL100-BG100),"")</f>
        <v/>
      </c>
      <c r="BM193" s="190">
        <f>IFERROR((BM157-BH157)/(BM100-BH100),"")</f>
        <v/>
      </c>
      <c r="BN193" s="190">
        <f>IFERROR((BN157-BI157)/(BN100-BI100),"")</f>
        <v/>
      </c>
      <c r="BO193" s="190">
        <f>IFERROR((BO157-BJ157)/(BO100-BJ100),"")</f>
        <v/>
      </c>
      <c r="BP193" s="190">
        <f>IFERROR((BP157-BK157)/(BP100-BK100),"")</f>
        <v/>
      </c>
      <c r="BQ193" s="190">
        <f>IFERROR((BQ157-BL157)/(BQ100-BL100),"")</f>
        <v/>
      </c>
      <c r="BR193" s="190">
        <f>IFERROR((BR157-BM157)/(BR100-BM100),"")</f>
        <v/>
      </c>
      <c r="BS193" s="190">
        <f>IFERROR((BS157-BN157)/(BS100-BN100),"")</f>
        <v/>
      </c>
      <c r="BT193" s="190">
        <f>IFERROR((BT157-BO157)/(BT100-BO100),"")</f>
        <v/>
      </c>
      <c r="BU193" s="190">
        <f>IFERROR((BU157-BP157)/(BU100-BP100),"")</f>
        <v/>
      </c>
      <c r="BV193" s="190">
        <f>IFERROR((BV157-BQ157)/(BV100-BQ100),"")</f>
        <v/>
      </c>
      <c r="BW193" s="190">
        <f>IFERROR((BW157-BR157)/(BW100-BR100),"")</f>
        <v/>
      </c>
      <c r="BX193" s="190">
        <f>IFERROR((BX157-BS157)/(BX100-BS100),"")</f>
        <v/>
      </c>
      <c r="BY193" s="181">
        <f>IFERROR((BY157-BT157)/(BY100-BT100),"")</f>
        <v/>
      </c>
      <c r="BZ193" s="181">
        <f>IFERROR((BZ157-BU157)/(BZ100-BU100),"")</f>
        <v/>
      </c>
      <c r="CA193" s="181">
        <f>IFERROR((CA157-BV157)/(CA100-BV100),"")</f>
        <v/>
      </c>
      <c r="CB193" s="181">
        <f>IFERROR((CB157-CA157)/(CB100-CA100),"")</f>
        <v/>
      </c>
      <c r="CC193" s="181">
        <f>IFERROR((CC157-CB157)/(CC100-CB100),"")</f>
        <v/>
      </c>
      <c r="CD193" s="181">
        <f>IFERROR((CD157-CC157)/(CD100-CC100),"")</f>
        <v/>
      </c>
      <c r="CE193" s="181">
        <f>IFERROR((CE157-CD157)/(CE100-CD100),"")</f>
        <v/>
      </c>
      <c r="CF193" s="6" t="n"/>
    </row>
    <row r="194" ht="15" customHeight="1">
      <c r="B194" s="26" t="inlineStr">
        <is>
          <t xml:space="preserve">  Operating margin (operating income) %</t>
        </is>
      </c>
      <c r="C194" s="190">
        <f>IF(AND(ISNUMBER(C114),ISNUMBER(C100)),IFERROR(C114/C100,""),"")</f>
        <v/>
      </c>
      <c r="D194" s="190">
        <f>IF(AND(ISNUMBER(D114),ISNUMBER(D100)),IFERROR(D114/D100,""),"")</f>
        <v/>
      </c>
      <c r="E194" s="190">
        <f>IF(AND(ISNUMBER(E114),ISNUMBER(E100)),IFERROR(E114/E100,""),"")</f>
        <v/>
      </c>
      <c r="F194" s="190">
        <f>IF(AND(ISNUMBER(F114),ISNUMBER(F100)),IFERROR(F114/F100,""),"")</f>
        <v/>
      </c>
      <c r="G194" s="190">
        <f>IF(AND(ISNUMBER(G114),ISNUMBER(G100)),IFERROR(G114/G100,""),"")</f>
        <v/>
      </c>
      <c r="H194" s="190">
        <f>IF(AND(ISNUMBER(H114),ISNUMBER(H100)),IFERROR(H114/H100,""),"")</f>
        <v/>
      </c>
      <c r="I194" s="190">
        <f>IF(AND(ISNUMBER(I114),ISNUMBER(I100)),IFERROR(I114/I100,""),"")</f>
        <v/>
      </c>
      <c r="J194" s="190">
        <f>IF(AND(ISNUMBER(J114),ISNUMBER(J100)),IFERROR(J114/J100,""),"")</f>
        <v/>
      </c>
      <c r="K194" s="190">
        <f>IF(AND(ISNUMBER(K114),ISNUMBER(K100)),IFERROR(K114/K100,""),"")</f>
        <v/>
      </c>
      <c r="L194" s="190">
        <f>IF(AND(ISNUMBER(L114),ISNUMBER(L100)),IFERROR(L114/L100,""),"")</f>
        <v/>
      </c>
      <c r="M194" s="190">
        <f>IF(AND(ISNUMBER(M114),ISNUMBER(M100)),IFERROR(M114/M100,""),"")</f>
        <v/>
      </c>
      <c r="N194" s="190">
        <f>IF(AND(ISNUMBER(N114),ISNUMBER(N100)),IFERROR(N114/N100,""),"")</f>
        <v/>
      </c>
      <c r="O194" s="190">
        <f>IF(AND(ISNUMBER(O114),ISNUMBER(O100)),IFERROR(O114/O100,""),"")</f>
        <v/>
      </c>
      <c r="P194" s="190">
        <f>IF(AND(ISNUMBER(P114),ISNUMBER(P100)),IFERROR(P114/P100,""),"")</f>
        <v/>
      </c>
      <c r="Q194" s="190">
        <f>IF(AND(ISNUMBER(Q114),ISNUMBER(Q100)),IFERROR(Q114/Q100,""),"")</f>
        <v/>
      </c>
      <c r="R194" s="190">
        <f>IF(AND(ISNUMBER(R114),ISNUMBER(R100)),IFERROR(R114/R100,""),"")</f>
        <v/>
      </c>
      <c r="S194" s="190">
        <f>IF(AND(ISNUMBER(S114),ISNUMBER(S100)),IFERROR(S114/S100,""),"")</f>
        <v/>
      </c>
      <c r="T194" s="190">
        <f>IF(AND(ISNUMBER(T114),ISNUMBER(T100)),IFERROR(T114/T100,""),"")</f>
        <v/>
      </c>
      <c r="U194" s="190">
        <f>IF(AND(ISNUMBER(U114),ISNUMBER(U100)),IFERROR(U114/U100,""),"")</f>
        <v/>
      </c>
      <c r="V194" s="190">
        <f>IF(AND(ISNUMBER(V114),ISNUMBER(V100)),IFERROR(V114/V100,""),"")</f>
        <v/>
      </c>
      <c r="W194" s="190">
        <f>IF(AND(ISNUMBER(W114),ISNUMBER(W100)),IFERROR(W114/W100,""),"")</f>
        <v/>
      </c>
      <c r="X194" s="190">
        <f>IF(AND(ISNUMBER(X114),ISNUMBER(X100)),IFERROR(X114/X100,""),"")</f>
        <v/>
      </c>
      <c r="Y194" s="190">
        <f>IF(AND(ISNUMBER(Y114),ISNUMBER(Y100)),IFERROR(Y114/Y100,""),"")</f>
        <v/>
      </c>
      <c r="Z194" s="190">
        <f>IF(AND(ISNUMBER(Z114),ISNUMBER(Z100)),IFERROR(Z114/Z100,""),"")</f>
        <v/>
      </c>
      <c r="AA194" s="190">
        <f>IF(AND(ISNUMBER(AA114),ISNUMBER(AA100)),IFERROR(AA114/AA100,""),"")</f>
        <v/>
      </c>
      <c r="AB194" s="190">
        <f>IF(AND(ISNUMBER(AB114),ISNUMBER(AB100)),IFERROR(AB114/AB100,""),"")</f>
        <v/>
      </c>
      <c r="AC194" s="190">
        <f>IF(AND(ISNUMBER(AC114),ISNUMBER(AC100)),IFERROR(AC114/AC100,""),"")</f>
        <v/>
      </c>
      <c r="AD194" s="190">
        <f>IF(AND(ISNUMBER(AD114),ISNUMBER(AD100)),IFERROR(AD114/AD100,""),"")</f>
        <v/>
      </c>
      <c r="AE194" s="190">
        <f>IF(AND(ISNUMBER(AE114),ISNUMBER(AE100)),IFERROR(AE114/AE100,""),"")</f>
        <v/>
      </c>
      <c r="AF194" s="190">
        <f>IF(AND(ISNUMBER(AF114),ISNUMBER(AF100)),IFERROR(AF114/AF100,""),"")</f>
        <v/>
      </c>
      <c r="AG194" s="190">
        <f>IF(AND(ISNUMBER(AG114),ISNUMBER(AG100)),IFERROR(AG114/AG100,""),"")</f>
        <v/>
      </c>
      <c r="AH194" s="190">
        <f>IF(AND(ISNUMBER(AH114),ISNUMBER(AH100)),IFERROR(AH114/AH100,""),"")</f>
        <v/>
      </c>
      <c r="AI194" s="190">
        <f>IF(AND(ISNUMBER(AI114),ISNUMBER(AI100)),IFERROR(AI114/AI100,""),"")</f>
        <v/>
      </c>
      <c r="AJ194" s="190">
        <f>IF(AND(ISNUMBER(AJ114),ISNUMBER(AJ100)),IFERROR(AJ114/AJ100,""),"")</f>
        <v/>
      </c>
      <c r="AK194" s="190">
        <f>IF(AND(ISNUMBER(AK114),ISNUMBER(AK100)),IFERROR(AK114/AK100,""),"")</f>
        <v/>
      </c>
      <c r="AL194" s="190">
        <f>IF(AND(ISNUMBER(AL114),ISNUMBER(AL100)),IFERROR(AL114/AL100,""),"")</f>
        <v/>
      </c>
      <c r="AM194" s="190">
        <f>IF(AND(ISNUMBER(AM114),ISNUMBER(AM100)),IFERROR(AM114/AM100,""),"")</f>
        <v/>
      </c>
      <c r="AN194" s="190">
        <f>IF(AND(ISNUMBER(AN114),ISNUMBER(AN100)),IFERROR(AN114/AN100,""),"")</f>
        <v/>
      </c>
      <c r="AO194" s="190">
        <f>IF(AND(ISNUMBER(AO114),ISNUMBER(AO100)),IFERROR(AO114/AO100,""),"")</f>
        <v/>
      </c>
      <c r="AP194" s="190">
        <f>IF(AND(ISNUMBER(AP114),ISNUMBER(AP100)),IFERROR(AP114/AP100,""),"")</f>
        <v/>
      </c>
      <c r="AQ194" s="190">
        <f>IF(AND(ISNUMBER(AQ114),ISNUMBER(AQ100)),IFERROR(AQ114/AQ100,""),"")</f>
        <v/>
      </c>
      <c r="AR194" s="190">
        <f>IF(AND(ISNUMBER(AR114),ISNUMBER(AR100)),IFERROR(AR114/AR100,""),"")</f>
        <v/>
      </c>
      <c r="AS194" s="190">
        <f>IF(AND(ISNUMBER(AS114),ISNUMBER(AS100)),IFERROR(AS114/AS100,""),"")</f>
        <v/>
      </c>
      <c r="AT194" s="190">
        <f>IF(AND(ISNUMBER(AT114),ISNUMBER(AT100)),IFERROR(AT114/AT100,""),"")</f>
        <v/>
      </c>
      <c r="AU194" s="190">
        <f>IF(AND(ISNUMBER(AU114),ISNUMBER(AU100)),IFERROR(AU114/AU100,""),"")</f>
        <v/>
      </c>
      <c r="AV194" s="190">
        <f>IF(AND(ISNUMBER(AV114),ISNUMBER(AV100)),IFERROR(AV114/AV100,""),"")</f>
        <v/>
      </c>
      <c r="AW194" s="190">
        <f>IF(AND(ISNUMBER(AW114),ISNUMBER(AW100)),IFERROR(AW114/AW100,""),"")</f>
        <v/>
      </c>
      <c r="AX194" s="190">
        <f>IF(AND(ISNUMBER(AX114),ISNUMBER(AX100)),IFERROR(AX114/AX100,""),"")</f>
        <v/>
      </c>
      <c r="AY194" s="190">
        <f>IF(AND(ISNUMBER(AY114),ISNUMBER(AY100)),IFERROR(AY114/AY100,""),"")</f>
        <v/>
      </c>
      <c r="AZ194" s="190">
        <f>IF(AND(ISNUMBER(AZ114),ISNUMBER(AZ100)),IFERROR(AZ114/AZ100,""),"")</f>
        <v/>
      </c>
      <c r="BA194" s="190">
        <f>IF(AND(ISNUMBER(BA114),ISNUMBER(BA100)),IFERROR(BA114/BA100,""),"")</f>
        <v/>
      </c>
      <c r="BB194" s="190">
        <f>IF(AND(ISNUMBER(BB114),ISNUMBER(BB100)),IFERROR(BB114/BB100,""),"")</f>
        <v/>
      </c>
      <c r="BC194" s="190">
        <f>IF(AND(ISNUMBER(BC114),ISNUMBER(BC100)),IFERROR(BC114/BC100,""),"")</f>
        <v/>
      </c>
      <c r="BD194" s="190">
        <f>IF(AND(ISNUMBER(BD114),ISNUMBER(BD100)),IFERROR(BD114/BD100,""),"")</f>
        <v/>
      </c>
      <c r="BE194" s="190">
        <f>IF(AND(ISNUMBER(BE114),ISNUMBER(BE100)),IFERROR(BE114/BE100,""),"")</f>
        <v/>
      </c>
      <c r="BF194" s="190">
        <f>IF(AND(ISNUMBER(BF114),ISNUMBER(BF100)),IFERROR(BF114/BF100,""),"")</f>
        <v/>
      </c>
      <c r="BG194" s="190">
        <f>IF(AND(ISNUMBER(BG114),ISNUMBER(BG100)),IFERROR(BG114/BG100,""),"")</f>
        <v/>
      </c>
      <c r="BH194" s="190">
        <f>IF(AND(ISNUMBER(BH114),ISNUMBER(BH100)),IFERROR(BH114/BH100,""),"")</f>
        <v/>
      </c>
      <c r="BI194" s="190">
        <f>IF(AND(ISNUMBER(BI114),ISNUMBER(BI100)),IFERROR(BI114/BI100,""),"")</f>
        <v/>
      </c>
      <c r="BJ194" s="190">
        <f>IF(AND(ISNUMBER(BJ114),ISNUMBER(BJ100)),IFERROR(BJ114/BJ100,""),"")</f>
        <v/>
      </c>
      <c r="BK194" s="190">
        <f>IF(AND(ISNUMBER(BK114),ISNUMBER(BK100)),IFERROR(BK114/BK100,""),"")</f>
        <v/>
      </c>
      <c r="BL194" s="190">
        <f>IF(AND(ISNUMBER(BL114),ISNUMBER(BL100)),IFERROR(BL114/BL100,""),"")</f>
        <v/>
      </c>
      <c r="BM194" s="190">
        <f>IF(AND(ISNUMBER(BM114),ISNUMBER(BM100)),IFERROR(BM114/BM100,""),"")</f>
        <v/>
      </c>
      <c r="BN194" s="190">
        <f>IF(AND(ISNUMBER(BN114),ISNUMBER(BN100)),IFERROR(BN114/BN100,""),"")</f>
        <v/>
      </c>
      <c r="BO194" s="190">
        <f>IF(AND(ISNUMBER(BO114),ISNUMBER(BO100)),IFERROR(BO114/BO100,""),"")</f>
        <v/>
      </c>
      <c r="BP194" s="190">
        <f>IF(AND(ISNUMBER(BP114),ISNUMBER(BP100)),IFERROR(BP114/BP100,""),"")</f>
        <v/>
      </c>
      <c r="BQ194" s="190">
        <f>IF(AND(ISNUMBER(BQ114),ISNUMBER(BQ100)),IFERROR(BQ114/BQ100,""),"")</f>
        <v/>
      </c>
      <c r="BR194" s="190">
        <f>IF(AND(ISNUMBER(BR114),ISNUMBER(BR100)),IFERROR(BR114/BR100,""),"")</f>
        <v/>
      </c>
      <c r="BS194" s="190">
        <f>IF(AND(ISNUMBER(BS114),ISNUMBER(BS100)),IFERROR(BS114/BS100,""),"")</f>
        <v/>
      </c>
      <c r="BT194" s="190">
        <f>IF(AND(ISNUMBER(BT114),ISNUMBER(BT100)),IFERROR(BT114/BT100,""),"")</f>
        <v/>
      </c>
      <c r="BU194" s="190">
        <f>IF(AND(ISNUMBER(BU114),ISNUMBER(BU100)),IFERROR(BU114/BU100,""),"")</f>
        <v/>
      </c>
      <c r="BV194" s="190">
        <f>IF(AND(ISNUMBER(BV114),ISNUMBER(BV100)),IFERROR(BV114/BV100,""),"")</f>
        <v/>
      </c>
      <c r="BW194" s="190">
        <f>IF(AND(ISNUMBER(BW114),ISNUMBER(BW100)),IFERROR(BW114/BW100,""),"")</f>
        <v/>
      </c>
      <c r="BX194" s="190">
        <f>IF(AND(ISNUMBER(BX114),ISNUMBER(BX100)),IFERROR(BX114/BX100,""),"")</f>
        <v/>
      </c>
      <c r="BY194" s="181">
        <f>IF(AND(ISNUMBER(BY114),ISNUMBER(BY100)),IFERROR(BY114/BY100,""),"")</f>
        <v/>
      </c>
      <c r="BZ194" s="181">
        <f>IF(AND(ISNUMBER(BZ114),ISNUMBER(BZ100)),IFERROR(BZ114/BZ100,""),"")</f>
        <v/>
      </c>
      <c r="CA194" s="181">
        <f>IF(AND(ISNUMBER(CA114),ISNUMBER(CA100)),IFERROR(CA114/CA100,""),"")</f>
        <v/>
      </c>
      <c r="CB194" s="181">
        <f>IF(AND(ISNUMBER(CB114),ISNUMBER(CB100)),IFERROR(CB114/CB100,""),"")</f>
        <v/>
      </c>
      <c r="CC194" s="181">
        <f>IF(AND(ISNUMBER(CC114),ISNUMBER(CC100)),IFERROR(CC114/CC100,""),"")</f>
        <v/>
      </c>
      <c r="CD194" s="181">
        <f>IF(AND(ISNUMBER(CD114),ISNUMBER(CD100)),IFERROR(CD114/CD100,""),"")</f>
        <v/>
      </c>
      <c r="CE194" s="181">
        <f>IF(AND(ISNUMBER(CE114),ISNUMBER(CE100)),IFERROR(CE114/CE100,""),"")</f>
        <v/>
      </c>
      <c r="CF194" s="6" t="n"/>
      <c r="CH194" s="39">
        <f>IFERROR(AVERAGE(CA194,CB194,CC194,CD194,CE194),"n/m")</f>
        <v/>
      </c>
      <c r="CI194" s="39">
        <f>IFERROR(AVERAGE(BB194,BG194,BL194,BQ194,BV194),"n/m")</f>
        <v/>
      </c>
      <c r="CJ194" s="39">
        <f>IFERROR(AVERAGE(AC194,AH194,AM194,AR194,AW194,BB194,BG194,BL194,BQ194,BV194),"n/m")</f>
        <v/>
      </c>
      <c r="CK194" s="39">
        <f>IFERROR(AVERAGE(C194,D194,E194,F194,G194,H194,I194,N194,S194,X194,AC194,AH194,AM194,AR194,AW194,BB194,BG194,BL194,BQ194,BV194),"n/m")</f>
        <v/>
      </c>
    </row>
    <row r="195" ht="15" customHeight="1">
      <c r="B195" s="26" t="inlineStr">
        <is>
          <t xml:space="preserve">  Net margin %</t>
        </is>
      </c>
      <c r="C195" s="190">
        <f>IF(AND(ISNUMBER(C122),ISNUMBER(C100)),IFERROR(C122/C100,""),"")</f>
        <v/>
      </c>
      <c r="D195" s="190">
        <f>IF(AND(ISNUMBER(D122),ISNUMBER(D100)),IFERROR(D122/D100,""),"")</f>
        <v/>
      </c>
      <c r="E195" s="190">
        <f>IF(AND(ISNUMBER(E122),ISNUMBER(E100)),IFERROR(E122/E100,""),"")</f>
        <v/>
      </c>
      <c r="F195" s="190">
        <f>IF(AND(ISNUMBER(F122),ISNUMBER(F100)),IFERROR(F122/F100,""),"")</f>
        <v/>
      </c>
      <c r="G195" s="190">
        <f>IF(AND(ISNUMBER(G122),ISNUMBER(G100)),IFERROR(G122/G100,""),"")</f>
        <v/>
      </c>
      <c r="H195" s="190">
        <f>IF(AND(ISNUMBER(H122),ISNUMBER(H100)),IFERROR(H122/H100,""),"")</f>
        <v/>
      </c>
      <c r="I195" s="190">
        <f>IF(AND(ISNUMBER(I122),ISNUMBER(I100)),IFERROR(I122/I100,""),"")</f>
        <v/>
      </c>
      <c r="J195" s="190">
        <f>IF(AND(ISNUMBER(J122),ISNUMBER(J100)),IFERROR(J122/J100,""),"")</f>
        <v/>
      </c>
      <c r="K195" s="190">
        <f>IF(AND(ISNUMBER(K122),ISNUMBER(K100)),IFERROR(K122/K100,""),"")</f>
        <v/>
      </c>
      <c r="L195" s="190">
        <f>IF(AND(ISNUMBER(L122),ISNUMBER(L100)),IFERROR(L122/L100,""),"")</f>
        <v/>
      </c>
      <c r="M195" s="190">
        <f>IF(AND(ISNUMBER(M122),ISNUMBER(M100)),IFERROR(M122/M100,""),"")</f>
        <v/>
      </c>
      <c r="N195" s="190">
        <f>IF(AND(ISNUMBER(N122),ISNUMBER(N100)),IFERROR(N122/N100,""),"")</f>
        <v/>
      </c>
      <c r="O195" s="190">
        <f>IF(AND(ISNUMBER(O122),ISNUMBER(O100)),IFERROR(O122/O100,""),"")</f>
        <v/>
      </c>
      <c r="P195" s="190">
        <f>IF(AND(ISNUMBER(P122),ISNUMBER(P100)),IFERROR(P122/P100,""),"")</f>
        <v/>
      </c>
      <c r="Q195" s="190">
        <f>IF(AND(ISNUMBER(Q122),ISNUMBER(Q100)),IFERROR(Q122/Q100,""),"")</f>
        <v/>
      </c>
      <c r="R195" s="190">
        <f>IF(AND(ISNUMBER(R122),ISNUMBER(R100)),IFERROR(R122/R100,""),"")</f>
        <v/>
      </c>
      <c r="S195" s="190">
        <f>IF(AND(ISNUMBER(S122),ISNUMBER(S100)),IFERROR(S122/S100,""),"")</f>
        <v/>
      </c>
      <c r="T195" s="190">
        <f>IF(AND(ISNUMBER(T122),ISNUMBER(T100)),IFERROR(T122/T100,""),"")</f>
        <v/>
      </c>
      <c r="U195" s="190">
        <f>IF(AND(ISNUMBER(U122),ISNUMBER(U100)),IFERROR(U122/U100,""),"")</f>
        <v/>
      </c>
      <c r="V195" s="190">
        <f>IF(AND(ISNUMBER(V122),ISNUMBER(V100)),IFERROR(V122/V100,""),"")</f>
        <v/>
      </c>
      <c r="W195" s="190">
        <f>IF(AND(ISNUMBER(W122),ISNUMBER(W100)),IFERROR(W122/W100,""),"")</f>
        <v/>
      </c>
      <c r="X195" s="190">
        <f>IF(AND(ISNUMBER(X122),ISNUMBER(X100)),IFERROR(X122/X100,""),"")</f>
        <v/>
      </c>
      <c r="Y195" s="190">
        <f>IF(AND(ISNUMBER(Y122),ISNUMBER(Y100)),IFERROR(Y122/Y100,""),"")</f>
        <v/>
      </c>
      <c r="Z195" s="190">
        <f>IF(AND(ISNUMBER(Z122),ISNUMBER(Z100)),IFERROR(Z122/Z100,""),"")</f>
        <v/>
      </c>
      <c r="AA195" s="190">
        <f>IF(AND(ISNUMBER(AA122),ISNUMBER(AA100)),IFERROR(AA122/AA100,""),"")</f>
        <v/>
      </c>
      <c r="AB195" s="190">
        <f>IF(AND(ISNUMBER(AB122),ISNUMBER(AB100)),IFERROR(AB122/AB100,""),"")</f>
        <v/>
      </c>
      <c r="AC195" s="190">
        <f>IF(AND(ISNUMBER(AC122),ISNUMBER(AC100)),IFERROR(AC122/AC100,""),"")</f>
        <v/>
      </c>
      <c r="AD195" s="190">
        <f>IF(AND(ISNUMBER(AD122),ISNUMBER(AD100)),IFERROR(AD122/AD100,""),"")</f>
        <v/>
      </c>
      <c r="AE195" s="190">
        <f>IF(AND(ISNUMBER(AE122),ISNUMBER(AE100)),IFERROR(AE122/AE100,""),"")</f>
        <v/>
      </c>
      <c r="AF195" s="190">
        <f>IF(AND(ISNUMBER(AF122),ISNUMBER(AF100)),IFERROR(AF122/AF100,""),"")</f>
        <v/>
      </c>
      <c r="AG195" s="190">
        <f>IF(AND(ISNUMBER(AG122),ISNUMBER(AG100)),IFERROR(AG122/AG100,""),"")</f>
        <v/>
      </c>
      <c r="AH195" s="190">
        <f>IF(AND(ISNUMBER(AH122),ISNUMBER(AH100)),IFERROR(AH122/AH100,""),"")</f>
        <v/>
      </c>
      <c r="AI195" s="190">
        <f>IF(AND(ISNUMBER(AI122),ISNUMBER(AI100)),IFERROR(AI122/AI100,""),"")</f>
        <v/>
      </c>
      <c r="AJ195" s="190">
        <f>IF(AND(ISNUMBER(AJ122),ISNUMBER(AJ100)),IFERROR(AJ122/AJ100,""),"")</f>
        <v/>
      </c>
      <c r="AK195" s="190">
        <f>IF(AND(ISNUMBER(AK122),ISNUMBER(AK100)),IFERROR(AK122/AK100,""),"")</f>
        <v/>
      </c>
      <c r="AL195" s="190">
        <f>IF(AND(ISNUMBER(AL122),ISNUMBER(AL100)),IFERROR(AL122/AL100,""),"")</f>
        <v/>
      </c>
      <c r="AM195" s="190">
        <f>IF(AND(ISNUMBER(AM122),ISNUMBER(AM100)),IFERROR(AM122/AM100,""),"")</f>
        <v/>
      </c>
      <c r="AN195" s="190">
        <f>IF(AND(ISNUMBER(AN122),ISNUMBER(AN100)),IFERROR(AN122/AN100,""),"")</f>
        <v/>
      </c>
      <c r="AO195" s="190">
        <f>IF(AND(ISNUMBER(AO122),ISNUMBER(AO100)),IFERROR(AO122/AO100,""),"")</f>
        <v/>
      </c>
      <c r="AP195" s="190">
        <f>IF(AND(ISNUMBER(AP122),ISNUMBER(AP100)),IFERROR(AP122/AP100,""),"")</f>
        <v/>
      </c>
      <c r="AQ195" s="190">
        <f>IF(AND(ISNUMBER(AQ122),ISNUMBER(AQ100)),IFERROR(AQ122/AQ100,""),"")</f>
        <v/>
      </c>
      <c r="AR195" s="190">
        <f>IF(AND(ISNUMBER(AR122),ISNUMBER(AR100)),IFERROR(AR122/AR100,""),"")</f>
        <v/>
      </c>
      <c r="AS195" s="190">
        <f>IF(AND(ISNUMBER(AS122),ISNUMBER(AS100)),IFERROR(AS122/AS100,""),"")</f>
        <v/>
      </c>
      <c r="AT195" s="190">
        <f>IF(AND(ISNUMBER(AT122),ISNUMBER(AT100)),IFERROR(AT122/AT100,""),"")</f>
        <v/>
      </c>
      <c r="AU195" s="190">
        <f>IF(AND(ISNUMBER(AU122),ISNUMBER(AU100)),IFERROR(AU122/AU100,""),"")</f>
        <v/>
      </c>
      <c r="AV195" s="190">
        <f>IF(AND(ISNUMBER(AV122),ISNUMBER(AV100)),IFERROR(AV122/AV100,""),"")</f>
        <v/>
      </c>
      <c r="AW195" s="190">
        <f>IF(AND(ISNUMBER(AW122),ISNUMBER(AW100)),IFERROR(AW122/AW100,""),"")</f>
        <v/>
      </c>
      <c r="AX195" s="190">
        <f>IF(AND(ISNUMBER(AX122),ISNUMBER(AX100)),IFERROR(AX122/AX100,""),"")</f>
        <v/>
      </c>
      <c r="AY195" s="190">
        <f>IF(AND(ISNUMBER(AY122),ISNUMBER(AY100)),IFERROR(AY122/AY100,""),"")</f>
        <v/>
      </c>
      <c r="AZ195" s="190">
        <f>IF(AND(ISNUMBER(AZ122),ISNUMBER(AZ100)),IFERROR(AZ122/AZ100,""),"")</f>
        <v/>
      </c>
      <c r="BA195" s="190">
        <f>IF(AND(ISNUMBER(BA122),ISNUMBER(BA100)),IFERROR(BA122/BA100,""),"")</f>
        <v/>
      </c>
      <c r="BB195" s="190">
        <f>IF(AND(ISNUMBER(BB122),ISNUMBER(BB100)),IFERROR(BB122/BB100,""),"")</f>
        <v/>
      </c>
      <c r="BC195" s="190">
        <f>IF(AND(ISNUMBER(BC122),ISNUMBER(BC100)),IFERROR(BC122/BC100,""),"")</f>
        <v/>
      </c>
      <c r="BD195" s="190">
        <f>IF(AND(ISNUMBER(BD122),ISNUMBER(BD100)),IFERROR(BD122/BD100,""),"")</f>
        <v/>
      </c>
      <c r="BE195" s="190">
        <f>IF(AND(ISNUMBER(BE122),ISNUMBER(BE100)),IFERROR(BE122/BE100,""),"")</f>
        <v/>
      </c>
      <c r="BF195" s="190">
        <f>IF(AND(ISNUMBER(BF122),ISNUMBER(BF100)),IFERROR(BF122/BF100,""),"")</f>
        <v/>
      </c>
      <c r="BG195" s="190">
        <f>IF(AND(ISNUMBER(BG122),ISNUMBER(BG100)),IFERROR(BG122/BG100,""),"")</f>
        <v/>
      </c>
      <c r="BH195" s="190">
        <f>IF(AND(ISNUMBER(BH122),ISNUMBER(BH100)),IFERROR(BH122/BH100,""),"")</f>
        <v/>
      </c>
      <c r="BI195" s="190">
        <f>IF(AND(ISNUMBER(BI122),ISNUMBER(BI100)),IFERROR(BI122/BI100,""),"")</f>
        <v/>
      </c>
      <c r="BJ195" s="190">
        <f>IF(AND(ISNUMBER(BJ122),ISNUMBER(BJ100)),IFERROR(BJ122/BJ100,""),"")</f>
        <v/>
      </c>
      <c r="BK195" s="190">
        <f>IF(AND(ISNUMBER(BK122),ISNUMBER(BK100)),IFERROR(BK122/BK100,""),"")</f>
        <v/>
      </c>
      <c r="BL195" s="190">
        <f>IF(AND(ISNUMBER(BL122),ISNUMBER(BL100)),IFERROR(BL122/BL100,""),"")</f>
        <v/>
      </c>
      <c r="BM195" s="190">
        <f>IF(AND(ISNUMBER(BM122),ISNUMBER(BM100)),IFERROR(BM122/BM100,""),"")</f>
        <v/>
      </c>
      <c r="BN195" s="190">
        <f>IF(AND(ISNUMBER(BN122),ISNUMBER(BN100)),IFERROR(BN122/BN100,""),"")</f>
        <v/>
      </c>
      <c r="BO195" s="190">
        <f>IF(AND(ISNUMBER(BO122),ISNUMBER(BO100)),IFERROR(BO122/BO100,""),"")</f>
        <v/>
      </c>
      <c r="BP195" s="190">
        <f>IF(AND(ISNUMBER(BP122),ISNUMBER(BP100)),IFERROR(BP122/BP100,""),"")</f>
        <v/>
      </c>
      <c r="BQ195" s="190">
        <f>IF(AND(ISNUMBER(BQ122),ISNUMBER(BQ100)),IFERROR(BQ122/BQ100,""),"")</f>
        <v/>
      </c>
      <c r="BR195" s="190">
        <f>IF(AND(ISNUMBER(BR122),ISNUMBER(BR100)),IFERROR(BR122/BR100,""),"")</f>
        <v/>
      </c>
      <c r="BS195" s="190">
        <f>IF(AND(ISNUMBER(BS122),ISNUMBER(BS100)),IFERROR(BS122/BS100,""),"")</f>
        <v/>
      </c>
      <c r="BT195" s="190">
        <f>IF(AND(ISNUMBER(BT122),ISNUMBER(BT100)),IFERROR(BT122/BT100,""),"")</f>
        <v/>
      </c>
      <c r="BU195" s="190">
        <f>IF(AND(ISNUMBER(BU122),ISNUMBER(BU100)),IFERROR(BU122/BU100,""),"")</f>
        <v/>
      </c>
      <c r="BV195" s="190">
        <f>IF(AND(ISNUMBER(BV122),ISNUMBER(BV100)),IFERROR(BV122/BV100,""),"")</f>
        <v/>
      </c>
      <c r="BW195" s="190">
        <f>IF(AND(ISNUMBER(BW122),ISNUMBER(BW100)),IFERROR(BW122/BW100,""),"")</f>
        <v/>
      </c>
      <c r="BX195" s="190">
        <f>IF(AND(ISNUMBER(BX122),ISNUMBER(BX100)),IFERROR(BX122/BX100,""),"")</f>
        <v/>
      </c>
      <c r="BY195" s="181">
        <f>IF(AND(ISNUMBER(BY122),ISNUMBER(BY100)),IFERROR(BY122/BY100,""),"")</f>
        <v/>
      </c>
      <c r="BZ195" s="181">
        <f>IF(AND(ISNUMBER(BZ122),ISNUMBER(BZ100)),IFERROR(BZ122/BZ100,""),"")</f>
        <v/>
      </c>
      <c r="CA195" s="181">
        <f>IF(AND(ISNUMBER(CA122),ISNUMBER(CA100)),IFERROR(CA122/CA100,""),"")</f>
        <v/>
      </c>
      <c r="CB195" s="181">
        <f>IF(AND(ISNUMBER(CB122),ISNUMBER(CB100)),IFERROR(CB122/CB100,""),"")</f>
        <v/>
      </c>
      <c r="CC195" s="181">
        <f>IF(AND(ISNUMBER(CC122),ISNUMBER(CC100)),IFERROR(CC122/CC100,""),"")</f>
        <v/>
      </c>
      <c r="CD195" s="181">
        <f>IF(AND(ISNUMBER(CD122),ISNUMBER(CD100)),IFERROR(CD122/CD100,""),"")</f>
        <v/>
      </c>
      <c r="CE195" s="181">
        <f>IF(AND(ISNUMBER(CE122),ISNUMBER(CE100)),IFERROR(CE122/CE100,""),"")</f>
        <v/>
      </c>
      <c r="CF195" s="6" t="n"/>
      <c r="CH195" s="39">
        <f>IFERROR(AVERAGE(CA195,CB195,CC195,CD195,CE195),"n/m")</f>
        <v/>
      </c>
      <c r="CI195" s="39">
        <f>IFERROR(AVERAGE(BB195,BG195,BL195,BQ195,BV195),"n/m")</f>
        <v/>
      </c>
      <c r="CJ195" s="39">
        <f>IFERROR(AVERAGE(AC195,AH195,AM195,AR195,AW195,BB195,BG195,BL195,BQ195,BV195),"n/m")</f>
        <v/>
      </c>
      <c r="CK195" s="39">
        <f>IFERROR(AVERAGE(C195,D195,E195,F195,G195,H195,I195,N195,S195,X195,AC195,AH195,AM195,AR195,AW195,BB195,BG195,BL195,BQ195,BV195),"n/m")</f>
        <v/>
      </c>
    </row>
    <row r="196" ht="15" customHeight="1">
      <c r="B196" s="26" t="inlineStr">
        <is>
          <t xml:space="preserve">  Salaries, wages &amp; benefits % of revenue</t>
        </is>
      </c>
      <c r="C196" s="190">
        <f>IF(AND(ISNUMBER(C101),ISNUMBER(C100)),IFERROR(C101/C100,""),"")</f>
        <v/>
      </c>
      <c r="D196" s="190">
        <f>IF(AND(ISNUMBER(D101),ISNUMBER(D100)),IFERROR(D101/D100,""),"")</f>
        <v/>
      </c>
      <c r="E196" s="190">
        <f>IF(AND(ISNUMBER(E101),ISNUMBER(E100)),IFERROR(E101/E100,""),"")</f>
        <v/>
      </c>
      <c r="F196" s="190">
        <f>IF(AND(ISNUMBER(F101),ISNUMBER(F100)),IFERROR(F101/F100,""),"")</f>
        <v/>
      </c>
      <c r="G196" s="190">
        <f>IF(AND(ISNUMBER(G101),ISNUMBER(G100)),IFERROR(G101/G100,""),"")</f>
        <v/>
      </c>
      <c r="H196" s="190">
        <f>IF(AND(ISNUMBER(H101),ISNUMBER(H100)),IFERROR(H101/H100,""),"")</f>
        <v/>
      </c>
      <c r="I196" s="190">
        <f>IF(AND(ISNUMBER(I101),ISNUMBER(I100)),IFERROR(I101/I100,""),"")</f>
        <v/>
      </c>
      <c r="J196" s="190">
        <f>IF(AND(ISNUMBER(J101),ISNUMBER(J100)),IFERROR(J101/J100,""),"")</f>
        <v/>
      </c>
      <c r="K196" s="190">
        <f>IF(AND(ISNUMBER(K101),ISNUMBER(K100)),IFERROR(K101/K100,""),"")</f>
        <v/>
      </c>
      <c r="L196" s="190">
        <f>IF(AND(ISNUMBER(L101),ISNUMBER(L100)),IFERROR(L101/L100,""),"")</f>
        <v/>
      </c>
      <c r="M196" s="190">
        <f>IF(AND(ISNUMBER(M101),ISNUMBER(M100)),IFERROR(M101/M100,""),"")</f>
        <v/>
      </c>
      <c r="N196" s="190">
        <f>IF(AND(ISNUMBER(N101),ISNUMBER(N100)),IFERROR(N101/N100,""),"")</f>
        <v/>
      </c>
      <c r="O196" s="190">
        <f>IF(AND(ISNUMBER(O101),ISNUMBER(O100)),IFERROR(O101/O100,""),"")</f>
        <v/>
      </c>
      <c r="P196" s="190">
        <f>IF(AND(ISNUMBER(P101),ISNUMBER(P100)),IFERROR(P101/P100,""),"")</f>
        <v/>
      </c>
      <c r="Q196" s="190">
        <f>IF(AND(ISNUMBER(Q101),ISNUMBER(Q100)),IFERROR(Q101/Q100,""),"")</f>
        <v/>
      </c>
      <c r="R196" s="190">
        <f>IF(AND(ISNUMBER(R101),ISNUMBER(R100)),IFERROR(R101/R100,""),"")</f>
        <v/>
      </c>
      <c r="S196" s="190">
        <f>IF(AND(ISNUMBER(S101),ISNUMBER(S100)),IFERROR(S101/S100,""),"")</f>
        <v/>
      </c>
      <c r="T196" s="190">
        <f>IF(AND(ISNUMBER(T101),ISNUMBER(T100)),IFERROR(T101/T100,""),"")</f>
        <v/>
      </c>
      <c r="U196" s="190">
        <f>IF(AND(ISNUMBER(U101),ISNUMBER(U100)),IFERROR(U101/U100,""),"")</f>
        <v/>
      </c>
      <c r="V196" s="190">
        <f>IF(AND(ISNUMBER(V101),ISNUMBER(V100)),IFERROR(V101/V100,""),"")</f>
        <v/>
      </c>
      <c r="W196" s="190">
        <f>IF(AND(ISNUMBER(W101),ISNUMBER(W100)),IFERROR(W101/W100,""),"")</f>
        <v/>
      </c>
      <c r="X196" s="190">
        <f>IF(AND(ISNUMBER(X101),ISNUMBER(X100)),IFERROR(X101/X100,""),"")</f>
        <v/>
      </c>
      <c r="Y196" s="190">
        <f>IF(AND(ISNUMBER(Y101),ISNUMBER(Y100)),IFERROR(Y101/Y100,""),"")</f>
        <v/>
      </c>
      <c r="Z196" s="190">
        <f>IF(AND(ISNUMBER(Z101),ISNUMBER(Z100)),IFERROR(Z101/Z100,""),"")</f>
        <v/>
      </c>
      <c r="AA196" s="190">
        <f>IF(AND(ISNUMBER(AA101),ISNUMBER(AA100)),IFERROR(AA101/AA100,""),"")</f>
        <v/>
      </c>
      <c r="AB196" s="190">
        <f>IF(AND(ISNUMBER(AB101),ISNUMBER(AB100)),IFERROR(AB101/AB100,""),"")</f>
        <v/>
      </c>
      <c r="AC196" s="190">
        <f>IF(AND(ISNUMBER(AC101),ISNUMBER(AC100)),IFERROR(AC101/AC100,""),"")</f>
        <v/>
      </c>
      <c r="AD196" s="190">
        <f>IF(AND(ISNUMBER(AD101),ISNUMBER(AD100)),IFERROR(AD101/AD100,""),"")</f>
        <v/>
      </c>
      <c r="AE196" s="190">
        <f>IF(AND(ISNUMBER(AE101),ISNUMBER(AE100)),IFERROR(AE101/AE100,""),"")</f>
        <v/>
      </c>
      <c r="AF196" s="190">
        <f>IF(AND(ISNUMBER(AF101),ISNUMBER(AF100)),IFERROR(AF101/AF100,""),"")</f>
        <v/>
      </c>
      <c r="AG196" s="190">
        <f>IF(AND(ISNUMBER(AG101),ISNUMBER(AG100)),IFERROR(AG101/AG100,""),"")</f>
        <v/>
      </c>
      <c r="AH196" s="190">
        <f>IF(AND(ISNUMBER(AH101),ISNUMBER(AH100)),IFERROR(AH101/AH100,""),"")</f>
        <v/>
      </c>
      <c r="AI196" s="190">
        <f>IF(AND(ISNUMBER(AI101),ISNUMBER(AI100)),IFERROR(AI101/AI100,""),"")</f>
        <v/>
      </c>
      <c r="AJ196" s="190">
        <f>IF(AND(ISNUMBER(AJ101),ISNUMBER(AJ100)),IFERROR(AJ101/AJ100,""),"")</f>
        <v/>
      </c>
      <c r="AK196" s="190">
        <f>IF(AND(ISNUMBER(AK101),ISNUMBER(AK100)),IFERROR(AK101/AK100,""),"")</f>
        <v/>
      </c>
      <c r="AL196" s="190">
        <f>IF(AND(ISNUMBER(AL101),ISNUMBER(AL100)),IFERROR(AL101/AL100,""),"")</f>
        <v/>
      </c>
      <c r="AM196" s="190">
        <f>IF(AND(ISNUMBER(AM101),ISNUMBER(AM100)),IFERROR(AM101/AM100,""),"")</f>
        <v/>
      </c>
      <c r="AN196" s="190">
        <f>IF(AND(ISNUMBER(AN101),ISNUMBER(AN100)),IFERROR(AN101/AN100,""),"")</f>
        <v/>
      </c>
      <c r="AO196" s="190">
        <f>IF(AND(ISNUMBER(AO101),ISNUMBER(AO100)),IFERROR(AO101/AO100,""),"")</f>
        <v/>
      </c>
      <c r="AP196" s="190">
        <f>IF(AND(ISNUMBER(AP101),ISNUMBER(AP100)),IFERROR(AP101/AP100,""),"")</f>
        <v/>
      </c>
      <c r="AQ196" s="190">
        <f>IF(AND(ISNUMBER(AQ101),ISNUMBER(AQ100)),IFERROR(AQ101/AQ100,""),"")</f>
        <v/>
      </c>
      <c r="AR196" s="190">
        <f>IF(AND(ISNUMBER(AR101),ISNUMBER(AR100)),IFERROR(AR101/AR100,""),"")</f>
        <v/>
      </c>
      <c r="AS196" s="190">
        <f>IF(AND(ISNUMBER(AS101),ISNUMBER(AS100)),IFERROR(AS101/AS100,""),"")</f>
        <v/>
      </c>
      <c r="AT196" s="190">
        <f>IF(AND(ISNUMBER(AT101),ISNUMBER(AT100)),IFERROR(AT101/AT100,""),"")</f>
        <v/>
      </c>
      <c r="AU196" s="190">
        <f>IF(AND(ISNUMBER(AU101),ISNUMBER(AU100)),IFERROR(AU101/AU100,""),"")</f>
        <v/>
      </c>
      <c r="AV196" s="190">
        <f>IF(AND(ISNUMBER(AV101),ISNUMBER(AV100)),IFERROR(AV101/AV100,""),"")</f>
        <v/>
      </c>
      <c r="AW196" s="190">
        <f>IF(AND(ISNUMBER(AW101),ISNUMBER(AW100)),IFERROR(AW101/AW100,""),"")</f>
        <v/>
      </c>
      <c r="AX196" s="190">
        <f>IF(AND(ISNUMBER(AX101),ISNUMBER(AX100)),IFERROR(AX101/AX100,""),"")</f>
        <v/>
      </c>
      <c r="AY196" s="190">
        <f>IF(AND(ISNUMBER(AY101),ISNUMBER(AY100)),IFERROR(AY101/AY100,""),"")</f>
        <v/>
      </c>
      <c r="AZ196" s="190">
        <f>IF(AND(ISNUMBER(AZ101),ISNUMBER(AZ100)),IFERROR(AZ101/AZ100,""),"")</f>
        <v/>
      </c>
      <c r="BA196" s="190">
        <f>IF(AND(ISNUMBER(BA101),ISNUMBER(BA100)),IFERROR(BA101/BA100,""),"")</f>
        <v/>
      </c>
      <c r="BB196" s="190">
        <f>IF(AND(ISNUMBER(BB101),ISNUMBER(BB100)),IFERROR(BB101/BB100,""),"")</f>
        <v/>
      </c>
      <c r="BC196" s="190">
        <f>IF(AND(ISNUMBER(BC101),ISNUMBER(BC100)),IFERROR(BC101/BC100,""),"")</f>
        <v/>
      </c>
      <c r="BD196" s="190">
        <f>IF(AND(ISNUMBER(BD101),ISNUMBER(BD100)),IFERROR(BD101/BD100,""),"")</f>
        <v/>
      </c>
      <c r="BE196" s="190">
        <f>IF(AND(ISNUMBER(BE101),ISNUMBER(BE100)),IFERROR(BE101/BE100,""),"")</f>
        <v/>
      </c>
      <c r="BF196" s="190">
        <f>IF(AND(ISNUMBER(BF101),ISNUMBER(BF100)),IFERROR(BF101/BF100,""),"")</f>
        <v/>
      </c>
      <c r="BG196" s="190">
        <f>IF(AND(ISNUMBER(BG101),ISNUMBER(BG100)),IFERROR(BG101/BG100,""),"")</f>
        <v/>
      </c>
      <c r="BH196" s="190">
        <f>IF(AND(ISNUMBER(BH101),ISNUMBER(BH100)),IFERROR(BH101/BH100,""),"")</f>
        <v/>
      </c>
      <c r="BI196" s="190">
        <f>IF(AND(ISNUMBER(BI101),ISNUMBER(BI100)),IFERROR(BI101/BI100,""),"")</f>
        <v/>
      </c>
      <c r="BJ196" s="190">
        <f>IF(AND(ISNUMBER(BJ101),ISNUMBER(BJ100)),IFERROR(BJ101/BJ100,""),"")</f>
        <v/>
      </c>
      <c r="BK196" s="190">
        <f>IF(AND(ISNUMBER(BK101),ISNUMBER(BK100)),IFERROR(BK101/BK100,""),"")</f>
        <v/>
      </c>
      <c r="BL196" s="190">
        <f>IF(AND(ISNUMBER(BL101),ISNUMBER(BL100)),IFERROR(BL101/BL100,""),"")</f>
        <v/>
      </c>
      <c r="BM196" s="190">
        <f>IF(AND(ISNUMBER(BM101),ISNUMBER(BM100)),IFERROR(BM101/BM100,""),"")</f>
        <v/>
      </c>
      <c r="BN196" s="190">
        <f>IF(AND(ISNUMBER(BN101),ISNUMBER(BN100)),IFERROR(BN101/BN100,""),"")</f>
        <v/>
      </c>
      <c r="BO196" s="190">
        <f>IF(AND(ISNUMBER(BO101),ISNUMBER(BO100)),IFERROR(BO101/BO100,""),"")</f>
        <v/>
      </c>
      <c r="BP196" s="190">
        <f>IF(AND(ISNUMBER(BP101),ISNUMBER(BP100)),IFERROR(BP101/BP100,""),"")</f>
        <v/>
      </c>
      <c r="BQ196" s="190">
        <f>IF(AND(ISNUMBER(BQ101),ISNUMBER(BQ100)),IFERROR(BQ101/BQ100,""),"")</f>
        <v/>
      </c>
      <c r="BR196" s="190">
        <f>IF(AND(ISNUMBER(BR101),ISNUMBER(BR100)),IFERROR(BR101/BR100,""),"")</f>
        <v/>
      </c>
      <c r="BS196" s="190">
        <f>IF(AND(ISNUMBER(BS101),ISNUMBER(BS100)),IFERROR(BS101/BS100,""),"")</f>
        <v/>
      </c>
      <c r="BT196" s="190">
        <f>IF(AND(ISNUMBER(BT101),ISNUMBER(BT100)),IFERROR(BT101/BT100,""),"")</f>
        <v/>
      </c>
      <c r="BU196" s="190">
        <f>IF(AND(ISNUMBER(BU101),ISNUMBER(BU100)),IFERROR(BU101/BU100,""),"")</f>
        <v/>
      </c>
      <c r="BV196" s="190">
        <f>IF(AND(ISNUMBER(BV101),ISNUMBER(BV100)),IFERROR(BV101/BV100,""),"")</f>
        <v/>
      </c>
      <c r="BW196" s="190">
        <f>IF(AND(ISNUMBER(BW101),ISNUMBER(BW100)),IFERROR(BW101/BW100,""),"")</f>
        <v/>
      </c>
      <c r="BX196" s="190">
        <f>IF(AND(ISNUMBER(BX101),ISNUMBER(BX100)),IFERROR(BX101/BX100,""),"")</f>
        <v/>
      </c>
      <c r="BY196" s="181">
        <f>IF(AND(ISNUMBER(BY101),ISNUMBER(BY100)),IFERROR(BY101/BY100,""),"")</f>
        <v/>
      </c>
      <c r="BZ196" s="181">
        <f>IF(AND(ISNUMBER(BZ101),ISNUMBER(BZ100)),IFERROR(BZ101/BZ100,""),"")</f>
        <v/>
      </c>
      <c r="CA196" s="181">
        <f>IF(AND(ISNUMBER(CA101),ISNUMBER(CA100)),IFERROR(CA101/CA100,""),"")</f>
        <v/>
      </c>
      <c r="CB196" s="181">
        <f>IF(AND(ISNUMBER(CB101),ISNUMBER(CB100)),IFERROR(CB101/CB100,""),"")</f>
        <v/>
      </c>
      <c r="CC196" s="181">
        <f>IF(AND(ISNUMBER(CC101),ISNUMBER(CC100)),IFERROR(CC101/CC100,""),"")</f>
        <v/>
      </c>
      <c r="CD196" s="181">
        <f>IF(AND(ISNUMBER(CD101),ISNUMBER(CD100)),IFERROR(CD101/CD100,""),"")</f>
        <v/>
      </c>
      <c r="CE196" s="181">
        <f>IF(AND(ISNUMBER(CE101),ISNUMBER(CE100)),IFERROR(CE101/CE100,""),"")</f>
        <v/>
      </c>
      <c r="CF196" s="6" t="n"/>
      <c r="CH196" s="39">
        <f>IFERROR(AVERAGE(CA196,CB196,CC196,CD196,CE196),"n/m")</f>
        <v/>
      </c>
      <c r="CI196" s="39">
        <f>IFERROR(AVERAGE(BB196,BG196,BL196,BQ196,BV196),"n/m")</f>
        <v/>
      </c>
      <c r="CJ196" s="39">
        <f>IFERROR(AVERAGE(AC196,AH196,AM196,AR196,AW196,BB196,BG196,BL196,BQ196,BV196),"n/m")</f>
        <v/>
      </c>
      <c r="CK196" s="39">
        <f>IFERROR(AVERAGE(C196,D196,E196,F196,G196,H196,I196,N196,S196,X196,AC196,AH196,AM196,AR196,AW196,BB196,BG196,BL196,BQ196,BV196),"n/m")</f>
        <v/>
      </c>
    </row>
    <row r="197" ht="15" customHeight="1"/>
    <row r="198" ht="15" customHeight="1">
      <c r="B198" s="11" t="inlineStr">
        <is>
          <t>STATEMENT OF CASH FLOWS</t>
        </is>
      </c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  <c r="AH198" s="11" t="n"/>
      <c r="AI198" s="11" t="n"/>
      <c r="AJ198" s="11" t="n"/>
      <c r="AK198" s="11" t="n"/>
      <c r="AL198" s="11" t="n"/>
      <c r="AM198" s="11" t="n"/>
      <c r="AN198" s="11" t="n"/>
      <c r="AO198" s="11" t="n"/>
      <c r="AP198" s="11" t="n"/>
      <c r="AQ198" s="11" t="n"/>
      <c r="AR198" s="11" t="n"/>
      <c r="AS198" s="11" t="n"/>
      <c r="AT198" s="11" t="n"/>
      <c r="AU198" s="11" t="n"/>
      <c r="AV198" s="11" t="n"/>
      <c r="AW198" s="11" t="n"/>
      <c r="AX198" s="11" t="n"/>
      <c r="AY198" s="11" t="n"/>
      <c r="AZ198" s="11" t="n"/>
      <c r="BA198" s="11" t="n"/>
      <c r="BB198" s="11" t="n"/>
      <c r="BC198" s="11" t="n"/>
      <c r="BD198" s="11" t="n"/>
      <c r="BE198" s="11" t="n"/>
      <c r="BF198" s="11" t="n"/>
      <c r="BG198" s="11" t="n"/>
      <c r="BH198" s="11" t="n"/>
      <c r="BI198" s="11" t="n"/>
      <c r="BJ198" s="11" t="n"/>
      <c r="BK198" s="11" t="n"/>
      <c r="BL198" s="11" t="n"/>
      <c r="BM198" s="11" t="n"/>
      <c r="BN198" s="11" t="n"/>
      <c r="BO198" s="11" t="n"/>
      <c r="BP198" s="11" t="n"/>
      <c r="BQ198" s="11" t="n"/>
      <c r="BR198" s="11" t="n"/>
      <c r="BS198" s="11" t="n"/>
      <c r="BT198" s="11" t="n"/>
      <c r="BU198" s="11" t="n"/>
      <c r="BV198" s="11" t="n"/>
      <c r="BW198" s="11" t="n"/>
      <c r="BX198" s="11" t="n"/>
      <c r="BY198" s="11" t="n"/>
      <c r="BZ198" s="11" t="n"/>
      <c r="CA198" s="11" t="n"/>
      <c r="CB198" s="11" t="n"/>
      <c r="CC198" s="11" t="n"/>
      <c r="CD198" s="11" t="n"/>
      <c r="CE198" s="11" t="n"/>
      <c r="CF198" s="11" t="inlineStr">
        <is>
          <t>CASH FLOW — forecast logic (annual; 2026E = 1H/26 actual + 2H estimate; quarters = discrete, derived from year-to-date statements)</t>
        </is>
      </c>
    </row>
    <row r="199" ht="15" customHeight="1">
      <c r="B199" s="26" t="inlineStr">
        <is>
          <t>Net income</t>
        </is>
      </c>
      <c r="C199" s="174" t="n">
        <v>72.569</v>
      </c>
      <c r="D199" s="174" t="n">
        <v>71.83199999999999</v>
      </c>
      <c r="E199" s="174" t="n">
        <v>68.67700000000001</v>
      </c>
      <c r="F199" s="174" t="n">
        <v>34.871</v>
      </c>
      <c r="G199" s="174" t="n">
        <v>75.651</v>
      </c>
      <c r="H199" s="174" t="n">
        <v>139.47</v>
      </c>
      <c r="I199" s="174" t="n">
        <v>169.452</v>
      </c>
      <c r="J199" s="174" t="n">
        <v>40.553</v>
      </c>
      <c r="K199" s="174" t="n">
        <v>58.255</v>
      </c>
      <c r="L199" s="174" t="n">
        <v>60.149</v>
      </c>
      <c r="M199" s="174" t="n">
        <v>47.156</v>
      </c>
      <c r="N199" s="174" t="n">
        <v>206.113</v>
      </c>
      <c r="O199" s="174" t="n">
        <v>45.887</v>
      </c>
      <c r="P199" s="174" t="n">
        <v>73.849</v>
      </c>
      <c r="Q199" s="174" t="n">
        <v>77.90900000000001</v>
      </c>
      <c r="R199" s="174" t="n">
        <v>69.869</v>
      </c>
      <c r="S199" s="174" t="n">
        <v>267.514</v>
      </c>
      <c r="T199" s="174" t="n">
        <v>62.524</v>
      </c>
      <c r="U199" s="174" t="n">
        <v>85.574</v>
      </c>
      <c r="V199" s="174" t="n">
        <v>84.36799999999999</v>
      </c>
      <c r="W199" s="174" t="n">
        <v>72.224</v>
      </c>
      <c r="X199" s="174" t="n">
        <v>304.69</v>
      </c>
      <c r="Y199" s="174" t="n">
        <v>60.285</v>
      </c>
      <c r="Z199" s="174" t="n">
        <v>81.38800000000001</v>
      </c>
      <c r="AA199" s="174" t="n">
        <v>85.581</v>
      </c>
      <c r="AB199" s="174" t="n">
        <v>68.511</v>
      </c>
      <c r="AC199" s="174" t="n">
        <v>295.765</v>
      </c>
      <c r="AD199" s="174" t="n">
        <v>65.792</v>
      </c>
      <c r="AE199" s="174" t="n">
        <v>98.41800000000001</v>
      </c>
      <c r="AF199" s="174" t="n">
        <v>102.314</v>
      </c>
      <c r="AG199" s="174" t="n">
        <v>197.25</v>
      </c>
      <c r="AH199" s="174" t="n">
        <v>463.774</v>
      </c>
      <c r="AI199" s="174" t="n">
        <v>109.333</v>
      </c>
      <c r="AJ199" s="174" t="n">
        <v>163.434</v>
      </c>
      <c r="AK199" s="174" t="n">
        <v>173.442</v>
      </c>
      <c r="AL199" s="174" t="n">
        <v>159.459</v>
      </c>
      <c r="AM199" s="174" t="n">
        <v>605.668</v>
      </c>
      <c r="AN199" s="174" t="n">
        <v>133.323</v>
      </c>
      <c r="AO199" s="174" t="n">
        <v>174.072</v>
      </c>
      <c r="AP199" s="174" t="n">
        <v>164.099</v>
      </c>
      <c r="AQ199" s="174" t="n">
        <v>144.024</v>
      </c>
      <c r="AR199" s="174" t="n">
        <v>615.518</v>
      </c>
      <c r="AS199" s="174" t="n">
        <v>133.177</v>
      </c>
      <c r="AT199" s="174" t="n">
        <v>147.805</v>
      </c>
      <c r="AU199" s="174" t="n">
        <v>201.868</v>
      </c>
      <c r="AV199" s="174" t="n">
        <v>189.832</v>
      </c>
      <c r="AW199" s="174" t="n">
        <v>672.682</v>
      </c>
      <c r="AX199" s="174" t="n">
        <v>199.359</v>
      </c>
      <c r="AY199" s="174" t="n">
        <v>269.576</v>
      </c>
      <c r="AZ199" s="174" t="n">
        <v>286.634</v>
      </c>
      <c r="BA199" s="174" t="n">
        <v>278.806</v>
      </c>
      <c r="BB199" s="174" t="n">
        <v>1034.375</v>
      </c>
      <c r="BC199" s="174" t="n">
        <v>299.751</v>
      </c>
      <c r="BD199" s="174" t="n">
        <v>376.078</v>
      </c>
      <c r="BE199" s="174" t="n">
        <v>377.401</v>
      </c>
      <c r="BF199" s="174" t="n">
        <v>323.929</v>
      </c>
      <c r="BG199" s="174" t="n">
        <v>1377.159</v>
      </c>
      <c r="BH199" s="174" t="n">
        <v>285.038</v>
      </c>
      <c r="BI199" s="174" t="n">
        <v>292.362</v>
      </c>
      <c r="BJ199" s="174" t="n">
        <v>339.287</v>
      </c>
      <c r="BK199" s="174" t="n">
        <v>322.815</v>
      </c>
      <c r="BL199" s="174" t="n">
        <v>1239.502</v>
      </c>
      <c r="BM199" s="174" t="n">
        <v>292.304</v>
      </c>
      <c r="BN199" s="174" t="n">
        <v>322.045</v>
      </c>
      <c r="BO199" s="174" t="n">
        <v>308.58</v>
      </c>
      <c r="BP199" s="174" t="n">
        <v>263.144</v>
      </c>
      <c r="BQ199" s="174" t="n">
        <v>1186.073</v>
      </c>
      <c r="BR199" s="174" t="n">
        <v>254.66</v>
      </c>
      <c r="BS199" s="174" t="n">
        <v>268.626</v>
      </c>
      <c r="BT199" s="174" t="n">
        <v>270.947</v>
      </c>
      <c r="BU199" s="174" t="n">
        <v>229.47</v>
      </c>
      <c r="BV199" s="174" t="n">
        <v>1023.703</v>
      </c>
      <c r="BW199" s="174" t="n">
        <v>238.258</v>
      </c>
      <c r="BX199" s="174" t="n">
        <v>350.601</v>
      </c>
      <c r="BY199" s="37" t="n"/>
      <c r="BZ199" s="37" t="n"/>
      <c r="CA199" s="176">
        <f>(BW199+BX199)+BY122+BZ122</f>
        <v/>
      </c>
      <c r="CB199" s="176">
        <f>CB122</f>
        <v/>
      </c>
      <c r="CC199" s="176">
        <f>CC122</f>
        <v/>
      </c>
      <c r="CD199" s="176">
        <f>CD122</f>
        <v/>
      </c>
      <c r="CE199" s="176">
        <f>CE122</f>
        <v/>
      </c>
      <c r="CF199" s="20" t="n"/>
    </row>
    <row r="200" ht="15" customHeight="1">
      <c r="B200" s="26" t="inlineStr">
        <is>
          <t>Adjustments:</t>
        </is>
      </c>
      <c r="CF200" s="6" t="n"/>
    </row>
    <row r="201" ht="15" customHeight="1">
      <c r="B201" s="26" t="inlineStr">
        <is>
          <t xml:space="preserve">  Depreciation &amp; amortization</t>
        </is>
      </c>
      <c r="C201" s="174" t="n">
        <v>67.634</v>
      </c>
      <c r="D201" s="174" t="n">
        <v>79.863</v>
      </c>
      <c r="E201" s="174" t="n">
        <v>87.113</v>
      </c>
      <c r="F201" s="174" t="n">
        <v>94.78400000000001</v>
      </c>
      <c r="G201" s="174" t="n">
        <v>80.36199999999999</v>
      </c>
      <c r="H201" s="174" t="n">
        <v>90.81999999999999</v>
      </c>
      <c r="I201" s="174" t="n">
        <v>110.743</v>
      </c>
      <c r="J201" s="174" t="n">
        <v>29.834</v>
      </c>
      <c r="K201" s="174" t="n">
        <v>30.517</v>
      </c>
      <c r="L201" s="174" t="n">
        <v>32.914</v>
      </c>
      <c r="M201" s="174" t="n">
        <v>33.807</v>
      </c>
      <c r="N201" s="174" t="n">
        <v>127.072</v>
      </c>
      <c r="O201" s="174" t="n">
        <v>34.092</v>
      </c>
      <c r="P201" s="174" t="n">
        <v>35.121</v>
      </c>
      <c r="Q201" s="174" t="n">
        <v>37.707</v>
      </c>
      <c r="R201" s="174" t="n">
        <v>39.546</v>
      </c>
      <c r="S201" s="174" t="n">
        <v>146.466</v>
      </c>
      <c r="T201" s="174" t="n">
        <v>38.788</v>
      </c>
      <c r="U201" s="174" t="n">
        <v>39.771</v>
      </c>
      <c r="V201" s="174" t="n">
        <v>42.561</v>
      </c>
      <c r="W201" s="174" t="n">
        <v>44.223</v>
      </c>
      <c r="X201" s="174" t="n">
        <v>165.343</v>
      </c>
      <c r="Y201" s="174" t="n">
        <v>44.772</v>
      </c>
      <c r="Z201" s="174" t="n">
        <v>46.48</v>
      </c>
      <c r="AA201" s="174" t="n">
        <v>49.041</v>
      </c>
      <c r="AB201" s="174" t="n">
        <v>49.574</v>
      </c>
      <c r="AC201" s="174" t="n">
        <v>189.867</v>
      </c>
      <c r="AD201" s="174" t="n">
        <v>50.287</v>
      </c>
      <c r="AE201" s="174" t="n">
        <v>50.449</v>
      </c>
      <c r="AF201" s="174" t="n">
        <v>51.934</v>
      </c>
      <c r="AG201" s="174" t="n">
        <v>53.093</v>
      </c>
      <c r="AH201" s="174" t="n">
        <v>205.763</v>
      </c>
      <c r="AI201" s="174" t="n">
        <v>53.481</v>
      </c>
      <c r="AJ201" s="174" t="n">
        <v>56.235</v>
      </c>
      <c r="AK201" s="174" t="n">
        <v>58.086</v>
      </c>
      <c r="AL201" s="174" t="n">
        <v>62.555</v>
      </c>
      <c r="AM201" s="174" t="n">
        <v>230.357</v>
      </c>
      <c r="AN201" s="174" t="n">
        <v>63.073</v>
      </c>
      <c r="AO201" s="174" t="n">
        <v>62.571</v>
      </c>
      <c r="AP201" s="174" t="n">
        <v>63.493</v>
      </c>
      <c r="AQ201" s="174" t="n">
        <v>64.544</v>
      </c>
      <c r="AR201" s="174" t="n">
        <v>253.681</v>
      </c>
      <c r="AS201" s="174" t="n">
        <v>65.435</v>
      </c>
      <c r="AT201" s="174" t="n">
        <v>65.735</v>
      </c>
      <c r="AU201" s="174" t="n">
        <v>64.98699999999999</v>
      </c>
      <c r="AV201" s="174" t="n">
        <v>65.11</v>
      </c>
      <c r="AW201" s="174" t="n">
        <v>261.267</v>
      </c>
      <c r="AX201" s="174" t="n">
        <v>63.991</v>
      </c>
      <c r="AY201" s="174" t="n">
        <v>63.951</v>
      </c>
      <c r="AZ201" s="174" t="n">
        <v>65.164</v>
      </c>
      <c r="BA201" s="174" t="n">
        <v>66.79300000000001</v>
      </c>
      <c r="BB201" s="174" t="n">
        <v>259.899</v>
      </c>
      <c r="BC201" s="174" t="n">
        <v>67.34399999999999</v>
      </c>
      <c r="BD201" s="174" t="n">
        <v>68.31399999999999</v>
      </c>
      <c r="BE201" s="174" t="n">
        <v>68.351</v>
      </c>
      <c r="BF201" s="174" t="n">
        <v>72.057</v>
      </c>
      <c r="BG201" s="174" t="n">
        <v>276.066</v>
      </c>
      <c r="BH201" s="174" t="n">
        <v>75.95099999999999</v>
      </c>
      <c r="BI201" s="174" t="n">
        <v>79.78700000000001</v>
      </c>
      <c r="BJ201" s="174" t="n">
        <v>84.059</v>
      </c>
      <c r="BK201" s="174" t="n">
        <v>84.652</v>
      </c>
      <c r="BL201" s="174" t="n">
        <v>324.449</v>
      </c>
      <c r="BM201" s="174" t="n">
        <v>84.53400000000001</v>
      </c>
      <c r="BN201" s="174" t="n">
        <v>84.566</v>
      </c>
      <c r="BO201" s="174" t="n">
        <v>86.66800000000001</v>
      </c>
      <c r="BP201" s="174" t="n">
        <v>88.81</v>
      </c>
      <c r="BQ201" s="174" t="n">
        <v>344.578</v>
      </c>
      <c r="BR201" s="174" t="n">
        <v>89.13500000000001</v>
      </c>
      <c r="BS201" s="174" t="n">
        <v>90.66500000000001</v>
      </c>
      <c r="BT201" s="174" t="n">
        <v>92.22</v>
      </c>
      <c r="BU201" s="174" t="n">
        <v>92.67100000000001</v>
      </c>
      <c r="BV201" s="174" t="n">
        <v>364.691</v>
      </c>
      <c r="BW201" s="174" t="n">
        <v>92.30800000000001</v>
      </c>
      <c r="BX201" s="174" t="n">
        <v>91.709</v>
      </c>
      <c r="BY201" s="37" t="n"/>
      <c r="BZ201" s="37" t="n"/>
      <c r="CA201" s="176">
        <f>(BW201+BX201)+BY108+BZ108</f>
        <v/>
      </c>
      <c r="CB201" s="176">
        <f>CB108</f>
        <v/>
      </c>
      <c r="CC201" s="176">
        <f>CC108</f>
        <v/>
      </c>
      <c r="CD201" s="176">
        <f>CD108</f>
        <v/>
      </c>
      <c r="CE201" s="176">
        <f>CE108</f>
        <v/>
      </c>
      <c r="CF201" s="20" t="n"/>
    </row>
    <row r="202" ht="15" customHeight="1">
      <c r="B202" s="26" t="inlineStr">
        <is>
          <t xml:space="preserve">  (Gain) loss on disposal of property &amp; equipment</t>
        </is>
      </c>
      <c r="C202" s="174" t="n">
        <v>-0.245</v>
      </c>
      <c r="D202" s="174" t="n">
        <v>-1.761</v>
      </c>
      <c r="E202" s="174" t="n">
        <v>-2.141</v>
      </c>
      <c r="F202" s="174" t="n">
        <v>0.173</v>
      </c>
      <c r="G202" s="174" t="n">
        <v>0.758</v>
      </c>
      <c r="H202" s="174" t="n">
        <v>1.263</v>
      </c>
      <c r="I202" s="174" t="n">
        <v>0.078</v>
      </c>
      <c r="J202" s="174" t="n">
        <v>0.047</v>
      </c>
      <c r="K202" s="174" t="n">
        <v>-2.379</v>
      </c>
      <c r="L202" s="174" t="n">
        <v>0.138</v>
      </c>
      <c r="M202" s="174" t="n">
        <v>-3.549</v>
      </c>
      <c r="N202" s="174" t="n">
        <v>-5.743</v>
      </c>
      <c r="O202" s="174" t="n">
        <v>0.848</v>
      </c>
      <c r="P202" s="174" t="n">
        <v>-3.244</v>
      </c>
      <c r="Q202" s="174" t="n">
        <v>0.096</v>
      </c>
      <c r="R202" s="174" t="n">
        <v>1.584</v>
      </c>
      <c r="S202" s="174" t="n">
        <v>-0.716</v>
      </c>
      <c r="T202" s="174" t="n">
        <v>-0.033</v>
      </c>
      <c r="U202" s="174" t="n">
        <v>-1.667</v>
      </c>
      <c r="V202" s="174" t="n">
        <v>-0.477</v>
      </c>
      <c r="W202" s="174" t="n">
        <v>-1.415</v>
      </c>
      <c r="X202" s="174" t="n">
        <v>-3.592</v>
      </c>
      <c r="Y202" s="174" t="n">
        <v>0.2</v>
      </c>
      <c r="Z202" s="174" t="n">
        <v>0.266</v>
      </c>
      <c r="AA202" s="174" t="n">
        <v>0.076</v>
      </c>
      <c r="AB202" s="174" t="n">
        <v>-0.374</v>
      </c>
      <c r="AC202" s="174" t="n">
        <v>0.168</v>
      </c>
      <c r="AD202" s="174" t="n">
        <v>0.077</v>
      </c>
      <c r="AE202" s="174" t="n">
        <v>0.408</v>
      </c>
      <c r="AF202" s="174" t="n">
        <v>0.22</v>
      </c>
      <c r="AG202" s="174" t="n">
        <v>0.569</v>
      </c>
      <c r="AH202" s="174" t="n">
        <v>1.274</v>
      </c>
      <c r="AI202" s="174" t="n">
        <v>0.364</v>
      </c>
      <c r="AJ202" s="174" t="n">
        <v>0.421</v>
      </c>
      <c r="AK202" s="174" t="n">
        <v>-0.857</v>
      </c>
      <c r="AL202" s="174" t="n">
        <v>0.549</v>
      </c>
      <c r="AM202" s="174" t="n">
        <v>0.477</v>
      </c>
      <c r="AN202" s="174" t="n">
        <v>0.477</v>
      </c>
      <c r="AO202" s="174" t="n">
        <v>0.241</v>
      </c>
      <c r="AP202" s="174" t="n">
        <v>4.906</v>
      </c>
      <c r="AQ202" s="174" t="n">
        <v>0.442</v>
      </c>
      <c r="AR202" s="174" t="n">
        <v>6.066</v>
      </c>
      <c r="AS202" s="174" t="n">
        <v>0.078</v>
      </c>
      <c r="AT202" s="174" t="n">
        <v>0.062</v>
      </c>
      <c r="AU202" s="174" t="n">
        <v>0.115</v>
      </c>
      <c r="AV202" s="174" t="n">
        <v>0.481</v>
      </c>
      <c r="AW202" s="174" t="n">
        <v>0.736</v>
      </c>
      <c r="AX202" s="174" t="n">
        <v>0.603</v>
      </c>
      <c r="AY202" s="174" t="n">
        <v>0.098</v>
      </c>
      <c r="AZ202" s="174" t="n">
        <v>-0.88</v>
      </c>
      <c r="BA202" s="174" t="n">
        <v>-0.384</v>
      </c>
      <c r="BB202" s="174" t="n">
        <v>-0.5629999999999999</v>
      </c>
      <c r="BC202" s="174" t="n">
        <v>-1.205</v>
      </c>
      <c r="BD202" s="174" t="n">
        <v>-0.856</v>
      </c>
      <c r="BE202" s="174" t="n">
        <v>-0.523</v>
      </c>
      <c r="BF202" s="174" t="n">
        <v>-0.841</v>
      </c>
      <c r="BG202" s="174" t="n">
        <v>-3.425</v>
      </c>
      <c r="BH202" s="174" t="n">
        <v>-4.345</v>
      </c>
      <c r="BI202" s="174" t="n">
        <v>-2.086</v>
      </c>
      <c r="BJ202" s="174" t="n">
        <v>-1.015</v>
      </c>
      <c r="BK202" s="174" t="n">
        <v>-15.109</v>
      </c>
      <c r="BL202" s="174" t="n">
        <v>-22.555</v>
      </c>
      <c r="BM202" s="174" t="n">
        <v>0.726</v>
      </c>
      <c r="BN202" s="174" t="n">
        <v>0.574</v>
      </c>
      <c r="BO202" s="174" t="n">
        <v>-3.16</v>
      </c>
      <c r="BP202" s="174" t="n">
        <v>-1.541</v>
      </c>
      <c r="BQ202" s="174" t="n">
        <v>-3.401</v>
      </c>
      <c r="BR202" s="174" t="n">
        <v>1.739</v>
      </c>
      <c r="BS202" s="174" t="n">
        <v>1.596</v>
      </c>
      <c r="BT202" s="174" t="n">
        <v>2.684</v>
      </c>
      <c r="BU202" s="174" t="n">
        <v>-3.081</v>
      </c>
      <c r="BV202" s="174" t="n">
        <v>2.938</v>
      </c>
      <c r="BW202" s="174" t="n">
        <v>-2.835</v>
      </c>
      <c r="BX202" s="174" t="n">
        <v>-17.232</v>
      </c>
      <c r="BY202" s="37" t="n"/>
      <c r="BZ202" s="37" t="n"/>
      <c r="CA202" s="176">
        <f>(BW202+BX202)</f>
        <v/>
      </c>
      <c r="CB202" s="175" t="n">
        <v>0</v>
      </c>
      <c r="CC202" s="175" t="n">
        <v>0</v>
      </c>
      <c r="CD202" s="175" t="n">
        <v>0</v>
      </c>
      <c r="CE202" s="175" t="n">
        <v>0</v>
      </c>
      <c r="CF202" s="20" t="n"/>
    </row>
    <row r="203" ht="15" customHeight="1">
      <c r="B203" s="26" t="inlineStr">
        <is>
          <t xml:space="preserve">  Deferred income taxes (10-K; within other in the condensed 10-Q statements)</t>
        </is>
      </c>
      <c r="C203" s="174" t="n">
        <v>7.703</v>
      </c>
      <c r="D203" s="174" t="n">
        <v>8.553000000000001</v>
      </c>
      <c r="E203" s="174" t="n">
        <v>5.352</v>
      </c>
      <c r="F203" s="174" t="n">
        <v>10.778</v>
      </c>
      <c r="G203" s="174" t="n">
        <v>7.624</v>
      </c>
      <c r="H203" s="174" t="n">
        <v>43.348</v>
      </c>
      <c r="I203" s="174" t="n">
        <v>17.682</v>
      </c>
      <c r="J203" s="174" t="n">
        <v>-3.736</v>
      </c>
      <c r="K203" s="174" t="n">
        <v>5.803</v>
      </c>
      <c r="L203" s="174" t="n">
        <v>28.234</v>
      </c>
      <c r="M203" s="174" t="n">
        <v>2.435</v>
      </c>
      <c r="N203" s="174" t="n">
        <v>32.736</v>
      </c>
      <c r="O203" s="174" t="n">
        <v>-1.702</v>
      </c>
      <c r="P203" s="174" t="n">
        <v>-12.773</v>
      </c>
      <c r="Q203" s="174" t="n">
        <v>7.325</v>
      </c>
      <c r="R203" s="174" t="n">
        <v>32.694</v>
      </c>
      <c r="S203" s="174" t="n">
        <v>25.544</v>
      </c>
      <c r="T203" s="174" t="n">
        <v>-18.789</v>
      </c>
      <c r="U203" s="174" t="n">
        <v>4.338</v>
      </c>
      <c r="V203" s="174" t="n">
        <v>5.163</v>
      </c>
      <c r="W203" s="174" t="n">
        <v>52.93</v>
      </c>
      <c r="X203" s="174" t="n">
        <v>43.642</v>
      </c>
      <c r="Y203" s="36" t="n"/>
      <c r="Z203" s="36" t="n"/>
      <c r="AA203" s="36" t="n"/>
      <c r="AB203" s="174" t="n">
        <v>34.808</v>
      </c>
      <c r="AC203" s="174" t="n">
        <v>34.808</v>
      </c>
      <c r="AD203" s="36" t="n"/>
      <c r="AE203" s="36" t="n"/>
      <c r="AF203" s="36" t="n"/>
      <c r="AG203" s="174" t="n">
        <v>-82.639</v>
      </c>
      <c r="AH203" s="174" t="n">
        <v>-82.639</v>
      </c>
      <c r="AI203" s="36" t="n"/>
      <c r="AJ203" s="36" t="n"/>
      <c r="AK203" s="36" t="n"/>
      <c r="AL203" s="174" t="n">
        <v>57.709</v>
      </c>
      <c r="AM203" s="174" t="n">
        <v>57.709</v>
      </c>
      <c r="AN203" s="36" t="n"/>
      <c r="AO203" s="36" t="n"/>
      <c r="AP203" s="36" t="n"/>
      <c r="AQ203" s="174" t="n">
        <v>13.157</v>
      </c>
      <c r="AR203" s="174" t="n">
        <v>13.157</v>
      </c>
      <c r="AS203" s="36" t="n"/>
      <c r="AT203" s="36" t="n"/>
      <c r="AU203" s="36" t="n"/>
      <c r="AV203" s="174" t="n">
        <v>-41.011</v>
      </c>
      <c r="AW203" s="174" t="n">
        <v>-41.011</v>
      </c>
      <c r="AX203" s="36" t="n"/>
      <c r="AY203" s="36" t="n"/>
      <c r="AZ203" s="36" t="n"/>
      <c r="BA203" s="174" t="n">
        <v>30.165</v>
      </c>
      <c r="BB203" s="174" t="n">
        <v>30.165</v>
      </c>
      <c r="BC203" s="36" t="n"/>
      <c r="BD203" s="36" t="n"/>
      <c r="BE203" s="174" t="n">
        <v>20.705</v>
      </c>
      <c r="BF203" s="174" t="n">
        <v>41.303</v>
      </c>
      <c r="BG203" s="174" t="n">
        <v>62.008</v>
      </c>
      <c r="BH203" s="36" t="n"/>
      <c r="BI203" s="36" t="n"/>
      <c r="BJ203" s="174" t="n">
        <v>37.404</v>
      </c>
      <c r="BK203" s="174" t="n">
        <v>15.937</v>
      </c>
      <c r="BL203" s="174" t="n">
        <v>53.341</v>
      </c>
      <c r="BM203" s="36" t="n"/>
      <c r="BN203" s="36" t="n"/>
      <c r="BO203" s="174" t="n">
        <v>12.226</v>
      </c>
      <c r="BP203" s="174" t="n">
        <v>7.114</v>
      </c>
      <c r="BQ203" s="174" t="n">
        <v>19.34</v>
      </c>
      <c r="BR203" s="36" t="n"/>
      <c r="BS203" s="36" t="n"/>
      <c r="BT203" s="174" t="n">
        <v>-27.45</v>
      </c>
      <c r="BU203" s="174" t="n">
        <v>16.203</v>
      </c>
      <c r="BV203" s="174" t="n">
        <v>-11.247</v>
      </c>
      <c r="BW203" s="36" t="n"/>
      <c r="BX203" s="36" t="n"/>
      <c r="BY203" s="37" t="n"/>
      <c r="BZ203" s="37" t="n"/>
      <c r="CA203" s="176">
        <f>N((BW203+BX203))</f>
        <v/>
      </c>
      <c r="CB203" s="175" t="n">
        <v>20</v>
      </c>
      <c r="CC203" s="175" t="n">
        <v>20</v>
      </c>
      <c r="CD203" s="175" t="n">
        <v>20</v>
      </c>
      <c r="CE203" s="175" t="n">
        <v>20</v>
      </c>
      <c r="CF203" s="20" t="inlineStr">
        <is>
          <t>2027E+: deferred tax expense from accelerated tax depreciation on the capex programme (input).</t>
        </is>
      </c>
    </row>
    <row r="204" ht="15" customHeight="1">
      <c r="B204" s="26" t="inlineStr">
        <is>
          <t xml:space="preserve">  Share-based compensation (where presented)</t>
        </is>
      </c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174" t="n">
        <v>1.41</v>
      </c>
      <c r="AC204" s="174" t="n">
        <v>1.41</v>
      </c>
      <c r="AD204" s="174" t="n">
        <v>0.71</v>
      </c>
      <c r="AE204" s="174" t="n">
        <v>0.88</v>
      </c>
      <c r="AF204" s="174" t="n">
        <v>0.826</v>
      </c>
      <c r="AG204" s="174" t="n">
        <v>0.826</v>
      </c>
      <c r="AH204" s="174" t="n">
        <v>3.242</v>
      </c>
      <c r="AI204" s="174" t="n">
        <v>1.132</v>
      </c>
      <c r="AJ204" s="174" t="n">
        <v>1.143</v>
      </c>
      <c r="AK204" s="174" t="n">
        <v>1.284</v>
      </c>
      <c r="AL204" s="174" t="n">
        <v>1.335</v>
      </c>
      <c r="AM204" s="174" t="n">
        <v>4.894</v>
      </c>
      <c r="AN204" s="174" t="n">
        <v>1.933</v>
      </c>
      <c r="AO204" s="174" t="n">
        <v>2.283</v>
      </c>
      <c r="AP204" s="174" t="n">
        <v>1.147</v>
      </c>
      <c r="AQ204" s="174" t="n">
        <v>11.354</v>
      </c>
      <c r="AR204" s="174" t="n">
        <v>16.717</v>
      </c>
      <c r="AS204" s="174" t="n">
        <v>2.073</v>
      </c>
      <c r="AT204" s="174" t="n">
        <v>2.209</v>
      </c>
      <c r="AU204" s="174" t="n">
        <v>4.095</v>
      </c>
      <c r="AV204" s="174" t="n">
        <v>2.96</v>
      </c>
      <c r="AW204" s="174" t="n">
        <v>11.337</v>
      </c>
      <c r="AX204" s="36" t="n"/>
      <c r="AY204" s="36" t="n"/>
      <c r="AZ204" s="36" t="n"/>
      <c r="BA204" s="174" t="n">
        <v>15.039</v>
      </c>
      <c r="BB204" s="174" t="n">
        <v>15.039</v>
      </c>
      <c r="BC204" s="36" t="n"/>
      <c r="BD204" s="36" t="n"/>
      <c r="BE204" s="36" t="n"/>
      <c r="BF204" s="174" t="n">
        <v>15.893</v>
      </c>
      <c r="BG204" s="174" t="n">
        <v>15.893</v>
      </c>
      <c r="BH204" s="36" t="n"/>
      <c r="BI204" s="36" t="n"/>
      <c r="BJ204" s="36" t="n"/>
      <c r="BK204" s="174" t="n">
        <v>11.08</v>
      </c>
      <c r="BL204" s="174" t="n">
        <v>11.08</v>
      </c>
      <c r="BM204" s="36" t="n"/>
      <c r="BN204" s="36" t="n"/>
      <c r="BO204" s="36" t="n"/>
      <c r="BP204" s="174" t="n">
        <v>11.349</v>
      </c>
      <c r="BQ204" s="174" t="n">
        <v>11.349</v>
      </c>
      <c r="BR204" s="36" t="n"/>
      <c r="BS204" s="36" t="n"/>
      <c r="BT204" s="36" t="n"/>
      <c r="BU204" s="174" t="n">
        <v>12.854</v>
      </c>
      <c r="BV204" s="174" t="n">
        <v>12.854</v>
      </c>
      <c r="BW204" s="36" t="n"/>
      <c r="BX204" s="36" t="n"/>
      <c r="BY204" s="37" t="n"/>
      <c r="BZ204" s="37" t="n"/>
      <c r="CA204" s="176">
        <f>N((BW204+BX204))+BY126+BZ126</f>
        <v/>
      </c>
      <c r="CB204" s="176">
        <f>CB126</f>
        <v/>
      </c>
      <c r="CC204" s="176">
        <f>CC126</f>
        <v/>
      </c>
      <c r="CD204" s="176">
        <f>CD126</f>
        <v/>
      </c>
      <c r="CE204" s="176">
        <f>CE126</f>
        <v/>
      </c>
      <c r="CF204" s="20" t="n"/>
    </row>
    <row r="205" ht="15" customHeight="1">
      <c r="B205" s="26" t="inlineStr">
        <is>
          <t xml:space="preserve">  Other non-cash items, net (derived; incl. non-cash lease expense)</t>
        </is>
      </c>
      <c r="C205" s="174" t="n">
        <v>0</v>
      </c>
      <c r="D205" s="174" t="n">
        <v>0</v>
      </c>
      <c r="E205" s="174" t="n">
        <v>0</v>
      </c>
      <c r="F205" s="174" t="n">
        <v>0</v>
      </c>
      <c r="G205" s="174" t="n">
        <v>0</v>
      </c>
      <c r="H205" s="174" t="n">
        <v>0</v>
      </c>
      <c r="I205" s="174" t="n">
        <v>0</v>
      </c>
      <c r="J205" s="174" t="n">
        <v>-3.164</v>
      </c>
      <c r="K205" s="174" t="n">
        <v>-1.866</v>
      </c>
      <c r="L205" s="174" t="n">
        <v>-21.913</v>
      </c>
      <c r="M205" s="174" t="n">
        <v>26.943</v>
      </c>
      <c r="N205" s="174" t="n">
        <v>0</v>
      </c>
      <c r="O205" s="174" t="n">
        <v>20.443</v>
      </c>
      <c r="P205" s="174" t="n">
        <v>-10.848</v>
      </c>
      <c r="Q205" s="174" t="n">
        <v>-26.695</v>
      </c>
      <c r="R205" s="174" t="n">
        <v>17.1</v>
      </c>
      <c r="S205" s="174" t="n">
        <v>0</v>
      </c>
      <c r="T205" s="174" t="n">
        <v>90.104</v>
      </c>
      <c r="U205" s="174" t="n">
        <v>-46.385</v>
      </c>
      <c r="V205" s="174" t="n">
        <v>-13.566</v>
      </c>
      <c r="W205" s="174" t="n">
        <v>-30.153</v>
      </c>
      <c r="X205" s="174" t="n">
        <v>0</v>
      </c>
      <c r="Y205" s="174" t="n">
        <v>63.136</v>
      </c>
      <c r="Z205" s="174" t="n">
        <v>-4.296</v>
      </c>
      <c r="AA205" s="174" t="n">
        <v>-16.801</v>
      </c>
      <c r="AB205" s="174" t="n">
        <v>-42.039</v>
      </c>
      <c r="AC205" s="174" t="n">
        <v>0</v>
      </c>
      <c r="AD205" s="174" t="n">
        <v>-6.057</v>
      </c>
      <c r="AE205" s="174" t="n">
        <v>-22.45</v>
      </c>
      <c r="AF205" s="174" t="n">
        <v>-5.795</v>
      </c>
      <c r="AG205" s="174" t="n">
        <v>34.302</v>
      </c>
      <c r="AH205" s="174" t="n">
        <v>0</v>
      </c>
      <c r="AI205" s="174" t="n">
        <v>46.937</v>
      </c>
      <c r="AJ205" s="174" t="n">
        <v>-7.789</v>
      </c>
      <c r="AK205" s="174" t="n">
        <v>18.772</v>
      </c>
      <c r="AL205" s="174" t="n">
        <v>-57.92</v>
      </c>
      <c r="AM205" s="174" t="n">
        <v>0</v>
      </c>
      <c r="AN205" s="174" t="n">
        <v>7.369</v>
      </c>
      <c r="AO205" s="174" t="n">
        <v>16.541</v>
      </c>
      <c r="AP205" s="174" t="n">
        <v>51.987</v>
      </c>
      <c r="AQ205" s="174" t="n">
        <v>-64.831</v>
      </c>
      <c r="AR205" s="174" t="n">
        <v>11.066</v>
      </c>
      <c r="AS205" s="174" t="n">
        <v>3.255</v>
      </c>
      <c r="AT205" s="174" t="n">
        <v>96.387</v>
      </c>
      <c r="AU205" s="174" t="n">
        <v>-100.823</v>
      </c>
      <c r="AV205" s="174" t="n">
        <v>13.144</v>
      </c>
      <c r="AW205" s="174" t="n">
        <v>11.963</v>
      </c>
      <c r="AX205" s="174" t="n">
        <v>6.124</v>
      </c>
      <c r="AY205" s="174" t="n">
        <v>9.228</v>
      </c>
      <c r="AZ205" s="174" t="n">
        <v>16.756</v>
      </c>
      <c r="BA205" s="174" t="n">
        <v>-17.218</v>
      </c>
      <c r="BB205" s="174" t="n">
        <v>14.89</v>
      </c>
      <c r="BC205" s="174" t="n">
        <v>8.115</v>
      </c>
      <c r="BD205" s="174" t="n">
        <v>7.534</v>
      </c>
      <c r="BE205" s="174" t="n">
        <v>9.122999999999999</v>
      </c>
      <c r="BF205" s="174" t="n">
        <v>-8.114000000000001</v>
      </c>
      <c r="BG205" s="174" t="n">
        <v>16.658</v>
      </c>
      <c r="BH205" s="174" t="n">
        <v>8.390000000000001</v>
      </c>
      <c r="BI205" s="174" t="n">
        <v>6.481</v>
      </c>
      <c r="BJ205" s="174" t="n">
        <v>7.53</v>
      </c>
      <c r="BK205" s="174" t="n">
        <v>-3.736</v>
      </c>
      <c r="BL205" s="174" t="n">
        <v>18.665</v>
      </c>
      <c r="BM205" s="174" t="n">
        <v>7.732</v>
      </c>
      <c r="BN205" s="174" t="n">
        <v>7.273</v>
      </c>
      <c r="BO205" s="174" t="n">
        <v>6.525</v>
      </c>
      <c r="BP205" s="174" t="n">
        <v>-4.344</v>
      </c>
      <c r="BQ205" s="174" t="n">
        <v>17.186</v>
      </c>
      <c r="BR205" s="174" t="n">
        <v>7.384</v>
      </c>
      <c r="BS205" s="174" t="n">
        <v>7.649</v>
      </c>
      <c r="BT205" s="174" t="n">
        <v>7.54</v>
      </c>
      <c r="BU205" s="174" t="n">
        <v>-4.921</v>
      </c>
      <c r="BV205" s="174" t="n">
        <v>17.652</v>
      </c>
      <c r="BW205" s="174" t="n">
        <v>8.667</v>
      </c>
      <c r="BX205" s="174" t="n">
        <v>8.618</v>
      </c>
      <c r="BY205" s="37" t="n"/>
      <c r="BZ205" s="37" t="n"/>
      <c r="CA205" s="176">
        <f>(BW205+BX205)</f>
        <v/>
      </c>
      <c r="CB205" s="175" t="n">
        <v>0</v>
      </c>
      <c r="CC205" s="175" t="n">
        <v>0</v>
      </c>
      <c r="CD205" s="175" t="n">
        <v>0</v>
      </c>
      <c r="CE205" s="175" t="n">
        <v>0</v>
      </c>
      <c r="CF205" s="20" t="n"/>
    </row>
    <row r="206" ht="15" customHeight="1">
      <c r="B206" s="26" t="inlineStr">
        <is>
          <t xml:space="preserve">  Changes in operating assets &amp; liabilities (working capital), net</t>
        </is>
      </c>
      <c r="C206" s="174" t="n">
        <v>6.949</v>
      </c>
      <c r="D206" s="174" t="n">
        <v>-0.751</v>
      </c>
      <c r="E206" s="174" t="n">
        <v>37.505</v>
      </c>
      <c r="F206" s="174" t="n">
        <v>-9.890000000000001</v>
      </c>
      <c r="G206" s="174" t="n">
        <v>-23.319</v>
      </c>
      <c r="H206" s="174" t="n">
        <v>2.479</v>
      </c>
      <c r="I206" s="174" t="n">
        <v>30.101</v>
      </c>
      <c r="J206" s="174" t="n">
        <v>0</v>
      </c>
      <c r="K206" s="174" t="n">
        <v>0</v>
      </c>
      <c r="L206" s="174" t="n">
        <v>0</v>
      </c>
      <c r="M206" s="174" t="n">
        <v>-9.512</v>
      </c>
      <c r="N206" s="174" t="n">
        <v>-9.512</v>
      </c>
      <c r="O206" s="174" t="n">
        <v>0</v>
      </c>
      <c r="P206" s="174" t="n">
        <v>0</v>
      </c>
      <c r="Q206" s="174" t="n">
        <v>0</v>
      </c>
      <c r="R206" s="174" t="n">
        <v>-47.134</v>
      </c>
      <c r="S206" s="174" t="n">
        <v>-47.134</v>
      </c>
      <c r="T206" s="174" t="n">
        <v>0</v>
      </c>
      <c r="U206" s="174" t="n">
        <v>0</v>
      </c>
      <c r="V206" s="174" t="n">
        <v>0</v>
      </c>
      <c r="W206" s="174" t="n">
        <v>43.797</v>
      </c>
      <c r="X206" s="174" t="n">
        <v>43.797</v>
      </c>
      <c r="Y206" s="174" t="n">
        <v>0</v>
      </c>
      <c r="Z206" s="174" t="n">
        <v>0</v>
      </c>
      <c r="AA206" s="174" t="n">
        <v>0</v>
      </c>
      <c r="AB206" s="174" t="n">
        <v>43.565</v>
      </c>
      <c r="AC206" s="174" t="n">
        <v>43.565</v>
      </c>
      <c r="AD206" s="174" t="n">
        <v>0</v>
      </c>
      <c r="AE206" s="174" t="n">
        <v>0</v>
      </c>
      <c r="AF206" s="174" t="n">
        <v>0</v>
      </c>
      <c r="AG206" s="174" t="n">
        <v>-55.12</v>
      </c>
      <c r="AH206" s="174" t="n">
        <v>-55.12</v>
      </c>
      <c r="AI206" s="174" t="n">
        <v>0</v>
      </c>
      <c r="AJ206" s="174" t="n">
        <v>0</v>
      </c>
      <c r="AK206" s="174" t="n">
        <v>0</v>
      </c>
      <c r="AL206" s="174" t="n">
        <v>1.011</v>
      </c>
      <c r="AM206" s="174" t="n">
        <v>1.011</v>
      </c>
      <c r="AN206" s="174" t="n">
        <v>0</v>
      </c>
      <c r="AO206" s="174" t="n">
        <v>0</v>
      </c>
      <c r="AP206" s="174" t="n">
        <v>0</v>
      </c>
      <c r="AQ206" s="174" t="n">
        <v>67.68300000000001</v>
      </c>
      <c r="AR206" s="174" t="n">
        <v>67.68300000000001</v>
      </c>
      <c r="AS206" s="174" t="n">
        <v>0</v>
      </c>
      <c r="AT206" s="174" t="n">
        <v>0</v>
      </c>
      <c r="AU206" s="174" t="n">
        <v>0</v>
      </c>
      <c r="AV206" s="174" t="n">
        <v>16.05</v>
      </c>
      <c r="AW206" s="174" t="n">
        <v>16.05</v>
      </c>
      <c r="AX206" s="174" t="n">
        <v>40.231</v>
      </c>
      <c r="AY206" s="174" t="n">
        <v>-144.87</v>
      </c>
      <c r="AZ206" s="174" t="n">
        <v>-3.35</v>
      </c>
      <c r="BA206" s="174" t="n">
        <v>-33.21</v>
      </c>
      <c r="BB206" s="174" t="n">
        <v>-141.199</v>
      </c>
      <c r="BC206" s="174" t="n">
        <v>14.72</v>
      </c>
      <c r="BD206" s="174" t="n">
        <v>-23.742</v>
      </c>
      <c r="BE206" s="174" t="n">
        <v>39.124</v>
      </c>
      <c r="BF206" s="174" t="n">
        <v>-82.879</v>
      </c>
      <c r="BG206" s="174" t="n">
        <v>-52.777</v>
      </c>
      <c r="BH206" s="174" t="n">
        <v>50.333</v>
      </c>
      <c r="BI206" s="174" t="n">
        <v>-88.70399999999999</v>
      </c>
      <c r="BJ206" s="174" t="n">
        <v>-38.03</v>
      </c>
      <c r="BK206" s="174" t="n">
        <v>21.054</v>
      </c>
      <c r="BL206" s="174" t="n">
        <v>-55.347</v>
      </c>
      <c r="BM206" s="174" t="n">
        <v>38.597</v>
      </c>
      <c r="BN206" s="174" t="n">
        <v>-26.603</v>
      </c>
      <c r="BO206" s="174" t="n">
        <v>35.637</v>
      </c>
      <c r="BP206" s="174" t="n">
        <v>36.527</v>
      </c>
      <c r="BQ206" s="174" t="n">
        <v>84.158</v>
      </c>
      <c r="BR206" s="174" t="n">
        <v>-16.399</v>
      </c>
      <c r="BS206" s="174" t="n">
        <v>-82.68899999999999</v>
      </c>
      <c r="BT206" s="174" t="n">
        <v>91.533</v>
      </c>
      <c r="BU206" s="174" t="n">
        <v>-32.903</v>
      </c>
      <c r="BV206" s="174" t="n">
        <v>-40.458</v>
      </c>
      <c r="BW206" s="174" t="n">
        <v>37.236</v>
      </c>
      <c r="BX206" s="174" t="n">
        <v>-160.995</v>
      </c>
      <c r="BY206" s="37" t="n"/>
      <c r="BZ206" s="37" t="n"/>
      <c r="CA206" s="176">
        <f>N((BW206+BX206))-(CA251-BX251)+(CA258-BX258)+(CA259-BX259)+(CA260-BX260)</f>
        <v/>
      </c>
      <c r="CB206" s="176">
        <f>-(CB251-CA251)+(CB258-CA258)+(CB259-CA259)+(CB260-CA260)</f>
        <v/>
      </c>
      <c r="CC206" s="176">
        <f>-(CC251-CB251)+(CC258-CB258)+(CC259-CB259)+(CC260-CB260)</f>
        <v/>
      </c>
      <c r="CD206" s="176">
        <f>-(CD251-CC251)+(CD258-CC258)+(CD259-CC259)+(CD260-CC260)</f>
        <v/>
      </c>
      <c r="CE206" s="176">
        <f>-(CE251-CD251)+(CE258-CD258)+(CE259-CD259)+(CE260-CD260)</f>
        <v/>
      </c>
      <c r="CF206" s="20" t="inlineStr">
        <is>
          <t>Linked to the balance sheet: −Δ customer receivables + Δ(payables, compensation &amp; benefits, claims &amp; insurance accruals). Condensed 10-Q statements show a single "changes in operating assets and liabilities" or "other" line — quarterly split between WC and other is as presented.</t>
        </is>
      </c>
    </row>
    <row r="207" ht="15" customHeight="1">
      <c r="B207" s="17" t="inlineStr">
        <is>
          <t>Net cash provided by operating activities</t>
        </is>
      </c>
      <c r="C207" s="177" t="n">
        <v>154.61</v>
      </c>
      <c r="D207" s="177" t="n">
        <v>157.736</v>
      </c>
      <c r="E207" s="177" t="n">
        <v>196.506</v>
      </c>
      <c r="F207" s="177" t="n">
        <v>130.716</v>
      </c>
      <c r="G207" s="177" t="n">
        <v>141.076</v>
      </c>
      <c r="H207" s="177" t="n">
        <v>277.38</v>
      </c>
      <c r="I207" s="177" t="n">
        <v>328.056</v>
      </c>
      <c r="J207" s="177" t="n">
        <v>63.534</v>
      </c>
      <c r="K207" s="177" t="n">
        <v>90.33</v>
      </c>
      <c r="L207" s="177" t="n">
        <v>99.52200000000001</v>
      </c>
      <c r="M207" s="177" t="n">
        <v>97.28</v>
      </c>
      <c r="N207" s="177" t="n">
        <v>350.666</v>
      </c>
      <c r="O207" s="177" t="n">
        <v>99.568</v>
      </c>
      <c r="P207" s="177" t="n">
        <v>82.105</v>
      </c>
      <c r="Q207" s="177" t="n">
        <v>96.342</v>
      </c>
      <c r="R207" s="177" t="n">
        <v>113.659</v>
      </c>
      <c r="S207" s="177" t="n">
        <v>391.674</v>
      </c>
      <c r="T207" s="177" t="n">
        <v>172.594</v>
      </c>
      <c r="U207" s="177" t="n">
        <v>81.631</v>
      </c>
      <c r="V207" s="177" t="n">
        <v>118.049</v>
      </c>
      <c r="W207" s="177" t="n">
        <v>181.606</v>
      </c>
      <c r="X207" s="177" t="n">
        <v>553.88</v>
      </c>
      <c r="Y207" s="177" t="n">
        <v>168.393</v>
      </c>
      <c r="Z207" s="177" t="n">
        <v>123.838</v>
      </c>
      <c r="AA207" s="177" t="n">
        <v>117.897</v>
      </c>
      <c r="AB207" s="177" t="n">
        <v>155.455</v>
      </c>
      <c r="AC207" s="177" t="n">
        <v>565.583</v>
      </c>
      <c r="AD207" s="177" t="n">
        <v>110.809</v>
      </c>
      <c r="AE207" s="177" t="n">
        <v>127.705</v>
      </c>
      <c r="AF207" s="177" t="n">
        <v>149.499</v>
      </c>
      <c r="AG207" s="177" t="n">
        <v>148.281</v>
      </c>
      <c r="AH207" s="177" t="n">
        <v>536.294</v>
      </c>
      <c r="AI207" s="177" t="n">
        <v>211.247</v>
      </c>
      <c r="AJ207" s="177" t="n">
        <v>213.444</v>
      </c>
      <c r="AK207" s="177" t="n">
        <v>250.727</v>
      </c>
      <c r="AL207" s="177" t="n">
        <v>224.698</v>
      </c>
      <c r="AM207" s="177" t="n">
        <v>900.116</v>
      </c>
      <c r="AN207" s="177" t="n">
        <v>206.175</v>
      </c>
      <c r="AO207" s="177" t="n">
        <v>255.708</v>
      </c>
      <c r="AP207" s="177" t="n">
        <v>285.632</v>
      </c>
      <c r="AQ207" s="177" t="n">
        <v>236.373</v>
      </c>
      <c r="AR207" s="177" t="n">
        <v>983.888</v>
      </c>
      <c r="AS207" s="177" t="n">
        <v>204.018</v>
      </c>
      <c r="AT207" s="177" t="n">
        <v>312.198</v>
      </c>
      <c r="AU207" s="177" t="n">
        <v>170.242</v>
      </c>
      <c r="AV207" s="177" t="n">
        <v>246.566</v>
      </c>
      <c r="AW207" s="177" t="n">
        <v>933.024</v>
      </c>
      <c r="AX207" s="177" t="n">
        <v>310.308</v>
      </c>
      <c r="AY207" s="177" t="n">
        <v>197.983</v>
      </c>
      <c r="AZ207" s="177" t="n">
        <v>364.324</v>
      </c>
      <c r="BA207" s="177" t="n">
        <v>339.991</v>
      </c>
      <c r="BB207" s="177" t="n">
        <v>1212.606</v>
      </c>
      <c r="BC207" s="177" t="n">
        <v>388.725</v>
      </c>
      <c r="BD207" s="177" t="n">
        <v>427.328</v>
      </c>
      <c r="BE207" s="177" t="n">
        <v>514.181</v>
      </c>
      <c r="BF207" s="177" t="n">
        <v>361.348</v>
      </c>
      <c r="BG207" s="177" t="n">
        <v>1691.582</v>
      </c>
      <c r="BH207" s="177" t="n">
        <v>415.367</v>
      </c>
      <c r="BI207" s="177" t="n">
        <v>287.84</v>
      </c>
      <c r="BJ207" s="177" t="n">
        <v>429.235</v>
      </c>
      <c r="BK207" s="177" t="n">
        <v>436.693</v>
      </c>
      <c r="BL207" s="177" t="n">
        <v>1569.135</v>
      </c>
      <c r="BM207" s="177" t="n">
        <v>423.893</v>
      </c>
      <c r="BN207" s="177" t="n">
        <v>387.855</v>
      </c>
      <c r="BO207" s="177" t="n">
        <v>446.476</v>
      </c>
      <c r="BP207" s="177" t="n">
        <v>401.059</v>
      </c>
      <c r="BQ207" s="177" t="n">
        <v>1659.283</v>
      </c>
      <c r="BR207" s="177" t="n">
        <v>336.519</v>
      </c>
      <c r="BS207" s="177" t="n">
        <v>285.847</v>
      </c>
      <c r="BT207" s="177" t="n">
        <v>437.474</v>
      </c>
      <c r="BU207" s="177" t="n">
        <v>310.293</v>
      </c>
      <c r="BV207" s="177" t="n">
        <v>1370.133</v>
      </c>
      <c r="BW207" s="177" t="n">
        <v>373.634</v>
      </c>
      <c r="BX207" s="177" t="n">
        <v>272.701</v>
      </c>
      <c r="BY207" s="34" t="n"/>
      <c r="BZ207" s="34" t="n"/>
      <c r="CA207" s="178">
        <f>SUM(CA199:CA206)</f>
        <v/>
      </c>
      <c r="CB207" s="178">
        <f>SUM(CB199:CB206)</f>
        <v/>
      </c>
      <c r="CC207" s="178">
        <f>SUM(CC199:CC206)</f>
        <v/>
      </c>
      <c r="CD207" s="178">
        <f>SUM(CD199:CD206)</f>
        <v/>
      </c>
      <c r="CE207" s="178">
        <f>SUM(CE199:CE206)</f>
        <v/>
      </c>
      <c r="CF207" s="6" t="n"/>
      <c r="CH207" s="21">
        <f>IFERROR((CE207/BV207)^(1/5)-1,"n/m")</f>
        <v/>
      </c>
      <c r="CI207" s="21">
        <f>IFERROR((BV207/AW207)^(1/5)-1,"n/m")</f>
        <v/>
      </c>
      <c r="CJ207" s="21">
        <f>IFERROR((BV207/X207)^(1/10)-1,"n/m")</f>
        <v/>
      </c>
      <c r="CK207" s="21">
        <f>IFERROR((BV207/C207)^(1/19)-1,"n/m")</f>
        <v/>
      </c>
    </row>
    <row r="208" ht="15" customHeight="1">
      <c r="B208" s="26" t="inlineStr">
        <is>
          <t>Purchase of property &amp; equipment</t>
        </is>
      </c>
      <c r="C208" s="174" t="n">
        <v>-199.098</v>
      </c>
      <c r="D208" s="174" t="n">
        <v>-186.828</v>
      </c>
      <c r="E208" s="174" t="n">
        <v>-181.499</v>
      </c>
      <c r="F208" s="174" t="n">
        <v>-210.888</v>
      </c>
      <c r="G208" s="174" t="n">
        <v>-106.347</v>
      </c>
      <c r="H208" s="174" t="n">
        <v>-250.214</v>
      </c>
      <c r="I208" s="174" t="n">
        <v>-373.193</v>
      </c>
      <c r="J208" s="174" t="n">
        <v>-26.949</v>
      </c>
      <c r="K208" s="174" t="n">
        <v>-129.405</v>
      </c>
      <c r="L208" s="174" t="n">
        <v>-72.845</v>
      </c>
      <c r="M208" s="174" t="n">
        <v>-66.407</v>
      </c>
      <c r="N208" s="174" t="n">
        <v>-295.606</v>
      </c>
      <c r="O208" s="174" t="n">
        <v>-79.818</v>
      </c>
      <c r="P208" s="174" t="n">
        <v>-138.75</v>
      </c>
      <c r="Q208" s="174" t="n">
        <v>-93.425</v>
      </c>
      <c r="R208" s="174" t="n">
        <v>-55.687</v>
      </c>
      <c r="S208" s="174" t="n">
        <v>-367.68</v>
      </c>
      <c r="T208" s="174" t="n">
        <v>-72.15300000000001</v>
      </c>
      <c r="U208" s="174" t="n">
        <v>-159.1</v>
      </c>
      <c r="V208" s="174" t="n">
        <v>-130.762</v>
      </c>
      <c r="W208" s="174" t="n">
        <v>-100.044</v>
      </c>
      <c r="X208" s="174" t="n">
        <v>-462.059</v>
      </c>
      <c r="Y208" s="174" t="n">
        <v>-120.294</v>
      </c>
      <c r="Z208" s="174" t="n">
        <v>-175.239</v>
      </c>
      <c r="AA208" s="174" t="n">
        <v>-55.588</v>
      </c>
      <c r="AB208" s="174" t="n">
        <v>-66.81999999999999</v>
      </c>
      <c r="AC208" s="174" t="n">
        <v>-417.941</v>
      </c>
      <c r="AD208" s="174" t="n">
        <v>-56.997</v>
      </c>
      <c r="AE208" s="174" t="n">
        <v>-131.321</v>
      </c>
      <c r="AF208" s="174" t="n">
        <v>-100.522</v>
      </c>
      <c r="AG208" s="174" t="n">
        <v>-93.285</v>
      </c>
      <c r="AH208" s="174" t="n">
        <v>-382.125</v>
      </c>
      <c r="AI208" s="174" t="n">
        <v>-100.558</v>
      </c>
      <c r="AJ208" s="174" t="n">
        <v>-191.711</v>
      </c>
      <c r="AK208" s="174" t="n">
        <v>-177.597</v>
      </c>
      <c r="AL208" s="174" t="n">
        <v>-118.426</v>
      </c>
      <c r="AM208" s="174" t="n">
        <v>-588.292</v>
      </c>
      <c r="AN208" s="174" t="n">
        <v>-70.741</v>
      </c>
      <c r="AO208" s="174" t="n">
        <v>-159.215</v>
      </c>
      <c r="AP208" s="174" t="n">
        <v>-140.354</v>
      </c>
      <c r="AQ208" s="174" t="n">
        <v>-109.015</v>
      </c>
      <c r="AR208" s="174" t="n">
        <v>-479.325</v>
      </c>
      <c r="AS208" s="174" t="n">
        <v>-52.211</v>
      </c>
      <c r="AT208" s="174" t="n">
        <v>-67.917</v>
      </c>
      <c r="AU208" s="174" t="n">
        <v>-46.331</v>
      </c>
      <c r="AV208" s="174" t="n">
        <v>-58.622</v>
      </c>
      <c r="AW208" s="174" t="n">
        <v>-225.081</v>
      </c>
      <c r="AX208" s="174" t="n">
        <v>-50.953</v>
      </c>
      <c r="AY208" s="174" t="n">
        <v>-155.156</v>
      </c>
      <c r="AZ208" s="174" t="n">
        <v>-178.579</v>
      </c>
      <c r="BA208" s="174" t="n">
        <v>-165.389</v>
      </c>
      <c r="BB208" s="174" t="n">
        <v>-550.077</v>
      </c>
      <c r="BC208" s="174" t="n">
        <v>-93.71299999999999</v>
      </c>
      <c r="BD208" s="174" t="n">
        <v>-229.35</v>
      </c>
      <c r="BE208" s="174" t="n">
        <v>-181.719</v>
      </c>
      <c r="BF208" s="174" t="n">
        <v>-270.366</v>
      </c>
      <c r="BG208" s="174" t="n">
        <v>-775.148</v>
      </c>
      <c r="BH208" s="174" t="n">
        <v>-234.736</v>
      </c>
      <c r="BI208" s="174" t="n">
        <v>-244.66</v>
      </c>
      <c r="BJ208" s="174" t="n">
        <v>-171.967</v>
      </c>
      <c r="BK208" s="174" t="n">
        <v>-105.946</v>
      </c>
      <c r="BL208" s="174" t="n">
        <v>-757.309</v>
      </c>
      <c r="BM208" s="174" t="n">
        <v>-119.511</v>
      </c>
      <c r="BN208" s="174" t="n">
        <v>-238.127</v>
      </c>
      <c r="BO208" s="174" t="n">
        <v>-242.761</v>
      </c>
      <c r="BP208" s="174" t="n">
        <v>-170.919</v>
      </c>
      <c r="BQ208" s="174" t="n">
        <v>-771.318</v>
      </c>
      <c r="BR208" s="174" t="n">
        <v>-88.149</v>
      </c>
      <c r="BS208" s="174" t="n">
        <v>-187.164</v>
      </c>
      <c r="BT208" s="174" t="n">
        <v>-93.94499999999999</v>
      </c>
      <c r="BU208" s="174" t="n">
        <v>-45.776</v>
      </c>
      <c r="BV208" s="174" t="n">
        <v>-415.034</v>
      </c>
      <c r="BW208" s="174" t="n">
        <v>-62.574</v>
      </c>
      <c r="BX208" s="174" t="n">
        <v>-77.03700000000001</v>
      </c>
      <c r="BY208" s="37" t="n"/>
      <c r="BZ208" s="37" t="n"/>
      <c r="CA208" s="176">
        <f>-$CP$26</f>
        <v/>
      </c>
      <c r="CB208" s="176">
        <f>-CB100*CB232</f>
        <v/>
      </c>
      <c r="CC208" s="176">
        <f>-CC100*CC232</f>
        <v/>
      </c>
      <c r="CD208" s="176">
        <f>-CD100*CD232</f>
        <v/>
      </c>
      <c r="CE208" s="176">
        <f>-CE100*CE232</f>
        <v/>
      </c>
      <c r="CF208" s="20" t="inlineStr">
        <is>
          <t>2026E: capex plan ~$380m (Q2-26 release: $180m real estate / service centers, $155m tractors &amp; trailers, $45m IT &amp; other). 2027E+: revenue × capex %.</t>
        </is>
      </c>
    </row>
    <row r="209" ht="15" customHeight="1">
      <c r="B209" s="26" t="inlineStr">
        <is>
          <t>Proceeds from sale of property &amp; equipment</t>
        </is>
      </c>
      <c r="C209" s="174" t="n">
        <v>5.626</v>
      </c>
      <c r="D209" s="174" t="n">
        <v>5.228</v>
      </c>
      <c r="E209" s="174" t="n">
        <v>3.483</v>
      </c>
      <c r="F209" s="174" t="n">
        <v>2.303</v>
      </c>
      <c r="G209" s="174" t="n">
        <v>2.05</v>
      </c>
      <c r="H209" s="174" t="n">
        <v>5.436</v>
      </c>
      <c r="I209" s="174" t="n">
        <v>12.018</v>
      </c>
      <c r="J209" s="174" t="n">
        <v>0.8149999999999999</v>
      </c>
      <c r="K209" s="174" t="n">
        <v>7.798</v>
      </c>
      <c r="L209" s="174" t="n">
        <v>0.741</v>
      </c>
      <c r="M209" s="174" t="n">
        <v>1.881</v>
      </c>
      <c r="N209" s="174" t="n">
        <v>11.235</v>
      </c>
      <c r="O209" s="174" t="n">
        <v>2.035</v>
      </c>
      <c r="P209" s="174" t="n">
        <v>16.19</v>
      </c>
      <c r="Q209" s="174" t="n">
        <v>1.26</v>
      </c>
      <c r="R209" s="174" t="n">
        <v>2.381</v>
      </c>
      <c r="S209" s="174" t="n">
        <v>21.866</v>
      </c>
      <c r="T209" s="174" t="n">
        <v>1.851</v>
      </c>
      <c r="U209" s="174" t="n">
        <v>8.5</v>
      </c>
      <c r="V209" s="174" t="n">
        <v>9.021000000000001</v>
      </c>
      <c r="W209" s="174" t="n">
        <v>5.07</v>
      </c>
      <c r="X209" s="174" t="n">
        <v>24.442</v>
      </c>
      <c r="Y209" s="174" t="n">
        <v>0.6909999999999999</v>
      </c>
      <c r="Z209" s="174" t="n">
        <v>2.306</v>
      </c>
      <c r="AA209" s="174" t="n">
        <v>1.574</v>
      </c>
      <c r="AB209" s="174" t="n">
        <v>5.97</v>
      </c>
      <c r="AC209" s="174" t="n">
        <v>10.541</v>
      </c>
      <c r="AD209" s="174" t="n">
        <v>1.828</v>
      </c>
      <c r="AE209" s="174" t="n">
        <v>5.561</v>
      </c>
      <c r="AF209" s="174" t="n">
        <v>2.248</v>
      </c>
      <c r="AG209" s="174" t="n">
        <v>2.603</v>
      </c>
      <c r="AH209" s="174" t="n">
        <v>12.24</v>
      </c>
      <c r="AI209" s="174" t="n">
        <v>0.347</v>
      </c>
      <c r="AJ209" s="174" t="n">
        <v>0.181</v>
      </c>
      <c r="AK209" s="174" t="n">
        <v>2.801</v>
      </c>
      <c r="AL209" s="174" t="n">
        <v>3.654</v>
      </c>
      <c r="AM209" s="174" t="n">
        <v>6.983</v>
      </c>
      <c r="AN209" s="174" t="n">
        <v>0.277</v>
      </c>
      <c r="AO209" s="174" t="n">
        <v>0.089</v>
      </c>
      <c r="AP209" s="174" t="n">
        <v>2.232</v>
      </c>
      <c r="AQ209" s="174" t="n">
        <v>3.088</v>
      </c>
      <c r="AR209" s="174" t="n">
        <v>5.686</v>
      </c>
      <c r="AS209" s="174" t="n">
        <v>1.543</v>
      </c>
      <c r="AT209" s="174" t="n">
        <v>1.027</v>
      </c>
      <c r="AU209" s="174" t="n">
        <v>0.841</v>
      </c>
      <c r="AV209" s="174" t="n">
        <v>0.279</v>
      </c>
      <c r="AW209" s="174" t="n">
        <v>3.69</v>
      </c>
      <c r="AX209" s="174" t="n">
        <v>7.656</v>
      </c>
      <c r="AY209" s="174" t="n">
        <v>7.856</v>
      </c>
      <c r="AZ209" s="174" t="n">
        <v>3.123</v>
      </c>
      <c r="BA209" s="174" t="n">
        <v>0.913</v>
      </c>
      <c r="BB209" s="174" t="n">
        <v>19.548</v>
      </c>
      <c r="BC209" s="174" t="n">
        <v>10.455</v>
      </c>
      <c r="BD209" s="174" t="n">
        <v>8.473000000000001</v>
      </c>
      <c r="BE209" s="174" t="n">
        <v>1.116</v>
      </c>
      <c r="BF209" s="174" t="n">
        <v>2.052</v>
      </c>
      <c r="BG209" s="174" t="n">
        <v>22.096</v>
      </c>
      <c r="BH209" s="174" t="n">
        <v>10.283</v>
      </c>
      <c r="BI209" s="174" t="n">
        <v>7.327</v>
      </c>
      <c r="BJ209" s="174" t="n">
        <v>4.616</v>
      </c>
      <c r="BK209" s="174" t="n">
        <v>26.411</v>
      </c>
      <c r="BL209" s="174" t="n">
        <v>48.637</v>
      </c>
      <c r="BM209" s="174" t="n">
        <v>1.559</v>
      </c>
      <c r="BN209" s="174" t="n">
        <v>3.27</v>
      </c>
      <c r="BO209" s="174" t="n">
        <v>11.321</v>
      </c>
      <c r="BP209" s="174" t="n">
        <v>3.974</v>
      </c>
      <c r="BQ209" s="174" t="n">
        <v>20.124</v>
      </c>
      <c r="BR209" s="174" t="n">
        <v>5.232</v>
      </c>
      <c r="BS209" s="174" t="n">
        <v>1.83</v>
      </c>
      <c r="BT209" s="174" t="n">
        <v>3.853</v>
      </c>
      <c r="BU209" s="174" t="n">
        <v>37.608</v>
      </c>
      <c r="BV209" s="174" t="n">
        <v>48.523</v>
      </c>
      <c r="BW209" s="174" t="n">
        <v>9.923</v>
      </c>
      <c r="BX209" s="174" t="n">
        <v>29.474</v>
      </c>
      <c r="BY209" s="37" t="n"/>
      <c r="BZ209" s="37" t="n"/>
      <c r="CA209" s="176">
        <f>(BW209+BX209)</f>
        <v/>
      </c>
      <c r="CB209" s="176">
        <f>CB100*CB234</f>
        <v/>
      </c>
      <c r="CC209" s="176">
        <f>CC100*CC234</f>
        <v/>
      </c>
      <c r="CD209" s="176">
        <f>CD100*CD234</f>
        <v/>
      </c>
      <c r="CE209" s="176">
        <f>CE100*CE234</f>
        <v/>
      </c>
      <c r="CF209" s="20" t="n"/>
    </row>
    <row r="210" ht="15" customHeight="1">
      <c r="B210" s="26" t="inlineStr">
        <is>
          <t>Short-term investments, net (purchases − maturities / sales)</t>
        </is>
      </c>
      <c r="C210" s="174" t="n">
        <v>0</v>
      </c>
      <c r="D210" s="174" t="n">
        <v>0</v>
      </c>
      <c r="E210" s="174" t="n">
        <v>0</v>
      </c>
      <c r="F210" s="174" t="n">
        <v>0</v>
      </c>
      <c r="G210" s="174" t="n">
        <v>0</v>
      </c>
      <c r="H210" s="174" t="n">
        <v>0</v>
      </c>
      <c r="I210" s="174" t="n">
        <v>0</v>
      </c>
      <c r="J210" s="174" t="n">
        <v>0</v>
      </c>
      <c r="K210" s="174" t="n">
        <v>0</v>
      </c>
      <c r="L210" s="174" t="n">
        <v>0</v>
      </c>
      <c r="M210" s="174" t="n">
        <v>0</v>
      </c>
      <c r="N210" s="174" t="n">
        <v>0</v>
      </c>
      <c r="O210" s="174" t="n">
        <v>0</v>
      </c>
      <c r="P210" s="174" t="n">
        <v>0</v>
      </c>
      <c r="Q210" s="174" t="n">
        <v>0</v>
      </c>
      <c r="R210" s="174" t="n">
        <v>0</v>
      </c>
      <c r="S210" s="174" t="n">
        <v>0</v>
      </c>
      <c r="T210" s="174" t="n">
        <v>0</v>
      </c>
      <c r="U210" s="174" t="n">
        <v>0</v>
      </c>
      <c r="V210" s="174" t="n">
        <v>0</v>
      </c>
      <c r="W210" s="174" t="n">
        <v>0</v>
      </c>
      <c r="X210" s="174" t="n">
        <v>0</v>
      </c>
      <c r="Y210" s="174" t="n">
        <v>0</v>
      </c>
      <c r="Z210" s="174" t="n">
        <v>0</v>
      </c>
      <c r="AA210" s="174" t="n">
        <v>0</v>
      </c>
      <c r="AB210" s="174" t="n">
        <v>0</v>
      </c>
      <c r="AC210" s="174" t="n">
        <v>0</v>
      </c>
      <c r="AD210" s="174" t="n">
        <v>0</v>
      </c>
      <c r="AE210" s="174" t="n">
        <v>0</v>
      </c>
      <c r="AF210" s="174" t="n">
        <v>0</v>
      </c>
      <c r="AG210" s="174" t="n">
        <v>0</v>
      </c>
      <c r="AH210" s="174" t="n">
        <v>0</v>
      </c>
      <c r="AI210" s="174" t="n">
        <v>0</v>
      </c>
      <c r="AJ210" s="174" t="n">
        <v>0</v>
      </c>
      <c r="AK210" s="174" t="n">
        <v>0</v>
      </c>
      <c r="AL210" s="174" t="n">
        <v>0</v>
      </c>
      <c r="AM210" s="174" t="n">
        <v>0</v>
      </c>
      <c r="AN210" s="174" t="n">
        <v>0</v>
      </c>
      <c r="AO210" s="174" t="n">
        <v>0</v>
      </c>
      <c r="AP210" s="174" t="n">
        <v>0</v>
      </c>
      <c r="AQ210" s="174" t="n">
        <v>0</v>
      </c>
      <c r="AR210" s="174" t="n">
        <v>0</v>
      </c>
      <c r="AS210" s="174" t="n">
        <v>0</v>
      </c>
      <c r="AT210" s="174" t="n">
        <v>0</v>
      </c>
      <c r="AU210" s="174" t="n">
        <v>-205.301</v>
      </c>
      <c r="AV210" s="174" t="n">
        <v>-124.871</v>
      </c>
      <c r="AW210" s="174" t="n">
        <v>-330.172</v>
      </c>
      <c r="AX210" s="174" t="n">
        <v>20.225</v>
      </c>
      <c r="AY210" s="174" t="n">
        <v>144.882</v>
      </c>
      <c r="AZ210" s="174" t="n">
        <v>-59.736</v>
      </c>
      <c r="BA210" s="174" t="n">
        <v>-29.63</v>
      </c>
      <c r="BB210" s="174" t="n">
        <v>75.741</v>
      </c>
      <c r="BC210" s="174" t="n">
        <v>-25.196</v>
      </c>
      <c r="BD210" s="174" t="n">
        <v>55.083</v>
      </c>
      <c r="BE210" s="174" t="n">
        <v>66.01600000000001</v>
      </c>
      <c r="BF210" s="174" t="n">
        <v>109.677</v>
      </c>
      <c r="BG210" s="174" t="n">
        <v>205.58</v>
      </c>
      <c r="BH210" s="174" t="n">
        <v>24.578</v>
      </c>
      <c r="BI210" s="174" t="n">
        <v>24.274</v>
      </c>
      <c r="BJ210" s="174" t="n">
        <v>0</v>
      </c>
      <c r="BK210" s="174" t="n">
        <v>0</v>
      </c>
      <c r="BL210" s="174" t="n">
        <v>48.852</v>
      </c>
      <c r="BM210" s="174" t="n">
        <v>0</v>
      </c>
      <c r="BN210" s="174" t="n">
        <v>-30</v>
      </c>
      <c r="BO210" s="174" t="n">
        <v>30</v>
      </c>
      <c r="BP210" s="174" t="n">
        <v>0</v>
      </c>
      <c r="BQ210" s="174" t="n">
        <v>0</v>
      </c>
      <c r="BR210" s="174" t="n">
        <v>0</v>
      </c>
      <c r="BS210" s="174" t="n">
        <v>0</v>
      </c>
      <c r="BT210" s="174" t="n">
        <v>0</v>
      </c>
      <c r="BU210" s="174" t="n">
        <v>0</v>
      </c>
      <c r="BV210" s="174" t="n">
        <v>0</v>
      </c>
      <c r="BW210" s="174" t="n">
        <v>0</v>
      </c>
      <c r="BX210" s="174" t="n">
        <v>0</v>
      </c>
      <c r="BY210" s="37" t="n"/>
      <c r="BZ210" s="37" t="n"/>
      <c r="CA210" s="176">
        <f>N((BW210+BX210))</f>
        <v/>
      </c>
      <c r="CB210" s="175" t="n">
        <v>0</v>
      </c>
      <c r="CC210" s="175" t="n">
        <v>0</v>
      </c>
      <c r="CD210" s="175" t="n">
        <v>0</v>
      </c>
      <c r="CE210" s="175" t="n">
        <v>0</v>
      </c>
      <c r="CF210" s="20" t="n"/>
    </row>
    <row r="211" ht="15" customHeight="1">
      <c r="B211" s="26" t="inlineStr">
        <is>
          <t>Acquisition of business assets / service centers</t>
        </is>
      </c>
      <c r="C211" s="174" t="n">
        <v>-19.414</v>
      </c>
      <c r="D211" s="174" t="n">
        <v>-20.431</v>
      </c>
      <c r="E211" s="174" t="n">
        <v>-7.267</v>
      </c>
      <c r="F211" s="174" t="n">
        <v>0</v>
      </c>
      <c r="G211" s="174" t="n">
        <v>0</v>
      </c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  <c r="AP211" s="36" t="n"/>
      <c r="AQ211" s="36" t="n"/>
      <c r="AR211" s="36" t="n"/>
      <c r="AS211" s="36" t="n"/>
      <c r="AT211" s="36" t="n"/>
      <c r="AU211" s="36" t="n"/>
      <c r="AV211" s="36" t="n"/>
      <c r="AW211" s="36" t="n"/>
      <c r="AX211" s="36" t="n"/>
      <c r="AY211" s="36" t="n"/>
      <c r="AZ211" s="36" t="n"/>
      <c r="BA211" s="36" t="n"/>
      <c r="BB211" s="36" t="n"/>
      <c r="BC211" s="36" t="n"/>
      <c r="BD211" s="36" t="n"/>
      <c r="BE211" s="36" t="n"/>
      <c r="BF211" s="36" t="n"/>
      <c r="BG211" s="36" t="n"/>
      <c r="BH211" s="36" t="n"/>
      <c r="BI211" s="36" t="n"/>
      <c r="BJ211" s="36" t="n"/>
      <c r="BK211" s="36" t="n"/>
      <c r="BL211" s="36" t="n"/>
      <c r="BM211" s="36" t="n"/>
      <c r="BN211" s="36" t="n"/>
      <c r="BO211" s="36" t="n"/>
      <c r="BP211" s="36" t="n"/>
      <c r="BQ211" s="36" t="n"/>
      <c r="BR211" s="36" t="n"/>
      <c r="BS211" s="36" t="n"/>
      <c r="BT211" s="36" t="n"/>
      <c r="BU211" s="36" t="n"/>
      <c r="BV211" s="36" t="n"/>
      <c r="BW211" s="36" t="n"/>
      <c r="BX211" s="36" t="n"/>
      <c r="BY211" s="37" t="n"/>
      <c r="BZ211" s="37" t="n"/>
      <c r="CA211" s="176">
        <f>N((BW211+BX211))</f>
        <v/>
      </c>
      <c r="CB211" s="175" t="n">
        <v>0</v>
      </c>
      <c r="CC211" s="175" t="n">
        <v>0</v>
      </c>
      <c r="CD211" s="175" t="n">
        <v>0</v>
      </c>
      <c r="CE211" s="175" t="n">
        <v>0</v>
      </c>
      <c r="CF211" s="20" t="inlineStr">
        <is>
          <t>e.g. UW Freight Line (2006), Priority Freight (2007), Bowman (2008), Arnold Transportation assets (2013), Yellow service centers (2023 — in capex).</t>
        </is>
      </c>
    </row>
    <row r="212" ht="15" customHeight="1">
      <c r="B212" s="26" t="inlineStr">
        <is>
          <t>Other investing activities, net (derived)</t>
        </is>
      </c>
      <c r="C212" s="174" t="n">
        <v>-85.16</v>
      </c>
      <c r="D212" s="174" t="n">
        <v>60.785</v>
      </c>
      <c r="E212" s="174" t="n">
        <v>19.484</v>
      </c>
      <c r="F212" s="174" t="n">
        <v>4.861</v>
      </c>
      <c r="G212" s="174" t="n">
        <v>0</v>
      </c>
      <c r="H212" s="174" t="n">
        <v>0</v>
      </c>
      <c r="I212" s="174" t="n">
        <v>0</v>
      </c>
      <c r="J212" s="174" t="n">
        <v>0</v>
      </c>
      <c r="K212" s="174" t="n">
        <v>0</v>
      </c>
      <c r="L212" s="174" t="n">
        <v>0</v>
      </c>
      <c r="M212" s="174" t="n">
        <v>0</v>
      </c>
      <c r="N212" s="174" t="n">
        <v>0</v>
      </c>
      <c r="O212" s="174" t="n">
        <v>0</v>
      </c>
      <c r="P212" s="174" t="n">
        <v>0</v>
      </c>
      <c r="Q212" s="174" t="n">
        <v>0</v>
      </c>
      <c r="R212" s="174" t="n">
        <v>0</v>
      </c>
      <c r="S212" s="174" t="n">
        <v>0</v>
      </c>
      <c r="T212" s="174" t="n">
        <v>0</v>
      </c>
      <c r="U212" s="174" t="n">
        <v>0</v>
      </c>
      <c r="V212" s="174" t="n">
        <v>0</v>
      </c>
      <c r="W212" s="174" t="n">
        <v>0</v>
      </c>
      <c r="X212" s="174" t="n">
        <v>0</v>
      </c>
      <c r="Y212" s="174" t="n">
        <v>0</v>
      </c>
      <c r="Z212" s="174" t="n">
        <v>0</v>
      </c>
      <c r="AA212" s="174" t="n">
        <v>0</v>
      </c>
      <c r="AB212" s="174" t="n">
        <v>0</v>
      </c>
      <c r="AC212" s="174" t="n">
        <v>0</v>
      </c>
      <c r="AD212" s="174" t="n">
        <v>0</v>
      </c>
      <c r="AE212" s="174" t="n">
        <v>0</v>
      </c>
      <c r="AF212" s="174" t="n">
        <v>2.139</v>
      </c>
      <c r="AG212" s="174" t="n">
        <v>0</v>
      </c>
      <c r="AH212" s="174" t="n">
        <v>2.139</v>
      </c>
      <c r="AI212" s="174" t="n">
        <v>0</v>
      </c>
      <c r="AJ212" s="174" t="n">
        <v>0</v>
      </c>
      <c r="AK212" s="174" t="n">
        <v>0.799</v>
      </c>
      <c r="AL212" s="174" t="n">
        <v>0.119</v>
      </c>
      <c r="AM212" s="174" t="n">
        <v>0.918</v>
      </c>
      <c r="AN212" s="174" t="n">
        <v>0</v>
      </c>
      <c r="AO212" s="174" t="n">
        <v>0</v>
      </c>
      <c r="AP212" s="174" t="n">
        <v>0</v>
      </c>
      <c r="AQ212" s="174" t="n">
        <v>0</v>
      </c>
      <c r="AR212" s="174" t="n">
        <v>0</v>
      </c>
      <c r="AS212" s="174" t="n">
        <v>0</v>
      </c>
      <c r="AT212" s="174" t="n">
        <v>0</v>
      </c>
      <c r="AU212" s="174" t="n">
        <v>-0.1</v>
      </c>
      <c r="AV212" s="174" t="n">
        <v>0</v>
      </c>
      <c r="AW212" s="174" t="n">
        <v>-0.1</v>
      </c>
      <c r="AX212" s="174" t="n">
        <v>0</v>
      </c>
      <c r="AY212" s="174" t="n">
        <v>0</v>
      </c>
      <c r="AZ212" s="174" t="n">
        <v>-0.5</v>
      </c>
      <c r="BA212" s="174" t="n">
        <v>0</v>
      </c>
      <c r="BB212" s="174" t="n">
        <v>-0.5</v>
      </c>
      <c r="BC212" s="174" t="n">
        <v>0</v>
      </c>
      <c r="BD212" s="174" t="n">
        <v>0</v>
      </c>
      <c r="BE212" s="174" t="n">
        <v>0</v>
      </c>
      <c r="BF212" s="174" t="n">
        <v>0</v>
      </c>
      <c r="BG212" s="174" t="n">
        <v>0</v>
      </c>
      <c r="BH212" s="174" t="n">
        <v>0</v>
      </c>
      <c r="BI212" s="174" t="n">
        <v>0</v>
      </c>
      <c r="BJ212" s="174" t="n">
        <v>0</v>
      </c>
      <c r="BK212" s="174" t="n">
        <v>0</v>
      </c>
      <c r="BL212" s="174" t="n">
        <v>0</v>
      </c>
      <c r="BM212" s="174" t="n">
        <v>0</v>
      </c>
      <c r="BN212" s="174" t="n">
        <v>0</v>
      </c>
      <c r="BO212" s="174" t="n">
        <v>0</v>
      </c>
      <c r="BP212" s="174" t="n">
        <v>0</v>
      </c>
      <c r="BQ212" s="174" t="n">
        <v>0</v>
      </c>
      <c r="BR212" s="174" t="n">
        <v>0</v>
      </c>
      <c r="BS212" s="174" t="n">
        <v>0.1</v>
      </c>
      <c r="BT212" s="174" t="n">
        <v>0</v>
      </c>
      <c r="BU212" s="174" t="n">
        <v>0</v>
      </c>
      <c r="BV212" s="174" t="n">
        <v>0.1</v>
      </c>
      <c r="BW212" s="174" t="n">
        <v>0</v>
      </c>
      <c r="BX212" s="174" t="n">
        <v>3.168</v>
      </c>
      <c r="BY212" s="37" t="n"/>
      <c r="BZ212" s="37" t="n"/>
      <c r="CA212" s="176">
        <f>(BW212+BX212)</f>
        <v/>
      </c>
      <c r="CB212" s="175" t="n">
        <v>0</v>
      </c>
      <c r="CC212" s="175" t="n">
        <v>0</v>
      </c>
      <c r="CD212" s="175" t="n">
        <v>0</v>
      </c>
      <c r="CE212" s="175" t="n">
        <v>0</v>
      </c>
      <c r="CF212" s="20" t="n"/>
    </row>
    <row r="213" ht="15" customHeight="1">
      <c r="B213" s="17" t="inlineStr">
        <is>
          <t>Net cash used in investing activities</t>
        </is>
      </c>
      <c r="C213" s="177" t="n">
        <v>-298.046</v>
      </c>
      <c r="D213" s="177" t="n">
        <v>-141.246</v>
      </c>
      <c r="E213" s="177" t="n">
        <v>-165.799</v>
      </c>
      <c r="F213" s="177" t="n">
        <v>-203.724</v>
      </c>
      <c r="G213" s="177" t="n">
        <v>-104.297</v>
      </c>
      <c r="H213" s="177" t="n">
        <v>-244.778</v>
      </c>
      <c r="I213" s="177" t="n">
        <v>-361.175</v>
      </c>
      <c r="J213" s="177" t="n">
        <v>-26.134</v>
      </c>
      <c r="K213" s="177" t="n">
        <v>-121.607</v>
      </c>
      <c r="L213" s="177" t="n">
        <v>-72.104</v>
      </c>
      <c r="M213" s="177" t="n">
        <v>-64.526</v>
      </c>
      <c r="N213" s="177" t="n">
        <v>-284.371</v>
      </c>
      <c r="O213" s="177" t="n">
        <v>-77.783</v>
      </c>
      <c r="P213" s="177" t="n">
        <v>-122.56</v>
      </c>
      <c r="Q213" s="177" t="n">
        <v>-92.16500000000001</v>
      </c>
      <c r="R213" s="177" t="n">
        <v>-53.306</v>
      </c>
      <c r="S213" s="177" t="n">
        <v>-345.814</v>
      </c>
      <c r="T213" s="177" t="n">
        <v>-70.30200000000001</v>
      </c>
      <c r="U213" s="177" t="n">
        <v>-150.6</v>
      </c>
      <c r="V213" s="177" t="n">
        <v>-121.741</v>
      </c>
      <c r="W213" s="177" t="n">
        <v>-94.974</v>
      </c>
      <c r="X213" s="177" t="n">
        <v>-437.617</v>
      </c>
      <c r="Y213" s="177" t="n">
        <v>-119.603</v>
      </c>
      <c r="Z213" s="177" t="n">
        <v>-172.933</v>
      </c>
      <c r="AA213" s="177" t="n">
        <v>-54.014</v>
      </c>
      <c r="AB213" s="177" t="n">
        <v>-60.85</v>
      </c>
      <c r="AC213" s="177" t="n">
        <v>-407.4</v>
      </c>
      <c r="AD213" s="177" t="n">
        <v>-55.169</v>
      </c>
      <c r="AE213" s="177" t="n">
        <v>-125.76</v>
      </c>
      <c r="AF213" s="177" t="n">
        <v>-96.13500000000001</v>
      </c>
      <c r="AG213" s="177" t="n">
        <v>-90.682</v>
      </c>
      <c r="AH213" s="177" t="n">
        <v>-367.746</v>
      </c>
      <c r="AI213" s="177" t="n">
        <v>-100.211</v>
      </c>
      <c r="AJ213" s="177" t="n">
        <v>-191.53</v>
      </c>
      <c r="AK213" s="177" t="n">
        <v>-173.997</v>
      </c>
      <c r="AL213" s="177" t="n">
        <v>-114.653</v>
      </c>
      <c r="AM213" s="177" t="n">
        <v>-580.391</v>
      </c>
      <c r="AN213" s="177" t="n">
        <v>-70.464</v>
      </c>
      <c r="AO213" s="177" t="n">
        <v>-159.126</v>
      </c>
      <c r="AP213" s="177" t="n">
        <v>-138.122</v>
      </c>
      <c r="AQ213" s="177" t="n">
        <v>-105.927</v>
      </c>
      <c r="AR213" s="177" t="n">
        <v>-473.639</v>
      </c>
      <c r="AS213" s="177" t="n">
        <v>-50.668</v>
      </c>
      <c r="AT213" s="177" t="n">
        <v>-66.89</v>
      </c>
      <c r="AU213" s="177" t="n">
        <v>-250.891</v>
      </c>
      <c r="AV213" s="177" t="n">
        <v>-183.214</v>
      </c>
      <c r="AW213" s="177" t="n">
        <v>-551.663</v>
      </c>
      <c r="AX213" s="177" t="n">
        <v>-23.072</v>
      </c>
      <c r="AY213" s="177" t="n">
        <v>-2.418</v>
      </c>
      <c r="AZ213" s="177" t="n">
        <v>-235.692</v>
      </c>
      <c r="BA213" s="177" t="n">
        <v>-194.106</v>
      </c>
      <c r="BB213" s="177" t="n">
        <v>-455.288</v>
      </c>
      <c r="BC213" s="177" t="n">
        <v>-108.454</v>
      </c>
      <c r="BD213" s="177" t="n">
        <v>-165.794</v>
      </c>
      <c r="BE213" s="177" t="n">
        <v>-114.587</v>
      </c>
      <c r="BF213" s="177" t="n">
        <v>-158.637</v>
      </c>
      <c r="BG213" s="177" t="n">
        <v>-547.472</v>
      </c>
      <c r="BH213" s="177" t="n">
        <v>-199.875</v>
      </c>
      <c r="BI213" s="177" t="n">
        <v>-213.059</v>
      </c>
      <c r="BJ213" s="177" t="n">
        <v>-167.351</v>
      </c>
      <c r="BK213" s="177" t="n">
        <v>-79.535</v>
      </c>
      <c r="BL213" s="177" t="n">
        <v>-659.8200000000001</v>
      </c>
      <c r="BM213" s="177" t="n">
        <v>-117.952</v>
      </c>
      <c r="BN213" s="177" t="n">
        <v>-264.857</v>
      </c>
      <c r="BO213" s="177" t="n">
        <v>-201.44</v>
      </c>
      <c r="BP213" s="177" t="n">
        <v>-166.945</v>
      </c>
      <c r="BQ213" s="177" t="n">
        <v>-751.194</v>
      </c>
      <c r="BR213" s="177" t="n">
        <v>-82.917</v>
      </c>
      <c r="BS213" s="177" t="n">
        <v>-185.234</v>
      </c>
      <c r="BT213" s="177" t="n">
        <v>-90.092</v>
      </c>
      <c r="BU213" s="177" t="n">
        <v>-8.167999999999999</v>
      </c>
      <c r="BV213" s="177" t="n">
        <v>-366.411</v>
      </c>
      <c r="BW213" s="177" t="n">
        <v>-52.651</v>
      </c>
      <c r="BX213" s="177" t="n">
        <v>-44.395</v>
      </c>
      <c r="BY213" s="34" t="n"/>
      <c r="BZ213" s="34" t="n"/>
      <c r="CA213" s="178">
        <f>SUM(CA208:CA212)</f>
        <v/>
      </c>
      <c r="CB213" s="178">
        <f>SUM(CB208:CB212)</f>
        <v/>
      </c>
      <c r="CC213" s="178">
        <f>SUM(CC208:CC212)</f>
        <v/>
      </c>
      <c r="CD213" s="178">
        <f>SUM(CD208:CD212)</f>
        <v/>
      </c>
      <c r="CE213" s="178">
        <f>SUM(CE208:CE212)</f>
        <v/>
      </c>
      <c r="CF213" s="6" t="n"/>
    </row>
    <row r="214" ht="15" customHeight="1">
      <c r="B214" s="26" t="inlineStr">
        <is>
          <t>Proceeds from debt (senior notes, revolving line of credit)</t>
        </is>
      </c>
      <c r="C214" s="174" t="n">
        <v>175</v>
      </c>
      <c r="D214" s="174" t="n">
        <v>0</v>
      </c>
      <c r="E214" s="174" t="n">
        <v>0</v>
      </c>
      <c r="F214" s="174" t="n">
        <v>65.047</v>
      </c>
      <c r="G214" s="174" t="n">
        <v>1.183</v>
      </c>
      <c r="H214" s="174" t="n">
        <v>96.01000000000001</v>
      </c>
      <c r="I214" s="174" t="n">
        <v>10.412</v>
      </c>
      <c r="J214" s="174" t="n">
        <v>0</v>
      </c>
      <c r="K214" s="174" t="n">
        <v>24.68</v>
      </c>
      <c r="L214" s="174" t="n">
        <v>-22.684</v>
      </c>
      <c r="M214" s="174" t="n">
        <v>-1.996</v>
      </c>
      <c r="N214" s="174" t="n">
        <v>0</v>
      </c>
      <c r="O214" s="174" t="n">
        <v>0</v>
      </c>
      <c r="P214" s="174" t="n">
        <v>44</v>
      </c>
      <c r="Q214" s="174" t="n">
        <v>-15.797</v>
      </c>
      <c r="R214" s="174" t="n">
        <v>-28.203</v>
      </c>
      <c r="S214" s="174" t="n">
        <v>0</v>
      </c>
      <c r="T214" s="174" t="n">
        <v>0</v>
      </c>
      <c r="U214" s="174" t="n">
        <v>23</v>
      </c>
      <c r="V214" s="174" t="n">
        <v>40</v>
      </c>
      <c r="W214" s="174" t="n">
        <v>-50.683</v>
      </c>
      <c r="X214" s="174" t="n">
        <v>12.317</v>
      </c>
      <c r="Y214" s="174" t="n">
        <v>0</v>
      </c>
      <c r="Z214" s="174" t="n">
        <v>111.015</v>
      </c>
      <c r="AA214" s="174" t="n">
        <v>-25.203</v>
      </c>
      <c r="AB214" s="174" t="n">
        <v>-85.812</v>
      </c>
      <c r="AC214" s="174" t="n">
        <v>0</v>
      </c>
      <c r="AD214" s="174" t="n">
        <v>0</v>
      </c>
      <c r="AE214" s="174" t="n">
        <v>0</v>
      </c>
      <c r="AF214" s="174" t="n">
        <v>0</v>
      </c>
      <c r="AG214" s="174" t="n">
        <v>0</v>
      </c>
      <c r="AH214" s="174" t="n">
        <v>0</v>
      </c>
      <c r="AI214" s="174" t="n">
        <v>0</v>
      </c>
      <c r="AJ214" s="174" t="n">
        <v>0</v>
      </c>
      <c r="AK214" s="174" t="n">
        <v>0</v>
      </c>
      <c r="AL214" s="174" t="n">
        <v>0</v>
      </c>
      <c r="AM214" s="174" t="n">
        <v>0</v>
      </c>
      <c r="AN214" s="174" t="n">
        <v>0</v>
      </c>
      <c r="AO214" s="174" t="n">
        <v>0</v>
      </c>
      <c r="AP214" s="174" t="n">
        <v>0</v>
      </c>
      <c r="AQ214" s="174" t="n">
        <v>0</v>
      </c>
      <c r="AR214" s="174" t="n">
        <v>0</v>
      </c>
      <c r="AS214" s="174" t="n">
        <v>0</v>
      </c>
      <c r="AT214" s="174" t="n">
        <v>99.923</v>
      </c>
      <c r="AU214" s="174" t="n">
        <v>0</v>
      </c>
      <c r="AV214" s="174" t="n">
        <v>0</v>
      </c>
      <c r="AW214" s="174" t="n">
        <v>99.923</v>
      </c>
      <c r="AX214" s="174" t="n">
        <v>0</v>
      </c>
      <c r="AY214" s="174" t="n">
        <v>0</v>
      </c>
      <c r="AZ214" s="174" t="n">
        <v>0</v>
      </c>
      <c r="BA214" s="174" t="n">
        <v>0</v>
      </c>
      <c r="BB214" s="174" t="n">
        <v>0</v>
      </c>
      <c r="BC214" s="174" t="n">
        <v>0</v>
      </c>
      <c r="BD214" s="174" t="n">
        <v>0</v>
      </c>
      <c r="BE214" s="174" t="n">
        <v>0</v>
      </c>
      <c r="BF214" s="174" t="n">
        <v>0</v>
      </c>
      <c r="BG214" s="174" t="n">
        <v>0</v>
      </c>
      <c r="BH214" s="174" t="n">
        <v>0</v>
      </c>
      <c r="BI214" s="174" t="n">
        <v>0</v>
      </c>
      <c r="BJ214" s="174" t="n">
        <v>0</v>
      </c>
      <c r="BK214" s="174" t="n">
        <v>0</v>
      </c>
      <c r="BL214" s="174" t="n">
        <v>0</v>
      </c>
      <c r="BM214" s="174" t="n">
        <v>0</v>
      </c>
      <c r="BN214" s="174" t="n">
        <v>0</v>
      </c>
      <c r="BO214" s="174" t="n">
        <v>0</v>
      </c>
      <c r="BP214" s="174" t="n">
        <v>0</v>
      </c>
      <c r="BQ214" s="174" t="n">
        <v>0</v>
      </c>
      <c r="BR214" s="174" t="n">
        <v>0</v>
      </c>
      <c r="BS214" s="174" t="n">
        <v>130</v>
      </c>
      <c r="BT214" s="174" t="n">
        <v>-85</v>
      </c>
      <c r="BU214" s="174" t="n">
        <v>-45</v>
      </c>
      <c r="BV214" s="174" t="n">
        <v>0</v>
      </c>
      <c r="BW214" s="174" t="n">
        <v>0</v>
      </c>
      <c r="BX214" s="174" t="n">
        <v>0</v>
      </c>
      <c r="BY214" s="37" t="n"/>
      <c r="BZ214" s="37" t="n"/>
      <c r="CA214" s="176">
        <f>(BW214+BX214)+MAX(0,CA311-BX311)+CA307</f>
        <v/>
      </c>
      <c r="CB214" s="176">
        <f>CB307+MAX(0,CB311-CA311)</f>
        <v/>
      </c>
      <c r="CC214" s="176">
        <f>CC307+MAX(0,CC311-CB311)</f>
        <v/>
      </c>
      <c r="CD214" s="176">
        <f>CD307+MAX(0,CD311-CC311)</f>
        <v/>
      </c>
      <c r="CE214" s="176">
        <f>CE307+MAX(0,CE311-CD311)</f>
        <v/>
      </c>
      <c r="CF214" s="20" t="n"/>
    </row>
    <row r="215" ht="15" customHeight="1">
      <c r="B215" s="26" t="inlineStr">
        <is>
          <t>Principal payments on debt</t>
        </is>
      </c>
      <c r="C215" s="174" t="n">
        <v>-29.374</v>
      </c>
      <c r="D215" s="174" t="n">
        <v>-12.726</v>
      </c>
      <c r="E215" s="174" t="n">
        <v>-12.931</v>
      </c>
      <c r="F215" s="174" t="n">
        <v>-11.972</v>
      </c>
      <c r="G215" s="174" t="n">
        <v>-36.681</v>
      </c>
      <c r="H215" s="174" t="n">
        <v>-106.612</v>
      </c>
      <c r="I215" s="174" t="n">
        <v>-40.284</v>
      </c>
      <c r="J215" s="174" t="n">
        <v>-21.074</v>
      </c>
      <c r="K215" s="174" t="n">
        <v>-15.216</v>
      </c>
      <c r="L215" s="174" t="n">
        <v>0</v>
      </c>
      <c r="M215" s="174" t="n">
        <v>-12.688</v>
      </c>
      <c r="N215" s="174" t="n">
        <v>-48.978</v>
      </c>
      <c r="O215" s="174" t="n">
        <v>-10.715</v>
      </c>
      <c r="P215" s="174" t="n">
        <v>-25</v>
      </c>
      <c r="Q215" s="174" t="n">
        <v>0</v>
      </c>
      <c r="R215" s="174" t="n">
        <v>0</v>
      </c>
      <c r="S215" s="174" t="n">
        <v>-35.715</v>
      </c>
      <c r="T215" s="174" t="n">
        <v>-10.714</v>
      </c>
      <c r="U215" s="174" t="n">
        <v>-25.208</v>
      </c>
      <c r="V215" s="174" t="n">
        <v>-0.967</v>
      </c>
      <c r="W215" s="174" t="n">
        <v>-0.889</v>
      </c>
      <c r="X215" s="174" t="n">
        <v>-37.778</v>
      </c>
      <c r="Y215" s="174" t="n">
        <v>-8.483000000000001</v>
      </c>
      <c r="Z215" s="174" t="n">
        <v>-18.005</v>
      </c>
      <c r="AA215" s="174" t="n">
        <v>0</v>
      </c>
      <c r="AB215" s="174" t="n">
        <v>-2.342</v>
      </c>
      <c r="AC215" s="174" t="n">
        <v>-28.83</v>
      </c>
      <c r="AD215" s="174" t="n">
        <v>-9.975</v>
      </c>
      <c r="AE215" s="174" t="n">
        <v>0</v>
      </c>
      <c r="AF215" s="174" t="n">
        <v>0</v>
      </c>
      <c r="AG215" s="174" t="n">
        <v>0</v>
      </c>
      <c r="AH215" s="174" t="n">
        <v>-9.975</v>
      </c>
      <c r="AI215" s="174" t="n">
        <v>-50</v>
      </c>
      <c r="AJ215" s="174" t="n">
        <v>0</v>
      </c>
      <c r="AK215" s="174" t="n">
        <v>0</v>
      </c>
      <c r="AL215" s="174" t="n">
        <v>0</v>
      </c>
      <c r="AM215" s="174" t="n">
        <v>-50</v>
      </c>
      <c r="AN215" s="174" t="n">
        <v>0</v>
      </c>
      <c r="AO215" s="174" t="n">
        <v>0</v>
      </c>
      <c r="AP215" s="174" t="n">
        <v>0</v>
      </c>
      <c r="AQ215" s="174" t="n">
        <v>0</v>
      </c>
      <c r="AR215" s="174" t="n">
        <v>0</v>
      </c>
      <c r="AS215" s="174" t="n">
        <v>0</v>
      </c>
      <c r="AT215" s="174" t="n">
        <v>0</v>
      </c>
      <c r="AU215" s="174" t="n">
        <v>0</v>
      </c>
      <c r="AV215" s="174" t="n">
        <v>-45</v>
      </c>
      <c r="AW215" s="174" t="n">
        <v>-45</v>
      </c>
      <c r="AX215" s="174" t="n">
        <v>0</v>
      </c>
      <c r="AY215" s="174" t="n">
        <v>0</v>
      </c>
      <c r="AZ215" s="174" t="n">
        <v>0</v>
      </c>
      <c r="BA215" s="174" t="n">
        <v>0</v>
      </c>
      <c r="BB215" s="174" t="n">
        <v>0</v>
      </c>
      <c r="BC215" s="174" t="n">
        <v>0</v>
      </c>
      <c r="BD215" s="174" t="n">
        <v>0</v>
      </c>
      <c r="BE215" s="174" t="n">
        <v>0</v>
      </c>
      <c r="BF215" s="174" t="n">
        <v>0</v>
      </c>
      <c r="BG215" s="174" t="n">
        <v>0</v>
      </c>
      <c r="BH215" s="174" t="n">
        <v>0</v>
      </c>
      <c r="BI215" s="174" t="n">
        <v>-20</v>
      </c>
      <c r="BJ215" s="174" t="n">
        <v>0</v>
      </c>
      <c r="BK215" s="174" t="n">
        <v>0</v>
      </c>
      <c r="BL215" s="174" t="n">
        <v>-20</v>
      </c>
      <c r="BM215" s="174" t="n">
        <v>0</v>
      </c>
      <c r="BN215" s="174" t="n">
        <v>-20</v>
      </c>
      <c r="BO215" s="174" t="n">
        <v>0</v>
      </c>
      <c r="BP215" s="174" t="n">
        <v>0</v>
      </c>
      <c r="BQ215" s="174" t="n">
        <v>-20</v>
      </c>
      <c r="BR215" s="174" t="n">
        <v>0</v>
      </c>
      <c r="BS215" s="174" t="n">
        <v>-20</v>
      </c>
      <c r="BT215" s="174" t="n">
        <v>0</v>
      </c>
      <c r="BU215" s="174" t="n">
        <v>0</v>
      </c>
      <c r="BV215" s="174" t="n">
        <v>-20</v>
      </c>
      <c r="BW215" s="174" t="n">
        <v>0</v>
      </c>
      <c r="BX215" s="174" t="n">
        <v>-20</v>
      </c>
      <c r="BY215" s="37" t="n"/>
      <c r="BZ215" s="37" t="n"/>
      <c r="CA215" s="176">
        <f>(BW215+BX215)+MIN(0,CA311-BX311)+CA305</f>
        <v/>
      </c>
      <c r="CB215" s="176">
        <f>CB305+MIN(0,CB311-CA311)</f>
        <v/>
      </c>
      <c r="CC215" s="176">
        <f>CC305+MIN(0,CC311-CB311)</f>
        <v/>
      </c>
      <c r="CD215" s="176">
        <f>CD305+MIN(0,CD311-CC311)</f>
        <v/>
      </c>
      <c r="CE215" s="176">
        <f>CE305+MIN(0,CE311-CD311)</f>
        <v/>
      </c>
      <c r="CF215" s="20" t="inlineStr">
        <is>
          <t>Net issuance / (repayment) = change in total debt per the debt schedule (Series B notes amortisation; revolver).</t>
        </is>
      </c>
    </row>
    <row r="216" ht="15" customHeight="1">
      <c r="B216" s="26" t="inlineStr">
        <is>
          <t>Dividends paid</t>
        </is>
      </c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174" t="n">
        <v>-8.234999999999999</v>
      </c>
      <c r="AE216" s="174" t="n">
        <v>-8.234</v>
      </c>
      <c r="AF216" s="174" t="n">
        <v>-8.228</v>
      </c>
      <c r="AG216" s="174" t="n">
        <v>-8.228</v>
      </c>
      <c r="AH216" s="174" t="n">
        <v>-32.925</v>
      </c>
      <c r="AI216" s="174" t="n">
        <v>-10.695</v>
      </c>
      <c r="AJ216" s="174" t="n">
        <v>-10.678</v>
      </c>
      <c r="AK216" s="174" t="n">
        <v>-10.638</v>
      </c>
      <c r="AL216" s="174" t="n">
        <v>-10.555</v>
      </c>
      <c r="AM216" s="174" t="n">
        <v>-42.566</v>
      </c>
      <c r="AN216" s="174" t="n">
        <v>-13.79</v>
      </c>
      <c r="AO216" s="174" t="n">
        <v>-13.645</v>
      </c>
      <c r="AP216" s="174" t="n">
        <v>-13.57</v>
      </c>
      <c r="AQ216" s="174" t="n">
        <v>-13.547</v>
      </c>
      <c r="AR216" s="174" t="n">
        <v>-54.552</v>
      </c>
      <c r="AS216" s="174" t="n">
        <v>-18.31</v>
      </c>
      <c r="AT216" s="174" t="n">
        <v>-17.582</v>
      </c>
      <c r="AU216" s="174" t="n">
        <v>-17.579</v>
      </c>
      <c r="AV216" s="174" t="n">
        <v>-17.552</v>
      </c>
      <c r="AW216" s="174" t="n">
        <v>-71.023</v>
      </c>
      <c r="AX216" s="174" t="n">
        <v>-23.232</v>
      </c>
      <c r="AY216" s="174" t="n">
        <v>-23.176</v>
      </c>
      <c r="AZ216" s="174" t="n">
        <v>-22.979</v>
      </c>
      <c r="BA216" s="174" t="n">
        <v>-22.979</v>
      </c>
      <c r="BB216" s="174" t="n">
        <v>-92.366</v>
      </c>
      <c r="BC216" s="174" t="n">
        <v>-34.196</v>
      </c>
      <c r="BD216" s="174" t="n">
        <v>-33.839</v>
      </c>
      <c r="BE216" s="174" t="n">
        <v>-33.405</v>
      </c>
      <c r="BF216" s="174" t="n">
        <v>-33.044</v>
      </c>
      <c r="BG216" s="174" t="n">
        <v>-134.484</v>
      </c>
      <c r="BH216" s="174" t="n">
        <v>-44.052</v>
      </c>
      <c r="BI216" s="174" t="n">
        <v>-43.775</v>
      </c>
      <c r="BJ216" s="174" t="n">
        <v>-43.665</v>
      </c>
      <c r="BK216" s="174" t="n">
        <v>-43.597</v>
      </c>
      <c r="BL216" s="174" t="n">
        <v>-175.089</v>
      </c>
      <c r="BM216" s="174" t="n">
        <v>-56.633</v>
      </c>
      <c r="BN216" s="174" t="n">
        <v>-55.951</v>
      </c>
      <c r="BO216" s="174" t="n">
        <v>-55.622</v>
      </c>
      <c r="BP216" s="174" t="n">
        <v>-55.412</v>
      </c>
      <c r="BQ216" s="174" t="n">
        <v>-223.618</v>
      </c>
      <c r="BR216" s="174" t="n">
        <v>-59.495</v>
      </c>
      <c r="BS216" s="174" t="n">
        <v>-59.032</v>
      </c>
      <c r="BT216" s="174" t="n">
        <v>-58.682</v>
      </c>
      <c r="BU216" s="174" t="n">
        <v>-58.432</v>
      </c>
      <c r="BV216" s="174" t="n">
        <v>-235.641</v>
      </c>
      <c r="BW216" s="174" t="n">
        <v>-60.498</v>
      </c>
      <c r="BX216" s="174" t="n">
        <v>-60.168</v>
      </c>
      <c r="BY216" s="37" t="n"/>
      <c r="BZ216" s="37" t="n"/>
      <c r="CA216" s="176">
        <f>(BW216+BX216)-(BY135*BY129+BZ135*BZ129)</f>
        <v/>
      </c>
      <c r="CB216" s="176">
        <f>-CB135*CB242</f>
        <v/>
      </c>
      <c r="CC216" s="176">
        <f>-CC135*CC242</f>
        <v/>
      </c>
      <c r="CD216" s="176">
        <f>-CD135*CD242</f>
        <v/>
      </c>
      <c r="CE216" s="176">
        <f>-CE135*CE242</f>
        <v/>
      </c>
      <c r="CF216" s="20" t="inlineStr">
        <is>
          <t>2027E+: dividends per share × beginning shares outstanding (avoids circularity with buybacks).</t>
        </is>
      </c>
    </row>
    <row r="217" ht="15" customHeight="1">
      <c r="B217" s="26" t="inlineStr">
        <is>
          <t>Payments for share repurchases (incl. accelerated share repurchases)</t>
        </is>
      </c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174" t="n">
        <v>-5.532</v>
      </c>
      <c r="S217" s="174" t="n">
        <v>-5.532</v>
      </c>
      <c r="T217" s="174" t="n">
        <v>-13.327</v>
      </c>
      <c r="U217" s="174" t="n">
        <v>-29.072</v>
      </c>
      <c r="V217" s="174" t="n">
        <v>-36.718</v>
      </c>
      <c r="W217" s="174" t="n">
        <v>-35</v>
      </c>
      <c r="X217" s="174" t="n">
        <v>-114.117</v>
      </c>
      <c r="Y217" s="174" t="n">
        <v>-44.646</v>
      </c>
      <c r="Z217" s="174" t="n">
        <v>-40.037</v>
      </c>
      <c r="AA217" s="174" t="n">
        <v>-34.339</v>
      </c>
      <c r="AB217" s="174" t="n">
        <v>-11.294</v>
      </c>
      <c r="AC217" s="174" t="n">
        <v>-130.316</v>
      </c>
      <c r="AD217" s="174" t="n">
        <v>-0.05</v>
      </c>
      <c r="AE217" s="174" t="n">
        <v>-7.085</v>
      </c>
      <c r="AF217" s="174" t="n">
        <v>-0.878</v>
      </c>
      <c r="AG217" s="174" t="n">
        <v>0</v>
      </c>
      <c r="AH217" s="174" t="n">
        <v>-8.013</v>
      </c>
      <c r="AI217" s="174" t="n">
        <v>-17.299</v>
      </c>
      <c r="AJ217" s="174" t="n">
        <v>-30.095</v>
      </c>
      <c r="AK217" s="174" t="n">
        <v>-29.195</v>
      </c>
      <c r="AL217" s="174" t="n">
        <v>-86.676</v>
      </c>
      <c r="AM217" s="174" t="n">
        <v>-163.265</v>
      </c>
      <c r="AN217" s="174" t="n">
        <v>-30.596</v>
      </c>
      <c r="AO217" s="174" t="n">
        <v>-134.136</v>
      </c>
      <c r="AP217" s="174" t="n">
        <v>-40.614</v>
      </c>
      <c r="AQ217" s="174" t="n">
        <v>-35.614</v>
      </c>
      <c r="AR217" s="174" t="n">
        <v>-240.96</v>
      </c>
      <c r="AS217" s="174" t="n">
        <v>-178.294</v>
      </c>
      <c r="AT217" s="174" t="n">
        <v>-165.997</v>
      </c>
      <c r="AU217" s="174" t="n">
        <v>0</v>
      </c>
      <c r="AV217" s="174" t="n">
        <v>-19.766</v>
      </c>
      <c r="AW217" s="174" t="n">
        <v>-364.057</v>
      </c>
      <c r="AX217" s="174" t="n">
        <v>-308.965</v>
      </c>
      <c r="AY217" s="174" t="n">
        <v>-40</v>
      </c>
      <c r="AZ217" s="174" t="n">
        <v>-250</v>
      </c>
      <c r="BA217" s="174" t="n">
        <v>0</v>
      </c>
      <c r="BB217" s="174" t="n">
        <v>-598.965</v>
      </c>
      <c r="BC217" s="174" t="n">
        <v>-438.352</v>
      </c>
      <c r="BD217" s="174" t="n">
        <v>-293.518</v>
      </c>
      <c r="BE217" s="174" t="n">
        <v>-345.431</v>
      </c>
      <c r="BF217" s="174" t="n">
        <v>-199.918</v>
      </c>
      <c r="BG217" s="174" t="n">
        <v>-1277.219</v>
      </c>
      <c r="BH217" s="174" t="n">
        <v>-141.666</v>
      </c>
      <c r="BI217" s="174" t="n">
        <v>-160.529</v>
      </c>
      <c r="BJ217" s="174" t="n">
        <v>-65.90000000000001</v>
      </c>
      <c r="BK217" s="174" t="n">
        <v>-85.518</v>
      </c>
      <c r="BL217" s="174" t="n">
        <v>-453.613</v>
      </c>
      <c r="BM217" s="174" t="n">
        <v>-85.28</v>
      </c>
      <c r="BN217" s="174" t="n">
        <v>-551.833</v>
      </c>
      <c r="BO217" s="174" t="n">
        <v>-187.659</v>
      </c>
      <c r="BP217" s="174" t="n">
        <v>-142.522</v>
      </c>
      <c r="BQ217" s="174" t="n">
        <v>-967.294</v>
      </c>
      <c r="BR217" s="174" t="n">
        <v>-201.077</v>
      </c>
      <c r="BS217" s="174" t="n">
        <v>-223.507</v>
      </c>
      <c r="BT217" s="174" t="n">
        <v>-180.841</v>
      </c>
      <c r="BU217" s="174" t="n">
        <v>-124.913</v>
      </c>
      <c r="BV217" s="174" t="n">
        <v>-730.338</v>
      </c>
      <c r="BW217" s="174" t="n">
        <v>-88.137</v>
      </c>
      <c r="BX217" s="174" t="n">
        <v>-151.575</v>
      </c>
      <c r="BY217" s="37" t="n"/>
      <c r="BZ217" s="37" t="n"/>
      <c r="CA217" s="176">
        <f>(BW217+BX217)-CHOOSE(MATCH($CF$2,{"Bull","Base","Bear"},0),$CO$16,$CP$16,$CQ$16)</f>
        <v/>
      </c>
      <c r="CB217" s="176">
        <f>-CB319</f>
        <v/>
      </c>
      <c r="CC217" s="176">
        <f>-CC319</f>
        <v/>
      </c>
      <c r="CD217" s="176">
        <f>-CD319</f>
        <v/>
      </c>
      <c r="CE217" s="176">
        <f>-CE319</f>
        <v/>
      </c>
      <c r="CF217" s="20" t="inlineStr">
        <is>
          <t>2026E = 1H/26 actual + 2H scenario amount; 2027E+ = cash plug (cash above the scenario target balance returned via buybacks).</t>
        </is>
      </c>
    </row>
    <row r="218" ht="15" customHeight="1">
      <c r="B218" s="26" t="inlineStr">
        <is>
          <t>Other financing activities, net (derived; tax withholding on equity awards, debt costs)</t>
        </is>
      </c>
      <c r="C218" s="174" t="n">
        <v>-0.612</v>
      </c>
      <c r="D218" s="174" t="n">
        <v>0</v>
      </c>
      <c r="E218" s="174" t="n">
        <v>0</v>
      </c>
      <c r="F218" s="174" t="n">
        <v>0</v>
      </c>
      <c r="G218" s="174" t="n">
        <v>-0.002</v>
      </c>
      <c r="H218" s="174" t="n">
        <v>48.4</v>
      </c>
      <c r="I218" s="174" t="n">
        <v>-0.002</v>
      </c>
      <c r="J218" s="174" t="n">
        <v>0</v>
      </c>
      <c r="K218" s="174" t="n">
        <v>0</v>
      </c>
      <c r="L218" s="174" t="n">
        <v>0</v>
      </c>
      <c r="M218" s="174" t="n">
        <v>0</v>
      </c>
      <c r="N218" s="174" t="n">
        <v>0</v>
      </c>
      <c r="O218" s="174" t="n">
        <v>0</v>
      </c>
      <c r="P218" s="174" t="n">
        <v>0</v>
      </c>
      <c r="Q218" s="174" t="n">
        <v>0</v>
      </c>
      <c r="R218" s="174" t="n">
        <v>0</v>
      </c>
      <c r="S218" s="174" t="n">
        <v>0</v>
      </c>
      <c r="T218" s="174" t="n">
        <v>0</v>
      </c>
      <c r="U218" s="174" t="n">
        <v>0</v>
      </c>
      <c r="V218" s="174" t="n">
        <v>0</v>
      </c>
      <c r="W218" s="174" t="n">
        <v>0</v>
      </c>
      <c r="X218" s="174" t="n">
        <v>0</v>
      </c>
      <c r="Y218" s="174" t="n">
        <v>0</v>
      </c>
      <c r="Z218" s="174" t="n">
        <v>-0.338</v>
      </c>
      <c r="AA218" s="174" t="n">
        <v>0</v>
      </c>
      <c r="AB218" s="174" t="n">
        <v>0</v>
      </c>
      <c r="AC218" s="174" t="n">
        <v>-0.338</v>
      </c>
      <c r="AD218" s="174" t="n">
        <v>0</v>
      </c>
      <c r="AE218" s="174" t="n">
        <v>-0.344</v>
      </c>
      <c r="AF218" s="174" t="n">
        <v>0</v>
      </c>
      <c r="AG218" s="174" t="n">
        <v>0</v>
      </c>
      <c r="AH218" s="174" t="n">
        <v>-0.344</v>
      </c>
      <c r="AI218" s="174" t="n">
        <v>-0.5669999999999999</v>
      </c>
      <c r="AJ218" s="174" t="n">
        <v>-0.507</v>
      </c>
      <c r="AK218" s="174" t="n">
        <v>0</v>
      </c>
      <c r="AL218" s="174" t="n">
        <v>0</v>
      </c>
      <c r="AM218" s="174" t="n">
        <v>-1.074</v>
      </c>
      <c r="AN218" s="174" t="n">
        <v>-0.98</v>
      </c>
      <c r="AO218" s="174" t="n">
        <v>-0.468</v>
      </c>
      <c r="AP218" s="174" t="n">
        <v>0</v>
      </c>
      <c r="AQ218" s="174" t="n">
        <v>0</v>
      </c>
      <c r="AR218" s="174" t="n">
        <v>-1.448</v>
      </c>
      <c r="AS218" s="174" t="n">
        <v>-3.345</v>
      </c>
      <c r="AT218" s="174" t="n">
        <v>0</v>
      </c>
      <c r="AU218" s="174" t="n">
        <v>0</v>
      </c>
      <c r="AV218" s="174" t="n">
        <v>0</v>
      </c>
      <c r="AW218" s="174" t="n">
        <v>-3.345</v>
      </c>
      <c r="AX218" s="174" t="n">
        <v>-4.569</v>
      </c>
      <c r="AY218" s="174" t="n">
        <v>-0.08500000000000001</v>
      </c>
      <c r="AZ218" s="174" t="n">
        <v>-0.096</v>
      </c>
      <c r="BA218" s="174" t="n">
        <v>-0.103</v>
      </c>
      <c r="BB218" s="174" t="n">
        <v>-4.853</v>
      </c>
      <c r="BC218" s="174" t="n">
        <v>-8.164999999999999</v>
      </c>
      <c r="BD218" s="174" t="n">
        <v>-0.165</v>
      </c>
      <c r="BE218" s="174" t="n">
        <v>-0.165</v>
      </c>
      <c r="BF218" s="174" t="n">
        <v>-0.164</v>
      </c>
      <c r="BG218" s="174" t="n">
        <v>-8.659000000000001</v>
      </c>
      <c r="BH218" s="174" t="n">
        <v>-8.462</v>
      </c>
      <c r="BI218" s="174" t="n">
        <v>-2.96</v>
      </c>
      <c r="BJ218" s="174" t="n">
        <v>-0.859</v>
      </c>
      <c r="BK218" s="174" t="n">
        <v>-0.845</v>
      </c>
      <c r="BL218" s="174" t="n">
        <v>-13.126</v>
      </c>
      <c r="BM218" s="174" t="n">
        <v>-16.853</v>
      </c>
      <c r="BN218" s="174" t="n">
        <v>-1.884</v>
      </c>
      <c r="BO218" s="174" t="n">
        <v>-1.896</v>
      </c>
      <c r="BP218" s="174" t="n">
        <v>-1.667</v>
      </c>
      <c r="BQ218" s="174" t="n">
        <v>-22.3</v>
      </c>
      <c r="BR218" s="174" t="n">
        <v>-4.508</v>
      </c>
      <c r="BS218" s="174" t="n">
        <v>-1.215</v>
      </c>
      <c r="BT218" s="174" t="n">
        <v>-0.324</v>
      </c>
      <c r="BU218" s="174" t="n">
        <v>-0.281</v>
      </c>
      <c r="BV218" s="174" t="n">
        <v>-6.328</v>
      </c>
      <c r="BW218" s="174" t="n">
        <v>-4.357</v>
      </c>
      <c r="BX218" s="174" t="n">
        <v>-0.706</v>
      </c>
      <c r="BY218" s="37" t="n"/>
      <c r="BZ218" s="37" t="n"/>
      <c r="CA218" s="176">
        <f>(BW218+BX218)</f>
        <v/>
      </c>
      <c r="CB218" s="175" t="n">
        <v>-10</v>
      </c>
      <c r="CC218" s="175" t="n">
        <v>-10</v>
      </c>
      <c r="CD218" s="175" t="n">
        <v>-10</v>
      </c>
      <c r="CE218" s="175" t="n">
        <v>-10</v>
      </c>
      <c r="CF218" s="20" t="n"/>
    </row>
    <row r="219" ht="15" customHeight="1">
      <c r="B219" s="17" t="inlineStr">
        <is>
          <t>Net cash used in financing activities</t>
        </is>
      </c>
      <c r="C219" s="177" t="n">
        <v>145.014</v>
      </c>
      <c r="D219" s="177" t="n">
        <v>-12.726</v>
      </c>
      <c r="E219" s="177" t="n">
        <v>-12.931</v>
      </c>
      <c r="F219" s="177" t="n">
        <v>53.075</v>
      </c>
      <c r="G219" s="177" t="n">
        <v>-35.5</v>
      </c>
      <c r="H219" s="177" t="n">
        <v>37.798</v>
      </c>
      <c r="I219" s="177" t="n">
        <v>-29.874</v>
      </c>
      <c r="J219" s="177" t="n">
        <v>-21.074</v>
      </c>
      <c r="K219" s="177" t="n">
        <v>9.464</v>
      </c>
      <c r="L219" s="177" t="n">
        <v>-22.684</v>
      </c>
      <c r="M219" s="177" t="n">
        <v>-14.684</v>
      </c>
      <c r="N219" s="177" t="n">
        <v>-48.978</v>
      </c>
      <c r="O219" s="177" t="n">
        <v>-10.715</v>
      </c>
      <c r="P219" s="177" t="n">
        <v>19</v>
      </c>
      <c r="Q219" s="177" t="n">
        <v>-15.797</v>
      </c>
      <c r="R219" s="177" t="n">
        <v>-33.735</v>
      </c>
      <c r="S219" s="177" t="n">
        <v>-41.247</v>
      </c>
      <c r="T219" s="177" t="n">
        <v>-24.041</v>
      </c>
      <c r="U219" s="177" t="n">
        <v>-31.28</v>
      </c>
      <c r="V219" s="177" t="n">
        <v>2.315</v>
      </c>
      <c r="W219" s="177" t="n">
        <v>-86.572</v>
      </c>
      <c r="X219" s="177" t="n">
        <v>-139.578</v>
      </c>
      <c r="Y219" s="177" t="n">
        <v>-53.129</v>
      </c>
      <c r="Z219" s="177" t="n">
        <v>52.635</v>
      </c>
      <c r="AA219" s="177" t="n">
        <v>-59.542</v>
      </c>
      <c r="AB219" s="177" t="n">
        <v>-99.44799999999999</v>
      </c>
      <c r="AC219" s="177" t="n">
        <v>-159.484</v>
      </c>
      <c r="AD219" s="177" t="n">
        <v>-18.26</v>
      </c>
      <c r="AE219" s="177" t="n">
        <v>-15.663</v>
      </c>
      <c r="AF219" s="177" t="n">
        <v>-9.106</v>
      </c>
      <c r="AG219" s="177" t="n">
        <v>-8.228</v>
      </c>
      <c r="AH219" s="177" t="n">
        <v>-51.257</v>
      </c>
      <c r="AI219" s="177" t="n">
        <v>-78.56100000000001</v>
      </c>
      <c r="AJ219" s="177" t="n">
        <v>-41.28</v>
      </c>
      <c r="AK219" s="177" t="n">
        <v>-39.833</v>
      </c>
      <c r="AL219" s="177" t="n">
        <v>-97.23099999999999</v>
      </c>
      <c r="AM219" s="177" t="n">
        <v>-256.905</v>
      </c>
      <c r="AN219" s="177" t="n">
        <v>-45.366</v>
      </c>
      <c r="AO219" s="177" t="n">
        <v>-148.249</v>
      </c>
      <c r="AP219" s="177" t="n">
        <v>-54.184</v>
      </c>
      <c r="AQ219" s="177" t="n">
        <v>-49.161</v>
      </c>
      <c r="AR219" s="177" t="n">
        <v>-296.96</v>
      </c>
      <c r="AS219" s="177" t="n">
        <v>-199.949</v>
      </c>
      <c r="AT219" s="177" t="n">
        <v>-83.65600000000001</v>
      </c>
      <c r="AU219" s="177" t="n">
        <v>-17.579</v>
      </c>
      <c r="AV219" s="177" t="n">
        <v>-82.318</v>
      </c>
      <c r="AW219" s="177" t="n">
        <v>-383.502</v>
      </c>
      <c r="AX219" s="177" t="n">
        <v>-336.766</v>
      </c>
      <c r="AY219" s="177" t="n">
        <v>-63.261</v>
      </c>
      <c r="AZ219" s="177" t="n">
        <v>-273.075</v>
      </c>
      <c r="BA219" s="177" t="n">
        <v>-23.082</v>
      </c>
      <c r="BB219" s="177" t="n">
        <v>-696.184</v>
      </c>
      <c r="BC219" s="177" t="n">
        <v>-480.713</v>
      </c>
      <c r="BD219" s="177" t="n">
        <v>-327.522</v>
      </c>
      <c r="BE219" s="177" t="n">
        <v>-379.001</v>
      </c>
      <c r="BF219" s="177" t="n">
        <v>-233.126</v>
      </c>
      <c r="BG219" s="177" t="n">
        <v>-1420.362</v>
      </c>
      <c r="BH219" s="177" t="n">
        <v>-194.18</v>
      </c>
      <c r="BI219" s="177" t="n">
        <v>-227.264</v>
      </c>
      <c r="BJ219" s="177" t="n">
        <v>-110.424</v>
      </c>
      <c r="BK219" s="177" t="n">
        <v>-129.96</v>
      </c>
      <c r="BL219" s="177" t="n">
        <v>-661.828</v>
      </c>
      <c r="BM219" s="177" t="n">
        <v>-158.766</v>
      </c>
      <c r="BN219" s="177" t="n">
        <v>-629.668</v>
      </c>
      <c r="BO219" s="177" t="n">
        <v>-245.177</v>
      </c>
      <c r="BP219" s="177" t="n">
        <v>-199.601</v>
      </c>
      <c r="BQ219" s="177" t="n">
        <v>-1233.212</v>
      </c>
      <c r="BR219" s="177" t="n">
        <v>-265.08</v>
      </c>
      <c r="BS219" s="177" t="n">
        <v>-173.754</v>
      </c>
      <c r="BT219" s="177" t="n">
        <v>-324.847</v>
      </c>
      <c r="BU219" s="177" t="n">
        <v>-228.626</v>
      </c>
      <c r="BV219" s="177" t="n">
        <v>-992.307</v>
      </c>
      <c r="BW219" s="177" t="n">
        <v>-152.992</v>
      </c>
      <c r="BX219" s="177" t="n">
        <v>-232.449</v>
      </c>
      <c r="BY219" s="34" t="n"/>
      <c r="BZ219" s="34" t="n"/>
      <c r="CA219" s="178">
        <f>SUM(CA214:CA218)</f>
        <v/>
      </c>
      <c r="CB219" s="178">
        <f>SUM(CB214:CB218)</f>
        <v/>
      </c>
      <c r="CC219" s="178">
        <f>SUM(CC214:CC218)</f>
        <v/>
      </c>
      <c r="CD219" s="178">
        <f>SUM(CD214:CD218)</f>
        <v/>
      </c>
      <c r="CE219" s="178">
        <f>SUM(CE214:CE218)</f>
        <v/>
      </c>
      <c r="CF219" s="6" t="n"/>
    </row>
    <row r="220" ht="15" customHeight="1">
      <c r="B220" s="26" t="inlineStr">
        <is>
          <t>Net increase (decrease) in cash &amp; cash equivalents</t>
        </is>
      </c>
      <c r="C220" s="174" t="n">
        <v>1.578</v>
      </c>
      <c r="D220" s="174" t="n">
        <v>3.764</v>
      </c>
      <c r="E220" s="174" t="n">
        <v>17.776</v>
      </c>
      <c r="F220" s="174" t="n">
        <v>-19.933</v>
      </c>
      <c r="G220" s="174" t="n">
        <v>1.279</v>
      </c>
      <c r="H220" s="174" t="n">
        <v>70.40000000000001</v>
      </c>
      <c r="I220" s="174" t="n">
        <v>-62.993</v>
      </c>
      <c r="J220" s="174" t="n">
        <v>16.326</v>
      </c>
      <c r="K220" s="174" t="n">
        <v>-21.813</v>
      </c>
      <c r="L220" s="174" t="n">
        <v>4.734</v>
      </c>
      <c r="M220" s="174" t="n">
        <v>18.07</v>
      </c>
      <c r="N220" s="174" t="n">
        <v>17.317</v>
      </c>
      <c r="O220" s="174" t="n">
        <v>11.07</v>
      </c>
      <c r="P220" s="174" t="n">
        <v>-21.455</v>
      </c>
      <c r="Q220" s="174" t="n">
        <v>-11.62</v>
      </c>
      <c r="R220" s="174" t="n">
        <v>26.618</v>
      </c>
      <c r="S220" s="174" t="n">
        <v>4.613</v>
      </c>
      <c r="T220" s="174" t="n">
        <v>78.251</v>
      </c>
      <c r="U220" s="174" t="n">
        <v>-100.249</v>
      </c>
      <c r="V220" s="174" t="n">
        <v>-1.377</v>
      </c>
      <c r="W220" s="174" t="n">
        <v>0.06</v>
      </c>
      <c r="X220" s="174" t="n">
        <v>-23.315</v>
      </c>
      <c r="Y220" s="174" t="n">
        <v>-4.339</v>
      </c>
      <c r="Z220" s="174" t="n">
        <v>3.54</v>
      </c>
      <c r="AA220" s="174" t="n">
        <v>4.341</v>
      </c>
      <c r="AB220" s="174" t="n">
        <v>-4.843</v>
      </c>
      <c r="AC220" s="174" t="n">
        <v>-1.301</v>
      </c>
      <c r="AD220" s="174" t="n">
        <v>37.38</v>
      </c>
      <c r="AE220" s="174" t="n">
        <v>-13.718</v>
      </c>
      <c r="AF220" s="174" t="n">
        <v>44.258</v>
      </c>
      <c r="AG220" s="174" t="n">
        <v>49.371</v>
      </c>
      <c r="AH220" s="174" t="n">
        <v>117.291</v>
      </c>
      <c r="AI220" s="174" t="n">
        <v>32.475</v>
      </c>
      <c r="AJ220" s="174" t="n">
        <v>-19.366</v>
      </c>
      <c r="AK220" s="174" t="n">
        <v>36.897</v>
      </c>
      <c r="AL220" s="174" t="n">
        <v>12.814</v>
      </c>
      <c r="AM220" s="174" t="n">
        <v>62.82</v>
      </c>
      <c r="AN220" s="174" t="n">
        <v>90.345</v>
      </c>
      <c r="AO220" s="174" t="n">
        <v>-51.667</v>
      </c>
      <c r="AP220" s="174" t="n">
        <v>93.32599999999999</v>
      </c>
      <c r="AQ220" s="174" t="n">
        <v>81.285</v>
      </c>
      <c r="AR220" s="174" t="n">
        <v>213.289</v>
      </c>
      <c r="AS220" s="174" t="n">
        <v>-46.599</v>
      </c>
      <c r="AT220" s="174" t="n">
        <v>161.652</v>
      </c>
      <c r="AU220" s="174" t="n">
        <v>-98.22799999999999</v>
      </c>
      <c r="AV220" s="174" t="n">
        <v>-18.966</v>
      </c>
      <c r="AW220" s="174" t="n">
        <v>-2.141</v>
      </c>
      <c r="AX220" s="174" t="n">
        <v>-49.53</v>
      </c>
      <c r="AY220" s="174" t="n">
        <v>132.304</v>
      </c>
      <c r="AZ220" s="174" t="n">
        <v>-144.443</v>
      </c>
      <c r="BA220" s="174" t="n">
        <v>122.803</v>
      </c>
      <c r="BB220" s="174" t="n">
        <v>61.134</v>
      </c>
      <c r="BC220" s="174" t="n">
        <v>-200.442</v>
      </c>
      <c r="BD220" s="174" t="n">
        <v>-65.988</v>
      </c>
      <c r="BE220" s="174" t="n">
        <v>20.593</v>
      </c>
      <c r="BF220" s="174" t="n">
        <v>-30.415</v>
      </c>
      <c r="BG220" s="174" t="n">
        <v>-276.252</v>
      </c>
      <c r="BH220" s="174" t="n">
        <v>21.312</v>
      </c>
      <c r="BI220" s="174" t="n">
        <v>-152.483</v>
      </c>
      <c r="BJ220" s="174" t="n">
        <v>151.46</v>
      </c>
      <c r="BK220" s="174" t="n">
        <v>227.198</v>
      </c>
      <c r="BL220" s="174" t="n">
        <v>247.487</v>
      </c>
      <c r="BM220" s="174" t="n">
        <v>147.175</v>
      </c>
      <c r="BN220" s="174" t="n">
        <v>-506.67</v>
      </c>
      <c r="BO220" s="174" t="n">
        <v>-0.141</v>
      </c>
      <c r="BP220" s="174" t="n">
        <v>34.513</v>
      </c>
      <c r="BQ220" s="174" t="n">
        <v>-325.123</v>
      </c>
      <c r="BR220" s="174" t="n">
        <v>-11.478</v>
      </c>
      <c r="BS220" s="174" t="n">
        <v>-73.14100000000001</v>
      </c>
      <c r="BT220" s="174" t="n">
        <v>22.535</v>
      </c>
      <c r="BU220" s="174" t="n">
        <v>73.499</v>
      </c>
      <c r="BV220" s="174" t="n">
        <v>11.415</v>
      </c>
      <c r="BW220" s="174" t="n">
        <v>167.991</v>
      </c>
      <c r="BX220" s="174" t="n">
        <v>-4.143</v>
      </c>
      <c r="BY220" s="37" t="n"/>
      <c r="BZ220" s="37" t="n"/>
      <c r="CA220" s="176">
        <f>CA207+CA213+CA219</f>
        <v/>
      </c>
      <c r="CB220" s="176">
        <f>CB207+CB213+CB219</f>
        <v/>
      </c>
      <c r="CC220" s="176">
        <f>CC207+CC213+CC219</f>
        <v/>
      </c>
      <c r="CD220" s="176">
        <f>CD207+CD213+CD219</f>
        <v/>
      </c>
      <c r="CE220" s="176">
        <f>CE207+CE213+CE219</f>
        <v/>
      </c>
      <c r="CF220" s="20" t="n"/>
    </row>
    <row r="221" ht="15" customHeight="1">
      <c r="B221" s="26" t="inlineStr">
        <is>
          <t>Cash &amp; cash equivalents — beginning of period</t>
        </is>
      </c>
      <c r="C221" s="174" t="n">
        <v>0.986</v>
      </c>
      <c r="D221" s="174" t="n">
        <v>2.564</v>
      </c>
      <c r="E221" s="174" t="n">
        <v>6.328</v>
      </c>
      <c r="F221" s="174" t="n">
        <v>24.104</v>
      </c>
      <c r="G221" s="174" t="n">
        <v>4.171</v>
      </c>
      <c r="H221" s="174" t="n">
        <v>5.45</v>
      </c>
      <c r="I221" s="174" t="n">
        <v>75.84999999999999</v>
      </c>
      <c r="J221" s="174" t="n">
        <v>12.857</v>
      </c>
      <c r="K221" s="174" t="n">
        <v>29.183</v>
      </c>
      <c r="L221" s="174" t="n">
        <v>7.37</v>
      </c>
      <c r="M221" s="174" t="n">
        <v>12.104</v>
      </c>
      <c r="N221" s="174" t="n">
        <v>12.857</v>
      </c>
      <c r="O221" s="174" t="n">
        <v>30.174</v>
      </c>
      <c r="P221" s="174" t="n">
        <v>41.244</v>
      </c>
      <c r="Q221" s="174" t="n">
        <v>19.789</v>
      </c>
      <c r="R221" s="174" t="n">
        <v>8.169</v>
      </c>
      <c r="S221" s="174" t="n">
        <v>30.174</v>
      </c>
      <c r="T221" s="174" t="n">
        <v>34.787</v>
      </c>
      <c r="U221" s="174" t="n">
        <v>113.038</v>
      </c>
      <c r="V221" s="174" t="n">
        <v>12.789</v>
      </c>
      <c r="W221" s="174" t="n">
        <v>11.412</v>
      </c>
      <c r="X221" s="174" t="n">
        <v>34.787</v>
      </c>
      <c r="Y221" s="174" t="n">
        <v>11.472</v>
      </c>
      <c r="Z221" s="174" t="n">
        <v>7.133</v>
      </c>
      <c r="AA221" s="174" t="n">
        <v>10.673</v>
      </c>
      <c r="AB221" s="174" t="n">
        <v>15.014</v>
      </c>
      <c r="AC221" s="174" t="n">
        <v>11.472</v>
      </c>
      <c r="AD221" s="174" t="n">
        <v>10.171</v>
      </c>
      <c r="AE221" s="174" t="n">
        <v>47.551</v>
      </c>
      <c r="AF221" s="174" t="n">
        <v>33.833</v>
      </c>
      <c r="AG221" s="174" t="n">
        <v>78.09099999999999</v>
      </c>
      <c r="AH221" s="174" t="n">
        <v>10.171</v>
      </c>
      <c r="AI221" s="174" t="n">
        <v>127.462</v>
      </c>
      <c r="AJ221" s="174" t="n">
        <v>159.937</v>
      </c>
      <c r="AK221" s="174" t="n">
        <v>140.571</v>
      </c>
      <c r="AL221" s="174" t="n">
        <v>177.468</v>
      </c>
      <c r="AM221" s="174" t="n">
        <v>127.462</v>
      </c>
      <c r="AN221" s="174" t="n">
        <v>190.282</v>
      </c>
      <c r="AO221" s="174" t="n">
        <v>280.627</v>
      </c>
      <c r="AP221" s="174" t="n">
        <v>228.96</v>
      </c>
      <c r="AQ221" s="174" t="n">
        <v>322.286</v>
      </c>
      <c r="AR221" s="174" t="n">
        <v>190.282</v>
      </c>
      <c r="AS221" s="174" t="n">
        <v>403.571</v>
      </c>
      <c r="AT221" s="174" t="n">
        <v>356.972</v>
      </c>
      <c r="AU221" s="174" t="n">
        <v>518.624</v>
      </c>
      <c r="AV221" s="174" t="n">
        <v>420.396</v>
      </c>
      <c r="AW221" s="174" t="n">
        <v>403.571</v>
      </c>
      <c r="AX221" s="174" t="n">
        <v>401.43</v>
      </c>
      <c r="AY221" s="174" t="n">
        <v>351.9</v>
      </c>
      <c r="AZ221" s="174" t="n">
        <v>484.204</v>
      </c>
      <c r="BA221" s="174" t="n">
        <v>339.761</v>
      </c>
      <c r="BB221" s="174" t="n">
        <v>401.43</v>
      </c>
      <c r="BC221" s="174" t="n">
        <v>462.564</v>
      </c>
      <c r="BD221" s="174" t="n">
        <v>262.122</v>
      </c>
      <c r="BE221" s="174" t="n">
        <v>196.134</v>
      </c>
      <c r="BF221" s="174" t="n">
        <v>216.727</v>
      </c>
      <c r="BG221" s="174" t="n">
        <v>462.564</v>
      </c>
      <c r="BH221" s="174" t="n">
        <v>186.312</v>
      </c>
      <c r="BI221" s="174" t="n">
        <v>207.624</v>
      </c>
      <c r="BJ221" s="174" t="n">
        <v>55.141</v>
      </c>
      <c r="BK221" s="174" t="n">
        <v>206.601</v>
      </c>
      <c r="BL221" s="174" t="n">
        <v>186.312</v>
      </c>
      <c r="BM221" s="174" t="n">
        <v>433.799</v>
      </c>
      <c r="BN221" s="174" t="n">
        <v>580.974</v>
      </c>
      <c r="BO221" s="174" t="n">
        <v>74.304</v>
      </c>
      <c r="BP221" s="174" t="n">
        <v>74.163</v>
      </c>
      <c r="BQ221" s="174" t="n">
        <v>433.799</v>
      </c>
      <c r="BR221" s="174" t="n">
        <v>108.676</v>
      </c>
      <c r="BS221" s="174" t="n">
        <v>97.19799999999999</v>
      </c>
      <c r="BT221" s="174" t="n">
        <v>24.057</v>
      </c>
      <c r="BU221" s="174" t="n">
        <v>46.592</v>
      </c>
      <c r="BV221" s="174" t="n">
        <v>108.676</v>
      </c>
      <c r="BW221" s="174" t="n">
        <v>120.091</v>
      </c>
      <c r="BX221" s="174" t="n">
        <v>288.082</v>
      </c>
      <c r="BY221" s="37" t="n"/>
      <c r="BZ221" s="37" t="n"/>
      <c r="CA221" s="176">
        <f>BV222</f>
        <v/>
      </c>
      <c r="CB221" s="176">
        <f>CA222</f>
        <v/>
      </c>
      <c r="CC221" s="176">
        <f>CB222</f>
        <v/>
      </c>
      <c r="CD221" s="176">
        <f>CC222</f>
        <v/>
      </c>
      <c r="CE221" s="176">
        <f>CD222</f>
        <v/>
      </c>
      <c r="CF221" s="20" t="n"/>
    </row>
    <row r="222" collapsed="1" ht="15" customHeight="1">
      <c r="B222" s="17" t="inlineStr">
        <is>
          <t>Cash &amp; cash equivalents — end of period</t>
        </is>
      </c>
      <c r="C222" s="177" t="n">
        <v>2.564</v>
      </c>
      <c r="D222" s="177" t="n">
        <v>6.328</v>
      </c>
      <c r="E222" s="177" t="n">
        <v>24.104</v>
      </c>
      <c r="F222" s="177" t="n">
        <v>4.171</v>
      </c>
      <c r="G222" s="177" t="n">
        <v>5.45</v>
      </c>
      <c r="H222" s="177" t="n">
        <v>75.84999999999999</v>
      </c>
      <c r="I222" s="177" t="n">
        <v>12.857</v>
      </c>
      <c r="J222" s="177" t="n">
        <v>29.183</v>
      </c>
      <c r="K222" s="177" t="n">
        <v>7.37</v>
      </c>
      <c r="L222" s="177" t="n">
        <v>12.104</v>
      </c>
      <c r="M222" s="177" t="n">
        <v>30.174</v>
      </c>
      <c r="N222" s="177" t="n">
        <v>30.174</v>
      </c>
      <c r="O222" s="177" t="n">
        <v>41.244</v>
      </c>
      <c r="P222" s="177" t="n">
        <v>19.789</v>
      </c>
      <c r="Q222" s="177" t="n">
        <v>8.169</v>
      </c>
      <c r="R222" s="177" t="n">
        <v>34.787</v>
      </c>
      <c r="S222" s="177" t="n">
        <v>34.787</v>
      </c>
      <c r="T222" s="177" t="n">
        <v>113.038</v>
      </c>
      <c r="U222" s="177" t="n">
        <v>12.789</v>
      </c>
      <c r="V222" s="177" t="n">
        <v>11.412</v>
      </c>
      <c r="W222" s="177" t="n">
        <v>11.472</v>
      </c>
      <c r="X222" s="177" t="n">
        <v>11.472</v>
      </c>
      <c r="Y222" s="177" t="n">
        <v>7.133</v>
      </c>
      <c r="Z222" s="177" t="n">
        <v>10.673</v>
      </c>
      <c r="AA222" s="177" t="n">
        <v>15.014</v>
      </c>
      <c r="AB222" s="177" t="n">
        <v>10.171</v>
      </c>
      <c r="AC222" s="177" t="n">
        <v>10.171</v>
      </c>
      <c r="AD222" s="177" t="n">
        <v>47.551</v>
      </c>
      <c r="AE222" s="177" t="n">
        <v>33.833</v>
      </c>
      <c r="AF222" s="177" t="n">
        <v>78.09099999999999</v>
      </c>
      <c r="AG222" s="177" t="n">
        <v>127.462</v>
      </c>
      <c r="AH222" s="177" t="n">
        <v>127.462</v>
      </c>
      <c r="AI222" s="177" t="n">
        <v>159.937</v>
      </c>
      <c r="AJ222" s="177" t="n">
        <v>140.571</v>
      </c>
      <c r="AK222" s="177" t="n">
        <v>177.468</v>
      </c>
      <c r="AL222" s="177" t="n">
        <v>190.282</v>
      </c>
      <c r="AM222" s="177" t="n">
        <v>190.282</v>
      </c>
      <c r="AN222" s="177" t="n">
        <v>280.627</v>
      </c>
      <c r="AO222" s="177" t="n">
        <v>228.96</v>
      </c>
      <c r="AP222" s="177" t="n">
        <v>322.286</v>
      </c>
      <c r="AQ222" s="177" t="n">
        <v>403.571</v>
      </c>
      <c r="AR222" s="177" t="n">
        <v>403.571</v>
      </c>
      <c r="AS222" s="177" t="n">
        <v>356.972</v>
      </c>
      <c r="AT222" s="177" t="n">
        <v>518.624</v>
      </c>
      <c r="AU222" s="177" t="n">
        <v>420.396</v>
      </c>
      <c r="AV222" s="177" t="n">
        <v>401.43</v>
      </c>
      <c r="AW222" s="177" t="n">
        <v>401.43</v>
      </c>
      <c r="AX222" s="177" t="n">
        <v>351.9</v>
      </c>
      <c r="AY222" s="177" t="n">
        <v>484.204</v>
      </c>
      <c r="AZ222" s="177" t="n">
        <v>339.761</v>
      </c>
      <c r="BA222" s="177" t="n">
        <v>462.564</v>
      </c>
      <c r="BB222" s="177" t="n">
        <v>462.564</v>
      </c>
      <c r="BC222" s="177" t="n">
        <v>262.122</v>
      </c>
      <c r="BD222" s="177" t="n">
        <v>196.134</v>
      </c>
      <c r="BE222" s="177" t="n">
        <v>216.727</v>
      </c>
      <c r="BF222" s="177" t="n">
        <v>186.312</v>
      </c>
      <c r="BG222" s="177" t="n">
        <v>186.312</v>
      </c>
      <c r="BH222" s="177" t="n">
        <v>207.624</v>
      </c>
      <c r="BI222" s="177" t="n">
        <v>55.141</v>
      </c>
      <c r="BJ222" s="177" t="n">
        <v>206.601</v>
      </c>
      <c r="BK222" s="177" t="n">
        <v>433.799</v>
      </c>
      <c r="BL222" s="177" t="n">
        <v>433.799</v>
      </c>
      <c r="BM222" s="177" t="n">
        <v>580.974</v>
      </c>
      <c r="BN222" s="177" t="n">
        <v>74.304</v>
      </c>
      <c r="BO222" s="177" t="n">
        <v>74.163</v>
      </c>
      <c r="BP222" s="177" t="n">
        <v>108.676</v>
      </c>
      <c r="BQ222" s="177" t="n">
        <v>108.676</v>
      </c>
      <c r="BR222" s="177" t="n">
        <v>97.19799999999999</v>
      </c>
      <c r="BS222" s="177" t="n">
        <v>24.057</v>
      </c>
      <c r="BT222" s="177" t="n">
        <v>46.592</v>
      </c>
      <c r="BU222" s="177" t="n">
        <v>120.091</v>
      </c>
      <c r="BV222" s="177" t="n">
        <v>120.091</v>
      </c>
      <c r="BW222" s="177" t="n">
        <v>288.082</v>
      </c>
      <c r="BX222" s="177" t="n">
        <v>283.939</v>
      </c>
      <c r="BY222" s="34" t="n"/>
      <c r="BZ222" s="34" t="n"/>
      <c r="CA222" s="178">
        <f>CA221+CA220</f>
        <v/>
      </c>
      <c r="CB222" s="178">
        <f>CB221+CB220</f>
        <v/>
      </c>
      <c r="CC222" s="178">
        <f>CC221+CC220</f>
        <v/>
      </c>
      <c r="CD222" s="178">
        <f>CD221+CD220</f>
        <v/>
      </c>
      <c r="CE222" s="178">
        <f>CE221+CE220</f>
        <v/>
      </c>
      <c r="CF222" s="6" t="n"/>
    </row>
    <row r="223" ht="15" customHeight="1">
      <c r="B223" s="61" t="inlineStr">
        <is>
          <t xml:space="preserve">  Check: CFO + CFI + CFF = change in cash (should be 0)</t>
        </is>
      </c>
      <c r="C223" s="197">
        <f>IF(ISNUMBER(C207),ROUND(C207+C213+C219-C220,1),"")</f>
        <v/>
      </c>
      <c r="D223" s="197">
        <f>IF(ISNUMBER(D207),ROUND(D207+D213+D219-D220,1),"")</f>
        <v/>
      </c>
      <c r="E223" s="197">
        <f>IF(ISNUMBER(E207),ROUND(E207+E213+E219-E220,1),"")</f>
        <v/>
      </c>
      <c r="F223" s="197">
        <f>IF(ISNUMBER(F207),ROUND(F207+F213+F219-F220,1),"")</f>
        <v/>
      </c>
      <c r="G223" s="197">
        <f>IF(ISNUMBER(G207),ROUND(G207+G213+G219-G220,1),"")</f>
        <v/>
      </c>
      <c r="H223" s="197">
        <f>IF(ISNUMBER(H207),ROUND(H207+H213+H219-H220,1),"")</f>
        <v/>
      </c>
      <c r="I223" s="197">
        <f>IF(ISNUMBER(I207),ROUND(I207+I213+I219-I220,1),"")</f>
        <v/>
      </c>
      <c r="J223" s="197">
        <f>IF(ISNUMBER(J207),ROUND(J207+J213+J219-J220,1),"")</f>
        <v/>
      </c>
      <c r="K223" s="197">
        <f>IF(ISNUMBER(K207),ROUND(K207+K213+K219-K220,1),"")</f>
        <v/>
      </c>
      <c r="L223" s="197">
        <f>IF(ISNUMBER(L207),ROUND(L207+L213+L219-L220,1),"")</f>
        <v/>
      </c>
      <c r="M223" s="197">
        <f>IF(ISNUMBER(M207),ROUND(M207+M213+M219-M220,1),"")</f>
        <v/>
      </c>
      <c r="N223" s="197">
        <f>IF(ISNUMBER(N207),ROUND(N207+N213+N219-N220,1),"")</f>
        <v/>
      </c>
      <c r="O223" s="197">
        <f>IF(ISNUMBER(O207),ROUND(O207+O213+O219-O220,1),"")</f>
        <v/>
      </c>
      <c r="P223" s="197">
        <f>IF(ISNUMBER(P207),ROUND(P207+P213+P219-P220,1),"")</f>
        <v/>
      </c>
      <c r="Q223" s="197">
        <f>IF(ISNUMBER(Q207),ROUND(Q207+Q213+Q219-Q220,1),"")</f>
        <v/>
      </c>
      <c r="R223" s="197">
        <f>IF(ISNUMBER(R207),ROUND(R207+R213+R219-R220,1),"")</f>
        <v/>
      </c>
      <c r="S223" s="197">
        <f>IF(ISNUMBER(S207),ROUND(S207+S213+S219-S220,1),"")</f>
        <v/>
      </c>
      <c r="T223" s="197">
        <f>IF(ISNUMBER(T207),ROUND(T207+T213+T219-T220,1),"")</f>
        <v/>
      </c>
      <c r="U223" s="197">
        <f>IF(ISNUMBER(U207),ROUND(U207+U213+U219-U220,1),"")</f>
        <v/>
      </c>
      <c r="V223" s="197">
        <f>IF(ISNUMBER(V207),ROUND(V207+V213+V219-V220,1),"")</f>
        <v/>
      </c>
      <c r="W223" s="197">
        <f>IF(ISNUMBER(W207),ROUND(W207+W213+W219-W220,1),"")</f>
        <v/>
      </c>
      <c r="X223" s="197">
        <f>IF(ISNUMBER(X207),ROUND(X207+X213+X219-X220,1),"")</f>
        <v/>
      </c>
      <c r="Y223" s="197">
        <f>IF(ISNUMBER(Y207),ROUND(Y207+Y213+Y219-Y220,1),"")</f>
        <v/>
      </c>
      <c r="Z223" s="197">
        <f>IF(ISNUMBER(Z207),ROUND(Z207+Z213+Z219-Z220,1),"")</f>
        <v/>
      </c>
      <c r="AA223" s="197">
        <f>IF(ISNUMBER(AA207),ROUND(AA207+AA213+AA219-AA220,1),"")</f>
        <v/>
      </c>
      <c r="AB223" s="197">
        <f>IF(ISNUMBER(AB207),ROUND(AB207+AB213+AB219-AB220,1),"")</f>
        <v/>
      </c>
      <c r="AC223" s="197">
        <f>IF(ISNUMBER(AC207),ROUND(AC207+AC213+AC219-AC220,1),"")</f>
        <v/>
      </c>
      <c r="AD223" s="197">
        <f>IF(ISNUMBER(AD207),ROUND(AD207+AD213+AD219-AD220,1),"")</f>
        <v/>
      </c>
      <c r="AE223" s="197">
        <f>IF(ISNUMBER(AE207),ROUND(AE207+AE213+AE219-AE220,1),"")</f>
        <v/>
      </c>
      <c r="AF223" s="197">
        <f>IF(ISNUMBER(AF207),ROUND(AF207+AF213+AF219-AF220,1),"")</f>
        <v/>
      </c>
      <c r="AG223" s="197">
        <f>IF(ISNUMBER(AG207),ROUND(AG207+AG213+AG219-AG220,1),"")</f>
        <v/>
      </c>
      <c r="AH223" s="197">
        <f>IF(ISNUMBER(AH207),ROUND(AH207+AH213+AH219-AH220,1),"")</f>
        <v/>
      </c>
      <c r="AI223" s="197">
        <f>IF(ISNUMBER(AI207),ROUND(AI207+AI213+AI219-AI220,1),"")</f>
        <v/>
      </c>
      <c r="AJ223" s="197">
        <f>IF(ISNUMBER(AJ207),ROUND(AJ207+AJ213+AJ219-AJ220,1),"")</f>
        <v/>
      </c>
      <c r="AK223" s="197">
        <f>IF(ISNUMBER(AK207),ROUND(AK207+AK213+AK219-AK220,1),"")</f>
        <v/>
      </c>
      <c r="AL223" s="197">
        <f>IF(ISNUMBER(AL207),ROUND(AL207+AL213+AL219-AL220,1),"")</f>
        <v/>
      </c>
      <c r="AM223" s="197">
        <f>IF(ISNUMBER(AM207),ROUND(AM207+AM213+AM219-AM220,1),"")</f>
        <v/>
      </c>
      <c r="AN223" s="197">
        <f>IF(ISNUMBER(AN207),ROUND(AN207+AN213+AN219-AN220,1),"")</f>
        <v/>
      </c>
      <c r="AO223" s="197">
        <f>IF(ISNUMBER(AO207),ROUND(AO207+AO213+AO219-AO220,1),"")</f>
        <v/>
      </c>
      <c r="AP223" s="197">
        <f>IF(ISNUMBER(AP207),ROUND(AP207+AP213+AP219-AP220,1),"")</f>
        <v/>
      </c>
      <c r="AQ223" s="197">
        <f>IF(ISNUMBER(AQ207),ROUND(AQ207+AQ213+AQ219-AQ220,1),"")</f>
        <v/>
      </c>
      <c r="AR223" s="197">
        <f>IF(ISNUMBER(AR207),ROUND(AR207+AR213+AR219-AR220,1),"")</f>
        <v/>
      </c>
      <c r="AS223" s="197">
        <f>IF(ISNUMBER(AS207),ROUND(AS207+AS213+AS219-AS220,1),"")</f>
        <v/>
      </c>
      <c r="AT223" s="197">
        <f>IF(ISNUMBER(AT207),ROUND(AT207+AT213+AT219-AT220,1),"")</f>
        <v/>
      </c>
      <c r="AU223" s="197">
        <f>IF(ISNUMBER(AU207),ROUND(AU207+AU213+AU219-AU220,1),"")</f>
        <v/>
      </c>
      <c r="AV223" s="197">
        <f>IF(ISNUMBER(AV207),ROUND(AV207+AV213+AV219-AV220,1),"")</f>
        <v/>
      </c>
      <c r="AW223" s="197">
        <f>IF(ISNUMBER(AW207),ROUND(AW207+AW213+AW219-AW220,1),"")</f>
        <v/>
      </c>
      <c r="AX223" s="197">
        <f>IF(ISNUMBER(AX207),ROUND(AX207+AX213+AX219-AX220,1),"")</f>
        <v/>
      </c>
      <c r="AY223" s="197">
        <f>IF(ISNUMBER(AY207),ROUND(AY207+AY213+AY219-AY220,1),"")</f>
        <v/>
      </c>
      <c r="AZ223" s="197">
        <f>IF(ISNUMBER(AZ207),ROUND(AZ207+AZ213+AZ219-AZ220,1),"")</f>
        <v/>
      </c>
      <c r="BA223" s="197">
        <f>IF(ISNUMBER(BA207),ROUND(BA207+BA213+BA219-BA220,1),"")</f>
        <v/>
      </c>
      <c r="BB223" s="197">
        <f>IF(ISNUMBER(BB207),ROUND(BB207+BB213+BB219-BB220,1),"")</f>
        <v/>
      </c>
      <c r="BC223" s="197">
        <f>IF(ISNUMBER(BC207),ROUND(BC207+BC213+BC219-BC220,1),"")</f>
        <v/>
      </c>
      <c r="BD223" s="197">
        <f>IF(ISNUMBER(BD207),ROUND(BD207+BD213+BD219-BD220,1),"")</f>
        <v/>
      </c>
      <c r="BE223" s="197">
        <f>IF(ISNUMBER(BE207),ROUND(BE207+BE213+BE219-BE220,1),"")</f>
        <v/>
      </c>
      <c r="BF223" s="197">
        <f>IF(ISNUMBER(BF207),ROUND(BF207+BF213+BF219-BF220,1),"")</f>
        <v/>
      </c>
      <c r="BG223" s="197">
        <f>IF(ISNUMBER(BG207),ROUND(BG207+BG213+BG219-BG220,1),"")</f>
        <v/>
      </c>
      <c r="BH223" s="197">
        <f>IF(ISNUMBER(BH207),ROUND(BH207+BH213+BH219-BH220,1),"")</f>
        <v/>
      </c>
      <c r="BI223" s="197">
        <f>IF(ISNUMBER(BI207),ROUND(BI207+BI213+BI219-BI220,1),"")</f>
        <v/>
      </c>
      <c r="BJ223" s="197">
        <f>IF(ISNUMBER(BJ207),ROUND(BJ207+BJ213+BJ219-BJ220,1),"")</f>
        <v/>
      </c>
      <c r="BK223" s="197">
        <f>IF(ISNUMBER(BK207),ROUND(BK207+BK213+BK219-BK220,1),"")</f>
        <v/>
      </c>
      <c r="BL223" s="197">
        <f>IF(ISNUMBER(BL207),ROUND(BL207+BL213+BL219-BL220,1),"")</f>
        <v/>
      </c>
      <c r="BM223" s="197">
        <f>IF(ISNUMBER(BM207),ROUND(BM207+BM213+BM219-BM220,1),"")</f>
        <v/>
      </c>
      <c r="BN223" s="197">
        <f>IF(ISNUMBER(BN207),ROUND(BN207+BN213+BN219-BN220,1),"")</f>
        <v/>
      </c>
      <c r="BO223" s="197">
        <f>IF(ISNUMBER(BO207),ROUND(BO207+BO213+BO219-BO220,1),"")</f>
        <v/>
      </c>
      <c r="BP223" s="197">
        <f>IF(ISNUMBER(BP207),ROUND(BP207+BP213+BP219-BP220,1),"")</f>
        <v/>
      </c>
      <c r="BQ223" s="197">
        <f>IF(ISNUMBER(BQ207),ROUND(BQ207+BQ213+BQ219-BQ220,1),"")</f>
        <v/>
      </c>
      <c r="BR223" s="197">
        <f>IF(ISNUMBER(BR207),ROUND(BR207+BR213+BR219-BR220,1),"")</f>
        <v/>
      </c>
      <c r="BS223" s="197">
        <f>IF(ISNUMBER(BS207),ROUND(BS207+BS213+BS219-BS220,1),"")</f>
        <v/>
      </c>
      <c r="BT223" s="197">
        <f>IF(ISNUMBER(BT207),ROUND(BT207+BT213+BT219-BT220,1),"")</f>
        <v/>
      </c>
      <c r="BU223" s="197">
        <f>IF(ISNUMBER(BU207),ROUND(BU207+BU213+BU219-BU220,1),"")</f>
        <v/>
      </c>
      <c r="BV223" s="197">
        <f>IF(ISNUMBER(BV207),ROUND(BV207+BV213+BV219-BV220,1),"")</f>
        <v/>
      </c>
      <c r="BW223" s="197">
        <f>IF(ISNUMBER(BW207),ROUND(BW207+BW213+BW219-BW220,1),"")</f>
        <v/>
      </c>
      <c r="BX223" s="197">
        <f>IF(ISNUMBER(BX207),ROUND(BX207+BX213+BX219-BX220,1),"")</f>
        <v/>
      </c>
      <c r="BY223" s="6" t="n"/>
      <c r="BZ223" s="6" t="n"/>
      <c r="CA223" s="198">
        <f>IF(ISNUMBER(CA207),ROUND(CA207+CA213+CA219-CA220,1),"")</f>
        <v/>
      </c>
      <c r="CB223" s="198">
        <f>IF(ISNUMBER(CB207),ROUND(CB207+CB213+CB219-CB220,1),"")</f>
        <v/>
      </c>
      <c r="CC223" s="198">
        <f>IF(ISNUMBER(CC207),ROUND(CC207+CC213+CC219-CC220,1),"")</f>
        <v/>
      </c>
      <c r="CD223" s="198">
        <f>IF(ISNUMBER(CD207),ROUND(CD207+CD213+CD219-CD220,1),"")</f>
        <v/>
      </c>
      <c r="CE223" s="198">
        <f>IF(ISNUMBER(CE207),ROUND(CE207+CE213+CE219-CE220,1),"")</f>
        <v/>
      </c>
      <c r="CF223" s="6" t="n"/>
    </row>
    <row r="224" ht="15" customHeight="1">
      <c r="B224" s="61" t="inlineStr">
        <is>
          <t xml:space="preserve">  Check: beginning cash + change = ending cash (should be 0)</t>
        </is>
      </c>
      <c r="C224" s="197">
        <f>IF(ISNUMBER(C221),ROUND(C221+C220-C222,1),"")</f>
        <v/>
      </c>
      <c r="D224" s="197">
        <f>IF(ISNUMBER(D221),ROUND(D221+D220-D222,1),"")</f>
        <v/>
      </c>
      <c r="E224" s="197">
        <f>IF(ISNUMBER(E221),ROUND(E221+E220-E222,1),"")</f>
        <v/>
      </c>
      <c r="F224" s="197">
        <f>IF(ISNUMBER(F221),ROUND(F221+F220-F222,1),"")</f>
        <v/>
      </c>
      <c r="G224" s="197">
        <f>IF(ISNUMBER(G221),ROUND(G221+G220-G222,1),"")</f>
        <v/>
      </c>
      <c r="H224" s="197">
        <f>IF(ISNUMBER(H221),ROUND(H221+H220-H222,1),"")</f>
        <v/>
      </c>
      <c r="I224" s="197">
        <f>IF(ISNUMBER(I221),ROUND(I221+I220-I222,1),"")</f>
        <v/>
      </c>
      <c r="J224" s="197">
        <f>IF(ISNUMBER(J221),ROUND(J221+J220-J222,1),"")</f>
        <v/>
      </c>
      <c r="K224" s="197">
        <f>IF(ISNUMBER(K221),ROUND(K221+K220-K222,1),"")</f>
        <v/>
      </c>
      <c r="L224" s="197">
        <f>IF(ISNUMBER(L221),ROUND(L221+L220-L222,1),"")</f>
        <v/>
      </c>
      <c r="M224" s="197">
        <f>IF(ISNUMBER(M221),ROUND(M221+M220-M222,1),"")</f>
        <v/>
      </c>
      <c r="N224" s="197">
        <f>IF(ISNUMBER(N221),ROUND(N221+N220-N222,1),"")</f>
        <v/>
      </c>
      <c r="O224" s="197">
        <f>IF(ISNUMBER(O221),ROUND(O221+O220-O222,1),"")</f>
        <v/>
      </c>
      <c r="P224" s="197">
        <f>IF(ISNUMBER(P221),ROUND(P221+P220-P222,1),"")</f>
        <v/>
      </c>
      <c r="Q224" s="197">
        <f>IF(ISNUMBER(Q221),ROUND(Q221+Q220-Q222,1),"")</f>
        <v/>
      </c>
      <c r="R224" s="197">
        <f>IF(ISNUMBER(R221),ROUND(R221+R220-R222,1),"")</f>
        <v/>
      </c>
      <c r="S224" s="197">
        <f>IF(ISNUMBER(S221),ROUND(S221+S220-S222,1),"")</f>
        <v/>
      </c>
      <c r="T224" s="197">
        <f>IF(ISNUMBER(T221),ROUND(T221+T220-T222,1),"")</f>
        <v/>
      </c>
      <c r="U224" s="197">
        <f>IF(ISNUMBER(U221),ROUND(U221+U220-U222,1),"")</f>
        <v/>
      </c>
      <c r="V224" s="197">
        <f>IF(ISNUMBER(V221),ROUND(V221+V220-V222,1),"")</f>
        <v/>
      </c>
      <c r="W224" s="197">
        <f>IF(ISNUMBER(W221),ROUND(W221+W220-W222,1),"")</f>
        <v/>
      </c>
      <c r="X224" s="197">
        <f>IF(ISNUMBER(X221),ROUND(X221+X220-X222,1),"")</f>
        <v/>
      </c>
      <c r="Y224" s="197">
        <f>IF(ISNUMBER(Y221),ROUND(Y221+Y220-Y222,1),"")</f>
        <v/>
      </c>
      <c r="Z224" s="197">
        <f>IF(ISNUMBER(Z221),ROUND(Z221+Z220-Z222,1),"")</f>
        <v/>
      </c>
      <c r="AA224" s="197">
        <f>IF(ISNUMBER(AA221),ROUND(AA221+AA220-AA222,1),"")</f>
        <v/>
      </c>
      <c r="AB224" s="197">
        <f>IF(ISNUMBER(AB221),ROUND(AB221+AB220-AB222,1),"")</f>
        <v/>
      </c>
      <c r="AC224" s="197">
        <f>IF(ISNUMBER(AC221),ROUND(AC221+AC220-AC222,1),"")</f>
        <v/>
      </c>
      <c r="AD224" s="197">
        <f>IF(ISNUMBER(AD221),ROUND(AD221+AD220-AD222,1),"")</f>
        <v/>
      </c>
      <c r="AE224" s="197">
        <f>IF(ISNUMBER(AE221),ROUND(AE221+AE220-AE222,1),"")</f>
        <v/>
      </c>
      <c r="AF224" s="197">
        <f>IF(ISNUMBER(AF221),ROUND(AF221+AF220-AF222,1),"")</f>
        <v/>
      </c>
      <c r="AG224" s="197">
        <f>IF(ISNUMBER(AG221),ROUND(AG221+AG220-AG222,1),"")</f>
        <v/>
      </c>
      <c r="AH224" s="197">
        <f>IF(ISNUMBER(AH221),ROUND(AH221+AH220-AH222,1),"")</f>
        <v/>
      </c>
      <c r="AI224" s="197">
        <f>IF(ISNUMBER(AI221),ROUND(AI221+AI220-AI222,1),"")</f>
        <v/>
      </c>
      <c r="AJ224" s="197">
        <f>IF(ISNUMBER(AJ221),ROUND(AJ221+AJ220-AJ222,1),"")</f>
        <v/>
      </c>
      <c r="AK224" s="197">
        <f>IF(ISNUMBER(AK221),ROUND(AK221+AK220-AK222,1),"")</f>
        <v/>
      </c>
      <c r="AL224" s="197">
        <f>IF(ISNUMBER(AL221),ROUND(AL221+AL220-AL222,1),"")</f>
        <v/>
      </c>
      <c r="AM224" s="197">
        <f>IF(ISNUMBER(AM221),ROUND(AM221+AM220-AM222,1),"")</f>
        <v/>
      </c>
      <c r="AN224" s="197">
        <f>IF(ISNUMBER(AN221),ROUND(AN221+AN220-AN222,1),"")</f>
        <v/>
      </c>
      <c r="AO224" s="197">
        <f>IF(ISNUMBER(AO221),ROUND(AO221+AO220-AO222,1),"")</f>
        <v/>
      </c>
      <c r="AP224" s="197">
        <f>IF(ISNUMBER(AP221),ROUND(AP221+AP220-AP222,1),"")</f>
        <v/>
      </c>
      <c r="AQ224" s="197">
        <f>IF(ISNUMBER(AQ221),ROUND(AQ221+AQ220-AQ222,1),"")</f>
        <v/>
      </c>
      <c r="AR224" s="197">
        <f>IF(ISNUMBER(AR221),ROUND(AR221+AR220-AR222,1),"")</f>
        <v/>
      </c>
      <c r="AS224" s="197">
        <f>IF(ISNUMBER(AS221),ROUND(AS221+AS220-AS222,1),"")</f>
        <v/>
      </c>
      <c r="AT224" s="197">
        <f>IF(ISNUMBER(AT221),ROUND(AT221+AT220-AT222,1),"")</f>
        <v/>
      </c>
      <c r="AU224" s="197">
        <f>IF(ISNUMBER(AU221),ROUND(AU221+AU220-AU222,1),"")</f>
        <v/>
      </c>
      <c r="AV224" s="197">
        <f>IF(ISNUMBER(AV221),ROUND(AV221+AV220-AV222,1),"")</f>
        <v/>
      </c>
      <c r="AW224" s="197">
        <f>IF(ISNUMBER(AW221),ROUND(AW221+AW220-AW222,1),"")</f>
        <v/>
      </c>
      <c r="AX224" s="197">
        <f>IF(ISNUMBER(AX221),ROUND(AX221+AX220-AX222,1),"")</f>
        <v/>
      </c>
      <c r="AY224" s="197">
        <f>IF(ISNUMBER(AY221),ROUND(AY221+AY220-AY222,1),"")</f>
        <v/>
      </c>
      <c r="AZ224" s="197">
        <f>IF(ISNUMBER(AZ221),ROUND(AZ221+AZ220-AZ222,1),"")</f>
        <v/>
      </c>
      <c r="BA224" s="197">
        <f>IF(ISNUMBER(BA221),ROUND(BA221+BA220-BA222,1),"")</f>
        <v/>
      </c>
      <c r="BB224" s="197">
        <f>IF(ISNUMBER(BB221),ROUND(BB221+BB220-BB222,1),"")</f>
        <v/>
      </c>
      <c r="BC224" s="197">
        <f>IF(ISNUMBER(BC221),ROUND(BC221+BC220-BC222,1),"")</f>
        <v/>
      </c>
      <c r="BD224" s="197">
        <f>IF(ISNUMBER(BD221),ROUND(BD221+BD220-BD222,1),"")</f>
        <v/>
      </c>
      <c r="BE224" s="197">
        <f>IF(ISNUMBER(BE221),ROUND(BE221+BE220-BE222,1),"")</f>
        <v/>
      </c>
      <c r="BF224" s="197">
        <f>IF(ISNUMBER(BF221),ROUND(BF221+BF220-BF222,1),"")</f>
        <v/>
      </c>
      <c r="BG224" s="197">
        <f>IF(ISNUMBER(BG221),ROUND(BG221+BG220-BG222,1),"")</f>
        <v/>
      </c>
      <c r="BH224" s="197">
        <f>IF(ISNUMBER(BH221),ROUND(BH221+BH220-BH222,1),"")</f>
        <v/>
      </c>
      <c r="BI224" s="197">
        <f>IF(ISNUMBER(BI221),ROUND(BI221+BI220-BI222,1),"")</f>
        <v/>
      </c>
      <c r="BJ224" s="197">
        <f>IF(ISNUMBER(BJ221),ROUND(BJ221+BJ220-BJ222,1),"")</f>
        <v/>
      </c>
      <c r="BK224" s="197">
        <f>IF(ISNUMBER(BK221),ROUND(BK221+BK220-BK222,1),"")</f>
        <v/>
      </c>
      <c r="BL224" s="197">
        <f>IF(ISNUMBER(BL221),ROUND(BL221+BL220-BL222,1),"")</f>
        <v/>
      </c>
      <c r="BM224" s="197">
        <f>IF(ISNUMBER(BM221),ROUND(BM221+BM220-BM222,1),"")</f>
        <v/>
      </c>
      <c r="BN224" s="197">
        <f>IF(ISNUMBER(BN221),ROUND(BN221+BN220-BN222,1),"")</f>
        <v/>
      </c>
      <c r="BO224" s="197">
        <f>IF(ISNUMBER(BO221),ROUND(BO221+BO220-BO222,1),"")</f>
        <v/>
      </c>
      <c r="BP224" s="197">
        <f>IF(ISNUMBER(BP221),ROUND(BP221+BP220-BP222,1),"")</f>
        <v/>
      </c>
      <c r="BQ224" s="197">
        <f>IF(ISNUMBER(BQ221),ROUND(BQ221+BQ220-BQ222,1),"")</f>
        <v/>
      </c>
      <c r="BR224" s="197">
        <f>IF(ISNUMBER(BR221),ROUND(BR221+BR220-BR222,1),"")</f>
        <v/>
      </c>
      <c r="BS224" s="197">
        <f>IF(ISNUMBER(BS221),ROUND(BS221+BS220-BS222,1),"")</f>
        <v/>
      </c>
      <c r="BT224" s="197">
        <f>IF(ISNUMBER(BT221),ROUND(BT221+BT220-BT222,1),"")</f>
        <v/>
      </c>
      <c r="BU224" s="197">
        <f>IF(ISNUMBER(BU221),ROUND(BU221+BU220-BU222,1),"")</f>
        <v/>
      </c>
      <c r="BV224" s="197">
        <f>IF(ISNUMBER(BV221),ROUND(BV221+BV220-BV222,1),"")</f>
        <v/>
      </c>
      <c r="BW224" s="197">
        <f>IF(ISNUMBER(BW221),ROUND(BW221+BW220-BW222,1),"")</f>
        <v/>
      </c>
      <c r="BX224" s="197">
        <f>IF(ISNUMBER(BX221),ROUND(BX221+BX220-BX222,1),"")</f>
        <v/>
      </c>
      <c r="BY224" s="6" t="n"/>
      <c r="BZ224" s="6" t="n"/>
      <c r="CA224" s="198">
        <f>IF(ISNUMBER(CA221),ROUND(CA221+CA220-CA222,1),"")</f>
        <v/>
      </c>
      <c r="CB224" s="198">
        <f>IF(ISNUMBER(CB221),ROUND(CB221+CB220-CB222,1),"")</f>
        <v/>
      </c>
      <c r="CC224" s="198">
        <f>IF(ISNUMBER(CC221),ROUND(CC221+CC220-CC222,1),"")</f>
        <v/>
      </c>
      <c r="CD224" s="198">
        <f>IF(ISNUMBER(CD221),ROUND(CD221+CD220-CD222,1),"")</f>
        <v/>
      </c>
      <c r="CE224" s="198">
        <f>IF(ISNUMBER(CE221),ROUND(CE221+CE220-CE222,1),"")</f>
        <v/>
      </c>
      <c r="CF224" s="6" t="n"/>
    </row>
    <row r="225" ht="15" customHeight="1">
      <c r="B225" s="26" t="inlineStr">
        <is>
          <t>(Memo)</t>
        </is>
      </c>
      <c r="CF225" s="6" t="n"/>
    </row>
    <row r="226" ht="15" customHeight="1">
      <c r="B226" s="59" t="inlineStr">
        <is>
          <t>Free cash flow (operating cash flow − capital expenditures)</t>
        </is>
      </c>
      <c r="C226" s="196">
        <f>IF(AND(ISNUMBER(C207),ISNUMBER(C208)),C207+C208,"")</f>
        <v/>
      </c>
      <c r="D226" s="196">
        <f>IF(AND(ISNUMBER(D207),ISNUMBER(D208)),D207+D208,"")</f>
        <v/>
      </c>
      <c r="E226" s="196">
        <f>IF(AND(ISNUMBER(E207),ISNUMBER(E208)),E207+E208,"")</f>
        <v/>
      </c>
      <c r="F226" s="196">
        <f>IF(AND(ISNUMBER(F207),ISNUMBER(F208)),F207+F208,"")</f>
        <v/>
      </c>
      <c r="G226" s="196">
        <f>IF(AND(ISNUMBER(G207),ISNUMBER(G208)),G207+G208,"")</f>
        <v/>
      </c>
      <c r="H226" s="196">
        <f>IF(AND(ISNUMBER(H207),ISNUMBER(H208)),H207+H208,"")</f>
        <v/>
      </c>
      <c r="I226" s="196">
        <f>IF(AND(ISNUMBER(I207),ISNUMBER(I208)),I207+I208,"")</f>
        <v/>
      </c>
      <c r="J226" s="196">
        <f>IF(AND(ISNUMBER(J207),ISNUMBER(J208)),J207+J208,"")</f>
        <v/>
      </c>
      <c r="K226" s="196">
        <f>IF(AND(ISNUMBER(K207),ISNUMBER(K208)),K207+K208,"")</f>
        <v/>
      </c>
      <c r="L226" s="196">
        <f>IF(AND(ISNUMBER(L207),ISNUMBER(L208)),L207+L208,"")</f>
        <v/>
      </c>
      <c r="M226" s="196">
        <f>IF(AND(ISNUMBER(M207),ISNUMBER(M208)),M207+M208,"")</f>
        <v/>
      </c>
      <c r="N226" s="196">
        <f>IF(AND(ISNUMBER(N207),ISNUMBER(N208)),N207+N208,"")</f>
        <v/>
      </c>
      <c r="O226" s="196">
        <f>IF(AND(ISNUMBER(O207),ISNUMBER(O208)),O207+O208,"")</f>
        <v/>
      </c>
      <c r="P226" s="196">
        <f>IF(AND(ISNUMBER(P207),ISNUMBER(P208)),P207+P208,"")</f>
        <v/>
      </c>
      <c r="Q226" s="196">
        <f>IF(AND(ISNUMBER(Q207),ISNUMBER(Q208)),Q207+Q208,"")</f>
        <v/>
      </c>
      <c r="R226" s="196">
        <f>IF(AND(ISNUMBER(R207),ISNUMBER(R208)),R207+R208,"")</f>
        <v/>
      </c>
      <c r="S226" s="196">
        <f>IF(AND(ISNUMBER(S207),ISNUMBER(S208)),S207+S208,"")</f>
        <v/>
      </c>
      <c r="T226" s="196">
        <f>IF(AND(ISNUMBER(T207),ISNUMBER(T208)),T207+T208,"")</f>
        <v/>
      </c>
      <c r="U226" s="196">
        <f>IF(AND(ISNUMBER(U207),ISNUMBER(U208)),U207+U208,"")</f>
        <v/>
      </c>
      <c r="V226" s="196">
        <f>IF(AND(ISNUMBER(V207),ISNUMBER(V208)),V207+V208,"")</f>
        <v/>
      </c>
      <c r="W226" s="196">
        <f>IF(AND(ISNUMBER(W207),ISNUMBER(W208)),W207+W208,"")</f>
        <v/>
      </c>
      <c r="X226" s="196">
        <f>IF(AND(ISNUMBER(X207),ISNUMBER(X208)),X207+X208,"")</f>
        <v/>
      </c>
      <c r="Y226" s="196">
        <f>IF(AND(ISNUMBER(Y207),ISNUMBER(Y208)),Y207+Y208,"")</f>
        <v/>
      </c>
      <c r="Z226" s="196">
        <f>IF(AND(ISNUMBER(Z207),ISNUMBER(Z208)),Z207+Z208,"")</f>
        <v/>
      </c>
      <c r="AA226" s="196">
        <f>IF(AND(ISNUMBER(AA207),ISNUMBER(AA208)),AA207+AA208,"")</f>
        <v/>
      </c>
      <c r="AB226" s="196">
        <f>IF(AND(ISNUMBER(AB207),ISNUMBER(AB208)),AB207+AB208,"")</f>
        <v/>
      </c>
      <c r="AC226" s="196">
        <f>IF(AND(ISNUMBER(AC207),ISNUMBER(AC208)),AC207+AC208,"")</f>
        <v/>
      </c>
      <c r="AD226" s="196">
        <f>IF(AND(ISNUMBER(AD207),ISNUMBER(AD208)),AD207+AD208,"")</f>
        <v/>
      </c>
      <c r="AE226" s="196">
        <f>IF(AND(ISNUMBER(AE207),ISNUMBER(AE208)),AE207+AE208,"")</f>
        <v/>
      </c>
      <c r="AF226" s="196">
        <f>IF(AND(ISNUMBER(AF207),ISNUMBER(AF208)),AF207+AF208,"")</f>
        <v/>
      </c>
      <c r="AG226" s="196">
        <f>IF(AND(ISNUMBER(AG207),ISNUMBER(AG208)),AG207+AG208,"")</f>
        <v/>
      </c>
      <c r="AH226" s="196">
        <f>IF(AND(ISNUMBER(AH207),ISNUMBER(AH208)),AH207+AH208,"")</f>
        <v/>
      </c>
      <c r="AI226" s="196">
        <f>IF(AND(ISNUMBER(AI207),ISNUMBER(AI208)),AI207+AI208,"")</f>
        <v/>
      </c>
      <c r="AJ226" s="196">
        <f>IF(AND(ISNUMBER(AJ207),ISNUMBER(AJ208)),AJ207+AJ208,"")</f>
        <v/>
      </c>
      <c r="AK226" s="196">
        <f>IF(AND(ISNUMBER(AK207),ISNUMBER(AK208)),AK207+AK208,"")</f>
        <v/>
      </c>
      <c r="AL226" s="196">
        <f>IF(AND(ISNUMBER(AL207),ISNUMBER(AL208)),AL207+AL208,"")</f>
        <v/>
      </c>
      <c r="AM226" s="196">
        <f>IF(AND(ISNUMBER(AM207),ISNUMBER(AM208)),AM207+AM208,"")</f>
        <v/>
      </c>
      <c r="AN226" s="196">
        <f>IF(AND(ISNUMBER(AN207),ISNUMBER(AN208)),AN207+AN208,"")</f>
        <v/>
      </c>
      <c r="AO226" s="196">
        <f>IF(AND(ISNUMBER(AO207),ISNUMBER(AO208)),AO207+AO208,"")</f>
        <v/>
      </c>
      <c r="AP226" s="196">
        <f>IF(AND(ISNUMBER(AP207),ISNUMBER(AP208)),AP207+AP208,"")</f>
        <v/>
      </c>
      <c r="AQ226" s="196">
        <f>IF(AND(ISNUMBER(AQ207),ISNUMBER(AQ208)),AQ207+AQ208,"")</f>
        <v/>
      </c>
      <c r="AR226" s="196">
        <f>IF(AND(ISNUMBER(AR207),ISNUMBER(AR208)),AR207+AR208,"")</f>
        <v/>
      </c>
      <c r="AS226" s="196">
        <f>IF(AND(ISNUMBER(AS207),ISNUMBER(AS208)),AS207+AS208,"")</f>
        <v/>
      </c>
      <c r="AT226" s="196">
        <f>IF(AND(ISNUMBER(AT207),ISNUMBER(AT208)),AT207+AT208,"")</f>
        <v/>
      </c>
      <c r="AU226" s="196">
        <f>IF(AND(ISNUMBER(AU207),ISNUMBER(AU208)),AU207+AU208,"")</f>
        <v/>
      </c>
      <c r="AV226" s="196">
        <f>IF(AND(ISNUMBER(AV207),ISNUMBER(AV208)),AV207+AV208,"")</f>
        <v/>
      </c>
      <c r="AW226" s="196">
        <f>IF(AND(ISNUMBER(AW207),ISNUMBER(AW208)),AW207+AW208,"")</f>
        <v/>
      </c>
      <c r="AX226" s="196">
        <f>IF(AND(ISNUMBER(AX207),ISNUMBER(AX208)),AX207+AX208,"")</f>
        <v/>
      </c>
      <c r="AY226" s="196">
        <f>IF(AND(ISNUMBER(AY207),ISNUMBER(AY208)),AY207+AY208,"")</f>
        <v/>
      </c>
      <c r="AZ226" s="196">
        <f>IF(AND(ISNUMBER(AZ207),ISNUMBER(AZ208)),AZ207+AZ208,"")</f>
        <v/>
      </c>
      <c r="BA226" s="196">
        <f>IF(AND(ISNUMBER(BA207),ISNUMBER(BA208)),BA207+BA208,"")</f>
        <v/>
      </c>
      <c r="BB226" s="196">
        <f>IF(AND(ISNUMBER(BB207),ISNUMBER(BB208)),BB207+BB208,"")</f>
        <v/>
      </c>
      <c r="BC226" s="196">
        <f>IF(AND(ISNUMBER(BC207),ISNUMBER(BC208)),BC207+BC208,"")</f>
        <v/>
      </c>
      <c r="BD226" s="196">
        <f>IF(AND(ISNUMBER(BD207),ISNUMBER(BD208)),BD207+BD208,"")</f>
        <v/>
      </c>
      <c r="BE226" s="196">
        <f>IF(AND(ISNUMBER(BE207),ISNUMBER(BE208)),BE207+BE208,"")</f>
        <v/>
      </c>
      <c r="BF226" s="196">
        <f>IF(AND(ISNUMBER(BF207),ISNUMBER(BF208)),BF207+BF208,"")</f>
        <v/>
      </c>
      <c r="BG226" s="196">
        <f>IF(AND(ISNUMBER(BG207),ISNUMBER(BG208)),BG207+BG208,"")</f>
        <v/>
      </c>
      <c r="BH226" s="196">
        <f>IF(AND(ISNUMBER(BH207),ISNUMBER(BH208)),BH207+BH208,"")</f>
        <v/>
      </c>
      <c r="BI226" s="196">
        <f>IF(AND(ISNUMBER(BI207),ISNUMBER(BI208)),BI207+BI208,"")</f>
        <v/>
      </c>
      <c r="BJ226" s="196">
        <f>IF(AND(ISNUMBER(BJ207),ISNUMBER(BJ208)),BJ207+BJ208,"")</f>
        <v/>
      </c>
      <c r="BK226" s="196">
        <f>IF(AND(ISNUMBER(BK207),ISNUMBER(BK208)),BK207+BK208,"")</f>
        <v/>
      </c>
      <c r="BL226" s="196">
        <f>IF(AND(ISNUMBER(BL207),ISNUMBER(BL208)),BL207+BL208,"")</f>
        <v/>
      </c>
      <c r="BM226" s="196">
        <f>IF(AND(ISNUMBER(BM207),ISNUMBER(BM208)),BM207+BM208,"")</f>
        <v/>
      </c>
      <c r="BN226" s="196">
        <f>IF(AND(ISNUMBER(BN207),ISNUMBER(BN208)),BN207+BN208,"")</f>
        <v/>
      </c>
      <c r="BO226" s="196">
        <f>IF(AND(ISNUMBER(BO207),ISNUMBER(BO208)),BO207+BO208,"")</f>
        <v/>
      </c>
      <c r="BP226" s="196">
        <f>IF(AND(ISNUMBER(BP207),ISNUMBER(BP208)),BP207+BP208,"")</f>
        <v/>
      </c>
      <c r="BQ226" s="196">
        <f>IF(AND(ISNUMBER(BQ207),ISNUMBER(BQ208)),BQ207+BQ208,"")</f>
        <v/>
      </c>
      <c r="BR226" s="196">
        <f>IF(AND(ISNUMBER(BR207),ISNUMBER(BR208)),BR207+BR208,"")</f>
        <v/>
      </c>
      <c r="BS226" s="196">
        <f>IF(AND(ISNUMBER(BS207),ISNUMBER(BS208)),BS207+BS208,"")</f>
        <v/>
      </c>
      <c r="BT226" s="196">
        <f>IF(AND(ISNUMBER(BT207),ISNUMBER(BT208)),BT207+BT208,"")</f>
        <v/>
      </c>
      <c r="BU226" s="196">
        <f>IF(AND(ISNUMBER(BU207),ISNUMBER(BU208)),BU207+BU208,"")</f>
        <v/>
      </c>
      <c r="BV226" s="196">
        <f>IF(AND(ISNUMBER(BV207),ISNUMBER(BV208)),BV207+BV208,"")</f>
        <v/>
      </c>
      <c r="BW226" s="196">
        <f>IF(AND(ISNUMBER(BW207),ISNUMBER(BW208)),BW207+BW208,"")</f>
        <v/>
      </c>
      <c r="BX226" s="196">
        <f>IF(AND(ISNUMBER(BX207),ISNUMBER(BX208)),BX207+BX208,"")</f>
        <v/>
      </c>
      <c r="BY226" s="60" t="n"/>
      <c r="BZ226" s="60" t="n"/>
      <c r="CA226" s="196">
        <f>IF(AND(ISNUMBER(CA207),ISNUMBER(CA208)),CA207+CA208,"")</f>
        <v/>
      </c>
      <c r="CB226" s="196">
        <f>IF(AND(ISNUMBER(CB207),ISNUMBER(CB208)),CB207+CB208,"")</f>
        <v/>
      </c>
      <c r="CC226" s="196">
        <f>IF(AND(ISNUMBER(CC207),ISNUMBER(CC208)),CC207+CC208,"")</f>
        <v/>
      </c>
      <c r="CD226" s="196">
        <f>IF(AND(ISNUMBER(CD207),ISNUMBER(CD208)),CD207+CD208,"")</f>
        <v/>
      </c>
      <c r="CE226" s="196">
        <f>IF(AND(ISNUMBER(CE207),ISNUMBER(CE208)),CE207+CE208,"")</f>
        <v/>
      </c>
      <c r="CF226" s="6" t="inlineStr">
        <is>
          <t>Model definition = CFO − purchases of property &amp; equipment (gross; ODFL does not publish free cash flow).</t>
        </is>
      </c>
      <c r="CH226" s="21">
        <f>IFERROR((CE226/BV226)^(1/5)-1,"n/m")</f>
        <v/>
      </c>
      <c r="CI226" s="21">
        <f>IFERROR((BV226/AW226)^(1/5)-1,"n/m")</f>
        <v/>
      </c>
      <c r="CJ226" s="21">
        <f>IFERROR((BV226/X226)^(1/10)-1,"n/m")</f>
        <v/>
      </c>
      <c r="CK226" s="21">
        <f>IFERROR((BV226/C226)^(1/19)-1,"n/m")</f>
        <v/>
      </c>
    </row>
    <row r="227" ht="15" customHeight="1">
      <c r="B227" s="23" t="inlineStr">
        <is>
          <t xml:space="preserve">  FCF y/y %</t>
        </is>
      </c>
      <c r="D227" s="180">
        <f>IF(AND(ISNUMBER(D226),ISNUMBER(C226)),IFERROR(D226/C226-1,""),"")</f>
        <v/>
      </c>
      <c r="E227" s="180">
        <f>IF(AND(ISNUMBER(E226),ISNUMBER(D226)),IFERROR(E226/D226-1,""),"")</f>
        <v/>
      </c>
      <c r="F227" s="180">
        <f>IF(AND(ISNUMBER(F226),ISNUMBER(E226)),IFERROR(F226/E226-1,""),"")</f>
        <v/>
      </c>
      <c r="G227" s="180">
        <f>IF(AND(ISNUMBER(G226),ISNUMBER(F226)),IFERROR(G226/F226-1,""),"")</f>
        <v/>
      </c>
      <c r="H227" s="180">
        <f>IF(AND(ISNUMBER(H226),ISNUMBER(G226)),IFERROR(H226/G226-1,""),"")</f>
        <v/>
      </c>
      <c r="I227" s="180">
        <f>IF(AND(ISNUMBER(I226),ISNUMBER(H226)),IFERROR(I226/H226-1,""),"")</f>
        <v/>
      </c>
      <c r="N227" s="180">
        <f>IF(AND(ISNUMBER(N226),ISNUMBER(I226)),IFERROR(N226/I226-1,""),"")</f>
        <v/>
      </c>
      <c r="O227" s="180">
        <f>IF(AND(ISNUMBER(O226),ISNUMBER(J226)),IFERROR(O226/J226-1,""),"")</f>
        <v/>
      </c>
      <c r="P227" s="180">
        <f>IF(AND(ISNUMBER(P226),ISNUMBER(K226)),IFERROR(P226/K226-1,""),"")</f>
        <v/>
      </c>
      <c r="Q227" s="180">
        <f>IF(AND(ISNUMBER(Q226),ISNUMBER(L226)),IFERROR(Q226/L226-1,""),"")</f>
        <v/>
      </c>
      <c r="R227" s="180">
        <f>IF(AND(ISNUMBER(R226),ISNUMBER(M226)),IFERROR(R226/M226-1,""),"")</f>
        <v/>
      </c>
      <c r="S227" s="180">
        <f>IF(AND(ISNUMBER(S226),ISNUMBER(N226)),IFERROR(S226/N226-1,""),"")</f>
        <v/>
      </c>
      <c r="T227" s="180">
        <f>IF(AND(ISNUMBER(T226),ISNUMBER(O226)),IFERROR(T226/O226-1,""),"")</f>
        <v/>
      </c>
      <c r="U227" s="180">
        <f>IF(AND(ISNUMBER(U226),ISNUMBER(P226)),IFERROR(U226/P226-1,""),"")</f>
        <v/>
      </c>
      <c r="V227" s="180">
        <f>IF(AND(ISNUMBER(V226),ISNUMBER(Q226)),IFERROR(V226/Q226-1,""),"")</f>
        <v/>
      </c>
      <c r="W227" s="180">
        <f>IF(AND(ISNUMBER(W226),ISNUMBER(R226)),IFERROR(W226/R226-1,""),"")</f>
        <v/>
      </c>
      <c r="X227" s="180">
        <f>IF(AND(ISNUMBER(X226),ISNUMBER(S226)),IFERROR(X226/S226-1,""),"")</f>
        <v/>
      </c>
      <c r="Y227" s="180">
        <f>IF(AND(ISNUMBER(Y226),ISNUMBER(T226)),IFERROR(Y226/T226-1,""),"")</f>
        <v/>
      </c>
      <c r="Z227" s="180">
        <f>IF(AND(ISNUMBER(Z226),ISNUMBER(U226)),IFERROR(Z226/U226-1,""),"")</f>
        <v/>
      </c>
      <c r="AA227" s="180">
        <f>IF(AND(ISNUMBER(AA226),ISNUMBER(V226)),IFERROR(AA226/V226-1,""),"")</f>
        <v/>
      </c>
      <c r="AB227" s="180">
        <f>IF(AND(ISNUMBER(AB226),ISNUMBER(W226)),IFERROR(AB226/W226-1,""),"")</f>
        <v/>
      </c>
      <c r="AC227" s="180">
        <f>IF(AND(ISNUMBER(AC226),ISNUMBER(X226)),IFERROR(AC226/X226-1,""),"")</f>
        <v/>
      </c>
      <c r="AD227" s="180">
        <f>IF(AND(ISNUMBER(AD226),ISNUMBER(Y226)),IFERROR(AD226/Y226-1,""),"")</f>
        <v/>
      </c>
      <c r="AE227" s="180">
        <f>IF(AND(ISNUMBER(AE226),ISNUMBER(Z226)),IFERROR(AE226/Z226-1,""),"")</f>
        <v/>
      </c>
      <c r="AF227" s="180">
        <f>IF(AND(ISNUMBER(AF226),ISNUMBER(AA226)),IFERROR(AF226/AA226-1,""),"")</f>
        <v/>
      </c>
      <c r="AG227" s="180">
        <f>IF(AND(ISNUMBER(AG226),ISNUMBER(AB226)),IFERROR(AG226/AB226-1,""),"")</f>
        <v/>
      </c>
      <c r="AH227" s="180">
        <f>IF(AND(ISNUMBER(AH226),ISNUMBER(AC226)),IFERROR(AH226/AC226-1,""),"")</f>
        <v/>
      </c>
      <c r="AI227" s="180">
        <f>IF(AND(ISNUMBER(AI226),ISNUMBER(AD226)),IFERROR(AI226/AD226-1,""),"")</f>
        <v/>
      </c>
      <c r="AJ227" s="180">
        <f>IF(AND(ISNUMBER(AJ226),ISNUMBER(AE226)),IFERROR(AJ226/AE226-1,""),"")</f>
        <v/>
      </c>
      <c r="AK227" s="180">
        <f>IF(AND(ISNUMBER(AK226),ISNUMBER(AF226)),IFERROR(AK226/AF226-1,""),"")</f>
        <v/>
      </c>
      <c r="AL227" s="180">
        <f>IF(AND(ISNUMBER(AL226),ISNUMBER(AG226)),IFERROR(AL226/AG226-1,""),"")</f>
        <v/>
      </c>
      <c r="AM227" s="180">
        <f>IF(AND(ISNUMBER(AM226),ISNUMBER(AH226)),IFERROR(AM226/AH226-1,""),"")</f>
        <v/>
      </c>
      <c r="AN227" s="180">
        <f>IF(AND(ISNUMBER(AN226),ISNUMBER(AI226)),IFERROR(AN226/AI226-1,""),"")</f>
        <v/>
      </c>
      <c r="AO227" s="180">
        <f>IF(AND(ISNUMBER(AO226),ISNUMBER(AJ226)),IFERROR(AO226/AJ226-1,""),"")</f>
        <v/>
      </c>
      <c r="AP227" s="180">
        <f>IF(AND(ISNUMBER(AP226),ISNUMBER(AK226)),IFERROR(AP226/AK226-1,""),"")</f>
        <v/>
      </c>
      <c r="AQ227" s="180">
        <f>IF(AND(ISNUMBER(AQ226),ISNUMBER(AL226)),IFERROR(AQ226/AL226-1,""),"")</f>
        <v/>
      </c>
      <c r="AR227" s="180">
        <f>IF(AND(ISNUMBER(AR226),ISNUMBER(AM226)),IFERROR(AR226/AM226-1,""),"")</f>
        <v/>
      </c>
      <c r="AS227" s="180">
        <f>IF(AND(ISNUMBER(AS226),ISNUMBER(AN226)),IFERROR(AS226/AN226-1,""),"")</f>
        <v/>
      </c>
      <c r="AT227" s="180">
        <f>IF(AND(ISNUMBER(AT226),ISNUMBER(AO226)),IFERROR(AT226/AO226-1,""),"")</f>
        <v/>
      </c>
      <c r="AU227" s="180">
        <f>IF(AND(ISNUMBER(AU226),ISNUMBER(AP226)),IFERROR(AU226/AP226-1,""),"")</f>
        <v/>
      </c>
      <c r="AV227" s="180">
        <f>IF(AND(ISNUMBER(AV226),ISNUMBER(AQ226)),IFERROR(AV226/AQ226-1,""),"")</f>
        <v/>
      </c>
      <c r="AW227" s="180">
        <f>IF(AND(ISNUMBER(AW226),ISNUMBER(AR226)),IFERROR(AW226/AR226-1,""),"")</f>
        <v/>
      </c>
      <c r="AX227" s="180">
        <f>IF(AND(ISNUMBER(AX226),ISNUMBER(AS226)),IFERROR(AX226/AS226-1,""),"")</f>
        <v/>
      </c>
      <c r="AY227" s="180">
        <f>IF(AND(ISNUMBER(AY226),ISNUMBER(AT226)),IFERROR(AY226/AT226-1,""),"")</f>
        <v/>
      </c>
      <c r="AZ227" s="180">
        <f>IF(AND(ISNUMBER(AZ226),ISNUMBER(AU226)),IFERROR(AZ226/AU226-1,""),"")</f>
        <v/>
      </c>
      <c r="BA227" s="180">
        <f>IF(AND(ISNUMBER(BA226),ISNUMBER(AV226)),IFERROR(BA226/AV226-1,""),"")</f>
        <v/>
      </c>
      <c r="BB227" s="180">
        <f>IF(AND(ISNUMBER(BB226),ISNUMBER(AW226)),IFERROR(BB226/AW226-1,""),"")</f>
        <v/>
      </c>
      <c r="BC227" s="180">
        <f>IF(AND(ISNUMBER(BC226),ISNUMBER(AX226)),IFERROR(BC226/AX226-1,""),"")</f>
        <v/>
      </c>
      <c r="BD227" s="180">
        <f>IF(AND(ISNUMBER(BD226),ISNUMBER(AY226)),IFERROR(BD226/AY226-1,""),"")</f>
        <v/>
      </c>
      <c r="BE227" s="180">
        <f>IF(AND(ISNUMBER(BE226),ISNUMBER(AZ226)),IFERROR(BE226/AZ226-1,""),"")</f>
        <v/>
      </c>
      <c r="BF227" s="180">
        <f>IF(AND(ISNUMBER(BF226),ISNUMBER(BA226)),IFERROR(BF226/BA226-1,""),"")</f>
        <v/>
      </c>
      <c r="BG227" s="180">
        <f>IF(AND(ISNUMBER(BG226),ISNUMBER(BB226)),IFERROR(BG226/BB226-1,""),"")</f>
        <v/>
      </c>
      <c r="BH227" s="180">
        <f>IF(AND(ISNUMBER(BH226),ISNUMBER(BC226)),IFERROR(BH226/BC226-1,""),"")</f>
        <v/>
      </c>
      <c r="BI227" s="180">
        <f>IF(AND(ISNUMBER(BI226),ISNUMBER(BD226)),IFERROR(BI226/BD226-1,""),"")</f>
        <v/>
      </c>
      <c r="BJ227" s="180">
        <f>IF(AND(ISNUMBER(BJ226),ISNUMBER(BE226)),IFERROR(BJ226/BE226-1,""),"")</f>
        <v/>
      </c>
      <c r="BK227" s="180">
        <f>IF(AND(ISNUMBER(BK226),ISNUMBER(BF226)),IFERROR(BK226/BF226-1,""),"")</f>
        <v/>
      </c>
      <c r="BL227" s="180">
        <f>IF(AND(ISNUMBER(BL226),ISNUMBER(BG226)),IFERROR(BL226/BG226-1,""),"")</f>
        <v/>
      </c>
      <c r="BM227" s="180">
        <f>IF(AND(ISNUMBER(BM226),ISNUMBER(BH226)),IFERROR(BM226/BH226-1,""),"")</f>
        <v/>
      </c>
      <c r="BN227" s="180">
        <f>IF(AND(ISNUMBER(BN226),ISNUMBER(BI226)),IFERROR(BN226/BI226-1,""),"")</f>
        <v/>
      </c>
      <c r="BO227" s="180">
        <f>IF(AND(ISNUMBER(BO226),ISNUMBER(BJ226)),IFERROR(BO226/BJ226-1,""),"")</f>
        <v/>
      </c>
      <c r="BP227" s="180">
        <f>IF(AND(ISNUMBER(BP226),ISNUMBER(BK226)),IFERROR(BP226/BK226-1,""),"")</f>
        <v/>
      </c>
      <c r="BQ227" s="180">
        <f>IF(AND(ISNUMBER(BQ226),ISNUMBER(BL226)),IFERROR(BQ226/BL226-1,""),"")</f>
        <v/>
      </c>
      <c r="BR227" s="180">
        <f>IF(AND(ISNUMBER(BR226),ISNUMBER(BM226)),IFERROR(BR226/BM226-1,""),"")</f>
        <v/>
      </c>
      <c r="BS227" s="180">
        <f>IF(AND(ISNUMBER(BS226),ISNUMBER(BN226)),IFERROR(BS226/BN226-1,""),"")</f>
        <v/>
      </c>
      <c r="BT227" s="180">
        <f>IF(AND(ISNUMBER(BT226),ISNUMBER(BO226)),IFERROR(BT226/BO226-1,""),"")</f>
        <v/>
      </c>
      <c r="BU227" s="180">
        <f>IF(AND(ISNUMBER(BU226),ISNUMBER(BP226)),IFERROR(BU226/BP226-1,""),"")</f>
        <v/>
      </c>
      <c r="BV227" s="180">
        <f>IF(AND(ISNUMBER(BV226),ISNUMBER(BQ226)),IFERROR(BV226/BQ226-1,""),"")</f>
        <v/>
      </c>
      <c r="BW227" s="180">
        <f>IF(AND(ISNUMBER(BW226),ISNUMBER(BR226)),IFERROR(BW226/BR226-1,""),"")</f>
        <v/>
      </c>
      <c r="BX227" s="180">
        <f>IF(AND(ISNUMBER(BX226),ISNUMBER(BS226)),IFERROR(BX226/BS226-1,""),"")</f>
        <v/>
      </c>
      <c r="BY227" s="25" t="n"/>
      <c r="BZ227" s="25" t="n"/>
      <c r="CA227" s="181">
        <f>IF(AND(ISNUMBER(CA226),ISNUMBER(BV226)),IFERROR(CA226/BV226-1,""),"")</f>
        <v/>
      </c>
      <c r="CB227" s="181">
        <f>IF(AND(ISNUMBER(CB226),ISNUMBER(CA226)),IFERROR(CB226/CA226-1,""),"")</f>
        <v/>
      </c>
      <c r="CC227" s="181">
        <f>IF(AND(ISNUMBER(CC226),ISNUMBER(CB226)),IFERROR(CC226/CB226-1,""),"")</f>
        <v/>
      </c>
      <c r="CD227" s="181">
        <f>IF(AND(ISNUMBER(CD226),ISNUMBER(CC226)),IFERROR(CD226/CC226-1,""),"")</f>
        <v/>
      </c>
      <c r="CE227" s="181">
        <f>IF(AND(ISNUMBER(CE226),ISNUMBER(CD226)),IFERROR(CE226/CD226-1,""),"")</f>
        <v/>
      </c>
      <c r="CF227" s="6" t="n"/>
    </row>
    <row r="228" ht="15" customHeight="1">
      <c r="B228" s="26" t="inlineStr">
        <is>
          <t xml:space="preserve">  FCF % of revenue</t>
        </is>
      </c>
      <c r="C228" s="190">
        <f>IF(AND(ISNUMBER(C226),ISNUMBER(C100)),IFERROR(C226/C100,""),"")</f>
        <v/>
      </c>
      <c r="D228" s="190">
        <f>IF(AND(ISNUMBER(D226),ISNUMBER(D100)),IFERROR(D226/D100,""),"")</f>
        <v/>
      </c>
      <c r="E228" s="190">
        <f>IF(AND(ISNUMBER(E226),ISNUMBER(E100)),IFERROR(E226/E100,""),"")</f>
        <v/>
      </c>
      <c r="F228" s="190">
        <f>IF(AND(ISNUMBER(F226),ISNUMBER(F100)),IFERROR(F226/F100,""),"")</f>
        <v/>
      </c>
      <c r="G228" s="190">
        <f>IF(AND(ISNUMBER(G226),ISNUMBER(G100)),IFERROR(G226/G100,""),"")</f>
        <v/>
      </c>
      <c r="H228" s="190">
        <f>IF(AND(ISNUMBER(H226),ISNUMBER(H100)),IFERROR(H226/H100,""),"")</f>
        <v/>
      </c>
      <c r="I228" s="190">
        <f>IF(AND(ISNUMBER(I226),ISNUMBER(I100)),IFERROR(I226/I100,""),"")</f>
        <v/>
      </c>
      <c r="J228" s="190">
        <f>IF(AND(ISNUMBER(J226),ISNUMBER(J100)),IFERROR(J226/J100,""),"")</f>
        <v/>
      </c>
      <c r="K228" s="190">
        <f>IF(AND(ISNUMBER(K226),ISNUMBER(K100)),IFERROR(K226/K100,""),"")</f>
        <v/>
      </c>
      <c r="L228" s="190">
        <f>IF(AND(ISNUMBER(L226),ISNUMBER(L100)),IFERROR(L226/L100,""),"")</f>
        <v/>
      </c>
      <c r="M228" s="190">
        <f>IF(AND(ISNUMBER(M226),ISNUMBER(M100)),IFERROR(M226/M100,""),"")</f>
        <v/>
      </c>
      <c r="N228" s="190">
        <f>IF(AND(ISNUMBER(N226),ISNUMBER(N100)),IFERROR(N226/N100,""),"")</f>
        <v/>
      </c>
      <c r="O228" s="190">
        <f>IF(AND(ISNUMBER(O226),ISNUMBER(O100)),IFERROR(O226/O100,""),"")</f>
        <v/>
      </c>
      <c r="P228" s="190">
        <f>IF(AND(ISNUMBER(P226),ISNUMBER(P100)),IFERROR(P226/P100,""),"")</f>
        <v/>
      </c>
      <c r="Q228" s="190">
        <f>IF(AND(ISNUMBER(Q226),ISNUMBER(Q100)),IFERROR(Q226/Q100,""),"")</f>
        <v/>
      </c>
      <c r="R228" s="190">
        <f>IF(AND(ISNUMBER(R226),ISNUMBER(R100)),IFERROR(R226/R100,""),"")</f>
        <v/>
      </c>
      <c r="S228" s="190">
        <f>IF(AND(ISNUMBER(S226),ISNUMBER(S100)),IFERROR(S226/S100,""),"")</f>
        <v/>
      </c>
      <c r="T228" s="190">
        <f>IF(AND(ISNUMBER(T226),ISNUMBER(T100)),IFERROR(T226/T100,""),"")</f>
        <v/>
      </c>
      <c r="U228" s="190">
        <f>IF(AND(ISNUMBER(U226),ISNUMBER(U100)),IFERROR(U226/U100,""),"")</f>
        <v/>
      </c>
      <c r="V228" s="190">
        <f>IF(AND(ISNUMBER(V226),ISNUMBER(V100)),IFERROR(V226/V100,""),"")</f>
        <v/>
      </c>
      <c r="W228" s="190">
        <f>IF(AND(ISNUMBER(W226),ISNUMBER(W100)),IFERROR(W226/W100,""),"")</f>
        <v/>
      </c>
      <c r="X228" s="190">
        <f>IF(AND(ISNUMBER(X226),ISNUMBER(X100)),IFERROR(X226/X100,""),"")</f>
        <v/>
      </c>
      <c r="Y228" s="190">
        <f>IF(AND(ISNUMBER(Y226),ISNUMBER(Y100)),IFERROR(Y226/Y100,""),"")</f>
        <v/>
      </c>
      <c r="Z228" s="190">
        <f>IF(AND(ISNUMBER(Z226),ISNUMBER(Z100)),IFERROR(Z226/Z100,""),"")</f>
        <v/>
      </c>
      <c r="AA228" s="190">
        <f>IF(AND(ISNUMBER(AA226),ISNUMBER(AA100)),IFERROR(AA226/AA100,""),"")</f>
        <v/>
      </c>
      <c r="AB228" s="190">
        <f>IF(AND(ISNUMBER(AB226),ISNUMBER(AB100)),IFERROR(AB226/AB100,""),"")</f>
        <v/>
      </c>
      <c r="AC228" s="190">
        <f>IF(AND(ISNUMBER(AC226),ISNUMBER(AC100)),IFERROR(AC226/AC100,""),"")</f>
        <v/>
      </c>
      <c r="AD228" s="190">
        <f>IF(AND(ISNUMBER(AD226),ISNUMBER(AD100)),IFERROR(AD226/AD100,""),"")</f>
        <v/>
      </c>
      <c r="AE228" s="190">
        <f>IF(AND(ISNUMBER(AE226),ISNUMBER(AE100)),IFERROR(AE226/AE100,""),"")</f>
        <v/>
      </c>
      <c r="AF228" s="190">
        <f>IF(AND(ISNUMBER(AF226),ISNUMBER(AF100)),IFERROR(AF226/AF100,""),"")</f>
        <v/>
      </c>
      <c r="AG228" s="190">
        <f>IF(AND(ISNUMBER(AG226),ISNUMBER(AG100)),IFERROR(AG226/AG100,""),"")</f>
        <v/>
      </c>
      <c r="AH228" s="190">
        <f>IF(AND(ISNUMBER(AH226),ISNUMBER(AH100)),IFERROR(AH226/AH100,""),"")</f>
        <v/>
      </c>
      <c r="AI228" s="190">
        <f>IF(AND(ISNUMBER(AI226),ISNUMBER(AI100)),IFERROR(AI226/AI100,""),"")</f>
        <v/>
      </c>
      <c r="AJ228" s="190">
        <f>IF(AND(ISNUMBER(AJ226),ISNUMBER(AJ100)),IFERROR(AJ226/AJ100,""),"")</f>
        <v/>
      </c>
      <c r="AK228" s="190">
        <f>IF(AND(ISNUMBER(AK226),ISNUMBER(AK100)),IFERROR(AK226/AK100,""),"")</f>
        <v/>
      </c>
      <c r="AL228" s="190">
        <f>IF(AND(ISNUMBER(AL226),ISNUMBER(AL100)),IFERROR(AL226/AL100,""),"")</f>
        <v/>
      </c>
      <c r="AM228" s="190">
        <f>IF(AND(ISNUMBER(AM226),ISNUMBER(AM100)),IFERROR(AM226/AM100,""),"")</f>
        <v/>
      </c>
      <c r="AN228" s="190">
        <f>IF(AND(ISNUMBER(AN226),ISNUMBER(AN100)),IFERROR(AN226/AN100,""),"")</f>
        <v/>
      </c>
      <c r="AO228" s="190">
        <f>IF(AND(ISNUMBER(AO226),ISNUMBER(AO100)),IFERROR(AO226/AO100,""),"")</f>
        <v/>
      </c>
      <c r="AP228" s="190">
        <f>IF(AND(ISNUMBER(AP226),ISNUMBER(AP100)),IFERROR(AP226/AP100,""),"")</f>
        <v/>
      </c>
      <c r="AQ228" s="190">
        <f>IF(AND(ISNUMBER(AQ226),ISNUMBER(AQ100)),IFERROR(AQ226/AQ100,""),"")</f>
        <v/>
      </c>
      <c r="AR228" s="190">
        <f>IF(AND(ISNUMBER(AR226),ISNUMBER(AR100)),IFERROR(AR226/AR100,""),"")</f>
        <v/>
      </c>
      <c r="AS228" s="190">
        <f>IF(AND(ISNUMBER(AS226),ISNUMBER(AS100)),IFERROR(AS226/AS100,""),"")</f>
        <v/>
      </c>
      <c r="AT228" s="190">
        <f>IF(AND(ISNUMBER(AT226),ISNUMBER(AT100)),IFERROR(AT226/AT100,""),"")</f>
        <v/>
      </c>
      <c r="AU228" s="190">
        <f>IF(AND(ISNUMBER(AU226),ISNUMBER(AU100)),IFERROR(AU226/AU100,""),"")</f>
        <v/>
      </c>
      <c r="AV228" s="190">
        <f>IF(AND(ISNUMBER(AV226),ISNUMBER(AV100)),IFERROR(AV226/AV100,""),"")</f>
        <v/>
      </c>
      <c r="AW228" s="190">
        <f>IF(AND(ISNUMBER(AW226),ISNUMBER(AW100)),IFERROR(AW226/AW100,""),"")</f>
        <v/>
      </c>
      <c r="AX228" s="190">
        <f>IF(AND(ISNUMBER(AX226),ISNUMBER(AX100)),IFERROR(AX226/AX100,""),"")</f>
        <v/>
      </c>
      <c r="AY228" s="190">
        <f>IF(AND(ISNUMBER(AY226),ISNUMBER(AY100)),IFERROR(AY226/AY100,""),"")</f>
        <v/>
      </c>
      <c r="AZ228" s="190">
        <f>IF(AND(ISNUMBER(AZ226),ISNUMBER(AZ100)),IFERROR(AZ226/AZ100,""),"")</f>
        <v/>
      </c>
      <c r="BA228" s="190">
        <f>IF(AND(ISNUMBER(BA226),ISNUMBER(BA100)),IFERROR(BA226/BA100,""),"")</f>
        <v/>
      </c>
      <c r="BB228" s="190">
        <f>IF(AND(ISNUMBER(BB226),ISNUMBER(BB100)),IFERROR(BB226/BB100,""),"")</f>
        <v/>
      </c>
      <c r="BC228" s="190">
        <f>IF(AND(ISNUMBER(BC226),ISNUMBER(BC100)),IFERROR(BC226/BC100,""),"")</f>
        <v/>
      </c>
      <c r="BD228" s="190">
        <f>IF(AND(ISNUMBER(BD226),ISNUMBER(BD100)),IFERROR(BD226/BD100,""),"")</f>
        <v/>
      </c>
      <c r="BE228" s="190">
        <f>IF(AND(ISNUMBER(BE226),ISNUMBER(BE100)),IFERROR(BE226/BE100,""),"")</f>
        <v/>
      </c>
      <c r="BF228" s="190">
        <f>IF(AND(ISNUMBER(BF226),ISNUMBER(BF100)),IFERROR(BF226/BF100,""),"")</f>
        <v/>
      </c>
      <c r="BG228" s="190">
        <f>IF(AND(ISNUMBER(BG226),ISNUMBER(BG100)),IFERROR(BG226/BG100,""),"")</f>
        <v/>
      </c>
      <c r="BH228" s="190">
        <f>IF(AND(ISNUMBER(BH226),ISNUMBER(BH100)),IFERROR(BH226/BH100,""),"")</f>
        <v/>
      </c>
      <c r="BI228" s="190">
        <f>IF(AND(ISNUMBER(BI226),ISNUMBER(BI100)),IFERROR(BI226/BI100,""),"")</f>
        <v/>
      </c>
      <c r="BJ228" s="190">
        <f>IF(AND(ISNUMBER(BJ226),ISNUMBER(BJ100)),IFERROR(BJ226/BJ100,""),"")</f>
        <v/>
      </c>
      <c r="BK228" s="190">
        <f>IF(AND(ISNUMBER(BK226),ISNUMBER(BK100)),IFERROR(BK226/BK100,""),"")</f>
        <v/>
      </c>
      <c r="BL228" s="190">
        <f>IF(AND(ISNUMBER(BL226),ISNUMBER(BL100)),IFERROR(BL226/BL100,""),"")</f>
        <v/>
      </c>
      <c r="BM228" s="190">
        <f>IF(AND(ISNUMBER(BM226),ISNUMBER(BM100)),IFERROR(BM226/BM100,""),"")</f>
        <v/>
      </c>
      <c r="BN228" s="190">
        <f>IF(AND(ISNUMBER(BN226),ISNUMBER(BN100)),IFERROR(BN226/BN100,""),"")</f>
        <v/>
      </c>
      <c r="BO228" s="190">
        <f>IF(AND(ISNUMBER(BO226),ISNUMBER(BO100)),IFERROR(BO226/BO100,""),"")</f>
        <v/>
      </c>
      <c r="BP228" s="190">
        <f>IF(AND(ISNUMBER(BP226),ISNUMBER(BP100)),IFERROR(BP226/BP100,""),"")</f>
        <v/>
      </c>
      <c r="BQ228" s="190">
        <f>IF(AND(ISNUMBER(BQ226),ISNUMBER(BQ100)),IFERROR(BQ226/BQ100,""),"")</f>
        <v/>
      </c>
      <c r="BR228" s="190">
        <f>IF(AND(ISNUMBER(BR226),ISNUMBER(BR100)),IFERROR(BR226/BR100,""),"")</f>
        <v/>
      </c>
      <c r="BS228" s="190">
        <f>IF(AND(ISNUMBER(BS226),ISNUMBER(BS100)),IFERROR(BS226/BS100,""),"")</f>
        <v/>
      </c>
      <c r="BT228" s="190">
        <f>IF(AND(ISNUMBER(BT226),ISNUMBER(BT100)),IFERROR(BT226/BT100,""),"")</f>
        <v/>
      </c>
      <c r="BU228" s="190">
        <f>IF(AND(ISNUMBER(BU226),ISNUMBER(BU100)),IFERROR(BU226/BU100,""),"")</f>
        <v/>
      </c>
      <c r="BV228" s="190">
        <f>IF(AND(ISNUMBER(BV226),ISNUMBER(BV100)),IFERROR(BV226/BV100,""),"")</f>
        <v/>
      </c>
      <c r="BW228" s="190">
        <f>IF(AND(ISNUMBER(BW226),ISNUMBER(BW100)),IFERROR(BW226/BW100,""),"")</f>
        <v/>
      </c>
      <c r="BX228" s="190">
        <f>IF(AND(ISNUMBER(BX226),ISNUMBER(BX100)),IFERROR(BX226/BX100,""),"")</f>
        <v/>
      </c>
      <c r="BY228" s="25" t="n"/>
      <c r="BZ228" s="25" t="n"/>
      <c r="CA228" s="181">
        <f>IF(AND(ISNUMBER(CA226),ISNUMBER(CA100)),IFERROR(CA226/CA100,""),"")</f>
        <v/>
      </c>
      <c r="CB228" s="181">
        <f>IF(AND(ISNUMBER(CB226),ISNUMBER(CB100)),IFERROR(CB226/CB100,""),"")</f>
        <v/>
      </c>
      <c r="CC228" s="181">
        <f>IF(AND(ISNUMBER(CC226),ISNUMBER(CC100)),IFERROR(CC226/CC100,""),"")</f>
        <v/>
      </c>
      <c r="CD228" s="181">
        <f>IF(AND(ISNUMBER(CD226),ISNUMBER(CD100)),IFERROR(CD226/CD100,""),"")</f>
        <v/>
      </c>
      <c r="CE228" s="181">
        <f>IF(AND(ISNUMBER(CE226),ISNUMBER(CE100)),IFERROR(CE226/CE100,""),"")</f>
        <v/>
      </c>
      <c r="CF228" s="6" t="n"/>
      <c r="CH228" s="39">
        <f>IFERROR(AVERAGE(CA228,CB228,CC228,CD228,CE228),"n/m")</f>
        <v/>
      </c>
      <c r="CI228" s="39">
        <f>IFERROR(AVERAGE(BB228,BG228,BL228,BQ228,BV228),"n/m")</f>
        <v/>
      </c>
      <c r="CJ228" s="39">
        <f>IFERROR(AVERAGE(AC228,AH228,AM228,AR228,AW228,BB228,BG228,BL228,BQ228,BV228),"n/m")</f>
        <v/>
      </c>
      <c r="CK228" s="39">
        <f>IFERROR(AVERAGE(C228,D228,E228,F228,G228,H228,I228,N228,S228,X228,AC228,AH228,AM228,AR228,AW228,BB228,BG228,BL228,BQ228,BV228),"n/m")</f>
        <v/>
      </c>
    </row>
    <row r="229" ht="15" customHeight="1">
      <c r="B229" s="26" t="inlineStr">
        <is>
          <t xml:space="preserve">  FCF / adjusted net income conversion %</t>
        </is>
      </c>
      <c r="C229" s="190">
        <f>IF(AND(ISNUMBER(C226),ISNUMBER(C174)),IFERROR(C226/C174,""),"")</f>
        <v/>
      </c>
      <c r="D229" s="190">
        <f>IF(AND(ISNUMBER(D226),ISNUMBER(D174)),IFERROR(D226/D174,""),"")</f>
        <v/>
      </c>
      <c r="E229" s="190">
        <f>IF(AND(ISNUMBER(E226),ISNUMBER(E174)),IFERROR(E226/E174,""),"")</f>
        <v/>
      </c>
      <c r="F229" s="190">
        <f>IF(AND(ISNUMBER(F226),ISNUMBER(F174)),IFERROR(F226/F174,""),"")</f>
        <v/>
      </c>
      <c r="G229" s="190">
        <f>IF(AND(ISNUMBER(G226),ISNUMBER(G174)),IFERROR(G226/G174,""),"")</f>
        <v/>
      </c>
      <c r="H229" s="190">
        <f>IF(AND(ISNUMBER(H226),ISNUMBER(H174)),IFERROR(H226/H174,""),"")</f>
        <v/>
      </c>
      <c r="I229" s="190">
        <f>IF(AND(ISNUMBER(I226),ISNUMBER(I174)),IFERROR(I226/I174,""),"")</f>
        <v/>
      </c>
      <c r="J229" s="190">
        <f>IF(AND(ISNUMBER(J226),ISNUMBER(J174)),IFERROR(J226/J174,""),"")</f>
        <v/>
      </c>
      <c r="K229" s="190">
        <f>IF(AND(ISNUMBER(K226),ISNUMBER(K174)),IFERROR(K226/K174,""),"")</f>
        <v/>
      </c>
      <c r="L229" s="190">
        <f>IF(AND(ISNUMBER(L226),ISNUMBER(L174)),IFERROR(L226/L174,""),"")</f>
        <v/>
      </c>
      <c r="M229" s="190">
        <f>IF(AND(ISNUMBER(M226),ISNUMBER(M174)),IFERROR(M226/M174,""),"")</f>
        <v/>
      </c>
      <c r="N229" s="190">
        <f>IF(AND(ISNUMBER(N226),ISNUMBER(N174)),IFERROR(N226/N174,""),"")</f>
        <v/>
      </c>
      <c r="O229" s="190">
        <f>IF(AND(ISNUMBER(O226),ISNUMBER(O174)),IFERROR(O226/O174,""),"")</f>
        <v/>
      </c>
      <c r="P229" s="190">
        <f>IF(AND(ISNUMBER(P226),ISNUMBER(P174)),IFERROR(P226/P174,""),"")</f>
        <v/>
      </c>
      <c r="Q229" s="190">
        <f>IF(AND(ISNUMBER(Q226),ISNUMBER(Q174)),IFERROR(Q226/Q174,""),"")</f>
        <v/>
      </c>
      <c r="R229" s="190">
        <f>IF(AND(ISNUMBER(R226),ISNUMBER(R174)),IFERROR(R226/R174,""),"")</f>
        <v/>
      </c>
      <c r="S229" s="190">
        <f>IF(AND(ISNUMBER(S226),ISNUMBER(S174)),IFERROR(S226/S174,""),"")</f>
        <v/>
      </c>
      <c r="T229" s="190">
        <f>IF(AND(ISNUMBER(T226),ISNUMBER(T174)),IFERROR(T226/T174,""),"")</f>
        <v/>
      </c>
      <c r="U229" s="190">
        <f>IF(AND(ISNUMBER(U226),ISNUMBER(U174)),IFERROR(U226/U174,""),"")</f>
        <v/>
      </c>
      <c r="V229" s="190">
        <f>IF(AND(ISNUMBER(V226),ISNUMBER(V174)),IFERROR(V226/V174,""),"")</f>
        <v/>
      </c>
      <c r="W229" s="190">
        <f>IF(AND(ISNUMBER(W226),ISNUMBER(W174)),IFERROR(W226/W174,""),"")</f>
        <v/>
      </c>
      <c r="X229" s="190">
        <f>IF(AND(ISNUMBER(X226),ISNUMBER(X174)),IFERROR(X226/X174,""),"")</f>
        <v/>
      </c>
      <c r="Y229" s="190">
        <f>IF(AND(ISNUMBER(Y226),ISNUMBER(Y174)),IFERROR(Y226/Y174,""),"")</f>
        <v/>
      </c>
      <c r="Z229" s="190">
        <f>IF(AND(ISNUMBER(Z226),ISNUMBER(Z174)),IFERROR(Z226/Z174,""),"")</f>
        <v/>
      </c>
      <c r="AA229" s="190">
        <f>IF(AND(ISNUMBER(AA226),ISNUMBER(AA174)),IFERROR(AA226/AA174,""),"")</f>
        <v/>
      </c>
      <c r="AB229" s="190">
        <f>IF(AND(ISNUMBER(AB226),ISNUMBER(AB174)),IFERROR(AB226/AB174,""),"")</f>
        <v/>
      </c>
      <c r="AC229" s="190">
        <f>IF(AND(ISNUMBER(AC226),ISNUMBER(AC174)),IFERROR(AC226/AC174,""),"")</f>
        <v/>
      </c>
      <c r="AD229" s="190">
        <f>IF(AND(ISNUMBER(AD226),ISNUMBER(AD174)),IFERROR(AD226/AD174,""),"")</f>
        <v/>
      </c>
      <c r="AE229" s="190">
        <f>IF(AND(ISNUMBER(AE226),ISNUMBER(AE174)),IFERROR(AE226/AE174,""),"")</f>
        <v/>
      </c>
      <c r="AF229" s="190">
        <f>IF(AND(ISNUMBER(AF226),ISNUMBER(AF174)),IFERROR(AF226/AF174,""),"")</f>
        <v/>
      </c>
      <c r="AG229" s="190">
        <f>IF(AND(ISNUMBER(AG226),ISNUMBER(AG174)),IFERROR(AG226/AG174,""),"")</f>
        <v/>
      </c>
      <c r="AH229" s="190">
        <f>IF(AND(ISNUMBER(AH226),ISNUMBER(AH174)),IFERROR(AH226/AH174,""),"")</f>
        <v/>
      </c>
      <c r="AI229" s="190">
        <f>IF(AND(ISNUMBER(AI226),ISNUMBER(AI174)),IFERROR(AI226/AI174,""),"")</f>
        <v/>
      </c>
      <c r="AJ229" s="190">
        <f>IF(AND(ISNUMBER(AJ226),ISNUMBER(AJ174)),IFERROR(AJ226/AJ174,""),"")</f>
        <v/>
      </c>
      <c r="AK229" s="190">
        <f>IF(AND(ISNUMBER(AK226),ISNUMBER(AK174)),IFERROR(AK226/AK174,""),"")</f>
        <v/>
      </c>
      <c r="AL229" s="190">
        <f>IF(AND(ISNUMBER(AL226),ISNUMBER(AL174)),IFERROR(AL226/AL174,""),"")</f>
        <v/>
      </c>
      <c r="AM229" s="190">
        <f>IF(AND(ISNUMBER(AM226),ISNUMBER(AM174)),IFERROR(AM226/AM174,""),"")</f>
        <v/>
      </c>
      <c r="AN229" s="190">
        <f>IF(AND(ISNUMBER(AN226),ISNUMBER(AN174)),IFERROR(AN226/AN174,""),"")</f>
        <v/>
      </c>
      <c r="AO229" s="190">
        <f>IF(AND(ISNUMBER(AO226),ISNUMBER(AO174)),IFERROR(AO226/AO174,""),"")</f>
        <v/>
      </c>
      <c r="AP229" s="190">
        <f>IF(AND(ISNUMBER(AP226),ISNUMBER(AP174)),IFERROR(AP226/AP174,""),"")</f>
        <v/>
      </c>
      <c r="AQ229" s="190">
        <f>IF(AND(ISNUMBER(AQ226),ISNUMBER(AQ174)),IFERROR(AQ226/AQ174,""),"")</f>
        <v/>
      </c>
      <c r="AR229" s="190">
        <f>IF(AND(ISNUMBER(AR226),ISNUMBER(AR174)),IFERROR(AR226/AR174,""),"")</f>
        <v/>
      </c>
      <c r="AS229" s="190">
        <f>IF(AND(ISNUMBER(AS226),ISNUMBER(AS174)),IFERROR(AS226/AS174,""),"")</f>
        <v/>
      </c>
      <c r="AT229" s="190">
        <f>IF(AND(ISNUMBER(AT226),ISNUMBER(AT174)),IFERROR(AT226/AT174,""),"")</f>
        <v/>
      </c>
      <c r="AU229" s="190">
        <f>IF(AND(ISNUMBER(AU226),ISNUMBER(AU174)),IFERROR(AU226/AU174,""),"")</f>
        <v/>
      </c>
      <c r="AV229" s="190">
        <f>IF(AND(ISNUMBER(AV226),ISNUMBER(AV174)),IFERROR(AV226/AV174,""),"")</f>
        <v/>
      </c>
      <c r="AW229" s="190">
        <f>IF(AND(ISNUMBER(AW226),ISNUMBER(AW174)),IFERROR(AW226/AW174,""),"")</f>
        <v/>
      </c>
      <c r="AX229" s="190">
        <f>IF(AND(ISNUMBER(AX226),ISNUMBER(AX174)),IFERROR(AX226/AX174,""),"")</f>
        <v/>
      </c>
      <c r="AY229" s="190">
        <f>IF(AND(ISNUMBER(AY226),ISNUMBER(AY174)),IFERROR(AY226/AY174,""),"")</f>
        <v/>
      </c>
      <c r="AZ229" s="190">
        <f>IF(AND(ISNUMBER(AZ226),ISNUMBER(AZ174)),IFERROR(AZ226/AZ174,""),"")</f>
        <v/>
      </c>
      <c r="BA229" s="190">
        <f>IF(AND(ISNUMBER(BA226),ISNUMBER(BA174)),IFERROR(BA226/BA174,""),"")</f>
        <v/>
      </c>
      <c r="BB229" s="190">
        <f>IF(AND(ISNUMBER(BB226),ISNUMBER(BB174)),IFERROR(BB226/BB174,""),"")</f>
        <v/>
      </c>
      <c r="BC229" s="190">
        <f>IF(AND(ISNUMBER(BC226),ISNUMBER(BC174)),IFERROR(BC226/BC174,""),"")</f>
        <v/>
      </c>
      <c r="BD229" s="190">
        <f>IF(AND(ISNUMBER(BD226),ISNUMBER(BD174)),IFERROR(BD226/BD174,""),"")</f>
        <v/>
      </c>
      <c r="BE229" s="190">
        <f>IF(AND(ISNUMBER(BE226),ISNUMBER(BE174)),IFERROR(BE226/BE174,""),"")</f>
        <v/>
      </c>
      <c r="BF229" s="190">
        <f>IF(AND(ISNUMBER(BF226),ISNUMBER(BF174)),IFERROR(BF226/BF174,""),"")</f>
        <v/>
      </c>
      <c r="BG229" s="190">
        <f>IF(AND(ISNUMBER(BG226),ISNUMBER(BG174)),IFERROR(BG226/BG174,""),"")</f>
        <v/>
      </c>
      <c r="BH229" s="190">
        <f>IF(AND(ISNUMBER(BH226),ISNUMBER(BH174)),IFERROR(BH226/BH174,""),"")</f>
        <v/>
      </c>
      <c r="BI229" s="190">
        <f>IF(AND(ISNUMBER(BI226),ISNUMBER(BI174)),IFERROR(BI226/BI174,""),"")</f>
        <v/>
      </c>
      <c r="BJ229" s="190">
        <f>IF(AND(ISNUMBER(BJ226),ISNUMBER(BJ174)),IFERROR(BJ226/BJ174,""),"")</f>
        <v/>
      </c>
      <c r="BK229" s="190">
        <f>IF(AND(ISNUMBER(BK226),ISNUMBER(BK174)),IFERROR(BK226/BK174,""),"")</f>
        <v/>
      </c>
      <c r="BL229" s="190">
        <f>IF(AND(ISNUMBER(BL226),ISNUMBER(BL174)),IFERROR(BL226/BL174,""),"")</f>
        <v/>
      </c>
      <c r="BM229" s="190">
        <f>IF(AND(ISNUMBER(BM226),ISNUMBER(BM174)),IFERROR(BM226/BM174,""),"")</f>
        <v/>
      </c>
      <c r="BN229" s="190">
        <f>IF(AND(ISNUMBER(BN226),ISNUMBER(BN174)),IFERROR(BN226/BN174,""),"")</f>
        <v/>
      </c>
      <c r="BO229" s="190">
        <f>IF(AND(ISNUMBER(BO226),ISNUMBER(BO174)),IFERROR(BO226/BO174,""),"")</f>
        <v/>
      </c>
      <c r="BP229" s="190">
        <f>IF(AND(ISNUMBER(BP226),ISNUMBER(BP174)),IFERROR(BP226/BP174,""),"")</f>
        <v/>
      </c>
      <c r="BQ229" s="190">
        <f>IF(AND(ISNUMBER(BQ226),ISNUMBER(BQ174)),IFERROR(BQ226/BQ174,""),"")</f>
        <v/>
      </c>
      <c r="BR229" s="190">
        <f>IF(AND(ISNUMBER(BR226),ISNUMBER(BR174)),IFERROR(BR226/BR174,""),"")</f>
        <v/>
      </c>
      <c r="BS229" s="190">
        <f>IF(AND(ISNUMBER(BS226),ISNUMBER(BS174)),IFERROR(BS226/BS174,""),"")</f>
        <v/>
      </c>
      <c r="BT229" s="190">
        <f>IF(AND(ISNUMBER(BT226),ISNUMBER(BT174)),IFERROR(BT226/BT174,""),"")</f>
        <v/>
      </c>
      <c r="BU229" s="190">
        <f>IF(AND(ISNUMBER(BU226),ISNUMBER(BU174)),IFERROR(BU226/BU174,""),"")</f>
        <v/>
      </c>
      <c r="BV229" s="190">
        <f>IF(AND(ISNUMBER(BV226),ISNUMBER(BV174)),IFERROR(BV226/BV174,""),"")</f>
        <v/>
      </c>
      <c r="BW229" s="190">
        <f>IF(AND(ISNUMBER(BW226),ISNUMBER(BW174)),IFERROR(BW226/BW174,""),"")</f>
        <v/>
      </c>
      <c r="BX229" s="190">
        <f>IF(AND(ISNUMBER(BX226),ISNUMBER(BX174)),IFERROR(BX226/BX174,""),"")</f>
        <v/>
      </c>
      <c r="BY229" s="25" t="n"/>
      <c r="BZ229" s="25" t="n"/>
      <c r="CA229" s="181">
        <f>IF(AND(ISNUMBER(CA226),ISNUMBER(CA174)),IFERROR(CA226/CA174,""),"")</f>
        <v/>
      </c>
      <c r="CB229" s="181">
        <f>IF(AND(ISNUMBER(CB226),ISNUMBER(CB174)),IFERROR(CB226/CB174,""),"")</f>
        <v/>
      </c>
      <c r="CC229" s="181">
        <f>IF(AND(ISNUMBER(CC226),ISNUMBER(CC174)),IFERROR(CC226/CC174,""),"")</f>
        <v/>
      </c>
      <c r="CD229" s="181">
        <f>IF(AND(ISNUMBER(CD226),ISNUMBER(CD174)),IFERROR(CD226/CD174,""),"")</f>
        <v/>
      </c>
      <c r="CE229" s="181">
        <f>IF(AND(ISNUMBER(CE226),ISNUMBER(CE174)),IFERROR(CE226/CE174,""),"")</f>
        <v/>
      </c>
      <c r="CF229" s="6" t="n"/>
      <c r="CH229" s="39">
        <f>IFERROR(AVERAGE(CA229,CB229,CC229,CD229,CE229),"n/m")</f>
        <v/>
      </c>
      <c r="CI229" s="39">
        <f>IFERROR(AVERAGE(BB229,BG229,BL229,BQ229,BV229),"n/m")</f>
        <v/>
      </c>
      <c r="CJ229" s="39">
        <f>IFERROR(AVERAGE(AC229,AH229,AM229,AR229,AW229,BB229,BG229,BL229,BQ229,BV229),"n/m")</f>
        <v/>
      </c>
      <c r="CK229" s="39">
        <f>IFERROR(AVERAGE(C229,D229,E229,F229,G229,H229,I229,N229,S229,X229,AC229,AH229,AM229,AR229,AW229,BB229,BG229,BL229,BQ229,BV229),"n/m")</f>
        <v/>
      </c>
    </row>
    <row r="230" ht="15" customHeight="1">
      <c r="B230" s="26" t="inlineStr">
        <is>
          <t xml:space="preserve">  FCF per diluted share ($)</t>
        </is>
      </c>
      <c r="C230" s="207">
        <f>IF(AND(ISNUMBER(C226),ISNUMBER(C130)),IFERROR(C226/C130,""),"")</f>
        <v/>
      </c>
      <c r="D230" s="207">
        <f>IF(AND(ISNUMBER(D226),ISNUMBER(D130)),IFERROR(D226/D130,""),"")</f>
        <v/>
      </c>
      <c r="E230" s="207">
        <f>IF(AND(ISNUMBER(E226),ISNUMBER(E130)),IFERROR(E226/E130,""),"")</f>
        <v/>
      </c>
      <c r="F230" s="207">
        <f>IF(AND(ISNUMBER(F226),ISNUMBER(F130)),IFERROR(F226/F130,""),"")</f>
        <v/>
      </c>
      <c r="G230" s="207">
        <f>IF(AND(ISNUMBER(G226),ISNUMBER(G130)),IFERROR(G226/G130,""),"")</f>
        <v/>
      </c>
      <c r="H230" s="207">
        <f>IF(AND(ISNUMBER(H226),ISNUMBER(H130)),IFERROR(H226/H130,""),"")</f>
        <v/>
      </c>
      <c r="I230" s="207">
        <f>IF(AND(ISNUMBER(I226),ISNUMBER(I130)),IFERROR(I226/I130,""),"")</f>
        <v/>
      </c>
      <c r="J230" s="207">
        <f>IF(AND(ISNUMBER(J226),ISNUMBER(J130)),IFERROR(J226/J130,""),"")</f>
        <v/>
      </c>
      <c r="K230" s="207">
        <f>IF(AND(ISNUMBER(K226),ISNUMBER(K130)),IFERROR(K226/K130,""),"")</f>
        <v/>
      </c>
      <c r="L230" s="207">
        <f>IF(AND(ISNUMBER(L226),ISNUMBER(L130)),IFERROR(L226/L130,""),"")</f>
        <v/>
      </c>
      <c r="M230" s="207">
        <f>IF(AND(ISNUMBER(M226),ISNUMBER(M130)),IFERROR(M226/M130,""),"")</f>
        <v/>
      </c>
      <c r="N230" s="207">
        <f>IF(AND(ISNUMBER(N226),ISNUMBER(N130)),IFERROR(N226/N130,""),"")</f>
        <v/>
      </c>
      <c r="O230" s="207">
        <f>IF(AND(ISNUMBER(O226),ISNUMBER(O130)),IFERROR(O226/O130,""),"")</f>
        <v/>
      </c>
      <c r="P230" s="207">
        <f>IF(AND(ISNUMBER(P226),ISNUMBER(P130)),IFERROR(P226/P130,""),"")</f>
        <v/>
      </c>
      <c r="Q230" s="207">
        <f>IF(AND(ISNUMBER(Q226),ISNUMBER(Q130)),IFERROR(Q226/Q130,""),"")</f>
        <v/>
      </c>
      <c r="R230" s="207">
        <f>IF(AND(ISNUMBER(R226),ISNUMBER(R130)),IFERROR(R226/R130,""),"")</f>
        <v/>
      </c>
      <c r="S230" s="207">
        <f>IF(AND(ISNUMBER(S226),ISNUMBER(S130)),IFERROR(S226/S130,""),"")</f>
        <v/>
      </c>
      <c r="T230" s="207">
        <f>IF(AND(ISNUMBER(T226),ISNUMBER(T130)),IFERROR(T226/T130,""),"")</f>
        <v/>
      </c>
      <c r="U230" s="207">
        <f>IF(AND(ISNUMBER(U226),ISNUMBER(U130)),IFERROR(U226/U130,""),"")</f>
        <v/>
      </c>
      <c r="V230" s="207">
        <f>IF(AND(ISNUMBER(V226),ISNUMBER(V130)),IFERROR(V226/V130,""),"")</f>
        <v/>
      </c>
      <c r="W230" s="207">
        <f>IF(AND(ISNUMBER(W226),ISNUMBER(W130)),IFERROR(W226/W130,""),"")</f>
        <v/>
      </c>
      <c r="X230" s="207">
        <f>IF(AND(ISNUMBER(X226),ISNUMBER(X130)),IFERROR(X226/X130,""),"")</f>
        <v/>
      </c>
      <c r="Y230" s="207">
        <f>IF(AND(ISNUMBER(Y226),ISNUMBER(Y130)),IFERROR(Y226/Y130,""),"")</f>
        <v/>
      </c>
      <c r="Z230" s="207">
        <f>IF(AND(ISNUMBER(Z226),ISNUMBER(Z130)),IFERROR(Z226/Z130,""),"")</f>
        <v/>
      </c>
      <c r="AA230" s="207">
        <f>IF(AND(ISNUMBER(AA226),ISNUMBER(AA130)),IFERROR(AA226/AA130,""),"")</f>
        <v/>
      </c>
      <c r="AB230" s="207">
        <f>IF(AND(ISNUMBER(AB226),ISNUMBER(AB130)),IFERROR(AB226/AB130,""),"")</f>
        <v/>
      </c>
      <c r="AC230" s="207">
        <f>IF(AND(ISNUMBER(AC226),ISNUMBER(AC130)),IFERROR(AC226/AC130,""),"")</f>
        <v/>
      </c>
      <c r="AD230" s="207">
        <f>IF(AND(ISNUMBER(AD226),ISNUMBER(AD130)),IFERROR(AD226/AD130,""),"")</f>
        <v/>
      </c>
      <c r="AE230" s="207">
        <f>IF(AND(ISNUMBER(AE226),ISNUMBER(AE130)),IFERROR(AE226/AE130,""),"")</f>
        <v/>
      </c>
      <c r="AF230" s="207">
        <f>IF(AND(ISNUMBER(AF226),ISNUMBER(AF130)),IFERROR(AF226/AF130,""),"")</f>
        <v/>
      </c>
      <c r="AG230" s="207">
        <f>IF(AND(ISNUMBER(AG226),ISNUMBER(AG130)),IFERROR(AG226/AG130,""),"")</f>
        <v/>
      </c>
      <c r="AH230" s="207">
        <f>IF(AND(ISNUMBER(AH226),ISNUMBER(AH130)),IFERROR(AH226/AH130,""),"")</f>
        <v/>
      </c>
      <c r="AI230" s="207">
        <f>IF(AND(ISNUMBER(AI226),ISNUMBER(AI130)),IFERROR(AI226/AI130,""),"")</f>
        <v/>
      </c>
      <c r="AJ230" s="207">
        <f>IF(AND(ISNUMBER(AJ226),ISNUMBER(AJ130)),IFERROR(AJ226/AJ130,""),"")</f>
        <v/>
      </c>
      <c r="AK230" s="207">
        <f>IF(AND(ISNUMBER(AK226),ISNUMBER(AK130)),IFERROR(AK226/AK130,""),"")</f>
        <v/>
      </c>
      <c r="AL230" s="207">
        <f>IF(AND(ISNUMBER(AL226),ISNUMBER(AL130)),IFERROR(AL226/AL130,""),"")</f>
        <v/>
      </c>
      <c r="AM230" s="207">
        <f>IF(AND(ISNUMBER(AM226),ISNUMBER(AM130)),IFERROR(AM226/AM130,""),"")</f>
        <v/>
      </c>
      <c r="AN230" s="207">
        <f>IF(AND(ISNUMBER(AN226),ISNUMBER(AN130)),IFERROR(AN226/AN130,""),"")</f>
        <v/>
      </c>
      <c r="AO230" s="207">
        <f>IF(AND(ISNUMBER(AO226),ISNUMBER(AO130)),IFERROR(AO226/AO130,""),"")</f>
        <v/>
      </c>
      <c r="AP230" s="207">
        <f>IF(AND(ISNUMBER(AP226),ISNUMBER(AP130)),IFERROR(AP226/AP130,""),"")</f>
        <v/>
      </c>
      <c r="AQ230" s="207">
        <f>IF(AND(ISNUMBER(AQ226),ISNUMBER(AQ130)),IFERROR(AQ226/AQ130,""),"")</f>
        <v/>
      </c>
      <c r="AR230" s="207">
        <f>IF(AND(ISNUMBER(AR226),ISNUMBER(AR130)),IFERROR(AR226/AR130,""),"")</f>
        <v/>
      </c>
      <c r="AS230" s="207">
        <f>IF(AND(ISNUMBER(AS226),ISNUMBER(AS130)),IFERROR(AS226/AS130,""),"")</f>
        <v/>
      </c>
      <c r="AT230" s="207">
        <f>IF(AND(ISNUMBER(AT226),ISNUMBER(AT130)),IFERROR(AT226/AT130,""),"")</f>
        <v/>
      </c>
      <c r="AU230" s="207">
        <f>IF(AND(ISNUMBER(AU226),ISNUMBER(AU130)),IFERROR(AU226/AU130,""),"")</f>
        <v/>
      </c>
      <c r="AV230" s="207">
        <f>IF(AND(ISNUMBER(AV226),ISNUMBER(AV130)),IFERROR(AV226/AV130,""),"")</f>
        <v/>
      </c>
      <c r="AW230" s="207">
        <f>IF(AND(ISNUMBER(AW226),ISNUMBER(AW130)),IFERROR(AW226/AW130,""),"")</f>
        <v/>
      </c>
      <c r="AX230" s="207">
        <f>IF(AND(ISNUMBER(AX226),ISNUMBER(AX130)),IFERROR(AX226/AX130,""),"")</f>
        <v/>
      </c>
      <c r="AY230" s="207">
        <f>IF(AND(ISNUMBER(AY226),ISNUMBER(AY130)),IFERROR(AY226/AY130,""),"")</f>
        <v/>
      </c>
      <c r="AZ230" s="207">
        <f>IF(AND(ISNUMBER(AZ226),ISNUMBER(AZ130)),IFERROR(AZ226/AZ130,""),"")</f>
        <v/>
      </c>
      <c r="BA230" s="207">
        <f>IF(AND(ISNUMBER(BA226),ISNUMBER(BA130)),IFERROR(BA226/BA130,""),"")</f>
        <v/>
      </c>
      <c r="BB230" s="207">
        <f>IF(AND(ISNUMBER(BB226),ISNUMBER(BB130)),IFERROR(BB226/BB130,""),"")</f>
        <v/>
      </c>
      <c r="BC230" s="207">
        <f>IF(AND(ISNUMBER(BC226),ISNUMBER(BC130)),IFERROR(BC226/BC130,""),"")</f>
        <v/>
      </c>
      <c r="BD230" s="207">
        <f>IF(AND(ISNUMBER(BD226),ISNUMBER(BD130)),IFERROR(BD226/BD130,""),"")</f>
        <v/>
      </c>
      <c r="BE230" s="207">
        <f>IF(AND(ISNUMBER(BE226),ISNUMBER(BE130)),IFERROR(BE226/BE130,""),"")</f>
        <v/>
      </c>
      <c r="BF230" s="207">
        <f>IF(AND(ISNUMBER(BF226),ISNUMBER(BF130)),IFERROR(BF226/BF130,""),"")</f>
        <v/>
      </c>
      <c r="BG230" s="207">
        <f>IF(AND(ISNUMBER(BG226),ISNUMBER(BG130)),IFERROR(BG226/BG130,""),"")</f>
        <v/>
      </c>
      <c r="BH230" s="207">
        <f>IF(AND(ISNUMBER(BH226),ISNUMBER(BH130)),IFERROR(BH226/BH130,""),"")</f>
        <v/>
      </c>
      <c r="BI230" s="207">
        <f>IF(AND(ISNUMBER(BI226),ISNUMBER(BI130)),IFERROR(BI226/BI130,""),"")</f>
        <v/>
      </c>
      <c r="BJ230" s="207">
        <f>IF(AND(ISNUMBER(BJ226),ISNUMBER(BJ130)),IFERROR(BJ226/BJ130,""),"")</f>
        <v/>
      </c>
      <c r="BK230" s="207">
        <f>IF(AND(ISNUMBER(BK226),ISNUMBER(BK130)),IFERROR(BK226/BK130,""),"")</f>
        <v/>
      </c>
      <c r="BL230" s="207">
        <f>IF(AND(ISNUMBER(BL226),ISNUMBER(BL130)),IFERROR(BL226/BL130,""),"")</f>
        <v/>
      </c>
      <c r="BM230" s="207">
        <f>IF(AND(ISNUMBER(BM226),ISNUMBER(BM130)),IFERROR(BM226/BM130,""),"")</f>
        <v/>
      </c>
      <c r="BN230" s="207">
        <f>IF(AND(ISNUMBER(BN226),ISNUMBER(BN130)),IFERROR(BN226/BN130,""),"")</f>
        <v/>
      </c>
      <c r="BO230" s="207">
        <f>IF(AND(ISNUMBER(BO226),ISNUMBER(BO130)),IFERROR(BO226/BO130,""),"")</f>
        <v/>
      </c>
      <c r="BP230" s="207">
        <f>IF(AND(ISNUMBER(BP226),ISNUMBER(BP130)),IFERROR(BP226/BP130,""),"")</f>
        <v/>
      </c>
      <c r="BQ230" s="207">
        <f>IF(AND(ISNUMBER(BQ226),ISNUMBER(BQ130)),IFERROR(BQ226/BQ130,""),"")</f>
        <v/>
      </c>
      <c r="BR230" s="207">
        <f>IF(AND(ISNUMBER(BR226),ISNUMBER(BR130)),IFERROR(BR226/BR130,""),"")</f>
        <v/>
      </c>
      <c r="BS230" s="207">
        <f>IF(AND(ISNUMBER(BS226),ISNUMBER(BS130)),IFERROR(BS226/BS130,""),"")</f>
        <v/>
      </c>
      <c r="BT230" s="207">
        <f>IF(AND(ISNUMBER(BT226),ISNUMBER(BT130)),IFERROR(BT226/BT130,""),"")</f>
        <v/>
      </c>
      <c r="BU230" s="207">
        <f>IF(AND(ISNUMBER(BU226),ISNUMBER(BU130)),IFERROR(BU226/BU130,""),"")</f>
        <v/>
      </c>
      <c r="BV230" s="207">
        <f>IF(AND(ISNUMBER(BV226),ISNUMBER(BV130)),IFERROR(BV226/BV130,""),"")</f>
        <v/>
      </c>
      <c r="BW230" s="207">
        <f>IF(AND(ISNUMBER(BW226),ISNUMBER(BW130)),IFERROR(BW226/BW130,""),"")</f>
        <v/>
      </c>
      <c r="BX230" s="207">
        <f>IF(AND(ISNUMBER(BX226),ISNUMBER(BX130)),IFERROR(BX226/BX130,""),"")</f>
        <v/>
      </c>
      <c r="BY230" s="37" t="n"/>
      <c r="BZ230" s="37" t="n"/>
      <c r="CA230" s="208">
        <f>IF(AND(ISNUMBER(CA226),ISNUMBER(CA130)),IFERROR(CA226/CA130,""),"")</f>
        <v/>
      </c>
      <c r="CB230" s="208">
        <f>IF(AND(ISNUMBER(CB226),ISNUMBER(CB130)),IFERROR(CB226/CB130,""),"")</f>
        <v/>
      </c>
      <c r="CC230" s="208">
        <f>IF(AND(ISNUMBER(CC226),ISNUMBER(CC130)),IFERROR(CC226/CC130,""),"")</f>
        <v/>
      </c>
      <c r="CD230" s="208">
        <f>IF(AND(ISNUMBER(CD226),ISNUMBER(CD130)),IFERROR(CD226/CD130,""),"")</f>
        <v/>
      </c>
      <c r="CE230" s="208">
        <f>IF(AND(ISNUMBER(CE226),ISNUMBER(CE130)),IFERROR(CE226/CE130,""),"")</f>
        <v/>
      </c>
      <c r="CF230" s="20" t="n"/>
      <c r="CH230" s="21">
        <f>IFERROR((CE230/BV230)^(1/5)-1,"n/m")</f>
        <v/>
      </c>
      <c r="CI230" s="21">
        <f>IFERROR((BV230/AW230)^(1/5)-1,"n/m")</f>
        <v/>
      </c>
      <c r="CJ230" s="21">
        <f>IFERROR((BV230/X230)^(1/10)-1,"n/m")</f>
        <v/>
      </c>
      <c r="CK230" s="21">
        <f>IFERROR((BV230/C230)^(1/19)-1,"n/m")</f>
        <v/>
      </c>
    </row>
    <row r="231" ht="15" customHeight="1">
      <c r="B231" s="26" t="inlineStr">
        <is>
          <t>Capex ratios</t>
        </is>
      </c>
      <c r="CF231" s="6" t="n"/>
    </row>
    <row r="232" ht="15" customHeight="1">
      <c r="B232" s="26" t="inlineStr">
        <is>
          <t xml:space="preserve">  Capex % of revenue</t>
        </is>
      </c>
      <c r="C232" s="190">
        <f>IF(ISNUMBER(C208),IFERROR(-C208/C100,""),"")</f>
        <v/>
      </c>
      <c r="D232" s="190">
        <f>IF(ISNUMBER(D208),IFERROR(-D208/D100,""),"")</f>
        <v/>
      </c>
      <c r="E232" s="190">
        <f>IF(ISNUMBER(E208),IFERROR(-E208/E100,""),"")</f>
        <v/>
      </c>
      <c r="F232" s="190">
        <f>IF(ISNUMBER(F208),IFERROR(-F208/F100,""),"")</f>
        <v/>
      </c>
      <c r="G232" s="190">
        <f>IF(ISNUMBER(G208),IFERROR(-G208/G100,""),"")</f>
        <v/>
      </c>
      <c r="H232" s="190">
        <f>IF(ISNUMBER(H208),IFERROR(-H208/H100,""),"")</f>
        <v/>
      </c>
      <c r="I232" s="190">
        <f>IF(ISNUMBER(I208),IFERROR(-I208/I100,""),"")</f>
        <v/>
      </c>
      <c r="J232" s="190">
        <f>IF(ISNUMBER(J208),IFERROR(-J208/J100,""),"")</f>
        <v/>
      </c>
      <c r="K232" s="190">
        <f>IF(ISNUMBER(K208),IFERROR(-K208/K100,""),"")</f>
        <v/>
      </c>
      <c r="L232" s="190">
        <f>IF(ISNUMBER(L208),IFERROR(-L208/L100,""),"")</f>
        <v/>
      </c>
      <c r="M232" s="190">
        <f>IF(ISNUMBER(M208),IFERROR(-M208/M100,""),"")</f>
        <v/>
      </c>
      <c r="N232" s="190">
        <f>IF(ISNUMBER(N208),IFERROR(-N208/N100,""),"")</f>
        <v/>
      </c>
      <c r="O232" s="190">
        <f>IF(ISNUMBER(O208),IFERROR(-O208/O100,""),"")</f>
        <v/>
      </c>
      <c r="P232" s="190">
        <f>IF(ISNUMBER(P208),IFERROR(-P208/P100,""),"")</f>
        <v/>
      </c>
      <c r="Q232" s="190">
        <f>IF(ISNUMBER(Q208),IFERROR(-Q208/Q100,""),"")</f>
        <v/>
      </c>
      <c r="R232" s="190">
        <f>IF(ISNUMBER(R208),IFERROR(-R208/R100,""),"")</f>
        <v/>
      </c>
      <c r="S232" s="190">
        <f>IF(ISNUMBER(S208),IFERROR(-S208/S100,""),"")</f>
        <v/>
      </c>
      <c r="T232" s="190">
        <f>IF(ISNUMBER(T208),IFERROR(-T208/T100,""),"")</f>
        <v/>
      </c>
      <c r="U232" s="190">
        <f>IF(ISNUMBER(U208),IFERROR(-U208/U100,""),"")</f>
        <v/>
      </c>
      <c r="V232" s="190">
        <f>IF(ISNUMBER(V208),IFERROR(-V208/V100,""),"")</f>
        <v/>
      </c>
      <c r="W232" s="190">
        <f>IF(ISNUMBER(W208),IFERROR(-W208/W100,""),"")</f>
        <v/>
      </c>
      <c r="X232" s="190">
        <f>IF(ISNUMBER(X208),IFERROR(-X208/X100,""),"")</f>
        <v/>
      </c>
      <c r="Y232" s="190">
        <f>IF(ISNUMBER(Y208),IFERROR(-Y208/Y100,""),"")</f>
        <v/>
      </c>
      <c r="Z232" s="190">
        <f>IF(ISNUMBER(Z208),IFERROR(-Z208/Z100,""),"")</f>
        <v/>
      </c>
      <c r="AA232" s="190">
        <f>IF(ISNUMBER(AA208),IFERROR(-AA208/AA100,""),"")</f>
        <v/>
      </c>
      <c r="AB232" s="190">
        <f>IF(ISNUMBER(AB208),IFERROR(-AB208/AB100,""),"")</f>
        <v/>
      </c>
      <c r="AC232" s="190">
        <f>IF(ISNUMBER(AC208),IFERROR(-AC208/AC100,""),"")</f>
        <v/>
      </c>
      <c r="AD232" s="190">
        <f>IF(ISNUMBER(AD208),IFERROR(-AD208/AD100,""),"")</f>
        <v/>
      </c>
      <c r="AE232" s="190">
        <f>IF(ISNUMBER(AE208),IFERROR(-AE208/AE100,""),"")</f>
        <v/>
      </c>
      <c r="AF232" s="190">
        <f>IF(ISNUMBER(AF208),IFERROR(-AF208/AF100,""),"")</f>
        <v/>
      </c>
      <c r="AG232" s="190">
        <f>IF(ISNUMBER(AG208),IFERROR(-AG208/AG100,""),"")</f>
        <v/>
      </c>
      <c r="AH232" s="190">
        <f>IF(ISNUMBER(AH208),IFERROR(-AH208/AH100,""),"")</f>
        <v/>
      </c>
      <c r="AI232" s="190">
        <f>IF(ISNUMBER(AI208),IFERROR(-AI208/AI100,""),"")</f>
        <v/>
      </c>
      <c r="AJ232" s="190">
        <f>IF(ISNUMBER(AJ208),IFERROR(-AJ208/AJ100,""),"")</f>
        <v/>
      </c>
      <c r="AK232" s="190">
        <f>IF(ISNUMBER(AK208),IFERROR(-AK208/AK100,""),"")</f>
        <v/>
      </c>
      <c r="AL232" s="190">
        <f>IF(ISNUMBER(AL208),IFERROR(-AL208/AL100,""),"")</f>
        <v/>
      </c>
      <c r="AM232" s="190">
        <f>IF(ISNUMBER(AM208),IFERROR(-AM208/AM100,""),"")</f>
        <v/>
      </c>
      <c r="AN232" s="190">
        <f>IF(ISNUMBER(AN208),IFERROR(-AN208/AN100,""),"")</f>
        <v/>
      </c>
      <c r="AO232" s="190">
        <f>IF(ISNUMBER(AO208),IFERROR(-AO208/AO100,""),"")</f>
        <v/>
      </c>
      <c r="AP232" s="190">
        <f>IF(ISNUMBER(AP208),IFERROR(-AP208/AP100,""),"")</f>
        <v/>
      </c>
      <c r="AQ232" s="190">
        <f>IF(ISNUMBER(AQ208),IFERROR(-AQ208/AQ100,""),"")</f>
        <v/>
      </c>
      <c r="AR232" s="190">
        <f>IF(ISNUMBER(AR208),IFERROR(-AR208/AR100,""),"")</f>
        <v/>
      </c>
      <c r="AS232" s="190">
        <f>IF(ISNUMBER(AS208),IFERROR(-AS208/AS100,""),"")</f>
        <v/>
      </c>
      <c r="AT232" s="190">
        <f>IF(ISNUMBER(AT208),IFERROR(-AT208/AT100,""),"")</f>
        <v/>
      </c>
      <c r="AU232" s="190">
        <f>IF(ISNUMBER(AU208),IFERROR(-AU208/AU100,""),"")</f>
        <v/>
      </c>
      <c r="AV232" s="190">
        <f>IF(ISNUMBER(AV208),IFERROR(-AV208/AV100,""),"")</f>
        <v/>
      </c>
      <c r="AW232" s="190">
        <f>IF(ISNUMBER(AW208),IFERROR(-AW208/AW100,""),"")</f>
        <v/>
      </c>
      <c r="AX232" s="190">
        <f>IF(ISNUMBER(AX208),IFERROR(-AX208/AX100,""),"")</f>
        <v/>
      </c>
      <c r="AY232" s="190">
        <f>IF(ISNUMBER(AY208),IFERROR(-AY208/AY100,""),"")</f>
        <v/>
      </c>
      <c r="AZ232" s="190">
        <f>IF(ISNUMBER(AZ208),IFERROR(-AZ208/AZ100,""),"")</f>
        <v/>
      </c>
      <c r="BA232" s="190">
        <f>IF(ISNUMBER(BA208),IFERROR(-BA208/BA100,""),"")</f>
        <v/>
      </c>
      <c r="BB232" s="190">
        <f>IF(ISNUMBER(BB208),IFERROR(-BB208/BB100,""),"")</f>
        <v/>
      </c>
      <c r="BC232" s="190">
        <f>IF(ISNUMBER(BC208),IFERROR(-BC208/BC100,""),"")</f>
        <v/>
      </c>
      <c r="BD232" s="190">
        <f>IF(ISNUMBER(BD208),IFERROR(-BD208/BD100,""),"")</f>
        <v/>
      </c>
      <c r="BE232" s="190">
        <f>IF(ISNUMBER(BE208),IFERROR(-BE208/BE100,""),"")</f>
        <v/>
      </c>
      <c r="BF232" s="190">
        <f>IF(ISNUMBER(BF208),IFERROR(-BF208/BF100,""),"")</f>
        <v/>
      </c>
      <c r="BG232" s="190">
        <f>IF(ISNUMBER(BG208),IFERROR(-BG208/BG100,""),"")</f>
        <v/>
      </c>
      <c r="BH232" s="190">
        <f>IF(ISNUMBER(BH208),IFERROR(-BH208/BH100,""),"")</f>
        <v/>
      </c>
      <c r="BI232" s="190">
        <f>IF(ISNUMBER(BI208),IFERROR(-BI208/BI100,""),"")</f>
        <v/>
      </c>
      <c r="BJ232" s="190">
        <f>IF(ISNUMBER(BJ208),IFERROR(-BJ208/BJ100,""),"")</f>
        <v/>
      </c>
      <c r="BK232" s="190">
        <f>IF(ISNUMBER(BK208),IFERROR(-BK208/BK100,""),"")</f>
        <v/>
      </c>
      <c r="BL232" s="190">
        <f>IF(ISNUMBER(BL208),IFERROR(-BL208/BL100,""),"")</f>
        <v/>
      </c>
      <c r="BM232" s="190">
        <f>IF(ISNUMBER(BM208),IFERROR(-BM208/BM100,""),"")</f>
        <v/>
      </c>
      <c r="BN232" s="190">
        <f>IF(ISNUMBER(BN208),IFERROR(-BN208/BN100,""),"")</f>
        <v/>
      </c>
      <c r="BO232" s="190">
        <f>IF(ISNUMBER(BO208),IFERROR(-BO208/BO100,""),"")</f>
        <v/>
      </c>
      <c r="BP232" s="190">
        <f>IF(ISNUMBER(BP208),IFERROR(-BP208/BP100,""),"")</f>
        <v/>
      </c>
      <c r="BQ232" s="190">
        <f>IF(ISNUMBER(BQ208),IFERROR(-BQ208/BQ100,""),"")</f>
        <v/>
      </c>
      <c r="BR232" s="190">
        <f>IF(ISNUMBER(BR208),IFERROR(-BR208/BR100,""),"")</f>
        <v/>
      </c>
      <c r="BS232" s="190">
        <f>IF(ISNUMBER(BS208),IFERROR(-BS208/BS100,""),"")</f>
        <v/>
      </c>
      <c r="BT232" s="190">
        <f>IF(ISNUMBER(BT208),IFERROR(-BT208/BT100,""),"")</f>
        <v/>
      </c>
      <c r="BU232" s="190">
        <f>IF(ISNUMBER(BU208),IFERROR(-BU208/BU100,""),"")</f>
        <v/>
      </c>
      <c r="BV232" s="190">
        <f>IF(ISNUMBER(BV208),IFERROR(-BV208/BV100,""),"")</f>
        <v/>
      </c>
      <c r="BW232" s="190">
        <f>IF(ISNUMBER(BW208),IFERROR(-BW208/BW100,""),"")</f>
        <v/>
      </c>
      <c r="BX232" s="190">
        <f>IF(ISNUMBER(BX208),IFERROR(-BX208/BX100,""),"")</f>
        <v/>
      </c>
      <c r="BY232" s="25" t="n"/>
      <c r="BZ232" s="25" t="n"/>
      <c r="CA232" s="181">
        <f>IF(ISNUMBER(CA208),IFERROR(-CA208/CA100,""),"")</f>
        <v/>
      </c>
      <c r="CB232" s="195" t="n">
        <v>0.11</v>
      </c>
      <c r="CC232" s="195" t="n">
        <v>0.11</v>
      </c>
      <c r="CD232" s="195" t="n">
        <v>0.11</v>
      </c>
      <c r="CE232" s="195" t="n">
        <v>0.11</v>
      </c>
      <c r="CF232" s="6" t="inlineStr">
        <is>
          <t>2027E+: input 11% of revenue (2016–25 average ~15%; 2025 7.6% after the 2021–24 network build-out; 2026 plan ~6.5%).</t>
        </is>
      </c>
      <c r="CH232" s="39">
        <f>IFERROR(AVERAGE(CA232,CB232,CC232,CD232,CE232),"n/m")</f>
        <v/>
      </c>
      <c r="CI232" s="39">
        <f>IFERROR(AVERAGE(BB232,BG232,BL232,BQ232,BV232),"n/m")</f>
        <v/>
      </c>
      <c r="CJ232" s="39">
        <f>IFERROR(AVERAGE(AC232,AH232,AM232,AR232,AW232,BB232,BG232,BL232,BQ232,BV232),"n/m")</f>
        <v/>
      </c>
      <c r="CK232" s="39">
        <f>IFERROR(AVERAGE(C232,D232,E232,F232,G232,H232,I232,N232,S232,X232,AC232,AH232,AM232,AR232,AW232,BB232,BG232,BL232,BQ232,BV232),"n/m")</f>
        <v/>
      </c>
    </row>
    <row r="233" ht="15" customHeight="1">
      <c r="B233" s="26" t="inlineStr">
        <is>
          <t xml:space="preserve">  Net capex (capex − disposal proceeds) % of revenue</t>
        </is>
      </c>
      <c r="C233" s="190">
        <f>IF(ISNUMBER(C208),IFERROR(-(C208+N(C209))/C100,""),"")</f>
        <v/>
      </c>
      <c r="D233" s="190">
        <f>IF(ISNUMBER(D208),IFERROR(-(D208+N(D209))/D100,""),"")</f>
        <v/>
      </c>
      <c r="E233" s="190">
        <f>IF(ISNUMBER(E208),IFERROR(-(E208+N(E209))/E100,""),"")</f>
        <v/>
      </c>
      <c r="F233" s="190">
        <f>IF(ISNUMBER(F208),IFERROR(-(F208+N(F209))/F100,""),"")</f>
        <v/>
      </c>
      <c r="G233" s="190">
        <f>IF(ISNUMBER(G208),IFERROR(-(G208+N(G209))/G100,""),"")</f>
        <v/>
      </c>
      <c r="H233" s="190">
        <f>IF(ISNUMBER(H208),IFERROR(-(H208+N(H209))/H100,""),"")</f>
        <v/>
      </c>
      <c r="I233" s="190">
        <f>IF(ISNUMBER(I208),IFERROR(-(I208+N(I209))/I100,""),"")</f>
        <v/>
      </c>
      <c r="J233" s="190">
        <f>IF(ISNUMBER(J208),IFERROR(-(J208+N(J209))/J100,""),"")</f>
        <v/>
      </c>
      <c r="K233" s="190">
        <f>IF(ISNUMBER(K208),IFERROR(-(K208+N(K209))/K100,""),"")</f>
        <v/>
      </c>
      <c r="L233" s="190">
        <f>IF(ISNUMBER(L208),IFERROR(-(L208+N(L209))/L100,""),"")</f>
        <v/>
      </c>
      <c r="M233" s="190">
        <f>IF(ISNUMBER(M208),IFERROR(-(M208+N(M209))/M100,""),"")</f>
        <v/>
      </c>
      <c r="N233" s="190">
        <f>IF(ISNUMBER(N208),IFERROR(-(N208+N(N209))/N100,""),"")</f>
        <v/>
      </c>
      <c r="O233" s="190">
        <f>IF(ISNUMBER(O208),IFERROR(-(O208+N(O209))/O100,""),"")</f>
        <v/>
      </c>
      <c r="P233" s="190">
        <f>IF(ISNUMBER(P208),IFERROR(-(P208+N(P209))/P100,""),"")</f>
        <v/>
      </c>
      <c r="Q233" s="190">
        <f>IF(ISNUMBER(Q208),IFERROR(-(Q208+N(Q209))/Q100,""),"")</f>
        <v/>
      </c>
      <c r="R233" s="190">
        <f>IF(ISNUMBER(R208),IFERROR(-(R208+N(R209))/R100,""),"")</f>
        <v/>
      </c>
      <c r="S233" s="190">
        <f>IF(ISNUMBER(S208),IFERROR(-(S208+N(S209))/S100,""),"")</f>
        <v/>
      </c>
      <c r="T233" s="190">
        <f>IF(ISNUMBER(T208),IFERROR(-(T208+N(T209))/T100,""),"")</f>
        <v/>
      </c>
      <c r="U233" s="190">
        <f>IF(ISNUMBER(U208),IFERROR(-(U208+N(U209))/U100,""),"")</f>
        <v/>
      </c>
      <c r="V233" s="190">
        <f>IF(ISNUMBER(V208),IFERROR(-(V208+N(V209))/V100,""),"")</f>
        <v/>
      </c>
      <c r="W233" s="190">
        <f>IF(ISNUMBER(W208),IFERROR(-(W208+N(W209))/W100,""),"")</f>
        <v/>
      </c>
      <c r="X233" s="190">
        <f>IF(ISNUMBER(X208),IFERROR(-(X208+N(X209))/X100,""),"")</f>
        <v/>
      </c>
      <c r="Y233" s="190">
        <f>IF(ISNUMBER(Y208),IFERROR(-(Y208+N(Y209))/Y100,""),"")</f>
        <v/>
      </c>
      <c r="Z233" s="190">
        <f>IF(ISNUMBER(Z208),IFERROR(-(Z208+N(Z209))/Z100,""),"")</f>
        <v/>
      </c>
      <c r="AA233" s="190">
        <f>IF(ISNUMBER(AA208),IFERROR(-(AA208+N(AA209))/AA100,""),"")</f>
        <v/>
      </c>
      <c r="AB233" s="190">
        <f>IF(ISNUMBER(AB208),IFERROR(-(AB208+N(AB209))/AB100,""),"")</f>
        <v/>
      </c>
      <c r="AC233" s="190">
        <f>IF(ISNUMBER(AC208),IFERROR(-(AC208+N(AC209))/AC100,""),"")</f>
        <v/>
      </c>
      <c r="AD233" s="190">
        <f>IF(ISNUMBER(AD208),IFERROR(-(AD208+N(AD209))/AD100,""),"")</f>
        <v/>
      </c>
      <c r="AE233" s="190">
        <f>IF(ISNUMBER(AE208),IFERROR(-(AE208+N(AE209))/AE100,""),"")</f>
        <v/>
      </c>
      <c r="AF233" s="190">
        <f>IF(ISNUMBER(AF208),IFERROR(-(AF208+N(AF209))/AF100,""),"")</f>
        <v/>
      </c>
      <c r="AG233" s="190">
        <f>IF(ISNUMBER(AG208),IFERROR(-(AG208+N(AG209))/AG100,""),"")</f>
        <v/>
      </c>
      <c r="AH233" s="190">
        <f>IF(ISNUMBER(AH208),IFERROR(-(AH208+N(AH209))/AH100,""),"")</f>
        <v/>
      </c>
      <c r="AI233" s="190">
        <f>IF(ISNUMBER(AI208),IFERROR(-(AI208+N(AI209))/AI100,""),"")</f>
        <v/>
      </c>
      <c r="AJ233" s="190">
        <f>IF(ISNUMBER(AJ208),IFERROR(-(AJ208+N(AJ209))/AJ100,""),"")</f>
        <v/>
      </c>
      <c r="AK233" s="190">
        <f>IF(ISNUMBER(AK208),IFERROR(-(AK208+N(AK209))/AK100,""),"")</f>
        <v/>
      </c>
      <c r="AL233" s="190">
        <f>IF(ISNUMBER(AL208),IFERROR(-(AL208+N(AL209))/AL100,""),"")</f>
        <v/>
      </c>
      <c r="AM233" s="190">
        <f>IF(ISNUMBER(AM208),IFERROR(-(AM208+N(AM209))/AM100,""),"")</f>
        <v/>
      </c>
      <c r="AN233" s="190">
        <f>IF(ISNUMBER(AN208),IFERROR(-(AN208+N(AN209))/AN100,""),"")</f>
        <v/>
      </c>
      <c r="AO233" s="190">
        <f>IF(ISNUMBER(AO208),IFERROR(-(AO208+N(AO209))/AO100,""),"")</f>
        <v/>
      </c>
      <c r="AP233" s="190">
        <f>IF(ISNUMBER(AP208),IFERROR(-(AP208+N(AP209))/AP100,""),"")</f>
        <v/>
      </c>
      <c r="AQ233" s="190">
        <f>IF(ISNUMBER(AQ208),IFERROR(-(AQ208+N(AQ209))/AQ100,""),"")</f>
        <v/>
      </c>
      <c r="AR233" s="190">
        <f>IF(ISNUMBER(AR208),IFERROR(-(AR208+N(AR209))/AR100,""),"")</f>
        <v/>
      </c>
      <c r="AS233" s="190">
        <f>IF(ISNUMBER(AS208),IFERROR(-(AS208+N(AS209))/AS100,""),"")</f>
        <v/>
      </c>
      <c r="AT233" s="190">
        <f>IF(ISNUMBER(AT208),IFERROR(-(AT208+N(AT209))/AT100,""),"")</f>
        <v/>
      </c>
      <c r="AU233" s="190">
        <f>IF(ISNUMBER(AU208),IFERROR(-(AU208+N(AU209))/AU100,""),"")</f>
        <v/>
      </c>
      <c r="AV233" s="190">
        <f>IF(ISNUMBER(AV208),IFERROR(-(AV208+N(AV209))/AV100,""),"")</f>
        <v/>
      </c>
      <c r="AW233" s="190">
        <f>IF(ISNUMBER(AW208),IFERROR(-(AW208+N(AW209))/AW100,""),"")</f>
        <v/>
      </c>
      <c r="AX233" s="190">
        <f>IF(ISNUMBER(AX208),IFERROR(-(AX208+N(AX209))/AX100,""),"")</f>
        <v/>
      </c>
      <c r="AY233" s="190">
        <f>IF(ISNUMBER(AY208),IFERROR(-(AY208+N(AY209))/AY100,""),"")</f>
        <v/>
      </c>
      <c r="AZ233" s="190">
        <f>IF(ISNUMBER(AZ208),IFERROR(-(AZ208+N(AZ209))/AZ100,""),"")</f>
        <v/>
      </c>
      <c r="BA233" s="190">
        <f>IF(ISNUMBER(BA208),IFERROR(-(BA208+N(BA209))/BA100,""),"")</f>
        <v/>
      </c>
      <c r="BB233" s="190">
        <f>IF(ISNUMBER(BB208),IFERROR(-(BB208+N(BB209))/BB100,""),"")</f>
        <v/>
      </c>
      <c r="BC233" s="190">
        <f>IF(ISNUMBER(BC208),IFERROR(-(BC208+N(BC209))/BC100,""),"")</f>
        <v/>
      </c>
      <c r="BD233" s="190">
        <f>IF(ISNUMBER(BD208),IFERROR(-(BD208+N(BD209))/BD100,""),"")</f>
        <v/>
      </c>
      <c r="BE233" s="190">
        <f>IF(ISNUMBER(BE208),IFERROR(-(BE208+N(BE209))/BE100,""),"")</f>
        <v/>
      </c>
      <c r="BF233" s="190">
        <f>IF(ISNUMBER(BF208),IFERROR(-(BF208+N(BF209))/BF100,""),"")</f>
        <v/>
      </c>
      <c r="BG233" s="190">
        <f>IF(ISNUMBER(BG208),IFERROR(-(BG208+N(BG209))/BG100,""),"")</f>
        <v/>
      </c>
      <c r="BH233" s="190">
        <f>IF(ISNUMBER(BH208),IFERROR(-(BH208+N(BH209))/BH100,""),"")</f>
        <v/>
      </c>
      <c r="BI233" s="190">
        <f>IF(ISNUMBER(BI208),IFERROR(-(BI208+N(BI209))/BI100,""),"")</f>
        <v/>
      </c>
      <c r="BJ233" s="190">
        <f>IF(ISNUMBER(BJ208),IFERROR(-(BJ208+N(BJ209))/BJ100,""),"")</f>
        <v/>
      </c>
      <c r="BK233" s="190">
        <f>IF(ISNUMBER(BK208),IFERROR(-(BK208+N(BK209))/BK100,""),"")</f>
        <v/>
      </c>
      <c r="BL233" s="190">
        <f>IF(ISNUMBER(BL208),IFERROR(-(BL208+N(BL209))/BL100,""),"")</f>
        <v/>
      </c>
      <c r="BM233" s="190">
        <f>IF(ISNUMBER(BM208),IFERROR(-(BM208+N(BM209))/BM100,""),"")</f>
        <v/>
      </c>
      <c r="BN233" s="190">
        <f>IF(ISNUMBER(BN208),IFERROR(-(BN208+N(BN209))/BN100,""),"")</f>
        <v/>
      </c>
      <c r="BO233" s="190">
        <f>IF(ISNUMBER(BO208),IFERROR(-(BO208+N(BO209))/BO100,""),"")</f>
        <v/>
      </c>
      <c r="BP233" s="190">
        <f>IF(ISNUMBER(BP208),IFERROR(-(BP208+N(BP209))/BP100,""),"")</f>
        <v/>
      </c>
      <c r="BQ233" s="190">
        <f>IF(ISNUMBER(BQ208),IFERROR(-(BQ208+N(BQ209))/BQ100,""),"")</f>
        <v/>
      </c>
      <c r="BR233" s="190">
        <f>IF(ISNUMBER(BR208),IFERROR(-(BR208+N(BR209))/BR100,""),"")</f>
        <v/>
      </c>
      <c r="BS233" s="190">
        <f>IF(ISNUMBER(BS208),IFERROR(-(BS208+N(BS209))/BS100,""),"")</f>
        <v/>
      </c>
      <c r="BT233" s="190">
        <f>IF(ISNUMBER(BT208),IFERROR(-(BT208+N(BT209))/BT100,""),"")</f>
        <v/>
      </c>
      <c r="BU233" s="190">
        <f>IF(ISNUMBER(BU208),IFERROR(-(BU208+N(BU209))/BU100,""),"")</f>
        <v/>
      </c>
      <c r="BV233" s="190">
        <f>IF(ISNUMBER(BV208),IFERROR(-(BV208+N(BV209))/BV100,""),"")</f>
        <v/>
      </c>
      <c r="BW233" s="190">
        <f>IF(ISNUMBER(BW208),IFERROR(-(BW208+N(BW209))/BW100,""),"")</f>
        <v/>
      </c>
      <c r="BX233" s="190">
        <f>IF(ISNUMBER(BX208),IFERROR(-(BX208+N(BX209))/BX100,""),"")</f>
        <v/>
      </c>
      <c r="BY233" s="25" t="n"/>
      <c r="BZ233" s="25" t="n"/>
      <c r="CA233" s="181">
        <f>IF(ISNUMBER(CA208),IFERROR(-(CA208+N(CA209))/CA100,""),"")</f>
        <v/>
      </c>
      <c r="CB233" s="181">
        <f>IF(ISNUMBER(CB208),IFERROR(-(CB208+N(CB209))/CB100,""),"")</f>
        <v/>
      </c>
      <c r="CC233" s="181">
        <f>IF(ISNUMBER(CC208),IFERROR(-(CC208+N(CC209))/CC100,""),"")</f>
        <v/>
      </c>
      <c r="CD233" s="181">
        <f>IF(ISNUMBER(CD208),IFERROR(-(CD208+N(CD209))/CD100,""),"")</f>
        <v/>
      </c>
      <c r="CE233" s="181">
        <f>IF(ISNUMBER(CE208),IFERROR(-(CE208+N(CE209))/CE100,""),"")</f>
        <v/>
      </c>
      <c r="CF233" s="6" t="n"/>
      <c r="CH233" s="39">
        <f>IFERROR(AVERAGE(CA233,CB233,CC233,CD233,CE233),"n/m")</f>
        <v/>
      </c>
      <c r="CI233" s="39">
        <f>IFERROR(AVERAGE(BB233,BG233,BL233,BQ233,BV233),"n/m")</f>
        <v/>
      </c>
      <c r="CJ233" s="39">
        <f>IFERROR(AVERAGE(AC233,AH233,AM233,AR233,AW233,BB233,BG233,BL233,BQ233,BV233),"n/m")</f>
        <v/>
      </c>
      <c r="CK233" s="39">
        <f>IFERROR(AVERAGE(C233,D233,E233,F233,G233,H233,I233,N233,S233,X233,AC233,AH233,AM233,AR233,AW233,BB233,BG233,BL233,BQ233,BV233),"n/m")</f>
        <v/>
      </c>
    </row>
    <row r="234" ht="15" customHeight="1">
      <c r="B234" s="26" t="inlineStr">
        <is>
          <t xml:space="preserve">  Disposal proceeds % of revenue</t>
        </is>
      </c>
      <c r="C234" s="190">
        <f>IF(ISNUMBER(C209),IFERROR(C209/C100,""),"")</f>
        <v/>
      </c>
      <c r="D234" s="190">
        <f>IF(ISNUMBER(D209),IFERROR(D209/D100,""),"")</f>
        <v/>
      </c>
      <c r="E234" s="190">
        <f>IF(ISNUMBER(E209),IFERROR(E209/E100,""),"")</f>
        <v/>
      </c>
      <c r="F234" s="190">
        <f>IF(ISNUMBER(F209),IFERROR(F209/F100,""),"")</f>
        <v/>
      </c>
      <c r="G234" s="190">
        <f>IF(ISNUMBER(G209),IFERROR(G209/G100,""),"")</f>
        <v/>
      </c>
      <c r="H234" s="190">
        <f>IF(ISNUMBER(H209),IFERROR(H209/H100,""),"")</f>
        <v/>
      </c>
      <c r="I234" s="190">
        <f>IF(ISNUMBER(I209),IFERROR(I209/I100,""),"")</f>
        <v/>
      </c>
      <c r="J234" s="190">
        <f>IF(ISNUMBER(J209),IFERROR(J209/J100,""),"")</f>
        <v/>
      </c>
      <c r="K234" s="190">
        <f>IF(ISNUMBER(K209),IFERROR(K209/K100,""),"")</f>
        <v/>
      </c>
      <c r="L234" s="190">
        <f>IF(ISNUMBER(L209),IFERROR(L209/L100,""),"")</f>
        <v/>
      </c>
      <c r="M234" s="190">
        <f>IF(ISNUMBER(M209),IFERROR(M209/M100,""),"")</f>
        <v/>
      </c>
      <c r="N234" s="190">
        <f>IF(ISNUMBER(N209),IFERROR(N209/N100,""),"")</f>
        <v/>
      </c>
      <c r="O234" s="190">
        <f>IF(ISNUMBER(O209),IFERROR(O209/O100,""),"")</f>
        <v/>
      </c>
      <c r="P234" s="190">
        <f>IF(ISNUMBER(P209),IFERROR(P209/P100,""),"")</f>
        <v/>
      </c>
      <c r="Q234" s="190">
        <f>IF(ISNUMBER(Q209),IFERROR(Q209/Q100,""),"")</f>
        <v/>
      </c>
      <c r="R234" s="190">
        <f>IF(ISNUMBER(R209),IFERROR(R209/R100,""),"")</f>
        <v/>
      </c>
      <c r="S234" s="190">
        <f>IF(ISNUMBER(S209),IFERROR(S209/S100,""),"")</f>
        <v/>
      </c>
      <c r="T234" s="190">
        <f>IF(ISNUMBER(T209),IFERROR(T209/T100,""),"")</f>
        <v/>
      </c>
      <c r="U234" s="190">
        <f>IF(ISNUMBER(U209),IFERROR(U209/U100,""),"")</f>
        <v/>
      </c>
      <c r="V234" s="190">
        <f>IF(ISNUMBER(V209),IFERROR(V209/V100,""),"")</f>
        <v/>
      </c>
      <c r="W234" s="190">
        <f>IF(ISNUMBER(W209),IFERROR(W209/W100,""),"")</f>
        <v/>
      </c>
      <c r="X234" s="190">
        <f>IF(ISNUMBER(X209),IFERROR(X209/X100,""),"")</f>
        <v/>
      </c>
      <c r="Y234" s="190">
        <f>IF(ISNUMBER(Y209),IFERROR(Y209/Y100,""),"")</f>
        <v/>
      </c>
      <c r="Z234" s="190">
        <f>IF(ISNUMBER(Z209),IFERROR(Z209/Z100,""),"")</f>
        <v/>
      </c>
      <c r="AA234" s="190">
        <f>IF(ISNUMBER(AA209),IFERROR(AA209/AA100,""),"")</f>
        <v/>
      </c>
      <c r="AB234" s="190">
        <f>IF(ISNUMBER(AB209),IFERROR(AB209/AB100,""),"")</f>
        <v/>
      </c>
      <c r="AC234" s="190">
        <f>IF(ISNUMBER(AC209),IFERROR(AC209/AC100,""),"")</f>
        <v/>
      </c>
      <c r="AD234" s="190">
        <f>IF(ISNUMBER(AD209),IFERROR(AD209/AD100,""),"")</f>
        <v/>
      </c>
      <c r="AE234" s="190">
        <f>IF(ISNUMBER(AE209),IFERROR(AE209/AE100,""),"")</f>
        <v/>
      </c>
      <c r="AF234" s="190">
        <f>IF(ISNUMBER(AF209),IFERROR(AF209/AF100,""),"")</f>
        <v/>
      </c>
      <c r="AG234" s="190">
        <f>IF(ISNUMBER(AG209),IFERROR(AG209/AG100,""),"")</f>
        <v/>
      </c>
      <c r="AH234" s="190">
        <f>IF(ISNUMBER(AH209),IFERROR(AH209/AH100,""),"")</f>
        <v/>
      </c>
      <c r="AI234" s="190">
        <f>IF(ISNUMBER(AI209),IFERROR(AI209/AI100,""),"")</f>
        <v/>
      </c>
      <c r="AJ234" s="190">
        <f>IF(ISNUMBER(AJ209),IFERROR(AJ209/AJ100,""),"")</f>
        <v/>
      </c>
      <c r="AK234" s="190">
        <f>IF(ISNUMBER(AK209),IFERROR(AK209/AK100,""),"")</f>
        <v/>
      </c>
      <c r="AL234" s="190">
        <f>IF(ISNUMBER(AL209),IFERROR(AL209/AL100,""),"")</f>
        <v/>
      </c>
      <c r="AM234" s="190">
        <f>IF(ISNUMBER(AM209),IFERROR(AM209/AM100,""),"")</f>
        <v/>
      </c>
      <c r="AN234" s="190">
        <f>IF(ISNUMBER(AN209),IFERROR(AN209/AN100,""),"")</f>
        <v/>
      </c>
      <c r="AO234" s="190">
        <f>IF(ISNUMBER(AO209),IFERROR(AO209/AO100,""),"")</f>
        <v/>
      </c>
      <c r="AP234" s="190">
        <f>IF(ISNUMBER(AP209),IFERROR(AP209/AP100,""),"")</f>
        <v/>
      </c>
      <c r="AQ234" s="190">
        <f>IF(ISNUMBER(AQ209),IFERROR(AQ209/AQ100,""),"")</f>
        <v/>
      </c>
      <c r="AR234" s="190">
        <f>IF(ISNUMBER(AR209),IFERROR(AR209/AR100,""),"")</f>
        <v/>
      </c>
      <c r="AS234" s="190">
        <f>IF(ISNUMBER(AS209),IFERROR(AS209/AS100,""),"")</f>
        <v/>
      </c>
      <c r="AT234" s="190">
        <f>IF(ISNUMBER(AT209),IFERROR(AT209/AT100,""),"")</f>
        <v/>
      </c>
      <c r="AU234" s="190">
        <f>IF(ISNUMBER(AU209),IFERROR(AU209/AU100,""),"")</f>
        <v/>
      </c>
      <c r="AV234" s="190">
        <f>IF(ISNUMBER(AV209),IFERROR(AV209/AV100,""),"")</f>
        <v/>
      </c>
      <c r="AW234" s="190">
        <f>IF(ISNUMBER(AW209),IFERROR(AW209/AW100,""),"")</f>
        <v/>
      </c>
      <c r="AX234" s="190">
        <f>IF(ISNUMBER(AX209),IFERROR(AX209/AX100,""),"")</f>
        <v/>
      </c>
      <c r="AY234" s="190">
        <f>IF(ISNUMBER(AY209),IFERROR(AY209/AY100,""),"")</f>
        <v/>
      </c>
      <c r="AZ234" s="190">
        <f>IF(ISNUMBER(AZ209),IFERROR(AZ209/AZ100,""),"")</f>
        <v/>
      </c>
      <c r="BA234" s="190">
        <f>IF(ISNUMBER(BA209),IFERROR(BA209/BA100,""),"")</f>
        <v/>
      </c>
      <c r="BB234" s="190">
        <f>IF(ISNUMBER(BB209),IFERROR(BB209/BB100,""),"")</f>
        <v/>
      </c>
      <c r="BC234" s="190">
        <f>IF(ISNUMBER(BC209),IFERROR(BC209/BC100,""),"")</f>
        <v/>
      </c>
      <c r="BD234" s="190">
        <f>IF(ISNUMBER(BD209),IFERROR(BD209/BD100,""),"")</f>
        <v/>
      </c>
      <c r="BE234" s="190">
        <f>IF(ISNUMBER(BE209),IFERROR(BE209/BE100,""),"")</f>
        <v/>
      </c>
      <c r="BF234" s="190">
        <f>IF(ISNUMBER(BF209),IFERROR(BF209/BF100,""),"")</f>
        <v/>
      </c>
      <c r="BG234" s="190">
        <f>IF(ISNUMBER(BG209),IFERROR(BG209/BG100,""),"")</f>
        <v/>
      </c>
      <c r="BH234" s="190">
        <f>IF(ISNUMBER(BH209),IFERROR(BH209/BH100,""),"")</f>
        <v/>
      </c>
      <c r="BI234" s="190">
        <f>IF(ISNUMBER(BI209),IFERROR(BI209/BI100,""),"")</f>
        <v/>
      </c>
      <c r="BJ234" s="190">
        <f>IF(ISNUMBER(BJ209),IFERROR(BJ209/BJ100,""),"")</f>
        <v/>
      </c>
      <c r="BK234" s="190">
        <f>IF(ISNUMBER(BK209),IFERROR(BK209/BK100,""),"")</f>
        <v/>
      </c>
      <c r="BL234" s="190">
        <f>IF(ISNUMBER(BL209),IFERROR(BL209/BL100,""),"")</f>
        <v/>
      </c>
      <c r="BM234" s="190">
        <f>IF(ISNUMBER(BM209),IFERROR(BM209/BM100,""),"")</f>
        <v/>
      </c>
      <c r="BN234" s="190">
        <f>IF(ISNUMBER(BN209),IFERROR(BN209/BN100,""),"")</f>
        <v/>
      </c>
      <c r="BO234" s="190">
        <f>IF(ISNUMBER(BO209),IFERROR(BO209/BO100,""),"")</f>
        <v/>
      </c>
      <c r="BP234" s="190">
        <f>IF(ISNUMBER(BP209),IFERROR(BP209/BP100,""),"")</f>
        <v/>
      </c>
      <c r="BQ234" s="190">
        <f>IF(ISNUMBER(BQ209),IFERROR(BQ209/BQ100,""),"")</f>
        <v/>
      </c>
      <c r="BR234" s="190">
        <f>IF(ISNUMBER(BR209),IFERROR(BR209/BR100,""),"")</f>
        <v/>
      </c>
      <c r="BS234" s="190">
        <f>IF(ISNUMBER(BS209),IFERROR(BS209/BS100,""),"")</f>
        <v/>
      </c>
      <c r="BT234" s="190">
        <f>IF(ISNUMBER(BT209),IFERROR(BT209/BT100,""),"")</f>
        <v/>
      </c>
      <c r="BU234" s="190">
        <f>IF(ISNUMBER(BU209),IFERROR(BU209/BU100,""),"")</f>
        <v/>
      </c>
      <c r="BV234" s="190">
        <f>IF(ISNUMBER(BV209),IFERROR(BV209/BV100,""),"")</f>
        <v/>
      </c>
      <c r="BW234" s="190">
        <f>IF(ISNUMBER(BW209),IFERROR(BW209/BW100,""),"")</f>
        <v/>
      </c>
      <c r="BX234" s="190">
        <f>IF(ISNUMBER(BX209),IFERROR(BX209/BX100,""),"")</f>
        <v/>
      </c>
      <c r="BY234" s="25" t="n"/>
      <c r="BZ234" s="25" t="n"/>
      <c r="CA234" s="181">
        <f>IF(ISNUMBER(CA209),IFERROR(CA209/CA100,""),"")</f>
        <v/>
      </c>
      <c r="CB234" s="195" t="n">
        <v>0.006</v>
      </c>
      <c r="CC234" s="195" t="n">
        <v>0.006</v>
      </c>
      <c r="CD234" s="195" t="n">
        <v>0.006</v>
      </c>
      <c r="CE234" s="195" t="n">
        <v>0.006</v>
      </c>
      <c r="CF234" s="6" t="n"/>
    </row>
    <row r="235" ht="15" customHeight="1">
      <c r="B235" s="26" t="inlineStr">
        <is>
          <t xml:space="preserve">  Capex / D&amp;A (x)</t>
        </is>
      </c>
      <c r="C235" s="212">
        <f>IF(ISNUMBER(C208),IFERROR(-C208/C201,""),"")</f>
        <v/>
      </c>
      <c r="D235" s="212">
        <f>IF(ISNUMBER(D208),IFERROR(-D208/D201,""),"")</f>
        <v/>
      </c>
      <c r="E235" s="212">
        <f>IF(ISNUMBER(E208),IFERROR(-E208/E201,""),"")</f>
        <v/>
      </c>
      <c r="F235" s="212">
        <f>IF(ISNUMBER(F208),IFERROR(-F208/F201,""),"")</f>
        <v/>
      </c>
      <c r="G235" s="212">
        <f>IF(ISNUMBER(G208),IFERROR(-G208/G201,""),"")</f>
        <v/>
      </c>
      <c r="H235" s="212">
        <f>IF(ISNUMBER(H208),IFERROR(-H208/H201,""),"")</f>
        <v/>
      </c>
      <c r="I235" s="212">
        <f>IF(ISNUMBER(I208),IFERROR(-I208/I201,""),"")</f>
        <v/>
      </c>
      <c r="J235" s="212">
        <f>IF(ISNUMBER(J208),IFERROR(-J208/J201,""),"")</f>
        <v/>
      </c>
      <c r="K235" s="212">
        <f>IF(ISNUMBER(K208),IFERROR(-K208/K201,""),"")</f>
        <v/>
      </c>
      <c r="L235" s="212">
        <f>IF(ISNUMBER(L208),IFERROR(-L208/L201,""),"")</f>
        <v/>
      </c>
      <c r="M235" s="212">
        <f>IF(ISNUMBER(M208),IFERROR(-M208/M201,""),"")</f>
        <v/>
      </c>
      <c r="N235" s="212">
        <f>IF(ISNUMBER(N208),IFERROR(-N208/N201,""),"")</f>
        <v/>
      </c>
      <c r="O235" s="212">
        <f>IF(ISNUMBER(O208),IFERROR(-O208/O201,""),"")</f>
        <v/>
      </c>
      <c r="P235" s="212">
        <f>IF(ISNUMBER(P208),IFERROR(-P208/P201,""),"")</f>
        <v/>
      </c>
      <c r="Q235" s="212">
        <f>IF(ISNUMBER(Q208),IFERROR(-Q208/Q201,""),"")</f>
        <v/>
      </c>
      <c r="R235" s="212">
        <f>IF(ISNUMBER(R208),IFERROR(-R208/R201,""),"")</f>
        <v/>
      </c>
      <c r="S235" s="212">
        <f>IF(ISNUMBER(S208),IFERROR(-S208/S201,""),"")</f>
        <v/>
      </c>
      <c r="T235" s="212">
        <f>IF(ISNUMBER(T208),IFERROR(-T208/T201,""),"")</f>
        <v/>
      </c>
      <c r="U235" s="212">
        <f>IF(ISNUMBER(U208),IFERROR(-U208/U201,""),"")</f>
        <v/>
      </c>
      <c r="V235" s="212">
        <f>IF(ISNUMBER(V208),IFERROR(-V208/V201,""),"")</f>
        <v/>
      </c>
      <c r="W235" s="212">
        <f>IF(ISNUMBER(W208),IFERROR(-W208/W201,""),"")</f>
        <v/>
      </c>
      <c r="X235" s="212">
        <f>IF(ISNUMBER(X208),IFERROR(-X208/X201,""),"")</f>
        <v/>
      </c>
      <c r="Y235" s="212">
        <f>IF(ISNUMBER(Y208),IFERROR(-Y208/Y201,""),"")</f>
        <v/>
      </c>
      <c r="Z235" s="212">
        <f>IF(ISNUMBER(Z208),IFERROR(-Z208/Z201,""),"")</f>
        <v/>
      </c>
      <c r="AA235" s="212">
        <f>IF(ISNUMBER(AA208),IFERROR(-AA208/AA201,""),"")</f>
        <v/>
      </c>
      <c r="AB235" s="212">
        <f>IF(ISNUMBER(AB208),IFERROR(-AB208/AB201,""),"")</f>
        <v/>
      </c>
      <c r="AC235" s="212">
        <f>IF(ISNUMBER(AC208),IFERROR(-AC208/AC201,""),"")</f>
        <v/>
      </c>
      <c r="AD235" s="212">
        <f>IF(ISNUMBER(AD208),IFERROR(-AD208/AD201,""),"")</f>
        <v/>
      </c>
      <c r="AE235" s="212">
        <f>IF(ISNUMBER(AE208),IFERROR(-AE208/AE201,""),"")</f>
        <v/>
      </c>
      <c r="AF235" s="212">
        <f>IF(ISNUMBER(AF208),IFERROR(-AF208/AF201,""),"")</f>
        <v/>
      </c>
      <c r="AG235" s="212">
        <f>IF(ISNUMBER(AG208),IFERROR(-AG208/AG201,""),"")</f>
        <v/>
      </c>
      <c r="AH235" s="212">
        <f>IF(ISNUMBER(AH208),IFERROR(-AH208/AH201,""),"")</f>
        <v/>
      </c>
      <c r="AI235" s="212">
        <f>IF(ISNUMBER(AI208),IFERROR(-AI208/AI201,""),"")</f>
        <v/>
      </c>
      <c r="AJ235" s="212">
        <f>IF(ISNUMBER(AJ208),IFERROR(-AJ208/AJ201,""),"")</f>
        <v/>
      </c>
      <c r="AK235" s="212">
        <f>IF(ISNUMBER(AK208),IFERROR(-AK208/AK201,""),"")</f>
        <v/>
      </c>
      <c r="AL235" s="212">
        <f>IF(ISNUMBER(AL208),IFERROR(-AL208/AL201,""),"")</f>
        <v/>
      </c>
      <c r="AM235" s="212">
        <f>IF(ISNUMBER(AM208),IFERROR(-AM208/AM201,""),"")</f>
        <v/>
      </c>
      <c r="AN235" s="212">
        <f>IF(ISNUMBER(AN208),IFERROR(-AN208/AN201,""),"")</f>
        <v/>
      </c>
      <c r="AO235" s="212">
        <f>IF(ISNUMBER(AO208),IFERROR(-AO208/AO201,""),"")</f>
        <v/>
      </c>
      <c r="AP235" s="212">
        <f>IF(ISNUMBER(AP208),IFERROR(-AP208/AP201,""),"")</f>
        <v/>
      </c>
      <c r="AQ235" s="212">
        <f>IF(ISNUMBER(AQ208),IFERROR(-AQ208/AQ201,""),"")</f>
        <v/>
      </c>
      <c r="AR235" s="212">
        <f>IF(ISNUMBER(AR208),IFERROR(-AR208/AR201,""),"")</f>
        <v/>
      </c>
      <c r="AS235" s="212">
        <f>IF(ISNUMBER(AS208),IFERROR(-AS208/AS201,""),"")</f>
        <v/>
      </c>
      <c r="AT235" s="212">
        <f>IF(ISNUMBER(AT208),IFERROR(-AT208/AT201,""),"")</f>
        <v/>
      </c>
      <c r="AU235" s="212">
        <f>IF(ISNUMBER(AU208),IFERROR(-AU208/AU201,""),"")</f>
        <v/>
      </c>
      <c r="AV235" s="212">
        <f>IF(ISNUMBER(AV208),IFERROR(-AV208/AV201,""),"")</f>
        <v/>
      </c>
      <c r="AW235" s="212">
        <f>IF(ISNUMBER(AW208),IFERROR(-AW208/AW201,""),"")</f>
        <v/>
      </c>
      <c r="AX235" s="212">
        <f>IF(ISNUMBER(AX208),IFERROR(-AX208/AX201,""),"")</f>
        <v/>
      </c>
      <c r="AY235" s="212">
        <f>IF(ISNUMBER(AY208),IFERROR(-AY208/AY201,""),"")</f>
        <v/>
      </c>
      <c r="AZ235" s="212">
        <f>IF(ISNUMBER(AZ208),IFERROR(-AZ208/AZ201,""),"")</f>
        <v/>
      </c>
      <c r="BA235" s="212">
        <f>IF(ISNUMBER(BA208),IFERROR(-BA208/BA201,""),"")</f>
        <v/>
      </c>
      <c r="BB235" s="212">
        <f>IF(ISNUMBER(BB208),IFERROR(-BB208/BB201,""),"")</f>
        <v/>
      </c>
      <c r="BC235" s="212">
        <f>IF(ISNUMBER(BC208),IFERROR(-BC208/BC201,""),"")</f>
        <v/>
      </c>
      <c r="BD235" s="212">
        <f>IF(ISNUMBER(BD208),IFERROR(-BD208/BD201,""),"")</f>
        <v/>
      </c>
      <c r="BE235" s="212">
        <f>IF(ISNUMBER(BE208),IFERROR(-BE208/BE201,""),"")</f>
        <v/>
      </c>
      <c r="BF235" s="212">
        <f>IF(ISNUMBER(BF208),IFERROR(-BF208/BF201,""),"")</f>
        <v/>
      </c>
      <c r="BG235" s="212">
        <f>IF(ISNUMBER(BG208),IFERROR(-BG208/BG201,""),"")</f>
        <v/>
      </c>
      <c r="BH235" s="212">
        <f>IF(ISNUMBER(BH208),IFERROR(-BH208/BH201,""),"")</f>
        <v/>
      </c>
      <c r="BI235" s="212">
        <f>IF(ISNUMBER(BI208),IFERROR(-BI208/BI201,""),"")</f>
        <v/>
      </c>
      <c r="BJ235" s="212">
        <f>IF(ISNUMBER(BJ208),IFERROR(-BJ208/BJ201,""),"")</f>
        <v/>
      </c>
      <c r="BK235" s="212">
        <f>IF(ISNUMBER(BK208),IFERROR(-BK208/BK201,""),"")</f>
        <v/>
      </c>
      <c r="BL235" s="212">
        <f>IF(ISNUMBER(BL208),IFERROR(-BL208/BL201,""),"")</f>
        <v/>
      </c>
      <c r="BM235" s="212">
        <f>IF(ISNUMBER(BM208),IFERROR(-BM208/BM201,""),"")</f>
        <v/>
      </c>
      <c r="BN235" s="212">
        <f>IF(ISNUMBER(BN208),IFERROR(-BN208/BN201,""),"")</f>
        <v/>
      </c>
      <c r="BO235" s="212">
        <f>IF(ISNUMBER(BO208),IFERROR(-BO208/BO201,""),"")</f>
        <v/>
      </c>
      <c r="BP235" s="212">
        <f>IF(ISNUMBER(BP208),IFERROR(-BP208/BP201,""),"")</f>
        <v/>
      </c>
      <c r="BQ235" s="212">
        <f>IF(ISNUMBER(BQ208),IFERROR(-BQ208/BQ201,""),"")</f>
        <v/>
      </c>
      <c r="BR235" s="212">
        <f>IF(ISNUMBER(BR208),IFERROR(-BR208/BR201,""),"")</f>
        <v/>
      </c>
      <c r="BS235" s="212">
        <f>IF(ISNUMBER(BS208),IFERROR(-BS208/BS201,""),"")</f>
        <v/>
      </c>
      <c r="BT235" s="212">
        <f>IF(ISNUMBER(BT208),IFERROR(-BT208/BT201,""),"")</f>
        <v/>
      </c>
      <c r="BU235" s="212">
        <f>IF(ISNUMBER(BU208),IFERROR(-BU208/BU201,""),"")</f>
        <v/>
      </c>
      <c r="BV235" s="212">
        <f>IF(ISNUMBER(BV208),IFERROR(-BV208/BV201,""),"")</f>
        <v/>
      </c>
      <c r="BW235" s="212">
        <f>IF(ISNUMBER(BW208),IFERROR(-BW208/BW201,""),"")</f>
        <v/>
      </c>
      <c r="BX235" s="212">
        <f>IF(ISNUMBER(BX208),IFERROR(-BX208/BX201,""),"")</f>
        <v/>
      </c>
      <c r="BY235" s="37" t="n"/>
      <c r="BZ235" s="37" t="n"/>
      <c r="CA235" s="199">
        <f>IF(ISNUMBER(CA208),IFERROR(-CA208/CA201,""),"")</f>
        <v/>
      </c>
      <c r="CB235" s="199">
        <f>IF(ISNUMBER(CB208),IFERROR(-CB208/CB201,""),"")</f>
        <v/>
      </c>
      <c r="CC235" s="199">
        <f>IF(ISNUMBER(CC208),IFERROR(-CC208/CC201,""),"")</f>
        <v/>
      </c>
      <c r="CD235" s="199">
        <f>IF(ISNUMBER(CD208),IFERROR(-CD208/CD201,""),"")</f>
        <v/>
      </c>
      <c r="CE235" s="199">
        <f>IF(ISNUMBER(CE208),IFERROR(-CE208/CE201,""),"")</f>
        <v/>
      </c>
      <c r="CF235" s="20" t="n"/>
    </row>
    <row r="236" ht="15" customHeight="1"/>
    <row r="237" ht="15" customHeight="1">
      <c r="B237" s="11" t="inlineStr">
        <is>
          <t>SHARE BUYBACK SCHEDULE</t>
        </is>
      </c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  <c r="AA237" s="11" t="n"/>
      <c r="AB237" s="11" t="n"/>
      <c r="AC237" s="11" t="n"/>
      <c r="AD237" s="11" t="n"/>
      <c r="AE237" s="11" t="n"/>
      <c r="AF237" s="11" t="n"/>
      <c r="AG237" s="11" t="n"/>
      <c r="AH237" s="11" t="n"/>
      <c r="AI237" s="11" t="n"/>
      <c r="AJ237" s="11" t="n"/>
      <c r="AK237" s="11" t="n"/>
      <c r="AL237" s="11" t="n"/>
      <c r="AM237" s="11" t="n"/>
      <c r="AN237" s="11" t="n"/>
      <c r="AO237" s="11" t="n"/>
      <c r="AP237" s="11" t="n"/>
      <c r="AQ237" s="11" t="n"/>
      <c r="AR237" s="11" t="n"/>
      <c r="AS237" s="11" t="n"/>
      <c r="AT237" s="11" t="n"/>
      <c r="AU237" s="11" t="n"/>
      <c r="AV237" s="11" t="n"/>
      <c r="AW237" s="11" t="n"/>
      <c r="AX237" s="11" t="n"/>
      <c r="AY237" s="11" t="n"/>
      <c r="AZ237" s="11" t="n"/>
      <c r="BA237" s="11" t="n"/>
      <c r="BB237" s="11" t="n"/>
      <c r="BC237" s="11" t="n"/>
      <c r="BD237" s="11" t="n"/>
      <c r="BE237" s="11" t="n"/>
      <c r="BF237" s="11" t="n"/>
      <c r="BG237" s="11" t="n"/>
      <c r="BH237" s="11" t="n"/>
      <c r="BI237" s="11" t="n"/>
      <c r="BJ237" s="11" t="n"/>
      <c r="BK237" s="11" t="n"/>
      <c r="BL237" s="11" t="n"/>
      <c r="BM237" s="11" t="n"/>
      <c r="BN237" s="11" t="n"/>
      <c r="BO237" s="11" t="n"/>
      <c r="BP237" s="11" t="n"/>
      <c r="BQ237" s="11" t="n"/>
      <c r="BR237" s="11" t="n"/>
      <c r="BS237" s="11" t="n"/>
      <c r="BT237" s="11" t="n"/>
      <c r="BU237" s="11" t="n"/>
      <c r="BV237" s="11" t="n"/>
      <c r="BW237" s="11" t="n"/>
      <c r="BX237" s="11" t="n"/>
      <c r="BY237" s="11" t="n"/>
      <c r="BZ237" s="11" t="n"/>
      <c r="CA237" s="11" t="n"/>
      <c r="CB237" s="11" t="n"/>
      <c r="CC237" s="11" t="n"/>
      <c r="CD237" s="11" t="n"/>
      <c r="CE237" s="11" t="n"/>
      <c r="CF237" s="11" t="inlineStr">
        <is>
          <t>SHARES — 2026E starts from shares outstanding at 30-Jun-2026; 2H/26 buyback per scenario</t>
        </is>
      </c>
    </row>
    <row r="238" ht="15" customHeight="1">
      <c r="B238" s="26" t="inlineStr">
        <is>
          <t xml:space="preserve">  Avg buyback price ($)</t>
        </is>
      </c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  <c r="AP238" s="36" t="n"/>
      <c r="AQ238" s="36" t="n"/>
      <c r="AR238" s="36" t="n"/>
      <c r="AS238" s="36" t="n"/>
      <c r="AT238" s="36" t="n"/>
      <c r="AU238" s="36" t="n"/>
      <c r="AV238" s="36" t="n"/>
      <c r="AW238" s="36" t="n"/>
      <c r="AX238" s="36" t="n"/>
      <c r="AY238" s="36" t="n"/>
      <c r="AZ238" s="36" t="n"/>
      <c r="BA238" s="36" t="n"/>
      <c r="BB238" s="36" t="n"/>
      <c r="BC238" s="36" t="n"/>
      <c r="BD238" s="36" t="n"/>
      <c r="BE238" s="36" t="n"/>
      <c r="BF238" s="36" t="n"/>
      <c r="BG238" s="36" t="n"/>
      <c r="BH238" s="36" t="n"/>
      <c r="BI238" s="36" t="n"/>
      <c r="BJ238" s="36" t="n"/>
      <c r="BK238" s="36" t="n"/>
      <c r="BL238" s="36" t="n"/>
      <c r="BM238" s="36" t="n"/>
      <c r="BN238" s="36" t="n"/>
      <c r="BO238" s="36" t="n"/>
      <c r="BP238" s="36" t="n"/>
      <c r="BQ238" s="36" t="n"/>
      <c r="BR238" s="36" t="n"/>
      <c r="BS238" s="36" t="n"/>
      <c r="BT238" s="36" t="n"/>
      <c r="BU238" s="36" t="n"/>
      <c r="BV238" s="36" t="n"/>
      <c r="BW238" s="36" t="n"/>
      <c r="BX238" s="36" t="n"/>
      <c r="BY238" s="37" t="n"/>
      <c r="BZ238" s="37" t="n"/>
      <c r="CA238" s="189">
        <f>CA355</f>
        <v/>
      </c>
      <c r="CB238" s="189">
        <f>CA238*(1+CB302)</f>
        <v/>
      </c>
      <c r="CC238" s="189">
        <f>CB238*(1+CC302)</f>
        <v/>
      </c>
      <c r="CD238" s="189">
        <f>CC238*(1+CD302)</f>
        <v/>
      </c>
      <c r="CE238" s="189">
        <f>CD238*(1+CE302)</f>
        <v/>
      </c>
      <c r="CF238" s="20" t="inlineStr">
        <is>
          <t>2026E = current share price (valuation input); appreciates with the share-price input.</t>
        </is>
      </c>
    </row>
    <row r="239" ht="15" customHeight="1">
      <c r="B239" s="26" t="inlineStr">
        <is>
          <t xml:space="preserve">  Buyback cash deployed (USDm)</t>
        </is>
      </c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  <c r="AP239" s="36" t="n"/>
      <c r="AQ239" s="36" t="n"/>
      <c r="AR239" s="36" t="n"/>
      <c r="AS239" s="36" t="n"/>
      <c r="AT239" s="36" t="n"/>
      <c r="AU239" s="36" t="n"/>
      <c r="AV239" s="36" t="n"/>
      <c r="AW239" s="36" t="n"/>
      <c r="AX239" s="36" t="n"/>
      <c r="AY239" s="36" t="n"/>
      <c r="AZ239" s="36" t="n"/>
      <c r="BA239" s="36" t="n"/>
      <c r="BB239" s="36" t="n"/>
      <c r="BC239" s="36" t="n"/>
      <c r="BD239" s="36" t="n"/>
      <c r="BE239" s="36" t="n"/>
      <c r="BF239" s="36" t="n"/>
      <c r="BG239" s="36" t="n"/>
      <c r="BH239" s="36" t="n"/>
      <c r="BI239" s="36" t="n"/>
      <c r="BJ239" s="36" t="n"/>
      <c r="BK239" s="36" t="n"/>
      <c r="BL239" s="36" t="n"/>
      <c r="BM239" s="36" t="n"/>
      <c r="BN239" s="36" t="n"/>
      <c r="BO239" s="36" t="n"/>
      <c r="BP239" s="36" t="n"/>
      <c r="BQ239" s="36" t="n"/>
      <c r="BR239" s="36" t="n"/>
      <c r="BS239" s="36" t="n"/>
      <c r="BT239" s="36" t="n"/>
      <c r="BU239" s="36" t="n"/>
      <c r="BV239" s="36" t="n"/>
      <c r="BW239" s="36" t="n"/>
      <c r="BX239" s="36" t="n"/>
      <c r="BY239" s="37" t="n"/>
      <c r="BZ239" s="37" t="n"/>
      <c r="CA239" s="176">
        <f>CHOOSE(MATCH($CF$2,{"Bull","Base","Bear"},0),$CO$16,$CP$16,$CQ$16)</f>
        <v/>
      </c>
      <c r="CB239" s="176">
        <f>-CB217</f>
        <v/>
      </c>
      <c r="CC239" s="176">
        <f>-CC217</f>
        <v/>
      </c>
      <c r="CD239" s="176">
        <f>-CD217</f>
        <v/>
      </c>
      <c r="CE239" s="176">
        <f>-CE217</f>
        <v/>
      </c>
      <c r="CF239" s="20" t="inlineStr">
        <is>
          <t>2026E row = 2H/26 buyback only (1H/26 repurchases already in the Q1/Q2 share counts).</t>
        </is>
      </c>
    </row>
    <row r="240" ht="15" customHeight="1">
      <c r="B240" s="26" t="inlineStr">
        <is>
          <t xml:space="preserve">  Implied shares repurchased (m)</t>
        </is>
      </c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  <c r="AP240" s="36" t="n"/>
      <c r="AQ240" s="36" t="n"/>
      <c r="AR240" s="36" t="n"/>
      <c r="AS240" s="36" t="n"/>
      <c r="AT240" s="36" t="n"/>
      <c r="AU240" s="36" t="n"/>
      <c r="AV240" s="36" t="n"/>
      <c r="AW240" s="36" t="n"/>
      <c r="AX240" s="36" t="n"/>
      <c r="AY240" s="36" t="n"/>
      <c r="AZ240" s="36" t="n"/>
      <c r="BA240" s="36" t="n"/>
      <c r="BB240" s="36" t="n"/>
      <c r="BC240" s="36" t="n"/>
      <c r="BD240" s="36" t="n"/>
      <c r="BE240" s="36" t="n"/>
      <c r="BF240" s="36" t="n"/>
      <c r="BG240" s="36" t="n"/>
      <c r="BH240" s="36" t="n"/>
      <c r="BI240" s="36" t="n"/>
      <c r="BJ240" s="36" t="n"/>
      <c r="BK240" s="36" t="n"/>
      <c r="BL240" s="36" t="n"/>
      <c r="BM240" s="36" t="n"/>
      <c r="BN240" s="36" t="n"/>
      <c r="BO240" s="36" t="n"/>
      <c r="BP240" s="36" t="n"/>
      <c r="BQ240" s="36" t="n"/>
      <c r="BR240" s="36" t="n"/>
      <c r="BS240" s="36" t="n"/>
      <c r="BT240" s="36" t="n"/>
      <c r="BU240" s="36" t="n"/>
      <c r="BV240" s="36" t="n"/>
      <c r="BW240" s="36" t="n"/>
      <c r="BX240" s="36" t="n"/>
      <c r="BY240" s="37" t="n"/>
      <c r="BZ240" s="37" t="n"/>
      <c r="CA240" s="189">
        <f>IFERROR(CA239/CA238,0)</f>
        <v/>
      </c>
      <c r="CB240" s="189">
        <f>IFERROR(CB239/CB238,0)</f>
        <v/>
      </c>
      <c r="CC240" s="189">
        <f>IFERROR(CC239/CC238,0)</f>
        <v/>
      </c>
      <c r="CD240" s="189">
        <f>IFERROR(CD239/CD238,0)</f>
        <v/>
      </c>
      <c r="CE240" s="189">
        <f>IFERROR(CE239/CE238,0)</f>
        <v/>
      </c>
      <c r="CF240" s="20" t="n"/>
    </row>
    <row r="241" ht="15" customHeight="1">
      <c r="B241" s="26" t="inlineStr">
        <is>
          <t xml:space="preserve">  Shares issued under equity plans (m)</t>
        </is>
      </c>
      <c r="C241" s="38" t="n"/>
      <c r="D241" s="38" t="n"/>
      <c r="E241" s="38" t="n"/>
      <c r="F241" s="38" t="n"/>
      <c r="G241" s="38" t="n"/>
      <c r="H241" s="38" t="n"/>
      <c r="I241" s="38" t="n"/>
      <c r="J241" s="38" t="n"/>
      <c r="K241" s="38" t="n"/>
      <c r="L241" s="38" t="n"/>
      <c r="M241" s="38" t="n"/>
      <c r="N241" s="38" t="n"/>
      <c r="O241" s="38" t="n"/>
      <c r="P241" s="38" t="n"/>
      <c r="Q241" s="38" t="n"/>
      <c r="R241" s="38" t="n"/>
      <c r="S241" s="38" t="n"/>
      <c r="T241" s="38" t="n"/>
      <c r="U241" s="38" t="n"/>
      <c r="V241" s="38" t="n"/>
      <c r="W241" s="38" t="n"/>
      <c r="X241" s="38" t="n"/>
      <c r="Y241" s="38" t="n"/>
      <c r="Z241" s="38" t="n"/>
      <c r="AA241" s="38" t="n"/>
      <c r="AB241" s="38" t="n"/>
      <c r="AC241" s="38" t="n"/>
      <c r="AD241" s="38" t="n"/>
      <c r="AE241" s="38" t="n"/>
      <c r="AF241" s="38" t="n"/>
      <c r="AG241" s="38" t="n"/>
      <c r="AH241" s="38" t="n"/>
      <c r="AI241" s="38" t="n"/>
      <c r="AJ241" s="38" t="n"/>
      <c r="AK241" s="38" t="n"/>
      <c r="AL241" s="38" t="n"/>
      <c r="AM241" s="38" t="n"/>
      <c r="AN241" s="38" t="n"/>
      <c r="AO241" s="38" t="n"/>
      <c r="AP241" s="38" t="n"/>
      <c r="AQ241" s="38" t="n"/>
      <c r="AR241" s="38" t="n"/>
      <c r="AS241" s="38" t="n"/>
      <c r="AT241" s="38" t="n"/>
      <c r="AU241" s="38" t="n"/>
      <c r="AV241" s="38" t="n"/>
      <c r="AW241" s="38" t="n"/>
      <c r="AX241" s="38" t="n"/>
      <c r="AY241" s="38" t="n"/>
      <c r="AZ241" s="38" t="n"/>
      <c r="BA241" s="38" t="n"/>
      <c r="BB241" s="38" t="n"/>
      <c r="BC241" s="38" t="n"/>
      <c r="BD241" s="38" t="n"/>
      <c r="BE241" s="38" t="n"/>
      <c r="BF241" s="38" t="n"/>
      <c r="BG241" s="38" t="n"/>
      <c r="BH241" s="38" t="n"/>
      <c r="BI241" s="38" t="n"/>
      <c r="BJ241" s="38" t="n"/>
      <c r="BK241" s="38" t="n"/>
      <c r="BL241" s="38" t="n"/>
      <c r="BM241" s="38" t="n"/>
      <c r="BN241" s="38" t="n"/>
      <c r="BO241" s="38" t="n"/>
      <c r="BP241" s="38" t="n"/>
      <c r="BQ241" s="38" t="n"/>
      <c r="BR241" s="38" t="n"/>
      <c r="BS241" s="38" t="n"/>
      <c r="BT241" s="38" t="n"/>
      <c r="BU241" s="38" t="n"/>
      <c r="BV241" s="38" t="n"/>
      <c r="BW241" s="38" t="n"/>
      <c r="BX241" s="38" t="n"/>
      <c r="BY241" s="25" t="n"/>
      <c r="BZ241" s="25" t="n"/>
      <c r="CA241" s="213" t="n">
        <v>0.1</v>
      </c>
      <c r="CB241" s="213" t="n">
        <v>0.3</v>
      </c>
      <c r="CC241" s="213" t="n">
        <v>0.3</v>
      </c>
      <c r="CD241" s="213" t="n">
        <v>0.3</v>
      </c>
      <c r="CE241" s="213" t="n">
        <v>0.3</v>
      </c>
      <c r="CF241" s="20" t="n"/>
    </row>
    <row r="242" ht="15" customHeight="1">
      <c r="B242" s="26" t="inlineStr">
        <is>
          <t xml:space="preserve">  Beginning shares outstanding (m)</t>
        </is>
      </c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  <c r="AP242" s="36" t="n"/>
      <c r="AQ242" s="36" t="n"/>
      <c r="AR242" s="36" t="n"/>
      <c r="AS242" s="36" t="n"/>
      <c r="AT242" s="36" t="n"/>
      <c r="AU242" s="36" t="n"/>
      <c r="AV242" s="36" t="n"/>
      <c r="AW242" s="36" t="n"/>
      <c r="AX242" s="36" t="n"/>
      <c r="AY242" s="36" t="n"/>
      <c r="AZ242" s="36" t="n"/>
      <c r="BA242" s="36" t="n"/>
      <c r="BB242" s="36" t="n"/>
      <c r="BC242" s="36" t="n"/>
      <c r="BD242" s="36" t="n"/>
      <c r="BE242" s="36" t="n"/>
      <c r="BF242" s="36" t="n"/>
      <c r="BG242" s="36" t="n"/>
      <c r="BH242" s="36" t="n"/>
      <c r="BI242" s="36" t="n"/>
      <c r="BJ242" s="36" t="n"/>
      <c r="BK242" s="36" t="n"/>
      <c r="BL242" s="36" t="n"/>
      <c r="BM242" s="36" t="n"/>
      <c r="BN242" s="36" t="n"/>
      <c r="BO242" s="36" t="n"/>
      <c r="BP242" s="36" t="n"/>
      <c r="BQ242" s="36" t="n"/>
      <c r="BR242" s="36" t="n"/>
      <c r="BS242" s="36" t="n"/>
      <c r="BT242" s="36" t="n"/>
      <c r="BU242" s="36" t="n"/>
      <c r="BV242" s="36" t="n"/>
      <c r="BW242" s="36" t="n"/>
      <c r="BX242" s="36" t="n"/>
      <c r="BY242" s="37" t="n"/>
      <c r="BZ242" s="37" t="n"/>
      <c r="CA242" s="206">
        <f>BX279</f>
        <v/>
      </c>
      <c r="CB242" s="206">
        <f>CA243</f>
        <v/>
      </c>
      <c r="CC242" s="206">
        <f>CB243</f>
        <v/>
      </c>
      <c r="CD242" s="206">
        <f>CC243</f>
        <v/>
      </c>
      <c r="CE242" s="206">
        <f>CD243</f>
        <v/>
      </c>
      <c r="CF242" s="20" t="inlineStr">
        <is>
          <t>2026E begins from shares outstanding at 30-Jun-2026 (10-Q cover / balance sheet).</t>
        </is>
      </c>
    </row>
    <row r="243" ht="15" customHeight="1">
      <c r="B243" s="26" t="inlineStr">
        <is>
          <t xml:space="preserve">  Ending shares outstanding (m)</t>
        </is>
      </c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  <c r="AP243" s="36" t="n"/>
      <c r="AQ243" s="36" t="n"/>
      <c r="AR243" s="36" t="n"/>
      <c r="AS243" s="36" t="n"/>
      <c r="AT243" s="36" t="n"/>
      <c r="AU243" s="36" t="n"/>
      <c r="AV243" s="36" t="n"/>
      <c r="AW243" s="36" t="n"/>
      <c r="AX243" s="36" t="n"/>
      <c r="AY243" s="36" t="n"/>
      <c r="AZ243" s="36" t="n"/>
      <c r="BA243" s="36" t="n"/>
      <c r="BB243" s="36" t="n"/>
      <c r="BC243" s="36" t="n"/>
      <c r="BD243" s="36" t="n"/>
      <c r="BE243" s="36" t="n"/>
      <c r="BF243" s="36" t="n"/>
      <c r="BG243" s="36" t="n"/>
      <c r="BH243" s="36" t="n"/>
      <c r="BI243" s="36" t="n"/>
      <c r="BJ243" s="36" t="n"/>
      <c r="BK243" s="36" t="n"/>
      <c r="BL243" s="36" t="n"/>
      <c r="BM243" s="36" t="n"/>
      <c r="BN243" s="36" t="n"/>
      <c r="BO243" s="36" t="n"/>
      <c r="BP243" s="36" t="n"/>
      <c r="BQ243" s="36" t="n"/>
      <c r="BR243" s="36" t="n"/>
      <c r="BS243" s="36" t="n"/>
      <c r="BT243" s="36" t="n"/>
      <c r="BU243" s="36" t="n"/>
      <c r="BV243" s="36" t="n"/>
      <c r="BW243" s="36" t="n"/>
      <c r="BX243" s="36" t="n"/>
      <c r="BY243" s="37" t="n"/>
      <c r="BZ243" s="37" t="n"/>
      <c r="CA243" s="206">
        <f>CA242-CA240+CA241</f>
        <v/>
      </c>
      <c r="CB243" s="206">
        <f>CB242-CB240+CB241</f>
        <v/>
      </c>
      <c r="CC243" s="206">
        <f>CC242-CC240+CC241</f>
        <v/>
      </c>
      <c r="CD243" s="206">
        <f>CD242-CD240+CD241</f>
        <v/>
      </c>
      <c r="CE243" s="206">
        <f>CE242-CE240+CE241</f>
        <v/>
      </c>
      <c r="CF243" s="20" t="n"/>
    </row>
    <row r="244" ht="15" customHeight="1">
      <c r="B244" s="26" t="inlineStr">
        <is>
          <t xml:space="preserve">  % of shares repurchased</t>
        </is>
      </c>
      <c r="C244" s="38" t="n"/>
      <c r="D244" s="38" t="n"/>
      <c r="E244" s="38" t="n"/>
      <c r="F244" s="38" t="n"/>
      <c r="G244" s="38" t="n"/>
      <c r="H244" s="38" t="n"/>
      <c r="I244" s="38" t="n"/>
      <c r="J244" s="38" t="n"/>
      <c r="K244" s="38" t="n"/>
      <c r="L244" s="38" t="n"/>
      <c r="M244" s="38" t="n"/>
      <c r="N244" s="38" t="n"/>
      <c r="O244" s="38" t="n"/>
      <c r="P244" s="38" t="n"/>
      <c r="Q244" s="38" t="n"/>
      <c r="R244" s="38" t="n"/>
      <c r="S244" s="38" t="n"/>
      <c r="T244" s="38" t="n"/>
      <c r="U244" s="38" t="n"/>
      <c r="V244" s="38" t="n"/>
      <c r="W244" s="38" t="n"/>
      <c r="X244" s="38" t="n"/>
      <c r="Y244" s="38" t="n"/>
      <c r="Z244" s="38" t="n"/>
      <c r="AA244" s="38" t="n"/>
      <c r="AB244" s="38" t="n"/>
      <c r="AC244" s="38" t="n"/>
      <c r="AD244" s="38" t="n"/>
      <c r="AE244" s="38" t="n"/>
      <c r="AF244" s="38" t="n"/>
      <c r="AG244" s="38" t="n"/>
      <c r="AH244" s="38" t="n"/>
      <c r="AI244" s="38" t="n"/>
      <c r="AJ244" s="38" t="n"/>
      <c r="AK244" s="38" t="n"/>
      <c r="AL244" s="38" t="n"/>
      <c r="AM244" s="38" t="n"/>
      <c r="AN244" s="38" t="n"/>
      <c r="AO244" s="38" t="n"/>
      <c r="AP244" s="38" t="n"/>
      <c r="AQ244" s="38" t="n"/>
      <c r="AR244" s="38" t="n"/>
      <c r="AS244" s="38" t="n"/>
      <c r="AT244" s="38" t="n"/>
      <c r="AU244" s="38" t="n"/>
      <c r="AV244" s="38" t="n"/>
      <c r="AW244" s="38" t="n"/>
      <c r="AX244" s="38" t="n"/>
      <c r="AY244" s="38" t="n"/>
      <c r="AZ244" s="38" t="n"/>
      <c r="BA244" s="38" t="n"/>
      <c r="BB244" s="38" t="n"/>
      <c r="BC244" s="38" t="n"/>
      <c r="BD244" s="38" t="n"/>
      <c r="BE244" s="38" t="n"/>
      <c r="BF244" s="38" t="n"/>
      <c r="BG244" s="38" t="n"/>
      <c r="BH244" s="38" t="n"/>
      <c r="BI244" s="38" t="n"/>
      <c r="BJ244" s="38" t="n"/>
      <c r="BK244" s="38" t="n"/>
      <c r="BL244" s="38" t="n"/>
      <c r="BM244" s="38" t="n"/>
      <c r="BN244" s="38" t="n"/>
      <c r="BO244" s="38" t="n"/>
      <c r="BP244" s="38" t="n"/>
      <c r="BQ244" s="38" t="n"/>
      <c r="BR244" s="38" t="n"/>
      <c r="BS244" s="38" t="n"/>
      <c r="BT244" s="38" t="n"/>
      <c r="BU244" s="38" t="n"/>
      <c r="BV244" s="38" t="n"/>
      <c r="BW244" s="38" t="n"/>
      <c r="BX244" s="38" t="n"/>
      <c r="BY244" s="25" t="n"/>
      <c r="BZ244" s="25" t="n"/>
      <c r="CA244" s="181">
        <f>IF(AND(ISNUMBER(CA240),ISNUMBER(CA242)),IFERROR(CA240/CA242,""),"")</f>
        <v/>
      </c>
      <c r="CB244" s="181">
        <f>IF(AND(ISNUMBER(CB240),ISNUMBER(CB242)),IFERROR(CB240/CB242,""),"")</f>
        <v/>
      </c>
      <c r="CC244" s="181">
        <f>IF(AND(ISNUMBER(CC240),ISNUMBER(CC242)),IFERROR(CC240/CC242,""),"")</f>
        <v/>
      </c>
      <c r="CD244" s="181">
        <f>IF(AND(ISNUMBER(CD240),ISNUMBER(CD242)),IFERROR(CD240/CD242,""),"")</f>
        <v/>
      </c>
      <c r="CE244" s="181">
        <f>IF(AND(ISNUMBER(CE240),ISNUMBER(CE242)),IFERROR(CE240/CE242,""),"")</f>
        <v/>
      </c>
      <c r="CF244" s="6" t="n"/>
    </row>
    <row r="245" ht="15" customHeight="1">
      <c r="B245" s="42" t="inlineStr">
        <is>
          <t xml:space="preserve">  Memo: cumulative shares repurchased since 2H/26 (m)</t>
        </is>
      </c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  <c r="AP245" s="36" t="n"/>
      <c r="AQ245" s="36" t="n"/>
      <c r="AR245" s="36" t="n"/>
      <c r="AS245" s="36" t="n"/>
      <c r="AT245" s="36" t="n"/>
      <c r="AU245" s="36" t="n"/>
      <c r="AV245" s="36" t="n"/>
      <c r="AW245" s="36" t="n"/>
      <c r="AX245" s="36" t="n"/>
      <c r="AY245" s="36" t="n"/>
      <c r="AZ245" s="36" t="n"/>
      <c r="BA245" s="36" t="n"/>
      <c r="BB245" s="36" t="n"/>
      <c r="BC245" s="36" t="n"/>
      <c r="BD245" s="36" t="n"/>
      <c r="BE245" s="36" t="n"/>
      <c r="BF245" s="36" t="n"/>
      <c r="BG245" s="36" t="n"/>
      <c r="BH245" s="36" t="n"/>
      <c r="BI245" s="36" t="n"/>
      <c r="BJ245" s="36" t="n"/>
      <c r="BK245" s="36" t="n"/>
      <c r="BL245" s="36" t="n"/>
      <c r="BM245" s="36" t="n"/>
      <c r="BN245" s="36" t="n"/>
      <c r="BO245" s="36" t="n"/>
      <c r="BP245" s="36" t="n"/>
      <c r="BQ245" s="36" t="n"/>
      <c r="BR245" s="36" t="n"/>
      <c r="BS245" s="36" t="n"/>
      <c r="BT245" s="36" t="n"/>
      <c r="BU245" s="36" t="n"/>
      <c r="BV245" s="36" t="n"/>
      <c r="BW245" s="36" t="n"/>
      <c r="BX245" s="36" t="n"/>
      <c r="BY245" s="6" t="n"/>
      <c r="BZ245" s="6" t="n"/>
      <c r="CA245" s="198">
        <f>CA240</f>
        <v/>
      </c>
      <c r="CB245" s="198">
        <f>CA245+CB240</f>
        <v/>
      </c>
      <c r="CC245" s="198">
        <f>CB245+CC240</f>
        <v/>
      </c>
      <c r="CD245" s="198">
        <f>CC245+CD240</f>
        <v/>
      </c>
      <c r="CE245" s="198">
        <f>CD245+CE240</f>
        <v/>
      </c>
      <c r="CF245" s="6" t="n"/>
    </row>
    <row r="246" ht="15" customHeight="1"/>
    <row r="247" ht="15" customHeight="1">
      <c r="B247" s="11" t="inlineStr">
        <is>
          <t>BALANCE SHEET</t>
        </is>
      </c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  <c r="AA247" s="11" t="n"/>
      <c r="AB247" s="11" t="n"/>
      <c r="AC247" s="11" t="n"/>
      <c r="AD247" s="11" t="n"/>
      <c r="AE247" s="11" t="n"/>
      <c r="AF247" s="11" t="n"/>
      <c r="AG247" s="11" t="n"/>
      <c r="AH247" s="11" t="n"/>
      <c r="AI247" s="11" t="n"/>
      <c r="AJ247" s="11" t="n"/>
      <c r="AK247" s="11" t="n"/>
      <c r="AL247" s="11" t="n"/>
      <c r="AM247" s="11" t="n"/>
      <c r="AN247" s="11" t="n"/>
      <c r="AO247" s="11" t="n"/>
      <c r="AP247" s="11" t="n"/>
      <c r="AQ247" s="11" t="n"/>
      <c r="AR247" s="11" t="n"/>
      <c r="AS247" s="11" t="n"/>
      <c r="AT247" s="11" t="n"/>
      <c r="AU247" s="11" t="n"/>
      <c r="AV247" s="11" t="n"/>
      <c r="AW247" s="11" t="n"/>
      <c r="AX247" s="11" t="n"/>
      <c r="AY247" s="11" t="n"/>
      <c r="AZ247" s="11" t="n"/>
      <c r="BA247" s="11" t="n"/>
      <c r="BB247" s="11" t="n"/>
      <c r="BC247" s="11" t="n"/>
      <c r="BD247" s="11" t="n"/>
      <c r="BE247" s="11" t="n"/>
      <c r="BF247" s="11" t="n"/>
      <c r="BG247" s="11" t="n"/>
      <c r="BH247" s="11" t="n"/>
      <c r="BI247" s="11" t="n"/>
      <c r="BJ247" s="11" t="n"/>
      <c r="BK247" s="11" t="n"/>
      <c r="BL247" s="11" t="n"/>
      <c r="BM247" s="11" t="n"/>
      <c r="BN247" s="11" t="n"/>
      <c r="BO247" s="11" t="n"/>
      <c r="BP247" s="11" t="n"/>
      <c r="BQ247" s="11" t="n"/>
      <c r="BR247" s="11" t="n"/>
      <c r="BS247" s="11" t="n"/>
      <c r="BT247" s="11" t="n"/>
      <c r="BU247" s="11" t="n"/>
      <c r="BV247" s="11" t="n"/>
      <c r="BW247" s="11" t="n"/>
      <c r="BX247" s="11" t="n"/>
      <c r="BY247" s="11" t="n"/>
      <c r="BZ247" s="11" t="n"/>
      <c r="CA247" s="11" t="n"/>
      <c r="CB247" s="11" t="n"/>
      <c r="CC247" s="11" t="n"/>
      <c r="CD247" s="11" t="n"/>
      <c r="CE247" s="11" t="n"/>
      <c r="CF247" s="11" t="inlineStr">
        <is>
          <t>BS FORECAST — 2026E rolled forward from the 30-Jun-2026 balance sheet (Q2/26) + 2H flows; 2027E+ from prior year end</t>
        </is>
      </c>
    </row>
    <row r="248" ht="15" customHeight="1">
      <c r="B248" s="26" t="inlineStr">
        <is>
          <t>ASSETS</t>
        </is>
      </c>
      <c r="CF248" s="6" t="n"/>
    </row>
    <row r="249" ht="15" customHeight="1">
      <c r="B249" s="26" t="inlineStr">
        <is>
          <t xml:space="preserve">  Cash and cash equivalents</t>
        </is>
      </c>
      <c r="C249" s="174" t="n">
        <v>2.564</v>
      </c>
      <c r="D249" s="174" t="n">
        <v>6.328</v>
      </c>
      <c r="E249" s="174" t="n">
        <v>24.104</v>
      </c>
      <c r="F249" s="174" t="n">
        <v>4.171</v>
      </c>
      <c r="G249" s="174" t="n">
        <v>5.45</v>
      </c>
      <c r="H249" s="174" t="n">
        <v>75.84999999999999</v>
      </c>
      <c r="I249" s="174" t="n">
        <v>12.857</v>
      </c>
      <c r="J249" s="174" t="n">
        <v>29.183</v>
      </c>
      <c r="K249" s="174" t="n">
        <v>7.37</v>
      </c>
      <c r="L249" s="174" t="n">
        <v>12.104</v>
      </c>
      <c r="M249" s="174" t="n">
        <v>30.174</v>
      </c>
      <c r="N249" s="174" t="n">
        <v>30.174</v>
      </c>
      <c r="O249" s="174" t="n">
        <v>41.244</v>
      </c>
      <c r="P249" s="174" t="n">
        <v>19.789</v>
      </c>
      <c r="Q249" s="174" t="n">
        <v>8.169</v>
      </c>
      <c r="R249" s="174" t="n">
        <v>34.787</v>
      </c>
      <c r="S249" s="174" t="n">
        <v>34.787</v>
      </c>
      <c r="T249" s="174" t="n">
        <v>113.038</v>
      </c>
      <c r="U249" s="174" t="n">
        <v>12.789</v>
      </c>
      <c r="V249" s="174" t="n">
        <v>11.412</v>
      </c>
      <c r="W249" s="174" t="n">
        <v>11.472</v>
      </c>
      <c r="X249" s="174" t="n">
        <v>11.472</v>
      </c>
      <c r="Y249" s="174" t="n">
        <v>7.133</v>
      </c>
      <c r="Z249" s="174" t="n">
        <v>10.673</v>
      </c>
      <c r="AA249" s="174" t="n">
        <v>15.014</v>
      </c>
      <c r="AB249" s="174" t="n">
        <v>10.171</v>
      </c>
      <c r="AC249" s="174" t="n">
        <v>10.171</v>
      </c>
      <c r="AD249" s="174" t="n">
        <v>47.551</v>
      </c>
      <c r="AE249" s="174" t="n">
        <v>33.833</v>
      </c>
      <c r="AF249" s="174" t="n">
        <v>78.09099999999999</v>
      </c>
      <c r="AG249" s="174" t="n">
        <v>127.462</v>
      </c>
      <c r="AH249" s="174" t="n">
        <v>127.462</v>
      </c>
      <c r="AI249" s="174" t="n">
        <v>159.937</v>
      </c>
      <c r="AJ249" s="174" t="n">
        <v>140.571</v>
      </c>
      <c r="AK249" s="174" t="n">
        <v>177.468</v>
      </c>
      <c r="AL249" s="174" t="n">
        <v>190.282</v>
      </c>
      <c r="AM249" s="174" t="n">
        <v>190.282</v>
      </c>
      <c r="AN249" s="174" t="n">
        <v>280.627</v>
      </c>
      <c r="AO249" s="174" t="n">
        <v>228.96</v>
      </c>
      <c r="AP249" s="174" t="n">
        <v>322.286</v>
      </c>
      <c r="AQ249" s="174" t="n">
        <v>403.571</v>
      </c>
      <c r="AR249" s="174" t="n">
        <v>403.571</v>
      </c>
      <c r="AS249" s="174" t="n">
        <v>356.972</v>
      </c>
      <c r="AT249" s="174" t="n">
        <v>518.624</v>
      </c>
      <c r="AU249" s="174" t="n">
        <v>420.396</v>
      </c>
      <c r="AV249" s="174" t="n">
        <v>401.43</v>
      </c>
      <c r="AW249" s="174" t="n">
        <v>401.43</v>
      </c>
      <c r="AX249" s="174" t="n">
        <v>351.9</v>
      </c>
      <c r="AY249" s="174" t="n">
        <v>484.204</v>
      </c>
      <c r="AZ249" s="174" t="n">
        <v>339.761</v>
      </c>
      <c r="BA249" s="174" t="n">
        <v>462.564</v>
      </c>
      <c r="BB249" s="174" t="n">
        <v>462.564</v>
      </c>
      <c r="BC249" s="174" t="n">
        <v>262.122</v>
      </c>
      <c r="BD249" s="174" t="n">
        <v>196.134</v>
      </c>
      <c r="BE249" s="174" t="n">
        <v>216.727</v>
      </c>
      <c r="BF249" s="174" t="n">
        <v>186.312</v>
      </c>
      <c r="BG249" s="174" t="n">
        <v>186.312</v>
      </c>
      <c r="BH249" s="174" t="n">
        <v>207.624</v>
      </c>
      <c r="BI249" s="174" t="n">
        <v>55.141</v>
      </c>
      <c r="BJ249" s="174" t="n">
        <v>206.601</v>
      </c>
      <c r="BK249" s="174" t="n">
        <v>433.799</v>
      </c>
      <c r="BL249" s="174" t="n">
        <v>433.799</v>
      </c>
      <c r="BM249" s="174" t="n">
        <v>580.974</v>
      </c>
      <c r="BN249" s="174" t="n">
        <v>74.304</v>
      </c>
      <c r="BO249" s="174" t="n">
        <v>74.163</v>
      </c>
      <c r="BP249" s="174" t="n">
        <v>108.676</v>
      </c>
      <c r="BQ249" s="174" t="n">
        <v>108.676</v>
      </c>
      <c r="BR249" s="174" t="n">
        <v>97.19799999999999</v>
      </c>
      <c r="BS249" s="174" t="n">
        <v>24.057</v>
      </c>
      <c r="BT249" s="174" t="n">
        <v>46.592</v>
      </c>
      <c r="BU249" s="174" t="n">
        <v>120.091</v>
      </c>
      <c r="BV249" s="174" t="n">
        <v>120.091</v>
      </c>
      <c r="BW249" s="174" t="n">
        <v>288.082</v>
      </c>
      <c r="BX249" s="174" t="n">
        <v>283.939</v>
      </c>
      <c r="BY249" s="37" t="n"/>
      <c r="BZ249" s="37" t="n"/>
      <c r="CA249" s="176">
        <f>CA222</f>
        <v/>
      </c>
      <c r="CB249" s="176">
        <f>CB222</f>
        <v/>
      </c>
      <c r="CC249" s="176">
        <f>CC222</f>
        <v/>
      </c>
      <c r="CD249" s="176">
        <f>CD222</f>
        <v/>
      </c>
      <c r="CE249" s="176">
        <f>CE222</f>
        <v/>
      </c>
      <c r="CF249" s="20" t="n"/>
    </row>
    <row r="250" ht="15" customHeight="1">
      <c r="B250" s="26" t="inlineStr">
        <is>
          <t xml:space="preserve">  Short-term investments</t>
        </is>
      </c>
      <c r="C250" s="174" t="n">
        <v>85.16</v>
      </c>
      <c r="D250" s="174" t="n">
        <v>24.375</v>
      </c>
      <c r="E250" s="174" t="n">
        <v>4.861</v>
      </c>
      <c r="F250" s="174" t="n">
        <v>0</v>
      </c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  <c r="AP250" s="36" t="n"/>
      <c r="AQ250" s="36" t="n"/>
      <c r="AR250" s="36" t="n"/>
      <c r="AS250" s="36" t="n"/>
      <c r="AT250" s="36" t="n"/>
      <c r="AU250" s="174" t="n">
        <v>205.294</v>
      </c>
      <c r="AV250" s="174" t="n">
        <v>330.274</v>
      </c>
      <c r="AW250" s="174" t="n">
        <v>330.274</v>
      </c>
      <c r="AX250" s="174" t="n">
        <v>310.193</v>
      </c>
      <c r="AY250" s="174" t="n">
        <v>165.254</v>
      </c>
      <c r="AZ250" s="174" t="n">
        <v>224.899</v>
      </c>
      <c r="BA250" s="174" t="n">
        <v>254.433</v>
      </c>
      <c r="BB250" s="174" t="n">
        <v>254.433</v>
      </c>
      <c r="BC250" s="174" t="n">
        <v>279.183</v>
      </c>
      <c r="BD250" s="174" t="n">
        <v>224.391</v>
      </c>
      <c r="BE250" s="174" t="n">
        <v>158.829</v>
      </c>
      <c r="BF250" s="174" t="n">
        <v>49.355</v>
      </c>
      <c r="BG250" s="174" t="n">
        <v>49.355</v>
      </c>
      <c r="BH250" s="174" t="n">
        <v>24.807</v>
      </c>
      <c r="BI250" s="174" t="n">
        <v>0</v>
      </c>
      <c r="BJ250" s="174" t="n">
        <v>0</v>
      </c>
      <c r="BK250" s="174" t="n">
        <v>0</v>
      </c>
      <c r="BL250" s="174" t="n">
        <v>0</v>
      </c>
      <c r="BM250" s="36" t="n"/>
      <c r="BN250" s="174" t="n">
        <v>30.271</v>
      </c>
      <c r="BO250" s="36" t="n"/>
      <c r="BP250" s="36" t="n"/>
      <c r="BQ250" s="36" t="n"/>
      <c r="BR250" s="36" t="n"/>
      <c r="BS250" s="36" t="n"/>
      <c r="BT250" s="36" t="n"/>
      <c r="BU250" s="36" t="n"/>
      <c r="BV250" s="36" t="n"/>
      <c r="BW250" s="36" t="n"/>
      <c r="BX250" s="36" t="n"/>
      <c r="BY250" s="37" t="n"/>
      <c r="BZ250" s="37" t="n"/>
      <c r="CA250" s="176">
        <f>N(BX250)-(CA210-N((BW210+BX210)))</f>
        <v/>
      </c>
      <c r="CB250" s="176">
        <f>N(CA250)-CB210</f>
        <v/>
      </c>
      <c r="CC250" s="176">
        <f>N(CB250)-CC210</f>
        <v/>
      </c>
      <c r="CD250" s="176">
        <f>N(CC250)-CD210</f>
        <v/>
      </c>
      <c r="CE250" s="176">
        <f>N(CD250)-CE210</f>
        <v/>
      </c>
      <c r="CF250" s="20" t="n"/>
    </row>
    <row r="251" ht="15" customHeight="1">
      <c r="B251" s="26" t="inlineStr">
        <is>
          <t xml:space="preserve">  Customer receivables, net</t>
        </is>
      </c>
      <c r="C251" s="174" t="n">
        <v>141.087</v>
      </c>
      <c r="D251" s="174" t="n">
        <v>151.627</v>
      </c>
      <c r="E251" s="174" t="n">
        <v>139.211</v>
      </c>
      <c r="F251" s="174" t="n">
        <v>136.822</v>
      </c>
      <c r="G251" s="174" t="n">
        <v>172.989</v>
      </c>
      <c r="H251" s="174" t="n">
        <v>213.481</v>
      </c>
      <c r="I251" s="174" t="n">
        <v>219.039</v>
      </c>
      <c r="J251" s="174" t="n">
        <v>248.225</v>
      </c>
      <c r="K251" s="174" t="n">
        <v>267.69</v>
      </c>
      <c r="L251" s="174" t="n">
        <v>268.223</v>
      </c>
      <c r="M251" s="174" t="n">
        <v>248.069</v>
      </c>
      <c r="N251" s="174" t="n">
        <v>248.069</v>
      </c>
      <c r="O251" s="174" t="n">
        <v>285.249</v>
      </c>
      <c r="P251" s="174" t="n">
        <v>302.262</v>
      </c>
      <c r="Q251" s="174" t="n">
        <v>322.395</v>
      </c>
      <c r="R251" s="174" t="n">
        <v>303.17</v>
      </c>
      <c r="S251" s="174" t="n">
        <v>303.17</v>
      </c>
      <c r="T251" s="174" t="n">
        <v>317.705</v>
      </c>
      <c r="U251" s="174" t="n">
        <v>330.091</v>
      </c>
      <c r="V251" s="174" t="n">
        <v>337.706</v>
      </c>
      <c r="W251" s="174" t="n">
        <v>310.501</v>
      </c>
      <c r="X251" s="174" t="n">
        <v>310.501</v>
      </c>
      <c r="Y251" s="174" t="n">
        <v>311.65</v>
      </c>
      <c r="Z251" s="174" t="n">
        <v>319.019</v>
      </c>
      <c r="AA251" s="174" t="n">
        <v>333.041</v>
      </c>
      <c r="AB251" s="174" t="n">
        <v>320.087</v>
      </c>
      <c r="AC251" s="174" t="n">
        <v>320.087</v>
      </c>
      <c r="AD251" s="174" t="n">
        <v>332.157</v>
      </c>
      <c r="AE251" s="174" t="n">
        <v>363.807</v>
      </c>
      <c r="AF251" s="174" t="n">
        <v>391.858</v>
      </c>
      <c r="AG251" s="174" t="n">
        <v>394.169</v>
      </c>
      <c r="AH251" s="174" t="n">
        <v>394.169</v>
      </c>
      <c r="AI251" s="174" t="n">
        <v>412.932</v>
      </c>
      <c r="AJ251" s="174" t="n">
        <v>456.906</v>
      </c>
      <c r="AK251" s="174" t="n">
        <v>466.455</v>
      </c>
      <c r="AL251" s="174" t="n">
        <v>427.569</v>
      </c>
      <c r="AM251" s="174" t="n">
        <v>427.569</v>
      </c>
      <c r="AN251" s="174" t="n">
        <v>447.242</v>
      </c>
      <c r="AO251" s="174" t="n">
        <v>449.984</v>
      </c>
      <c r="AP251" s="174" t="n">
        <v>425.85</v>
      </c>
      <c r="AQ251" s="174" t="n">
        <v>397.579</v>
      </c>
      <c r="AR251" s="174" t="n">
        <v>397.579</v>
      </c>
      <c r="AS251" s="174" t="n">
        <v>419.128</v>
      </c>
      <c r="AT251" s="174" t="n">
        <v>387.26</v>
      </c>
      <c r="AU251" s="174" t="n">
        <v>453.346</v>
      </c>
      <c r="AV251" s="174" t="n">
        <v>444.653</v>
      </c>
      <c r="AW251" s="174" t="n">
        <v>444.653</v>
      </c>
      <c r="AX251" s="174" t="n">
        <v>496.125</v>
      </c>
      <c r="AY251" s="174" t="n">
        <v>548.749</v>
      </c>
      <c r="AZ251" s="174" t="n">
        <v>591.783</v>
      </c>
      <c r="BA251" s="174" t="n">
        <v>567.474</v>
      </c>
      <c r="BB251" s="174" t="n">
        <v>567.474</v>
      </c>
      <c r="BC251" s="174" t="n">
        <v>669.042</v>
      </c>
      <c r="BD251" s="174" t="n">
        <v>680.096</v>
      </c>
      <c r="BE251" s="174" t="n">
        <v>630.37</v>
      </c>
      <c r="BF251" s="174" t="n">
        <v>578.648</v>
      </c>
      <c r="BG251" s="174" t="n">
        <v>578.648</v>
      </c>
      <c r="BH251" s="174" t="n">
        <v>564.49</v>
      </c>
      <c r="BI251" s="174" t="n">
        <v>543.7670000000001</v>
      </c>
      <c r="BJ251" s="174" t="n">
        <v>632.874</v>
      </c>
      <c r="BK251" s="174" t="n">
        <v>578.885</v>
      </c>
      <c r="BL251" s="174" t="n">
        <v>578.885</v>
      </c>
      <c r="BM251" s="174" t="n">
        <v>582.2089999999999</v>
      </c>
      <c r="BN251" s="174" t="n">
        <v>578.101</v>
      </c>
      <c r="BO251" s="174" t="n">
        <v>545.746</v>
      </c>
      <c r="BP251" s="174" t="n">
        <v>501.554</v>
      </c>
      <c r="BQ251" s="174" t="n">
        <v>501.554</v>
      </c>
      <c r="BR251" s="174" t="n">
        <v>545.5839999999999</v>
      </c>
      <c r="BS251" s="174" t="n">
        <v>530.466</v>
      </c>
      <c r="BT251" s="174" t="n">
        <v>518.97</v>
      </c>
      <c r="BU251" s="174" t="n">
        <v>471.947</v>
      </c>
      <c r="BV251" s="174" t="n">
        <v>471.947</v>
      </c>
      <c r="BW251" s="174" t="n">
        <v>542.208</v>
      </c>
      <c r="BX251" s="174" t="n">
        <v>594.54</v>
      </c>
      <c r="BY251" s="37" t="n"/>
      <c r="BZ251" s="37" t="n"/>
      <c r="CA251" s="176">
        <f>CA289*CA291/365</f>
        <v/>
      </c>
      <c r="CB251" s="176">
        <f>CB289*CB291/365</f>
        <v/>
      </c>
      <c r="CC251" s="176">
        <f>CC289*CC291/365</f>
        <v/>
      </c>
      <c r="CD251" s="176">
        <f>CD289*CD291/365</f>
        <v/>
      </c>
      <c r="CE251" s="176">
        <f>CE289*CE291/365</f>
        <v/>
      </c>
      <c r="CF251" s="20" t="inlineStr">
        <is>
          <t>Receivables = revenue × DSO / 365.</t>
        </is>
      </c>
    </row>
    <row r="252" ht="15" customHeight="1">
      <c r="B252" s="26" t="inlineStr">
        <is>
          <t xml:space="preserve">  Other current assets (derived; other receivables, prepaid, income taxes receivable, deferred taxes to 2015)</t>
        </is>
      </c>
      <c r="C252" s="174" t="n">
        <v>27.556</v>
      </c>
      <c r="D252" s="174" t="n">
        <v>33.947</v>
      </c>
      <c r="E252" s="174" t="n">
        <v>41.054</v>
      </c>
      <c r="F252" s="174" t="n">
        <v>33.182</v>
      </c>
      <c r="G252" s="174" t="n">
        <v>44.143</v>
      </c>
      <c r="H252" s="174" t="n">
        <v>42.521</v>
      </c>
      <c r="I252" s="174" t="n">
        <v>43.132</v>
      </c>
      <c r="J252" s="174" t="n">
        <v>47.556</v>
      </c>
      <c r="K252" s="174" t="n">
        <v>49.022</v>
      </c>
      <c r="L252" s="174" t="n">
        <v>52.949</v>
      </c>
      <c r="M252" s="174" t="n">
        <v>54.736</v>
      </c>
      <c r="N252" s="174" t="n">
        <v>54.736</v>
      </c>
      <c r="O252" s="174" t="n">
        <v>62.481</v>
      </c>
      <c r="P252" s="174" t="n">
        <v>60.322</v>
      </c>
      <c r="Q252" s="174" t="n">
        <v>64.03700000000001</v>
      </c>
      <c r="R252" s="174" t="n">
        <v>95.18600000000001</v>
      </c>
      <c r="S252" s="174" t="n">
        <v>95.18600000000001</v>
      </c>
      <c r="T252" s="174" t="n">
        <v>69.15000000000001</v>
      </c>
      <c r="U252" s="174" t="n">
        <v>78.785</v>
      </c>
      <c r="V252" s="174" t="n">
        <v>87.08799999999999</v>
      </c>
      <c r="W252" s="174" t="n">
        <v>59.757</v>
      </c>
      <c r="X252" s="174" t="n">
        <v>59.757</v>
      </c>
      <c r="Y252" s="174" t="n">
        <v>36.841</v>
      </c>
      <c r="Z252" s="174" t="n">
        <v>42.167</v>
      </c>
      <c r="AA252" s="174" t="n">
        <v>41.1</v>
      </c>
      <c r="AB252" s="174" t="n">
        <v>52.364</v>
      </c>
      <c r="AC252" s="174" t="n">
        <v>52.364</v>
      </c>
      <c r="AD252" s="174" t="n">
        <v>45.366</v>
      </c>
      <c r="AE252" s="174" t="n">
        <v>46.972</v>
      </c>
      <c r="AF252" s="174" t="n">
        <v>43.146</v>
      </c>
      <c r="AG252" s="174" t="n">
        <v>63.022</v>
      </c>
      <c r="AH252" s="174" t="n">
        <v>63.022</v>
      </c>
      <c r="AI252" s="174" t="n">
        <v>42.581</v>
      </c>
      <c r="AJ252" s="174" t="n">
        <v>50.108</v>
      </c>
      <c r="AK252" s="174" t="n">
        <v>52.392</v>
      </c>
      <c r="AL252" s="174" t="n">
        <v>88.378</v>
      </c>
      <c r="AM252" s="174" t="n">
        <v>88.378</v>
      </c>
      <c r="AN252" s="174" t="n">
        <v>56.009</v>
      </c>
      <c r="AO252" s="174" t="n">
        <v>62.476</v>
      </c>
      <c r="AP252" s="174" t="n">
        <v>58.842</v>
      </c>
      <c r="AQ252" s="174" t="n">
        <v>65.684</v>
      </c>
      <c r="AR252" s="174" t="n">
        <v>65.684</v>
      </c>
      <c r="AS252" s="174" t="n">
        <v>54.906</v>
      </c>
      <c r="AT252" s="174" t="n">
        <v>62.686</v>
      </c>
      <c r="AU252" s="174" t="n">
        <v>59.46</v>
      </c>
      <c r="AV252" s="174" t="n">
        <v>66.982</v>
      </c>
      <c r="AW252" s="174" t="n">
        <v>66.982</v>
      </c>
      <c r="AX252" s="174" t="n">
        <v>65.04300000000001</v>
      </c>
      <c r="AY252" s="174" t="n">
        <v>112.908</v>
      </c>
      <c r="AZ252" s="174" t="n">
        <v>122.409</v>
      </c>
      <c r="BA252" s="174" t="n">
        <v>99.316</v>
      </c>
      <c r="BB252" s="174" t="n">
        <v>99.316</v>
      </c>
      <c r="BC252" s="174" t="n">
        <v>70.61</v>
      </c>
      <c r="BD252" s="174" t="n">
        <v>108.469</v>
      </c>
      <c r="BE252" s="174" t="n">
        <v>105.271</v>
      </c>
      <c r="BF252" s="174" t="n">
        <v>119.425</v>
      </c>
      <c r="BG252" s="174" t="n">
        <v>119.425</v>
      </c>
      <c r="BH252" s="174" t="n">
        <v>100.029</v>
      </c>
      <c r="BI252" s="174" t="n">
        <v>131.701</v>
      </c>
      <c r="BJ252" s="174" t="n">
        <v>114.741</v>
      </c>
      <c r="BK252" s="174" t="n">
        <v>130.649</v>
      </c>
      <c r="BL252" s="174" t="n">
        <v>130.649</v>
      </c>
      <c r="BM252" s="174" t="n">
        <v>100.477</v>
      </c>
      <c r="BN252" s="174" t="n">
        <v>124.437</v>
      </c>
      <c r="BO252" s="174" t="n">
        <v>115.15</v>
      </c>
      <c r="BP252" s="174" t="n">
        <v>110.453</v>
      </c>
      <c r="BQ252" s="174" t="n">
        <v>110.453</v>
      </c>
      <c r="BR252" s="174" t="n">
        <v>91.602</v>
      </c>
      <c r="BS252" s="174" t="n">
        <v>143.62</v>
      </c>
      <c r="BT252" s="174" t="n">
        <v>98.244</v>
      </c>
      <c r="BU252" s="174" t="n">
        <v>102.795</v>
      </c>
      <c r="BV252" s="174" t="n">
        <v>102.795</v>
      </c>
      <c r="BW252" s="174" t="n">
        <v>95.958</v>
      </c>
      <c r="BX252" s="174" t="n">
        <v>125.516</v>
      </c>
      <c r="BY252" s="37" t="n"/>
      <c r="BZ252" s="37" t="n"/>
      <c r="CA252" s="176">
        <f>BX252</f>
        <v/>
      </c>
      <c r="CB252" s="176">
        <f>CA252</f>
        <v/>
      </c>
      <c r="CC252" s="176">
        <f>CB252</f>
        <v/>
      </c>
      <c r="CD252" s="176">
        <f>CC252</f>
        <v/>
      </c>
      <c r="CE252" s="176">
        <f>CD252</f>
        <v/>
      </c>
      <c r="CF252" s="20" t="n"/>
    </row>
    <row r="253" ht="15" customHeight="1">
      <c r="B253" s="17" t="inlineStr">
        <is>
          <t>Total current assets</t>
        </is>
      </c>
      <c r="C253" s="204">
        <f>IF(ISNUMBER(C249),SUM(C249:C252),"")</f>
        <v/>
      </c>
      <c r="D253" s="204">
        <f>IF(ISNUMBER(D249),SUM(D249:D252),"")</f>
        <v/>
      </c>
      <c r="E253" s="204">
        <f>IF(ISNUMBER(E249),SUM(E249:E252),"")</f>
        <v/>
      </c>
      <c r="F253" s="204">
        <f>IF(ISNUMBER(F249),SUM(F249:F252),"")</f>
        <v/>
      </c>
      <c r="G253" s="204">
        <f>IF(ISNUMBER(G249),SUM(G249:G252),"")</f>
        <v/>
      </c>
      <c r="H253" s="204">
        <f>IF(ISNUMBER(H249),SUM(H249:H252),"")</f>
        <v/>
      </c>
      <c r="I253" s="204">
        <f>IF(ISNUMBER(I249),SUM(I249:I252),"")</f>
        <v/>
      </c>
      <c r="J253" s="204">
        <f>IF(ISNUMBER(J249),SUM(J249:J252),"")</f>
        <v/>
      </c>
      <c r="K253" s="204">
        <f>IF(ISNUMBER(K249),SUM(K249:K252),"")</f>
        <v/>
      </c>
      <c r="L253" s="204">
        <f>IF(ISNUMBER(L249),SUM(L249:L252),"")</f>
        <v/>
      </c>
      <c r="M253" s="204">
        <f>IF(ISNUMBER(M249),SUM(M249:M252),"")</f>
        <v/>
      </c>
      <c r="N253" s="204">
        <f>IF(ISNUMBER(N249),SUM(N249:N252),"")</f>
        <v/>
      </c>
      <c r="O253" s="204">
        <f>IF(ISNUMBER(O249),SUM(O249:O252),"")</f>
        <v/>
      </c>
      <c r="P253" s="204">
        <f>IF(ISNUMBER(P249),SUM(P249:P252),"")</f>
        <v/>
      </c>
      <c r="Q253" s="204">
        <f>IF(ISNUMBER(Q249),SUM(Q249:Q252),"")</f>
        <v/>
      </c>
      <c r="R253" s="204">
        <f>IF(ISNUMBER(R249),SUM(R249:R252),"")</f>
        <v/>
      </c>
      <c r="S253" s="204">
        <f>IF(ISNUMBER(S249),SUM(S249:S252),"")</f>
        <v/>
      </c>
      <c r="T253" s="204">
        <f>IF(ISNUMBER(T249),SUM(T249:T252),"")</f>
        <v/>
      </c>
      <c r="U253" s="204">
        <f>IF(ISNUMBER(U249),SUM(U249:U252),"")</f>
        <v/>
      </c>
      <c r="V253" s="204">
        <f>IF(ISNUMBER(V249),SUM(V249:V252),"")</f>
        <v/>
      </c>
      <c r="W253" s="204">
        <f>IF(ISNUMBER(W249),SUM(W249:W252),"")</f>
        <v/>
      </c>
      <c r="X253" s="204">
        <f>IF(ISNUMBER(X249),SUM(X249:X252),"")</f>
        <v/>
      </c>
      <c r="Y253" s="204">
        <f>IF(ISNUMBER(Y249),SUM(Y249:Y252),"")</f>
        <v/>
      </c>
      <c r="Z253" s="204">
        <f>IF(ISNUMBER(Z249),SUM(Z249:Z252),"")</f>
        <v/>
      </c>
      <c r="AA253" s="204">
        <f>IF(ISNUMBER(AA249),SUM(AA249:AA252),"")</f>
        <v/>
      </c>
      <c r="AB253" s="204">
        <f>IF(ISNUMBER(AB249),SUM(AB249:AB252),"")</f>
        <v/>
      </c>
      <c r="AC253" s="204">
        <f>IF(ISNUMBER(AC249),SUM(AC249:AC252),"")</f>
        <v/>
      </c>
      <c r="AD253" s="204">
        <f>IF(ISNUMBER(AD249),SUM(AD249:AD252),"")</f>
        <v/>
      </c>
      <c r="AE253" s="204">
        <f>IF(ISNUMBER(AE249),SUM(AE249:AE252),"")</f>
        <v/>
      </c>
      <c r="AF253" s="204">
        <f>IF(ISNUMBER(AF249),SUM(AF249:AF252),"")</f>
        <v/>
      </c>
      <c r="AG253" s="204">
        <f>IF(ISNUMBER(AG249),SUM(AG249:AG252),"")</f>
        <v/>
      </c>
      <c r="AH253" s="204">
        <f>IF(ISNUMBER(AH249),SUM(AH249:AH252),"")</f>
        <v/>
      </c>
      <c r="AI253" s="204">
        <f>IF(ISNUMBER(AI249),SUM(AI249:AI252),"")</f>
        <v/>
      </c>
      <c r="AJ253" s="204">
        <f>IF(ISNUMBER(AJ249),SUM(AJ249:AJ252),"")</f>
        <v/>
      </c>
      <c r="AK253" s="204">
        <f>IF(ISNUMBER(AK249),SUM(AK249:AK252),"")</f>
        <v/>
      </c>
      <c r="AL253" s="204">
        <f>IF(ISNUMBER(AL249),SUM(AL249:AL252),"")</f>
        <v/>
      </c>
      <c r="AM253" s="204">
        <f>IF(ISNUMBER(AM249),SUM(AM249:AM252),"")</f>
        <v/>
      </c>
      <c r="AN253" s="204">
        <f>IF(ISNUMBER(AN249),SUM(AN249:AN252),"")</f>
        <v/>
      </c>
      <c r="AO253" s="204">
        <f>IF(ISNUMBER(AO249),SUM(AO249:AO252),"")</f>
        <v/>
      </c>
      <c r="AP253" s="204">
        <f>IF(ISNUMBER(AP249),SUM(AP249:AP252),"")</f>
        <v/>
      </c>
      <c r="AQ253" s="204">
        <f>IF(ISNUMBER(AQ249),SUM(AQ249:AQ252),"")</f>
        <v/>
      </c>
      <c r="AR253" s="204">
        <f>IF(ISNUMBER(AR249),SUM(AR249:AR252),"")</f>
        <v/>
      </c>
      <c r="AS253" s="204">
        <f>IF(ISNUMBER(AS249),SUM(AS249:AS252),"")</f>
        <v/>
      </c>
      <c r="AT253" s="204">
        <f>IF(ISNUMBER(AT249),SUM(AT249:AT252),"")</f>
        <v/>
      </c>
      <c r="AU253" s="204">
        <f>IF(ISNUMBER(AU249),SUM(AU249:AU252),"")</f>
        <v/>
      </c>
      <c r="AV253" s="204">
        <f>IF(ISNUMBER(AV249),SUM(AV249:AV252),"")</f>
        <v/>
      </c>
      <c r="AW253" s="204">
        <f>IF(ISNUMBER(AW249),SUM(AW249:AW252),"")</f>
        <v/>
      </c>
      <c r="AX253" s="204">
        <f>IF(ISNUMBER(AX249),SUM(AX249:AX252),"")</f>
        <v/>
      </c>
      <c r="AY253" s="204">
        <f>IF(ISNUMBER(AY249),SUM(AY249:AY252),"")</f>
        <v/>
      </c>
      <c r="AZ253" s="204">
        <f>IF(ISNUMBER(AZ249),SUM(AZ249:AZ252),"")</f>
        <v/>
      </c>
      <c r="BA253" s="204">
        <f>IF(ISNUMBER(BA249),SUM(BA249:BA252),"")</f>
        <v/>
      </c>
      <c r="BB253" s="204">
        <f>IF(ISNUMBER(BB249),SUM(BB249:BB252),"")</f>
        <v/>
      </c>
      <c r="BC253" s="204">
        <f>IF(ISNUMBER(BC249),SUM(BC249:BC252),"")</f>
        <v/>
      </c>
      <c r="BD253" s="204">
        <f>IF(ISNUMBER(BD249),SUM(BD249:BD252),"")</f>
        <v/>
      </c>
      <c r="BE253" s="204">
        <f>IF(ISNUMBER(BE249),SUM(BE249:BE252),"")</f>
        <v/>
      </c>
      <c r="BF253" s="204">
        <f>IF(ISNUMBER(BF249),SUM(BF249:BF252),"")</f>
        <v/>
      </c>
      <c r="BG253" s="204">
        <f>IF(ISNUMBER(BG249),SUM(BG249:BG252),"")</f>
        <v/>
      </c>
      <c r="BH253" s="204">
        <f>IF(ISNUMBER(BH249),SUM(BH249:BH252),"")</f>
        <v/>
      </c>
      <c r="BI253" s="204">
        <f>IF(ISNUMBER(BI249),SUM(BI249:BI252),"")</f>
        <v/>
      </c>
      <c r="BJ253" s="204">
        <f>IF(ISNUMBER(BJ249),SUM(BJ249:BJ252),"")</f>
        <v/>
      </c>
      <c r="BK253" s="204">
        <f>IF(ISNUMBER(BK249),SUM(BK249:BK252),"")</f>
        <v/>
      </c>
      <c r="BL253" s="204">
        <f>IF(ISNUMBER(BL249),SUM(BL249:BL252),"")</f>
        <v/>
      </c>
      <c r="BM253" s="204">
        <f>IF(ISNUMBER(BM249),SUM(BM249:BM252),"")</f>
        <v/>
      </c>
      <c r="BN253" s="204">
        <f>IF(ISNUMBER(BN249),SUM(BN249:BN252),"")</f>
        <v/>
      </c>
      <c r="BO253" s="204">
        <f>IF(ISNUMBER(BO249),SUM(BO249:BO252),"")</f>
        <v/>
      </c>
      <c r="BP253" s="204">
        <f>IF(ISNUMBER(BP249),SUM(BP249:BP252),"")</f>
        <v/>
      </c>
      <c r="BQ253" s="204">
        <f>IF(ISNUMBER(BQ249),SUM(BQ249:BQ252),"")</f>
        <v/>
      </c>
      <c r="BR253" s="204">
        <f>IF(ISNUMBER(BR249),SUM(BR249:BR252),"")</f>
        <v/>
      </c>
      <c r="BS253" s="204">
        <f>IF(ISNUMBER(BS249),SUM(BS249:BS252),"")</f>
        <v/>
      </c>
      <c r="BT253" s="204">
        <f>IF(ISNUMBER(BT249),SUM(BT249:BT252),"")</f>
        <v/>
      </c>
      <c r="BU253" s="204">
        <f>IF(ISNUMBER(BU249),SUM(BU249:BU252),"")</f>
        <v/>
      </c>
      <c r="BV253" s="204">
        <f>IF(ISNUMBER(BV249),SUM(BV249:BV252),"")</f>
        <v/>
      </c>
      <c r="BW253" s="204">
        <f>IF(ISNUMBER(BW249),SUM(BW249:BW252),"")</f>
        <v/>
      </c>
      <c r="BX253" s="204">
        <f>IF(ISNUMBER(BX249),SUM(BX249:BX252),"")</f>
        <v/>
      </c>
      <c r="BY253" s="34" t="n"/>
      <c r="BZ253" s="34" t="n"/>
      <c r="CA253" s="178">
        <f>IF(ISNUMBER(CA249),SUM(CA249:CA252),"")</f>
        <v/>
      </c>
      <c r="CB253" s="178">
        <f>IF(ISNUMBER(CB249),SUM(CB249:CB252),"")</f>
        <v/>
      </c>
      <c r="CC253" s="178">
        <f>IF(ISNUMBER(CC249),SUM(CC249:CC252),"")</f>
        <v/>
      </c>
      <c r="CD253" s="178">
        <f>IF(ISNUMBER(CD249),SUM(CD249:CD252),"")</f>
        <v/>
      </c>
      <c r="CE253" s="178">
        <f>IF(ISNUMBER(CE249),SUM(CE249:CE252),"")</f>
        <v/>
      </c>
      <c r="CF253" s="6" t="n"/>
    </row>
    <row r="254" ht="15" customHeight="1">
      <c r="B254" s="26" t="inlineStr">
        <is>
          <t xml:space="preserve">  Net property &amp; equipment</t>
        </is>
      </c>
      <c r="C254" s="174" t="n">
        <v>607.588</v>
      </c>
      <c r="D254" s="174" t="n">
        <v>721.45</v>
      </c>
      <c r="E254" s="174" t="n">
        <v>824.485</v>
      </c>
      <c r="F254" s="174" t="n">
        <v>939.495</v>
      </c>
      <c r="G254" s="174" t="n">
        <v>964.216</v>
      </c>
      <c r="H254" s="174" t="n">
        <v>1126.95</v>
      </c>
      <c r="I254" s="174" t="n">
        <v>1379.305</v>
      </c>
      <c r="J254" s="174" t="n">
        <v>1375.749</v>
      </c>
      <c r="K254" s="174" t="n">
        <v>1469.392</v>
      </c>
      <c r="L254" s="174" t="n">
        <v>1508.617</v>
      </c>
      <c r="M254" s="174" t="n">
        <v>1543.059</v>
      </c>
      <c r="N254" s="174" t="n">
        <v>1543.059</v>
      </c>
      <c r="O254" s="174" t="n">
        <v>1586.076</v>
      </c>
      <c r="P254" s="174" t="n">
        <v>1676.357</v>
      </c>
      <c r="Q254" s="174" t="n">
        <v>1730.894</v>
      </c>
      <c r="R254" s="174" t="n">
        <v>1743.245</v>
      </c>
      <c r="S254" s="174" t="n">
        <v>1743.245</v>
      </c>
      <c r="T254" s="174" t="n">
        <v>1778.471</v>
      </c>
      <c r="U254" s="174" t="n">
        <v>1891.465</v>
      </c>
      <c r="V254" s="174" t="n">
        <v>1971.21</v>
      </c>
      <c r="W254" s="174" t="n">
        <v>2023.448</v>
      </c>
      <c r="X254" s="174" t="n">
        <v>2023.448</v>
      </c>
      <c r="Y254" s="174" t="n">
        <v>2098.158</v>
      </c>
      <c r="Z254" s="174" t="n">
        <v>2224.883</v>
      </c>
      <c r="AA254" s="174" t="n">
        <v>2229.673</v>
      </c>
      <c r="AB254" s="174" t="n">
        <v>2241.402</v>
      </c>
      <c r="AC254" s="174" t="n">
        <v>2241.402</v>
      </c>
      <c r="AD254" s="174" t="n">
        <v>2246.286</v>
      </c>
      <c r="AE254" s="174" t="n">
        <v>2321.243</v>
      </c>
      <c r="AF254" s="174" t="n">
        <v>2367.403</v>
      </c>
      <c r="AG254" s="174" t="n">
        <v>2404.459</v>
      </c>
      <c r="AH254" s="174" t="n">
        <v>2404.459</v>
      </c>
      <c r="AI254" s="174" t="n">
        <v>2450.834</v>
      </c>
      <c r="AJ254" s="174" t="n">
        <v>2585.708</v>
      </c>
      <c r="AK254" s="174" t="n">
        <v>2703.275</v>
      </c>
      <c r="AL254" s="174" t="n">
        <v>2754.943</v>
      </c>
      <c r="AM254" s="174" t="n">
        <v>2754.943</v>
      </c>
      <c r="AN254" s="174" t="n">
        <v>2761.857</v>
      </c>
      <c r="AO254" s="174" t="n">
        <v>2858.171</v>
      </c>
      <c r="AP254" s="174" t="n">
        <v>2927.894</v>
      </c>
      <c r="AQ254" s="174" t="n">
        <v>2968.835</v>
      </c>
      <c r="AR254" s="174" t="n">
        <v>2968.835</v>
      </c>
      <c r="AS254" s="174" t="n">
        <v>2953.99</v>
      </c>
      <c r="AT254" s="174" t="n">
        <v>2955.083</v>
      </c>
      <c r="AU254" s="174" t="n">
        <v>2935.475</v>
      </c>
      <c r="AV254" s="174" t="n">
        <v>2914.031</v>
      </c>
      <c r="AW254" s="174" t="n">
        <v>2914.031</v>
      </c>
      <c r="AX254" s="174" t="n">
        <v>2907.672</v>
      </c>
      <c r="AY254" s="174" t="n">
        <v>2998.727</v>
      </c>
      <c r="AZ254" s="174" t="n">
        <v>3110.114</v>
      </c>
      <c r="BA254" s="174" t="n">
        <v>3215.686</v>
      </c>
      <c r="BB254" s="174" t="n">
        <v>3215.686</v>
      </c>
      <c r="BC254" s="174" t="n">
        <v>3225.308</v>
      </c>
      <c r="BD254" s="174" t="n">
        <v>3378.732</v>
      </c>
      <c r="BE254" s="174" t="n">
        <v>3491.511</v>
      </c>
      <c r="BF254" s="174" t="n">
        <v>3687.068</v>
      </c>
      <c r="BG254" s="174" t="n">
        <v>3687.068</v>
      </c>
      <c r="BH254" s="174" t="n">
        <v>3841.464</v>
      </c>
      <c r="BI254" s="174" t="n">
        <v>4001.099</v>
      </c>
      <c r="BJ254" s="174" t="n">
        <v>4085.41</v>
      </c>
      <c r="BK254" s="174" t="n">
        <v>4095.405</v>
      </c>
      <c r="BL254" s="174" t="n">
        <v>4095.405</v>
      </c>
      <c r="BM254" s="174" t="n">
        <v>4128.101</v>
      </c>
      <c r="BN254" s="174" t="n">
        <v>4277.82</v>
      </c>
      <c r="BO254" s="174" t="n">
        <v>4425.753</v>
      </c>
      <c r="BP254" s="174" t="n">
        <v>4505.431</v>
      </c>
      <c r="BQ254" s="174" t="n">
        <v>4505.431</v>
      </c>
      <c r="BR254" s="174" t="n">
        <v>4497.361</v>
      </c>
      <c r="BS254" s="174" t="n">
        <v>4590.436</v>
      </c>
      <c r="BT254" s="174" t="n">
        <v>4585.625</v>
      </c>
      <c r="BU254" s="174" t="n">
        <v>4504.204</v>
      </c>
      <c r="BV254" s="174" t="n">
        <v>4504.204</v>
      </c>
      <c r="BW254" s="174" t="n">
        <v>4467.383</v>
      </c>
      <c r="BX254" s="174" t="n">
        <v>4440.47</v>
      </c>
      <c r="BY254" s="37" t="n"/>
      <c r="BZ254" s="37" t="n"/>
      <c r="CA254" s="176">
        <f>BX254-(CA208-(BW208+BX208))-(BY108+BZ108)-(CA209-(BW209+BX209))</f>
        <v/>
      </c>
      <c r="CB254" s="176">
        <f>CA254-CB208-CB201-CB209-CB211</f>
        <v/>
      </c>
      <c r="CC254" s="176">
        <f>CB254-CC208-CC201-CC209-CC211</f>
        <v/>
      </c>
      <c r="CD254" s="176">
        <f>CC254-CD208-CD201-CD209-CD211</f>
        <v/>
      </c>
      <c r="CE254" s="176">
        <f>CD254-CE208-CE201-CE209-CE211</f>
        <v/>
      </c>
      <c r="CF254" s="20" t="inlineStr">
        <is>
          <t>Roll-forward: prior + capex − D&amp;A − net book value of disposals (= proceeds; no gains forecast).</t>
        </is>
      </c>
      <c r="CH254" s="21">
        <f>IFERROR((CE254/BV254)^(1/5)-1,"n/m")</f>
        <v/>
      </c>
      <c r="CI254" s="21">
        <f>IFERROR((BV254/AW254)^(1/5)-1,"n/m")</f>
        <v/>
      </c>
      <c r="CJ254" s="21">
        <f>IFERROR((BV254/X254)^(1/10)-1,"n/m")</f>
        <v/>
      </c>
      <c r="CK254" s="21">
        <f>IFERROR((BV254/C254)^(1/19)-1,"n/m")</f>
        <v/>
      </c>
    </row>
    <row r="255" ht="15" customHeight="1">
      <c r="B255" s="26" t="inlineStr">
        <is>
          <t xml:space="preserve">  Other assets (derived; goodwill &amp; intangibles, operating lease ROU, deferred compensation investments)</t>
        </is>
      </c>
      <c r="C255" s="174" t="n">
        <v>28.238</v>
      </c>
      <c r="D255" s="174" t="n">
        <v>43.321</v>
      </c>
      <c r="E255" s="174" t="n">
        <v>41.19</v>
      </c>
      <c r="F255" s="174" t="n">
        <v>45.608</v>
      </c>
      <c r="G255" s="174" t="n">
        <v>53.083</v>
      </c>
      <c r="H255" s="174" t="n">
        <v>54.272</v>
      </c>
      <c r="I255" s="174" t="n">
        <v>58.181</v>
      </c>
      <c r="J255" s="174" t="n">
        <v>60.479</v>
      </c>
      <c r="K255" s="174" t="n">
        <v>61.256</v>
      </c>
      <c r="L255" s="174" t="n">
        <v>62.786</v>
      </c>
      <c r="M255" s="174" t="n">
        <v>56.051</v>
      </c>
      <c r="N255" s="174" t="n">
        <v>56.051</v>
      </c>
      <c r="O255" s="174" t="n">
        <v>56.718</v>
      </c>
      <c r="P255" s="174" t="n">
        <v>65.333</v>
      </c>
      <c r="Q255" s="174" t="n">
        <v>63.044</v>
      </c>
      <c r="R255" s="174" t="n">
        <v>59.849</v>
      </c>
      <c r="S255" s="174" t="n">
        <v>59.849</v>
      </c>
      <c r="T255" s="174" t="n">
        <v>62.02</v>
      </c>
      <c r="U255" s="174" t="n">
        <v>64.937</v>
      </c>
      <c r="V255" s="174" t="n">
        <v>67.069</v>
      </c>
      <c r="W255" s="174" t="n">
        <v>61.326</v>
      </c>
      <c r="X255" s="174" t="n">
        <v>61.326</v>
      </c>
      <c r="Y255" s="174" t="n">
        <v>61.658</v>
      </c>
      <c r="Z255" s="174" t="n">
        <v>63.06</v>
      </c>
      <c r="AA255" s="174" t="n">
        <v>65.52</v>
      </c>
      <c r="AB255" s="174" t="n">
        <v>72.223</v>
      </c>
      <c r="AC255" s="174" t="n">
        <v>72.223</v>
      </c>
      <c r="AD255" s="174" t="n">
        <v>73.65000000000001</v>
      </c>
      <c r="AE255" s="174" t="n">
        <v>74.343</v>
      </c>
      <c r="AF255" s="174" t="n">
        <v>75.672</v>
      </c>
      <c r="AG255" s="174" t="n">
        <v>79.312</v>
      </c>
      <c r="AH255" s="174" t="n">
        <v>79.312</v>
      </c>
      <c r="AI255" s="174" t="n">
        <v>77.72</v>
      </c>
      <c r="AJ255" s="174" t="n">
        <v>87.789</v>
      </c>
      <c r="AK255" s="174" t="n">
        <v>89.72199999999999</v>
      </c>
      <c r="AL255" s="174" t="n">
        <v>84.111</v>
      </c>
      <c r="AM255" s="174" t="n">
        <v>84.111</v>
      </c>
      <c r="AN255" s="174" t="n">
        <v>158.307</v>
      </c>
      <c r="AO255" s="174" t="n">
        <v>159.112</v>
      </c>
      <c r="AP255" s="174" t="n">
        <v>157.546</v>
      </c>
      <c r="AQ255" s="174" t="n">
        <v>159.899</v>
      </c>
      <c r="AR255" s="174" t="n">
        <v>159.899</v>
      </c>
      <c r="AS255" s="174" t="n">
        <v>149.99</v>
      </c>
      <c r="AT255" s="174" t="n">
        <v>156.375</v>
      </c>
      <c r="AU255" s="174" t="n">
        <v>199.717</v>
      </c>
      <c r="AV255" s="174" t="n">
        <v>212.04</v>
      </c>
      <c r="AW255" s="174" t="n">
        <v>212.04</v>
      </c>
      <c r="AX255" s="174" t="n">
        <v>220.93</v>
      </c>
      <c r="AY255" s="174" t="n">
        <v>224.604</v>
      </c>
      <c r="AZ255" s="174" t="n">
        <v>224.154</v>
      </c>
      <c r="BA255" s="174" t="n">
        <v>222.071</v>
      </c>
      <c r="BB255" s="174" t="n">
        <v>222.071</v>
      </c>
      <c r="BC255" s="174" t="n">
        <v>216.385</v>
      </c>
      <c r="BD255" s="174" t="n">
        <v>206.045</v>
      </c>
      <c r="BE255" s="174" t="n">
        <v>208.685</v>
      </c>
      <c r="BF255" s="174" t="n">
        <v>217.802</v>
      </c>
      <c r="BG255" s="174" t="n">
        <v>217.802</v>
      </c>
      <c r="BH255" s="174" t="n">
        <v>218.674</v>
      </c>
      <c r="BI255" s="174" t="n">
        <v>247.224</v>
      </c>
      <c r="BJ255" s="174" t="n">
        <v>259.248</v>
      </c>
      <c r="BK255" s="174" t="n">
        <v>273.655</v>
      </c>
      <c r="BL255" s="174" t="n">
        <v>273.655</v>
      </c>
      <c r="BM255" s="174" t="n">
        <v>259.595</v>
      </c>
      <c r="BN255" s="174" t="n">
        <v>258.163</v>
      </c>
      <c r="BO255" s="174" t="n">
        <v>265.019</v>
      </c>
      <c r="BP255" s="174" t="n">
        <v>265.281</v>
      </c>
      <c r="BQ255" s="174" t="n">
        <v>265.281</v>
      </c>
      <c r="BR255" s="174" t="n">
        <v>259.549</v>
      </c>
      <c r="BS255" s="174" t="n">
        <v>262.517</v>
      </c>
      <c r="BT255" s="174" t="n">
        <v>267.2</v>
      </c>
      <c r="BU255" s="174" t="n">
        <v>271.123</v>
      </c>
      <c r="BV255" s="174" t="n">
        <v>271.123</v>
      </c>
      <c r="BW255" s="174" t="n">
        <v>263.317</v>
      </c>
      <c r="BX255" s="174" t="n">
        <v>291.056</v>
      </c>
      <c r="BY255" s="37" t="n"/>
      <c r="BZ255" s="37" t="n"/>
      <c r="CA255" s="176">
        <f>BX255</f>
        <v/>
      </c>
      <c r="CB255" s="176">
        <f>CA255</f>
        <v/>
      </c>
      <c r="CC255" s="176">
        <f>CB255</f>
        <v/>
      </c>
      <c r="CD255" s="176">
        <f>CC255</f>
        <v/>
      </c>
      <c r="CE255" s="176">
        <f>CD255</f>
        <v/>
      </c>
      <c r="CF255" s="20" t="n"/>
    </row>
    <row r="256" ht="15" customHeight="1">
      <c r="B256" s="59" t="inlineStr">
        <is>
          <t>TOTAL ASSETS</t>
        </is>
      </c>
      <c r="C256" s="196">
        <f>IF(ISNUMBER(C249),C253+C254+C255,"")</f>
        <v/>
      </c>
      <c r="D256" s="196">
        <f>IF(ISNUMBER(D249),D253+D254+D255,"")</f>
        <v/>
      </c>
      <c r="E256" s="196">
        <f>IF(ISNUMBER(E249),E253+E254+E255,"")</f>
        <v/>
      </c>
      <c r="F256" s="196">
        <f>IF(ISNUMBER(F249),F253+F254+F255,"")</f>
        <v/>
      </c>
      <c r="G256" s="196">
        <f>IF(ISNUMBER(G249),G253+G254+G255,"")</f>
        <v/>
      </c>
      <c r="H256" s="196">
        <f>IF(ISNUMBER(H249),H253+H254+H255,"")</f>
        <v/>
      </c>
      <c r="I256" s="196">
        <f>IF(ISNUMBER(I249),I253+I254+I255,"")</f>
        <v/>
      </c>
      <c r="J256" s="196">
        <f>IF(ISNUMBER(J249),J253+J254+J255,"")</f>
        <v/>
      </c>
      <c r="K256" s="196">
        <f>IF(ISNUMBER(K249),K253+K254+K255,"")</f>
        <v/>
      </c>
      <c r="L256" s="196">
        <f>IF(ISNUMBER(L249),L253+L254+L255,"")</f>
        <v/>
      </c>
      <c r="M256" s="196">
        <f>IF(ISNUMBER(M249),M253+M254+M255,"")</f>
        <v/>
      </c>
      <c r="N256" s="196">
        <f>IF(ISNUMBER(N249),N253+N254+N255,"")</f>
        <v/>
      </c>
      <c r="O256" s="196">
        <f>IF(ISNUMBER(O249),O253+O254+O255,"")</f>
        <v/>
      </c>
      <c r="P256" s="196">
        <f>IF(ISNUMBER(P249),P253+P254+P255,"")</f>
        <v/>
      </c>
      <c r="Q256" s="196">
        <f>IF(ISNUMBER(Q249),Q253+Q254+Q255,"")</f>
        <v/>
      </c>
      <c r="R256" s="196">
        <f>IF(ISNUMBER(R249),R253+R254+R255,"")</f>
        <v/>
      </c>
      <c r="S256" s="196">
        <f>IF(ISNUMBER(S249),S253+S254+S255,"")</f>
        <v/>
      </c>
      <c r="T256" s="196">
        <f>IF(ISNUMBER(T249),T253+T254+T255,"")</f>
        <v/>
      </c>
      <c r="U256" s="196">
        <f>IF(ISNUMBER(U249),U253+U254+U255,"")</f>
        <v/>
      </c>
      <c r="V256" s="196">
        <f>IF(ISNUMBER(V249),V253+V254+V255,"")</f>
        <v/>
      </c>
      <c r="W256" s="196">
        <f>IF(ISNUMBER(W249),W253+W254+W255,"")</f>
        <v/>
      </c>
      <c r="X256" s="196">
        <f>IF(ISNUMBER(X249),X253+X254+X255,"")</f>
        <v/>
      </c>
      <c r="Y256" s="196">
        <f>IF(ISNUMBER(Y249),Y253+Y254+Y255,"")</f>
        <v/>
      </c>
      <c r="Z256" s="196">
        <f>IF(ISNUMBER(Z249),Z253+Z254+Z255,"")</f>
        <v/>
      </c>
      <c r="AA256" s="196">
        <f>IF(ISNUMBER(AA249),AA253+AA254+AA255,"")</f>
        <v/>
      </c>
      <c r="AB256" s="196">
        <f>IF(ISNUMBER(AB249),AB253+AB254+AB255,"")</f>
        <v/>
      </c>
      <c r="AC256" s="196">
        <f>IF(ISNUMBER(AC249),AC253+AC254+AC255,"")</f>
        <v/>
      </c>
      <c r="AD256" s="196">
        <f>IF(ISNUMBER(AD249),AD253+AD254+AD255,"")</f>
        <v/>
      </c>
      <c r="AE256" s="196">
        <f>IF(ISNUMBER(AE249),AE253+AE254+AE255,"")</f>
        <v/>
      </c>
      <c r="AF256" s="196">
        <f>IF(ISNUMBER(AF249),AF253+AF254+AF255,"")</f>
        <v/>
      </c>
      <c r="AG256" s="196">
        <f>IF(ISNUMBER(AG249),AG253+AG254+AG255,"")</f>
        <v/>
      </c>
      <c r="AH256" s="196">
        <f>IF(ISNUMBER(AH249),AH253+AH254+AH255,"")</f>
        <v/>
      </c>
      <c r="AI256" s="196">
        <f>IF(ISNUMBER(AI249),AI253+AI254+AI255,"")</f>
        <v/>
      </c>
      <c r="AJ256" s="196">
        <f>IF(ISNUMBER(AJ249),AJ253+AJ254+AJ255,"")</f>
        <v/>
      </c>
      <c r="AK256" s="196">
        <f>IF(ISNUMBER(AK249),AK253+AK254+AK255,"")</f>
        <v/>
      </c>
      <c r="AL256" s="196">
        <f>IF(ISNUMBER(AL249),AL253+AL254+AL255,"")</f>
        <v/>
      </c>
      <c r="AM256" s="196">
        <f>IF(ISNUMBER(AM249),AM253+AM254+AM255,"")</f>
        <v/>
      </c>
      <c r="AN256" s="196">
        <f>IF(ISNUMBER(AN249),AN253+AN254+AN255,"")</f>
        <v/>
      </c>
      <c r="AO256" s="196">
        <f>IF(ISNUMBER(AO249),AO253+AO254+AO255,"")</f>
        <v/>
      </c>
      <c r="AP256" s="196">
        <f>IF(ISNUMBER(AP249),AP253+AP254+AP255,"")</f>
        <v/>
      </c>
      <c r="AQ256" s="196">
        <f>IF(ISNUMBER(AQ249),AQ253+AQ254+AQ255,"")</f>
        <v/>
      </c>
      <c r="AR256" s="196">
        <f>IF(ISNUMBER(AR249),AR253+AR254+AR255,"")</f>
        <v/>
      </c>
      <c r="AS256" s="196">
        <f>IF(ISNUMBER(AS249),AS253+AS254+AS255,"")</f>
        <v/>
      </c>
      <c r="AT256" s="196">
        <f>IF(ISNUMBER(AT249),AT253+AT254+AT255,"")</f>
        <v/>
      </c>
      <c r="AU256" s="196">
        <f>IF(ISNUMBER(AU249),AU253+AU254+AU255,"")</f>
        <v/>
      </c>
      <c r="AV256" s="196">
        <f>IF(ISNUMBER(AV249),AV253+AV254+AV255,"")</f>
        <v/>
      </c>
      <c r="AW256" s="196">
        <f>IF(ISNUMBER(AW249),AW253+AW254+AW255,"")</f>
        <v/>
      </c>
      <c r="AX256" s="196">
        <f>IF(ISNUMBER(AX249),AX253+AX254+AX255,"")</f>
        <v/>
      </c>
      <c r="AY256" s="196">
        <f>IF(ISNUMBER(AY249),AY253+AY254+AY255,"")</f>
        <v/>
      </c>
      <c r="AZ256" s="196">
        <f>IF(ISNUMBER(AZ249),AZ253+AZ254+AZ255,"")</f>
        <v/>
      </c>
      <c r="BA256" s="196">
        <f>IF(ISNUMBER(BA249),BA253+BA254+BA255,"")</f>
        <v/>
      </c>
      <c r="BB256" s="196">
        <f>IF(ISNUMBER(BB249),BB253+BB254+BB255,"")</f>
        <v/>
      </c>
      <c r="BC256" s="196">
        <f>IF(ISNUMBER(BC249),BC253+BC254+BC255,"")</f>
        <v/>
      </c>
      <c r="BD256" s="196">
        <f>IF(ISNUMBER(BD249),BD253+BD254+BD255,"")</f>
        <v/>
      </c>
      <c r="BE256" s="196">
        <f>IF(ISNUMBER(BE249),BE253+BE254+BE255,"")</f>
        <v/>
      </c>
      <c r="BF256" s="196">
        <f>IF(ISNUMBER(BF249),BF253+BF254+BF255,"")</f>
        <v/>
      </c>
      <c r="BG256" s="196">
        <f>IF(ISNUMBER(BG249),BG253+BG254+BG255,"")</f>
        <v/>
      </c>
      <c r="BH256" s="196">
        <f>IF(ISNUMBER(BH249),BH253+BH254+BH255,"")</f>
        <v/>
      </c>
      <c r="BI256" s="196">
        <f>IF(ISNUMBER(BI249),BI253+BI254+BI255,"")</f>
        <v/>
      </c>
      <c r="BJ256" s="196">
        <f>IF(ISNUMBER(BJ249),BJ253+BJ254+BJ255,"")</f>
        <v/>
      </c>
      <c r="BK256" s="196">
        <f>IF(ISNUMBER(BK249),BK253+BK254+BK255,"")</f>
        <v/>
      </c>
      <c r="BL256" s="196">
        <f>IF(ISNUMBER(BL249),BL253+BL254+BL255,"")</f>
        <v/>
      </c>
      <c r="BM256" s="196">
        <f>IF(ISNUMBER(BM249),BM253+BM254+BM255,"")</f>
        <v/>
      </c>
      <c r="BN256" s="196">
        <f>IF(ISNUMBER(BN249),BN253+BN254+BN255,"")</f>
        <v/>
      </c>
      <c r="BO256" s="196">
        <f>IF(ISNUMBER(BO249),BO253+BO254+BO255,"")</f>
        <v/>
      </c>
      <c r="BP256" s="196">
        <f>IF(ISNUMBER(BP249),BP253+BP254+BP255,"")</f>
        <v/>
      </c>
      <c r="BQ256" s="196">
        <f>IF(ISNUMBER(BQ249),BQ253+BQ254+BQ255,"")</f>
        <v/>
      </c>
      <c r="BR256" s="196">
        <f>IF(ISNUMBER(BR249),BR253+BR254+BR255,"")</f>
        <v/>
      </c>
      <c r="BS256" s="196">
        <f>IF(ISNUMBER(BS249),BS253+BS254+BS255,"")</f>
        <v/>
      </c>
      <c r="BT256" s="196">
        <f>IF(ISNUMBER(BT249),BT253+BT254+BT255,"")</f>
        <v/>
      </c>
      <c r="BU256" s="196">
        <f>IF(ISNUMBER(BU249),BU253+BU254+BU255,"")</f>
        <v/>
      </c>
      <c r="BV256" s="196">
        <f>IF(ISNUMBER(BV249),BV253+BV254+BV255,"")</f>
        <v/>
      </c>
      <c r="BW256" s="196">
        <f>IF(ISNUMBER(BW249),BW253+BW254+BW255,"")</f>
        <v/>
      </c>
      <c r="BX256" s="196">
        <f>IF(ISNUMBER(BX249),BX253+BX254+BX255,"")</f>
        <v/>
      </c>
      <c r="BY256" s="60" t="n"/>
      <c r="BZ256" s="60" t="n"/>
      <c r="CA256" s="196">
        <f>IF(ISNUMBER(CA249),CA253+CA254+CA255,"")</f>
        <v/>
      </c>
      <c r="CB256" s="196">
        <f>IF(ISNUMBER(CB249),CB253+CB254+CB255,"")</f>
        <v/>
      </c>
      <c r="CC256" s="196">
        <f>IF(ISNUMBER(CC249),CC253+CC254+CC255,"")</f>
        <v/>
      </c>
      <c r="CD256" s="196">
        <f>IF(ISNUMBER(CD249),CD253+CD254+CD255,"")</f>
        <v/>
      </c>
      <c r="CE256" s="196">
        <f>IF(ISNUMBER(CE249),CE253+CE254+CE255,"")</f>
        <v/>
      </c>
      <c r="CF256" s="6" t="n"/>
      <c r="CH256" s="21">
        <f>IFERROR((CE256/BV256)^(1/5)-1,"n/m")</f>
        <v/>
      </c>
      <c r="CI256" s="21">
        <f>IFERROR((BV256/AW256)^(1/5)-1,"n/m")</f>
        <v/>
      </c>
      <c r="CJ256" s="21">
        <f>IFERROR((BV256/X256)^(1/10)-1,"n/m")</f>
        <v/>
      </c>
      <c r="CK256" s="21">
        <f>IFERROR((BV256/C256)^(1/19)-1,"n/m")</f>
        <v/>
      </c>
    </row>
    <row r="257" ht="15" customHeight="1">
      <c r="B257" s="26" t="inlineStr">
        <is>
          <t>LIABILITIES AND SHAREHOLDERS' EQUITY</t>
        </is>
      </c>
      <c r="CF257" s="6" t="n"/>
    </row>
    <row r="258" ht="15" customHeight="1">
      <c r="B258" s="26" t="inlineStr">
        <is>
          <t xml:space="preserve">  Accounts payable</t>
        </is>
      </c>
      <c r="C258" s="174" t="n">
        <v>37.686</v>
      </c>
      <c r="D258" s="174" t="n">
        <v>33.341</v>
      </c>
      <c r="E258" s="174" t="n">
        <v>40.999</v>
      </c>
      <c r="F258" s="174" t="n">
        <v>33.468</v>
      </c>
      <c r="G258" s="174" t="n">
        <v>29.221</v>
      </c>
      <c r="H258" s="174" t="n">
        <v>42.096</v>
      </c>
      <c r="I258" s="174" t="n">
        <v>44.891</v>
      </c>
      <c r="J258" s="174" t="n">
        <v>41.471</v>
      </c>
      <c r="K258" s="174" t="n">
        <v>66.718</v>
      </c>
      <c r="L258" s="174" t="n">
        <v>54.512</v>
      </c>
      <c r="M258" s="174" t="n">
        <v>36.788</v>
      </c>
      <c r="N258" s="174" t="n">
        <v>36.788</v>
      </c>
      <c r="O258" s="174" t="n">
        <v>71.764</v>
      </c>
      <c r="P258" s="174" t="n">
        <v>63.783</v>
      </c>
      <c r="Q258" s="174" t="n">
        <v>47.285</v>
      </c>
      <c r="R258" s="174" t="n">
        <v>45.314</v>
      </c>
      <c r="S258" s="174" t="n">
        <v>45.314</v>
      </c>
      <c r="T258" s="174" t="n">
        <v>48.955</v>
      </c>
      <c r="U258" s="174" t="n">
        <v>61.042</v>
      </c>
      <c r="V258" s="174" t="n">
        <v>58.258</v>
      </c>
      <c r="W258" s="174" t="n">
        <v>66.774</v>
      </c>
      <c r="X258" s="174" t="n">
        <v>66.774</v>
      </c>
      <c r="Y258" s="174" t="n">
        <v>81.07899999999999</v>
      </c>
      <c r="Z258" s="174" t="n">
        <v>79.23</v>
      </c>
      <c r="AA258" s="174" t="n">
        <v>55.145</v>
      </c>
      <c r="AB258" s="174" t="n">
        <v>89.21599999999999</v>
      </c>
      <c r="AC258" s="174" t="n">
        <v>89.21599999999999</v>
      </c>
      <c r="AD258" s="174" t="n">
        <v>56.843</v>
      </c>
      <c r="AE258" s="174" t="n">
        <v>54.234</v>
      </c>
      <c r="AF258" s="174" t="n">
        <v>59.702</v>
      </c>
      <c r="AG258" s="174" t="n">
        <v>73.729</v>
      </c>
      <c r="AH258" s="174" t="n">
        <v>73.729</v>
      </c>
      <c r="AI258" s="174" t="n">
        <v>78.498</v>
      </c>
      <c r="AJ258" s="174" t="n">
        <v>81.66800000000001</v>
      </c>
      <c r="AK258" s="174" t="n">
        <v>88.15000000000001</v>
      </c>
      <c r="AL258" s="174" t="n">
        <v>78.518</v>
      </c>
      <c r="AM258" s="174" t="n">
        <v>78.518</v>
      </c>
      <c r="AN258" s="174" t="n">
        <v>79.39700000000001</v>
      </c>
      <c r="AO258" s="174" t="n">
        <v>85.125</v>
      </c>
      <c r="AP258" s="174" t="n">
        <v>81.26900000000001</v>
      </c>
      <c r="AQ258" s="174" t="n">
        <v>70.254</v>
      </c>
      <c r="AR258" s="174" t="n">
        <v>70.254</v>
      </c>
      <c r="AS258" s="174" t="n">
        <v>55.097</v>
      </c>
      <c r="AT258" s="174" t="n">
        <v>51.257</v>
      </c>
      <c r="AU258" s="174" t="n">
        <v>59.229</v>
      </c>
      <c r="AV258" s="174" t="n">
        <v>68.511</v>
      </c>
      <c r="AW258" s="174" t="n">
        <v>68.511</v>
      </c>
      <c r="AX258" s="174" t="n">
        <v>88.452</v>
      </c>
      <c r="AY258" s="174" t="n">
        <v>90.956</v>
      </c>
      <c r="AZ258" s="174" t="n">
        <v>135.044</v>
      </c>
      <c r="BA258" s="174" t="n">
        <v>82.51900000000001</v>
      </c>
      <c r="BB258" s="174" t="n">
        <v>82.51900000000001</v>
      </c>
      <c r="BC258" s="174" t="n">
        <v>117.85</v>
      </c>
      <c r="BD258" s="174" t="n">
        <v>136.48</v>
      </c>
      <c r="BE258" s="174" t="n">
        <v>120.16</v>
      </c>
      <c r="BF258" s="174" t="n">
        <v>106.275</v>
      </c>
      <c r="BG258" s="174" t="n">
        <v>106.275</v>
      </c>
      <c r="BH258" s="174" t="n">
        <v>119.773</v>
      </c>
      <c r="BI258" s="174" t="n">
        <v>96.661</v>
      </c>
      <c r="BJ258" s="174" t="n">
        <v>115.712</v>
      </c>
      <c r="BK258" s="174" t="n">
        <v>112.774</v>
      </c>
      <c r="BL258" s="174" t="n">
        <v>112.774</v>
      </c>
      <c r="BM258" s="174" t="n">
        <v>97.68899999999999</v>
      </c>
      <c r="BN258" s="174" t="n">
        <v>112.606</v>
      </c>
      <c r="BO258" s="174" t="n">
        <v>99.279</v>
      </c>
      <c r="BP258" s="174" t="n">
        <v>91.819</v>
      </c>
      <c r="BQ258" s="174" t="n">
        <v>91.819</v>
      </c>
      <c r="BR258" s="174" t="n">
        <v>84.23999999999999</v>
      </c>
      <c r="BS258" s="174" t="n">
        <v>85.675</v>
      </c>
      <c r="BT258" s="174" t="n">
        <v>81.923</v>
      </c>
      <c r="BU258" s="174" t="n">
        <v>62.696</v>
      </c>
      <c r="BV258" s="174" t="n">
        <v>62.696</v>
      </c>
      <c r="BW258" s="174" t="n">
        <v>94.006</v>
      </c>
      <c r="BX258" s="174" t="n">
        <v>80.992</v>
      </c>
      <c r="BY258" s="37" t="n"/>
      <c r="BZ258" s="37" t="n"/>
      <c r="CA258" s="176">
        <f>CA290*CA292/365</f>
        <v/>
      </c>
      <c r="CB258" s="176">
        <f>CB290*CB292/365</f>
        <v/>
      </c>
      <c r="CC258" s="176">
        <f>CC290*CC292/365</f>
        <v/>
      </c>
      <c r="CD258" s="176">
        <f>CD290*CD292/365</f>
        <v/>
      </c>
      <c r="CE258" s="176">
        <f>CE290*CE292/365</f>
        <v/>
      </c>
      <c r="CF258" s="20" t="n"/>
    </row>
    <row r="259" ht="15" customHeight="1">
      <c r="B259" s="26" t="inlineStr">
        <is>
          <t xml:space="preserve">  Compensation &amp; benefits</t>
        </is>
      </c>
      <c r="C259" s="174" t="n">
        <v>35.649</v>
      </c>
      <c r="D259" s="174" t="n">
        <v>38.71</v>
      </c>
      <c r="E259" s="174" t="n">
        <v>43.129</v>
      </c>
      <c r="F259" s="174" t="n">
        <v>31.928</v>
      </c>
      <c r="G259" s="174" t="n">
        <v>51.355</v>
      </c>
      <c r="H259" s="174" t="n">
        <v>66.73999999999999</v>
      </c>
      <c r="I259" s="174" t="n">
        <v>80.047</v>
      </c>
      <c r="J259" s="174" t="n">
        <v>81.158</v>
      </c>
      <c r="K259" s="174" t="n">
        <v>89.262</v>
      </c>
      <c r="L259" s="174" t="n">
        <v>97.369</v>
      </c>
      <c r="M259" s="174" t="n">
        <v>97.187</v>
      </c>
      <c r="N259" s="174" t="n">
        <v>97.187</v>
      </c>
      <c r="O259" s="174" t="n">
        <v>97.73099999999999</v>
      </c>
      <c r="P259" s="174" t="n">
        <v>107.964</v>
      </c>
      <c r="Q259" s="174" t="n">
        <v>123.22</v>
      </c>
      <c r="R259" s="174" t="n">
        <v>106.2</v>
      </c>
      <c r="S259" s="174" t="n">
        <v>106.2</v>
      </c>
      <c r="T259" s="174" t="n">
        <v>125.619</v>
      </c>
      <c r="U259" s="174" t="n">
        <v>134.606</v>
      </c>
      <c r="V259" s="174" t="n">
        <v>144.77</v>
      </c>
      <c r="W259" s="174" t="n">
        <v>124.589</v>
      </c>
      <c r="X259" s="174" t="n">
        <v>124.589</v>
      </c>
      <c r="Y259" s="174" t="n">
        <v>118.226</v>
      </c>
      <c r="Z259" s="174" t="n">
        <v>130.743</v>
      </c>
      <c r="AA259" s="174" t="n">
        <v>140.408</v>
      </c>
      <c r="AB259" s="174" t="n">
        <v>129.17</v>
      </c>
      <c r="AC259" s="174" t="n">
        <v>129.17</v>
      </c>
      <c r="AD259" s="174" t="n">
        <v>126.511</v>
      </c>
      <c r="AE259" s="174" t="n">
        <v>145.76</v>
      </c>
      <c r="AF259" s="174" t="n">
        <v>151.406</v>
      </c>
      <c r="AG259" s="174" t="n">
        <v>152.566</v>
      </c>
      <c r="AH259" s="174" t="n">
        <v>152.566</v>
      </c>
      <c r="AI259" s="174" t="n">
        <v>157.818</v>
      </c>
      <c r="AJ259" s="174" t="n">
        <v>177.121</v>
      </c>
      <c r="AK259" s="174" t="n">
        <v>193.525</v>
      </c>
      <c r="AL259" s="174" t="n">
        <v>198.456</v>
      </c>
      <c r="AM259" s="174" t="n">
        <v>198.456</v>
      </c>
      <c r="AN259" s="174" t="n">
        <v>174.346</v>
      </c>
      <c r="AO259" s="174" t="n">
        <v>191.132</v>
      </c>
      <c r="AP259" s="174" t="n">
        <v>201.122</v>
      </c>
      <c r="AQ259" s="174" t="n">
        <v>192.524</v>
      </c>
      <c r="AR259" s="174" t="n">
        <v>192.524</v>
      </c>
      <c r="AS259" s="174" t="n">
        <v>176.15</v>
      </c>
      <c r="AT259" s="174" t="n">
        <v>190.678</v>
      </c>
      <c r="AU259" s="174" t="n">
        <v>217.154</v>
      </c>
      <c r="AV259" s="174" t="n">
        <v>191.303</v>
      </c>
      <c r="AW259" s="174" t="n">
        <v>191.303</v>
      </c>
      <c r="AX259" s="174" t="n">
        <v>209.143</v>
      </c>
      <c r="AY259" s="174" t="n">
        <v>245.762</v>
      </c>
      <c r="AZ259" s="174" t="n">
        <v>244.168</v>
      </c>
      <c r="BA259" s="174" t="n">
        <v>257.905</v>
      </c>
      <c r="BB259" s="174" t="n">
        <v>257.905</v>
      </c>
      <c r="BC259" s="174" t="n">
        <v>223.096</v>
      </c>
      <c r="BD259" s="174" t="n">
        <v>264.07</v>
      </c>
      <c r="BE259" s="174" t="n">
        <v>293.688</v>
      </c>
      <c r="BF259" s="174" t="n">
        <v>288.278</v>
      </c>
      <c r="BG259" s="174" t="n">
        <v>288.278</v>
      </c>
      <c r="BH259" s="174" t="n">
        <v>220.539</v>
      </c>
      <c r="BI259" s="174" t="n">
        <v>249.922</v>
      </c>
      <c r="BJ259" s="174" t="n">
        <v>278.064</v>
      </c>
      <c r="BK259" s="174" t="n">
        <v>278.953</v>
      </c>
      <c r="BL259" s="174" t="n">
        <v>278.953</v>
      </c>
      <c r="BM259" s="174" t="n">
        <v>232.502</v>
      </c>
      <c r="BN259" s="174" t="n">
        <v>259.895</v>
      </c>
      <c r="BO259" s="174" t="n">
        <v>283.817</v>
      </c>
      <c r="BP259" s="174" t="n">
        <v>285.421</v>
      </c>
      <c r="BQ259" s="174" t="n">
        <v>285.421</v>
      </c>
      <c r="BR259" s="174" t="n">
        <v>233.26</v>
      </c>
      <c r="BS259" s="174" t="n">
        <v>256.771</v>
      </c>
      <c r="BT259" s="174" t="n">
        <v>282.398</v>
      </c>
      <c r="BU259" s="174" t="n">
        <v>239.122</v>
      </c>
      <c r="BV259" s="174" t="n">
        <v>239.122</v>
      </c>
      <c r="BW259" s="174" t="n">
        <v>240.987</v>
      </c>
      <c r="BX259" s="174" t="n">
        <v>280.241</v>
      </c>
      <c r="BY259" s="37" t="n"/>
      <c r="BZ259" s="37" t="n"/>
      <c r="CA259" s="176">
        <f>CA289*CA293</f>
        <v/>
      </c>
      <c r="CB259" s="176">
        <f>CB289*CB293</f>
        <v/>
      </c>
      <c r="CC259" s="176">
        <f>CC289*CC293</f>
        <v/>
      </c>
      <c r="CD259" s="176">
        <f>CD289*CD293</f>
        <v/>
      </c>
      <c r="CE259" s="176">
        <f>CE289*CE293</f>
        <v/>
      </c>
      <c r="CF259" s="20" t="n"/>
    </row>
    <row r="260" ht="15" customHeight="1">
      <c r="B260" s="26" t="inlineStr">
        <is>
          <t xml:space="preserve">  Claims &amp; insurance accruals (current)</t>
        </is>
      </c>
      <c r="C260" s="174" t="n">
        <v>23.871</v>
      </c>
      <c r="D260" s="174" t="n">
        <v>30.255</v>
      </c>
      <c r="E260" s="174" t="n">
        <v>31.181</v>
      </c>
      <c r="F260" s="174" t="n">
        <v>30.689</v>
      </c>
      <c r="G260" s="174" t="n">
        <v>33.927</v>
      </c>
      <c r="H260" s="174" t="n">
        <v>35.934</v>
      </c>
      <c r="I260" s="174" t="n">
        <v>33.99</v>
      </c>
      <c r="J260" s="174" t="n">
        <v>34.681</v>
      </c>
      <c r="K260" s="174" t="n">
        <v>34.07</v>
      </c>
      <c r="L260" s="174" t="n">
        <v>36.307</v>
      </c>
      <c r="M260" s="174" t="n">
        <v>38.784</v>
      </c>
      <c r="N260" s="174" t="n">
        <v>38.784</v>
      </c>
      <c r="O260" s="174" t="n">
        <v>39.525</v>
      </c>
      <c r="P260" s="174" t="n">
        <v>40.764</v>
      </c>
      <c r="Q260" s="174" t="n">
        <v>41.948</v>
      </c>
      <c r="R260" s="174" t="n">
        <v>42.271</v>
      </c>
      <c r="S260" s="174" t="n">
        <v>42.271</v>
      </c>
      <c r="T260" s="174" t="n">
        <v>43.964</v>
      </c>
      <c r="U260" s="174" t="n">
        <v>44.734</v>
      </c>
      <c r="V260" s="174" t="n">
        <v>46.356</v>
      </c>
      <c r="W260" s="174" t="n">
        <v>44.917</v>
      </c>
      <c r="X260" s="174" t="n">
        <v>44.917</v>
      </c>
      <c r="Y260" s="174" t="n">
        <v>44.497</v>
      </c>
      <c r="Z260" s="174" t="n">
        <v>43.549</v>
      </c>
      <c r="AA260" s="174" t="n">
        <v>46.376</v>
      </c>
      <c r="AB260" s="174" t="n">
        <v>47.417</v>
      </c>
      <c r="AC260" s="174" t="n">
        <v>47.417</v>
      </c>
      <c r="AD260" s="174" t="n">
        <v>47.693</v>
      </c>
      <c r="AE260" s="174" t="n">
        <v>47.897</v>
      </c>
      <c r="AF260" s="174" t="n">
        <v>48.089</v>
      </c>
      <c r="AG260" s="174" t="n">
        <v>49.949</v>
      </c>
      <c r="AH260" s="174" t="n">
        <v>49.949</v>
      </c>
      <c r="AI260" s="174" t="n">
        <v>51.792</v>
      </c>
      <c r="AJ260" s="174" t="n">
        <v>52.168</v>
      </c>
      <c r="AK260" s="174" t="n">
        <v>53.783</v>
      </c>
      <c r="AL260" s="174" t="n">
        <v>53.263</v>
      </c>
      <c r="AM260" s="174" t="n">
        <v>53.263</v>
      </c>
      <c r="AN260" s="174" t="n">
        <v>50.57</v>
      </c>
      <c r="AO260" s="174" t="n">
        <v>50.803</v>
      </c>
      <c r="AP260" s="174" t="n">
        <v>51.613</v>
      </c>
      <c r="AQ260" s="174" t="n">
        <v>54.33</v>
      </c>
      <c r="AR260" s="174" t="n">
        <v>54.33</v>
      </c>
      <c r="AS260" s="174" t="n">
        <v>53.768</v>
      </c>
      <c r="AT260" s="174" t="n">
        <v>52.469</v>
      </c>
      <c r="AU260" s="174" t="n">
        <v>54.493</v>
      </c>
      <c r="AV260" s="174" t="n">
        <v>53.092</v>
      </c>
      <c r="AW260" s="174" t="n">
        <v>53.092</v>
      </c>
      <c r="AX260" s="174" t="n">
        <v>54.304</v>
      </c>
      <c r="AY260" s="174" t="n">
        <v>55.62</v>
      </c>
      <c r="AZ260" s="174" t="n">
        <v>58.253</v>
      </c>
      <c r="BA260" s="174" t="n">
        <v>61.822</v>
      </c>
      <c r="BB260" s="174" t="n">
        <v>61.822</v>
      </c>
      <c r="BC260" s="174" t="n">
        <v>63.229</v>
      </c>
      <c r="BD260" s="174" t="n">
        <v>65.241</v>
      </c>
      <c r="BE260" s="174" t="n">
        <v>66.22799999999999</v>
      </c>
      <c r="BF260" s="174" t="n">
        <v>63.307</v>
      </c>
      <c r="BG260" s="174" t="n">
        <v>63.307</v>
      </c>
      <c r="BH260" s="174" t="n">
        <v>61.714</v>
      </c>
      <c r="BI260" s="174" t="n">
        <v>60.837</v>
      </c>
      <c r="BJ260" s="174" t="n">
        <v>60.616</v>
      </c>
      <c r="BK260" s="174" t="n">
        <v>63.346</v>
      </c>
      <c r="BL260" s="174" t="n">
        <v>63.346</v>
      </c>
      <c r="BM260" s="174" t="n">
        <v>62.839</v>
      </c>
      <c r="BN260" s="174" t="n">
        <v>61.271</v>
      </c>
      <c r="BO260" s="174" t="n">
        <v>62.119</v>
      </c>
      <c r="BP260" s="174" t="n">
        <v>72.846</v>
      </c>
      <c r="BQ260" s="174" t="n">
        <v>72.846</v>
      </c>
      <c r="BR260" s="174" t="n">
        <v>73.407</v>
      </c>
      <c r="BS260" s="174" t="n">
        <v>75.11</v>
      </c>
      <c r="BT260" s="174" t="n">
        <v>73.242</v>
      </c>
      <c r="BU260" s="174" t="n">
        <v>78.864</v>
      </c>
      <c r="BV260" s="174" t="n">
        <v>78.864</v>
      </c>
      <c r="BW260" s="174" t="n">
        <v>79.22499999999999</v>
      </c>
      <c r="BX260" s="174" t="n">
        <v>80.64</v>
      </c>
      <c r="BY260" s="37" t="n"/>
      <c r="BZ260" s="37" t="n"/>
      <c r="CA260" s="176">
        <f>CA289*CA294</f>
        <v/>
      </c>
      <c r="CB260" s="176">
        <f>CB289*CB294</f>
        <v/>
      </c>
      <c r="CC260" s="176">
        <f>CC289*CC294</f>
        <v/>
      </c>
      <c r="CD260" s="176">
        <f>CD289*CD294</f>
        <v/>
      </c>
      <c r="CE260" s="176">
        <f>CE289*CE294</f>
        <v/>
      </c>
      <c r="CF260" s="20" t="n"/>
    </row>
    <row r="261" ht="15" customHeight="1">
      <c r="B261" s="26" t="inlineStr">
        <is>
          <t xml:space="preserve">  Current maturities of long-term debt</t>
        </is>
      </c>
      <c r="C261" s="174" t="n">
        <v>12.697</v>
      </c>
      <c r="D261" s="174" t="n">
        <v>12.193</v>
      </c>
      <c r="E261" s="174" t="n">
        <v>11.972</v>
      </c>
      <c r="F261" s="174" t="n">
        <v>36.676</v>
      </c>
      <c r="G261" s="174" t="n">
        <v>37.13</v>
      </c>
      <c r="H261" s="174" t="n">
        <v>39.354</v>
      </c>
      <c r="I261" s="174" t="n">
        <v>38.978</v>
      </c>
      <c r="J261" s="174" t="n">
        <v>38.619</v>
      </c>
      <c r="K261" s="174" t="n">
        <v>38.403</v>
      </c>
      <c r="L261" s="174" t="n">
        <v>38.403</v>
      </c>
      <c r="M261" s="174" t="n">
        <v>35.715</v>
      </c>
      <c r="N261" s="174" t="n">
        <v>35.715</v>
      </c>
      <c r="O261" s="174" t="n">
        <v>35.714</v>
      </c>
      <c r="P261" s="174" t="n">
        <v>35.714</v>
      </c>
      <c r="Q261" s="174" t="n">
        <v>35.714</v>
      </c>
      <c r="R261" s="174" t="n">
        <v>35.714</v>
      </c>
      <c r="S261" s="174" t="n">
        <v>35.714</v>
      </c>
      <c r="T261" s="174" t="n">
        <v>27.956</v>
      </c>
      <c r="U261" s="174" t="n">
        <v>28.344</v>
      </c>
      <c r="V261" s="174" t="n">
        <v>90.377</v>
      </c>
      <c r="W261" s="174" t="n">
        <v>26.488</v>
      </c>
      <c r="X261" s="174" t="n">
        <v>26.488</v>
      </c>
      <c r="Y261" s="174" t="n">
        <v>25.596</v>
      </c>
      <c r="Z261" s="174" t="n">
        <v>0</v>
      </c>
      <c r="AA261" s="174" t="n">
        <v>0</v>
      </c>
      <c r="AB261" s="174" t="n">
        <v>0</v>
      </c>
      <c r="AC261" s="174" t="n">
        <v>0</v>
      </c>
      <c r="AD261" s="174" t="n">
        <v>50</v>
      </c>
      <c r="AE261" s="174" t="n">
        <v>50</v>
      </c>
      <c r="AF261" s="174" t="n">
        <v>50</v>
      </c>
      <c r="AG261" s="174" t="n">
        <v>50</v>
      </c>
      <c r="AH261" s="174" t="n">
        <v>50</v>
      </c>
      <c r="AI261" s="174" t="n">
        <v>0</v>
      </c>
      <c r="AJ261" s="174" t="n">
        <v>0</v>
      </c>
      <c r="AK261" s="174" t="n">
        <v>0</v>
      </c>
      <c r="AL261" s="174" t="n">
        <v>0</v>
      </c>
      <c r="AM261" s="174" t="n">
        <v>0</v>
      </c>
      <c r="AN261" s="36" t="n"/>
      <c r="AO261" s="36" t="n"/>
      <c r="AP261" s="36" t="n"/>
      <c r="AQ261" s="36" t="n"/>
      <c r="AR261" s="36" t="n"/>
      <c r="AS261" s="174" t="n">
        <v>45</v>
      </c>
      <c r="AT261" s="174" t="n">
        <v>45</v>
      </c>
      <c r="AU261" s="174" t="n">
        <v>45</v>
      </c>
      <c r="AV261" s="36" t="n"/>
      <c r="AW261" s="36" t="n"/>
      <c r="AX261" s="36" t="n"/>
      <c r="AY261" s="36" t="n"/>
      <c r="AZ261" s="36" t="n"/>
      <c r="BA261" s="36" t="n"/>
      <c r="BB261" s="36" t="n"/>
      <c r="BC261" s="36" t="n"/>
      <c r="BD261" s="174" t="n">
        <v>20</v>
      </c>
      <c r="BE261" s="174" t="n">
        <v>20</v>
      </c>
      <c r="BF261" s="174" t="n">
        <v>20</v>
      </c>
      <c r="BG261" s="174" t="n">
        <v>20</v>
      </c>
      <c r="BH261" s="174" t="n">
        <v>20</v>
      </c>
      <c r="BI261" s="174" t="n">
        <v>20</v>
      </c>
      <c r="BJ261" s="174" t="n">
        <v>20</v>
      </c>
      <c r="BK261" s="174" t="n">
        <v>20</v>
      </c>
      <c r="BL261" s="174" t="n">
        <v>20</v>
      </c>
      <c r="BM261" s="174" t="n">
        <v>20</v>
      </c>
      <c r="BN261" s="174" t="n">
        <v>20</v>
      </c>
      <c r="BO261" s="174" t="n">
        <v>20</v>
      </c>
      <c r="BP261" s="174" t="n">
        <v>20</v>
      </c>
      <c r="BQ261" s="174" t="n">
        <v>20</v>
      </c>
      <c r="BR261" s="174" t="n">
        <v>20</v>
      </c>
      <c r="BS261" s="174" t="n">
        <v>20</v>
      </c>
      <c r="BT261" s="174" t="n">
        <v>20</v>
      </c>
      <c r="BU261" s="174" t="n">
        <v>20</v>
      </c>
      <c r="BV261" s="174" t="n">
        <v>20</v>
      </c>
      <c r="BW261" s="174" t="n">
        <v>20</v>
      </c>
      <c r="BX261" s="174" t="n">
        <v>19.997</v>
      </c>
      <c r="BY261" s="37" t="n"/>
      <c r="BZ261" s="37" t="n"/>
      <c r="CA261" s="176">
        <f>MIN(CA304,-CB305)</f>
        <v/>
      </c>
      <c r="CB261" s="176">
        <f>MIN(CB304,-CC305)</f>
        <v/>
      </c>
      <c r="CC261" s="176">
        <f>MIN(CC304,-CD305)</f>
        <v/>
      </c>
      <c r="CD261" s="176">
        <f>MIN(CD304,-CE305)</f>
        <v/>
      </c>
      <c r="CE261" s="176">
        <f>MIN(CE304,-CE305)</f>
        <v/>
      </c>
      <c r="CF261" s="20" t="inlineStr">
        <is>
          <t>Forecast: next year's scheduled note amortisation.</t>
        </is>
      </c>
    </row>
    <row r="262" ht="15" customHeight="1">
      <c r="B262" s="26" t="inlineStr">
        <is>
          <t xml:space="preserve">  Other current liabilities (derived; other accrued liabilities, income taxes payable, lease liabilities)</t>
        </is>
      </c>
      <c r="C262" s="174" t="n">
        <v>11.643</v>
      </c>
      <c r="D262" s="174" t="n">
        <v>13.224</v>
      </c>
      <c r="E262" s="174" t="n">
        <v>14.909</v>
      </c>
      <c r="F262" s="174" t="n">
        <v>15.364</v>
      </c>
      <c r="G262" s="174" t="n">
        <v>18.413</v>
      </c>
      <c r="H262" s="174" t="n">
        <v>20.686</v>
      </c>
      <c r="I262" s="174" t="n">
        <v>27.233</v>
      </c>
      <c r="J262" s="174" t="n">
        <v>58.201</v>
      </c>
      <c r="K262" s="174" t="n">
        <v>44.675</v>
      </c>
      <c r="L262" s="174" t="n">
        <v>22.22</v>
      </c>
      <c r="M262" s="174" t="n">
        <v>23.648</v>
      </c>
      <c r="N262" s="174" t="n">
        <v>23.648</v>
      </c>
      <c r="O262" s="174" t="n">
        <v>48.771</v>
      </c>
      <c r="P262" s="174" t="n">
        <v>49.338</v>
      </c>
      <c r="Q262" s="174" t="n">
        <v>38.434</v>
      </c>
      <c r="R262" s="174" t="n">
        <v>26.139</v>
      </c>
      <c r="S262" s="174" t="n">
        <v>26.139</v>
      </c>
      <c r="T262" s="174" t="n">
        <v>75.188</v>
      </c>
      <c r="U262" s="174" t="n">
        <v>30.136</v>
      </c>
      <c r="V262" s="174" t="n">
        <v>24.411</v>
      </c>
      <c r="W262" s="174" t="n">
        <v>22.634</v>
      </c>
      <c r="X262" s="174" t="n">
        <v>22.634</v>
      </c>
      <c r="Y262" s="174" t="n">
        <v>53.825</v>
      </c>
      <c r="Z262" s="174" t="n">
        <v>37.829</v>
      </c>
      <c r="AA262" s="174" t="n">
        <v>27.045</v>
      </c>
      <c r="AB262" s="174" t="n">
        <v>22.833</v>
      </c>
      <c r="AC262" s="174" t="n">
        <v>22.833</v>
      </c>
      <c r="AD262" s="174" t="n">
        <v>53.738</v>
      </c>
      <c r="AE262" s="174" t="n">
        <v>46.519</v>
      </c>
      <c r="AF262" s="174" t="n">
        <v>46.452</v>
      </c>
      <c r="AG262" s="174" t="n">
        <v>24.805</v>
      </c>
      <c r="AH262" s="174" t="n">
        <v>24.805</v>
      </c>
      <c r="AI262" s="174" t="n">
        <v>57.177</v>
      </c>
      <c r="AJ262" s="174" t="n">
        <v>55.405</v>
      </c>
      <c r="AK262" s="174" t="n">
        <v>26.999</v>
      </c>
      <c r="AL262" s="174" t="n">
        <v>26.495</v>
      </c>
      <c r="AM262" s="174" t="n">
        <v>26.495</v>
      </c>
      <c r="AN262" s="174" t="n">
        <v>53.842</v>
      </c>
      <c r="AO262" s="174" t="n">
        <v>59.045</v>
      </c>
      <c r="AP262" s="174" t="n">
        <v>62.858</v>
      </c>
      <c r="AQ262" s="174" t="n">
        <v>48.977</v>
      </c>
      <c r="AR262" s="174" t="n">
        <v>48.977</v>
      </c>
      <c r="AS262" s="174" t="n">
        <v>98.28</v>
      </c>
      <c r="AT262" s="174" t="n">
        <v>154.77</v>
      </c>
      <c r="AU262" s="174" t="n">
        <v>73.41200000000001</v>
      </c>
      <c r="AV262" s="174" t="n">
        <v>60.224</v>
      </c>
      <c r="AW262" s="174" t="n">
        <v>60.224</v>
      </c>
      <c r="AX262" s="174" t="n">
        <v>161.963</v>
      </c>
      <c r="AY262" s="174" t="n">
        <v>89.68000000000001</v>
      </c>
      <c r="AZ262" s="174" t="n">
        <v>96.82599999999999</v>
      </c>
      <c r="BA262" s="174" t="n">
        <v>61.988</v>
      </c>
      <c r="BB262" s="174" t="n">
        <v>61.988</v>
      </c>
      <c r="BC262" s="174" t="n">
        <v>174.421</v>
      </c>
      <c r="BD262" s="174" t="n">
        <v>142.387</v>
      </c>
      <c r="BE262" s="174" t="n">
        <v>139.251</v>
      </c>
      <c r="BF262" s="174" t="n">
        <v>51.933</v>
      </c>
      <c r="BG262" s="174" t="n">
        <v>51.933</v>
      </c>
      <c r="BH262" s="174" t="n">
        <v>147.494</v>
      </c>
      <c r="BI262" s="174" t="n">
        <v>75.598</v>
      </c>
      <c r="BJ262" s="174" t="n">
        <v>77.958</v>
      </c>
      <c r="BK262" s="174" t="n">
        <v>69.58499999999999</v>
      </c>
      <c r="BL262" s="174" t="n">
        <v>69.58499999999999</v>
      </c>
      <c r="BM262" s="174" t="n">
        <v>137.644</v>
      </c>
      <c r="BN262" s="174" t="n">
        <v>98.982</v>
      </c>
      <c r="BO262" s="174" t="n">
        <v>88.36499999999999</v>
      </c>
      <c r="BP262" s="174" t="n">
        <v>70.443</v>
      </c>
      <c r="BQ262" s="174" t="n">
        <v>70.443</v>
      </c>
      <c r="BR262" s="174" t="n">
        <v>146.446</v>
      </c>
      <c r="BS262" s="174" t="n">
        <v>69.307</v>
      </c>
      <c r="BT262" s="174" t="n">
        <v>93.795</v>
      </c>
      <c r="BU262" s="174" t="n">
        <v>83.224</v>
      </c>
      <c r="BV262" s="174" t="n">
        <v>83.224</v>
      </c>
      <c r="BW262" s="174" t="n">
        <v>157.506</v>
      </c>
      <c r="BX262" s="174" t="n">
        <v>69.511</v>
      </c>
      <c r="BY262" s="37" t="n"/>
      <c r="BZ262" s="37" t="n"/>
      <c r="CA262" s="176">
        <f>BX262</f>
        <v/>
      </c>
      <c r="CB262" s="176">
        <f>CA262</f>
        <v/>
      </c>
      <c r="CC262" s="176">
        <f>CB262</f>
        <v/>
      </c>
      <c r="CD262" s="176">
        <f>CC262</f>
        <v/>
      </c>
      <c r="CE262" s="176">
        <f>CD262</f>
        <v/>
      </c>
      <c r="CF262" s="20" t="n"/>
    </row>
    <row r="263" ht="15" customHeight="1">
      <c r="B263" s="17" t="inlineStr">
        <is>
          <t>Total current liabilities</t>
        </is>
      </c>
      <c r="C263" s="204">
        <f>IF(ISNUMBER(C258),SUM(C258:C262),"")</f>
        <v/>
      </c>
      <c r="D263" s="204">
        <f>IF(ISNUMBER(D258),SUM(D258:D262),"")</f>
        <v/>
      </c>
      <c r="E263" s="204">
        <f>IF(ISNUMBER(E258),SUM(E258:E262),"")</f>
        <v/>
      </c>
      <c r="F263" s="204">
        <f>IF(ISNUMBER(F258),SUM(F258:F262),"")</f>
        <v/>
      </c>
      <c r="G263" s="204">
        <f>IF(ISNUMBER(G258),SUM(G258:G262),"")</f>
        <v/>
      </c>
      <c r="H263" s="204">
        <f>IF(ISNUMBER(H258),SUM(H258:H262),"")</f>
        <v/>
      </c>
      <c r="I263" s="204">
        <f>IF(ISNUMBER(I258),SUM(I258:I262),"")</f>
        <v/>
      </c>
      <c r="J263" s="204">
        <f>IF(ISNUMBER(J258),SUM(J258:J262),"")</f>
        <v/>
      </c>
      <c r="K263" s="204">
        <f>IF(ISNUMBER(K258),SUM(K258:K262),"")</f>
        <v/>
      </c>
      <c r="L263" s="204">
        <f>IF(ISNUMBER(L258),SUM(L258:L262),"")</f>
        <v/>
      </c>
      <c r="M263" s="204">
        <f>IF(ISNUMBER(M258),SUM(M258:M262),"")</f>
        <v/>
      </c>
      <c r="N263" s="204">
        <f>IF(ISNUMBER(N258),SUM(N258:N262),"")</f>
        <v/>
      </c>
      <c r="O263" s="204">
        <f>IF(ISNUMBER(O258),SUM(O258:O262),"")</f>
        <v/>
      </c>
      <c r="P263" s="204">
        <f>IF(ISNUMBER(P258),SUM(P258:P262),"")</f>
        <v/>
      </c>
      <c r="Q263" s="204">
        <f>IF(ISNUMBER(Q258),SUM(Q258:Q262),"")</f>
        <v/>
      </c>
      <c r="R263" s="204">
        <f>IF(ISNUMBER(R258),SUM(R258:R262),"")</f>
        <v/>
      </c>
      <c r="S263" s="204">
        <f>IF(ISNUMBER(S258),SUM(S258:S262),"")</f>
        <v/>
      </c>
      <c r="T263" s="204">
        <f>IF(ISNUMBER(T258),SUM(T258:T262),"")</f>
        <v/>
      </c>
      <c r="U263" s="204">
        <f>IF(ISNUMBER(U258),SUM(U258:U262),"")</f>
        <v/>
      </c>
      <c r="V263" s="204">
        <f>IF(ISNUMBER(V258),SUM(V258:V262),"")</f>
        <v/>
      </c>
      <c r="W263" s="204">
        <f>IF(ISNUMBER(W258),SUM(W258:W262),"")</f>
        <v/>
      </c>
      <c r="X263" s="204">
        <f>IF(ISNUMBER(X258),SUM(X258:X262),"")</f>
        <v/>
      </c>
      <c r="Y263" s="204">
        <f>IF(ISNUMBER(Y258),SUM(Y258:Y262),"")</f>
        <v/>
      </c>
      <c r="Z263" s="204">
        <f>IF(ISNUMBER(Z258),SUM(Z258:Z262),"")</f>
        <v/>
      </c>
      <c r="AA263" s="204">
        <f>IF(ISNUMBER(AA258),SUM(AA258:AA262),"")</f>
        <v/>
      </c>
      <c r="AB263" s="204">
        <f>IF(ISNUMBER(AB258),SUM(AB258:AB262),"")</f>
        <v/>
      </c>
      <c r="AC263" s="204">
        <f>IF(ISNUMBER(AC258),SUM(AC258:AC262),"")</f>
        <v/>
      </c>
      <c r="AD263" s="204">
        <f>IF(ISNUMBER(AD258),SUM(AD258:AD262),"")</f>
        <v/>
      </c>
      <c r="AE263" s="204">
        <f>IF(ISNUMBER(AE258),SUM(AE258:AE262),"")</f>
        <v/>
      </c>
      <c r="AF263" s="204">
        <f>IF(ISNUMBER(AF258),SUM(AF258:AF262),"")</f>
        <v/>
      </c>
      <c r="AG263" s="204">
        <f>IF(ISNUMBER(AG258),SUM(AG258:AG262),"")</f>
        <v/>
      </c>
      <c r="AH263" s="204">
        <f>IF(ISNUMBER(AH258),SUM(AH258:AH262),"")</f>
        <v/>
      </c>
      <c r="AI263" s="204">
        <f>IF(ISNUMBER(AI258),SUM(AI258:AI262),"")</f>
        <v/>
      </c>
      <c r="AJ263" s="204">
        <f>IF(ISNUMBER(AJ258),SUM(AJ258:AJ262),"")</f>
        <v/>
      </c>
      <c r="AK263" s="204">
        <f>IF(ISNUMBER(AK258),SUM(AK258:AK262),"")</f>
        <v/>
      </c>
      <c r="AL263" s="204">
        <f>IF(ISNUMBER(AL258),SUM(AL258:AL262),"")</f>
        <v/>
      </c>
      <c r="AM263" s="204">
        <f>IF(ISNUMBER(AM258),SUM(AM258:AM262),"")</f>
        <v/>
      </c>
      <c r="AN263" s="204">
        <f>IF(ISNUMBER(AN258),SUM(AN258:AN262),"")</f>
        <v/>
      </c>
      <c r="AO263" s="204">
        <f>IF(ISNUMBER(AO258),SUM(AO258:AO262),"")</f>
        <v/>
      </c>
      <c r="AP263" s="204">
        <f>IF(ISNUMBER(AP258),SUM(AP258:AP262),"")</f>
        <v/>
      </c>
      <c r="AQ263" s="204">
        <f>IF(ISNUMBER(AQ258),SUM(AQ258:AQ262),"")</f>
        <v/>
      </c>
      <c r="AR263" s="204">
        <f>IF(ISNUMBER(AR258),SUM(AR258:AR262),"")</f>
        <v/>
      </c>
      <c r="AS263" s="204">
        <f>IF(ISNUMBER(AS258),SUM(AS258:AS262),"")</f>
        <v/>
      </c>
      <c r="AT263" s="204">
        <f>IF(ISNUMBER(AT258),SUM(AT258:AT262),"")</f>
        <v/>
      </c>
      <c r="AU263" s="204">
        <f>IF(ISNUMBER(AU258),SUM(AU258:AU262),"")</f>
        <v/>
      </c>
      <c r="AV263" s="204">
        <f>IF(ISNUMBER(AV258),SUM(AV258:AV262),"")</f>
        <v/>
      </c>
      <c r="AW263" s="204">
        <f>IF(ISNUMBER(AW258),SUM(AW258:AW262),"")</f>
        <v/>
      </c>
      <c r="AX263" s="204">
        <f>IF(ISNUMBER(AX258),SUM(AX258:AX262),"")</f>
        <v/>
      </c>
      <c r="AY263" s="204">
        <f>IF(ISNUMBER(AY258),SUM(AY258:AY262),"")</f>
        <v/>
      </c>
      <c r="AZ263" s="204">
        <f>IF(ISNUMBER(AZ258),SUM(AZ258:AZ262),"")</f>
        <v/>
      </c>
      <c r="BA263" s="204">
        <f>IF(ISNUMBER(BA258),SUM(BA258:BA262),"")</f>
        <v/>
      </c>
      <c r="BB263" s="204">
        <f>IF(ISNUMBER(BB258),SUM(BB258:BB262),"")</f>
        <v/>
      </c>
      <c r="BC263" s="204">
        <f>IF(ISNUMBER(BC258),SUM(BC258:BC262),"")</f>
        <v/>
      </c>
      <c r="BD263" s="204">
        <f>IF(ISNUMBER(BD258),SUM(BD258:BD262),"")</f>
        <v/>
      </c>
      <c r="BE263" s="204">
        <f>IF(ISNUMBER(BE258),SUM(BE258:BE262),"")</f>
        <v/>
      </c>
      <c r="BF263" s="204">
        <f>IF(ISNUMBER(BF258),SUM(BF258:BF262),"")</f>
        <v/>
      </c>
      <c r="BG263" s="204">
        <f>IF(ISNUMBER(BG258),SUM(BG258:BG262),"")</f>
        <v/>
      </c>
      <c r="BH263" s="204">
        <f>IF(ISNUMBER(BH258),SUM(BH258:BH262),"")</f>
        <v/>
      </c>
      <c r="BI263" s="204">
        <f>IF(ISNUMBER(BI258),SUM(BI258:BI262),"")</f>
        <v/>
      </c>
      <c r="BJ263" s="204">
        <f>IF(ISNUMBER(BJ258),SUM(BJ258:BJ262),"")</f>
        <v/>
      </c>
      <c r="BK263" s="204">
        <f>IF(ISNUMBER(BK258),SUM(BK258:BK262),"")</f>
        <v/>
      </c>
      <c r="BL263" s="204">
        <f>IF(ISNUMBER(BL258),SUM(BL258:BL262),"")</f>
        <v/>
      </c>
      <c r="BM263" s="204">
        <f>IF(ISNUMBER(BM258),SUM(BM258:BM262),"")</f>
        <v/>
      </c>
      <c r="BN263" s="204">
        <f>IF(ISNUMBER(BN258),SUM(BN258:BN262),"")</f>
        <v/>
      </c>
      <c r="BO263" s="204">
        <f>IF(ISNUMBER(BO258),SUM(BO258:BO262),"")</f>
        <v/>
      </c>
      <c r="BP263" s="204">
        <f>IF(ISNUMBER(BP258),SUM(BP258:BP262),"")</f>
        <v/>
      </c>
      <c r="BQ263" s="204">
        <f>IF(ISNUMBER(BQ258),SUM(BQ258:BQ262),"")</f>
        <v/>
      </c>
      <c r="BR263" s="204">
        <f>IF(ISNUMBER(BR258),SUM(BR258:BR262),"")</f>
        <v/>
      </c>
      <c r="BS263" s="204">
        <f>IF(ISNUMBER(BS258),SUM(BS258:BS262),"")</f>
        <v/>
      </c>
      <c r="BT263" s="204">
        <f>IF(ISNUMBER(BT258),SUM(BT258:BT262),"")</f>
        <v/>
      </c>
      <c r="BU263" s="204">
        <f>IF(ISNUMBER(BU258),SUM(BU258:BU262),"")</f>
        <v/>
      </c>
      <c r="BV263" s="204">
        <f>IF(ISNUMBER(BV258),SUM(BV258:BV262),"")</f>
        <v/>
      </c>
      <c r="BW263" s="204">
        <f>IF(ISNUMBER(BW258),SUM(BW258:BW262),"")</f>
        <v/>
      </c>
      <c r="BX263" s="204">
        <f>IF(ISNUMBER(BX258),SUM(BX258:BX262),"")</f>
        <v/>
      </c>
      <c r="BY263" s="34" t="n"/>
      <c r="BZ263" s="34" t="n"/>
      <c r="CA263" s="178">
        <f>IF(ISNUMBER(CA258),SUM(CA258:CA262),"")</f>
        <v/>
      </c>
      <c r="CB263" s="178">
        <f>IF(ISNUMBER(CB258),SUM(CB258:CB262),"")</f>
        <v/>
      </c>
      <c r="CC263" s="178">
        <f>IF(ISNUMBER(CC258),SUM(CC258:CC262),"")</f>
        <v/>
      </c>
      <c r="CD263" s="178">
        <f>IF(ISNUMBER(CD258),SUM(CD258:CD262),"")</f>
        <v/>
      </c>
      <c r="CE263" s="178">
        <f>IF(ISNUMBER(CE258),SUM(CE258:CE262),"")</f>
        <v/>
      </c>
      <c r="CF263" s="6" t="n"/>
    </row>
    <row r="264" ht="15" customHeight="1">
      <c r="B264" s="26" t="inlineStr">
        <is>
          <t xml:space="preserve">  Long-term debt (excluding current maturities)</t>
        </is>
      </c>
      <c r="C264" s="174" t="n">
        <v>261.885</v>
      </c>
      <c r="D264" s="174" t="n">
        <v>251.561</v>
      </c>
      <c r="E264" s="174" t="n">
        <v>240.017</v>
      </c>
      <c r="F264" s="174" t="n">
        <v>268.856</v>
      </c>
      <c r="G264" s="174" t="n">
        <v>234.087</v>
      </c>
      <c r="H264" s="174" t="n">
        <v>229.831</v>
      </c>
      <c r="I264" s="174" t="n">
        <v>201.429</v>
      </c>
      <c r="J264" s="174" t="n">
        <v>180.714</v>
      </c>
      <c r="K264" s="174" t="n">
        <v>190.394</v>
      </c>
      <c r="L264" s="174" t="n">
        <v>167.71</v>
      </c>
      <c r="M264" s="174" t="n">
        <v>155.714</v>
      </c>
      <c r="N264" s="174" t="n">
        <v>155.714</v>
      </c>
      <c r="O264" s="174" t="n">
        <v>145</v>
      </c>
      <c r="P264" s="174" t="n">
        <v>164</v>
      </c>
      <c r="Q264" s="174" t="n">
        <v>148.203</v>
      </c>
      <c r="R264" s="174" t="n">
        <v>120</v>
      </c>
      <c r="S264" s="174" t="n">
        <v>120</v>
      </c>
      <c r="T264" s="174" t="n">
        <v>120.596</v>
      </c>
      <c r="U264" s="174" t="n">
        <v>118</v>
      </c>
      <c r="V264" s="174" t="n">
        <v>95</v>
      </c>
      <c r="W264" s="174" t="n">
        <v>107.317</v>
      </c>
      <c r="X264" s="174" t="n">
        <v>107.317</v>
      </c>
      <c r="Y264" s="174" t="n">
        <v>99.726</v>
      </c>
      <c r="Z264" s="174" t="n">
        <v>218.332</v>
      </c>
      <c r="AA264" s="174" t="n">
        <v>193.129</v>
      </c>
      <c r="AB264" s="174" t="n">
        <v>104.975</v>
      </c>
      <c r="AC264" s="174" t="n">
        <v>104.975</v>
      </c>
      <c r="AD264" s="174" t="n">
        <v>45</v>
      </c>
      <c r="AE264" s="174" t="n">
        <v>45</v>
      </c>
      <c r="AF264" s="174" t="n">
        <v>45</v>
      </c>
      <c r="AG264" s="174" t="n">
        <v>45</v>
      </c>
      <c r="AH264" s="174" t="n">
        <v>45</v>
      </c>
      <c r="AI264" s="174" t="n">
        <v>45</v>
      </c>
      <c r="AJ264" s="174" t="n">
        <v>45</v>
      </c>
      <c r="AK264" s="174" t="n">
        <v>45</v>
      </c>
      <c r="AL264" s="174" t="n">
        <v>45</v>
      </c>
      <c r="AM264" s="174" t="n">
        <v>45</v>
      </c>
      <c r="AN264" s="174" t="n">
        <v>45</v>
      </c>
      <c r="AO264" s="174" t="n">
        <v>45</v>
      </c>
      <c r="AP264" s="174" t="n">
        <v>45</v>
      </c>
      <c r="AQ264" s="174" t="n">
        <v>45</v>
      </c>
      <c r="AR264" s="174" t="n">
        <v>45</v>
      </c>
      <c r="AS264" s="174" t="n">
        <v>0</v>
      </c>
      <c r="AT264" s="174" t="n">
        <v>99.923</v>
      </c>
      <c r="AU264" s="174" t="n">
        <v>99.92700000000001</v>
      </c>
      <c r="AV264" s="174" t="n">
        <v>99.931</v>
      </c>
      <c r="AW264" s="174" t="n">
        <v>99.931</v>
      </c>
      <c r="AX264" s="174" t="n">
        <v>99.935</v>
      </c>
      <c r="AY264" s="174" t="n">
        <v>99.93899999999999</v>
      </c>
      <c r="AZ264" s="174" t="n">
        <v>99.943</v>
      </c>
      <c r="BA264" s="174" t="n">
        <v>99.947</v>
      </c>
      <c r="BB264" s="174" t="n">
        <v>99.947</v>
      </c>
      <c r="BC264" s="174" t="n">
        <v>99.95099999999999</v>
      </c>
      <c r="BD264" s="174" t="n">
        <v>79.955</v>
      </c>
      <c r="BE264" s="174" t="n">
        <v>79.959</v>
      </c>
      <c r="BF264" s="174" t="n">
        <v>79.96299999999999</v>
      </c>
      <c r="BG264" s="174" t="n">
        <v>79.96299999999999</v>
      </c>
      <c r="BH264" s="174" t="n">
        <v>79.967</v>
      </c>
      <c r="BI264" s="174" t="n">
        <v>59.97</v>
      </c>
      <c r="BJ264" s="174" t="n">
        <v>59.974</v>
      </c>
      <c r="BK264" s="174" t="n">
        <v>59.977</v>
      </c>
      <c r="BL264" s="174" t="n">
        <v>59.977</v>
      </c>
      <c r="BM264" s="174" t="n">
        <v>59.98</v>
      </c>
      <c r="BN264" s="174" t="n">
        <v>39.983</v>
      </c>
      <c r="BO264" s="174" t="n">
        <v>39.985</v>
      </c>
      <c r="BP264" s="174" t="n">
        <v>39.987</v>
      </c>
      <c r="BQ264" s="174" t="n">
        <v>39.987</v>
      </c>
      <c r="BR264" s="174" t="n">
        <v>39.99</v>
      </c>
      <c r="BS264" s="174" t="n">
        <v>149.992</v>
      </c>
      <c r="BT264" s="174" t="n">
        <v>64.99299999999999</v>
      </c>
      <c r="BU264" s="174" t="n">
        <v>19.995</v>
      </c>
      <c r="BV264" s="174" t="n">
        <v>19.995</v>
      </c>
      <c r="BW264" s="174" t="n">
        <v>19.996</v>
      </c>
      <c r="BX264" s="174" t="n">
        <v>0</v>
      </c>
      <c r="BY264" s="37" t="n"/>
      <c r="BZ264" s="37" t="n"/>
      <c r="CA264" s="176">
        <f>CA304-CA261</f>
        <v/>
      </c>
      <c r="CB264" s="176">
        <f>CB304-CB261</f>
        <v/>
      </c>
      <c r="CC264" s="176">
        <f>CC304-CC261</f>
        <v/>
      </c>
      <c r="CD264" s="176">
        <f>CD304-CD261</f>
        <v/>
      </c>
      <c r="CE264" s="176">
        <f>CE304-CE261</f>
        <v/>
      </c>
      <c r="CF264" s="20" t="n"/>
    </row>
    <row r="265" ht="15" customHeight="1">
      <c r="B265" s="26" t="inlineStr">
        <is>
          <t xml:space="preserve">  Deferred income taxes</t>
        </is>
      </c>
      <c r="C265" s="174" t="n">
        <v>52.115</v>
      </c>
      <c r="D265" s="174" t="n">
        <v>62.312</v>
      </c>
      <c r="E265" s="174" t="n">
        <v>73.968</v>
      </c>
      <c r="F265" s="174" t="n">
        <v>80.72199999999999</v>
      </c>
      <c r="G265" s="174" t="n">
        <v>90.768</v>
      </c>
      <c r="H265" s="174" t="n">
        <v>134.916</v>
      </c>
      <c r="I265" s="174" t="n">
        <v>153.186</v>
      </c>
      <c r="J265" s="174" t="n">
        <v>148.72</v>
      </c>
      <c r="K265" s="174" t="n">
        <v>154.804</v>
      </c>
      <c r="L265" s="174" t="n">
        <v>185.408</v>
      </c>
      <c r="M265" s="174" t="n">
        <v>189.117</v>
      </c>
      <c r="N265" s="174" t="n">
        <v>189.117</v>
      </c>
      <c r="O265" s="174" t="n">
        <v>189.892</v>
      </c>
      <c r="P265" s="174" t="n">
        <v>178.115</v>
      </c>
      <c r="Q265" s="174" t="n">
        <v>185.828</v>
      </c>
      <c r="R265" s="174" t="n">
        <v>220.783</v>
      </c>
      <c r="S265" s="174" t="n">
        <v>220.783</v>
      </c>
      <c r="T265" s="174" t="n">
        <v>205.617</v>
      </c>
      <c r="U265" s="174" t="n">
        <v>211.609</v>
      </c>
      <c r="V265" s="174" t="n">
        <v>218.77</v>
      </c>
      <c r="W265" s="174" t="n">
        <v>235.054</v>
      </c>
      <c r="X265" s="174" t="n">
        <v>235.054</v>
      </c>
      <c r="Y265" s="174" t="n">
        <v>235.054</v>
      </c>
      <c r="Z265" s="174" t="n">
        <v>252.501</v>
      </c>
      <c r="AA265" s="174" t="n">
        <v>266.348</v>
      </c>
      <c r="AB265" s="174" t="n">
        <v>272.599</v>
      </c>
      <c r="AC265" s="174" t="n">
        <v>272.599</v>
      </c>
      <c r="AD265" s="174" t="n">
        <v>272.599</v>
      </c>
      <c r="AE265" s="174" t="n">
        <v>272.599</v>
      </c>
      <c r="AF265" s="174" t="n">
        <v>274.414</v>
      </c>
      <c r="AG265" s="174" t="n">
        <v>189.96</v>
      </c>
      <c r="AH265" s="174" t="n">
        <v>189.96</v>
      </c>
      <c r="AI265" s="174" t="n">
        <v>179.354</v>
      </c>
      <c r="AJ265" s="174" t="n">
        <v>196.945</v>
      </c>
      <c r="AK265" s="174" t="n">
        <v>227.531</v>
      </c>
      <c r="AL265" s="174" t="n">
        <v>247.669</v>
      </c>
      <c r="AM265" s="174" t="n">
        <v>247.669</v>
      </c>
      <c r="AN265" s="174" t="n">
        <v>247.669</v>
      </c>
      <c r="AO265" s="174" t="n">
        <v>247.669</v>
      </c>
      <c r="AP265" s="174" t="n">
        <v>247.669</v>
      </c>
      <c r="AQ265" s="174" t="n">
        <v>261.964</v>
      </c>
      <c r="AR265" s="174" t="n">
        <v>261.964</v>
      </c>
      <c r="AS265" s="174" t="n">
        <v>261.964</v>
      </c>
      <c r="AT265" s="174" t="n">
        <v>248.564</v>
      </c>
      <c r="AU265" s="174" t="n">
        <v>236.809</v>
      </c>
      <c r="AV265" s="174" t="n">
        <v>220.21</v>
      </c>
      <c r="AW265" s="174" t="n">
        <v>220.21</v>
      </c>
      <c r="AX265" s="174" t="n">
        <v>220.21</v>
      </c>
      <c r="AY265" s="174" t="n">
        <v>220.21</v>
      </c>
      <c r="AZ265" s="174" t="n">
        <v>228.667</v>
      </c>
      <c r="BA265" s="174" t="n">
        <v>248.718</v>
      </c>
      <c r="BB265" s="174" t="n">
        <v>248.718</v>
      </c>
      <c r="BC265" s="174" t="n">
        <v>248.718</v>
      </c>
      <c r="BD265" s="174" t="n">
        <v>248.718</v>
      </c>
      <c r="BE265" s="174" t="n">
        <v>268.384</v>
      </c>
      <c r="BF265" s="174" t="n">
        <v>310.515</v>
      </c>
      <c r="BG265" s="174" t="n">
        <v>310.515</v>
      </c>
      <c r="BH265" s="174" t="n">
        <v>310.515</v>
      </c>
      <c r="BI265" s="174" t="n">
        <v>310.515</v>
      </c>
      <c r="BJ265" s="174" t="n">
        <v>347.243</v>
      </c>
      <c r="BK265" s="174" t="n">
        <v>363.132</v>
      </c>
      <c r="BL265" s="174" t="n">
        <v>363.132</v>
      </c>
      <c r="BM265" s="174" t="n">
        <v>363.132</v>
      </c>
      <c r="BN265" s="174" t="n">
        <v>363.132</v>
      </c>
      <c r="BO265" s="174" t="n">
        <v>374.818</v>
      </c>
      <c r="BP265" s="174" t="n">
        <v>381.93</v>
      </c>
      <c r="BQ265" s="174" t="n">
        <v>381.93</v>
      </c>
      <c r="BR265" s="174" t="n">
        <v>381.93</v>
      </c>
      <c r="BS265" s="174" t="n">
        <v>381.93</v>
      </c>
      <c r="BT265" s="174" t="n">
        <v>354.48</v>
      </c>
      <c r="BU265" s="174" t="n">
        <v>370.683</v>
      </c>
      <c r="BV265" s="174" t="n">
        <v>370.683</v>
      </c>
      <c r="BW265" s="174" t="n">
        <v>370.683</v>
      </c>
      <c r="BX265" s="174" t="n">
        <v>370.683</v>
      </c>
      <c r="BY265" s="37" t="n"/>
      <c r="BZ265" s="37" t="n"/>
      <c r="CA265" s="176">
        <f>BX265+(CA203-N((BW203+BX203)))</f>
        <v/>
      </c>
      <c r="CB265" s="176">
        <f>CA265+CB203</f>
        <v/>
      </c>
      <c r="CC265" s="176">
        <f>CB265+CC203</f>
        <v/>
      </c>
      <c r="CD265" s="176">
        <f>CC265+CD203</f>
        <v/>
      </c>
      <c r="CE265" s="176">
        <f>CD265+CE203</f>
        <v/>
      </c>
      <c r="CF265" s="20" t="n"/>
    </row>
    <row r="266" ht="15" customHeight="1">
      <c r="B266" s="26" t="inlineStr">
        <is>
          <t xml:space="preserve">  Other non-current liabilities (derived; claims &amp; insurance, lease liabilities, deferred compensation)</t>
        </is>
      </c>
      <c r="C266" s="174" t="n">
        <v>39.027</v>
      </c>
      <c r="D266" s="174" t="n">
        <v>50</v>
      </c>
      <c r="E266" s="174" t="n">
        <v>60.601</v>
      </c>
      <c r="F266" s="174" t="n">
        <v>68.575</v>
      </c>
      <c r="G266" s="174" t="n">
        <v>76.331</v>
      </c>
      <c r="H266" s="174" t="n">
        <v>86.998</v>
      </c>
      <c r="I266" s="174" t="n">
        <v>106.791</v>
      </c>
      <c r="J266" s="174" t="n">
        <v>111.106</v>
      </c>
      <c r="K266" s="174" t="n">
        <v>111.627</v>
      </c>
      <c r="L266" s="174" t="n">
        <v>117.824</v>
      </c>
      <c r="M266" s="174" t="n">
        <v>123.054</v>
      </c>
      <c r="N266" s="174" t="n">
        <v>123.054</v>
      </c>
      <c r="O266" s="174" t="n">
        <v>125.402</v>
      </c>
      <c r="P266" s="174" t="n">
        <v>132.567</v>
      </c>
      <c r="Q266" s="174" t="n">
        <v>138.18</v>
      </c>
      <c r="R266" s="174" t="n">
        <v>145.752</v>
      </c>
      <c r="S266" s="174" t="n">
        <v>145.752</v>
      </c>
      <c r="T266" s="174" t="n">
        <v>149.228</v>
      </c>
      <c r="U266" s="174" t="n">
        <v>149.833</v>
      </c>
      <c r="V266" s="174" t="n">
        <v>149.13</v>
      </c>
      <c r="W266" s="174" t="n">
        <v>154.094</v>
      </c>
      <c r="X266" s="174" t="n">
        <v>154.094</v>
      </c>
      <c r="Y266" s="174" t="n">
        <v>157.161</v>
      </c>
      <c r="Z266" s="174" t="n">
        <v>155.849</v>
      </c>
      <c r="AA266" s="174" t="n">
        <v>162.422</v>
      </c>
      <c r="AB266" s="174" t="n">
        <v>178.879</v>
      </c>
      <c r="AC266" s="174" t="n">
        <v>178.879</v>
      </c>
      <c r="AD266" s="174" t="n">
        <v>183.263</v>
      </c>
      <c r="AE266" s="174" t="n">
        <v>185.198</v>
      </c>
      <c r="AF266" s="174" t="n">
        <v>194.091</v>
      </c>
      <c r="AG266" s="174" t="n">
        <v>205.561</v>
      </c>
      <c r="AH266" s="174" t="n">
        <v>205.561</v>
      </c>
      <c r="AI266" s="174" t="n">
        <v>215.614</v>
      </c>
      <c r="AJ266" s="174" t="n">
        <v>230.724</v>
      </c>
      <c r="AK266" s="174" t="n">
        <v>237.392</v>
      </c>
      <c r="AL266" s="174" t="n">
        <v>215.399</v>
      </c>
      <c r="AM266" s="174" t="n">
        <v>215.399</v>
      </c>
      <c r="AN266" s="174" t="n">
        <v>282.847</v>
      </c>
      <c r="AO266" s="174" t="n">
        <v>281.444</v>
      </c>
      <c r="AP266" s="174" t="n">
        <v>293.359</v>
      </c>
      <c r="AQ266" s="174" t="n">
        <v>241.802</v>
      </c>
      <c r="AR266" s="174" t="n">
        <v>241.802</v>
      </c>
      <c r="AS266" s="174" t="n">
        <v>228.678</v>
      </c>
      <c r="AT266" s="174" t="n">
        <v>254.899</v>
      </c>
      <c r="AU266" s="174" t="n">
        <v>316.831</v>
      </c>
      <c r="AV266" s="174" t="n">
        <v>349.851</v>
      </c>
      <c r="AW266" s="174" t="n">
        <v>349.851</v>
      </c>
      <c r="AX266" s="174" t="n">
        <v>325.939</v>
      </c>
      <c r="AY266" s="174" t="n">
        <v>329.901</v>
      </c>
      <c r="AZ266" s="174" t="n">
        <v>330.321</v>
      </c>
      <c r="BA266" s="174" t="n">
        <v>328.838</v>
      </c>
      <c r="BB266" s="174" t="n">
        <v>328.838</v>
      </c>
      <c r="BC266" s="174" t="n">
        <v>292.078</v>
      </c>
      <c r="BD266" s="174" t="n">
        <v>281.187</v>
      </c>
      <c r="BE266" s="174" t="n">
        <v>265.553</v>
      </c>
      <c r="BF266" s="174" t="n">
        <v>265.422</v>
      </c>
      <c r="BG266" s="174" t="n">
        <v>265.422</v>
      </c>
      <c r="BH266" s="174" t="n">
        <v>250.587</v>
      </c>
      <c r="BI266" s="174" t="n">
        <v>273.394</v>
      </c>
      <c r="BJ266" s="174" t="n">
        <v>276.184</v>
      </c>
      <c r="BK266" s="174" t="n">
        <v>286.815</v>
      </c>
      <c r="BL266" s="174" t="n">
        <v>286.815</v>
      </c>
      <c r="BM266" s="174" t="n">
        <v>275.933</v>
      </c>
      <c r="BN266" s="174" t="n">
        <v>275.328</v>
      </c>
      <c r="BO266" s="174" t="n">
        <v>281.708</v>
      </c>
      <c r="BP266" s="174" t="n">
        <v>284.361</v>
      </c>
      <c r="BQ266" s="174" t="n">
        <v>284.361</v>
      </c>
      <c r="BR266" s="174" t="n">
        <v>276.697</v>
      </c>
      <c r="BS266" s="174" t="n">
        <v>281.68</v>
      </c>
      <c r="BT266" s="174" t="n">
        <v>282.604</v>
      </c>
      <c r="BU266" s="174" t="n">
        <v>284.519</v>
      </c>
      <c r="BV266" s="174" t="n">
        <v>284.519</v>
      </c>
      <c r="BW266" s="174" t="n">
        <v>274.823</v>
      </c>
      <c r="BX266" s="174" t="n">
        <v>286.105</v>
      </c>
      <c r="BY266" s="37" t="n"/>
      <c r="BZ266" s="37" t="n"/>
      <c r="CA266" s="176">
        <f>BX266</f>
        <v/>
      </c>
      <c r="CB266" s="176">
        <f>CA266</f>
        <v/>
      </c>
      <c r="CC266" s="176">
        <f>CB266</f>
        <v/>
      </c>
      <c r="CD266" s="176">
        <f>CC266</f>
        <v/>
      </c>
      <c r="CE266" s="176">
        <f>CD266</f>
        <v/>
      </c>
      <c r="CF266" s="20" t="n"/>
    </row>
    <row r="267" ht="15" customHeight="1">
      <c r="B267" s="17" t="inlineStr">
        <is>
          <t>Total liabilities</t>
        </is>
      </c>
      <c r="C267" s="204">
        <f>IF(ISNUMBER(C258),C263+SUM(C264:C266),"")</f>
        <v/>
      </c>
      <c r="D267" s="204">
        <f>IF(ISNUMBER(D258),D263+SUM(D264:D266),"")</f>
        <v/>
      </c>
      <c r="E267" s="204">
        <f>IF(ISNUMBER(E258),E263+SUM(E264:E266),"")</f>
        <v/>
      </c>
      <c r="F267" s="204">
        <f>IF(ISNUMBER(F258),F263+SUM(F264:F266),"")</f>
        <v/>
      </c>
      <c r="G267" s="204">
        <f>IF(ISNUMBER(G258),G263+SUM(G264:G266),"")</f>
        <v/>
      </c>
      <c r="H267" s="204">
        <f>IF(ISNUMBER(H258),H263+SUM(H264:H266),"")</f>
        <v/>
      </c>
      <c r="I267" s="204">
        <f>IF(ISNUMBER(I258),I263+SUM(I264:I266),"")</f>
        <v/>
      </c>
      <c r="J267" s="204">
        <f>IF(ISNUMBER(J258),J263+SUM(J264:J266),"")</f>
        <v/>
      </c>
      <c r="K267" s="204">
        <f>IF(ISNUMBER(K258),K263+SUM(K264:K266),"")</f>
        <v/>
      </c>
      <c r="L267" s="204">
        <f>IF(ISNUMBER(L258),L263+SUM(L264:L266),"")</f>
        <v/>
      </c>
      <c r="M267" s="204">
        <f>IF(ISNUMBER(M258),M263+SUM(M264:M266),"")</f>
        <v/>
      </c>
      <c r="N267" s="204">
        <f>IF(ISNUMBER(N258),N263+SUM(N264:N266),"")</f>
        <v/>
      </c>
      <c r="O267" s="204">
        <f>IF(ISNUMBER(O258),O263+SUM(O264:O266),"")</f>
        <v/>
      </c>
      <c r="P267" s="204">
        <f>IF(ISNUMBER(P258),P263+SUM(P264:P266),"")</f>
        <v/>
      </c>
      <c r="Q267" s="204">
        <f>IF(ISNUMBER(Q258),Q263+SUM(Q264:Q266),"")</f>
        <v/>
      </c>
      <c r="R267" s="204">
        <f>IF(ISNUMBER(R258),R263+SUM(R264:R266),"")</f>
        <v/>
      </c>
      <c r="S267" s="204">
        <f>IF(ISNUMBER(S258),S263+SUM(S264:S266),"")</f>
        <v/>
      </c>
      <c r="T267" s="204">
        <f>IF(ISNUMBER(T258),T263+SUM(T264:T266),"")</f>
        <v/>
      </c>
      <c r="U267" s="204">
        <f>IF(ISNUMBER(U258),U263+SUM(U264:U266),"")</f>
        <v/>
      </c>
      <c r="V267" s="204">
        <f>IF(ISNUMBER(V258),V263+SUM(V264:V266),"")</f>
        <v/>
      </c>
      <c r="W267" s="204">
        <f>IF(ISNUMBER(W258),W263+SUM(W264:W266),"")</f>
        <v/>
      </c>
      <c r="X267" s="204">
        <f>IF(ISNUMBER(X258),X263+SUM(X264:X266),"")</f>
        <v/>
      </c>
      <c r="Y267" s="204">
        <f>IF(ISNUMBER(Y258),Y263+SUM(Y264:Y266),"")</f>
        <v/>
      </c>
      <c r="Z267" s="204">
        <f>IF(ISNUMBER(Z258),Z263+SUM(Z264:Z266),"")</f>
        <v/>
      </c>
      <c r="AA267" s="204">
        <f>IF(ISNUMBER(AA258),AA263+SUM(AA264:AA266),"")</f>
        <v/>
      </c>
      <c r="AB267" s="204">
        <f>IF(ISNUMBER(AB258),AB263+SUM(AB264:AB266),"")</f>
        <v/>
      </c>
      <c r="AC267" s="204">
        <f>IF(ISNUMBER(AC258),AC263+SUM(AC264:AC266),"")</f>
        <v/>
      </c>
      <c r="AD267" s="204">
        <f>IF(ISNUMBER(AD258),AD263+SUM(AD264:AD266),"")</f>
        <v/>
      </c>
      <c r="AE267" s="204">
        <f>IF(ISNUMBER(AE258),AE263+SUM(AE264:AE266),"")</f>
        <v/>
      </c>
      <c r="AF267" s="204">
        <f>IF(ISNUMBER(AF258),AF263+SUM(AF264:AF266),"")</f>
        <v/>
      </c>
      <c r="AG267" s="204">
        <f>IF(ISNUMBER(AG258),AG263+SUM(AG264:AG266),"")</f>
        <v/>
      </c>
      <c r="AH267" s="204">
        <f>IF(ISNUMBER(AH258),AH263+SUM(AH264:AH266),"")</f>
        <v/>
      </c>
      <c r="AI267" s="204">
        <f>IF(ISNUMBER(AI258),AI263+SUM(AI264:AI266),"")</f>
        <v/>
      </c>
      <c r="AJ267" s="204">
        <f>IF(ISNUMBER(AJ258),AJ263+SUM(AJ264:AJ266),"")</f>
        <v/>
      </c>
      <c r="AK267" s="204">
        <f>IF(ISNUMBER(AK258),AK263+SUM(AK264:AK266),"")</f>
        <v/>
      </c>
      <c r="AL267" s="204">
        <f>IF(ISNUMBER(AL258),AL263+SUM(AL264:AL266),"")</f>
        <v/>
      </c>
      <c r="AM267" s="204">
        <f>IF(ISNUMBER(AM258),AM263+SUM(AM264:AM266),"")</f>
        <v/>
      </c>
      <c r="AN267" s="204">
        <f>IF(ISNUMBER(AN258),AN263+SUM(AN264:AN266),"")</f>
        <v/>
      </c>
      <c r="AO267" s="204">
        <f>IF(ISNUMBER(AO258),AO263+SUM(AO264:AO266),"")</f>
        <v/>
      </c>
      <c r="AP267" s="204">
        <f>IF(ISNUMBER(AP258),AP263+SUM(AP264:AP266),"")</f>
        <v/>
      </c>
      <c r="AQ267" s="204">
        <f>IF(ISNUMBER(AQ258),AQ263+SUM(AQ264:AQ266),"")</f>
        <v/>
      </c>
      <c r="AR267" s="204">
        <f>IF(ISNUMBER(AR258),AR263+SUM(AR264:AR266),"")</f>
        <v/>
      </c>
      <c r="AS267" s="204">
        <f>IF(ISNUMBER(AS258),AS263+SUM(AS264:AS266),"")</f>
        <v/>
      </c>
      <c r="AT267" s="204">
        <f>IF(ISNUMBER(AT258),AT263+SUM(AT264:AT266),"")</f>
        <v/>
      </c>
      <c r="AU267" s="204">
        <f>IF(ISNUMBER(AU258),AU263+SUM(AU264:AU266),"")</f>
        <v/>
      </c>
      <c r="AV267" s="204">
        <f>IF(ISNUMBER(AV258),AV263+SUM(AV264:AV266),"")</f>
        <v/>
      </c>
      <c r="AW267" s="204">
        <f>IF(ISNUMBER(AW258),AW263+SUM(AW264:AW266),"")</f>
        <v/>
      </c>
      <c r="AX267" s="204">
        <f>IF(ISNUMBER(AX258),AX263+SUM(AX264:AX266),"")</f>
        <v/>
      </c>
      <c r="AY267" s="204">
        <f>IF(ISNUMBER(AY258),AY263+SUM(AY264:AY266),"")</f>
        <v/>
      </c>
      <c r="AZ267" s="204">
        <f>IF(ISNUMBER(AZ258),AZ263+SUM(AZ264:AZ266),"")</f>
        <v/>
      </c>
      <c r="BA267" s="204">
        <f>IF(ISNUMBER(BA258),BA263+SUM(BA264:BA266),"")</f>
        <v/>
      </c>
      <c r="BB267" s="204">
        <f>IF(ISNUMBER(BB258),BB263+SUM(BB264:BB266),"")</f>
        <v/>
      </c>
      <c r="BC267" s="204">
        <f>IF(ISNUMBER(BC258),BC263+SUM(BC264:BC266),"")</f>
        <v/>
      </c>
      <c r="BD267" s="204">
        <f>IF(ISNUMBER(BD258),BD263+SUM(BD264:BD266),"")</f>
        <v/>
      </c>
      <c r="BE267" s="204">
        <f>IF(ISNUMBER(BE258),BE263+SUM(BE264:BE266),"")</f>
        <v/>
      </c>
      <c r="BF267" s="204">
        <f>IF(ISNUMBER(BF258),BF263+SUM(BF264:BF266),"")</f>
        <v/>
      </c>
      <c r="BG267" s="204">
        <f>IF(ISNUMBER(BG258),BG263+SUM(BG264:BG266),"")</f>
        <v/>
      </c>
      <c r="BH267" s="204">
        <f>IF(ISNUMBER(BH258),BH263+SUM(BH264:BH266),"")</f>
        <v/>
      </c>
      <c r="BI267" s="204">
        <f>IF(ISNUMBER(BI258),BI263+SUM(BI264:BI266),"")</f>
        <v/>
      </c>
      <c r="BJ267" s="204">
        <f>IF(ISNUMBER(BJ258),BJ263+SUM(BJ264:BJ266),"")</f>
        <v/>
      </c>
      <c r="BK267" s="204">
        <f>IF(ISNUMBER(BK258),BK263+SUM(BK264:BK266),"")</f>
        <v/>
      </c>
      <c r="BL267" s="204">
        <f>IF(ISNUMBER(BL258),BL263+SUM(BL264:BL266),"")</f>
        <v/>
      </c>
      <c r="BM267" s="204">
        <f>IF(ISNUMBER(BM258),BM263+SUM(BM264:BM266),"")</f>
        <v/>
      </c>
      <c r="BN267" s="204">
        <f>IF(ISNUMBER(BN258),BN263+SUM(BN264:BN266),"")</f>
        <v/>
      </c>
      <c r="BO267" s="204">
        <f>IF(ISNUMBER(BO258),BO263+SUM(BO264:BO266),"")</f>
        <v/>
      </c>
      <c r="BP267" s="204">
        <f>IF(ISNUMBER(BP258),BP263+SUM(BP264:BP266),"")</f>
        <v/>
      </c>
      <c r="BQ267" s="204">
        <f>IF(ISNUMBER(BQ258),BQ263+SUM(BQ264:BQ266),"")</f>
        <v/>
      </c>
      <c r="BR267" s="204">
        <f>IF(ISNUMBER(BR258),BR263+SUM(BR264:BR266),"")</f>
        <v/>
      </c>
      <c r="BS267" s="204">
        <f>IF(ISNUMBER(BS258),BS263+SUM(BS264:BS266),"")</f>
        <v/>
      </c>
      <c r="BT267" s="204">
        <f>IF(ISNUMBER(BT258),BT263+SUM(BT264:BT266),"")</f>
        <v/>
      </c>
      <c r="BU267" s="204">
        <f>IF(ISNUMBER(BU258),BU263+SUM(BU264:BU266),"")</f>
        <v/>
      </c>
      <c r="BV267" s="204">
        <f>IF(ISNUMBER(BV258),BV263+SUM(BV264:BV266),"")</f>
        <v/>
      </c>
      <c r="BW267" s="204">
        <f>IF(ISNUMBER(BW258),BW263+SUM(BW264:BW266),"")</f>
        <v/>
      </c>
      <c r="BX267" s="204">
        <f>IF(ISNUMBER(BX258),BX263+SUM(BX264:BX266),"")</f>
        <v/>
      </c>
      <c r="BY267" s="34" t="n"/>
      <c r="BZ267" s="34" t="n"/>
      <c r="CA267" s="178">
        <f>IF(ISNUMBER(CA258),CA263+SUM(CA264:CA266),"")</f>
        <v/>
      </c>
      <c r="CB267" s="178">
        <f>IF(ISNUMBER(CB258),CB263+SUM(CB264:CB266),"")</f>
        <v/>
      </c>
      <c r="CC267" s="178">
        <f>IF(ISNUMBER(CC258),CC263+SUM(CC264:CC266),"")</f>
        <v/>
      </c>
      <c r="CD267" s="178">
        <f>IF(ISNUMBER(CD258),CD263+SUM(CD264:CD266),"")</f>
        <v/>
      </c>
      <c r="CE267" s="178">
        <f>IF(ISNUMBER(CE258),CE263+SUM(CE264:CE266),"")</f>
        <v/>
      </c>
      <c r="CF267" s="6" t="n"/>
    </row>
    <row r="268" ht="15" customHeight="1">
      <c r="B268" s="26" t="inlineStr">
        <is>
          <t>Shareholders' equity:</t>
        </is>
      </c>
      <c r="CF268" s="6" t="n"/>
    </row>
    <row r="269" ht="15" customHeight="1">
      <c r="B269" s="26" t="inlineStr">
        <is>
          <t xml:space="preserve">  Common stock &amp; capital in excess of par value</t>
        </is>
      </c>
      <c r="C269" s="174" t="n">
        <v>94.621</v>
      </c>
      <c r="D269" s="174" t="n">
        <v>94.621</v>
      </c>
      <c r="E269" s="174" t="n">
        <v>94.621</v>
      </c>
      <c r="F269" s="174" t="n">
        <v>94.621</v>
      </c>
      <c r="G269" s="174" t="n">
        <v>94.619</v>
      </c>
      <c r="H269" s="174" t="n">
        <v>143.019</v>
      </c>
      <c r="I269" s="174" t="n">
        <v>143.017</v>
      </c>
      <c r="J269" s="174" t="n">
        <v>143.017</v>
      </c>
      <c r="K269" s="174" t="n">
        <v>143.017</v>
      </c>
      <c r="L269" s="174" t="n">
        <v>143.017</v>
      </c>
      <c r="M269" s="174" t="n">
        <v>143.017</v>
      </c>
      <c r="N269" s="174" t="n">
        <v>143.017</v>
      </c>
      <c r="O269" s="174" t="n">
        <v>143.017</v>
      </c>
      <c r="P269" s="174" t="n">
        <v>143.017</v>
      </c>
      <c r="Q269" s="174" t="n">
        <v>143.017</v>
      </c>
      <c r="R269" s="174" t="n">
        <v>143.01</v>
      </c>
      <c r="S269" s="174" t="n">
        <v>143.01</v>
      </c>
      <c r="T269" s="174" t="n">
        <v>142.992</v>
      </c>
      <c r="U269" s="174" t="n">
        <v>142.951</v>
      </c>
      <c r="V269" s="174" t="n">
        <v>142.897</v>
      </c>
      <c r="W269" s="174" t="n">
        <v>142.842</v>
      </c>
      <c r="X269" s="174" t="n">
        <v>142.842</v>
      </c>
      <c r="Y269" s="174" t="n">
        <v>142.766</v>
      </c>
      <c r="Z269" s="174" t="n">
        <v>142.846</v>
      </c>
      <c r="AA269" s="174" t="n">
        <v>143.258</v>
      </c>
      <c r="AB269" s="174" t="n">
        <v>143.708</v>
      </c>
      <c r="AC269" s="174" t="n">
        <v>143.708</v>
      </c>
      <c r="AD269" s="174" t="n">
        <v>144.418</v>
      </c>
      <c r="AE269" s="174" t="n">
        <v>144.946</v>
      </c>
      <c r="AF269" s="174" t="n">
        <v>145.771</v>
      </c>
      <c r="AG269" s="174" t="n">
        <v>146.597</v>
      </c>
      <c r="AH269" s="174" t="n">
        <v>146.597</v>
      </c>
      <c r="AI269" s="174" t="n">
        <v>147.15</v>
      </c>
      <c r="AJ269" s="174" t="n">
        <v>147.765</v>
      </c>
      <c r="AK269" s="174" t="n">
        <v>149.03</v>
      </c>
      <c r="AL269" s="174" t="n">
        <v>150.299</v>
      </c>
      <c r="AM269" s="174" t="n">
        <v>150.299</v>
      </c>
      <c r="AN269" s="174" t="n">
        <v>151.23</v>
      </c>
      <c r="AO269" s="174" t="n">
        <v>152.952</v>
      </c>
      <c r="AP269" s="174" t="n">
        <v>154.073</v>
      </c>
      <c r="AQ269" s="174" t="n">
        <v>230.399</v>
      </c>
      <c r="AR269" s="174" t="n">
        <v>230.399</v>
      </c>
      <c r="AS269" s="174" t="n">
        <v>229</v>
      </c>
      <c r="AT269" s="174" t="n">
        <v>193.629</v>
      </c>
      <c r="AU269" s="174" t="n">
        <v>197.724</v>
      </c>
      <c r="AV269" s="174" t="n">
        <v>238.157</v>
      </c>
      <c r="AW269" s="174" t="n">
        <v>238.157</v>
      </c>
      <c r="AX269" s="174" t="n">
        <v>167.722</v>
      </c>
      <c r="AY269" s="174" t="n">
        <v>171.785</v>
      </c>
      <c r="AZ269" s="174" t="n">
        <v>181.841</v>
      </c>
      <c r="BA269" s="174" t="n">
        <v>185.946</v>
      </c>
      <c r="BB269" s="174" t="n">
        <v>185.946</v>
      </c>
      <c r="BC269" s="174" t="n">
        <v>144.548</v>
      </c>
      <c r="BD269" s="174" t="n">
        <v>248.215</v>
      </c>
      <c r="BE269" s="174" t="n">
        <v>251.885</v>
      </c>
      <c r="BF269" s="174" t="n">
        <v>255.612</v>
      </c>
      <c r="BG269" s="174" t="n">
        <v>255.612</v>
      </c>
      <c r="BH269" s="174" t="n">
        <v>251.007</v>
      </c>
      <c r="BI269" s="174" t="n">
        <v>249.973</v>
      </c>
      <c r="BJ269" s="174" t="n">
        <v>251.94</v>
      </c>
      <c r="BK269" s="174" t="n">
        <v>253.855</v>
      </c>
      <c r="BL269" s="174" t="n">
        <v>253.855</v>
      </c>
      <c r="BM269" s="174" t="n">
        <v>247.257</v>
      </c>
      <c r="BN269" s="174" t="n">
        <v>208.06</v>
      </c>
      <c r="BO269" s="174" t="n">
        <v>208.364</v>
      </c>
      <c r="BP269" s="174" t="n">
        <v>249.379</v>
      </c>
      <c r="BQ269" s="174" t="n">
        <v>249.379</v>
      </c>
      <c r="BR269" s="174" t="n">
        <v>247.769</v>
      </c>
      <c r="BS269" s="174" t="n">
        <v>249.685</v>
      </c>
      <c r="BT269" s="174" t="n">
        <v>252.535</v>
      </c>
      <c r="BU269" s="174" t="n">
        <v>255.453</v>
      </c>
      <c r="BV269" s="174" t="n">
        <v>255.453</v>
      </c>
      <c r="BW269" s="174" t="n">
        <v>255.157</v>
      </c>
      <c r="BX269" s="174" t="n">
        <v>258.257</v>
      </c>
      <c r="BY269" s="37" t="n"/>
      <c r="BZ269" s="37" t="n"/>
      <c r="CA269" s="176">
        <f>BX269+(CA204-N((BW204+BX204)))+(CA218-(BW218+BX218))</f>
        <v/>
      </c>
      <c r="CB269" s="176">
        <f>CA269+CB204+CB218</f>
        <v/>
      </c>
      <c r="CC269" s="176">
        <f>CB269+CC204+CC218</f>
        <v/>
      </c>
      <c r="CD269" s="176">
        <f>CC269+CD204+CD218</f>
        <v/>
      </c>
      <c r="CE269" s="176">
        <f>CD269+CE204+CE218</f>
        <v/>
      </c>
      <c r="CF269" s="20" t="inlineStr">
        <is>
          <t>+ share-based compensation + other financing (net share settlement of awards).</t>
        </is>
      </c>
    </row>
    <row r="270" ht="15" customHeight="1">
      <c r="B270" s="26" t="inlineStr">
        <is>
          <t xml:space="preserve">  Retained earnings</t>
        </is>
      </c>
      <c r="C270" s="174" t="n">
        <v>322.999</v>
      </c>
      <c r="D270" s="174" t="n">
        <v>394.831</v>
      </c>
      <c r="E270" s="174" t="n">
        <v>463.508</v>
      </c>
      <c r="F270" s="174" t="n">
        <v>498.379</v>
      </c>
      <c r="G270" s="174" t="n">
        <v>574.03</v>
      </c>
      <c r="H270" s="174" t="n">
        <v>713.5</v>
      </c>
      <c r="I270" s="174" t="n">
        <v>882.952</v>
      </c>
      <c r="J270" s="174" t="n">
        <v>923.505</v>
      </c>
      <c r="K270" s="174" t="n">
        <v>981.76</v>
      </c>
      <c r="L270" s="174" t="n">
        <v>1041.909</v>
      </c>
      <c r="M270" s="174" t="n">
        <v>1089.065</v>
      </c>
      <c r="N270" s="174" t="n">
        <v>1089.065</v>
      </c>
      <c r="O270" s="174" t="n">
        <v>1134.952</v>
      </c>
      <c r="P270" s="174" t="n">
        <v>1208.801</v>
      </c>
      <c r="Q270" s="174" t="n">
        <v>1286.71</v>
      </c>
      <c r="R270" s="174" t="n">
        <v>1351.054</v>
      </c>
      <c r="S270" s="174" t="n">
        <v>1351.054</v>
      </c>
      <c r="T270" s="174" t="n">
        <v>1400.269</v>
      </c>
      <c r="U270" s="174" t="n">
        <v>1456.812</v>
      </c>
      <c r="V270" s="174" t="n">
        <v>1504.516</v>
      </c>
      <c r="W270" s="174" t="n">
        <v>1541.795</v>
      </c>
      <c r="X270" s="174" t="n">
        <v>1541.795</v>
      </c>
      <c r="Y270" s="174" t="n">
        <v>1557.51</v>
      </c>
      <c r="Z270" s="174" t="n">
        <v>1598.923</v>
      </c>
      <c r="AA270" s="174" t="n">
        <v>1650.217</v>
      </c>
      <c r="AB270" s="174" t="n">
        <v>1707.45</v>
      </c>
      <c r="AC270" s="174" t="n">
        <v>1707.45</v>
      </c>
      <c r="AD270" s="174" t="n">
        <v>1764.945</v>
      </c>
      <c r="AE270" s="174" t="n">
        <v>1848.045</v>
      </c>
      <c r="AF270" s="174" t="n">
        <v>1941.245</v>
      </c>
      <c r="AG270" s="174" t="n">
        <v>2130.257</v>
      </c>
      <c r="AH270" s="174" t="n">
        <v>2130.257</v>
      </c>
      <c r="AI270" s="174" t="n">
        <v>2211.601</v>
      </c>
      <c r="AJ270" s="174" t="n">
        <v>2334.286</v>
      </c>
      <c r="AK270" s="174" t="n">
        <v>2467.902</v>
      </c>
      <c r="AL270" s="174" t="n">
        <v>2530.184</v>
      </c>
      <c r="AM270" s="174" t="n">
        <v>2530.184</v>
      </c>
      <c r="AN270" s="174" t="n">
        <v>2619.141</v>
      </c>
      <c r="AO270" s="174" t="n">
        <v>2645.533</v>
      </c>
      <c r="AP270" s="174" t="n">
        <v>2755.455</v>
      </c>
      <c r="AQ270" s="174" t="n">
        <v>2850.318</v>
      </c>
      <c r="AR270" s="174" t="n">
        <v>2850.318</v>
      </c>
      <c r="AS270" s="174" t="n">
        <v>2787.049</v>
      </c>
      <c r="AT270" s="174" t="n">
        <v>2788.839</v>
      </c>
      <c r="AU270" s="174" t="n">
        <v>2973.109</v>
      </c>
      <c r="AV270" s="174" t="n">
        <v>3088.131</v>
      </c>
      <c r="AW270" s="174" t="n">
        <v>3088.131</v>
      </c>
      <c r="AX270" s="174" t="n">
        <v>3024.195</v>
      </c>
      <c r="AY270" s="174" t="n">
        <v>3230.593</v>
      </c>
      <c r="AZ270" s="174" t="n">
        <v>3238.057</v>
      </c>
      <c r="BA270" s="174" t="n">
        <v>3493.861</v>
      </c>
      <c r="BB270" s="174" t="n">
        <v>3493.861</v>
      </c>
      <c r="BC270" s="174" t="n">
        <v>3358.759</v>
      </c>
      <c r="BD270" s="174" t="n">
        <v>3307.614</v>
      </c>
      <c r="BE270" s="174" t="n">
        <v>3306.285</v>
      </c>
      <c r="BF270" s="174" t="n">
        <v>3397.305</v>
      </c>
      <c r="BG270" s="174" t="n">
        <v>3397.305</v>
      </c>
      <c r="BH270" s="174" t="n">
        <v>3495.492</v>
      </c>
      <c r="BI270" s="174" t="n">
        <v>3582.062</v>
      </c>
      <c r="BJ270" s="174" t="n">
        <v>3811.183</v>
      </c>
      <c r="BK270" s="174" t="n">
        <v>4003.956</v>
      </c>
      <c r="BL270" s="174" t="n">
        <v>4003.956</v>
      </c>
      <c r="BM270" s="174" t="n">
        <v>4154.38</v>
      </c>
      <c r="BN270" s="174" t="n">
        <v>3903.839</v>
      </c>
      <c r="BO270" s="174" t="n">
        <v>3967.376</v>
      </c>
      <c r="BP270" s="174" t="n">
        <v>3995.209</v>
      </c>
      <c r="BQ270" s="174" t="n">
        <v>3995.209</v>
      </c>
      <c r="BR270" s="174" t="n">
        <v>3987.555</v>
      </c>
      <c r="BS270" s="174" t="n">
        <v>3980.946</v>
      </c>
      <c r="BT270" s="174" t="n">
        <v>4010.661</v>
      </c>
      <c r="BU270" s="174" t="n">
        <v>4055.604</v>
      </c>
      <c r="BV270" s="174" t="n">
        <v>4055.604</v>
      </c>
      <c r="BW270" s="174" t="n">
        <v>4144.565</v>
      </c>
      <c r="BX270" s="174" t="n">
        <v>4289.095</v>
      </c>
      <c r="BY270" s="37" t="n"/>
      <c r="BZ270" s="37" t="n"/>
      <c r="CA270" s="176">
        <f>BX270+BY122+BZ122+(CA216-(BW216+BX216))+(CA217-(BW217+BX217))</f>
        <v/>
      </c>
      <c r="CB270" s="176">
        <f>CA270+CB122+CB216+CB217</f>
        <v/>
      </c>
      <c r="CC270" s="176">
        <f>CB270+CC122+CC216+CC217</f>
        <v/>
      </c>
      <c r="CD270" s="176">
        <f>CC270+CD122+CD216+CD217</f>
        <v/>
      </c>
      <c r="CE270" s="176">
        <f>CD270+CE122+CE216+CE217</f>
        <v/>
      </c>
      <c r="CF270" s="20" t="inlineStr">
        <is>
          <t>+ net income − dividends − repurchases (ODFL cancels repurchased shares; cost in excess of par charged mainly to retained earnings).</t>
        </is>
      </c>
    </row>
    <row r="271" ht="15" customHeight="1">
      <c r="B271" s="17" t="inlineStr">
        <is>
          <t>Total shareholders' equity</t>
        </is>
      </c>
      <c r="C271" s="204">
        <f>IF(ISNUMBER(C269),C269+C270,"")</f>
        <v/>
      </c>
      <c r="D271" s="204">
        <f>IF(ISNUMBER(D269),D269+D270,"")</f>
        <v/>
      </c>
      <c r="E271" s="204">
        <f>IF(ISNUMBER(E269),E269+E270,"")</f>
        <v/>
      </c>
      <c r="F271" s="204">
        <f>IF(ISNUMBER(F269),F269+F270,"")</f>
        <v/>
      </c>
      <c r="G271" s="204">
        <f>IF(ISNUMBER(G269),G269+G270,"")</f>
        <v/>
      </c>
      <c r="H271" s="204">
        <f>IF(ISNUMBER(H269),H269+H270,"")</f>
        <v/>
      </c>
      <c r="I271" s="204">
        <f>IF(ISNUMBER(I269),I269+I270,"")</f>
        <v/>
      </c>
      <c r="J271" s="204">
        <f>IF(ISNUMBER(J269),J269+J270,"")</f>
        <v/>
      </c>
      <c r="K271" s="204">
        <f>IF(ISNUMBER(K269),K269+K270,"")</f>
        <v/>
      </c>
      <c r="L271" s="204">
        <f>IF(ISNUMBER(L269),L269+L270,"")</f>
        <v/>
      </c>
      <c r="M271" s="204">
        <f>IF(ISNUMBER(M269),M269+M270,"")</f>
        <v/>
      </c>
      <c r="N271" s="204">
        <f>IF(ISNUMBER(N269),N269+N270,"")</f>
        <v/>
      </c>
      <c r="O271" s="204">
        <f>IF(ISNUMBER(O269),O269+O270,"")</f>
        <v/>
      </c>
      <c r="P271" s="204">
        <f>IF(ISNUMBER(P269),P269+P270,"")</f>
        <v/>
      </c>
      <c r="Q271" s="204">
        <f>IF(ISNUMBER(Q269),Q269+Q270,"")</f>
        <v/>
      </c>
      <c r="R271" s="204">
        <f>IF(ISNUMBER(R269),R269+R270,"")</f>
        <v/>
      </c>
      <c r="S271" s="204">
        <f>IF(ISNUMBER(S269),S269+S270,"")</f>
        <v/>
      </c>
      <c r="T271" s="204">
        <f>IF(ISNUMBER(T269),T269+T270,"")</f>
        <v/>
      </c>
      <c r="U271" s="204">
        <f>IF(ISNUMBER(U269),U269+U270,"")</f>
        <v/>
      </c>
      <c r="V271" s="204">
        <f>IF(ISNUMBER(V269),V269+V270,"")</f>
        <v/>
      </c>
      <c r="W271" s="204">
        <f>IF(ISNUMBER(W269),W269+W270,"")</f>
        <v/>
      </c>
      <c r="X271" s="204">
        <f>IF(ISNUMBER(X269),X269+X270,"")</f>
        <v/>
      </c>
      <c r="Y271" s="204">
        <f>IF(ISNUMBER(Y269),Y269+Y270,"")</f>
        <v/>
      </c>
      <c r="Z271" s="204">
        <f>IF(ISNUMBER(Z269),Z269+Z270,"")</f>
        <v/>
      </c>
      <c r="AA271" s="204">
        <f>IF(ISNUMBER(AA269),AA269+AA270,"")</f>
        <v/>
      </c>
      <c r="AB271" s="204">
        <f>IF(ISNUMBER(AB269),AB269+AB270,"")</f>
        <v/>
      </c>
      <c r="AC271" s="204">
        <f>IF(ISNUMBER(AC269),AC269+AC270,"")</f>
        <v/>
      </c>
      <c r="AD271" s="204">
        <f>IF(ISNUMBER(AD269),AD269+AD270,"")</f>
        <v/>
      </c>
      <c r="AE271" s="204">
        <f>IF(ISNUMBER(AE269),AE269+AE270,"")</f>
        <v/>
      </c>
      <c r="AF271" s="204">
        <f>IF(ISNUMBER(AF269),AF269+AF270,"")</f>
        <v/>
      </c>
      <c r="AG271" s="204">
        <f>IF(ISNUMBER(AG269),AG269+AG270,"")</f>
        <v/>
      </c>
      <c r="AH271" s="204">
        <f>IF(ISNUMBER(AH269),AH269+AH270,"")</f>
        <v/>
      </c>
      <c r="AI271" s="204">
        <f>IF(ISNUMBER(AI269),AI269+AI270,"")</f>
        <v/>
      </c>
      <c r="AJ271" s="204">
        <f>IF(ISNUMBER(AJ269),AJ269+AJ270,"")</f>
        <v/>
      </c>
      <c r="AK271" s="204">
        <f>IF(ISNUMBER(AK269),AK269+AK270,"")</f>
        <v/>
      </c>
      <c r="AL271" s="204">
        <f>IF(ISNUMBER(AL269),AL269+AL270,"")</f>
        <v/>
      </c>
      <c r="AM271" s="204">
        <f>IF(ISNUMBER(AM269),AM269+AM270,"")</f>
        <v/>
      </c>
      <c r="AN271" s="204">
        <f>IF(ISNUMBER(AN269),AN269+AN270,"")</f>
        <v/>
      </c>
      <c r="AO271" s="204">
        <f>IF(ISNUMBER(AO269),AO269+AO270,"")</f>
        <v/>
      </c>
      <c r="AP271" s="204">
        <f>IF(ISNUMBER(AP269),AP269+AP270,"")</f>
        <v/>
      </c>
      <c r="AQ271" s="204">
        <f>IF(ISNUMBER(AQ269),AQ269+AQ270,"")</f>
        <v/>
      </c>
      <c r="AR271" s="204">
        <f>IF(ISNUMBER(AR269),AR269+AR270,"")</f>
        <v/>
      </c>
      <c r="AS271" s="204">
        <f>IF(ISNUMBER(AS269),AS269+AS270,"")</f>
        <v/>
      </c>
      <c r="AT271" s="204">
        <f>IF(ISNUMBER(AT269),AT269+AT270,"")</f>
        <v/>
      </c>
      <c r="AU271" s="204">
        <f>IF(ISNUMBER(AU269),AU269+AU270,"")</f>
        <v/>
      </c>
      <c r="AV271" s="204">
        <f>IF(ISNUMBER(AV269),AV269+AV270,"")</f>
        <v/>
      </c>
      <c r="AW271" s="204">
        <f>IF(ISNUMBER(AW269),AW269+AW270,"")</f>
        <v/>
      </c>
      <c r="AX271" s="204">
        <f>IF(ISNUMBER(AX269),AX269+AX270,"")</f>
        <v/>
      </c>
      <c r="AY271" s="204">
        <f>IF(ISNUMBER(AY269),AY269+AY270,"")</f>
        <v/>
      </c>
      <c r="AZ271" s="204">
        <f>IF(ISNUMBER(AZ269),AZ269+AZ270,"")</f>
        <v/>
      </c>
      <c r="BA271" s="204">
        <f>IF(ISNUMBER(BA269),BA269+BA270,"")</f>
        <v/>
      </c>
      <c r="BB271" s="204">
        <f>IF(ISNUMBER(BB269),BB269+BB270,"")</f>
        <v/>
      </c>
      <c r="BC271" s="204">
        <f>IF(ISNUMBER(BC269),BC269+BC270,"")</f>
        <v/>
      </c>
      <c r="BD271" s="204">
        <f>IF(ISNUMBER(BD269),BD269+BD270,"")</f>
        <v/>
      </c>
      <c r="BE271" s="204">
        <f>IF(ISNUMBER(BE269),BE269+BE270,"")</f>
        <v/>
      </c>
      <c r="BF271" s="204">
        <f>IF(ISNUMBER(BF269),BF269+BF270,"")</f>
        <v/>
      </c>
      <c r="BG271" s="204">
        <f>IF(ISNUMBER(BG269),BG269+BG270,"")</f>
        <v/>
      </c>
      <c r="BH271" s="204">
        <f>IF(ISNUMBER(BH269),BH269+BH270,"")</f>
        <v/>
      </c>
      <c r="BI271" s="204">
        <f>IF(ISNUMBER(BI269),BI269+BI270,"")</f>
        <v/>
      </c>
      <c r="BJ271" s="204">
        <f>IF(ISNUMBER(BJ269),BJ269+BJ270,"")</f>
        <v/>
      </c>
      <c r="BK271" s="204">
        <f>IF(ISNUMBER(BK269),BK269+BK270,"")</f>
        <v/>
      </c>
      <c r="BL271" s="204">
        <f>IF(ISNUMBER(BL269),BL269+BL270,"")</f>
        <v/>
      </c>
      <c r="BM271" s="204">
        <f>IF(ISNUMBER(BM269),BM269+BM270,"")</f>
        <v/>
      </c>
      <c r="BN271" s="204">
        <f>IF(ISNUMBER(BN269),BN269+BN270,"")</f>
        <v/>
      </c>
      <c r="BO271" s="204">
        <f>IF(ISNUMBER(BO269),BO269+BO270,"")</f>
        <v/>
      </c>
      <c r="BP271" s="204">
        <f>IF(ISNUMBER(BP269),BP269+BP270,"")</f>
        <v/>
      </c>
      <c r="BQ271" s="204">
        <f>IF(ISNUMBER(BQ269),BQ269+BQ270,"")</f>
        <v/>
      </c>
      <c r="BR271" s="204">
        <f>IF(ISNUMBER(BR269),BR269+BR270,"")</f>
        <v/>
      </c>
      <c r="BS271" s="204">
        <f>IF(ISNUMBER(BS269),BS269+BS270,"")</f>
        <v/>
      </c>
      <c r="BT271" s="204">
        <f>IF(ISNUMBER(BT269),BT269+BT270,"")</f>
        <v/>
      </c>
      <c r="BU271" s="204">
        <f>IF(ISNUMBER(BU269),BU269+BU270,"")</f>
        <v/>
      </c>
      <c r="BV271" s="204">
        <f>IF(ISNUMBER(BV269),BV269+BV270,"")</f>
        <v/>
      </c>
      <c r="BW271" s="204">
        <f>IF(ISNUMBER(BW269),BW269+BW270,"")</f>
        <v/>
      </c>
      <c r="BX271" s="204">
        <f>IF(ISNUMBER(BX269),BX269+BX270,"")</f>
        <v/>
      </c>
      <c r="BY271" s="34" t="n"/>
      <c r="BZ271" s="34" t="n"/>
      <c r="CA271" s="178">
        <f>IF(ISNUMBER(CA269),CA269+CA270,"")</f>
        <v/>
      </c>
      <c r="CB271" s="178">
        <f>IF(ISNUMBER(CB269),CB269+CB270,"")</f>
        <v/>
      </c>
      <c r="CC271" s="178">
        <f>IF(ISNUMBER(CC269),CC269+CC270,"")</f>
        <v/>
      </c>
      <c r="CD271" s="178">
        <f>IF(ISNUMBER(CD269),CD269+CD270,"")</f>
        <v/>
      </c>
      <c r="CE271" s="178">
        <f>IF(ISNUMBER(CE269),CE269+CE270,"")</f>
        <v/>
      </c>
      <c r="CF271" s="6" t="n"/>
      <c r="CH271" s="21">
        <f>IFERROR((CE271/BV271)^(1/5)-1,"n/m")</f>
        <v/>
      </c>
      <c r="CI271" s="21">
        <f>IFERROR((BV271/AW271)^(1/5)-1,"n/m")</f>
        <v/>
      </c>
      <c r="CJ271" s="21">
        <f>IFERROR((BV271/X271)^(1/10)-1,"n/m")</f>
        <v/>
      </c>
      <c r="CK271" s="21">
        <f>IFERROR((BV271/C271)^(1/19)-1,"n/m")</f>
        <v/>
      </c>
    </row>
    <row r="272" ht="15" customHeight="1">
      <c r="B272" s="59" t="inlineStr">
        <is>
          <t>TOTAL LIABILITIES AND SHAREHOLDERS' EQUITY</t>
        </is>
      </c>
      <c r="C272" s="196">
        <f>IF(ISNUMBER(C267),C267+C271,"")</f>
        <v/>
      </c>
      <c r="D272" s="196">
        <f>IF(ISNUMBER(D267),D267+D271,"")</f>
        <v/>
      </c>
      <c r="E272" s="196">
        <f>IF(ISNUMBER(E267),E267+E271,"")</f>
        <v/>
      </c>
      <c r="F272" s="196">
        <f>IF(ISNUMBER(F267),F267+F271,"")</f>
        <v/>
      </c>
      <c r="G272" s="196">
        <f>IF(ISNUMBER(G267),G267+G271,"")</f>
        <v/>
      </c>
      <c r="H272" s="196">
        <f>IF(ISNUMBER(H267),H267+H271,"")</f>
        <v/>
      </c>
      <c r="I272" s="196">
        <f>IF(ISNUMBER(I267),I267+I271,"")</f>
        <v/>
      </c>
      <c r="J272" s="196">
        <f>IF(ISNUMBER(J267),J267+J271,"")</f>
        <v/>
      </c>
      <c r="K272" s="196">
        <f>IF(ISNUMBER(K267),K267+K271,"")</f>
        <v/>
      </c>
      <c r="L272" s="196">
        <f>IF(ISNUMBER(L267),L267+L271,"")</f>
        <v/>
      </c>
      <c r="M272" s="196">
        <f>IF(ISNUMBER(M267),M267+M271,"")</f>
        <v/>
      </c>
      <c r="N272" s="196">
        <f>IF(ISNUMBER(N267),N267+N271,"")</f>
        <v/>
      </c>
      <c r="O272" s="196">
        <f>IF(ISNUMBER(O267),O267+O271,"")</f>
        <v/>
      </c>
      <c r="P272" s="196">
        <f>IF(ISNUMBER(P267),P267+P271,"")</f>
        <v/>
      </c>
      <c r="Q272" s="196">
        <f>IF(ISNUMBER(Q267),Q267+Q271,"")</f>
        <v/>
      </c>
      <c r="R272" s="196">
        <f>IF(ISNUMBER(R267),R267+R271,"")</f>
        <v/>
      </c>
      <c r="S272" s="196">
        <f>IF(ISNUMBER(S267),S267+S271,"")</f>
        <v/>
      </c>
      <c r="T272" s="196">
        <f>IF(ISNUMBER(T267),T267+T271,"")</f>
        <v/>
      </c>
      <c r="U272" s="196">
        <f>IF(ISNUMBER(U267),U267+U271,"")</f>
        <v/>
      </c>
      <c r="V272" s="196">
        <f>IF(ISNUMBER(V267),V267+V271,"")</f>
        <v/>
      </c>
      <c r="W272" s="196">
        <f>IF(ISNUMBER(W267),W267+W271,"")</f>
        <v/>
      </c>
      <c r="X272" s="196">
        <f>IF(ISNUMBER(X267),X267+X271,"")</f>
        <v/>
      </c>
      <c r="Y272" s="196">
        <f>IF(ISNUMBER(Y267),Y267+Y271,"")</f>
        <v/>
      </c>
      <c r="Z272" s="196">
        <f>IF(ISNUMBER(Z267),Z267+Z271,"")</f>
        <v/>
      </c>
      <c r="AA272" s="196">
        <f>IF(ISNUMBER(AA267),AA267+AA271,"")</f>
        <v/>
      </c>
      <c r="AB272" s="196">
        <f>IF(ISNUMBER(AB267),AB267+AB271,"")</f>
        <v/>
      </c>
      <c r="AC272" s="196">
        <f>IF(ISNUMBER(AC267),AC267+AC271,"")</f>
        <v/>
      </c>
      <c r="AD272" s="196">
        <f>IF(ISNUMBER(AD267),AD267+AD271,"")</f>
        <v/>
      </c>
      <c r="AE272" s="196">
        <f>IF(ISNUMBER(AE267),AE267+AE271,"")</f>
        <v/>
      </c>
      <c r="AF272" s="196">
        <f>IF(ISNUMBER(AF267),AF267+AF271,"")</f>
        <v/>
      </c>
      <c r="AG272" s="196">
        <f>IF(ISNUMBER(AG267),AG267+AG271,"")</f>
        <v/>
      </c>
      <c r="AH272" s="196">
        <f>IF(ISNUMBER(AH267),AH267+AH271,"")</f>
        <v/>
      </c>
      <c r="AI272" s="196">
        <f>IF(ISNUMBER(AI267),AI267+AI271,"")</f>
        <v/>
      </c>
      <c r="AJ272" s="196">
        <f>IF(ISNUMBER(AJ267),AJ267+AJ271,"")</f>
        <v/>
      </c>
      <c r="AK272" s="196">
        <f>IF(ISNUMBER(AK267),AK267+AK271,"")</f>
        <v/>
      </c>
      <c r="AL272" s="196">
        <f>IF(ISNUMBER(AL267),AL267+AL271,"")</f>
        <v/>
      </c>
      <c r="AM272" s="196">
        <f>IF(ISNUMBER(AM267),AM267+AM271,"")</f>
        <v/>
      </c>
      <c r="AN272" s="196">
        <f>IF(ISNUMBER(AN267),AN267+AN271,"")</f>
        <v/>
      </c>
      <c r="AO272" s="196">
        <f>IF(ISNUMBER(AO267),AO267+AO271,"")</f>
        <v/>
      </c>
      <c r="AP272" s="196">
        <f>IF(ISNUMBER(AP267),AP267+AP271,"")</f>
        <v/>
      </c>
      <c r="AQ272" s="196">
        <f>IF(ISNUMBER(AQ267),AQ267+AQ271,"")</f>
        <v/>
      </c>
      <c r="AR272" s="196">
        <f>IF(ISNUMBER(AR267),AR267+AR271,"")</f>
        <v/>
      </c>
      <c r="AS272" s="196">
        <f>IF(ISNUMBER(AS267),AS267+AS271,"")</f>
        <v/>
      </c>
      <c r="AT272" s="196">
        <f>IF(ISNUMBER(AT267),AT267+AT271,"")</f>
        <v/>
      </c>
      <c r="AU272" s="196">
        <f>IF(ISNUMBER(AU267),AU267+AU271,"")</f>
        <v/>
      </c>
      <c r="AV272" s="196">
        <f>IF(ISNUMBER(AV267),AV267+AV271,"")</f>
        <v/>
      </c>
      <c r="AW272" s="196">
        <f>IF(ISNUMBER(AW267),AW267+AW271,"")</f>
        <v/>
      </c>
      <c r="AX272" s="196">
        <f>IF(ISNUMBER(AX267),AX267+AX271,"")</f>
        <v/>
      </c>
      <c r="AY272" s="196">
        <f>IF(ISNUMBER(AY267),AY267+AY271,"")</f>
        <v/>
      </c>
      <c r="AZ272" s="196">
        <f>IF(ISNUMBER(AZ267),AZ267+AZ271,"")</f>
        <v/>
      </c>
      <c r="BA272" s="196">
        <f>IF(ISNUMBER(BA267),BA267+BA271,"")</f>
        <v/>
      </c>
      <c r="BB272" s="196">
        <f>IF(ISNUMBER(BB267),BB267+BB271,"")</f>
        <v/>
      </c>
      <c r="BC272" s="196">
        <f>IF(ISNUMBER(BC267),BC267+BC271,"")</f>
        <v/>
      </c>
      <c r="BD272" s="196">
        <f>IF(ISNUMBER(BD267),BD267+BD271,"")</f>
        <v/>
      </c>
      <c r="BE272" s="196">
        <f>IF(ISNUMBER(BE267),BE267+BE271,"")</f>
        <v/>
      </c>
      <c r="BF272" s="196">
        <f>IF(ISNUMBER(BF267),BF267+BF271,"")</f>
        <v/>
      </c>
      <c r="BG272" s="196">
        <f>IF(ISNUMBER(BG267),BG267+BG271,"")</f>
        <v/>
      </c>
      <c r="BH272" s="196">
        <f>IF(ISNUMBER(BH267),BH267+BH271,"")</f>
        <v/>
      </c>
      <c r="BI272" s="196">
        <f>IF(ISNUMBER(BI267),BI267+BI271,"")</f>
        <v/>
      </c>
      <c r="BJ272" s="196">
        <f>IF(ISNUMBER(BJ267),BJ267+BJ271,"")</f>
        <v/>
      </c>
      <c r="BK272" s="196">
        <f>IF(ISNUMBER(BK267),BK267+BK271,"")</f>
        <v/>
      </c>
      <c r="BL272" s="196">
        <f>IF(ISNUMBER(BL267),BL267+BL271,"")</f>
        <v/>
      </c>
      <c r="BM272" s="196">
        <f>IF(ISNUMBER(BM267),BM267+BM271,"")</f>
        <v/>
      </c>
      <c r="BN272" s="196">
        <f>IF(ISNUMBER(BN267),BN267+BN271,"")</f>
        <v/>
      </c>
      <c r="BO272" s="196">
        <f>IF(ISNUMBER(BO267),BO267+BO271,"")</f>
        <v/>
      </c>
      <c r="BP272" s="196">
        <f>IF(ISNUMBER(BP267),BP267+BP271,"")</f>
        <v/>
      </c>
      <c r="BQ272" s="196">
        <f>IF(ISNUMBER(BQ267),BQ267+BQ271,"")</f>
        <v/>
      </c>
      <c r="BR272" s="196">
        <f>IF(ISNUMBER(BR267),BR267+BR271,"")</f>
        <v/>
      </c>
      <c r="BS272" s="196">
        <f>IF(ISNUMBER(BS267),BS267+BS271,"")</f>
        <v/>
      </c>
      <c r="BT272" s="196">
        <f>IF(ISNUMBER(BT267),BT267+BT271,"")</f>
        <v/>
      </c>
      <c r="BU272" s="196">
        <f>IF(ISNUMBER(BU267),BU267+BU271,"")</f>
        <v/>
      </c>
      <c r="BV272" s="196">
        <f>IF(ISNUMBER(BV267),BV267+BV271,"")</f>
        <v/>
      </c>
      <c r="BW272" s="196">
        <f>IF(ISNUMBER(BW267),BW267+BW271,"")</f>
        <v/>
      </c>
      <c r="BX272" s="196">
        <f>IF(ISNUMBER(BX267),BX267+BX271,"")</f>
        <v/>
      </c>
      <c r="BY272" s="60" t="n"/>
      <c r="BZ272" s="60" t="n"/>
      <c r="CA272" s="196">
        <f>IF(ISNUMBER(CA267),CA267+CA271,"")</f>
        <v/>
      </c>
      <c r="CB272" s="196">
        <f>IF(ISNUMBER(CB267),CB267+CB271,"")</f>
        <v/>
      </c>
      <c r="CC272" s="196">
        <f>IF(ISNUMBER(CC267),CC267+CC271,"")</f>
        <v/>
      </c>
      <c r="CD272" s="196">
        <f>IF(ISNUMBER(CD267),CD267+CD271,"")</f>
        <v/>
      </c>
      <c r="CE272" s="196">
        <f>IF(ISNUMBER(CE267),CE267+CE271,"")</f>
        <v/>
      </c>
      <c r="CF272" s="6" t="n"/>
    </row>
    <row r="273" ht="15" customHeight="1">
      <c r="B273" s="61" t="inlineStr">
        <is>
          <t>BS tie-out check (TA − TL&amp;E)</t>
        </is>
      </c>
      <c r="C273" s="197">
        <f>IF(ISNUMBER(C256),ROUND(C256-C272,1),"")</f>
        <v/>
      </c>
      <c r="D273" s="197">
        <f>IF(ISNUMBER(D256),ROUND(D256-D272,1),"")</f>
        <v/>
      </c>
      <c r="E273" s="197">
        <f>IF(ISNUMBER(E256),ROUND(E256-E272,1),"")</f>
        <v/>
      </c>
      <c r="F273" s="197">
        <f>IF(ISNUMBER(F256),ROUND(F256-F272,1),"")</f>
        <v/>
      </c>
      <c r="G273" s="197">
        <f>IF(ISNUMBER(G256),ROUND(G256-G272,1),"")</f>
        <v/>
      </c>
      <c r="H273" s="197">
        <f>IF(ISNUMBER(H256),ROUND(H256-H272,1),"")</f>
        <v/>
      </c>
      <c r="I273" s="197">
        <f>IF(ISNUMBER(I256),ROUND(I256-I272,1),"")</f>
        <v/>
      </c>
      <c r="J273" s="197">
        <f>IF(ISNUMBER(J256),ROUND(J256-J272,1),"")</f>
        <v/>
      </c>
      <c r="K273" s="197">
        <f>IF(ISNUMBER(K256),ROUND(K256-K272,1),"")</f>
        <v/>
      </c>
      <c r="L273" s="197">
        <f>IF(ISNUMBER(L256),ROUND(L256-L272,1),"")</f>
        <v/>
      </c>
      <c r="M273" s="197">
        <f>IF(ISNUMBER(M256),ROUND(M256-M272,1),"")</f>
        <v/>
      </c>
      <c r="N273" s="197">
        <f>IF(ISNUMBER(N256),ROUND(N256-N272,1),"")</f>
        <v/>
      </c>
      <c r="O273" s="197">
        <f>IF(ISNUMBER(O256),ROUND(O256-O272,1),"")</f>
        <v/>
      </c>
      <c r="P273" s="197">
        <f>IF(ISNUMBER(P256),ROUND(P256-P272,1),"")</f>
        <v/>
      </c>
      <c r="Q273" s="197">
        <f>IF(ISNUMBER(Q256),ROUND(Q256-Q272,1),"")</f>
        <v/>
      </c>
      <c r="R273" s="197">
        <f>IF(ISNUMBER(R256),ROUND(R256-R272,1),"")</f>
        <v/>
      </c>
      <c r="S273" s="197">
        <f>IF(ISNUMBER(S256),ROUND(S256-S272,1),"")</f>
        <v/>
      </c>
      <c r="T273" s="197">
        <f>IF(ISNUMBER(T256),ROUND(T256-T272,1),"")</f>
        <v/>
      </c>
      <c r="U273" s="197">
        <f>IF(ISNUMBER(U256),ROUND(U256-U272,1),"")</f>
        <v/>
      </c>
      <c r="V273" s="197">
        <f>IF(ISNUMBER(V256),ROUND(V256-V272,1),"")</f>
        <v/>
      </c>
      <c r="W273" s="197">
        <f>IF(ISNUMBER(W256),ROUND(W256-W272,1),"")</f>
        <v/>
      </c>
      <c r="X273" s="197">
        <f>IF(ISNUMBER(X256),ROUND(X256-X272,1),"")</f>
        <v/>
      </c>
      <c r="Y273" s="197">
        <f>IF(ISNUMBER(Y256),ROUND(Y256-Y272,1),"")</f>
        <v/>
      </c>
      <c r="Z273" s="197">
        <f>IF(ISNUMBER(Z256),ROUND(Z256-Z272,1),"")</f>
        <v/>
      </c>
      <c r="AA273" s="197">
        <f>IF(ISNUMBER(AA256),ROUND(AA256-AA272,1),"")</f>
        <v/>
      </c>
      <c r="AB273" s="197">
        <f>IF(ISNUMBER(AB256),ROUND(AB256-AB272,1),"")</f>
        <v/>
      </c>
      <c r="AC273" s="197">
        <f>IF(ISNUMBER(AC256),ROUND(AC256-AC272,1),"")</f>
        <v/>
      </c>
      <c r="AD273" s="197">
        <f>IF(ISNUMBER(AD256),ROUND(AD256-AD272,1),"")</f>
        <v/>
      </c>
      <c r="AE273" s="197">
        <f>IF(ISNUMBER(AE256),ROUND(AE256-AE272,1),"")</f>
        <v/>
      </c>
      <c r="AF273" s="197">
        <f>IF(ISNUMBER(AF256),ROUND(AF256-AF272,1),"")</f>
        <v/>
      </c>
      <c r="AG273" s="197">
        <f>IF(ISNUMBER(AG256),ROUND(AG256-AG272,1),"")</f>
        <v/>
      </c>
      <c r="AH273" s="197">
        <f>IF(ISNUMBER(AH256),ROUND(AH256-AH272,1),"")</f>
        <v/>
      </c>
      <c r="AI273" s="197">
        <f>IF(ISNUMBER(AI256),ROUND(AI256-AI272,1),"")</f>
        <v/>
      </c>
      <c r="AJ273" s="197">
        <f>IF(ISNUMBER(AJ256),ROUND(AJ256-AJ272,1),"")</f>
        <v/>
      </c>
      <c r="AK273" s="197">
        <f>IF(ISNUMBER(AK256),ROUND(AK256-AK272,1),"")</f>
        <v/>
      </c>
      <c r="AL273" s="197">
        <f>IF(ISNUMBER(AL256),ROUND(AL256-AL272,1),"")</f>
        <v/>
      </c>
      <c r="AM273" s="197">
        <f>IF(ISNUMBER(AM256),ROUND(AM256-AM272,1),"")</f>
        <v/>
      </c>
      <c r="AN273" s="197">
        <f>IF(ISNUMBER(AN256),ROUND(AN256-AN272,1),"")</f>
        <v/>
      </c>
      <c r="AO273" s="197">
        <f>IF(ISNUMBER(AO256),ROUND(AO256-AO272,1),"")</f>
        <v/>
      </c>
      <c r="AP273" s="197">
        <f>IF(ISNUMBER(AP256),ROUND(AP256-AP272,1),"")</f>
        <v/>
      </c>
      <c r="AQ273" s="197">
        <f>IF(ISNUMBER(AQ256),ROUND(AQ256-AQ272,1),"")</f>
        <v/>
      </c>
      <c r="AR273" s="197">
        <f>IF(ISNUMBER(AR256),ROUND(AR256-AR272,1),"")</f>
        <v/>
      </c>
      <c r="AS273" s="197">
        <f>IF(ISNUMBER(AS256),ROUND(AS256-AS272,1),"")</f>
        <v/>
      </c>
      <c r="AT273" s="197">
        <f>IF(ISNUMBER(AT256),ROUND(AT256-AT272,1),"")</f>
        <v/>
      </c>
      <c r="AU273" s="197">
        <f>IF(ISNUMBER(AU256),ROUND(AU256-AU272,1),"")</f>
        <v/>
      </c>
      <c r="AV273" s="197">
        <f>IF(ISNUMBER(AV256),ROUND(AV256-AV272,1),"")</f>
        <v/>
      </c>
      <c r="AW273" s="197">
        <f>IF(ISNUMBER(AW256),ROUND(AW256-AW272,1),"")</f>
        <v/>
      </c>
      <c r="AX273" s="197">
        <f>IF(ISNUMBER(AX256),ROUND(AX256-AX272,1),"")</f>
        <v/>
      </c>
      <c r="AY273" s="197">
        <f>IF(ISNUMBER(AY256),ROUND(AY256-AY272,1),"")</f>
        <v/>
      </c>
      <c r="AZ273" s="197">
        <f>IF(ISNUMBER(AZ256),ROUND(AZ256-AZ272,1),"")</f>
        <v/>
      </c>
      <c r="BA273" s="197">
        <f>IF(ISNUMBER(BA256),ROUND(BA256-BA272,1),"")</f>
        <v/>
      </c>
      <c r="BB273" s="197">
        <f>IF(ISNUMBER(BB256),ROUND(BB256-BB272,1),"")</f>
        <v/>
      </c>
      <c r="BC273" s="197">
        <f>IF(ISNUMBER(BC256),ROUND(BC256-BC272,1),"")</f>
        <v/>
      </c>
      <c r="BD273" s="197">
        <f>IF(ISNUMBER(BD256),ROUND(BD256-BD272,1),"")</f>
        <v/>
      </c>
      <c r="BE273" s="197">
        <f>IF(ISNUMBER(BE256),ROUND(BE256-BE272,1),"")</f>
        <v/>
      </c>
      <c r="BF273" s="197">
        <f>IF(ISNUMBER(BF256),ROUND(BF256-BF272,1),"")</f>
        <v/>
      </c>
      <c r="BG273" s="197">
        <f>IF(ISNUMBER(BG256),ROUND(BG256-BG272,1),"")</f>
        <v/>
      </c>
      <c r="BH273" s="197">
        <f>IF(ISNUMBER(BH256),ROUND(BH256-BH272,1),"")</f>
        <v/>
      </c>
      <c r="BI273" s="197">
        <f>IF(ISNUMBER(BI256),ROUND(BI256-BI272,1),"")</f>
        <v/>
      </c>
      <c r="BJ273" s="197">
        <f>IF(ISNUMBER(BJ256),ROUND(BJ256-BJ272,1),"")</f>
        <v/>
      </c>
      <c r="BK273" s="197">
        <f>IF(ISNUMBER(BK256),ROUND(BK256-BK272,1),"")</f>
        <v/>
      </c>
      <c r="BL273" s="197">
        <f>IF(ISNUMBER(BL256),ROUND(BL256-BL272,1),"")</f>
        <v/>
      </c>
      <c r="BM273" s="197">
        <f>IF(ISNUMBER(BM256),ROUND(BM256-BM272,1),"")</f>
        <v/>
      </c>
      <c r="BN273" s="197">
        <f>IF(ISNUMBER(BN256),ROUND(BN256-BN272,1),"")</f>
        <v/>
      </c>
      <c r="BO273" s="197">
        <f>IF(ISNUMBER(BO256),ROUND(BO256-BO272,1),"")</f>
        <v/>
      </c>
      <c r="BP273" s="197">
        <f>IF(ISNUMBER(BP256),ROUND(BP256-BP272,1),"")</f>
        <v/>
      </c>
      <c r="BQ273" s="197">
        <f>IF(ISNUMBER(BQ256),ROUND(BQ256-BQ272,1),"")</f>
        <v/>
      </c>
      <c r="BR273" s="197">
        <f>IF(ISNUMBER(BR256),ROUND(BR256-BR272,1),"")</f>
        <v/>
      </c>
      <c r="BS273" s="197">
        <f>IF(ISNUMBER(BS256),ROUND(BS256-BS272,1),"")</f>
        <v/>
      </c>
      <c r="BT273" s="197">
        <f>IF(ISNUMBER(BT256),ROUND(BT256-BT272,1),"")</f>
        <v/>
      </c>
      <c r="BU273" s="197">
        <f>IF(ISNUMBER(BU256),ROUND(BU256-BU272,1),"")</f>
        <v/>
      </c>
      <c r="BV273" s="197">
        <f>IF(ISNUMBER(BV256),ROUND(BV256-BV272,1),"")</f>
        <v/>
      </c>
      <c r="BW273" s="197">
        <f>IF(ISNUMBER(BW256),ROUND(BW256-BW272,1),"")</f>
        <v/>
      </c>
      <c r="BX273" s="197">
        <f>IF(ISNUMBER(BX256),ROUND(BX256-BX272,1),"")</f>
        <v/>
      </c>
      <c r="BY273" s="6" t="n"/>
      <c r="BZ273" s="6" t="n"/>
      <c r="CA273" s="198">
        <f>IF(ISNUMBER(CA256),ROUND(CA256-CA272,1),"")</f>
        <v/>
      </c>
      <c r="CB273" s="198">
        <f>IF(ISNUMBER(CB256),ROUND(CB256-CB272,1),"")</f>
        <v/>
      </c>
      <c r="CC273" s="198">
        <f>IF(ISNUMBER(CC256),ROUND(CC256-CC272,1),"")</f>
        <v/>
      </c>
      <c r="CD273" s="198">
        <f>IF(ISNUMBER(CD256),ROUND(CD256-CD272,1),"")</f>
        <v/>
      </c>
      <c r="CE273" s="198">
        <f>IF(ISNUMBER(CE256),ROUND(CE256-CE272,1),"")</f>
        <v/>
      </c>
      <c r="CF273" s="6" t="n"/>
    </row>
    <row r="274" ht="15" customHeight="1">
      <c r="B274" s="61" t="inlineStr">
        <is>
          <t xml:space="preserve">  Check: model total assets vs reported (should be 0)</t>
        </is>
      </c>
      <c r="C274" s="197">
        <f>IF(ISNUMBER(C275),ROUND(C256-C275,1),"")</f>
        <v/>
      </c>
      <c r="D274" s="197">
        <f>IF(ISNUMBER(D275),ROUND(D256-D275,1),"")</f>
        <v/>
      </c>
      <c r="E274" s="197">
        <f>IF(ISNUMBER(E275),ROUND(E256-E275,1),"")</f>
        <v/>
      </c>
      <c r="F274" s="197">
        <f>IF(ISNUMBER(F275),ROUND(F256-F275,1),"")</f>
        <v/>
      </c>
      <c r="G274" s="197">
        <f>IF(ISNUMBER(G275),ROUND(G256-G275,1),"")</f>
        <v/>
      </c>
      <c r="H274" s="197">
        <f>IF(ISNUMBER(H275),ROUND(H256-H275,1),"")</f>
        <v/>
      </c>
      <c r="I274" s="197">
        <f>IF(ISNUMBER(I275),ROUND(I256-I275,1),"")</f>
        <v/>
      </c>
      <c r="J274" s="197">
        <f>IF(ISNUMBER(J275),ROUND(J256-J275,1),"")</f>
        <v/>
      </c>
      <c r="K274" s="197">
        <f>IF(ISNUMBER(K275),ROUND(K256-K275,1),"")</f>
        <v/>
      </c>
      <c r="L274" s="197">
        <f>IF(ISNUMBER(L275),ROUND(L256-L275,1),"")</f>
        <v/>
      </c>
      <c r="M274" s="197">
        <f>IF(ISNUMBER(M275),ROUND(M256-M275,1),"")</f>
        <v/>
      </c>
      <c r="N274" s="197">
        <f>IF(ISNUMBER(N275),ROUND(N256-N275,1),"")</f>
        <v/>
      </c>
      <c r="O274" s="197">
        <f>IF(ISNUMBER(O275),ROUND(O256-O275,1),"")</f>
        <v/>
      </c>
      <c r="P274" s="197">
        <f>IF(ISNUMBER(P275),ROUND(P256-P275,1),"")</f>
        <v/>
      </c>
      <c r="Q274" s="197">
        <f>IF(ISNUMBER(Q275),ROUND(Q256-Q275,1),"")</f>
        <v/>
      </c>
      <c r="R274" s="197">
        <f>IF(ISNUMBER(R275),ROUND(R256-R275,1),"")</f>
        <v/>
      </c>
      <c r="S274" s="197">
        <f>IF(ISNUMBER(S275),ROUND(S256-S275,1),"")</f>
        <v/>
      </c>
      <c r="T274" s="197">
        <f>IF(ISNUMBER(T275),ROUND(T256-T275,1),"")</f>
        <v/>
      </c>
      <c r="U274" s="197">
        <f>IF(ISNUMBER(U275),ROUND(U256-U275,1),"")</f>
        <v/>
      </c>
      <c r="V274" s="197">
        <f>IF(ISNUMBER(V275),ROUND(V256-V275,1),"")</f>
        <v/>
      </c>
      <c r="W274" s="197">
        <f>IF(ISNUMBER(W275),ROUND(W256-W275,1),"")</f>
        <v/>
      </c>
      <c r="X274" s="197">
        <f>IF(ISNUMBER(X275),ROUND(X256-X275,1),"")</f>
        <v/>
      </c>
      <c r="Y274" s="197">
        <f>IF(ISNUMBER(Y275),ROUND(Y256-Y275,1),"")</f>
        <v/>
      </c>
      <c r="Z274" s="197">
        <f>IF(ISNUMBER(Z275),ROUND(Z256-Z275,1),"")</f>
        <v/>
      </c>
      <c r="AA274" s="197">
        <f>IF(ISNUMBER(AA275),ROUND(AA256-AA275,1),"")</f>
        <v/>
      </c>
      <c r="AB274" s="197">
        <f>IF(ISNUMBER(AB275),ROUND(AB256-AB275,1),"")</f>
        <v/>
      </c>
      <c r="AC274" s="197">
        <f>IF(ISNUMBER(AC275),ROUND(AC256-AC275,1),"")</f>
        <v/>
      </c>
      <c r="AD274" s="197">
        <f>IF(ISNUMBER(AD275),ROUND(AD256-AD275,1),"")</f>
        <v/>
      </c>
      <c r="AE274" s="197">
        <f>IF(ISNUMBER(AE275),ROUND(AE256-AE275,1),"")</f>
        <v/>
      </c>
      <c r="AF274" s="197">
        <f>IF(ISNUMBER(AF275),ROUND(AF256-AF275,1),"")</f>
        <v/>
      </c>
      <c r="AG274" s="197">
        <f>IF(ISNUMBER(AG275),ROUND(AG256-AG275,1),"")</f>
        <v/>
      </c>
      <c r="AH274" s="197">
        <f>IF(ISNUMBER(AH275),ROUND(AH256-AH275,1),"")</f>
        <v/>
      </c>
      <c r="AI274" s="197">
        <f>IF(ISNUMBER(AI275),ROUND(AI256-AI275,1),"")</f>
        <v/>
      </c>
      <c r="AJ274" s="197">
        <f>IF(ISNUMBER(AJ275),ROUND(AJ256-AJ275,1),"")</f>
        <v/>
      </c>
      <c r="AK274" s="197">
        <f>IF(ISNUMBER(AK275),ROUND(AK256-AK275,1),"")</f>
        <v/>
      </c>
      <c r="AL274" s="197">
        <f>IF(ISNUMBER(AL275),ROUND(AL256-AL275,1),"")</f>
        <v/>
      </c>
      <c r="AM274" s="197">
        <f>IF(ISNUMBER(AM275),ROUND(AM256-AM275,1),"")</f>
        <v/>
      </c>
      <c r="AN274" s="197">
        <f>IF(ISNUMBER(AN275),ROUND(AN256-AN275,1),"")</f>
        <v/>
      </c>
      <c r="AO274" s="197">
        <f>IF(ISNUMBER(AO275),ROUND(AO256-AO275,1),"")</f>
        <v/>
      </c>
      <c r="AP274" s="197">
        <f>IF(ISNUMBER(AP275),ROUND(AP256-AP275,1),"")</f>
        <v/>
      </c>
      <c r="AQ274" s="197">
        <f>IF(ISNUMBER(AQ275),ROUND(AQ256-AQ275,1),"")</f>
        <v/>
      </c>
      <c r="AR274" s="197">
        <f>IF(ISNUMBER(AR275),ROUND(AR256-AR275,1),"")</f>
        <v/>
      </c>
      <c r="AS274" s="197">
        <f>IF(ISNUMBER(AS275),ROUND(AS256-AS275,1),"")</f>
        <v/>
      </c>
      <c r="AT274" s="197">
        <f>IF(ISNUMBER(AT275),ROUND(AT256-AT275,1),"")</f>
        <v/>
      </c>
      <c r="AU274" s="197">
        <f>IF(ISNUMBER(AU275),ROUND(AU256-AU275,1),"")</f>
        <v/>
      </c>
      <c r="AV274" s="197">
        <f>IF(ISNUMBER(AV275),ROUND(AV256-AV275,1),"")</f>
        <v/>
      </c>
      <c r="AW274" s="197">
        <f>IF(ISNUMBER(AW275),ROUND(AW256-AW275,1),"")</f>
        <v/>
      </c>
      <c r="AX274" s="197">
        <f>IF(ISNUMBER(AX275),ROUND(AX256-AX275,1),"")</f>
        <v/>
      </c>
      <c r="AY274" s="197">
        <f>IF(ISNUMBER(AY275),ROUND(AY256-AY275,1),"")</f>
        <v/>
      </c>
      <c r="AZ274" s="197">
        <f>IF(ISNUMBER(AZ275),ROUND(AZ256-AZ275,1),"")</f>
        <v/>
      </c>
      <c r="BA274" s="197">
        <f>IF(ISNUMBER(BA275),ROUND(BA256-BA275,1),"")</f>
        <v/>
      </c>
      <c r="BB274" s="197">
        <f>IF(ISNUMBER(BB275),ROUND(BB256-BB275,1),"")</f>
        <v/>
      </c>
      <c r="BC274" s="197">
        <f>IF(ISNUMBER(BC275),ROUND(BC256-BC275,1),"")</f>
        <v/>
      </c>
      <c r="BD274" s="197">
        <f>IF(ISNUMBER(BD275),ROUND(BD256-BD275,1),"")</f>
        <v/>
      </c>
      <c r="BE274" s="197">
        <f>IF(ISNUMBER(BE275),ROUND(BE256-BE275,1),"")</f>
        <v/>
      </c>
      <c r="BF274" s="197">
        <f>IF(ISNUMBER(BF275),ROUND(BF256-BF275,1),"")</f>
        <v/>
      </c>
      <c r="BG274" s="197">
        <f>IF(ISNUMBER(BG275),ROUND(BG256-BG275,1),"")</f>
        <v/>
      </c>
      <c r="BH274" s="197">
        <f>IF(ISNUMBER(BH275),ROUND(BH256-BH275,1),"")</f>
        <v/>
      </c>
      <c r="BI274" s="197">
        <f>IF(ISNUMBER(BI275),ROUND(BI256-BI275,1),"")</f>
        <v/>
      </c>
      <c r="BJ274" s="197">
        <f>IF(ISNUMBER(BJ275),ROUND(BJ256-BJ275,1),"")</f>
        <v/>
      </c>
      <c r="BK274" s="197">
        <f>IF(ISNUMBER(BK275),ROUND(BK256-BK275,1),"")</f>
        <v/>
      </c>
      <c r="BL274" s="197">
        <f>IF(ISNUMBER(BL275),ROUND(BL256-BL275,1),"")</f>
        <v/>
      </c>
      <c r="BM274" s="197">
        <f>IF(ISNUMBER(BM275),ROUND(BM256-BM275,1),"")</f>
        <v/>
      </c>
      <c r="BN274" s="197">
        <f>IF(ISNUMBER(BN275),ROUND(BN256-BN275,1),"")</f>
        <v/>
      </c>
      <c r="BO274" s="197">
        <f>IF(ISNUMBER(BO275),ROUND(BO256-BO275,1),"")</f>
        <v/>
      </c>
      <c r="BP274" s="197">
        <f>IF(ISNUMBER(BP275),ROUND(BP256-BP275,1),"")</f>
        <v/>
      </c>
      <c r="BQ274" s="197">
        <f>IF(ISNUMBER(BQ275),ROUND(BQ256-BQ275,1),"")</f>
        <v/>
      </c>
      <c r="BR274" s="197">
        <f>IF(ISNUMBER(BR275),ROUND(BR256-BR275,1),"")</f>
        <v/>
      </c>
      <c r="BS274" s="197">
        <f>IF(ISNUMBER(BS275),ROUND(BS256-BS275,1),"")</f>
        <v/>
      </c>
      <c r="BT274" s="197">
        <f>IF(ISNUMBER(BT275),ROUND(BT256-BT275,1),"")</f>
        <v/>
      </c>
      <c r="BU274" s="197">
        <f>IF(ISNUMBER(BU275),ROUND(BU256-BU275,1),"")</f>
        <v/>
      </c>
      <c r="BV274" s="197">
        <f>IF(ISNUMBER(BV275),ROUND(BV256-BV275,1),"")</f>
        <v/>
      </c>
      <c r="BW274" s="197">
        <f>IF(ISNUMBER(BW275),ROUND(BW256-BW275,1),"")</f>
        <v/>
      </c>
      <c r="BX274" s="197">
        <f>IF(ISNUMBER(BX275),ROUND(BX256-BX275,1),"")</f>
        <v/>
      </c>
      <c r="BY274" s="6" t="n"/>
      <c r="BZ274" s="6" t="n"/>
      <c r="CA274" s="6" t="n"/>
      <c r="CB274" s="6" t="n"/>
      <c r="CC274" s="6" t="n"/>
      <c r="CD274" s="6" t="n"/>
      <c r="CE274" s="6" t="n"/>
      <c r="CF274" s="6" t="n"/>
    </row>
    <row r="275" ht="15" customHeight="1">
      <c r="B275" s="42" t="inlineStr">
        <is>
          <t xml:space="preserve">  Memo: total assets as reported</t>
        </is>
      </c>
      <c r="C275" s="174" t="n">
        <v>892.193</v>
      </c>
      <c r="D275" s="174" t="n">
        <v>981.048</v>
      </c>
      <c r="E275" s="174" t="n">
        <v>1074.905</v>
      </c>
      <c r="F275" s="174" t="n">
        <v>1159.278</v>
      </c>
      <c r="G275" s="174" t="n">
        <v>1239.881</v>
      </c>
      <c r="H275" s="174" t="n">
        <v>1513.074</v>
      </c>
      <c r="I275" s="174" t="n">
        <v>1712.514</v>
      </c>
      <c r="J275" s="174" t="n">
        <v>1761.192</v>
      </c>
      <c r="K275" s="174" t="n">
        <v>1854.73</v>
      </c>
      <c r="L275" s="174" t="n">
        <v>1904.679</v>
      </c>
      <c r="M275" s="174" t="n">
        <v>1932.089</v>
      </c>
      <c r="N275" s="174" t="n">
        <v>1932.089</v>
      </c>
      <c r="O275" s="174" t="n">
        <v>2031.768</v>
      </c>
      <c r="P275" s="174" t="n">
        <v>2124.063</v>
      </c>
      <c r="Q275" s="174" t="n">
        <v>2188.539</v>
      </c>
      <c r="R275" s="174" t="n">
        <v>2236.237</v>
      </c>
      <c r="S275" s="174" t="n">
        <v>2236.237</v>
      </c>
      <c r="T275" s="174" t="n">
        <v>2340.384</v>
      </c>
      <c r="U275" s="174" t="n">
        <v>2378.067</v>
      </c>
      <c r="V275" s="174" t="n">
        <v>2474.485</v>
      </c>
      <c r="W275" s="174" t="n">
        <v>2466.504</v>
      </c>
      <c r="X275" s="174" t="n">
        <v>2466.504</v>
      </c>
      <c r="Y275" s="174" t="n">
        <v>2515.44</v>
      </c>
      <c r="Z275" s="174" t="n">
        <v>2659.802</v>
      </c>
      <c r="AA275" s="174" t="n">
        <v>2684.348</v>
      </c>
      <c r="AB275" s="174" t="n">
        <v>2696.247</v>
      </c>
      <c r="AC275" s="174" t="n">
        <v>2696.247</v>
      </c>
      <c r="AD275" s="174" t="n">
        <v>2745.01</v>
      </c>
      <c r="AE275" s="174" t="n">
        <v>2840.198</v>
      </c>
      <c r="AF275" s="174" t="n">
        <v>2956.17</v>
      </c>
      <c r="AG275" s="174" t="n">
        <v>3068.424</v>
      </c>
      <c r="AH275" s="174" t="n">
        <v>3068.424</v>
      </c>
      <c r="AI275" s="174" t="n">
        <v>3144.004</v>
      </c>
      <c r="AJ275" s="174" t="n">
        <v>3321.082</v>
      </c>
      <c r="AK275" s="174" t="n">
        <v>3489.312</v>
      </c>
      <c r="AL275" s="174" t="n">
        <v>3545.283</v>
      </c>
      <c r="AM275" s="174" t="n">
        <v>3545.283</v>
      </c>
      <c r="AN275" s="174" t="n">
        <v>3704.042</v>
      </c>
      <c r="AO275" s="174" t="n">
        <v>3758.703</v>
      </c>
      <c r="AP275" s="174" t="n">
        <v>3892.418</v>
      </c>
      <c r="AQ275" s="174" t="n">
        <v>3995.568</v>
      </c>
      <c r="AR275" s="174" t="n">
        <v>3995.568</v>
      </c>
      <c r="AS275" s="174" t="n">
        <v>3934.986</v>
      </c>
      <c r="AT275" s="174" t="n">
        <v>4080.028</v>
      </c>
      <c r="AU275" s="174" t="n">
        <v>4273.688</v>
      </c>
      <c r="AV275" s="174" t="n">
        <v>4369.41</v>
      </c>
      <c r="AW275" s="174" t="n">
        <v>4369.41</v>
      </c>
      <c r="AX275" s="174" t="n">
        <v>4351.863</v>
      </c>
      <c r="AY275" s="174" t="n">
        <v>4534.446</v>
      </c>
      <c r="AZ275" s="174" t="n">
        <v>4613.12</v>
      </c>
      <c r="BA275" s="174" t="n">
        <v>4821.544</v>
      </c>
      <c r="BB275" s="174" t="n">
        <v>4821.544</v>
      </c>
      <c r="BC275" s="174" t="n">
        <v>4722.65</v>
      </c>
      <c r="BD275" s="174" t="n">
        <v>4793.867</v>
      </c>
      <c r="BE275" s="174" t="n">
        <v>4811.393</v>
      </c>
      <c r="BF275" s="174" t="n">
        <v>4838.61</v>
      </c>
      <c r="BG275" s="174" t="n">
        <v>4838.61</v>
      </c>
      <c r="BH275" s="174" t="n">
        <v>4957.088</v>
      </c>
      <c r="BI275" s="174" t="n">
        <v>4978.932</v>
      </c>
      <c r="BJ275" s="174" t="n">
        <v>5298.874</v>
      </c>
      <c r="BK275" s="174" t="n">
        <v>5512.393</v>
      </c>
      <c r="BL275" s="174" t="n">
        <v>5512.393</v>
      </c>
      <c r="BM275" s="174" t="n">
        <v>5651.356</v>
      </c>
      <c r="BN275" s="174" t="n">
        <v>5343.096</v>
      </c>
      <c r="BO275" s="174" t="n">
        <v>5425.831</v>
      </c>
      <c r="BP275" s="174" t="n">
        <v>5491.395</v>
      </c>
      <c r="BQ275" s="174" t="n">
        <v>5491.395</v>
      </c>
      <c r="BR275" s="174" t="n">
        <v>5491.294</v>
      </c>
      <c r="BS275" s="174" t="n">
        <v>5551.096</v>
      </c>
      <c r="BT275" s="174" t="n">
        <v>5516.631</v>
      </c>
      <c r="BU275" s="174" t="n">
        <v>5470.16</v>
      </c>
      <c r="BV275" s="174" t="n">
        <v>5470.16</v>
      </c>
      <c r="BW275" s="174" t="n">
        <v>5656.948</v>
      </c>
      <c r="BX275" s="174" t="n">
        <v>5735.521</v>
      </c>
      <c r="BY275" s="6" t="n"/>
      <c r="BZ275" s="6" t="n"/>
      <c r="CA275" s="6" t="n"/>
      <c r="CB275" s="6" t="n"/>
      <c r="CC275" s="6" t="n"/>
      <c r="CD275" s="6" t="n"/>
      <c r="CE275" s="6" t="n"/>
      <c r="CF275" s="6" t="n"/>
    </row>
    <row r="276" ht="15" customHeight="1">
      <c r="B276" s="61" t="inlineStr">
        <is>
          <t xml:space="preserve">  Check: Σ equity components vs reported total shareholders' equity (should be 0)</t>
        </is>
      </c>
      <c r="C276" s="197">
        <f>IF(ISNUMBER(C277),ROUND(C271-C277,1),"")</f>
        <v/>
      </c>
      <c r="D276" s="197">
        <f>IF(ISNUMBER(D277),ROUND(D271-D277,1),"")</f>
        <v/>
      </c>
      <c r="E276" s="197">
        <f>IF(ISNUMBER(E277),ROUND(E271-E277,1),"")</f>
        <v/>
      </c>
      <c r="F276" s="197">
        <f>IF(ISNUMBER(F277),ROUND(F271-F277,1),"")</f>
        <v/>
      </c>
      <c r="G276" s="197">
        <f>IF(ISNUMBER(G277),ROUND(G271-G277,1),"")</f>
        <v/>
      </c>
      <c r="H276" s="197">
        <f>IF(ISNUMBER(H277),ROUND(H271-H277,1),"")</f>
        <v/>
      </c>
      <c r="I276" s="197">
        <f>IF(ISNUMBER(I277),ROUND(I271-I277,1),"")</f>
        <v/>
      </c>
      <c r="J276" s="197">
        <f>IF(ISNUMBER(J277),ROUND(J271-J277,1),"")</f>
        <v/>
      </c>
      <c r="K276" s="197">
        <f>IF(ISNUMBER(K277),ROUND(K271-K277,1),"")</f>
        <v/>
      </c>
      <c r="L276" s="197">
        <f>IF(ISNUMBER(L277),ROUND(L271-L277,1),"")</f>
        <v/>
      </c>
      <c r="M276" s="197">
        <f>IF(ISNUMBER(M277),ROUND(M271-M277,1),"")</f>
        <v/>
      </c>
      <c r="N276" s="197">
        <f>IF(ISNUMBER(N277),ROUND(N271-N277,1),"")</f>
        <v/>
      </c>
      <c r="O276" s="197">
        <f>IF(ISNUMBER(O277),ROUND(O271-O277,1),"")</f>
        <v/>
      </c>
      <c r="P276" s="197">
        <f>IF(ISNUMBER(P277),ROUND(P271-P277,1),"")</f>
        <v/>
      </c>
      <c r="Q276" s="197">
        <f>IF(ISNUMBER(Q277),ROUND(Q271-Q277,1),"")</f>
        <v/>
      </c>
      <c r="R276" s="197">
        <f>IF(ISNUMBER(R277),ROUND(R271-R277,1),"")</f>
        <v/>
      </c>
      <c r="S276" s="197">
        <f>IF(ISNUMBER(S277),ROUND(S271-S277,1),"")</f>
        <v/>
      </c>
      <c r="T276" s="197">
        <f>IF(ISNUMBER(T277),ROUND(T271-T277,1),"")</f>
        <v/>
      </c>
      <c r="U276" s="197">
        <f>IF(ISNUMBER(U277),ROUND(U271-U277,1),"")</f>
        <v/>
      </c>
      <c r="V276" s="197">
        <f>IF(ISNUMBER(V277),ROUND(V271-V277,1),"")</f>
        <v/>
      </c>
      <c r="W276" s="197">
        <f>IF(ISNUMBER(W277),ROUND(W271-W277,1),"")</f>
        <v/>
      </c>
      <c r="X276" s="197">
        <f>IF(ISNUMBER(X277),ROUND(X271-X277,1),"")</f>
        <v/>
      </c>
      <c r="Y276" s="197">
        <f>IF(ISNUMBER(Y277),ROUND(Y271-Y277,1),"")</f>
        <v/>
      </c>
      <c r="Z276" s="197">
        <f>IF(ISNUMBER(Z277),ROUND(Z271-Z277,1),"")</f>
        <v/>
      </c>
      <c r="AA276" s="197">
        <f>IF(ISNUMBER(AA277),ROUND(AA271-AA277,1),"")</f>
        <v/>
      </c>
      <c r="AB276" s="197">
        <f>IF(ISNUMBER(AB277),ROUND(AB271-AB277,1),"")</f>
        <v/>
      </c>
      <c r="AC276" s="197">
        <f>IF(ISNUMBER(AC277),ROUND(AC271-AC277,1),"")</f>
        <v/>
      </c>
      <c r="AD276" s="197">
        <f>IF(ISNUMBER(AD277),ROUND(AD271-AD277,1),"")</f>
        <v/>
      </c>
      <c r="AE276" s="197">
        <f>IF(ISNUMBER(AE277),ROUND(AE271-AE277,1),"")</f>
        <v/>
      </c>
      <c r="AF276" s="197">
        <f>IF(ISNUMBER(AF277),ROUND(AF271-AF277,1),"")</f>
        <v/>
      </c>
      <c r="AG276" s="197">
        <f>IF(ISNUMBER(AG277),ROUND(AG271-AG277,1),"")</f>
        <v/>
      </c>
      <c r="AH276" s="197">
        <f>IF(ISNUMBER(AH277),ROUND(AH271-AH277,1),"")</f>
        <v/>
      </c>
      <c r="AI276" s="197">
        <f>IF(ISNUMBER(AI277),ROUND(AI271-AI277,1),"")</f>
        <v/>
      </c>
      <c r="AJ276" s="197">
        <f>IF(ISNUMBER(AJ277),ROUND(AJ271-AJ277,1),"")</f>
        <v/>
      </c>
      <c r="AK276" s="197">
        <f>IF(ISNUMBER(AK277),ROUND(AK271-AK277,1),"")</f>
        <v/>
      </c>
      <c r="AL276" s="197">
        <f>IF(ISNUMBER(AL277),ROUND(AL271-AL277,1),"")</f>
        <v/>
      </c>
      <c r="AM276" s="197">
        <f>IF(ISNUMBER(AM277),ROUND(AM271-AM277,1),"")</f>
        <v/>
      </c>
      <c r="AN276" s="197">
        <f>IF(ISNUMBER(AN277),ROUND(AN271-AN277,1),"")</f>
        <v/>
      </c>
      <c r="AO276" s="197">
        <f>IF(ISNUMBER(AO277),ROUND(AO271-AO277,1),"")</f>
        <v/>
      </c>
      <c r="AP276" s="197">
        <f>IF(ISNUMBER(AP277),ROUND(AP271-AP277,1),"")</f>
        <v/>
      </c>
      <c r="AQ276" s="197">
        <f>IF(ISNUMBER(AQ277),ROUND(AQ271-AQ277,1),"")</f>
        <v/>
      </c>
      <c r="AR276" s="197">
        <f>IF(ISNUMBER(AR277),ROUND(AR271-AR277,1),"")</f>
        <v/>
      </c>
      <c r="AS276" s="197">
        <f>IF(ISNUMBER(AS277),ROUND(AS271-AS277,1),"")</f>
        <v/>
      </c>
      <c r="AT276" s="197">
        <f>IF(ISNUMBER(AT277),ROUND(AT271-AT277,1),"")</f>
        <v/>
      </c>
      <c r="AU276" s="197">
        <f>IF(ISNUMBER(AU277),ROUND(AU271-AU277,1),"")</f>
        <v/>
      </c>
      <c r="AV276" s="197">
        <f>IF(ISNUMBER(AV277),ROUND(AV271-AV277,1),"")</f>
        <v/>
      </c>
      <c r="AW276" s="197">
        <f>IF(ISNUMBER(AW277),ROUND(AW271-AW277,1),"")</f>
        <v/>
      </c>
      <c r="AX276" s="197">
        <f>IF(ISNUMBER(AX277),ROUND(AX271-AX277,1),"")</f>
        <v/>
      </c>
      <c r="AY276" s="197">
        <f>IF(ISNUMBER(AY277),ROUND(AY271-AY277,1),"")</f>
        <v/>
      </c>
      <c r="AZ276" s="197">
        <f>IF(ISNUMBER(AZ277),ROUND(AZ271-AZ277,1),"")</f>
        <v/>
      </c>
      <c r="BA276" s="197">
        <f>IF(ISNUMBER(BA277),ROUND(BA271-BA277,1),"")</f>
        <v/>
      </c>
      <c r="BB276" s="197">
        <f>IF(ISNUMBER(BB277),ROUND(BB271-BB277,1),"")</f>
        <v/>
      </c>
      <c r="BC276" s="197">
        <f>IF(ISNUMBER(BC277),ROUND(BC271-BC277,1),"")</f>
        <v/>
      </c>
      <c r="BD276" s="197">
        <f>IF(ISNUMBER(BD277),ROUND(BD271-BD277,1),"")</f>
        <v/>
      </c>
      <c r="BE276" s="197">
        <f>IF(ISNUMBER(BE277),ROUND(BE271-BE277,1),"")</f>
        <v/>
      </c>
      <c r="BF276" s="197">
        <f>IF(ISNUMBER(BF277),ROUND(BF271-BF277,1),"")</f>
        <v/>
      </c>
      <c r="BG276" s="197">
        <f>IF(ISNUMBER(BG277),ROUND(BG271-BG277,1),"")</f>
        <v/>
      </c>
      <c r="BH276" s="197">
        <f>IF(ISNUMBER(BH277),ROUND(BH271-BH277,1),"")</f>
        <v/>
      </c>
      <c r="BI276" s="197">
        <f>IF(ISNUMBER(BI277),ROUND(BI271-BI277,1),"")</f>
        <v/>
      </c>
      <c r="BJ276" s="197">
        <f>IF(ISNUMBER(BJ277),ROUND(BJ271-BJ277,1),"")</f>
        <v/>
      </c>
      <c r="BK276" s="197">
        <f>IF(ISNUMBER(BK277),ROUND(BK271-BK277,1),"")</f>
        <v/>
      </c>
      <c r="BL276" s="197">
        <f>IF(ISNUMBER(BL277),ROUND(BL271-BL277,1),"")</f>
        <v/>
      </c>
      <c r="BM276" s="197">
        <f>IF(ISNUMBER(BM277),ROUND(BM271-BM277,1),"")</f>
        <v/>
      </c>
      <c r="BN276" s="197">
        <f>IF(ISNUMBER(BN277),ROUND(BN271-BN277,1),"")</f>
        <v/>
      </c>
      <c r="BO276" s="197">
        <f>IF(ISNUMBER(BO277),ROUND(BO271-BO277,1),"")</f>
        <v/>
      </c>
      <c r="BP276" s="197">
        <f>IF(ISNUMBER(BP277),ROUND(BP271-BP277,1),"")</f>
        <v/>
      </c>
      <c r="BQ276" s="197">
        <f>IF(ISNUMBER(BQ277),ROUND(BQ271-BQ277,1),"")</f>
        <v/>
      </c>
      <c r="BR276" s="197">
        <f>IF(ISNUMBER(BR277),ROUND(BR271-BR277,1),"")</f>
        <v/>
      </c>
      <c r="BS276" s="197">
        <f>IF(ISNUMBER(BS277),ROUND(BS271-BS277,1),"")</f>
        <v/>
      </c>
      <c r="BT276" s="197">
        <f>IF(ISNUMBER(BT277),ROUND(BT271-BT277,1),"")</f>
        <v/>
      </c>
      <c r="BU276" s="197">
        <f>IF(ISNUMBER(BU277),ROUND(BU271-BU277,1),"")</f>
        <v/>
      </c>
      <c r="BV276" s="197">
        <f>IF(ISNUMBER(BV277),ROUND(BV271-BV277,1),"")</f>
        <v/>
      </c>
      <c r="BW276" s="197">
        <f>IF(ISNUMBER(BW277),ROUND(BW271-BW277,1),"")</f>
        <v/>
      </c>
      <c r="BX276" s="197">
        <f>IF(ISNUMBER(BX277),ROUND(BX271-BX277,1),"")</f>
        <v/>
      </c>
      <c r="BY276" s="6" t="n"/>
      <c r="BZ276" s="6" t="n"/>
      <c r="CA276" s="6" t="n"/>
      <c r="CB276" s="6" t="n"/>
      <c r="CC276" s="6" t="n"/>
      <c r="CD276" s="6" t="n"/>
      <c r="CE276" s="6" t="n"/>
      <c r="CF276" s="6" t="n"/>
    </row>
    <row r="277" ht="15" customHeight="1">
      <c r="B277" s="42" t="inlineStr">
        <is>
          <t xml:space="preserve">  Memo: total shareholders' equity as reported</t>
        </is>
      </c>
      <c r="C277" s="174" t="n">
        <v>417.62</v>
      </c>
      <c r="D277" s="174" t="n">
        <v>489.452</v>
      </c>
      <c r="E277" s="174" t="n">
        <v>558.129</v>
      </c>
      <c r="F277" s="174" t="n">
        <v>593</v>
      </c>
      <c r="G277" s="174" t="n">
        <v>668.649</v>
      </c>
      <c r="H277" s="174" t="n">
        <v>856.519</v>
      </c>
      <c r="I277" s="174" t="n">
        <v>1025.969</v>
      </c>
      <c r="J277" s="174" t="n">
        <v>1066.522</v>
      </c>
      <c r="K277" s="174" t="n">
        <v>1124.777</v>
      </c>
      <c r="L277" s="174" t="n">
        <v>1184.926</v>
      </c>
      <c r="M277" s="174" t="n">
        <v>1232.082</v>
      </c>
      <c r="N277" s="174" t="n">
        <v>1232.082</v>
      </c>
      <c r="O277" s="174" t="n">
        <v>1277.969</v>
      </c>
      <c r="P277" s="174" t="n">
        <v>1351.818</v>
      </c>
      <c r="Q277" s="174" t="n">
        <v>1429.727</v>
      </c>
      <c r="R277" s="174" t="n">
        <v>1494.064</v>
      </c>
      <c r="S277" s="174" t="n">
        <v>1494.064</v>
      </c>
      <c r="T277" s="174" t="n">
        <v>1543.261</v>
      </c>
      <c r="U277" s="174" t="n">
        <v>1599.763</v>
      </c>
      <c r="V277" s="174" t="n">
        <v>1647.413</v>
      </c>
      <c r="W277" s="174" t="n">
        <v>1684.637</v>
      </c>
      <c r="X277" s="174" t="n">
        <v>1684.637</v>
      </c>
      <c r="Y277" s="174" t="n">
        <v>1700.276</v>
      </c>
      <c r="Z277" s="174" t="n">
        <v>1741.769</v>
      </c>
      <c r="AA277" s="174" t="n">
        <v>1793.475</v>
      </c>
      <c r="AB277" s="174" t="n">
        <v>1851.158</v>
      </c>
      <c r="AC277" s="174" t="n">
        <v>1851.158</v>
      </c>
      <c r="AD277" s="174" t="n">
        <v>1909.363</v>
      </c>
      <c r="AE277" s="174" t="n">
        <v>1992.991</v>
      </c>
      <c r="AF277" s="174" t="n">
        <v>2087.016</v>
      </c>
      <c r="AG277" s="174" t="n">
        <v>2276.854</v>
      </c>
      <c r="AH277" s="174" t="n">
        <v>2276.854</v>
      </c>
      <c r="AI277" s="174" t="n">
        <v>2358.751</v>
      </c>
      <c r="AJ277" s="174" t="n">
        <v>2482.051</v>
      </c>
      <c r="AK277" s="174" t="n">
        <v>2616.932</v>
      </c>
      <c r="AL277" s="174" t="n">
        <v>2680.483</v>
      </c>
      <c r="AM277" s="174" t="n">
        <v>2680.483</v>
      </c>
      <c r="AN277" s="174" t="n">
        <v>2770.371</v>
      </c>
      <c r="AO277" s="174" t="n">
        <v>2798.485</v>
      </c>
      <c r="AP277" s="174" t="n">
        <v>2909.528</v>
      </c>
      <c r="AQ277" s="174" t="n">
        <v>3080.717</v>
      </c>
      <c r="AR277" s="174" t="n">
        <v>3080.717</v>
      </c>
      <c r="AS277" s="174" t="n">
        <v>3016.049</v>
      </c>
      <c r="AT277" s="174" t="n">
        <v>2982.468</v>
      </c>
      <c r="AU277" s="174" t="n">
        <v>3170.833</v>
      </c>
      <c r="AV277" s="174" t="n">
        <v>3326.288</v>
      </c>
      <c r="AW277" s="174" t="n">
        <v>3326.288</v>
      </c>
      <c r="AX277" s="174" t="n">
        <v>3191.917</v>
      </c>
      <c r="AY277" s="174" t="n">
        <v>3402.378</v>
      </c>
      <c r="AZ277" s="174" t="n">
        <v>3419.898</v>
      </c>
      <c r="BA277" s="174" t="n">
        <v>3679.807</v>
      </c>
      <c r="BB277" s="174" t="n">
        <v>3679.807</v>
      </c>
      <c r="BC277" s="174" t="n">
        <v>3503.307</v>
      </c>
      <c r="BD277" s="174" t="n">
        <v>3555.829</v>
      </c>
      <c r="BE277" s="174" t="n">
        <v>3558.17</v>
      </c>
      <c r="BF277" s="174" t="n">
        <v>3652.917</v>
      </c>
      <c r="BG277" s="174" t="n">
        <v>3652.917</v>
      </c>
      <c r="BH277" s="174" t="n">
        <v>3746.499</v>
      </c>
      <c r="BI277" s="174" t="n">
        <v>3832.035</v>
      </c>
      <c r="BJ277" s="174" t="n">
        <v>4063.123</v>
      </c>
      <c r="BK277" s="174" t="n">
        <v>4257.811</v>
      </c>
      <c r="BL277" s="174" t="n">
        <v>4257.811</v>
      </c>
      <c r="BM277" s="174" t="n">
        <v>4401.637</v>
      </c>
      <c r="BN277" s="174" t="n">
        <v>4111.899</v>
      </c>
      <c r="BO277" s="174" t="n">
        <v>4175.74</v>
      </c>
      <c r="BP277" s="174" t="n">
        <v>4244.588</v>
      </c>
      <c r="BQ277" s="174" t="n">
        <v>4244.588</v>
      </c>
      <c r="BR277" s="174" t="n">
        <v>4235.324</v>
      </c>
      <c r="BS277" s="174" t="n">
        <v>4230.631</v>
      </c>
      <c r="BT277" s="174" t="n">
        <v>4263.196</v>
      </c>
      <c r="BU277" s="174" t="n">
        <v>4311.057</v>
      </c>
      <c r="BV277" s="174" t="n">
        <v>4311.057</v>
      </c>
      <c r="BW277" s="174" t="n">
        <v>4399.722</v>
      </c>
      <c r="BX277" s="174" t="n">
        <v>4547.352</v>
      </c>
      <c r="BY277" s="6" t="n"/>
      <c r="BZ277" s="6" t="n"/>
      <c r="CA277" s="6" t="n"/>
      <c r="CB277" s="6" t="n"/>
      <c r="CC277" s="6" t="n"/>
      <c r="CD277" s="6" t="n"/>
      <c r="CE277" s="6" t="n"/>
      <c r="CF277" s="6" t="n"/>
    </row>
    <row r="278" ht="15" customHeight="1">
      <c r="B278" s="61" t="inlineStr">
        <is>
          <t xml:space="preserve">  Check: BS cash vs cash-flow ending cash (should be 0)</t>
        </is>
      </c>
      <c r="C278" s="197">
        <f>IF(AND(ISNUMBER(C249),ISNUMBER(C222)),ROUND(C249-C222,1),"")</f>
        <v/>
      </c>
      <c r="D278" s="197">
        <f>IF(AND(ISNUMBER(D249),ISNUMBER(D222)),ROUND(D249-D222,1),"")</f>
        <v/>
      </c>
      <c r="E278" s="197">
        <f>IF(AND(ISNUMBER(E249),ISNUMBER(E222)),ROUND(E249-E222,1),"")</f>
        <v/>
      </c>
      <c r="F278" s="197">
        <f>IF(AND(ISNUMBER(F249),ISNUMBER(F222)),ROUND(F249-F222,1),"")</f>
        <v/>
      </c>
      <c r="G278" s="197">
        <f>IF(AND(ISNUMBER(G249),ISNUMBER(G222)),ROUND(G249-G222,1),"")</f>
        <v/>
      </c>
      <c r="H278" s="197">
        <f>IF(AND(ISNUMBER(H249),ISNUMBER(H222)),ROUND(H249-H222,1),"")</f>
        <v/>
      </c>
      <c r="I278" s="197">
        <f>IF(AND(ISNUMBER(I249),ISNUMBER(I222)),ROUND(I249-I222,1),"")</f>
        <v/>
      </c>
      <c r="J278" s="197">
        <f>IF(AND(ISNUMBER(J249),ISNUMBER(J222)),ROUND(J249-J222,1),"")</f>
        <v/>
      </c>
      <c r="K278" s="197">
        <f>IF(AND(ISNUMBER(K249),ISNUMBER(K222)),ROUND(K249-K222,1),"")</f>
        <v/>
      </c>
      <c r="L278" s="197">
        <f>IF(AND(ISNUMBER(L249),ISNUMBER(L222)),ROUND(L249-L222,1),"")</f>
        <v/>
      </c>
      <c r="M278" s="197">
        <f>IF(AND(ISNUMBER(M249),ISNUMBER(M222)),ROUND(M249-M222,1),"")</f>
        <v/>
      </c>
      <c r="N278" s="197">
        <f>IF(AND(ISNUMBER(N249),ISNUMBER(N222)),ROUND(N249-N222,1),"")</f>
        <v/>
      </c>
      <c r="O278" s="197">
        <f>IF(AND(ISNUMBER(O249),ISNUMBER(O222)),ROUND(O249-O222,1),"")</f>
        <v/>
      </c>
      <c r="P278" s="197">
        <f>IF(AND(ISNUMBER(P249),ISNUMBER(P222)),ROUND(P249-P222,1),"")</f>
        <v/>
      </c>
      <c r="Q278" s="197">
        <f>IF(AND(ISNUMBER(Q249),ISNUMBER(Q222)),ROUND(Q249-Q222,1),"")</f>
        <v/>
      </c>
      <c r="R278" s="197">
        <f>IF(AND(ISNUMBER(R249),ISNUMBER(R222)),ROUND(R249-R222,1),"")</f>
        <v/>
      </c>
      <c r="S278" s="197">
        <f>IF(AND(ISNUMBER(S249),ISNUMBER(S222)),ROUND(S249-S222,1),"")</f>
        <v/>
      </c>
      <c r="T278" s="197">
        <f>IF(AND(ISNUMBER(T249),ISNUMBER(T222)),ROUND(T249-T222,1),"")</f>
        <v/>
      </c>
      <c r="U278" s="197">
        <f>IF(AND(ISNUMBER(U249),ISNUMBER(U222)),ROUND(U249-U222,1),"")</f>
        <v/>
      </c>
      <c r="V278" s="197">
        <f>IF(AND(ISNUMBER(V249),ISNUMBER(V222)),ROUND(V249-V222,1),"")</f>
        <v/>
      </c>
      <c r="W278" s="197">
        <f>IF(AND(ISNUMBER(W249),ISNUMBER(W222)),ROUND(W249-W222,1),"")</f>
        <v/>
      </c>
      <c r="X278" s="197">
        <f>IF(AND(ISNUMBER(X249),ISNUMBER(X222)),ROUND(X249-X222,1),"")</f>
        <v/>
      </c>
      <c r="Y278" s="197">
        <f>IF(AND(ISNUMBER(Y249),ISNUMBER(Y222)),ROUND(Y249-Y222,1),"")</f>
        <v/>
      </c>
      <c r="Z278" s="197">
        <f>IF(AND(ISNUMBER(Z249),ISNUMBER(Z222)),ROUND(Z249-Z222,1),"")</f>
        <v/>
      </c>
      <c r="AA278" s="197">
        <f>IF(AND(ISNUMBER(AA249),ISNUMBER(AA222)),ROUND(AA249-AA222,1),"")</f>
        <v/>
      </c>
      <c r="AB278" s="197">
        <f>IF(AND(ISNUMBER(AB249),ISNUMBER(AB222)),ROUND(AB249-AB222,1),"")</f>
        <v/>
      </c>
      <c r="AC278" s="197">
        <f>IF(AND(ISNUMBER(AC249),ISNUMBER(AC222)),ROUND(AC249-AC222,1),"")</f>
        <v/>
      </c>
      <c r="AD278" s="197">
        <f>IF(AND(ISNUMBER(AD249),ISNUMBER(AD222)),ROUND(AD249-AD222,1),"")</f>
        <v/>
      </c>
      <c r="AE278" s="197">
        <f>IF(AND(ISNUMBER(AE249),ISNUMBER(AE222)),ROUND(AE249-AE222,1),"")</f>
        <v/>
      </c>
      <c r="AF278" s="197">
        <f>IF(AND(ISNUMBER(AF249),ISNUMBER(AF222)),ROUND(AF249-AF222,1),"")</f>
        <v/>
      </c>
      <c r="AG278" s="197">
        <f>IF(AND(ISNUMBER(AG249),ISNUMBER(AG222)),ROUND(AG249-AG222,1),"")</f>
        <v/>
      </c>
      <c r="AH278" s="197">
        <f>IF(AND(ISNUMBER(AH249),ISNUMBER(AH222)),ROUND(AH249-AH222,1),"")</f>
        <v/>
      </c>
      <c r="AI278" s="197">
        <f>IF(AND(ISNUMBER(AI249),ISNUMBER(AI222)),ROUND(AI249-AI222,1),"")</f>
        <v/>
      </c>
      <c r="AJ278" s="197">
        <f>IF(AND(ISNUMBER(AJ249),ISNUMBER(AJ222)),ROUND(AJ249-AJ222,1),"")</f>
        <v/>
      </c>
      <c r="AK278" s="197">
        <f>IF(AND(ISNUMBER(AK249),ISNUMBER(AK222)),ROUND(AK249-AK222,1),"")</f>
        <v/>
      </c>
      <c r="AL278" s="197">
        <f>IF(AND(ISNUMBER(AL249),ISNUMBER(AL222)),ROUND(AL249-AL222,1),"")</f>
        <v/>
      </c>
      <c r="AM278" s="197">
        <f>IF(AND(ISNUMBER(AM249),ISNUMBER(AM222)),ROUND(AM249-AM222,1),"")</f>
        <v/>
      </c>
      <c r="AN278" s="197">
        <f>IF(AND(ISNUMBER(AN249),ISNUMBER(AN222)),ROUND(AN249-AN222,1),"")</f>
        <v/>
      </c>
      <c r="AO278" s="197">
        <f>IF(AND(ISNUMBER(AO249),ISNUMBER(AO222)),ROUND(AO249-AO222,1),"")</f>
        <v/>
      </c>
      <c r="AP278" s="197">
        <f>IF(AND(ISNUMBER(AP249),ISNUMBER(AP222)),ROUND(AP249-AP222,1),"")</f>
        <v/>
      </c>
      <c r="AQ278" s="197">
        <f>IF(AND(ISNUMBER(AQ249),ISNUMBER(AQ222)),ROUND(AQ249-AQ222,1),"")</f>
        <v/>
      </c>
      <c r="AR278" s="197">
        <f>IF(AND(ISNUMBER(AR249),ISNUMBER(AR222)),ROUND(AR249-AR222,1),"")</f>
        <v/>
      </c>
      <c r="AS278" s="197">
        <f>IF(AND(ISNUMBER(AS249),ISNUMBER(AS222)),ROUND(AS249-AS222,1),"")</f>
        <v/>
      </c>
      <c r="AT278" s="197">
        <f>IF(AND(ISNUMBER(AT249),ISNUMBER(AT222)),ROUND(AT249-AT222,1),"")</f>
        <v/>
      </c>
      <c r="AU278" s="197">
        <f>IF(AND(ISNUMBER(AU249),ISNUMBER(AU222)),ROUND(AU249-AU222,1),"")</f>
        <v/>
      </c>
      <c r="AV278" s="197">
        <f>IF(AND(ISNUMBER(AV249),ISNUMBER(AV222)),ROUND(AV249-AV222,1),"")</f>
        <v/>
      </c>
      <c r="AW278" s="197">
        <f>IF(AND(ISNUMBER(AW249),ISNUMBER(AW222)),ROUND(AW249-AW222,1),"")</f>
        <v/>
      </c>
      <c r="AX278" s="197">
        <f>IF(AND(ISNUMBER(AX249),ISNUMBER(AX222)),ROUND(AX249-AX222,1),"")</f>
        <v/>
      </c>
      <c r="AY278" s="197">
        <f>IF(AND(ISNUMBER(AY249),ISNUMBER(AY222)),ROUND(AY249-AY222,1),"")</f>
        <v/>
      </c>
      <c r="AZ278" s="197">
        <f>IF(AND(ISNUMBER(AZ249),ISNUMBER(AZ222)),ROUND(AZ249-AZ222,1),"")</f>
        <v/>
      </c>
      <c r="BA278" s="197">
        <f>IF(AND(ISNUMBER(BA249),ISNUMBER(BA222)),ROUND(BA249-BA222,1),"")</f>
        <v/>
      </c>
      <c r="BB278" s="197">
        <f>IF(AND(ISNUMBER(BB249),ISNUMBER(BB222)),ROUND(BB249-BB222,1),"")</f>
        <v/>
      </c>
      <c r="BC278" s="197">
        <f>IF(AND(ISNUMBER(BC249),ISNUMBER(BC222)),ROUND(BC249-BC222,1),"")</f>
        <v/>
      </c>
      <c r="BD278" s="197">
        <f>IF(AND(ISNUMBER(BD249),ISNUMBER(BD222)),ROUND(BD249-BD222,1),"")</f>
        <v/>
      </c>
      <c r="BE278" s="197">
        <f>IF(AND(ISNUMBER(BE249),ISNUMBER(BE222)),ROUND(BE249-BE222,1),"")</f>
        <v/>
      </c>
      <c r="BF278" s="197">
        <f>IF(AND(ISNUMBER(BF249),ISNUMBER(BF222)),ROUND(BF249-BF222,1),"")</f>
        <v/>
      </c>
      <c r="BG278" s="197">
        <f>IF(AND(ISNUMBER(BG249),ISNUMBER(BG222)),ROUND(BG249-BG222,1),"")</f>
        <v/>
      </c>
      <c r="BH278" s="197">
        <f>IF(AND(ISNUMBER(BH249),ISNUMBER(BH222)),ROUND(BH249-BH222,1),"")</f>
        <v/>
      </c>
      <c r="BI278" s="197">
        <f>IF(AND(ISNUMBER(BI249),ISNUMBER(BI222)),ROUND(BI249-BI222,1),"")</f>
        <v/>
      </c>
      <c r="BJ278" s="197">
        <f>IF(AND(ISNUMBER(BJ249),ISNUMBER(BJ222)),ROUND(BJ249-BJ222,1),"")</f>
        <v/>
      </c>
      <c r="BK278" s="197">
        <f>IF(AND(ISNUMBER(BK249),ISNUMBER(BK222)),ROUND(BK249-BK222,1),"")</f>
        <v/>
      </c>
      <c r="BL278" s="197">
        <f>IF(AND(ISNUMBER(BL249),ISNUMBER(BL222)),ROUND(BL249-BL222,1),"")</f>
        <v/>
      </c>
      <c r="BM278" s="197">
        <f>IF(AND(ISNUMBER(BM249),ISNUMBER(BM222)),ROUND(BM249-BM222,1),"")</f>
        <v/>
      </c>
      <c r="BN278" s="197">
        <f>IF(AND(ISNUMBER(BN249),ISNUMBER(BN222)),ROUND(BN249-BN222,1),"")</f>
        <v/>
      </c>
      <c r="BO278" s="197">
        <f>IF(AND(ISNUMBER(BO249),ISNUMBER(BO222)),ROUND(BO249-BO222,1),"")</f>
        <v/>
      </c>
      <c r="BP278" s="197">
        <f>IF(AND(ISNUMBER(BP249),ISNUMBER(BP222)),ROUND(BP249-BP222,1),"")</f>
        <v/>
      </c>
      <c r="BQ278" s="197">
        <f>IF(AND(ISNUMBER(BQ249),ISNUMBER(BQ222)),ROUND(BQ249-BQ222,1),"")</f>
        <v/>
      </c>
      <c r="BR278" s="197">
        <f>IF(AND(ISNUMBER(BR249),ISNUMBER(BR222)),ROUND(BR249-BR222,1),"")</f>
        <v/>
      </c>
      <c r="BS278" s="197">
        <f>IF(AND(ISNUMBER(BS249),ISNUMBER(BS222)),ROUND(BS249-BS222,1),"")</f>
        <v/>
      </c>
      <c r="BT278" s="197">
        <f>IF(AND(ISNUMBER(BT249),ISNUMBER(BT222)),ROUND(BT249-BT222,1),"")</f>
        <v/>
      </c>
      <c r="BU278" s="197">
        <f>IF(AND(ISNUMBER(BU249),ISNUMBER(BU222)),ROUND(BU249-BU222,1),"")</f>
        <v/>
      </c>
      <c r="BV278" s="197">
        <f>IF(AND(ISNUMBER(BV249),ISNUMBER(BV222)),ROUND(BV249-BV222,1),"")</f>
        <v/>
      </c>
      <c r="BW278" s="197">
        <f>IF(AND(ISNUMBER(BW249),ISNUMBER(BW222)),ROUND(BW249-BW222,1),"")</f>
        <v/>
      </c>
      <c r="BX278" s="197">
        <f>IF(AND(ISNUMBER(BX249),ISNUMBER(BX222)),ROUND(BX249-BX222,1),"")</f>
        <v/>
      </c>
      <c r="BY278" s="6" t="n"/>
      <c r="BZ278" s="6" t="n"/>
      <c r="CA278" s="198">
        <f>IF(AND(ISNUMBER(CA249),ISNUMBER(CA222)),ROUND(CA249-CA222,1),"")</f>
        <v/>
      </c>
      <c r="CB278" s="198">
        <f>IF(AND(ISNUMBER(CB249),ISNUMBER(CB222)),ROUND(CB249-CB222,1),"")</f>
        <v/>
      </c>
      <c r="CC278" s="198">
        <f>IF(AND(ISNUMBER(CC249),ISNUMBER(CC222)),ROUND(CC249-CC222,1),"")</f>
        <v/>
      </c>
      <c r="CD278" s="198">
        <f>IF(AND(ISNUMBER(CD249),ISNUMBER(CD222)),ROUND(CD249-CD222,1),"")</f>
        <v/>
      </c>
      <c r="CE278" s="198">
        <f>IF(AND(ISNUMBER(CE249),ISNUMBER(CE222)),ROUND(CE249-CE222,1),"")</f>
        <v/>
      </c>
      <c r="CF278" s="6" t="n"/>
    </row>
    <row r="279" ht="15" customHeight="1">
      <c r="B279" s="42" t="inlineStr">
        <is>
          <t xml:space="preserve">  Memo: common shares outstanding at period end (m; split-adjusted)</t>
        </is>
      </c>
      <c r="C279" s="205" t="n">
        <v>251.6716</v>
      </c>
      <c r="D279" s="205" t="n">
        <v>251.6716</v>
      </c>
      <c r="E279" s="205" t="n">
        <v>251.6716</v>
      </c>
      <c r="F279" s="205" t="n">
        <v>251.6716</v>
      </c>
      <c r="G279" s="205" t="n">
        <v>251.6713</v>
      </c>
      <c r="H279" s="205" t="n">
        <v>258.495</v>
      </c>
      <c r="I279" s="205" t="n">
        <v>258.4948</v>
      </c>
      <c r="J279" s="205" t="n">
        <v>258.4948</v>
      </c>
      <c r="K279" s="205" t="n">
        <v>258.4948</v>
      </c>
      <c r="L279" s="205" t="n">
        <v>258.4948</v>
      </c>
      <c r="M279" s="205" t="n">
        <v>258.4948</v>
      </c>
      <c r="N279" s="205" t="n">
        <v>258.4948</v>
      </c>
      <c r="O279" s="205" t="n">
        <v>258.4948</v>
      </c>
      <c r="P279" s="205" t="n">
        <v>258.4948</v>
      </c>
      <c r="Q279" s="205" t="n">
        <v>258.4948</v>
      </c>
      <c r="R279" s="205" t="n">
        <v>258.2829</v>
      </c>
      <c r="S279" s="205" t="n">
        <v>258.2829</v>
      </c>
      <c r="T279" s="205" t="n">
        <v>257.741</v>
      </c>
      <c r="U279" s="205" t="n">
        <v>256.5201</v>
      </c>
      <c r="V279" s="205" t="n">
        <v>254.9019</v>
      </c>
      <c r="W279" s="205" t="n">
        <v>253.2356</v>
      </c>
      <c r="X279" s="205" t="n">
        <v>253.2356</v>
      </c>
      <c r="Y279" s="205" t="n">
        <v>250.9482</v>
      </c>
      <c r="Z279" s="205" t="n">
        <v>249.2881</v>
      </c>
      <c r="AA279" s="205" t="n">
        <v>247.7359</v>
      </c>
      <c r="AB279" s="205" t="n">
        <v>247.25</v>
      </c>
      <c r="AC279" s="205" t="n">
        <v>247.25</v>
      </c>
      <c r="AD279" s="205" t="n">
        <v>247.3969</v>
      </c>
      <c r="AE279" s="205" t="n">
        <v>247.1635</v>
      </c>
      <c r="AF279" s="205" t="n">
        <v>247.1278</v>
      </c>
      <c r="AG279" s="205" t="n">
        <v>247.1278</v>
      </c>
      <c r="AH279" s="205" t="n">
        <v>247.1278</v>
      </c>
      <c r="AI279" s="205" t="n">
        <v>246.8525</v>
      </c>
      <c r="AJ279" s="205" t="n">
        <v>246.2381</v>
      </c>
      <c r="AK279" s="205" t="n">
        <v>245.6561</v>
      </c>
      <c r="AL279" s="205" t="n">
        <v>243.6934</v>
      </c>
      <c r="AM279" s="205" t="n">
        <v>243.6934</v>
      </c>
      <c r="AN279" s="205" t="n">
        <v>243.2157</v>
      </c>
      <c r="AO279" s="205" t="n">
        <v>240.416</v>
      </c>
      <c r="AP279" s="205" t="n">
        <v>239.6531</v>
      </c>
      <c r="AQ279" s="205" t="n">
        <v>239.0651</v>
      </c>
      <c r="AR279" s="205" t="n">
        <v>239.0651</v>
      </c>
      <c r="AS279" s="205" t="n">
        <v>236.267</v>
      </c>
      <c r="AT279" s="205" t="n">
        <v>234.6707</v>
      </c>
      <c r="AU279" s="205" t="n">
        <v>234.6629</v>
      </c>
      <c r="AV279" s="205" t="n">
        <v>234.1154</v>
      </c>
      <c r="AW279" s="205" t="n">
        <v>234.1154</v>
      </c>
      <c r="AX279" s="205" t="n">
        <v>231.9293</v>
      </c>
      <c r="AY279" s="205" t="n">
        <v>231.6202</v>
      </c>
      <c r="AZ279" s="205" t="n">
        <v>230.0223</v>
      </c>
      <c r="BA279" s="205" t="n">
        <v>230.0223</v>
      </c>
      <c r="BB279" s="205" t="n">
        <v>230.0223</v>
      </c>
      <c r="BC279" s="205" t="n">
        <v>227.5223</v>
      </c>
      <c r="BD279" s="205" t="n">
        <v>224.4722</v>
      </c>
      <c r="BE279" s="205" t="n">
        <v>221.909</v>
      </c>
      <c r="BF279" s="205" t="n">
        <v>220.4456</v>
      </c>
      <c r="BG279" s="205" t="n">
        <v>220.4456</v>
      </c>
      <c r="BH279" s="205" t="n">
        <v>219.6619</v>
      </c>
      <c r="BI279" s="205" t="n">
        <v>218.6749</v>
      </c>
      <c r="BJ279" s="205" t="n">
        <v>218.3579</v>
      </c>
      <c r="BK279" s="205" t="n">
        <v>217.9309</v>
      </c>
      <c r="BL279" s="205" t="n">
        <v>217.9309</v>
      </c>
      <c r="BM279" s="205" t="n">
        <v>217.5987</v>
      </c>
      <c r="BN279" s="205" t="n">
        <v>214.7581</v>
      </c>
      <c r="BO279" s="205" t="n">
        <v>213.7947</v>
      </c>
      <c r="BP279" s="205" t="n">
        <v>212.9847</v>
      </c>
      <c r="BQ279" s="205" t="n">
        <v>212.9847</v>
      </c>
      <c r="BR279" s="205" t="n">
        <v>211.9293</v>
      </c>
      <c r="BS279" s="205" t="n">
        <v>210.5958</v>
      </c>
      <c r="BT279" s="205" t="n">
        <v>209.4256</v>
      </c>
      <c r="BU279" s="205" t="n">
        <v>208.5568</v>
      </c>
      <c r="BV279" s="205" t="n">
        <v>208.5568</v>
      </c>
      <c r="BW279" s="205" t="n">
        <v>208.1469</v>
      </c>
      <c r="BX279" s="205" t="n">
        <v>207.4713</v>
      </c>
      <c r="BY279" s="6" t="n"/>
      <c r="BZ279" s="6" t="n"/>
      <c r="CA279" s="198">
        <f>CA243</f>
        <v/>
      </c>
      <c r="CB279" s="198">
        <f>CB243</f>
        <v/>
      </c>
      <c r="CC279" s="198">
        <f>CC243</f>
        <v/>
      </c>
      <c r="CD279" s="198">
        <f>CD243</f>
        <v/>
      </c>
      <c r="CE279" s="198">
        <f>CE243</f>
        <v/>
      </c>
      <c r="CF279" s="6" t="n"/>
    </row>
    <row r="280" hidden="1" outlineLevel="1" ht="15" customHeight="1">
      <c r="B280" s="26" t="inlineStr">
        <is>
          <t xml:space="preserve">  Memo: property &amp; equipment at cost (10-K / 10-Q):</t>
        </is>
      </c>
      <c r="CF280" s="6" t="n"/>
    </row>
    <row r="281" hidden="1" outlineLevel="1" ht="15" customHeight="1">
      <c r="B281" s="42" t="inlineStr">
        <is>
          <t xml:space="preserve">    Revenue equipment</t>
        </is>
      </c>
      <c r="C281" s="174" t="n">
        <v>494.046</v>
      </c>
      <c r="D281" s="174" t="n">
        <v>577.385</v>
      </c>
      <c r="E281" s="174" t="n">
        <v>601.25</v>
      </c>
      <c r="F281" s="174" t="n">
        <v>668.427</v>
      </c>
      <c r="G281" s="174" t="n">
        <v>701.648</v>
      </c>
      <c r="H281" s="174" t="n">
        <v>789.984</v>
      </c>
      <c r="I281" s="174" t="n">
        <v>922.03</v>
      </c>
      <c r="J281" s="174" t="n">
        <v>919.3</v>
      </c>
      <c r="K281" s="174" t="n">
        <v>981.823</v>
      </c>
      <c r="L281" s="174" t="n">
        <v>1014.041</v>
      </c>
      <c r="M281" s="174" t="n">
        <v>1009.936</v>
      </c>
      <c r="N281" s="174" t="n">
        <v>1009.936</v>
      </c>
      <c r="O281" s="174" t="n">
        <v>1043.633</v>
      </c>
      <c r="P281" s="174" t="n">
        <v>1132.458</v>
      </c>
      <c r="Q281" s="174" t="n">
        <v>1163.523</v>
      </c>
      <c r="R281" s="174" t="n">
        <v>1158.108</v>
      </c>
      <c r="S281" s="174" t="n">
        <v>1158.108</v>
      </c>
      <c r="T281" s="174" t="n">
        <v>1190.899</v>
      </c>
      <c r="U281" s="174" t="n">
        <v>1288.267</v>
      </c>
      <c r="V281" s="174" t="n">
        <v>1361.513</v>
      </c>
      <c r="W281" s="174" t="n">
        <v>1358.317</v>
      </c>
      <c r="X281" s="174" t="n">
        <v>1358.317</v>
      </c>
      <c r="Y281" s="174" t="n">
        <v>1409.501</v>
      </c>
      <c r="Z281" s="174" t="n">
        <v>1522.997</v>
      </c>
      <c r="AA281" s="174" t="n">
        <v>1513.869</v>
      </c>
      <c r="AB281" s="174" t="n">
        <v>1496.697</v>
      </c>
      <c r="AC281" s="174" t="n">
        <v>1496.697</v>
      </c>
      <c r="AD281" s="174" t="n">
        <v>1492.136</v>
      </c>
      <c r="AE281" s="174" t="n">
        <v>1573.352</v>
      </c>
      <c r="AF281" s="174" t="n">
        <v>1612.38</v>
      </c>
      <c r="AG281" s="174" t="n">
        <v>1591.036</v>
      </c>
      <c r="AH281" s="174" t="n">
        <v>1591.036</v>
      </c>
      <c r="AI281" s="174" t="n">
        <v>1634.854</v>
      </c>
      <c r="AJ281" s="174" t="n">
        <v>1760.117</v>
      </c>
      <c r="AK281" s="174" t="n">
        <v>1835.16</v>
      </c>
      <c r="AL281" s="174" t="n">
        <v>1811.233</v>
      </c>
      <c r="AM281" s="174" t="n">
        <v>1811.233</v>
      </c>
      <c r="AN281" s="174" t="n">
        <v>1835.518</v>
      </c>
      <c r="AO281" s="174" t="n">
        <v>1906.675</v>
      </c>
      <c r="AP281" s="174" t="n">
        <v>1916.392</v>
      </c>
      <c r="AQ281" s="174" t="n">
        <v>1898.999</v>
      </c>
      <c r="AR281" s="174" t="n">
        <v>1898.999</v>
      </c>
      <c r="AS281" s="174" t="n">
        <v>1898.633</v>
      </c>
      <c r="AT281" s="174" t="n">
        <v>1902.486</v>
      </c>
      <c r="AU281" s="174" t="n">
        <v>1892.005</v>
      </c>
      <c r="AV281" s="174" t="n">
        <v>1885.649</v>
      </c>
      <c r="AW281" s="174" t="n">
        <v>1885.649</v>
      </c>
      <c r="AX281" s="174" t="n">
        <v>1894.361</v>
      </c>
      <c r="AY281" s="174" t="n">
        <v>1991.845</v>
      </c>
      <c r="AZ281" s="174" t="n">
        <v>2096.973</v>
      </c>
      <c r="BA281" s="174" t="n">
        <v>2146.205</v>
      </c>
      <c r="BB281" s="174" t="n">
        <v>2146.205</v>
      </c>
      <c r="BC281" s="174" t="n">
        <v>2156.6</v>
      </c>
      <c r="BD281" s="174" t="n">
        <v>2248.493</v>
      </c>
      <c r="BE281" s="174" t="n">
        <v>2344.781</v>
      </c>
      <c r="BF281" s="174" t="n">
        <v>2501.995</v>
      </c>
      <c r="BG281" s="174" t="n">
        <v>2501.995</v>
      </c>
      <c r="BH281" s="174" t="n">
        <v>2556.832</v>
      </c>
      <c r="BI281" s="174" t="n">
        <v>2620.882</v>
      </c>
      <c r="BJ281" s="174" t="n">
        <v>2636.599</v>
      </c>
      <c r="BK281" s="174" t="n">
        <v>2590.77</v>
      </c>
      <c r="BL281" s="174" t="n">
        <v>2590.77</v>
      </c>
      <c r="BM281" s="174" t="n">
        <v>2578.067</v>
      </c>
      <c r="BN281" s="174" t="n">
        <v>2670.203</v>
      </c>
      <c r="BO281" s="174" t="n">
        <v>2722.884</v>
      </c>
      <c r="BP281" s="174" t="n">
        <v>2752.594</v>
      </c>
      <c r="BQ281" s="174" t="n">
        <v>2752.594</v>
      </c>
      <c r="BR281" s="174" t="n">
        <v>2716.488</v>
      </c>
      <c r="BS281" s="174" t="n">
        <v>2777.319</v>
      </c>
      <c r="BT281" s="174" t="n">
        <v>2764.711</v>
      </c>
      <c r="BU281" s="174" t="n">
        <v>2678.446</v>
      </c>
      <c r="BV281" s="174" t="n">
        <v>2678.446</v>
      </c>
      <c r="BW281" s="174" t="n">
        <v>2683.339</v>
      </c>
      <c r="BX281" s="174" t="n">
        <v>2716.367</v>
      </c>
      <c r="BY281" s="6" t="n"/>
      <c r="BZ281" s="6" t="n"/>
      <c r="CA281" s="6" t="n"/>
      <c r="CB281" s="6" t="n"/>
      <c r="CC281" s="6" t="n"/>
      <c r="CD281" s="6" t="n"/>
      <c r="CE281" s="6" t="n"/>
      <c r="CF281" s="6" t="n"/>
    </row>
    <row r="282" hidden="1" outlineLevel="1" ht="15" customHeight="1">
      <c r="B282" s="42" t="inlineStr">
        <is>
          <t xml:space="preserve">    Land &amp; structures</t>
        </is>
      </c>
      <c r="C282" s="174" t="n">
        <v>308.537</v>
      </c>
      <c r="D282" s="174" t="n">
        <v>377.557</v>
      </c>
      <c r="E282" s="174" t="n">
        <v>434.821</v>
      </c>
      <c r="F282" s="174" t="n">
        <v>619.477</v>
      </c>
      <c r="G282" s="174" t="n">
        <v>667.917</v>
      </c>
      <c r="H282" s="174" t="n">
        <v>738.359</v>
      </c>
      <c r="I282" s="174" t="n">
        <v>874.768</v>
      </c>
      <c r="J282" s="174" t="n">
        <v>893.72</v>
      </c>
      <c r="K282" s="174" t="n">
        <v>927.809</v>
      </c>
      <c r="L282" s="174" t="n">
        <v>952.383</v>
      </c>
      <c r="M282" s="174" t="n">
        <v>990.256</v>
      </c>
      <c r="N282" s="174" t="n">
        <v>990.256</v>
      </c>
      <c r="O282" s="174" t="n">
        <v>1012.028</v>
      </c>
      <c r="P282" s="174" t="n">
        <v>1021.344</v>
      </c>
      <c r="Q282" s="174" t="n">
        <v>1044.678</v>
      </c>
      <c r="R282" s="174" t="n">
        <v>1088.372</v>
      </c>
      <c r="S282" s="174" t="n">
        <v>1088.372</v>
      </c>
      <c r="T282" s="174" t="n">
        <v>1109.731</v>
      </c>
      <c r="U282" s="174" t="n">
        <v>1133.118</v>
      </c>
      <c r="V282" s="174" t="n">
        <v>1158.683</v>
      </c>
      <c r="W282" s="174" t="n">
        <v>1221.25</v>
      </c>
      <c r="X282" s="174" t="n">
        <v>1221.25</v>
      </c>
      <c r="Y282" s="174" t="n">
        <v>1266.327</v>
      </c>
      <c r="Z282" s="174" t="n">
        <v>1289.988</v>
      </c>
      <c r="AA282" s="174" t="n">
        <v>1329.051</v>
      </c>
      <c r="AB282" s="174" t="n">
        <v>1377.106</v>
      </c>
      <c r="AC282" s="174" t="n">
        <v>1377.106</v>
      </c>
      <c r="AD282" s="174" t="n">
        <v>1417.866</v>
      </c>
      <c r="AE282" s="174" t="n">
        <v>1445.188</v>
      </c>
      <c r="AF282" s="174" t="n">
        <v>1481.738</v>
      </c>
      <c r="AG282" s="174" t="n">
        <v>1548.079</v>
      </c>
      <c r="AH282" s="174" t="n">
        <v>1548.079</v>
      </c>
      <c r="AI282" s="174" t="n">
        <v>1588.132</v>
      </c>
      <c r="AJ282" s="174" t="n">
        <v>1638.421</v>
      </c>
      <c r="AK282" s="174" t="n">
        <v>1708.825</v>
      </c>
      <c r="AL282" s="174" t="n">
        <v>1796.868</v>
      </c>
      <c r="AM282" s="174" t="n">
        <v>1796.868</v>
      </c>
      <c r="AN282" s="174" t="n">
        <v>1829.36</v>
      </c>
      <c r="AO282" s="174" t="n">
        <v>1898.9</v>
      </c>
      <c r="AP282" s="174" t="n">
        <v>1972.038</v>
      </c>
      <c r="AQ282" s="174" t="n">
        <v>2039.937</v>
      </c>
      <c r="AR282" s="174" t="n">
        <v>2039.937</v>
      </c>
      <c r="AS282" s="174" t="n">
        <v>2082.96</v>
      </c>
      <c r="AT282" s="174" t="n">
        <v>2126.4</v>
      </c>
      <c r="AU282" s="174" t="n">
        <v>2167.557</v>
      </c>
      <c r="AV282" s="174" t="n">
        <v>2218.29</v>
      </c>
      <c r="AW282" s="174" t="n">
        <v>2218.29</v>
      </c>
      <c r="AX282" s="174" t="n">
        <v>2254.491</v>
      </c>
      <c r="AY282" s="174" t="n">
        <v>2297.101</v>
      </c>
      <c r="AZ282" s="174" t="n">
        <v>2352.569</v>
      </c>
      <c r="BA282" s="174" t="n">
        <v>2463.949</v>
      </c>
      <c r="BB282" s="174" t="n">
        <v>2463.949</v>
      </c>
      <c r="BC282" s="174" t="n">
        <v>2508.592</v>
      </c>
      <c r="BD282" s="174" t="n">
        <v>2618.098</v>
      </c>
      <c r="BE282" s="174" t="n">
        <v>2670.604</v>
      </c>
      <c r="BF282" s="174" t="n">
        <v>2750.1</v>
      </c>
      <c r="BG282" s="174" t="n">
        <v>2750.1</v>
      </c>
      <c r="BH282" s="174" t="n">
        <v>2834.205</v>
      </c>
      <c r="BI282" s="174" t="n">
        <v>2898.475</v>
      </c>
      <c r="BJ282" s="174" t="n">
        <v>2956.811</v>
      </c>
      <c r="BK282" s="174" t="n">
        <v>3021.447</v>
      </c>
      <c r="BL282" s="174" t="n">
        <v>3021.447</v>
      </c>
      <c r="BM282" s="174" t="n">
        <v>3110.076</v>
      </c>
      <c r="BN282" s="174" t="n">
        <v>3192.073</v>
      </c>
      <c r="BO282" s="174" t="n">
        <v>3279.707</v>
      </c>
      <c r="BP282" s="174" t="n">
        <v>3363.701</v>
      </c>
      <c r="BQ282" s="174" t="n">
        <v>3363.701</v>
      </c>
      <c r="BR282" s="174" t="n">
        <v>3408.391</v>
      </c>
      <c r="BS282" s="174" t="n">
        <v>3492.344</v>
      </c>
      <c r="BT282" s="174" t="n">
        <v>3524.155</v>
      </c>
      <c r="BU282" s="174" t="n">
        <v>3523.364</v>
      </c>
      <c r="BV282" s="174" t="n">
        <v>3523.364</v>
      </c>
      <c r="BW282" s="174" t="n">
        <v>3549.041</v>
      </c>
      <c r="BX282" s="174" t="n">
        <v>3570.165</v>
      </c>
      <c r="BY282" s="6" t="n"/>
      <c r="BZ282" s="6" t="n"/>
      <c r="CA282" s="6" t="n"/>
      <c r="CB282" s="6" t="n"/>
      <c r="CC282" s="6" t="n"/>
      <c r="CD282" s="6" t="n"/>
      <c r="CE282" s="6" t="n"/>
      <c r="CF282" s="6" t="n"/>
    </row>
    <row r="283" hidden="1" outlineLevel="1" ht="15" customHeight="1">
      <c r="B283" s="42" t="inlineStr">
        <is>
          <t xml:space="preserve">    Other fixed assets</t>
        </is>
      </c>
      <c r="C283" s="174" t="n">
        <v>111.854</v>
      </c>
      <c r="D283" s="174" t="n">
        <v>129.174</v>
      </c>
      <c r="E283" s="174" t="n">
        <v>213.421</v>
      </c>
      <c r="F283" s="174" t="n">
        <v>156.687</v>
      </c>
      <c r="G283" s="174" t="n">
        <v>170.533</v>
      </c>
      <c r="H283" s="174" t="n">
        <v>214.816</v>
      </c>
      <c r="I283" s="174" t="n">
        <v>225.298</v>
      </c>
      <c r="J283" s="174" t="n">
        <v>230.754</v>
      </c>
      <c r="K283" s="174" t="n">
        <v>244.868</v>
      </c>
      <c r="L283" s="174" t="n">
        <v>251.125</v>
      </c>
      <c r="M283" s="174" t="n">
        <v>266.563</v>
      </c>
      <c r="N283" s="174" t="n">
        <v>266.563</v>
      </c>
      <c r="O283" s="174" t="n">
        <v>285.052</v>
      </c>
      <c r="P283" s="174" t="n">
        <v>295.555</v>
      </c>
      <c r="Q283" s="174" t="n">
        <v>320.084</v>
      </c>
      <c r="R283" s="174" t="n">
        <v>321.31</v>
      </c>
      <c r="S283" s="174" t="n">
        <v>321.31</v>
      </c>
      <c r="T283" s="174" t="n">
        <v>335.706</v>
      </c>
      <c r="U283" s="174" t="n">
        <v>353.932</v>
      </c>
      <c r="V283" s="174" t="n">
        <v>362.74</v>
      </c>
      <c r="W283" s="174" t="n">
        <v>365.673</v>
      </c>
      <c r="X283" s="174" t="n">
        <v>365.673</v>
      </c>
      <c r="Y283" s="174" t="n">
        <v>375.26</v>
      </c>
      <c r="Z283" s="174" t="n">
        <v>389.458</v>
      </c>
      <c r="AA283" s="174" t="n">
        <v>396.851</v>
      </c>
      <c r="AB283" s="174" t="n">
        <v>402.482</v>
      </c>
      <c r="AC283" s="174" t="n">
        <v>402.482</v>
      </c>
      <c r="AD283" s="174" t="n">
        <v>416.431</v>
      </c>
      <c r="AE283" s="174" t="n">
        <v>419.188</v>
      </c>
      <c r="AF283" s="174" t="n">
        <v>427.271</v>
      </c>
      <c r="AG283" s="174" t="n">
        <v>432.146</v>
      </c>
      <c r="AH283" s="174" t="n">
        <v>432.146</v>
      </c>
      <c r="AI283" s="174" t="n">
        <v>441.957</v>
      </c>
      <c r="AJ283" s="174" t="n">
        <v>451.237</v>
      </c>
      <c r="AK283" s="174" t="n">
        <v>450.992</v>
      </c>
      <c r="AL283" s="174" t="n">
        <v>454.432</v>
      </c>
      <c r="AM283" s="174" t="n">
        <v>454.432</v>
      </c>
      <c r="AN283" s="174" t="n">
        <v>463.326</v>
      </c>
      <c r="AO283" s="174" t="n">
        <v>477.87</v>
      </c>
      <c r="AP283" s="174" t="n">
        <v>487.635</v>
      </c>
      <c r="AQ283" s="174" t="n">
        <v>482.425</v>
      </c>
      <c r="AR283" s="174" t="n">
        <v>482.425</v>
      </c>
      <c r="AS283" s="174" t="n">
        <v>486.408</v>
      </c>
      <c r="AT283" s="174" t="n">
        <v>491.902</v>
      </c>
      <c r="AU283" s="174" t="n">
        <v>495.268</v>
      </c>
      <c r="AV283" s="174" t="n">
        <v>475.264</v>
      </c>
      <c r="AW283" s="174" t="n">
        <v>475.264</v>
      </c>
      <c r="AX283" s="174" t="n">
        <v>481.364</v>
      </c>
      <c r="AY283" s="174" t="n">
        <v>493.87</v>
      </c>
      <c r="AZ283" s="174" t="n">
        <v>502.907</v>
      </c>
      <c r="BA283" s="174" t="n">
        <v>512.34</v>
      </c>
      <c r="BB283" s="174" t="n">
        <v>512.34</v>
      </c>
      <c r="BC283" s="174" t="n">
        <v>530.304</v>
      </c>
      <c r="BD283" s="174" t="n">
        <v>543.806</v>
      </c>
      <c r="BE283" s="174" t="n">
        <v>568.131</v>
      </c>
      <c r="BF283" s="174" t="n">
        <v>550.442</v>
      </c>
      <c r="BG283" s="174" t="n">
        <v>550.442</v>
      </c>
      <c r="BH283" s="174" t="n">
        <v>605.301</v>
      </c>
      <c r="BI283" s="174" t="n">
        <v>613.381</v>
      </c>
      <c r="BJ283" s="174" t="n">
        <v>637.447</v>
      </c>
      <c r="BK283" s="174" t="n">
        <v>623.164</v>
      </c>
      <c r="BL283" s="174" t="n">
        <v>623.164</v>
      </c>
      <c r="BM283" s="174" t="n">
        <v>642.377</v>
      </c>
      <c r="BN283" s="174" t="n">
        <v>655.854</v>
      </c>
      <c r="BO283" s="174" t="n">
        <v>679.196</v>
      </c>
      <c r="BP283" s="174" t="n">
        <v>700.188</v>
      </c>
      <c r="BQ283" s="174" t="n">
        <v>700.188</v>
      </c>
      <c r="BR283" s="174" t="n">
        <v>700.019</v>
      </c>
      <c r="BS283" s="174" t="n">
        <v>682.559</v>
      </c>
      <c r="BT283" s="174" t="n">
        <v>688.998</v>
      </c>
      <c r="BU283" s="174" t="n">
        <v>664.015</v>
      </c>
      <c r="BV283" s="174" t="n">
        <v>664.015</v>
      </c>
      <c r="BW283" s="174" t="n">
        <v>664.05</v>
      </c>
      <c r="BX283" s="174" t="n">
        <v>665.961</v>
      </c>
      <c r="BY283" s="6" t="n"/>
      <c r="BZ283" s="6" t="n"/>
      <c r="CA283" s="6" t="n"/>
      <c r="CB283" s="6" t="n"/>
      <c r="CC283" s="6" t="n"/>
      <c r="CD283" s="6" t="n"/>
      <c r="CE283" s="6" t="n"/>
      <c r="CF283" s="6" t="n"/>
    </row>
    <row r="284" hidden="1" outlineLevel="1" ht="15" customHeight="1">
      <c r="B284" s="42" t="inlineStr">
        <is>
          <t xml:space="preserve">    Leasehold improvements</t>
        </is>
      </c>
      <c r="C284" s="174" t="n">
        <v>2.045</v>
      </c>
      <c r="D284" s="174" t="n">
        <v>2.508</v>
      </c>
      <c r="E284" s="174" t="n">
        <v>3.937</v>
      </c>
      <c r="F284" s="174" t="n">
        <v>4.137</v>
      </c>
      <c r="G284" s="174" t="n">
        <v>4.421</v>
      </c>
      <c r="H284" s="174" t="n">
        <v>5.773</v>
      </c>
      <c r="I284" s="174" t="n">
        <v>6.128</v>
      </c>
      <c r="J284" s="174" t="n">
        <v>6.051</v>
      </c>
      <c r="K284" s="174" t="n">
        <v>6.16</v>
      </c>
      <c r="L284" s="174" t="n">
        <v>6.172</v>
      </c>
      <c r="M284" s="174" t="n">
        <v>6.378</v>
      </c>
      <c r="N284" s="174" t="n">
        <v>6.378</v>
      </c>
      <c r="O284" s="174" t="n">
        <v>6.437</v>
      </c>
      <c r="P284" s="174" t="n">
        <v>7.059</v>
      </c>
      <c r="Q284" s="174" t="n">
        <v>7.096</v>
      </c>
      <c r="R284" s="174" t="n">
        <v>6.982</v>
      </c>
      <c r="S284" s="174" t="n">
        <v>6.982</v>
      </c>
      <c r="T284" s="174" t="n">
        <v>6.326</v>
      </c>
      <c r="U284" s="174" t="n">
        <v>6.434</v>
      </c>
      <c r="V284" s="174" t="n">
        <v>7.394</v>
      </c>
      <c r="W284" s="174" t="n">
        <v>7.585</v>
      </c>
      <c r="X284" s="174" t="n">
        <v>7.585</v>
      </c>
      <c r="Y284" s="174" t="n">
        <v>8.686</v>
      </c>
      <c r="Z284" s="174" t="n">
        <v>8.638</v>
      </c>
      <c r="AA284" s="174" t="n">
        <v>8.664</v>
      </c>
      <c r="AB284" s="174" t="n">
        <v>8.699</v>
      </c>
      <c r="AC284" s="174" t="n">
        <v>8.699</v>
      </c>
      <c r="AD284" s="174" t="n">
        <v>8.733000000000001</v>
      </c>
      <c r="AE284" s="174" t="n">
        <v>8.617000000000001</v>
      </c>
      <c r="AF284" s="174" t="n">
        <v>8.654</v>
      </c>
      <c r="AG284" s="174" t="n">
        <v>8.667999999999999</v>
      </c>
      <c r="AH284" s="174" t="n">
        <v>8.667999999999999</v>
      </c>
      <c r="AI284" s="174" t="n">
        <v>8.705</v>
      </c>
      <c r="AJ284" s="174" t="n">
        <v>8.747</v>
      </c>
      <c r="AK284" s="174" t="n">
        <v>8.749000000000001</v>
      </c>
      <c r="AL284" s="174" t="n">
        <v>10.619</v>
      </c>
      <c r="AM284" s="174" t="n">
        <v>10.619</v>
      </c>
      <c r="AN284" s="174" t="n">
        <v>10.873</v>
      </c>
      <c r="AO284" s="174" t="n">
        <v>11.008</v>
      </c>
      <c r="AP284" s="174" t="n">
        <v>11.538</v>
      </c>
      <c r="AQ284" s="174" t="n">
        <v>11.709</v>
      </c>
      <c r="AR284" s="174" t="n">
        <v>11.709</v>
      </c>
      <c r="AS284" s="174" t="n">
        <v>11.822</v>
      </c>
      <c r="AT284" s="174" t="n">
        <v>12.103</v>
      </c>
      <c r="AU284" s="174" t="n">
        <v>12.043</v>
      </c>
      <c r="AV284" s="174" t="n">
        <v>12.226</v>
      </c>
      <c r="AW284" s="174" t="n">
        <v>12.226</v>
      </c>
      <c r="AX284" s="174" t="n">
        <v>12.975</v>
      </c>
      <c r="AY284" s="174" t="n">
        <v>12.904</v>
      </c>
      <c r="AZ284" s="174" t="n">
        <v>13.055</v>
      </c>
      <c r="BA284" s="174" t="n">
        <v>13.131</v>
      </c>
      <c r="BB284" s="174" t="n">
        <v>13.131</v>
      </c>
      <c r="BC284" s="174" t="n">
        <v>13.486</v>
      </c>
      <c r="BD284" s="174" t="n">
        <v>13.486</v>
      </c>
      <c r="BE284" s="174" t="n">
        <v>13.506</v>
      </c>
      <c r="BF284" s="174" t="n">
        <v>13.516</v>
      </c>
      <c r="BG284" s="174" t="n">
        <v>13.516</v>
      </c>
      <c r="BH284" s="174" t="n">
        <v>13.598</v>
      </c>
      <c r="BI284" s="174" t="n">
        <v>14.427</v>
      </c>
      <c r="BJ284" s="174" t="n">
        <v>14.497</v>
      </c>
      <c r="BK284" s="174" t="n">
        <v>14.436</v>
      </c>
      <c r="BL284" s="174" t="n">
        <v>14.436</v>
      </c>
      <c r="BM284" s="174" t="n">
        <v>14.534</v>
      </c>
      <c r="BN284" s="174" t="n">
        <v>14.645</v>
      </c>
      <c r="BO284" s="174" t="n">
        <v>14.914</v>
      </c>
      <c r="BP284" s="174" t="n">
        <v>14.919</v>
      </c>
      <c r="BQ284" s="174" t="n">
        <v>14.919</v>
      </c>
      <c r="BR284" s="174" t="n">
        <v>14.919</v>
      </c>
      <c r="BS284" s="174" t="n">
        <v>14.959</v>
      </c>
      <c r="BT284" s="174" t="n">
        <v>15.646</v>
      </c>
      <c r="BU284" s="174" t="n">
        <v>15.654</v>
      </c>
      <c r="BV284" s="174" t="n">
        <v>15.654</v>
      </c>
      <c r="BW284" s="174" t="n">
        <v>15.621</v>
      </c>
      <c r="BX284" s="174" t="n">
        <v>10.3</v>
      </c>
      <c r="BY284" s="6" t="n"/>
      <c r="BZ284" s="6" t="n"/>
      <c r="CA284" s="6" t="n"/>
      <c r="CB284" s="6" t="n"/>
      <c r="CC284" s="6" t="n"/>
      <c r="CD284" s="6" t="n"/>
      <c r="CE284" s="6" t="n"/>
      <c r="CF284" s="6" t="n"/>
    </row>
    <row r="285" hidden="1" outlineLevel="1" ht="15" customHeight="1">
      <c r="B285" s="42" t="inlineStr">
        <is>
          <t xml:space="preserve">    Total property &amp; equipment (gross)</t>
        </is>
      </c>
      <c r="C285" s="174" t="n">
        <v>916.482</v>
      </c>
      <c r="D285" s="174" t="n">
        <v>1086.624</v>
      </c>
      <c r="E285" s="174" t="n">
        <v>1253.429</v>
      </c>
      <c r="F285" s="174" t="n">
        <v>1448.728</v>
      </c>
      <c r="G285" s="174" t="n">
        <v>1544.519</v>
      </c>
      <c r="H285" s="174" t="n">
        <v>1748.932</v>
      </c>
      <c r="I285" s="174" t="n">
        <v>2028.224</v>
      </c>
      <c r="J285" s="174" t="n">
        <v>2049.825</v>
      </c>
      <c r="K285" s="174" t="n">
        <v>2160.66</v>
      </c>
      <c r="L285" s="174" t="n">
        <v>2223.721</v>
      </c>
      <c r="M285" s="174" t="n">
        <v>2273.133</v>
      </c>
      <c r="N285" s="174" t="n">
        <v>2273.133</v>
      </c>
      <c r="O285" s="174" t="n">
        <v>2347.15</v>
      </c>
      <c r="P285" s="174" t="n">
        <v>2456.416</v>
      </c>
      <c r="Q285" s="174" t="n">
        <v>2535.381</v>
      </c>
      <c r="R285" s="174" t="n">
        <v>2574.772</v>
      </c>
      <c r="S285" s="174" t="n">
        <v>2574.772</v>
      </c>
      <c r="T285" s="174" t="n">
        <v>2642.662</v>
      </c>
      <c r="U285" s="174" t="n">
        <v>2781.751</v>
      </c>
      <c r="V285" s="174" t="n">
        <v>2890.33</v>
      </c>
      <c r="W285" s="174" t="n">
        <v>2952.825</v>
      </c>
      <c r="X285" s="174" t="n">
        <v>2952.825</v>
      </c>
      <c r="Y285" s="174" t="n">
        <v>3059.774</v>
      </c>
      <c r="Z285" s="174" t="n">
        <v>3211.081</v>
      </c>
      <c r="AA285" s="174" t="n">
        <v>3248.435</v>
      </c>
      <c r="AB285" s="174" t="n">
        <v>3284.984</v>
      </c>
      <c r="AC285" s="174" t="n">
        <v>3284.984</v>
      </c>
      <c r="AD285" s="174" t="n">
        <v>3335.166</v>
      </c>
      <c r="AE285" s="174" t="n">
        <v>3446.345</v>
      </c>
      <c r="AF285" s="174" t="n">
        <v>3530.043</v>
      </c>
      <c r="AG285" s="174" t="n">
        <v>3579.929</v>
      </c>
      <c r="AH285" s="174" t="n">
        <v>3579.929</v>
      </c>
      <c r="AI285" s="174" t="n">
        <v>3673.648</v>
      </c>
      <c r="AJ285" s="174" t="n">
        <v>3858.522</v>
      </c>
      <c r="AK285" s="174" t="n">
        <v>4003.726</v>
      </c>
      <c r="AL285" s="174" t="n">
        <v>4073.152</v>
      </c>
      <c r="AM285" s="174" t="n">
        <v>4073.152</v>
      </c>
      <c r="AN285" s="174" t="n">
        <v>4139.077</v>
      </c>
      <c r="AO285" s="174" t="n">
        <v>4294.453</v>
      </c>
      <c r="AP285" s="174" t="n">
        <v>4387.603</v>
      </c>
      <c r="AQ285" s="174" t="n">
        <v>4433.07</v>
      </c>
      <c r="AR285" s="174" t="n">
        <v>4433.07</v>
      </c>
      <c r="AS285" s="174" t="n">
        <v>4479.823</v>
      </c>
      <c r="AT285" s="174" t="n">
        <v>4532.891</v>
      </c>
      <c r="AU285" s="174" t="n">
        <v>4566.873</v>
      </c>
      <c r="AV285" s="174" t="n">
        <v>4591.429</v>
      </c>
      <c r="AW285" s="174" t="n">
        <v>4591.429</v>
      </c>
      <c r="AX285" s="174" t="n">
        <v>4643.191</v>
      </c>
      <c r="AY285" s="174" t="n">
        <v>4795.72</v>
      </c>
      <c r="AZ285" s="174" t="n">
        <v>4965.504</v>
      </c>
      <c r="BA285" s="174" t="n">
        <v>5135.625</v>
      </c>
      <c r="BB285" s="174" t="n">
        <v>5135.625</v>
      </c>
      <c r="BC285" s="174" t="n">
        <v>5208.982</v>
      </c>
      <c r="BD285" s="174" t="n">
        <v>5423.883</v>
      </c>
      <c r="BE285" s="174" t="n">
        <v>5597.022</v>
      </c>
      <c r="BF285" s="174" t="n">
        <v>5816.053</v>
      </c>
      <c r="BG285" s="174" t="n">
        <v>5816.053</v>
      </c>
      <c r="BH285" s="174" t="n">
        <v>6009.936</v>
      </c>
      <c r="BI285" s="174" t="n">
        <v>6147.165</v>
      </c>
      <c r="BJ285" s="174" t="n">
        <v>6245.354</v>
      </c>
      <c r="BK285" s="174" t="n">
        <v>6249.817</v>
      </c>
      <c r="BL285" s="174" t="n">
        <v>6249.817</v>
      </c>
      <c r="BM285" s="174" t="n">
        <v>6345.054</v>
      </c>
      <c r="BN285" s="174" t="n">
        <v>6532.775</v>
      </c>
      <c r="BO285" s="174" t="n">
        <v>6696.701</v>
      </c>
      <c r="BP285" s="174" t="n">
        <v>6831.402</v>
      </c>
      <c r="BQ285" s="174" t="n">
        <v>6831.402</v>
      </c>
      <c r="BR285" s="174" t="n">
        <v>6839.817</v>
      </c>
      <c r="BS285" s="174" t="n">
        <v>6967.181</v>
      </c>
      <c r="BT285" s="174" t="n">
        <v>6993.51</v>
      </c>
      <c r="BU285" s="174" t="n">
        <v>6881.479</v>
      </c>
      <c r="BV285" s="174" t="n">
        <v>6881.479</v>
      </c>
      <c r="BW285" s="174" t="n">
        <v>6912.051</v>
      </c>
      <c r="BX285" s="174" t="n">
        <v>6962.793</v>
      </c>
      <c r="BY285" s="6" t="n"/>
      <c r="BZ285" s="6" t="n"/>
      <c r="CA285" s="6" t="n"/>
      <c r="CB285" s="6" t="n"/>
      <c r="CC285" s="6" t="n"/>
      <c r="CD285" s="6" t="n"/>
      <c r="CE285" s="6" t="n"/>
      <c r="CF285" s="6" t="n"/>
    </row>
    <row r="286" hidden="1" outlineLevel="1" ht="15" customHeight="1">
      <c r="B286" s="42" t="inlineStr">
        <is>
          <t xml:space="preserve">    Less: accumulated depreciation</t>
        </is>
      </c>
      <c r="C286" s="174" t="n">
        <v>-308.894</v>
      </c>
      <c r="D286" s="174" t="n">
        <v>-365.174</v>
      </c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  <c r="AP286" s="36" t="n"/>
      <c r="AQ286" s="36" t="n"/>
      <c r="AR286" s="36" t="n"/>
      <c r="AS286" s="36" t="n"/>
      <c r="AT286" s="36" t="n"/>
      <c r="AU286" s="36" t="n"/>
      <c r="AV286" s="36" t="n"/>
      <c r="AW286" s="36" t="n"/>
      <c r="AX286" s="36" t="n"/>
      <c r="AY286" s="36" t="n"/>
      <c r="AZ286" s="36" t="n"/>
      <c r="BA286" s="36" t="n"/>
      <c r="BB286" s="36" t="n"/>
      <c r="BC286" s="36" t="n"/>
      <c r="BD286" s="36" t="n"/>
      <c r="BE286" s="36" t="n"/>
      <c r="BF286" s="36" t="n"/>
      <c r="BG286" s="36" t="n"/>
      <c r="BH286" s="36" t="n"/>
      <c r="BI286" s="36" t="n"/>
      <c r="BJ286" s="36" t="n"/>
      <c r="BK286" s="36" t="n"/>
      <c r="BL286" s="36" t="n"/>
      <c r="BM286" s="36" t="n"/>
      <c r="BN286" s="36" t="n"/>
      <c r="BO286" s="36" t="n"/>
      <c r="BP286" s="36" t="n"/>
      <c r="BQ286" s="36" t="n"/>
      <c r="BR286" s="36" t="n"/>
      <c r="BS286" s="36" t="n"/>
      <c r="BT286" s="36" t="n"/>
      <c r="BU286" s="36" t="n"/>
      <c r="BV286" s="36" t="n"/>
      <c r="BW286" s="36" t="n"/>
      <c r="BX286" s="36" t="n"/>
      <c r="BY286" s="6" t="n"/>
      <c r="BZ286" s="6" t="n"/>
      <c r="CA286" s="6" t="n"/>
      <c r="CB286" s="6" t="n"/>
      <c r="CC286" s="6" t="n"/>
      <c r="CD286" s="6" t="n"/>
      <c r="CE286" s="6" t="n"/>
      <c r="CF286" s="6" t="n"/>
    </row>
    <row r="287" ht="15" customHeight="1"/>
    <row r="288" ht="15" customHeight="1">
      <c r="B288" s="11" t="inlineStr">
        <is>
          <t>WORKING CAPITAL &amp; CASH CONVERSION</t>
        </is>
      </c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  <c r="AA288" s="11" t="n"/>
      <c r="AB288" s="11" t="n"/>
      <c r="AC288" s="11" t="n"/>
      <c r="AD288" s="11" t="n"/>
      <c r="AE288" s="11" t="n"/>
      <c r="AF288" s="11" t="n"/>
      <c r="AG288" s="11" t="n"/>
      <c r="AH288" s="11" t="n"/>
      <c r="AI288" s="11" t="n"/>
      <c r="AJ288" s="11" t="n"/>
      <c r="AK288" s="11" t="n"/>
      <c r="AL288" s="11" t="n"/>
      <c r="AM288" s="11" t="n"/>
      <c r="AN288" s="11" t="n"/>
      <c r="AO288" s="11" t="n"/>
      <c r="AP288" s="11" t="n"/>
      <c r="AQ288" s="11" t="n"/>
      <c r="AR288" s="11" t="n"/>
      <c r="AS288" s="11" t="n"/>
      <c r="AT288" s="11" t="n"/>
      <c r="AU288" s="11" t="n"/>
      <c r="AV288" s="11" t="n"/>
      <c r="AW288" s="11" t="n"/>
      <c r="AX288" s="11" t="n"/>
      <c r="AY288" s="11" t="n"/>
      <c r="AZ288" s="11" t="n"/>
      <c r="BA288" s="11" t="n"/>
      <c r="BB288" s="11" t="n"/>
      <c r="BC288" s="11" t="n"/>
      <c r="BD288" s="11" t="n"/>
      <c r="BE288" s="11" t="n"/>
      <c r="BF288" s="11" t="n"/>
      <c r="BG288" s="11" t="n"/>
      <c r="BH288" s="11" t="n"/>
      <c r="BI288" s="11" t="n"/>
      <c r="BJ288" s="11" t="n"/>
      <c r="BK288" s="11" t="n"/>
      <c r="BL288" s="11" t="n"/>
      <c r="BM288" s="11" t="n"/>
      <c r="BN288" s="11" t="n"/>
      <c r="BO288" s="11" t="n"/>
      <c r="BP288" s="11" t="n"/>
      <c r="BQ288" s="11" t="n"/>
      <c r="BR288" s="11" t="n"/>
      <c r="BS288" s="11" t="n"/>
      <c r="BT288" s="11" t="n"/>
      <c r="BU288" s="11" t="n"/>
      <c r="BV288" s="11" t="n"/>
      <c r="BW288" s="11" t="n"/>
      <c r="BX288" s="11" t="n"/>
      <c r="BY288" s="11" t="n"/>
      <c r="BZ288" s="11" t="n"/>
      <c r="CA288" s="11" t="n"/>
      <c r="CB288" s="11" t="n"/>
      <c r="CC288" s="11" t="n"/>
      <c r="CD288" s="11" t="n"/>
      <c r="CE288" s="11" t="n"/>
      <c r="CF288" s="11" t="inlineStr">
        <is>
          <t>WORKING CAPITAL — forecast drivers (blue = input)</t>
        </is>
      </c>
    </row>
    <row r="289" ht="15" customHeight="1">
      <c r="B289" s="26" t="inlineStr">
        <is>
          <t xml:space="preserve">  Revenue — annualised (quarters × 4)</t>
        </is>
      </c>
      <c r="C289" s="194">
        <f>IF(ISNUMBER(C100),C100*1,"")</f>
        <v/>
      </c>
      <c r="D289" s="194">
        <f>IF(ISNUMBER(D100),D100*1,"")</f>
        <v/>
      </c>
      <c r="E289" s="194">
        <f>IF(ISNUMBER(E100),E100*1,"")</f>
        <v/>
      </c>
      <c r="F289" s="194">
        <f>IF(ISNUMBER(F100),F100*1,"")</f>
        <v/>
      </c>
      <c r="G289" s="194">
        <f>IF(ISNUMBER(G100),G100*1,"")</f>
        <v/>
      </c>
      <c r="H289" s="194">
        <f>IF(ISNUMBER(H100),H100*1,"")</f>
        <v/>
      </c>
      <c r="I289" s="194">
        <f>IF(ISNUMBER(I100),I100*1,"")</f>
        <v/>
      </c>
      <c r="J289" s="194">
        <f>IF(ISNUMBER(J100),J100*4,"")</f>
        <v/>
      </c>
      <c r="K289" s="194">
        <f>IF(ISNUMBER(K100),K100*4,"")</f>
        <v/>
      </c>
      <c r="L289" s="194">
        <f>IF(ISNUMBER(L100),L100*4,"")</f>
        <v/>
      </c>
      <c r="M289" s="194">
        <f>IF(ISNUMBER(M100),M100*4,"")</f>
        <v/>
      </c>
      <c r="N289" s="194">
        <f>IF(ISNUMBER(N100),N100*1,"")</f>
        <v/>
      </c>
      <c r="O289" s="194">
        <f>IF(ISNUMBER(O100),O100*4,"")</f>
        <v/>
      </c>
      <c r="P289" s="194">
        <f>IF(ISNUMBER(P100),P100*4,"")</f>
        <v/>
      </c>
      <c r="Q289" s="194">
        <f>IF(ISNUMBER(Q100),Q100*4,"")</f>
        <v/>
      </c>
      <c r="R289" s="194">
        <f>IF(ISNUMBER(R100),R100*4,"")</f>
        <v/>
      </c>
      <c r="S289" s="194">
        <f>IF(ISNUMBER(S100),S100*1,"")</f>
        <v/>
      </c>
      <c r="T289" s="194">
        <f>IF(ISNUMBER(T100),T100*4,"")</f>
        <v/>
      </c>
      <c r="U289" s="194">
        <f>IF(ISNUMBER(U100),U100*4,"")</f>
        <v/>
      </c>
      <c r="V289" s="194">
        <f>IF(ISNUMBER(V100),V100*4,"")</f>
        <v/>
      </c>
      <c r="W289" s="194">
        <f>IF(ISNUMBER(W100),W100*4,"")</f>
        <v/>
      </c>
      <c r="X289" s="194">
        <f>IF(ISNUMBER(X100),X100*1,"")</f>
        <v/>
      </c>
      <c r="Y289" s="194">
        <f>IF(ISNUMBER(Y100),Y100*4,"")</f>
        <v/>
      </c>
      <c r="Z289" s="194">
        <f>IF(ISNUMBER(Z100),Z100*4,"")</f>
        <v/>
      </c>
      <c r="AA289" s="194">
        <f>IF(ISNUMBER(AA100),AA100*4,"")</f>
        <v/>
      </c>
      <c r="AB289" s="194">
        <f>IF(ISNUMBER(AB100),AB100*4,"")</f>
        <v/>
      </c>
      <c r="AC289" s="194">
        <f>IF(ISNUMBER(AC100),AC100*1,"")</f>
        <v/>
      </c>
      <c r="AD289" s="194">
        <f>IF(ISNUMBER(AD100),AD100*4,"")</f>
        <v/>
      </c>
      <c r="AE289" s="194">
        <f>IF(ISNUMBER(AE100),AE100*4,"")</f>
        <v/>
      </c>
      <c r="AF289" s="194">
        <f>IF(ISNUMBER(AF100),AF100*4,"")</f>
        <v/>
      </c>
      <c r="AG289" s="194">
        <f>IF(ISNUMBER(AG100),AG100*4,"")</f>
        <v/>
      </c>
      <c r="AH289" s="194">
        <f>IF(ISNUMBER(AH100),AH100*1,"")</f>
        <v/>
      </c>
      <c r="AI289" s="194">
        <f>IF(ISNUMBER(AI100),AI100*4,"")</f>
        <v/>
      </c>
      <c r="AJ289" s="194">
        <f>IF(ISNUMBER(AJ100),AJ100*4,"")</f>
        <v/>
      </c>
      <c r="AK289" s="194">
        <f>IF(ISNUMBER(AK100),AK100*4,"")</f>
        <v/>
      </c>
      <c r="AL289" s="194">
        <f>IF(ISNUMBER(AL100),AL100*4,"")</f>
        <v/>
      </c>
      <c r="AM289" s="194">
        <f>IF(ISNUMBER(AM100),AM100*1,"")</f>
        <v/>
      </c>
      <c r="AN289" s="194">
        <f>IF(ISNUMBER(AN100),AN100*4,"")</f>
        <v/>
      </c>
      <c r="AO289" s="194">
        <f>IF(ISNUMBER(AO100),AO100*4,"")</f>
        <v/>
      </c>
      <c r="AP289" s="194">
        <f>IF(ISNUMBER(AP100),AP100*4,"")</f>
        <v/>
      </c>
      <c r="AQ289" s="194">
        <f>IF(ISNUMBER(AQ100),AQ100*4,"")</f>
        <v/>
      </c>
      <c r="AR289" s="194">
        <f>IF(ISNUMBER(AR100),AR100*1,"")</f>
        <v/>
      </c>
      <c r="AS289" s="194">
        <f>IF(ISNUMBER(AS100),AS100*4,"")</f>
        <v/>
      </c>
      <c r="AT289" s="194">
        <f>IF(ISNUMBER(AT100),AT100*4,"")</f>
        <v/>
      </c>
      <c r="AU289" s="194">
        <f>IF(ISNUMBER(AU100),AU100*4,"")</f>
        <v/>
      </c>
      <c r="AV289" s="194">
        <f>IF(ISNUMBER(AV100),AV100*4,"")</f>
        <v/>
      </c>
      <c r="AW289" s="194">
        <f>IF(ISNUMBER(AW100),AW100*1,"")</f>
        <v/>
      </c>
      <c r="AX289" s="194">
        <f>IF(ISNUMBER(AX100),AX100*4,"")</f>
        <v/>
      </c>
      <c r="AY289" s="194">
        <f>IF(ISNUMBER(AY100),AY100*4,"")</f>
        <v/>
      </c>
      <c r="AZ289" s="194">
        <f>IF(ISNUMBER(AZ100),AZ100*4,"")</f>
        <v/>
      </c>
      <c r="BA289" s="194">
        <f>IF(ISNUMBER(BA100),BA100*4,"")</f>
        <v/>
      </c>
      <c r="BB289" s="194">
        <f>IF(ISNUMBER(BB100),BB100*1,"")</f>
        <v/>
      </c>
      <c r="BC289" s="194">
        <f>IF(ISNUMBER(BC100),BC100*4,"")</f>
        <v/>
      </c>
      <c r="BD289" s="194">
        <f>IF(ISNUMBER(BD100),BD100*4,"")</f>
        <v/>
      </c>
      <c r="BE289" s="194">
        <f>IF(ISNUMBER(BE100),BE100*4,"")</f>
        <v/>
      </c>
      <c r="BF289" s="194">
        <f>IF(ISNUMBER(BF100),BF100*4,"")</f>
        <v/>
      </c>
      <c r="BG289" s="194">
        <f>IF(ISNUMBER(BG100),BG100*1,"")</f>
        <v/>
      </c>
      <c r="BH289" s="194">
        <f>IF(ISNUMBER(BH100),BH100*4,"")</f>
        <v/>
      </c>
      <c r="BI289" s="194">
        <f>IF(ISNUMBER(BI100),BI100*4,"")</f>
        <v/>
      </c>
      <c r="BJ289" s="194">
        <f>IF(ISNUMBER(BJ100),BJ100*4,"")</f>
        <v/>
      </c>
      <c r="BK289" s="194">
        <f>IF(ISNUMBER(BK100),BK100*4,"")</f>
        <v/>
      </c>
      <c r="BL289" s="194">
        <f>IF(ISNUMBER(BL100),BL100*1,"")</f>
        <v/>
      </c>
      <c r="BM289" s="194">
        <f>IF(ISNUMBER(BM100),BM100*4,"")</f>
        <v/>
      </c>
      <c r="BN289" s="194">
        <f>IF(ISNUMBER(BN100),BN100*4,"")</f>
        <v/>
      </c>
      <c r="BO289" s="194">
        <f>IF(ISNUMBER(BO100),BO100*4,"")</f>
        <v/>
      </c>
      <c r="BP289" s="194">
        <f>IF(ISNUMBER(BP100),BP100*4,"")</f>
        <v/>
      </c>
      <c r="BQ289" s="194">
        <f>IF(ISNUMBER(BQ100),BQ100*1,"")</f>
        <v/>
      </c>
      <c r="BR289" s="194">
        <f>IF(ISNUMBER(BR100),BR100*4,"")</f>
        <v/>
      </c>
      <c r="BS289" s="194">
        <f>IF(ISNUMBER(BS100),BS100*4,"")</f>
        <v/>
      </c>
      <c r="BT289" s="194">
        <f>IF(ISNUMBER(BT100),BT100*4,"")</f>
        <v/>
      </c>
      <c r="BU289" s="194">
        <f>IF(ISNUMBER(BU100),BU100*4,"")</f>
        <v/>
      </c>
      <c r="BV289" s="194">
        <f>IF(ISNUMBER(BV100),BV100*1,"")</f>
        <v/>
      </c>
      <c r="BW289" s="194">
        <f>IF(ISNUMBER(BW100),BW100*4,"")</f>
        <v/>
      </c>
      <c r="BX289" s="194">
        <f>IF(ISNUMBER(BX100),BX100*4,"")</f>
        <v/>
      </c>
      <c r="BY289" s="37" t="n"/>
      <c r="BZ289" s="37" t="n"/>
      <c r="CA289" s="176">
        <f>IF(ISNUMBER(CA100),CA100*1,"")</f>
        <v/>
      </c>
      <c r="CB289" s="176">
        <f>IF(ISNUMBER(CB100),CB100*1,"")</f>
        <v/>
      </c>
      <c r="CC289" s="176">
        <f>IF(ISNUMBER(CC100),CC100*1,"")</f>
        <v/>
      </c>
      <c r="CD289" s="176">
        <f>IF(ISNUMBER(CD100),CD100*1,"")</f>
        <v/>
      </c>
      <c r="CE289" s="176">
        <f>IF(ISNUMBER(CE100),CE100*1,"")</f>
        <v/>
      </c>
      <c r="CF289" s="20" t="n"/>
    </row>
    <row r="290" ht="15" customHeight="1">
      <c r="B290" s="26" t="inlineStr">
        <is>
          <t xml:space="preserve">  Operating expenses excl. D&amp;A — annualised</t>
        </is>
      </c>
      <c r="C290" s="194">
        <f>IF(ISNUMBER(C111),(C111-C108)*1,"")</f>
        <v/>
      </c>
      <c r="D290" s="194">
        <f>IF(ISNUMBER(D111),(D111-D108)*1,"")</f>
        <v/>
      </c>
      <c r="E290" s="194">
        <f>IF(ISNUMBER(E111),(E111-E108)*1,"")</f>
        <v/>
      </c>
      <c r="F290" s="194">
        <f>IF(ISNUMBER(F111),(F111-F108)*1,"")</f>
        <v/>
      </c>
      <c r="G290" s="194">
        <f>IF(ISNUMBER(G111),(G111-G108)*1,"")</f>
        <v/>
      </c>
      <c r="H290" s="194">
        <f>IF(ISNUMBER(H111),(H111-H108)*1,"")</f>
        <v/>
      </c>
      <c r="I290" s="194">
        <f>IF(ISNUMBER(I111),(I111-I108)*1,"")</f>
        <v/>
      </c>
      <c r="J290" s="194">
        <f>IF(ISNUMBER(J111),(J111-J108)*4,"")</f>
        <v/>
      </c>
      <c r="K290" s="194">
        <f>IF(ISNUMBER(K111),(K111-K108)*4,"")</f>
        <v/>
      </c>
      <c r="L290" s="194">
        <f>IF(ISNUMBER(L111),(L111-L108)*4,"")</f>
        <v/>
      </c>
      <c r="M290" s="194">
        <f>IF(ISNUMBER(M111),(M111-M108)*4,"")</f>
        <v/>
      </c>
      <c r="N290" s="194">
        <f>IF(ISNUMBER(N111),(N111-N108)*1,"")</f>
        <v/>
      </c>
      <c r="O290" s="194">
        <f>IF(ISNUMBER(O111),(O111-O108)*4,"")</f>
        <v/>
      </c>
      <c r="P290" s="194">
        <f>IF(ISNUMBER(P111),(P111-P108)*4,"")</f>
        <v/>
      </c>
      <c r="Q290" s="194">
        <f>IF(ISNUMBER(Q111),(Q111-Q108)*4,"")</f>
        <v/>
      </c>
      <c r="R290" s="194">
        <f>IF(ISNUMBER(R111),(R111-R108)*4,"")</f>
        <v/>
      </c>
      <c r="S290" s="194">
        <f>IF(ISNUMBER(S111),(S111-S108)*1,"")</f>
        <v/>
      </c>
      <c r="T290" s="194">
        <f>IF(ISNUMBER(T111),(T111-T108)*4,"")</f>
        <v/>
      </c>
      <c r="U290" s="194">
        <f>IF(ISNUMBER(U111),(U111-U108)*4,"")</f>
        <v/>
      </c>
      <c r="V290" s="194">
        <f>IF(ISNUMBER(V111),(V111-V108)*4,"")</f>
        <v/>
      </c>
      <c r="W290" s="194">
        <f>IF(ISNUMBER(W111),(W111-W108)*4,"")</f>
        <v/>
      </c>
      <c r="X290" s="194">
        <f>IF(ISNUMBER(X111),(X111-X108)*1,"")</f>
        <v/>
      </c>
      <c r="Y290" s="194">
        <f>IF(ISNUMBER(Y111),(Y111-Y108)*4,"")</f>
        <v/>
      </c>
      <c r="Z290" s="194">
        <f>IF(ISNUMBER(Z111),(Z111-Z108)*4,"")</f>
        <v/>
      </c>
      <c r="AA290" s="194">
        <f>IF(ISNUMBER(AA111),(AA111-AA108)*4,"")</f>
        <v/>
      </c>
      <c r="AB290" s="194">
        <f>IF(ISNUMBER(AB111),(AB111-AB108)*4,"")</f>
        <v/>
      </c>
      <c r="AC290" s="194">
        <f>IF(ISNUMBER(AC111),(AC111-AC108)*1,"")</f>
        <v/>
      </c>
      <c r="AD290" s="194">
        <f>IF(ISNUMBER(AD111),(AD111-AD108)*4,"")</f>
        <v/>
      </c>
      <c r="AE290" s="194">
        <f>IF(ISNUMBER(AE111),(AE111-AE108)*4,"")</f>
        <v/>
      </c>
      <c r="AF290" s="194">
        <f>IF(ISNUMBER(AF111),(AF111-AF108)*4,"")</f>
        <v/>
      </c>
      <c r="AG290" s="194">
        <f>IF(ISNUMBER(AG111),(AG111-AG108)*4,"")</f>
        <v/>
      </c>
      <c r="AH290" s="194">
        <f>IF(ISNUMBER(AH111),(AH111-AH108)*1,"")</f>
        <v/>
      </c>
      <c r="AI290" s="194">
        <f>IF(ISNUMBER(AI111),(AI111-AI108)*4,"")</f>
        <v/>
      </c>
      <c r="AJ290" s="194">
        <f>IF(ISNUMBER(AJ111),(AJ111-AJ108)*4,"")</f>
        <v/>
      </c>
      <c r="AK290" s="194">
        <f>IF(ISNUMBER(AK111),(AK111-AK108)*4,"")</f>
        <v/>
      </c>
      <c r="AL290" s="194">
        <f>IF(ISNUMBER(AL111),(AL111-AL108)*4,"")</f>
        <v/>
      </c>
      <c r="AM290" s="194">
        <f>IF(ISNUMBER(AM111),(AM111-AM108)*1,"")</f>
        <v/>
      </c>
      <c r="AN290" s="194">
        <f>IF(ISNUMBER(AN111),(AN111-AN108)*4,"")</f>
        <v/>
      </c>
      <c r="AO290" s="194">
        <f>IF(ISNUMBER(AO111),(AO111-AO108)*4,"")</f>
        <v/>
      </c>
      <c r="AP290" s="194">
        <f>IF(ISNUMBER(AP111),(AP111-AP108)*4,"")</f>
        <v/>
      </c>
      <c r="AQ290" s="194">
        <f>IF(ISNUMBER(AQ111),(AQ111-AQ108)*4,"")</f>
        <v/>
      </c>
      <c r="AR290" s="194">
        <f>IF(ISNUMBER(AR111),(AR111-AR108)*1,"")</f>
        <v/>
      </c>
      <c r="AS290" s="194">
        <f>IF(ISNUMBER(AS111),(AS111-AS108)*4,"")</f>
        <v/>
      </c>
      <c r="AT290" s="194">
        <f>IF(ISNUMBER(AT111),(AT111-AT108)*4,"")</f>
        <v/>
      </c>
      <c r="AU290" s="194">
        <f>IF(ISNUMBER(AU111),(AU111-AU108)*4,"")</f>
        <v/>
      </c>
      <c r="AV290" s="194">
        <f>IF(ISNUMBER(AV111),(AV111-AV108)*4,"")</f>
        <v/>
      </c>
      <c r="AW290" s="194">
        <f>IF(ISNUMBER(AW111),(AW111-AW108)*1,"")</f>
        <v/>
      </c>
      <c r="AX290" s="194">
        <f>IF(ISNUMBER(AX111),(AX111-AX108)*4,"")</f>
        <v/>
      </c>
      <c r="AY290" s="194">
        <f>IF(ISNUMBER(AY111),(AY111-AY108)*4,"")</f>
        <v/>
      </c>
      <c r="AZ290" s="194">
        <f>IF(ISNUMBER(AZ111),(AZ111-AZ108)*4,"")</f>
        <v/>
      </c>
      <c r="BA290" s="194">
        <f>IF(ISNUMBER(BA111),(BA111-BA108)*4,"")</f>
        <v/>
      </c>
      <c r="BB290" s="194">
        <f>IF(ISNUMBER(BB111),(BB111-BB108)*1,"")</f>
        <v/>
      </c>
      <c r="BC290" s="194">
        <f>IF(ISNUMBER(BC111),(BC111-BC108)*4,"")</f>
        <v/>
      </c>
      <c r="BD290" s="194">
        <f>IF(ISNUMBER(BD111),(BD111-BD108)*4,"")</f>
        <v/>
      </c>
      <c r="BE290" s="194">
        <f>IF(ISNUMBER(BE111),(BE111-BE108)*4,"")</f>
        <v/>
      </c>
      <c r="BF290" s="194">
        <f>IF(ISNUMBER(BF111),(BF111-BF108)*4,"")</f>
        <v/>
      </c>
      <c r="BG290" s="194">
        <f>IF(ISNUMBER(BG111),(BG111-BG108)*1,"")</f>
        <v/>
      </c>
      <c r="BH290" s="194">
        <f>IF(ISNUMBER(BH111),(BH111-BH108)*4,"")</f>
        <v/>
      </c>
      <c r="BI290" s="194">
        <f>IF(ISNUMBER(BI111),(BI111-BI108)*4,"")</f>
        <v/>
      </c>
      <c r="BJ290" s="194">
        <f>IF(ISNUMBER(BJ111),(BJ111-BJ108)*4,"")</f>
        <v/>
      </c>
      <c r="BK290" s="194">
        <f>IF(ISNUMBER(BK111),(BK111-BK108)*4,"")</f>
        <v/>
      </c>
      <c r="BL290" s="194">
        <f>IF(ISNUMBER(BL111),(BL111-BL108)*1,"")</f>
        <v/>
      </c>
      <c r="BM290" s="194">
        <f>IF(ISNUMBER(BM111),(BM111-BM108)*4,"")</f>
        <v/>
      </c>
      <c r="BN290" s="194">
        <f>IF(ISNUMBER(BN111),(BN111-BN108)*4,"")</f>
        <v/>
      </c>
      <c r="BO290" s="194">
        <f>IF(ISNUMBER(BO111),(BO111-BO108)*4,"")</f>
        <v/>
      </c>
      <c r="BP290" s="194">
        <f>IF(ISNUMBER(BP111),(BP111-BP108)*4,"")</f>
        <v/>
      </c>
      <c r="BQ290" s="194">
        <f>IF(ISNUMBER(BQ111),(BQ111-BQ108)*1,"")</f>
        <v/>
      </c>
      <c r="BR290" s="194">
        <f>IF(ISNUMBER(BR111),(BR111-BR108)*4,"")</f>
        <v/>
      </c>
      <c r="BS290" s="194">
        <f>IF(ISNUMBER(BS111),(BS111-BS108)*4,"")</f>
        <v/>
      </c>
      <c r="BT290" s="194">
        <f>IF(ISNUMBER(BT111),(BT111-BT108)*4,"")</f>
        <v/>
      </c>
      <c r="BU290" s="194">
        <f>IF(ISNUMBER(BU111),(BU111-BU108)*4,"")</f>
        <v/>
      </c>
      <c r="BV290" s="194">
        <f>IF(ISNUMBER(BV111),(BV111-BV108)*1,"")</f>
        <v/>
      </c>
      <c r="BW290" s="194">
        <f>IF(ISNUMBER(BW111),(BW111-BW108)*4,"")</f>
        <v/>
      </c>
      <c r="BX290" s="194">
        <f>IF(ISNUMBER(BX111),(BX111-BX108)*4,"")</f>
        <v/>
      </c>
      <c r="BY290" s="37" t="n"/>
      <c r="BZ290" s="37" t="n"/>
      <c r="CA290" s="176">
        <f>IF(ISNUMBER(CA111),(CA111-CA108)*1,"")</f>
        <v/>
      </c>
      <c r="CB290" s="176">
        <f>IF(ISNUMBER(CB111),(CB111-CB108)*1,"")</f>
        <v/>
      </c>
      <c r="CC290" s="176">
        <f>IF(ISNUMBER(CC111),(CC111-CC108)*1,"")</f>
        <v/>
      </c>
      <c r="CD290" s="176">
        <f>IF(ISNUMBER(CD111),(CD111-CD108)*1,"")</f>
        <v/>
      </c>
      <c r="CE290" s="176">
        <f>IF(ISNUMBER(CE111),(CE111-CE108)*1,"")</f>
        <v/>
      </c>
      <c r="CF290" s="20" t="n"/>
    </row>
    <row r="291" ht="15" customHeight="1">
      <c r="B291" s="26" t="inlineStr">
        <is>
          <t xml:space="preserve">  DSO — customer receivables / revenue × 365</t>
        </is>
      </c>
      <c r="C291" s="214">
        <f>IFERROR(C251/C289*365,"")</f>
        <v/>
      </c>
      <c r="D291" s="214">
        <f>IFERROR(D251/D289*365,"")</f>
        <v/>
      </c>
      <c r="E291" s="214">
        <f>IFERROR(E251/E289*365,"")</f>
        <v/>
      </c>
      <c r="F291" s="214">
        <f>IFERROR(F251/F289*365,"")</f>
        <v/>
      </c>
      <c r="G291" s="214">
        <f>IFERROR(G251/G289*365,"")</f>
        <v/>
      </c>
      <c r="H291" s="214">
        <f>IFERROR(H251/H289*365,"")</f>
        <v/>
      </c>
      <c r="I291" s="214">
        <f>IFERROR(I251/I289*365,"")</f>
        <v/>
      </c>
      <c r="J291" s="214">
        <f>IFERROR(J251/J289*365,"")</f>
        <v/>
      </c>
      <c r="K291" s="214">
        <f>IFERROR(K251/K289*365,"")</f>
        <v/>
      </c>
      <c r="L291" s="214">
        <f>IFERROR(L251/L289*365,"")</f>
        <v/>
      </c>
      <c r="M291" s="214">
        <f>IFERROR(M251/M289*365,"")</f>
        <v/>
      </c>
      <c r="N291" s="214">
        <f>IFERROR(N251/N289*365,"")</f>
        <v/>
      </c>
      <c r="O291" s="214">
        <f>IFERROR(O251/O289*365,"")</f>
        <v/>
      </c>
      <c r="P291" s="214">
        <f>IFERROR(P251/P289*365,"")</f>
        <v/>
      </c>
      <c r="Q291" s="214">
        <f>IFERROR(Q251/Q289*365,"")</f>
        <v/>
      </c>
      <c r="R291" s="214">
        <f>IFERROR(R251/R289*365,"")</f>
        <v/>
      </c>
      <c r="S291" s="214">
        <f>IFERROR(S251/S289*365,"")</f>
        <v/>
      </c>
      <c r="T291" s="214">
        <f>IFERROR(T251/T289*365,"")</f>
        <v/>
      </c>
      <c r="U291" s="214">
        <f>IFERROR(U251/U289*365,"")</f>
        <v/>
      </c>
      <c r="V291" s="214">
        <f>IFERROR(V251/V289*365,"")</f>
        <v/>
      </c>
      <c r="W291" s="214">
        <f>IFERROR(W251/W289*365,"")</f>
        <v/>
      </c>
      <c r="X291" s="214">
        <f>IFERROR(X251/X289*365,"")</f>
        <v/>
      </c>
      <c r="Y291" s="214">
        <f>IFERROR(Y251/Y289*365,"")</f>
        <v/>
      </c>
      <c r="Z291" s="214">
        <f>IFERROR(Z251/Z289*365,"")</f>
        <v/>
      </c>
      <c r="AA291" s="214">
        <f>IFERROR(AA251/AA289*365,"")</f>
        <v/>
      </c>
      <c r="AB291" s="214">
        <f>IFERROR(AB251/AB289*365,"")</f>
        <v/>
      </c>
      <c r="AC291" s="214">
        <f>IFERROR(AC251/AC289*365,"")</f>
        <v/>
      </c>
      <c r="AD291" s="214">
        <f>IFERROR(AD251/AD289*365,"")</f>
        <v/>
      </c>
      <c r="AE291" s="214">
        <f>IFERROR(AE251/AE289*365,"")</f>
        <v/>
      </c>
      <c r="AF291" s="214">
        <f>IFERROR(AF251/AF289*365,"")</f>
        <v/>
      </c>
      <c r="AG291" s="214">
        <f>IFERROR(AG251/AG289*365,"")</f>
        <v/>
      </c>
      <c r="AH291" s="214">
        <f>IFERROR(AH251/AH289*365,"")</f>
        <v/>
      </c>
      <c r="AI291" s="214">
        <f>IFERROR(AI251/AI289*365,"")</f>
        <v/>
      </c>
      <c r="AJ291" s="214">
        <f>IFERROR(AJ251/AJ289*365,"")</f>
        <v/>
      </c>
      <c r="AK291" s="214">
        <f>IFERROR(AK251/AK289*365,"")</f>
        <v/>
      </c>
      <c r="AL291" s="214">
        <f>IFERROR(AL251/AL289*365,"")</f>
        <v/>
      </c>
      <c r="AM291" s="214">
        <f>IFERROR(AM251/AM289*365,"")</f>
        <v/>
      </c>
      <c r="AN291" s="214">
        <f>IFERROR(AN251/AN289*365,"")</f>
        <v/>
      </c>
      <c r="AO291" s="214">
        <f>IFERROR(AO251/AO289*365,"")</f>
        <v/>
      </c>
      <c r="AP291" s="214">
        <f>IFERROR(AP251/AP289*365,"")</f>
        <v/>
      </c>
      <c r="AQ291" s="214">
        <f>IFERROR(AQ251/AQ289*365,"")</f>
        <v/>
      </c>
      <c r="AR291" s="214">
        <f>IFERROR(AR251/AR289*365,"")</f>
        <v/>
      </c>
      <c r="AS291" s="214">
        <f>IFERROR(AS251/AS289*365,"")</f>
        <v/>
      </c>
      <c r="AT291" s="214">
        <f>IFERROR(AT251/AT289*365,"")</f>
        <v/>
      </c>
      <c r="AU291" s="214">
        <f>IFERROR(AU251/AU289*365,"")</f>
        <v/>
      </c>
      <c r="AV291" s="214">
        <f>IFERROR(AV251/AV289*365,"")</f>
        <v/>
      </c>
      <c r="AW291" s="214">
        <f>IFERROR(AW251/AW289*365,"")</f>
        <v/>
      </c>
      <c r="AX291" s="214">
        <f>IFERROR(AX251/AX289*365,"")</f>
        <v/>
      </c>
      <c r="AY291" s="214">
        <f>IFERROR(AY251/AY289*365,"")</f>
        <v/>
      </c>
      <c r="AZ291" s="214">
        <f>IFERROR(AZ251/AZ289*365,"")</f>
        <v/>
      </c>
      <c r="BA291" s="214">
        <f>IFERROR(BA251/BA289*365,"")</f>
        <v/>
      </c>
      <c r="BB291" s="214">
        <f>IFERROR(BB251/BB289*365,"")</f>
        <v/>
      </c>
      <c r="BC291" s="214">
        <f>IFERROR(BC251/BC289*365,"")</f>
        <v/>
      </c>
      <c r="BD291" s="214">
        <f>IFERROR(BD251/BD289*365,"")</f>
        <v/>
      </c>
      <c r="BE291" s="214">
        <f>IFERROR(BE251/BE289*365,"")</f>
        <v/>
      </c>
      <c r="BF291" s="214">
        <f>IFERROR(BF251/BF289*365,"")</f>
        <v/>
      </c>
      <c r="BG291" s="214">
        <f>IFERROR(BG251/BG289*365,"")</f>
        <v/>
      </c>
      <c r="BH291" s="214">
        <f>IFERROR(BH251/BH289*365,"")</f>
        <v/>
      </c>
      <c r="BI291" s="214">
        <f>IFERROR(BI251/BI289*365,"")</f>
        <v/>
      </c>
      <c r="BJ291" s="214">
        <f>IFERROR(BJ251/BJ289*365,"")</f>
        <v/>
      </c>
      <c r="BK291" s="214">
        <f>IFERROR(BK251/BK289*365,"")</f>
        <v/>
      </c>
      <c r="BL291" s="214">
        <f>IFERROR(BL251/BL289*365,"")</f>
        <v/>
      </c>
      <c r="BM291" s="214">
        <f>IFERROR(BM251/BM289*365,"")</f>
        <v/>
      </c>
      <c r="BN291" s="214">
        <f>IFERROR(BN251/BN289*365,"")</f>
        <v/>
      </c>
      <c r="BO291" s="214">
        <f>IFERROR(BO251/BO289*365,"")</f>
        <v/>
      </c>
      <c r="BP291" s="214">
        <f>IFERROR(BP251/BP289*365,"")</f>
        <v/>
      </c>
      <c r="BQ291" s="214">
        <f>IFERROR(BQ251/BQ289*365,"")</f>
        <v/>
      </c>
      <c r="BR291" s="214">
        <f>IFERROR(BR251/BR289*365,"")</f>
        <v/>
      </c>
      <c r="BS291" s="214">
        <f>IFERROR(BS251/BS289*365,"")</f>
        <v/>
      </c>
      <c r="BT291" s="214">
        <f>IFERROR(BT251/BT289*365,"")</f>
        <v/>
      </c>
      <c r="BU291" s="214">
        <f>IFERROR(BU251/BU289*365,"")</f>
        <v/>
      </c>
      <c r="BV291" s="214">
        <f>IFERROR(BV251/BV289*365,"")</f>
        <v/>
      </c>
      <c r="BW291" s="214">
        <f>IFERROR(BW251/BW289*365,"")</f>
        <v/>
      </c>
      <c r="BX291" s="214">
        <f>IFERROR(BX251/BX289*365,"")</f>
        <v/>
      </c>
      <c r="BY291" s="37" t="n"/>
      <c r="BZ291" s="37" t="n"/>
      <c r="CA291" s="215" t="n">
        <v>31</v>
      </c>
      <c r="CB291" s="215" t="n">
        <v>31</v>
      </c>
      <c r="CC291" s="215" t="n">
        <v>31</v>
      </c>
      <c r="CD291" s="215" t="n">
        <v>31</v>
      </c>
      <c r="CE291" s="215" t="n">
        <v>31</v>
      </c>
      <c r="CF291" s="20" t="n"/>
    </row>
    <row r="292" ht="15" customHeight="1">
      <c r="B292" s="26" t="inlineStr">
        <is>
          <t xml:space="preserve">  Payable days — payables / operating expenses excl. D&amp;A × 365</t>
        </is>
      </c>
      <c r="C292" s="214">
        <f>IFERROR(C258/C290*365,"")</f>
        <v/>
      </c>
      <c r="D292" s="214">
        <f>IFERROR(D258/D290*365,"")</f>
        <v/>
      </c>
      <c r="E292" s="214">
        <f>IFERROR(E258/E290*365,"")</f>
        <v/>
      </c>
      <c r="F292" s="214">
        <f>IFERROR(F258/F290*365,"")</f>
        <v/>
      </c>
      <c r="G292" s="214">
        <f>IFERROR(G258/G290*365,"")</f>
        <v/>
      </c>
      <c r="H292" s="214">
        <f>IFERROR(H258/H290*365,"")</f>
        <v/>
      </c>
      <c r="I292" s="214">
        <f>IFERROR(I258/I290*365,"")</f>
        <v/>
      </c>
      <c r="J292" s="214">
        <f>IFERROR(J258/J290*365,"")</f>
        <v/>
      </c>
      <c r="K292" s="214">
        <f>IFERROR(K258/K290*365,"")</f>
        <v/>
      </c>
      <c r="L292" s="214">
        <f>IFERROR(L258/L290*365,"")</f>
        <v/>
      </c>
      <c r="M292" s="214">
        <f>IFERROR(M258/M290*365,"")</f>
        <v/>
      </c>
      <c r="N292" s="214">
        <f>IFERROR(N258/N290*365,"")</f>
        <v/>
      </c>
      <c r="O292" s="214">
        <f>IFERROR(O258/O290*365,"")</f>
        <v/>
      </c>
      <c r="P292" s="214">
        <f>IFERROR(P258/P290*365,"")</f>
        <v/>
      </c>
      <c r="Q292" s="214">
        <f>IFERROR(Q258/Q290*365,"")</f>
        <v/>
      </c>
      <c r="R292" s="214">
        <f>IFERROR(R258/R290*365,"")</f>
        <v/>
      </c>
      <c r="S292" s="214">
        <f>IFERROR(S258/S290*365,"")</f>
        <v/>
      </c>
      <c r="T292" s="214">
        <f>IFERROR(T258/T290*365,"")</f>
        <v/>
      </c>
      <c r="U292" s="214">
        <f>IFERROR(U258/U290*365,"")</f>
        <v/>
      </c>
      <c r="V292" s="214">
        <f>IFERROR(V258/V290*365,"")</f>
        <v/>
      </c>
      <c r="W292" s="214">
        <f>IFERROR(W258/W290*365,"")</f>
        <v/>
      </c>
      <c r="X292" s="214">
        <f>IFERROR(X258/X290*365,"")</f>
        <v/>
      </c>
      <c r="Y292" s="214">
        <f>IFERROR(Y258/Y290*365,"")</f>
        <v/>
      </c>
      <c r="Z292" s="214">
        <f>IFERROR(Z258/Z290*365,"")</f>
        <v/>
      </c>
      <c r="AA292" s="214">
        <f>IFERROR(AA258/AA290*365,"")</f>
        <v/>
      </c>
      <c r="AB292" s="214">
        <f>IFERROR(AB258/AB290*365,"")</f>
        <v/>
      </c>
      <c r="AC292" s="214">
        <f>IFERROR(AC258/AC290*365,"")</f>
        <v/>
      </c>
      <c r="AD292" s="214">
        <f>IFERROR(AD258/AD290*365,"")</f>
        <v/>
      </c>
      <c r="AE292" s="214">
        <f>IFERROR(AE258/AE290*365,"")</f>
        <v/>
      </c>
      <c r="AF292" s="214">
        <f>IFERROR(AF258/AF290*365,"")</f>
        <v/>
      </c>
      <c r="AG292" s="214">
        <f>IFERROR(AG258/AG290*365,"")</f>
        <v/>
      </c>
      <c r="AH292" s="214">
        <f>IFERROR(AH258/AH290*365,"")</f>
        <v/>
      </c>
      <c r="AI292" s="214">
        <f>IFERROR(AI258/AI290*365,"")</f>
        <v/>
      </c>
      <c r="AJ292" s="214">
        <f>IFERROR(AJ258/AJ290*365,"")</f>
        <v/>
      </c>
      <c r="AK292" s="214">
        <f>IFERROR(AK258/AK290*365,"")</f>
        <v/>
      </c>
      <c r="AL292" s="214">
        <f>IFERROR(AL258/AL290*365,"")</f>
        <v/>
      </c>
      <c r="AM292" s="214">
        <f>IFERROR(AM258/AM290*365,"")</f>
        <v/>
      </c>
      <c r="AN292" s="214">
        <f>IFERROR(AN258/AN290*365,"")</f>
        <v/>
      </c>
      <c r="AO292" s="214">
        <f>IFERROR(AO258/AO290*365,"")</f>
        <v/>
      </c>
      <c r="AP292" s="214">
        <f>IFERROR(AP258/AP290*365,"")</f>
        <v/>
      </c>
      <c r="AQ292" s="214">
        <f>IFERROR(AQ258/AQ290*365,"")</f>
        <v/>
      </c>
      <c r="AR292" s="214">
        <f>IFERROR(AR258/AR290*365,"")</f>
        <v/>
      </c>
      <c r="AS292" s="214">
        <f>IFERROR(AS258/AS290*365,"")</f>
        <v/>
      </c>
      <c r="AT292" s="214">
        <f>IFERROR(AT258/AT290*365,"")</f>
        <v/>
      </c>
      <c r="AU292" s="214">
        <f>IFERROR(AU258/AU290*365,"")</f>
        <v/>
      </c>
      <c r="AV292" s="214">
        <f>IFERROR(AV258/AV290*365,"")</f>
        <v/>
      </c>
      <c r="AW292" s="214">
        <f>IFERROR(AW258/AW290*365,"")</f>
        <v/>
      </c>
      <c r="AX292" s="214">
        <f>IFERROR(AX258/AX290*365,"")</f>
        <v/>
      </c>
      <c r="AY292" s="214">
        <f>IFERROR(AY258/AY290*365,"")</f>
        <v/>
      </c>
      <c r="AZ292" s="214">
        <f>IFERROR(AZ258/AZ290*365,"")</f>
        <v/>
      </c>
      <c r="BA292" s="214">
        <f>IFERROR(BA258/BA290*365,"")</f>
        <v/>
      </c>
      <c r="BB292" s="214">
        <f>IFERROR(BB258/BB290*365,"")</f>
        <v/>
      </c>
      <c r="BC292" s="214">
        <f>IFERROR(BC258/BC290*365,"")</f>
        <v/>
      </c>
      <c r="BD292" s="214">
        <f>IFERROR(BD258/BD290*365,"")</f>
        <v/>
      </c>
      <c r="BE292" s="214">
        <f>IFERROR(BE258/BE290*365,"")</f>
        <v/>
      </c>
      <c r="BF292" s="214">
        <f>IFERROR(BF258/BF290*365,"")</f>
        <v/>
      </c>
      <c r="BG292" s="214">
        <f>IFERROR(BG258/BG290*365,"")</f>
        <v/>
      </c>
      <c r="BH292" s="214">
        <f>IFERROR(BH258/BH290*365,"")</f>
        <v/>
      </c>
      <c r="BI292" s="214">
        <f>IFERROR(BI258/BI290*365,"")</f>
        <v/>
      </c>
      <c r="BJ292" s="214">
        <f>IFERROR(BJ258/BJ290*365,"")</f>
        <v/>
      </c>
      <c r="BK292" s="214">
        <f>IFERROR(BK258/BK290*365,"")</f>
        <v/>
      </c>
      <c r="BL292" s="214">
        <f>IFERROR(BL258/BL290*365,"")</f>
        <v/>
      </c>
      <c r="BM292" s="214">
        <f>IFERROR(BM258/BM290*365,"")</f>
        <v/>
      </c>
      <c r="BN292" s="214">
        <f>IFERROR(BN258/BN290*365,"")</f>
        <v/>
      </c>
      <c r="BO292" s="214">
        <f>IFERROR(BO258/BO290*365,"")</f>
        <v/>
      </c>
      <c r="BP292" s="214">
        <f>IFERROR(BP258/BP290*365,"")</f>
        <v/>
      </c>
      <c r="BQ292" s="214">
        <f>IFERROR(BQ258/BQ290*365,"")</f>
        <v/>
      </c>
      <c r="BR292" s="214">
        <f>IFERROR(BR258/BR290*365,"")</f>
        <v/>
      </c>
      <c r="BS292" s="214">
        <f>IFERROR(BS258/BS290*365,"")</f>
        <v/>
      </c>
      <c r="BT292" s="214">
        <f>IFERROR(BT258/BT290*365,"")</f>
        <v/>
      </c>
      <c r="BU292" s="214">
        <f>IFERROR(BU258/BU290*365,"")</f>
        <v/>
      </c>
      <c r="BV292" s="214">
        <f>IFERROR(BV258/BV290*365,"")</f>
        <v/>
      </c>
      <c r="BW292" s="214">
        <f>IFERROR(BW258/BW290*365,"")</f>
        <v/>
      </c>
      <c r="BX292" s="214">
        <f>IFERROR(BX258/BX290*365,"")</f>
        <v/>
      </c>
      <c r="BY292" s="37" t="n"/>
      <c r="BZ292" s="37" t="n"/>
      <c r="CA292" s="215" t="n">
        <v>6</v>
      </c>
      <c r="CB292" s="215" t="n">
        <v>6</v>
      </c>
      <c r="CC292" s="215" t="n">
        <v>6</v>
      </c>
      <c r="CD292" s="215" t="n">
        <v>6</v>
      </c>
      <c r="CE292" s="215" t="n">
        <v>6</v>
      </c>
      <c r="CF292" s="20" t="n"/>
    </row>
    <row r="293" ht="15" customHeight="1">
      <c r="B293" s="26" t="inlineStr">
        <is>
          <t xml:space="preserve">  Compensation &amp; benefits % of revenue</t>
        </is>
      </c>
      <c r="C293" s="190">
        <f>IFERROR(C259/C289,"")</f>
        <v/>
      </c>
      <c r="D293" s="190">
        <f>IFERROR(D259/D289,"")</f>
        <v/>
      </c>
      <c r="E293" s="190">
        <f>IFERROR(E259/E289,"")</f>
        <v/>
      </c>
      <c r="F293" s="190">
        <f>IFERROR(F259/F289,"")</f>
        <v/>
      </c>
      <c r="G293" s="190">
        <f>IFERROR(G259/G289,"")</f>
        <v/>
      </c>
      <c r="H293" s="190">
        <f>IFERROR(H259/H289,"")</f>
        <v/>
      </c>
      <c r="I293" s="190">
        <f>IFERROR(I259/I289,"")</f>
        <v/>
      </c>
      <c r="J293" s="190">
        <f>IFERROR(J259/J289,"")</f>
        <v/>
      </c>
      <c r="K293" s="190">
        <f>IFERROR(K259/K289,"")</f>
        <v/>
      </c>
      <c r="L293" s="190">
        <f>IFERROR(L259/L289,"")</f>
        <v/>
      </c>
      <c r="M293" s="190">
        <f>IFERROR(M259/M289,"")</f>
        <v/>
      </c>
      <c r="N293" s="190">
        <f>IFERROR(N259/N289,"")</f>
        <v/>
      </c>
      <c r="O293" s="190">
        <f>IFERROR(O259/O289,"")</f>
        <v/>
      </c>
      <c r="P293" s="190">
        <f>IFERROR(P259/P289,"")</f>
        <v/>
      </c>
      <c r="Q293" s="190">
        <f>IFERROR(Q259/Q289,"")</f>
        <v/>
      </c>
      <c r="R293" s="190">
        <f>IFERROR(R259/R289,"")</f>
        <v/>
      </c>
      <c r="S293" s="190">
        <f>IFERROR(S259/S289,"")</f>
        <v/>
      </c>
      <c r="T293" s="190">
        <f>IFERROR(T259/T289,"")</f>
        <v/>
      </c>
      <c r="U293" s="190">
        <f>IFERROR(U259/U289,"")</f>
        <v/>
      </c>
      <c r="V293" s="190">
        <f>IFERROR(V259/V289,"")</f>
        <v/>
      </c>
      <c r="W293" s="190">
        <f>IFERROR(W259/W289,"")</f>
        <v/>
      </c>
      <c r="X293" s="190">
        <f>IFERROR(X259/X289,"")</f>
        <v/>
      </c>
      <c r="Y293" s="190">
        <f>IFERROR(Y259/Y289,"")</f>
        <v/>
      </c>
      <c r="Z293" s="190">
        <f>IFERROR(Z259/Z289,"")</f>
        <v/>
      </c>
      <c r="AA293" s="190">
        <f>IFERROR(AA259/AA289,"")</f>
        <v/>
      </c>
      <c r="AB293" s="190">
        <f>IFERROR(AB259/AB289,"")</f>
        <v/>
      </c>
      <c r="AC293" s="190">
        <f>IFERROR(AC259/AC289,"")</f>
        <v/>
      </c>
      <c r="AD293" s="190">
        <f>IFERROR(AD259/AD289,"")</f>
        <v/>
      </c>
      <c r="AE293" s="190">
        <f>IFERROR(AE259/AE289,"")</f>
        <v/>
      </c>
      <c r="AF293" s="190">
        <f>IFERROR(AF259/AF289,"")</f>
        <v/>
      </c>
      <c r="AG293" s="190">
        <f>IFERROR(AG259/AG289,"")</f>
        <v/>
      </c>
      <c r="AH293" s="190">
        <f>IFERROR(AH259/AH289,"")</f>
        <v/>
      </c>
      <c r="AI293" s="190">
        <f>IFERROR(AI259/AI289,"")</f>
        <v/>
      </c>
      <c r="AJ293" s="190">
        <f>IFERROR(AJ259/AJ289,"")</f>
        <v/>
      </c>
      <c r="AK293" s="190">
        <f>IFERROR(AK259/AK289,"")</f>
        <v/>
      </c>
      <c r="AL293" s="190">
        <f>IFERROR(AL259/AL289,"")</f>
        <v/>
      </c>
      <c r="AM293" s="190">
        <f>IFERROR(AM259/AM289,"")</f>
        <v/>
      </c>
      <c r="AN293" s="190">
        <f>IFERROR(AN259/AN289,"")</f>
        <v/>
      </c>
      <c r="AO293" s="190">
        <f>IFERROR(AO259/AO289,"")</f>
        <v/>
      </c>
      <c r="AP293" s="190">
        <f>IFERROR(AP259/AP289,"")</f>
        <v/>
      </c>
      <c r="AQ293" s="190">
        <f>IFERROR(AQ259/AQ289,"")</f>
        <v/>
      </c>
      <c r="AR293" s="190">
        <f>IFERROR(AR259/AR289,"")</f>
        <v/>
      </c>
      <c r="AS293" s="190">
        <f>IFERROR(AS259/AS289,"")</f>
        <v/>
      </c>
      <c r="AT293" s="190">
        <f>IFERROR(AT259/AT289,"")</f>
        <v/>
      </c>
      <c r="AU293" s="190">
        <f>IFERROR(AU259/AU289,"")</f>
        <v/>
      </c>
      <c r="AV293" s="190">
        <f>IFERROR(AV259/AV289,"")</f>
        <v/>
      </c>
      <c r="AW293" s="190">
        <f>IFERROR(AW259/AW289,"")</f>
        <v/>
      </c>
      <c r="AX293" s="190">
        <f>IFERROR(AX259/AX289,"")</f>
        <v/>
      </c>
      <c r="AY293" s="190">
        <f>IFERROR(AY259/AY289,"")</f>
        <v/>
      </c>
      <c r="AZ293" s="190">
        <f>IFERROR(AZ259/AZ289,"")</f>
        <v/>
      </c>
      <c r="BA293" s="190">
        <f>IFERROR(BA259/BA289,"")</f>
        <v/>
      </c>
      <c r="BB293" s="190">
        <f>IFERROR(BB259/BB289,"")</f>
        <v/>
      </c>
      <c r="BC293" s="190">
        <f>IFERROR(BC259/BC289,"")</f>
        <v/>
      </c>
      <c r="BD293" s="190">
        <f>IFERROR(BD259/BD289,"")</f>
        <v/>
      </c>
      <c r="BE293" s="190">
        <f>IFERROR(BE259/BE289,"")</f>
        <v/>
      </c>
      <c r="BF293" s="190">
        <f>IFERROR(BF259/BF289,"")</f>
        <v/>
      </c>
      <c r="BG293" s="190">
        <f>IFERROR(BG259/BG289,"")</f>
        <v/>
      </c>
      <c r="BH293" s="190">
        <f>IFERROR(BH259/BH289,"")</f>
        <v/>
      </c>
      <c r="BI293" s="190">
        <f>IFERROR(BI259/BI289,"")</f>
        <v/>
      </c>
      <c r="BJ293" s="190">
        <f>IFERROR(BJ259/BJ289,"")</f>
        <v/>
      </c>
      <c r="BK293" s="190">
        <f>IFERROR(BK259/BK289,"")</f>
        <v/>
      </c>
      <c r="BL293" s="190">
        <f>IFERROR(BL259/BL289,"")</f>
        <v/>
      </c>
      <c r="BM293" s="190">
        <f>IFERROR(BM259/BM289,"")</f>
        <v/>
      </c>
      <c r="BN293" s="190">
        <f>IFERROR(BN259/BN289,"")</f>
        <v/>
      </c>
      <c r="BO293" s="190">
        <f>IFERROR(BO259/BO289,"")</f>
        <v/>
      </c>
      <c r="BP293" s="190">
        <f>IFERROR(BP259/BP289,"")</f>
        <v/>
      </c>
      <c r="BQ293" s="190">
        <f>IFERROR(BQ259/BQ289,"")</f>
        <v/>
      </c>
      <c r="BR293" s="190">
        <f>IFERROR(BR259/BR289,"")</f>
        <v/>
      </c>
      <c r="BS293" s="190">
        <f>IFERROR(BS259/BS289,"")</f>
        <v/>
      </c>
      <c r="BT293" s="190">
        <f>IFERROR(BT259/BT289,"")</f>
        <v/>
      </c>
      <c r="BU293" s="190">
        <f>IFERROR(BU259/BU289,"")</f>
        <v/>
      </c>
      <c r="BV293" s="190">
        <f>IFERROR(BV259/BV289,"")</f>
        <v/>
      </c>
      <c r="BW293" s="190">
        <f>IFERROR(BW259/BW289,"")</f>
        <v/>
      </c>
      <c r="BX293" s="190">
        <f>IFERROR(BX259/BX289,"")</f>
        <v/>
      </c>
      <c r="BY293" s="25" t="n"/>
      <c r="BZ293" s="25" t="n"/>
      <c r="CA293" s="195" t="n">
        <v>0.044</v>
      </c>
      <c r="CB293" s="195" t="n">
        <v>0.044</v>
      </c>
      <c r="CC293" s="195" t="n">
        <v>0.044</v>
      </c>
      <c r="CD293" s="195" t="n">
        <v>0.044</v>
      </c>
      <c r="CE293" s="195" t="n">
        <v>0.044</v>
      </c>
      <c r="CF293" s="6" t="n"/>
    </row>
    <row r="294" ht="15" customHeight="1">
      <c r="B294" s="26" t="inlineStr">
        <is>
          <t xml:space="preserve">  Claims &amp; insurance accruals (current) % of revenue</t>
        </is>
      </c>
      <c r="C294" s="190">
        <f>IFERROR(C260/C289,"")</f>
        <v/>
      </c>
      <c r="D294" s="190">
        <f>IFERROR(D260/D289,"")</f>
        <v/>
      </c>
      <c r="E294" s="190">
        <f>IFERROR(E260/E289,"")</f>
        <v/>
      </c>
      <c r="F294" s="190">
        <f>IFERROR(F260/F289,"")</f>
        <v/>
      </c>
      <c r="G294" s="190">
        <f>IFERROR(G260/G289,"")</f>
        <v/>
      </c>
      <c r="H294" s="190">
        <f>IFERROR(H260/H289,"")</f>
        <v/>
      </c>
      <c r="I294" s="190">
        <f>IFERROR(I260/I289,"")</f>
        <v/>
      </c>
      <c r="J294" s="190">
        <f>IFERROR(J260/J289,"")</f>
        <v/>
      </c>
      <c r="K294" s="190">
        <f>IFERROR(K260/K289,"")</f>
        <v/>
      </c>
      <c r="L294" s="190">
        <f>IFERROR(L260/L289,"")</f>
        <v/>
      </c>
      <c r="M294" s="190">
        <f>IFERROR(M260/M289,"")</f>
        <v/>
      </c>
      <c r="N294" s="190">
        <f>IFERROR(N260/N289,"")</f>
        <v/>
      </c>
      <c r="O294" s="190">
        <f>IFERROR(O260/O289,"")</f>
        <v/>
      </c>
      <c r="P294" s="190">
        <f>IFERROR(P260/P289,"")</f>
        <v/>
      </c>
      <c r="Q294" s="190">
        <f>IFERROR(Q260/Q289,"")</f>
        <v/>
      </c>
      <c r="R294" s="190">
        <f>IFERROR(R260/R289,"")</f>
        <v/>
      </c>
      <c r="S294" s="190">
        <f>IFERROR(S260/S289,"")</f>
        <v/>
      </c>
      <c r="T294" s="190">
        <f>IFERROR(T260/T289,"")</f>
        <v/>
      </c>
      <c r="U294" s="190">
        <f>IFERROR(U260/U289,"")</f>
        <v/>
      </c>
      <c r="V294" s="190">
        <f>IFERROR(V260/V289,"")</f>
        <v/>
      </c>
      <c r="W294" s="190">
        <f>IFERROR(W260/W289,"")</f>
        <v/>
      </c>
      <c r="X294" s="190">
        <f>IFERROR(X260/X289,"")</f>
        <v/>
      </c>
      <c r="Y294" s="190">
        <f>IFERROR(Y260/Y289,"")</f>
        <v/>
      </c>
      <c r="Z294" s="190">
        <f>IFERROR(Z260/Z289,"")</f>
        <v/>
      </c>
      <c r="AA294" s="190">
        <f>IFERROR(AA260/AA289,"")</f>
        <v/>
      </c>
      <c r="AB294" s="190">
        <f>IFERROR(AB260/AB289,"")</f>
        <v/>
      </c>
      <c r="AC294" s="190">
        <f>IFERROR(AC260/AC289,"")</f>
        <v/>
      </c>
      <c r="AD294" s="190">
        <f>IFERROR(AD260/AD289,"")</f>
        <v/>
      </c>
      <c r="AE294" s="190">
        <f>IFERROR(AE260/AE289,"")</f>
        <v/>
      </c>
      <c r="AF294" s="190">
        <f>IFERROR(AF260/AF289,"")</f>
        <v/>
      </c>
      <c r="AG294" s="190">
        <f>IFERROR(AG260/AG289,"")</f>
        <v/>
      </c>
      <c r="AH294" s="190">
        <f>IFERROR(AH260/AH289,"")</f>
        <v/>
      </c>
      <c r="AI294" s="190">
        <f>IFERROR(AI260/AI289,"")</f>
        <v/>
      </c>
      <c r="AJ294" s="190">
        <f>IFERROR(AJ260/AJ289,"")</f>
        <v/>
      </c>
      <c r="AK294" s="190">
        <f>IFERROR(AK260/AK289,"")</f>
        <v/>
      </c>
      <c r="AL294" s="190">
        <f>IFERROR(AL260/AL289,"")</f>
        <v/>
      </c>
      <c r="AM294" s="190">
        <f>IFERROR(AM260/AM289,"")</f>
        <v/>
      </c>
      <c r="AN294" s="190">
        <f>IFERROR(AN260/AN289,"")</f>
        <v/>
      </c>
      <c r="AO294" s="190">
        <f>IFERROR(AO260/AO289,"")</f>
        <v/>
      </c>
      <c r="AP294" s="190">
        <f>IFERROR(AP260/AP289,"")</f>
        <v/>
      </c>
      <c r="AQ294" s="190">
        <f>IFERROR(AQ260/AQ289,"")</f>
        <v/>
      </c>
      <c r="AR294" s="190">
        <f>IFERROR(AR260/AR289,"")</f>
        <v/>
      </c>
      <c r="AS294" s="190">
        <f>IFERROR(AS260/AS289,"")</f>
        <v/>
      </c>
      <c r="AT294" s="190">
        <f>IFERROR(AT260/AT289,"")</f>
        <v/>
      </c>
      <c r="AU294" s="190">
        <f>IFERROR(AU260/AU289,"")</f>
        <v/>
      </c>
      <c r="AV294" s="190">
        <f>IFERROR(AV260/AV289,"")</f>
        <v/>
      </c>
      <c r="AW294" s="190">
        <f>IFERROR(AW260/AW289,"")</f>
        <v/>
      </c>
      <c r="AX294" s="190">
        <f>IFERROR(AX260/AX289,"")</f>
        <v/>
      </c>
      <c r="AY294" s="190">
        <f>IFERROR(AY260/AY289,"")</f>
        <v/>
      </c>
      <c r="AZ294" s="190">
        <f>IFERROR(AZ260/AZ289,"")</f>
        <v/>
      </c>
      <c r="BA294" s="190">
        <f>IFERROR(BA260/BA289,"")</f>
        <v/>
      </c>
      <c r="BB294" s="190">
        <f>IFERROR(BB260/BB289,"")</f>
        <v/>
      </c>
      <c r="BC294" s="190">
        <f>IFERROR(BC260/BC289,"")</f>
        <v/>
      </c>
      <c r="BD294" s="190">
        <f>IFERROR(BD260/BD289,"")</f>
        <v/>
      </c>
      <c r="BE294" s="190">
        <f>IFERROR(BE260/BE289,"")</f>
        <v/>
      </c>
      <c r="BF294" s="190">
        <f>IFERROR(BF260/BF289,"")</f>
        <v/>
      </c>
      <c r="BG294" s="190">
        <f>IFERROR(BG260/BG289,"")</f>
        <v/>
      </c>
      <c r="BH294" s="190">
        <f>IFERROR(BH260/BH289,"")</f>
        <v/>
      </c>
      <c r="BI294" s="190">
        <f>IFERROR(BI260/BI289,"")</f>
        <v/>
      </c>
      <c r="BJ294" s="190">
        <f>IFERROR(BJ260/BJ289,"")</f>
        <v/>
      </c>
      <c r="BK294" s="190">
        <f>IFERROR(BK260/BK289,"")</f>
        <v/>
      </c>
      <c r="BL294" s="190">
        <f>IFERROR(BL260/BL289,"")</f>
        <v/>
      </c>
      <c r="BM294" s="190">
        <f>IFERROR(BM260/BM289,"")</f>
        <v/>
      </c>
      <c r="BN294" s="190">
        <f>IFERROR(BN260/BN289,"")</f>
        <v/>
      </c>
      <c r="BO294" s="190">
        <f>IFERROR(BO260/BO289,"")</f>
        <v/>
      </c>
      <c r="BP294" s="190">
        <f>IFERROR(BP260/BP289,"")</f>
        <v/>
      </c>
      <c r="BQ294" s="190">
        <f>IFERROR(BQ260/BQ289,"")</f>
        <v/>
      </c>
      <c r="BR294" s="190">
        <f>IFERROR(BR260/BR289,"")</f>
        <v/>
      </c>
      <c r="BS294" s="190">
        <f>IFERROR(BS260/BS289,"")</f>
        <v/>
      </c>
      <c r="BT294" s="190">
        <f>IFERROR(BT260/BT289,"")</f>
        <v/>
      </c>
      <c r="BU294" s="190">
        <f>IFERROR(BU260/BU289,"")</f>
        <v/>
      </c>
      <c r="BV294" s="190">
        <f>IFERROR(BV260/BV289,"")</f>
        <v/>
      </c>
      <c r="BW294" s="190">
        <f>IFERROR(BW260/BW289,"")</f>
        <v/>
      </c>
      <c r="BX294" s="190">
        <f>IFERROR(BX260/BX289,"")</f>
        <v/>
      </c>
      <c r="BY294" s="25" t="n"/>
      <c r="BZ294" s="25" t="n"/>
      <c r="CA294" s="195" t="n">
        <v>0.014</v>
      </c>
      <c r="CB294" s="195" t="n">
        <v>0.014</v>
      </c>
      <c r="CC294" s="195" t="n">
        <v>0.014</v>
      </c>
      <c r="CD294" s="195" t="n">
        <v>0.014</v>
      </c>
      <c r="CE294" s="195" t="n">
        <v>0.014</v>
      </c>
      <c r="CF294" s="6" t="inlineStr">
        <is>
          <t>Forecast inputs set at FY2025 levels (DSO 31d, payables 6d of operating expenses excl. D&amp;A, compensation &amp; benefits 4.4% and current claims accruals 1.4% of revenue).</t>
        </is>
      </c>
    </row>
    <row r="295" ht="15" customHeight="1">
      <c r="B295" s="26" t="inlineStr">
        <is>
          <t xml:space="preserve">  Operating NWC (receivables − payables − compensation − claims accruals)</t>
        </is>
      </c>
      <c r="C295" s="194">
        <f>IF(ISNUMBER(C251),C251-C258-N(C259)-N(C260),"")</f>
        <v/>
      </c>
      <c r="D295" s="194">
        <f>IF(ISNUMBER(D251),D251-D258-N(D259)-N(D260),"")</f>
        <v/>
      </c>
      <c r="E295" s="194">
        <f>IF(ISNUMBER(E251),E251-E258-N(E259)-N(E260),"")</f>
        <v/>
      </c>
      <c r="F295" s="194">
        <f>IF(ISNUMBER(F251),F251-F258-N(F259)-N(F260),"")</f>
        <v/>
      </c>
      <c r="G295" s="194">
        <f>IF(ISNUMBER(G251),G251-G258-N(G259)-N(G260),"")</f>
        <v/>
      </c>
      <c r="H295" s="194">
        <f>IF(ISNUMBER(H251),H251-H258-N(H259)-N(H260),"")</f>
        <v/>
      </c>
      <c r="I295" s="194">
        <f>IF(ISNUMBER(I251),I251-I258-N(I259)-N(I260),"")</f>
        <v/>
      </c>
      <c r="J295" s="194">
        <f>IF(ISNUMBER(J251),J251-J258-N(J259)-N(J260),"")</f>
        <v/>
      </c>
      <c r="K295" s="194">
        <f>IF(ISNUMBER(K251),K251-K258-N(K259)-N(K260),"")</f>
        <v/>
      </c>
      <c r="L295" s="194">
        <f>IF(ISNUMBER(L251),L251-L258-N(L259)-N(L260),"")</f>
        <v/>
      </c>
      <c r="M295" s="194">
        <f>IF(ISNUMBER(M251),M251-M258-N(M259)-N(M260),"")</f>
        <v/>
      </c>
      <c r="N295" s="194">
        <f>IF(ISNUMBER(N251),N251-N258-N(N259)-N(N260),"")</f>
        <v/>
      </c>
      <c r="O295" s="194">
        <f>IF(ISNUMBER(O251),O251-O258-N(O259)-N(O260),"")</f>
        <v/>
      </c>
      <c r="P295" s="194">
        <f>IF(ISNUMBER(P251),P251-P258-N(P259)-N(P260),"")</f>
        <v/>
      </c>
      <c r="Q295" s="194">
        <f>IF(ISNUMBER(Q251),Q251-Q258-N(Q259)-N(Q260),"")</f>
        <v/>
      </c>
      <c r="R295" s="194">
        <f>IF(ISNUMBER(R251),R251-R258-N(R259)-N(R260),"")</f>
        <v/>
      </c>
      <c r="S295" s="194">
        <f>IF(ISNUMBER(S251),S251-S258-N(S259)-N(S260),"")</f>
        <v/>
      </c>
      <c r="T295" s="194">
        <f>IF(ISNUMBER(T251),T251-T258-N(T259)-N(T260),"")</f>
        <v/>
      </c>
      <c r="U295" s="194">
        <f>IF(ISNUMBER(U251),U251-U258-N(U259)-N(U260),"")</f>
        <v/>
      </c>
      <c r="V295" s="194">
        <f>IF(ISNUMBER(V251),V251-V258-N(V259)-N(V260),"")</f>
        <v/>
      </c>
      <c r="W295" s="194">
        <f>IF(ISNUMBER(W251),W251-W258-N(W259)-N(W260),"")</f>
        <v/>
      </c>
      <c r="X295" s="194">
        <f>IF(ISNUMBER(X251),X251-X258-N(X259)-N(X260),"")</f>
        <v/>
      </c>
      <c r="Y295" s="194">
        <f>IF(ISNUMBER(Y251),Y251-Y258-N(Y259)-N(Y260),"")</f>
        <v/>
      </c>
      <c r="Z295" s="194">
        <f>IF(ISNUMBER(Z251),Z251-Z258-N(Z259)-N(Z260),"")</f>
        <v/>
      </c>
      <c r="AA295" s="194">
        <f>IF(ISNUMBER(AA251),AA251-AA258-N(AA259)-N(AA260),"")</f>
        <v/>
      </c>
      <c r="AB295" s="194">
        <f>IF(ISNUMBER(AB251),AB251-AB258-N(AB259)-N(AB260),"")</f>
        <v/>
      </c>
      <c r="AC295" s="194">
        <f>IF(ISNUMBER(AC251),AC251-AC258-N(AC259)-N(AC260),"")</f>
        <v/>
      </c>
      <c r="AD295" s="194">
        <f>IF(ISNUMBER(AD251),AD251-AD258-N(AD259)-N(AD260),"")</f>
        <v/>
      </c>
      <c r="AE295" s="194">
        <f>IF(ISNUMBER(AE251),AE251-AE258-N(AE259)-N(AE260),"")</f>
        <v/>
      </c>
      <c r="AF295" s="194">
        <f>IF(ISNUMBER(AF251),AF251-AF258-N(AF259)-N(AF260),"")</f>
        <v/>
      </c>
      <c r="AG295" s="194">
        <f>IF(ISNUMBER(AG251),AG251-AG258-N(AG259)-N(AG260),"")</f>
        <v/>
      </c>
      <c r="AH295" s="194">
        <f>IF(ISNUMBER(AH251),AH251-AH258-N(AH259)-N(AH260),"")</f>
        <v/>
      </c>
      <c r="AI295" s="194">
        <f>IF(ISNUMBER(AI251),AI251-AI258-N(AI259)-N(AI260),"")</f>
        <v/>
      </c>
      <c r="AJ295" s="194">
        <f>IF(ISNUMBER(AJ251),AJ251-AJ258-N(AJ259)-N(AJ260),"")</f>
        <v/>
      </c>
      <c r="AK295" s="194">
        <f>IF(ISNUMBER(AK251),AK251-AK258-N(AK259)-N(AK260),"")</f>
        <v/>
      </c>
      <c r="AL295" s="194">
        <f>IF(ISNUMBER(AL251),AL251-AL258-N(AL259)-N(AL260),"")</f>
        <v/>
      </c>
      <c r="AM295" s="194">
        <f>IF(ISNUMBER(AM251),AM251-AM258-N(AM259)-N(AM260),"")</f>
        <v/>
      </c>
      <c r="AN295" s="194">
        <f>IF(ISNUMBER(AN251),AN251-AN258-N(AN259)-N(AN260),"")</f>
        <v/>
      </c>
      <c r="AO295" s="194">
        <f>IF(ISNUMBER(AO251),AO251-AO258-N(AO259)-N(AO260),"")</f>
        <v/>
      </c>
      <c r="AP295" s="194">
        <f>IF(ISNUMBER(AP251),AP251-AP258-N(AP259)-N(AP260),"")</f>
        <v/>
      </c>
      <c r="AQ295" s="194">
        <f>IF(ISNUMBER(AQ251),AQ251-AQ258-N(AQ259)-N(AQ260),"")</f>
        <v/>
      </c>
      <c r="AR295" s="194">
        <f>IF(ISNUMBER(AR251),AR251-AR258-N(AR259)-N(AR260),"")</f>
        <v/>
      </c>
      <c r="AS295" s="194">
        <f>IF(ISNUMBER(AS251),AS251-AS258-N(AS259)-N(AS260),"")</f>
        <v/>
      </c>
      <c r="AT295" s="194">
        <f>IF(ISNUMBER(AT251),AT251-AT258-N(AT259)-N(AT260),"")</f>
        <v/>
      </c>
      <c r="AU295" s="194">
        <f>IF(ISNUMBER(AU251),AU251-AU258-N(AU259)-N(AU260),"")</f>
        <v/>
      </c>
      <c r="AV295" s="194">
        <f>IF(ISNUMBER(AV251),AV251-AV258-N(AV259)-N(AV260),"")</f>
        <v/>
      </c>
      <c r="AW295" s="194">
        <f>IF(ISNUMBER(AW251),AW251-AW258-N(AW259)-N(AW260),"")</f>
        <v/>
      </c>
      <c r="AX295" s="194">
        <f>IF(ISNUMBER(AX251),AX251-AX258-N(AX259)-N(AX260),"")</f>
        <v/>
      </c>
      <c r="AY295" s="194">
        <f>IF(ISNUMBER(AY251),AY251-AY258-N(AY259)-N(AY260),"")</f>
        <v/>
      </c>
      <c r="AZ295" s="194">
        <f>IF(ISNUMBER(AZ251),AZ251-AZ258-N(AZ259)-N(AZ260),"")</f>
        <v/>
      </c>
      <c r="BA295" s="194">
        <f>IF(ISNUMBER(BA251),BA251-BA258-N(BA259)-N(BA260),"")</f>
        <v/>
      </c>
      <c r="BB295" s="194">
        <f>IF(ISNUMBER(BB251),BB251-BB258-N(BB259)-N(BB260),"")</f>
        <v/>
      </c>
      <c r="BC295" s="194">
        <f>IF(ISNUMBER(BC251),BC251-BC258-N(BC259)-N(BC260),"")</f>
        <v/>
      </c>
      <c r="BD295" s="194">
        <f>IF(ISNUMBER(BD251),BD251-BD258-N(BD259)-N(BD260),"")</f>
        <v/>
      </c>
      <c r="BE295" s="194">
        <f>IF(ISNUMBER(BE251),BE251-BE258-N(BE259)-N(BE260),"")</f>
        <v/>
      </c>
      <c r="BF295" s="194">
        <f>IF(ISNUMBER(BF251),BF251-BF258-N(BF259)-N(BF260),"")</f>
        <v/>
      </c>
      <c r="BG295" s="194">
        <f>IF(ISNUMBER(BG251),BG251-BG258-N(BG259)-N(BG260),"")</f>
        <v/>
      </c>
      <c r="BH295" s="194">
        <f>IF(ISNUMBER(BH251),BH251-BH258-N(BH259)-N(BH260),"")</f>
        <v/>
      </c>
      <c r="BI295" s="194">
        <f>IF(ISNUMBER(BI251),BI251-BI258-N(BI259)-N(BI260),"")</f>
        <v/>
      </c>
      <c r="BJ295" s="194">
        <f>IF(ISNUMBER(BJ251),BJ251-BJ258-N(BJ259)-N(BJ260),"")</f>
        <v/>
      </c>
      <c r="BK295" s="194">
        <f>IF(ISNUMBER(BK251),BK251-BK258-N(BK259)-N(BK260),"")</f>
        <v/>
      </c>
      <c r="BL295" s="194">
        <f>IF(ISNUMBER(BL251),BL251-BL258-N(BL259)-N(BL260),"")</f>
        <v/>
      </c>
      <c r="BM295" s="194">
        <f>IF(ISNUMBER(BM251),BM251-BM258-N(BM259)-N(BM260),"")</f>
        <v/>
      </c>
      <c r="BN295" s="194">
        <f>IF(ISNUMBER(BN251),BN251-BN258-N(BN259)-N(BN260),"")</f>
        <v/>
      </c>
      <c r="BO295" s="194">
        <f>IF(ISNUMBER(BO251),BO251-BO258-N(BO259)-N(BO260),"")</f>
        <v/>
      </c>
      <c r="BP295" s="194">
        <f>IF(ISNUMBER(BP251),BP251-BP258-N(BP259)-N(BP260),"")</f>
        <v/>
      </c>
      <c r="BQ295" s="194">
        <f>IF(ISNUMBER(BQ251),BQ251-BQ258-N(BQ259)-N(BQ260),"")</f>
        <v/>
      </c>
      <c r="BR295" s="194">
        <f>IF(ISNUMBER(BR251),BR251-BR258-N(BR259)-N(BR260),"")</f>
        <v/>
      </c>
      <c r="BS295" s="194">
        <f>IF(ISNUMBER(BS251),BS251-BS258-N(BS259)-N(BS260),"")</f>
        <v/>
      </c>
      <c r="BT295" s="194">
        <f>IF(ISNUMBER(BT251),BT251-BT258-N(BT259)-N(BT260),"")</f>
        <v/>
      </c>
      <c r="BU295" s="194">
        <f>IF(ISNUMBER(BU251),BU251-BU258-N(BU259)-N(BU260),"")</f>
        <v/>
      </c>
      <c r="BV295" s="194">
        <f>IF(ISNUMBER(BV251),BV251-BV258-N(BV259)-N(BV260),"")</f>
        <v/>
      </c>
      <c r="BW295" s="194">
        <f>IF(ISNUMBER(BW251),BW251-BW258-N(BW259)-N(BW260),"")</f>
        <v/>
      </c>
      <c r="BX295" s="194">
        <f>IF(ISNUMBER(BX251),BX251-BX258-N(BX259)-N(BX260),"")</f>
        <v/>
      </c>
      <c r="BY295" s="37" t="n"/>
      <c r="BZ295" s="37" t="n"/>
      <c r="CA295" s="176">
        <f>IF(ISNUMBER(CA251),CA251-CA258-N(CA259)-N(CA260),"")</f>
        <v/>
      </c>
      <c r="CB295" s="176">
        <f>IF(ISNUMBER(CB251),CB251-CB258-N(CB259)-N(CB260),"")</f>
        <v/>
      </c>
      <c r="CC295" s="176">
        <f>IF(ISNUMBER(CC251),CC251-CC258-N(CC259)-N(CC260),"")</f>
        <v/>
      </c>
      <c r="CD295" s="176">
        <f>IF(ISNUMBER(CD251),CD251-CD258-N(CD259)-N(CD260),"")</f>
        <v/>
      </c>
      <c r="CE295" s="176">
        <f>IF(ISNUMBER(CE251),CE251-CE258-N(CE259)-N(CE260),"")</f>
        <v/>
      </c>
      <c r="CF295" s="20" t="n"/>
    </row>
    <row r="296" ht="15" customHeight="1">
      <c r="B296" s="26" t="inlineStr">
        <is>
          <t xml:space="preserve">  NWC % of revenue</t>
        </is>
      </c>
      <c r="C296" s="190">
        <f>IFERROR(C295/C289,"")</f>
        <v/>
      </c>
      <c r="D296" s="190">
        <f>IFERROR(D295/D289,"")</f>
        <v/>
      </c>
      <c r="E296" s="190">
        <f>IFERROR(E295/E289,"")</f>
        <v/>
      </c>
      <c r="F296" s="190">
        <f>IFERROR(F295/F289,"")</f>
        <v/>
      </c>
      <c r="G296" s="190">
        <f>IFERROR(G295/G289,"")</f>
        <v/>
      </c>
      <c r="H296" s="190">
        <f>IFERROR(H295/H289,"")</f>
        <v/>
      </c>
      <c r="I296" s="190">
        <f>IFERROR(I295/I289,"")</f>
        <v/>
      </c>
      <c r="J296" s="190">
        <f>IFERROR(J295/J289,"")</f>
        <v/>
      </c>
      <c r="K296" s="190">
        <f>IFERROR(K295/K289,"")</f>
        <v/>
      </c>
      <c r="L296" s="190">
        <f>IFERROR(L295/L289,"")</f>
        <v/>
      </c>
      <c r="M296" s="190">
        <f>IFERROR(M295/M289,"")</f>
        <v/>
      </c>
      <c r="N296" s="190">
        <f>IFERROR(N295/N289,"")</f>
        <v/>
      </c>
      <c r="O296" s="190">
        <f>IFERROR(O295/O289,"")</f>
        <v/>
      </c>
      <c r="P296" s="190">
        <f>IFERROR(P295/P289,"")</f>
        <v/>
      </c>
      <c r="Q296" s="190">
        <f>IFERROR(Q295/Q289,"")</f>
        <v/>
      </c>
      <c r="R296" s="190">
        <f>IFERROR(R295/R289,"")</f>
        <v/>
      </c>
      <c r="S296" s="190">
        <f>IFERROR(S295/S289,"")</f>
        <v/>
      </c>
      <c r="T296" s="190">
        <f>IFERROR(T295/T289,"")</f>
        <v/>
      </c>
      <c r="U296" s="190">
        <f>IFERROR(U295/U289,"")</f>
        <v/>
      </c>
      <c r="V296" s="190">
        <f>IFERROR(V295/V289,"")</f>
        <v/>
      </c>
      <c r="W296" s="190">
        <f>IFERROR(W295/W289,"")</f>
        <v/>
      </c>
      <c r="X296" s="190">
        <f>IFERROR(X295/X289,"")</f>
        <v/>
      </c>
      <c r="Y296" s="190">
        <f>IFERROR(Y295/Y289,"")</f>
        <v/>
      </c>
      <c r="Z296" s="190">
        <f>IFERROR(Z295/Z289,"")</f>
        <v/>
      </c>
      <c r="AA296" s="190">
        <f>IFERROR(AA295/AA289,"")</f>
        <v/>
      </c>
      <c r="AB296" s="190">
        <f>IFERROR(AB295/AB289,"")</f>
        <v/>
      </c>
      <c r="AC296" s="190">
        <f>IFERROR(AC295/AC289,"")</f>
        <v/>
      </c>
      <c r="AD296" s="190">
        <f>IFERROR(AD295/AD289,"")</f>
        <v/>
      </c>
      <c r="AE296" s="190">
        <f>IFERROR(AE295/AE289,"")</f>
        <v/>
      </c>
      <c r="AF296" s="190">
        <f>IFERROR(AF295/AF289,"")</f>
        <v/>
      </c>
      <c r="AG296" s="190">
        <f>IFERROR(AG295/AG289,"")</f>
        <v/>
      </c>
      <c r="AH296" s="190">
        <f>IFERROR(AH295/AH289,"")</f>
        <v/>
      </c>
      <c r="AI296" s="190">
        <f>IFERROR(AI295/AI289,"")</f>
        <v/>
      </c>
      <c r="AJ296" s="190">
        <f>IFERROR(AJ295/AJ289,"")</f>
        <v/>
      </c>
      <c r="AK296" s="190">
        <f>IFERROR(AK295/AK289,"")</f>
        <v/>
      </c>
      <c r="AL296" s="190">
        <f>IFERROR(AL295/AL289,"")</f>
        <v/>
      </c>
      <c r="AM296" s="190">
        <f>IFERROR(AM295/AM289,"")</f>
        <v/>
      </c>
      <c r="AN296" s="190">
        <f>IFERROR(AN295/AN289,"")</f>
        <v/>
      </c>
      <c r="AO296" s="190">
        <f>IFERROR(AO295/AO289,"")</f>
        <v/>
      </c>
      <c r="AP296" s="190">
        <f>IFERROR(AP295/AP289,"")</f>
        <v/>
      </c>
      <c r="AQ296" s="190">
        <f>IFERROR(AQ295/AQ289,"")</f>
        <v/>
      </c>
      <c r="AR296" s="190">
        <f>IFERROR(AR295/AR289,"")</f>
        <v/>
      </c>
      <c r="AS296" s="190">
        <f>IFERROR(AS295/AS289,"")</f>
        <v/>
      </c>
      <c r="AT296" s="190">
        <f>IFERROR(AT295/AT289,"")</f>
        <v/>
      </c>
      <c r="AU296" s="190">
        <f>IFERROR(AU295/AU289,"")</f>
        <v/>
      </c>
      <c r="AV296" s="190">
        <f>IFERROR(AV295/AV289,"")</f>
        <v/>
      </c>
      <c r="AW296" s="190">
        <f>IFERROR(AW295/AW289,"")</f>
        <v/>
      </c>
      <c r="AX296" s="190">
        <f>IFERROR(AX295/AX289,"")</f>
        <v/>
      </c>
      <c r="AY296" s="190">
        <f>IFERROR(AY295/AY289,"")</f>
        <v/>
      </c>
      <c r="AZ296" s="190">
        <f>IFERROR(AZ295/AZ289,"")</f>
        <v/>
      </c>
      <c r="BA296" s="190">
        <f>IFERROR(BA295/BA289,"")</f>
        <v/>
      </c>
      <c r="BB296" s="190">
        <f>IFERROR(BB295/BB289,"")</f>
        <v/>
      </c>
      <c r="BC296" s="190">
        <f>IFERROR(BC295/BC289,"")</f>
        <v/>
      </c>
      <c r="BD296" s="190">
        <f>IFERROR(BD295/BD289,"")</f>
        <v/>
      </c>
      <c r="BE296" s="190">
        <f>IFERROR(BE295/BE289,"")</f>
        <v/>
      </c>
      <c r="BF296" s="190">
        <f>IFERROR(BF295/BF289,"")</f>
        <v/>
      </c>
      <c r="BG296" s="190">
        <f>IFERROR(BG295/BG289,"")</f>
        <v/>
      </c>
      <c r="BH296" s="190">
        <f>IFERROR(BH295/BH289,"")</f>
        <v/>
      </c>
      <c r="BI296" s="190">
        <f>IFERROR(BI295/BI289,"")</f>
        <v/>
      </c>
      <c r="BJ296" s="190">
        <f>IFERROR(BJ295/BJ289,"")</f>
        <v/>
      </c>
      <c r="BK296" s="190">
        <f>IFERROR(BK295/BK289,"")</f>
        <v/>
      </c>
      <c r="BL296" s="190">
        <f>IFERROR(BL295/BL289,"")</f>
        <v/>
      </c>
      <c r="BM296" s="190">
        <f>IFERROR(BM295/BM289,"")</f>
        <v/>
      </c>
      <c r="BN296" s="190">
        <f>IFERROR(BN295/BN289,"")</f>
        <v/>
      </c>
      <c r="BO296" s="190">
        <f>IFERROR(BO295/BO289,"")</f>
        <v/>
      </c>
      <c r="BP296" s="190">
        <f>IFERROR(BP295/BP289,"")</f>
        <v/>
      </c>
      <c r="BQ296" s="190">
        <f>IFERROR(BQ295/BQ289,"")</f>
        <v/>
      </c>
      <c r="BR296" s="190">
        <f>IFERROR(BR295/BR289,"")</f>
        <v/>
      </c>
      <c r="BS296" s="190">
        <f>IFERROR(BS295/BS289,"")</f>
        <v/>
      </c>
      <c r="BT296" s="190">
        <f>IFERROR(BT295/BT289,"")</f>
        <v/>
      </c>
      <c r="BU296" s="190">
        <f>IFERROR(BU295/BU289,"")</f>
        <v/>
      </c>
      <c r="BV296" s="190">
        <f>IFERROR(BV295/BV289,"")</f>
        <v/>
      </c>
      <c r="BW296" s="190">
        <f>IFERROR(BW295/BW289,"")</f>
        <v/>
      </c>
      <c r="BX296" s="190">
        <f>IFERROR(BX295/BX289,"")</f>
        <v/>
      </c>
      <c r="BY296" s="25" t="n"/>
      <c r="BZ296" s="25" t="n"/>
      <c r="CA296" s="181">
        <f>IFERROR(CA295/CA289,"")</f>
        <v/>
      </c>
      <c r="CB296" s="181">
        <f>IFERROR(CB295/CB289,"")</f>
        <v/>
      </c>
      <c r="CC296" s="181">
        <f>IFERROR(CC295/CC289,"")</f>
        <v/>
      </c>
      <c r="CD296" s="181">
        <f>IFERROR(CD295/CD289,"")</f>
        <v/>
      </c>
      <c r="CE296" s="181">
        <f>IFERROR(CE295/CE289,"")</f>
        <v/>
      </c>
      <c r="CF296" s="6" t="n"/>
      <c r="CH296" s="39">
        <f>IFERROR(AVERAGE(CA296,CB296,CC296,CD296,CE296),"n/m")</f>
        <v/>
      </c>
      <c r="CI296" s="39">
        <f>IFERROR(AVERAGE(BB296,BG296,BL296,BQ296,BV296),"n/m")</f>
        <v/>
      </c>
      <c r="CJ296" s="39">
        <f>IFERROR(AVERAGE(AC296,AH296,AM296,AR296,AW296,BB296,BG296,BL296,BQ296,BV296),"n/m")</f>
        <v/>
      </c>
      <c r="CK296" s="39">
        <f>IFERROR(AVERAGE(C296,D296,E296,F296,G296,H296,I296,N296,S296,X296,AC296,AH296,AM296,AR296,AW296,BB296,BG296,BL296,BQ296,BV296),"n/m")</f>
        <v/>
      </c>
    </row>
    <row r="297" ht="15" customHeight="1">
      <c r="B297" s="26" t="inlineStr">
        <is>
          <t xml:space="preserve">  ΔNWC (y/y)</t>
        </is>
      </c>
      <c r="C297" s="36" t="n"/>
      <c r="D297" s="194">
        <f>IFERROR(D295-C295,"")</f>
        <v/>
      </c>
      <c r="E297" s="194">
        <f>IFERROR(E295-D295,"")</f>
        <v/>
      </c>
      <c r="F297" s="194">
        <f>IFERROR(F295-E295,"")</f>
        <v/>
      </c>
      <c r="G297" s="194">
        <f>IFERROR(G295-F295,"")</f>
        <v/>
      </c>
      <c r="H297" s="194">
        <f>IFERROR(H295-G295,"")</f>
        <v/>
      </c>
      <c r="I297" s="194">
        <f>IFERROR(I295-H295,"")</f>
        <v/>
      </c>
      <c r="J297" s="36" t="n"/>
      <c r="K297" s="36" t="n"/>
      <c r="L297" s="36" t="n"/>
      <c r="M297" s="36" t="n"/>
      <c r="N297" s="194">
        <f>IFERROR(N295-I295,"")</f>
        <v/>
      </c>
      <c r="O297" s="194">
        <f>IFERROR(O295-J295,"")</f>
        <v/>
      </c>
      <c r="P297" s="194">
        <f>IFERROR(P295-K295,"")</f>
        <v/>
      </c>
      <c r="Q297" s="194">
        <f>IFERROR(Q295-L295,"")</f>
        <v/>
      </c>
      <c r="R297" s="194">
        <f>IFERROR(R295-M295,"")</f>
        <v/>
      </c>
      <c r="S297" s="194">
        <f>IFERROR(S295-N295,"")</f>
        <v/>
      </c>
      <c r="T297" s="194">
        <f>IFERROR(T295-O295,"")</f>
        <v/>
      </c>
      <c r="U297" s="194">
        <f>IFERROR(U295-P295,"")</f>
        <v/>
      </c>
      <c r="V297" s="194">
        <f>IFERROR(V295-Q295,"")</f>
        <v/>
      </c>
      <c r="W297" s="194">
        <f>IFERROR(W295-R295,"")</f>
        <v/>
      </c>
      <c r="X297" s="194">
        <f>IFERROR(X295-S295,"")</f>
        <v/>
      </c>
      <c r="Y297" s="194">
        <f>IFERROR(Y295-T295,"")</f>
        <v/>
      </c>
      <c r="Z297" s="194">
        <f>IFERROR(Z295-U295,"")</f>
        <v/>
      </c>
      <c r="AA297" s="194">
        <f>IFERROR(AA295-V295,"")</f>
        <v/>
      </c>
      <c r="AB297" s="194">
        <f>IFERROR(AB295-W295,"")</f>
        <v/>
      </c>
      <c r="AC297" s="194">
        <f>IFERROR(AC295-X295,"")</f>
        <v/>
      </c>
      <c r="AD297" s="194">
        <f>IFERROR(AD295-Y295,"")</f>
        <v/>
      </c>
      <c r="AE297" s="194">
        <f>IFERROR(AE295-Z295,"")</f>
        <v/>
      </c>
      <c r="AF297" s="194">
        <f>IFERROR(AF295-AA295,"")</f>
        <v/>
      </c>
      <c r="AG297" s="194">
        <f>IFERROR(AG295-AB295,"")</f>
        <v/>
      </c>
      <c r="AH297" s="194">
        <f>IFERROR(AH295-AC295,"")</f>
        <v/>
      </c>
      <c r="AI297" s="194">
        <f>IFERROR(AI295-AD295,"")</f>
        <v/>
      </c>
      <c r="AJ297" s="194">
        <f>IFERROR(AJ295-AE295,"")</f>
        <v/>
      </c>
      <c r="AK297" s="194">
        <f>IFERROR(AK295-AF295,"")</f>
        <v/>
      </c>
      <c r="AL297" s="194">
        <f>IFERROR(AL295-AG295,"")</f>
        <v/>
      </c>
      <c r="AM297" s="194">
        <f>IFERROR(AM295-AH295,"")</f>
        <v/>
      </c>
      <c r="AN297" s="194">
        <f>IFERROR(AN295-AI295,"")</f>
        <v/>
      </c>
      <c r="AO297" s="194">
        <f>IFERROR(AO295-AJ295,"")</f>
        <v/>
      </c>
      <c r="AP297" s="194">
        <f>IFERROR(AP295-AK295,"")</f>
        <v/>
      </c>
      <c r="AQ297" s="194">
        <f>IFERROR(AQ295-AL295,"")</f>
        <v/>
      </c>
      <c r="AR297" s="194">
        <f>IFERROR(AR295-AM295,"")</f>
        <v/>
      </c>
      <c r="AS297" s="194">
        <f>IFERROR(AS295-AN295,"")</f>
        <v/>
      </c>
      <c r="AT297" s="194">
        <f>IFERROR(AT295-AO295,"")</f>
        <v/>
      </c>
      <c r="AU297" s="194">
        <f>IFERROR(AU295-AP295,"")</f>
        <v/>
      </c>
      <c r="AV297" s="194">
        <f>IFERROR(AV295-AQ295,"")</f>
        <v/>
      </c>
      <c r="AW297" s="194">
        <f>IFERROR(AW295-AR295,"")</f>
        <v/>
      </c>
      <c r="AX297" s="194">
        <f>IFERROR(AX295-AS295,"")</f>
        <v/>
      </c>
      <c r="AY297" s="194">
        <f>IFERROR(AY295-AT295,"")</f>
        <v/>
      </c>
      <c r="AZ297" s="194">
        <f>IFERROR(AZ295-AU295,"")</f>
        <v/>
      </c>
      <c r="BA297" s="194">
        <f>IFERROR(BA295-AV295,"")</f>
        <v/>
      </c>
      <c r="BB297" s="194">
        <f>IFERROR(BB295-AW295,"")</f>
        <v/>
      </c>
      <c r="BC297" s="194">
        <f>IFERROR(BC295-AX295,"")</f>
        <v/>
      </c>
      <c r="BD297" s="194">
        <f>IFERROR(BD295-AY295,"")</f>
        <v/>
      </c>
      <c r="BE297" s="194">
        <f>IFERROR(BE295-AZ295,"")</f>
        <v/>
      </c>
      <c r="BF297" s="194">
        <f>IFERROR(BF295-BA295,"")</f>
        <v/>
      </c>
      <c r="BG297" s="194">
        <f>IFERROR(BG295-BB295,"")</f>
        <v/>
      </c>
      <c r="BH297" s="194">
        <f>IFERROR(BH295-BC295,"")</f>
        <v/>
      </c>
      <c r="BI297" s="194">
        <f>IFERROR(BI295-BD295,"")</f>
        <v/>
      </c>
      <c r="BJ297" s="194">
        <f>IFERROR(BJ295-BE295,"")</f>
        <v/>
      </c>
      <c r="BK297" s="194">
        <f>IFERROR(BK295-BF295,"")</f>
        <v/>
      </c>
      <c r="BL297" s="194">
        <f>IFERROR(BL295-BG295,"")</f>
        <v/>
      </c>
      <c r="BM297" s="194">
        <f>IFERROR(BM295-BH295,"")</f>
        <v/>
      </c>
      <c r="BN297" s="194">
        <f>IFERROR(BN295-BI295,"")</f>
        <v/>
      </c>
      <c r="BO297" s="194">
        <f>IFERROR(BO295-BJ295,"")</f>
        <v/>
      </c>
      <c r="BP297" s="194">
        <f>IFERROR(BP295-BK295,"")</f>
        <v/>
      </c>
      <c r="BQ297" s="194">
        <f>IFERROR(BQ295-BL295,"")</f>
        <v/>
      </c>
      <c r="BR297" s="194">
        <f>IFERROR(BR295-BM295,"")</f>
        <v/>
      </c>
      <c r="BS297" s="194">
        <f>IFERROR(BS295-BN295,"")</f>
        <v/>
      </c>
      <c r="BT297" s="194">
        <f>IFERROR(BT295-BO295,"")</f>
        <v/>
      </c>
      <c r="BU297" s="194">
        <f>IFERROR(BU295-BP295,"")</f>
        <v/>
      </c>
      <c r="BV297" s="194">
        <f>IFERROR(BV295-BQ295,"")</f>
        <v/>
      </c>
      <c r="BW297" s="194">
        <f>IFERROR(BW295-BR295,"")</f>
        <v/>
      </c>
      <c r="BX297" s="194">
        <f>IFERROR(BX295-BS295,"")</f>
        <v/>
      </c>
      <c r="BY297" s="37" t="n"/>
      <c r="BZ297" s="37" t="n"/>
      <c r="CA297" s="176">
        <f>IFERROR(CA295-BV295,"")</f>
        <v/>
      </c>
      <c r="CB297" s="176">
        <f>IFERROR(CB295-CA295,"")</f>
        <v/>
      </c>
      <c r="CC297" s="176">
        <f>IFERROR(CC295-CB295,"")</f>
        <v/>
      </c>
      <c r="CD297" s="176">
        <f>IFERROR(CD295-CC295,"")</f>
        <v/>
      </c>
      <c r="CE297" s="176">
        <f>IFERROR(CE295-CD295,"")</f>
        <v/>
      </c>
      <c r="CF297" s="20" t="n"/>
    </row>
    <row r="298" ht="15" customHeight="1"/>
    <row r="299" ht="15" customHeight="1">
      <c r="B299" s="11" t="inlineStr">
        <is>
          <t>BALANCE SHEET FORECAST SCHEDULES</t>
        </is>
      </c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  <c r="AA299" s="11" t="n"/>
      <c r="AB299" s="11" t="n"/>
      <c r="AC299" s="11" t="n"/>
      <c r="AD299" s="11" t="n"/>
      <c r="AE299" s="11" t="n"/>
      <c r="AF299" s="11" t="n"/>
      <c r="AG299" s="11" t="n"/>
      <c r="AH299" s="11" t="n"/>
      <c r="AI299" s="11" t="n"/>
      <c r="AJ299" s="11" t="n"/>
      <c r="AK299" s="11" t="n"/>
      <c r="AL299" s="11" t="n"/>
      <c r="AM299" s="11" t="n"/>
      <c r="AN299" s="11" t="n"/>
      <c r="AO299" s="11" t="n"/>
      <c r="AP299" s="11" t="n"/>
      <c r="AQ299" s="11" t="n"/>
      <c r="AR299" s="11" t="n"/>
      <c r="AS299" s="11" t="n"/>
      <c r="AT299" s="11" t="n"/>
      <c r="AU299" s="11" t="n"/>
      <c r="AV299" s="11" t="n"/>
      <c r="AW299" s="11" t="n"/>
      <c r="AX299" s="11" t="n"/>
      <c r="AY299" s="11" t="n"/>
      <c r="AZ299" s="11" t="n"/>
      <c r="BA299" s="11" t="n"/>
      <c r="BB299" s="11" t="n"/>
      <c r="BC299" s="11" t="n"/>
      <c r="BD299" s="11" t="n"/>
      <c r="BE299" s="11" t="n"/>
      <c r="BF299" s="11" t="n"/>
      <c r="BG299" s="11" t="n"/>
      <c r="BH299" s="11" t="n"/>
      <c r="BI299" s="11" t="n"/>
      <c r="BJ299" s="11" t="n"/>
      <c r="BK299" s="11" t="n"/>
      <c r="BL299" s="11" t="n"/>
      <c r="BM299" s="11" t="n"/>
      <c r="BN299" s="11" t="n"/>
      <c r="BO299" s="11" t="n"/>
      <c r="BP299" s="11" t="n"/>
      <c r="BQ299" s="11" t="n"/>
      <c r="BR299" s="11" t="n"/>
      <c r="BS299" s="11" t="n"/>
      <c r="BT299" s="11" t="n"/>
      <c r="BU299" s="11" t="n"/>
      <c r="BV299" s="11" t="n"/>
      <c r="BW299" s="11" t="n"/>
      <c r="BX299" s="11" t="n"/>
      <c r="BY299" s="11" t="n"/>
      <c r="BZ299" s="11" t="n"/>
      <c r="CA299" s="11" t="n"/>
      <c r="CB299" s="11" t="n"/>
      <c r="CC299" s="11" t="n"/>
      <c r="CD299" s="11" t="n"/>
      <c r="CE299" s="11" t="n"/>
      <c r="CF299" s="11" t="inlineStr">
        <is>
          <t>BS FORECAST SCHEDULES — explicit driver assumptions</t>
        </is>
      </c>
    </row>
    <row r="300" ht="15" customHeight="1">
      <c r="B300" s="26" t="inlineStr">
        <is>
          <t>Share count &amp; pricing inputs</t>
        </is>
      </c>
      <c r="CF300" s="6" t="n"/>
    </row>
    <row r="301" ht="15" customHeight="1">
      <c r="B301" s="76" t="inlineStr">
        <is>
          <t xml:space="preserve">  Dilutive securities (m shares)</t>
        </is>
      </c>
      <c r="C301" s="47" t="n"/>
      <c r="D301" s="47" t="n"/>
      <c r="E301" s="47" t="n"/>
      <c r="F301" s="47" t="n"/>
      <c r="G301" s="47" t="n"/>
      <c r="H301" s="47" t="n"/>
      <c r="I301" s="47" t="n"/>
      <c r="J301" s="47" t="n"/>
      <c r="K301" s="47" t="n"/>
      <c r="L301" s="47" t="n"/>
      <c r="M301" s="47" t="n"/>
      <c r="N301" s="47" t="n"/>
      <c r="O301" s="47" t="n"/>
      <c r="P301" s="47" t="n"/>
      <c r="Q301" s="47" t="n"/>
      <c r="R301" s="47" t="n"/>
      <c r="S301" s="47" t="n"/>
      <c r="T301" s="47" t="n"/>
      <c r="U301" s="47" t="n"/>
      <c r="V301" s="47" t="n"/>
      <c r="W301" s="47" t="n"/>
      <c r="X301" s="47" t="n"/>
      <c r="Y301" s="47" t="n"/>
      <c r="Z301" s="47" t="n"/>
      <c r="AA301" s="47" t="n"/>
      <c r="AB301" s="47" t="n"/>
      <c r="AC301" s="47" t="n"/>
      <c r="AD301" s="47" t="n"/>
      <c r="AE301" s="47" t="n"/>
      <c r="AF301" s="47" t="n"/>
      <c r="AG301" s="47" t="n"/>
      <c r="AH301" s="47" t="n"/>
      <c r="AI301" s="47" t="n"/>
      <c r="AJ301" s="47" t="n"/>
      <c r="AK301" s="47" t="n"/>
      <c r="AL301" s="47" t="n"/>
      <c r="AM301" s="47" t="n"/>
      <c r="AN301" s="47" t="n"/>
      <c r="AO301" s="47" t="n"/>
      <c r="AP301" s="47" t="n"/>
      <c r="AQ301" s="47" t="n"/>
      <c r="AR301" s="47" t="n"/>
      <c r="AS301" s="47" t="n"/>
      <c r="AT301" s="47" t="n"/>
      <c r="AU301" s="47" t="n"/>
      <c r="AV301" s="47" t="n"/>
      <c r="AW301" s="47" t="n"/>
      <c r="AX301" s="47" t="n"/>
      <c r="AY301" s="47" t="n"/>
      <c r="AZ301" s="47" t="n"/>
      <c r="BA301" s="47" t="n"/>
      <c r="BB301" s="47" t="n"/>
      <c r="BC301" s="47" t="n"/>
      <c r="BD301" s="47" t="n"/>
      <c r="BE301" s="47" t="n"/>
      <c r="BF301" s="47" t="n"/>
      <c r="BG301" s="47" t="n"/>
      <c r="BH301" s="47" t="n"/>
      <c r="BI301" s="47" t="n"/>
      <c r="BJ301" s="47" t="n"/>
      <c r="BK301" s="47" t="n"/>
      <c r="BL301" s="47" t="n"/>
      <c r="BM301" s="47" t="n"/>
      <c r="BN301" s="47" t="n"/>
      <c r="BO301" s="47" t="n"/>
      <c r="BP301" s="47" t="n"/>
      <c r="BQ301" s="47" t="n"/>
      <c r="BR301" s="47" t="n"/>
      <c r="BS301" s="47" t="n"/>
      <c r="BT301" s="47" t="n"/>
      <c r="BU301" s="47" t="n"/>
      <c r="BV301" s="47" t="n"/>
      <c r="BW301" s="47" t="n"/>
      <c r="BX301" s="47" t="n"/>
      <c r="BY301" s="6" t="n"/>
      <c r="BZ301" s="6" t="n"/>
      <c r="CA301" s="37" t="n"/>
      <c r="CB301" s="216" t="n">
        <v>1</v>
      </c>
      <c r="CC301" s="216" t="n">
        <v>1</v>
      </c>
      <c r="CD301" s="216" t="n">
        <v>1</v>
      </c>
      <c r="CE301" s="216" t="n">
        <v>1</v>
      </c>
      <c r="CF301" s="20" t="n"/>
    </row>
    <row r="302" ht="15" customHeight="1">
      <c r="B302" s="76" t="inlineStr">
        <is>
          <t xml:space="preserve">  Share-price appreciation % (buyback pricing)</t>
        </is>
      </c>
      <c r="C302" s="47" t="n"/>
      <c r="D302" s="47" t="n"/>
      <c r="E302" s="47" t="n"/>
      <c r="F302" s="47" t="n"/>
      <c r="G302" s="47" t="n"/>
      <c r="H302" s="47" t="n"/>
      <c r="I302" s="47" t="n"/>
      <c r="J302" s="47" t="n"/>
      <c r="K302" s="47" t="n"/>
      <c r="L302" s="47" t="n"/>
      <c r="M302" s="47" t="n"/>
      <c r="N302" s="47" t="n"/>
      <c r="O302" s="47" t="n"/>
      <c r="P302" s="47" t="n"/>
      <c r="Q302" s="47" t="n"/>
      <c r="R302" s="47" t="n"/>
      <c r="S302" s="47" t="n"/>
      <c r="T302" s="47" t="n"/>
      <c r="U302" s="47" t="n"/>
      <c r="V302" s="47" t="n"/>
      <c r="W302" s="47" t="n"/>
      <c r="X302" s="47" t="n"/>
      <c r="Y302" s="47" t="n"/>
      <c r="Z302" s="47" t="n"/>
      <c r="AA302" s="47" t="n"/>
      <c r="AB302" s="47" t="n"/>
      <c r="AC302" s="47" t="n"/>
      <c r="AD302" s="47" t="n"/>
      <c r="AE302" s="47" t="n"/>
      <c r="AF302" s="47" t="n"/>
      <c r="AG302" s="47" t="n"/>
      <c r="AH302" s="47" t="n"/>
      <c r="AI302" s="47" t="n"/>
      <c r="AJ302" s="47" t="n"/>
      <c r="AK302" s="47" t="n"/>
      <c r="AL302" s="47" t="n"/>
      <c r="AM302" s="47" t="n"/>
      <c r="AN302" s="47" t="n"/>
      <c r="AO302" s="47" t="n"/>
      <c r="AP302" s="47" t="n"/>
      <c r="AQ302" s="47" t="n"/>
      <c r="AR302" s="47" t="n"/>
      <c r="AS302" s="47" t="n"/>
      <c r="AT302" s="47" t="n"/>
      <c r="AU302" s="47" t="n"/>
      <c r="AV302" s="47" t="n"/>
      <c r="AW302" s="47" t="n"/>
      <c r="AX302" s="47" t="n"/>
      <c r="AY302" s="47" t="n"/>
      <c r="AZ302" s="47" t="n"/>
      <c r="BA302" s="47" t="n"/>
      <c r="BB302" s="47" t="n"/>
      <c r="BC302" s="47" t="n"/>
      <c r="BD302" s="47" t="n"/>
      <c r="BE302" s="47" t="n"/>
      <c r="BF302" s="47" t="n"/>
      <c r="BG302" s="47" t="n"/>
      <c r="BH302" s="47" t="n"/>
      <c r="BI302" s="47" t="n"/>
      <c r="BJ302" s="47" t="n"/>
      <c r="BK302" s="47" t="n"/>
      <c r="BL302" s="47" t="n"/>
      <c r="BM302" s="47" t="n"/>
      <c r="BN302" s="47" t="n"/>
      <c r="BO302" s="47" t="n"/>
      <c r="BP302" s="47" t="n"/>
      <c r="BQ302" s="47" t="n"/>
      <c r="BR302" s="47" t="n"/>
      <c r="BS302" s="47" t="n"/>
      <c r="BT302" s="47" t="n"/>
      <c r="BU302" s="47" t="n"/>
      <c r="BV302" s="47" t="n"/>
      <c r="BW302" s="47" t="n"/>
      <c r="BX302" s="47" t="n"/>
      <c r="BY302" s="6" t="n"/>
      <c r="BZ302" s="6" t="n"/>
      <c r="CA302" s="37" t="n"/>
      <c r="CB302" s="195" t="n">
        <v>0.08</v>
      </c>
      <c r="CC302" s="195" t="n">
        <v>0.08</v>
      </c>
      <c r="CD302" s="195" t="n">
        <v>0.08</v>
      </c>
      <c r="CE302" s="195" t="n">
        <v>0.08</v>
      </c>
      <c r="CF302" s="20" t="n"/>
    </row>
    <row r="303" ht="15" customHeight="1">
      <c r="B303" s="26" t="inlineStr">
        <is>
          <t>Debt schedule (Series B senior notes amortisation + revolving line of credit to a minimum cash balance)</t>
        </is>
      </c>
      <c r="CF303" s="6" t="n"/>
    </row>
    <row r="304" ht="15" customHeight="1">
      <c r="B304" s="76" t="inlineStr">
        <is>
          <t xml:space="preserve">  Total debt (current + long-term)</t>
        </is>
      </c>
      <c r="C304" s="194">
        <f>IF(ISNUMBER(C264),N(C261)+C264,"")</f>
        <v/>
      </c>
      <c r="D304" s="194">
        <f>IF(ISNUMBER(D264),N(D261)+D264,"")</f>
        <v/>
      </c>
      <c r="E304" s="194">
        <f>IF(ISNUMBER(E264),N(E261)+E264,"")</f>
        <v/>
      </c>
      <c r="F304" s="194">
        <f>IF(ISNUMBER(F264),N(F261)+F264,"")</f>
        <v/>
      </c>
      <c r="G304" s="194">
        <f>IF(ISNUMBER(G264),N(G261)+G264,"")</f>
        <v/>
      </c>
      <c r="H304" s="194">
        <f>IF(ISNUMBER(H264),N(H261)+H264,"")</f>
        <v/>
      </c>
      <c r="I304" s="194">
        <f>IF(ISNUMBER(I264),N(I261)+I264,"")</f>
        <v/>
      </c>
      <c r="J304" s="194">
        <f>IF(ISNUMBER(J264),N(J261)+J264,"")</f>
        <v/>
      </c>
      <c r="K304" s="194">
        <f>IF(ISNUMBER(K264),N(K261)+K264,"")</f>
        <v/>
      </c>
      <c r="L304" s="194">
        <f>IF(ISNUMBER(L264),N(L261)+L264,"")</f>
        <v/>
      </c>
      <c r="M304" s="194">
        <f>IF(ISNUMBER(M264),N(M261)+M264,"")</f>
        <v/>
      </c>
      <c r="N304" s="194">
        <f>IF(ISNUMBER(N264),N(N261)+N264,"")</f>
        <v/>
      </c>
      <c r="O304" s="194">
        <f>IF(ISNUMBER(O264),N(O261)+O264,"")</f>
        <v/>
      </c>
      <c r="P304" s="194">
        <f>IF(ISNUMBER(P264),N(P261)+P264,"")</f>
        <v/>
      </c>
      <c r="Q304" s="194">
        <f>IF(ISNUMBER(Q264),N(Q261)+Q264,"")</f>
        <v/>
      </c>
      <c r="R304" s="194">
        <f>IF(ISNUMBER(R264),N(R261)+R264,"")</f>
        <v/>
      </c>
      <c r="S304" s="194">
        <f>IF(ISNUMBER(S264),N(S261)+S264,"")</f>
        <v/>
      </c>
      <c r="T304" s="194">
        <f>IF(ISNUMBER(T264),N(T261)+T264,"")</f>
        <v/>
      </c>
      <c r="U304" s="194">
        <f>IF(ISNUMBER(U264),N(U261)+U264,"")</f>
        <v/>
      </c>
      <c r="V304" s="194">
        <f>IF(ISNUMBER(V264),N(V261)+V264,"")</f>
        <v/>
      </c>
      <c r="W304" s="194">
        <f>IF(ISNUMBER(W264),N(W261)+W264,"")</f>
        <v/>
      </c>
      <c r="X304" s="194">
        <f>IF(ISNUMBER(X264),N(X261)+X264,"")</f>
        <v/>
      </c>
      <c r="Y304" s="194">
        <f>IF(ISNUMBER(Y264),N(Y261)+Y264,"")</f>
        <v/>
      </c>
      <c r="Z304" s="194">
        <f>IF(ISNUMBER(Z264),N(Z261)+Z264,"")</f>
        <v/>
      </c>
      <c r="AA304" s="194">
        <f>IF(ISNUMBER(AA264),N(AA261)+AA264,"")</f>
        <v/>
      </c>
      <c r="AB304" s="194">
        <f>IF(ISNUMBER(AB264),N(AB261)+AB264,"")</f>
        <v/>
      </c>
      <c r="AC304" s="194">
        <f>IF(ISNUMBER(AC264),N(AC261)+AC264,"")</f>
        <v/>
      </c>
      <c r="AD304" s="194">
        <f>IF(ISNUMBER(AD264),N(AD261)+AD264,"")</f>
        <v/>
      </c>
      <c r="AE304" s="194">
        <f>IF(ISNUMBER(AE264),N(AE261)+AE264,"")</f>
        <v/>
      </c>
      <c r="AF304" s="194">
        <f>IF(ISNUMBER(AF264),N(AF261)+AF264,"")</f>
        <v/>
      </c>
      <c r="AG304" s="194">
        <f>IF(ISNUMBER(AG264),N(AG261)+AG264,"")</f>
        <v/>
      </c>
      <c r="AH304" s="194">
        <f>IF(ISNUMBER(AH264),N(AH261)+AH264,"")</f>
        <v/>
      </c>
      <c r="AI304" s="194">
        <f>IF(ISNUMBER(AI264),N(AI261)+AI264,"")</f>
        <v/>
      </c>
      <c r="AJ304" s="194">
        <f>IF(ISNUMBER(AJ264),N(AJ261)+AJ264,"")</f>
        <v/>
      </c>
      <c r="AK304" s="194">
        <f>IF(ISNUMBER(AK264),N(AK261)+AK264,"")</f>
        <v/>
      </c>
      <c r="AL304" s="194">
        <f>IF(ISNUMBER(AL264),N(AL261)+AL264,"")</f>
        <v/>
      </c>
      <c r="AM304" s="194">
        <f>IF(ISNUMBER(AM264),N(AM261)+AM264,"")</f>
        <v/>
      </c>
      <c r="AN304" s="194">
        <f>IF(ISNUMBER(AN264),N(AN261)+AN264,"")</f>
        <v/>
      </c>
      <c r="AO304" s="194">
        <f>IF(ISNUMBER(AO264),N(AO261)+AO264,"")</f>
        <v/>
      </c>
      <c r="AP304" s="194">
        <f>IF(ISNUMBER(AP264),N(AP261)+AP264,"")</f>
        <v/>
      </c>
      <c r="AQ304" s="194">
        <f>IF(ISNUMBER(AQ264),N(AQ261)+AQ264,"")</f>
        <v/>
      </c>
      <c r="AR304" s="194">
        <f>IF(ISNUMBER(AR264),N(AR261)+AR264,"")</f>
        <v/>
      </c>
      <c r="AS304" s="194">
        <f>IF(ISNUMBER(AS264),N(AS261)+AS264,"")</f>
        <v/>
      </c>
      <c r="AT304" s="194">
        <f>IF(ISNUMBER(AT264),N(AT261)+AT264,"")</f>
        <v/>
      </c>
      <c r="AU304" s="194">
        <f>IF(ISNUMBER(AU264),N(AU261)+AU264,"")</f>
        <v/>
      </c>
      <c r="AV304" s="194">
        <f>IF(ISNUMBER(AV264),N(AV261)+AV264,"")</f>
        <v/>
      </c>
      <c r="AW304" s="194">
        <f>IF(ISNUMBER(AW264),N(AW261)+AW264,"")</f>
        <v/>
      </c>
      <c r="AX304" s="194">
        <f>IF(ISNUMBER(AX264),N(AX261)+AX264,"")</f>
        <v/>
      </c>
      <c r="AY304" s="194">
        <f>IF(ISNUMBER(AY264),N(AY261)+AY264,"")</f>
        <v/>
      </c>
      <c r="AZ304" s="194">
        <f>IF(ISNUMBER(AZ264),N(AZ261)+AZ264,"")</f>
        <v/>
      </c>
      <c r="BA304" s="194">
        <f>IF(ISNUMBER(BA264),N(BA261)+BA264,"")</f>
        <v/>
      </c>
      <c r="BB304" s="194">
        <f>IF(ISNUMBER(BB264),N(BB261)+BB264,"")</f>
        <v/>
      </c>
      <c r="BC304" s="194">
        <f>IF(ISNUMBER(BC264),N(BC261)+BC264,"")</f>
        <v/>
      </c>
      <c r="BD304" s="194">
        <f>IF(ISNUMBER(BD264),N(BD261)+BD264,"")</f>
        <v/>
      </c>
      <c r="BE304" s="194">
        <f>IF(ISNUMBER(BE264),N(BE261)+BE264,"")</f>
        <v/>
      </c>
      <c r="BF304" s="194">
        <f>IF(ISNUMBER(BF264),N(BF261)+BF264,"")</f>
        <v/>
      </c>
      <c r="BG304" s="194">
        <f>IF(ISNUMBER(BG264),N(BG261)+BG264,"")</f>
        <v/>
      </c>
      <c r="BH304" s="194">
        <f>IF(ISNUMBER(BH264),N(BH261)+BH264,"")</f>
        <v/>
      </c>
      <c r="BI304" s="194">
        <f>IF(ISNUMBER(BI264),N(BI261)+BI264,"")</f>
        <v/>
      </c>
      <c r="BJ304" s="194">
        <f>IF(ISNUMBER(BJ264),N(BJ261)+BJ264,"")</f>
        <v/>
      </c>
      <c r="BK304" s="194">
        <f>IF(ISNUMBER(BK264),N(BK261)+BK264,"")</f>
        <v/>
      </c>
      <c r="BL304" s="194">
        <f>IF(ISNUMBER(BL264),N(BL261)+BL264,"")</f>
        <v/>
      </c>
      <c r="BM304" s="194">
        <f>IF(ISNUMBER(BM264),N(BM261)+BM264,"")</f>
        <v/>
      </c>
      <c r="BN304" s="194">
        <f>IF(ISNUMBER(BN264),N(BN261)+BN264,"")</f>
        <v/>
      </c>
      <c r="BO304" s="194">
        <f>IF(ISNUMBER(BO264),N(BO261)+BO264,"")</f>
        <v/>
      </c>
      <c r="BP304" s="194">
        <f>IF(ISNUMBER(BP264),N(BP261)+BP264,"")</f>
        <v/>
      </c>
      <c r="BQ304" s="194">
        <f>IF(ISNUMBER(BQ264),N(BQ261)+BQ264,"")</f>
        <v/>
      </c>
      <c r="BR304" s="194">
        <f>IF(ISNUMBER(BR264),N(BR261)+BR264,"")</f>
        <v/>
      </c>
      <c r="BS304" s="194">
        <f>IF(ISNUMBER(BS264),N(BS261)+BS264,"")</f>
        <v/>
      </c>
      <c r="BT304" s="194">
        <f>IF(ISNUMBER(BT264),N(BT261)+BT264,"")</f>
        <v/>
      </c>
      <c r="BU304" s="194">
        <f>IF(ISNUMBER(BU264),N(BU261)+BU264,"")</f>
        <v/>
      </c>
      <c r="BV304" s="194">
        <f>IF(ISNUMBER(BV264),N(BV261)+BV264,"")</f>
        <v/>
      </c>
      <c r="BW304" s="194">
        <f>IF(ISNUMBER(BW264),N(BW261)+BW264,"")</f>
        <v/>
      </c>
      <c r="BX304" s="194">
        <f>IF(ISNUMBER(BX264),N(BX261)+BX264,"")</f>
        <v/>
      </c>
      <c r="BY304" s="6" t="n"/>
      <c r="BZ304" s="6" t="n"/>
      <c r="CA304" s="176">
        <f>CA308+CA311</f>
        <v/>
      </c>
      <c r="CB304" s="176">
        <f>CB308+CB311</f>
        <v/>
      </c>
      <c r="CC304" s="176">
        <f>CC308+CC311</f>
        <v/>
      </c>
      <c r="CD304" s="176">
        <f>CD308+CD311</f>
        <v/>
      </c>
      <c r="CE304" s="176">
        <f>CE308+CE311</f>
        <v/>
      </c>
      <c r="CF304" s="20" t="inlineStr">
        <is>
          <t>Debt at 30-Jun-26 $20.0m: Series B senior notes (PGIM Note Agreement, May-2020). $400m revolving credit agreement (Wells Fargo, to Mar-2028) undrawn; $31.8m letters of credit.</t>
        </is>
      </c>
    </row>
    <row r="305" ht="15" customHeight="1">
      <c r="B305" s="76" t="inlineStr">
        <is>
          <t xml:space="preserve">  Scheduled note maturities (input, negative)</t>
        </is>
      </c>
      <c r="C305" s="47" t="n"/>
      <c r="D305" s="47" t="n"/>
      <c r="E305" s="47" t="n"/>
      <c r="F305" s="47" t="n"/>
      <c r="G305" s="47" t="n"/>
      <c r="H305" s="47" t="n"/>
      <c r="I305" s="47" t="n"/>
      <c r="J305" s="47" t="n"/>
      <c r="K305" s="47" t="n"/>
      <c r="L305" s="47" t="n"/>
      <c r="M305" s="47" t="n"/>
      <c r="N305" s="47" t="n"/>
      <c r="O305" s="47" t="n"/>
      <c r="P305" s="47" t="n"/>
      <c r="Q305" s="47" t="n"/>
      <c r="R305" s="47" t="n"/>
      <c r="S305" s="47" t="n"/>
      <c r="T305" s="47" t="n"/>
      <c r="U305" s="47" t="n"/>
      <c r="V305" s="47" t="n"/>
      <c r="W305" s="47" t="n"/>
      <c r="X305" s="47" t="n"/>
      <c r="Y305" s="47" t="n"/>
      <c r="Z305" s="47" t="n"/>
      <c r="AA305" s="47" t="n"/>
      <c r="AB305" s="47" t="n"/>
      <c r="AC305" s="47" t="n"/>
      <c r="AD305" s="47" t="n"/>
      <c r="AE305" s="47" t="n"/>
      <c r="AF305" s="47" t="n"/>
      <c r="AG305" s="47" t="n"/>
      <c r="AH305" s="47" t="n"/>
      <c r="AI305" s="47" t="n"/>
      <c r="AJ305" s="47" t="n"/>
      <c r="AK305" s="47" t="n"/>
      <c r="AL305" s="47" t="n"/>
      <c r="AM305" s="47" t="n"/>
      <c r="AN305" s="47" t="n"/>
      <c r="AO305" s="47" t="n"/>
      <c r="AP305" s="47" t="n"/>
      <c r="AQ305" s="47" t="n"/>
      <c r="AR305" s="47" t="n"/>
      <c r="AS305" s="47" t="n"/>
      <c r="AT305" s="47" t="n"/>
      <c r="AU305" s="47" t="n"/>
      <c r="AV305" s="47" t="n"/>
      <c r="AW305" s="47" t="n"/>
      <c r="AX305" s="47" t="n"/>
      <c r="AY305" s="47" t="n"/>
      <c r="AZ305" s="47" t="n"/>
      <c r="BA305" s="47" t="n"/>
      <c r="BB305" s="47" t="n"/>
      <c r="BC305" s="47" t="n"/>
      <c r="BD305" s="47" t="n"/>
      <c r="BE305" s="47" t="n"/>
      <c r="BF305" s="47" t="n"/>
      <c r="BG305" s="47" t="n"/>
      <c r="BH305" s="47" t="n"/>
      <c r="BI305" s="47" t="n"/>
      <c r="BJ305" s="47" t="n"/>
      <c r="BK305" s="47" t="n"/>
      <c r="BL305" s="47" t="n"/>
      <c r="BM305" s="47" t="n"/>
      <c r="BN305" s="47" t="n"/>
      <c r="BO305" s="47" t="n"/>
      <c r="BP305" s="47" t="n"/>
      <c r="BQ305" s="47" t="n"/>
      <c r="BR305" s="47" t="n"/>
      <c r="BS305" s="47" t="n"/>
      <c r="BT305" s="47" t="n"/>
      <c r="BU305" s="47" t="n"/>
      <c r="BV305" s="47" t="n"/>
      <c r="BW305" s="47" t="n"/>
      <c r="BX305" s="47" t="n"/>
      <c r="BY305" s="6" t="n"/>
      <c r="BZ305" s="6" t="n"/>
      <c r="CA305" s="175" t="n">
        <v>0</v>
      </c>
      <c r="CB305" s="175" t="n">
        <v>-20</v>
      </c>
      <c r="CC305" s="175" t="n">
        <v>0</v>
      </c>
      <c r="CD305" s="175" t="n">
        <v>0</v>
      </c>
      <c r="CE305" s="175" t="n">
        <v>0</v>
      </c>
      <c r="CF305" s="20" t="inlineStr">
        <is>
          <t>Series B 2.79% senior notes: $20m paid May-2026 (in 1H/26 actuals); final $20m due May-2027. Revolver undrawn.</t>
        </is>
      </c>
    </row>
    <row r="306" ht="15" customHeight="1">
      <c r="B306" s="76" t="inlineStr">
        <is>
          <t xml:space="preserve">  % of scheduled maturities refinanced (input)</t>
        </is>
      </c>
      <c r="C306" s="47" t="n"/>
      <c r="D306" s="47" t="n"/>
      <c r="E306" s="47" t="n"/>
      <c r="F306" s="47" t="n"/>
      <c r="G306" s="47" t="n"/>
      <c r="H306" s="47" t="n"/>
      <c r="I306" s="47" t="n"/>
      <c r="J306" s="47" t="n"/>
      <c r="K306" s="47" t="n"/>
      <c r="L306" s="47" t="n"/>
      <c r="M306" s="47" t="n"/>
      <c r="N306" s="47" t="n"/>
      <c r="O306" s="47" t="n"/>
      <c r="P306" s="47" t="n"/>
      <c r="Q306" s="47" t="n"/>
      <c r="R306" s="47" t="n"/>
      <c r="S306" s="47" t="n"/>
      <c r="T306" s="47" t="n"/>
      <c r="U306" s="47" t="n"/>
      <c r="V306" s="47" t="n"/>
      <c r="W306" s="47" t="n"/>
      <c r="X306" s="47" t="n"/>
      <c r="Y306" s="47" t="n"/>
      <c r="Z306" s="47" t="n"/>
      <c r="AA306" s="47" t="n"/>
      <c r="AB306" s="47" t="n"/>
      <c r="AC306" s="47" t="n"/>
      <c r="AD306" s="47" t="n"/>
      <c r="AE306" s="47" t="n"/>
      <c r="AF306" s="47" t="n"/>
      <c r="AG306" s="47" t="n"/>
      <c r="AH306" s="47" t="n"/>
      <c r="AI306" s="47" t="n"/>
      <c r="AJ306" s="47" t="n"/>
      <c r="AK306" s="47" t="n"/>
      <c r="AL306" s="47" t="n"/>
      <c r="AM306" s="47" t="n"/>
      <c r="AN306" s="47" t="n"/>
      <c r="AO306" s="47" t="n"/>
      <c r="AP306" s="47" t="n"/>
      <c r="AQ306" s="47" t="n"/>
      <c r="AR306" s="47" t="n"/>
      <c r="AS306" s="47" t="n"/>
      <c r="AT306" s="47" t="n"/>
      <c r="AU306" s="47" t="n"/>
      <c r="AV306" s="47" t="n"/>
      <c r="AW306" s="47" t="n"/>
      <c r="AX306" s="47" t="n"/>
      <c r="AY306" s="47" t="n"/>
      <c r="AZ306" s="47" t="n"/>
      <c r="BA306" s="47" t="n"/>
      <c r="BB306" s="47" t="n"/>
      <c r="BC306" s="47" t="n"/>
      <c r="BD306" s="47" t="n"/>
      <c r="BE306" s="47" t="n"/>
      <c r="BF306" s="47" t="n"/>
      <c r="BG306" s="47" t="n"/>
      <c r="BH306" s="47" t="n"/>
      <c r="BI306" s="47" t="n"/>
      <c r="BJ306" s="47" t="n"/>
      <c r="BK306" s="47" t="n"/>
      <c r="BL306" s="47" t="n"/>
      <c r="BM306" s="47" t="n"/>
      <c r="BN306" s="47" t="n"/>
      <c r="BO306" s="47" t="n"/>
      <c r="BP306" s="47" t="n"/>
      <c r="BQ306" s="47" t="n"/>
      <c r="BR306" s="47" t="n"/>
      <c r="BS306" s="47" t="n"/>
      <c r="BT306" s="47" t="n"/>
      <c r="BU306" s="47" t="n"/>
      <c r="BV306" s="47" t="n"/>
      <c r="BW306" s="47" t="n"/>
      <c r="BX306" s="47" t="n"/>
      <c r="BY306" s="6" t="n"/>
      <c r="BZ306" s="6" t="n"/>
      <c r="CA306" s="195" t="n">
        <v>0</v>
      </c>
      <c r="CB306" s="195" t="n">
        <v>0</v>
      </c>
      <c r="CC306" s="195" t="n">
        <v>0</v>
      </c>
      <c r="CD306" s="195" t="n">
        <v>0</v>
      </c>
      <c r="CE306" s="195" t="n">
        <v>0</v>
      </c>
      <c r="CF306" s="20" t="n"/>
    </row>
    <row r="307" ht="15" customHeight="1">
      <c r="B307" s="76" t="inlineStr">
        <is>
          <t xml:space="preserve">  Refinancing issuance</t>
        </is>
      </c>
      <c r="C307" s="47" t="n"/>
      <c r="D307" s="47" t="n"/>
      <c r="E307" s="47" t="n"/>
      <c r="F307" s="47" t="n"/>
      <c r="G307" s="47" t="n"/>
      <c r="H307" s="47" t="n"/>
      <c r="I307" s="47" t="n"/>
      <c r="J307" s="47" t="n"/>
      <c r="K307" s="47" t="n"/>
      <c r="L307" s="47" t="n"/>
      <c r="M307" s="47" t="n"/>
      <c r="N307" s="47" t="n"/>
      <c r="O307" s="47" t="n"/>
      <c r="P307" s="47" t="n"/>
      <c r="Q307" s="47" t="n"/>
      <c r="R307" s="47" t="n"/>
      <c r="S307" s="47" t="n"/>
      <c r="T307" s="47" t="n"/>
      <c r="U307" s="47" t="n"/>
      <c r="V307" s="47" t="n"/>
      <c r="W307" s="47" t="n"/>
      <c r="X307" s="47" t="n"/>
      <c r="Y307" s="47" t="n"/>
      <c r="Z307" s="47" t="n"/>
      <c r="AA307" s="47" t="n"/>
      <c r="AB307" s="47" t="n"/>
      <c r="AC307" s="47" t="n"/>
      <c r="AD307" s="47" t="n"/>
      <c r="AE307" s="47" t="n"/>
      <c r="AF307" s="47" t="n"/>
      <c r="AG307" s="47" t="n"/>
      <c r="AH307" s="47" t="n"/>
      <c r="AI307" s="47" t="n"/>
      <c r="AJ307" s="47" t="n"/>
      <c r="AK307" s="47" t="n"/>
      <c r="AL307" s="47" t="n"/>
      <c r="AM307" s="47" t="n"/>
      <c r="AN307" s="47" t="n"/>
      <c r="AO307" s="47" t="n"/>
      <c r="AP307" s="47" t="n"/>
      <c r="AQ307" s="47" t="n"/>
      <c r="AR307" s="47" t="n"/>
      <c r="AS307" s="47" t="n"/>
      <c r="AT307" s="47" t="n"/>
      <c r="AU307" s="47" t="n"/>
      <c r="AV307" s="47" t="n"/>
      <c r="AW307" s="47" t="n"/>
      <c r="AX307" s="47" t="n"/>
      <c r="AY307" s="47" t="n"/>
      <c r="AZ307" s="47" t="n"/>
      <c r="BA307" s="47" t="n"/>
      <c r="BB307" s="47" t="n"/>
      <c r="BC307" s="47" t="n"/>
      <c r="BD307" s="47" t="n"/>
      <c r="BE307" s="47" t="n"/>
      <c r="BF307" s="47" t="n"/>
      <c r="BG307" s="47" t="n"/>
      <c r="BH307" s="47" t="n"/>
      <c r="BI307" s="47" t="n"/>
      <c r="BJ307" s="47" t="n"/>
      <c r="BK307" s="47" t="n"/>
      <c r="BL307" s="47" t="n"/>
      <c r="BM307" s="47" t="n"/>
      <c r="BN307" s="47" t="n"/>
      <c r="BO307" s="47" t="n"/>
      <c r="BP307" s="47" t="n"/>
      <c r="BQ307" s="47" t="n"/>
      <c r="BR307" s="47" t="n"/>
      <c r="BS307" s="47" t="n"/>
      <c r="BT307" s="47" t="n"/>
      <c r="BU307" s="47" t="n"/>
      <c r="BV307" s="47" t="n"/>
      <c r="BW307" s="47" t="n"/>
      <c r="BX307" s="47" t="n"/>
      <c r="BY307" s="6" t="n"/>
      <c r="BZ307" s="6" t="n"/>
      <c r="CA307" s="176">
        <f>-CA305*CA306</f>
        <v/>
      </c>
      <c r="CB307" s="176">
        <f>-CB305*CB306</f>
        <v/>
      </c>
      <c r="CC307" s="176">
        <f>-CC305*CC306</f>
        <v/>
      </c>
      <c r="CD307" s="176">
        <f>-CD305*CD306</f>
        <v/>
      </c>
      <c r="CE307" s="176">
        <f>-CE305*CE306</f>
        <v/>
      </c>
      <c r="CF307" s="20" t="n"/>
    </row>
    <row r="308" ht="15" customHeight="1">
      <c r="B308" s="76" t="inlineStr">
        <is>
          <t xml:space="preserve">  Senior notes outstanding (year end)</t>
        </is>
      </c>
      <c r="C308" s="174" t="n">
        <v>274.582</v>
      </c>
      <c r="D308" s="174" t="n">
        <v>263.754</v>
      </c>
      <c r="E308" s="174" t="n">
        <v>251.989</v>
      </c>
      <c r="F308" s="174" t="n">
        <v>305.532</v>
      </c>
      <c r="G308" s="174" t="n">
        <v>271.217</v>
      </c>
      <c r="H308" s="174" t="n">
        <v>269.185</v>
      </c>
      <c r="I308" s="174" t="n">
        <v>240.407</v>
      </c>
      <c r="J308" s="174" t="n">
        <v>219.333</v>
      </c>
      <c r="K308" s="174" t="n">
        <v>228.797</v>
      </c>
      <c r="L308" s="174" t="n">
        <v>206.113</v>
      </c>
      <c r="M308" s="174" t="n">
        <v>191.429</v>
      </c>
      <c r="N308" s="174" t="n">
        <v>191.429</v>
      </c>
      <c r="O308" s="174" t="n">
        <v>180.714</v>
      </c>
      <c r="P308" s="174" t="n">
        <v>199.714</v>
      </c>
      <c r="Q308" s="174" t="n">
        <v>183.917</v>
      </c>
      <c r="R308" s="174" t="n">
        <v>155.714</v>
      </c>
      <c r="S308" s="174" t="n">
        <v>155.714</v>
      </c>
      <c r="T308" s="174" t="n">
        <v>148.552</v>
      </c>
      <c r="U308" s="174" t="n">
        <v>146.344</v>
      </c>
      <c r="V308" s="174" t="n">
        <v>185.377</v>
      </c>
      <c r="W308" s="174" t="n">
        <v>133.805</v>
      </c>
      <c r="X308" s="174" t="n">
        <v>133.805</v>
      </c>
      <c r="Y308" s="174" t="n">
        <v>125.322</v>
      </c>
      <c r="Z308" s="174" t="n">
        <v>218.332</v>
      </c>
      <c r="AA308" s="174" t="n">
        <v>193.129</v>
      </c>
      <c r="AB308" s="174" t="n">
        <v>104.975</v>
      </c>
      <c r="AC308" s="174" t="n">
        <v>104.975</v>
      </c>
      <c r="AD308" s="174" t="n">
        <v>95</v>
      </c>
      <c r="AE308" s="174" t="n">
        <v>95</v>
      </c>
      <c r="AF308" s="174" t="n">
        <v>95</v>
      </c>
      <c r="AG308" s="174" t="n">
        <v>95</v>
      </c>
      <c r="AH308" s="174" t="n">
        <v>95</v>
      </c>
      <c r="AI308" s="174" t="n">
        <v>45</v>
      </c>
      <c r="AJ308" s="174" t="n">
        <v>45</v>
      </c>
      <c r="AK308" s="174" t="n">
        <v>45</v>
      </c>
      <c r="AL308" s="174" t="n">
        <v>45</v>
      </c>
      <c r="AM308" s="174" t="n">
        <v>45</v>
      </c>
      <c r="AN308" s="174" t="n">
        <v>45</v>
      </c>
      <c r="AO308" s="174" t="n">
        <v>45</v>
      </c>
      <c r="AP308" s="174" t="n">
        <v>45</v>
      </c>
      <c r="AQ308" s="174" t="n">
        <v>45</v>
      </c>
      <c r="AR308" s="174" t="n">
        <v>45</v>
      </c>
      <c r="AS308" s="174" t="n">
        <v>45</v>
      </c>
      <c r="AT308" s="174" t="n">
        <v>144.923</v>
      </c>
      <c r="AU308" s="174" t="n">
        <v>144.927</v>
      </c>
      <c r="AV308" s="174" t="n">
        <v>99.931</v>
      </c>
      <c r="AW308" s="174" t="n">
        <v>99.931</v>
      </c>
      <c r="AX308" s="174" t="n">
        <v>99.935</v>
      </c>
      <c r="AY308" s="174" t="n">
        <v>99.93899999999999</v>
      </c>
      <c r="AZ308" s="174" t="n">
        <v>99.943</v>
      </c>
      <c r="BA308" s="174" t="n">
        <v>99.947</v>
      </c>
      <c r="BB308" s="174" t="n">
        <v>99.947</v>
      </c>
      <c r="BC308" s="174" t="n">
        <v>99.95099999999999</v>
      </c>
      <c r="BD308" s="174" t="n">
        <v>99.955</v>
      </c>
      <c r="BE308" s="174" t="n">
        <v>99.959</v>
      </c>
      <c r="BF308" s="174" t="n">
        <v>99.96299999999999</v>
      </c>
      <c r="BG308" s="174" t="n">
        <v>99.96299999999999</v>
      </c>
      <c r="BH308" s="174" t="n">
        <v>99.967</v>
      </c>
      <c r="BI308" s="174" t="n">
        <v>79.97</v>
      </c>
      <c r="BJ308" s="174" t="n">
        <v>79.974</v>
      </c>
      <c r="BK308" s="174" t="n">
        <v>79.977</v>
      </c>
      <c r="BL308" s="174" t="n">
        <v>79.977</v>
      </c>
      <c r="BM308" s="174" t="n">
        <v>79.98</v>
      </c>
      <c r="BN308" s="174" t="n">
        <v>59.983</v>
      </c>
      <c r="BO308" s="174" t="n">
        <v>59.985</v>
      </c>
      <c r="BP308" s="174" t="n">
        <v>59.987</v>
      </c>
      <c r="BQ308" s="174" t="n">
        <v>59.987</v>
      </c>
      <c r="BR308" s="174" t="n">
        <v>59.99</v>
      </c>
      <c r="BS308" s="174" t="n">
        <v>169.992</v>
      </c>
      <c r="BT308" s="174" t="n">
        <v>84.99299999999999</v>
      </c>
      <c r="BU308" s="174" t="n">
        <v>39.995</v>
      </c>
      <c r="BV308" s="174" t="n">
        <v>39.995</v>
      </c>
      <c r="BW308" s="174" t="n">
        <v>39.996</v>
      </c>
      <c r="BX308" s="174" t="n">
        <v>19.997</v>
      </c>
      <c r="BY308" s="6" t="n"/>
      <c r="BZ308" s="6" t="n"/>
      <c r="CA308" s="176">
        <f>BX308+CA305+CA307</f>
        <v/>
      </c>
      <c r="CB308" s="176">
        <f>CA308+CB305+CB307</f>
        <v/>
      </c>
      <c r="CC308" s="176">
        <f>CB308+CC305+CC307</f>
        <v/>
      </c>
      <c r="CD308" s="176">
        <f>CC308+CD305+CD307</f>
        <v/>
      </c>
      <c r="CE308" s="176">
        <f>CD308+CE305+CE307</f>
        <v/>
      </c>
      <c r="CF308" s="20" t="n"/>
    </row>
    <row r="309" ht="15" customHeight="1">
      <c r="B309" s="76" t="inlineStr">
        <is>
          <t xml:space="preserve">  Cash before revolver (opening cash + CFO + CFI + dividends + buybacks + other financing + scheduled note flows)</t>
        </is>
      </c>
      <c r="C309" s="47" t="n"/>
      <c r="D309" s="47" t="n"/>
      <c r="E309" s="47" t="n"/>
      <c r="F309" s="47" t="n"/>
      <c r="G309" s="47" t="n"/>
      <c r="H309" s="47" t="n"/>
      <c r="I309" s="47" t="n"/>
      <c r="J309" s="47" t="n"/>
      <c r="K309" s="47" t="n"/>
      <c r="L309" s="47" t="n"/>
      <c r="M309" s="47" t="n"/>
      <c r="N309" s="47" t="n"/>
      <c r="O309" s="47" t="n"/>
      <c r="P309" s="47" t="n"/>
      <c r="Q309" s="47" t="n"/>
      <c r="R309" s="47" t="n"/>
      <c r="S309" s="47" t="n"/>
      <c r="T309" s="47" t="n"/>
      <c r="U309" s="47" t="n"/>
      <c r="V309" s="47" t="n"/>
      <c r="W309" s="47" t="n"/>
      <c r="X309" s="47" t="n"/>
      <c r="Y309" s="47" t="n"/>
      <c r="Z309" s="47" t="n"/>
      <c r="AA309" s="47" t="n"/>
      <c r="AB309" s="47" t="n"/>
      <c r="AC309" s="47" t="n"/>
      <c r="AD309" s="47" t="n"/>
      <c r="AE309" s="47" t="n"/>
      <c r="AF309" s="47" t="n"/>
      <c r="AG309" s="47" t="n"/>
      <c r="AH309" s="47" t="n"/>
      <c r="AI309" s="47" t="n"/>
      <c r="AJ309" s="47" t="n"/>
      <c r="AK309" s="47" t="n"/>
      <c r="AL309" s="47" t="n"/>
      <c r="AM309" s="47" t="n"/>
      <c r="AN309" s="47" t="n"/>
      <c r="AO309" s="47" t="n"/>
      <c r="AP309" s="47" t="n"/>
      <c r="AQ309" s="47" t="n"/>
      <c r="AR309" s="47" t="n"/>
      <c r="AS309" s="47" t="n"/>
      <c r="AT309" s="47" t="n"/>
      <c r="AU309" s="47" t="n"/>
      <c r="AV309" s="47" t="n"/>
      <c r="AW309" s="47" t="n"/>
      <c r="AX309" s="47" t="n"/>
      <c r="AY309" s="47" t="n"/>
      <c r="AZ309" s="47" t="n"/>
      <c r="BA309" s="47" t="n"/>
      <c r="BB309" s="47" t="n"/>
      <c r="BC309" s="47" t="n"/>
      <c r="BD309" s="47" t="n"/>
      <c r="BE309" s="47" t="n"/>
      <c r="BF309" s="47" t="n"/>
      <c r="BG309" s="47" t="n"/>
      <c r="BH309" s="47" t="n"/>
      <c r="BI309" s="47" t="n"/>
      <c r="BJ309" s="47" t="n"/>
      <c r="BK309" s="47" t="n"/>
      <c r="BL309" s="47" t="n"/>
      <c r="BM309" s="47" t="n"/>
      <c r="BN309" s="47" t="n"/>
      <c r="BO309" s="47" t="n"/>
      <c r="BP309" s="47" t="n"/>
      <c r="BQ309" s="47" t="n"/>
      <c r="BR309" s="47" t="n"/>
      <c r="BS309" s="47" t="n"/>
      <c r="BT309" s="47" t="n"/>
      <c r="BU309" s="47" t="n"/>
      <c r="BV309" s="47" t="n"/>
      <c r="BW309" s="47" t="n"/>
      <c r="BX309" s="47" t="n"/>
      <c r="BY309" s="6" t="n"/>
      <c r="BZ309" s="6" t="n"/>
      <c r="CA309" s="176">
        <f>CA221+CA207+CA213+CA216+CA217+CA218+(BW214+BX214)+(BW215+BX215)+CA305+CA307</f>
        <v/>
      </c>
      <c r="CB309" s="176">
        <f>CB221+CB207+CB213+CB216+CB217+CB218+CB305+CB307</f>
        <v/>
      </c>
      <c r="CC309" s="176">
        <f>CC221+CC207+CC213+CC216+CC217+CC218+CC305+CC307</f>
        <v/>
      </c>
      <c r="CD309" s="176">
        <f>CD221+CD207+CD213+CD216+CD217+CD218+CD305+CD307</f>
        <v/>
      </c>
      <c r="CE309" s="176">
        <f>CE221+CE207+CE213+CE216+CE217+CE218+CE305+CE307</f>
        <v/>
      </c>
      <c r="CF309" s="20" t="n"/>
    </row>
    <row r="310" ht="15" customHeight="1">
      <c r="B310" s="76" t="inlineStr">
        <is>
          <t xml:space="preserve">  Minimum cash balance</t>
        </is>
      </c>
      <c r="C310" s="47" t="n"/>
      <c r="D310" s="47" t="n"/>
      <c r="E310" s="47" t="n"/>
      <c r="F310" s="47" t="n"/>
      <c r="G310" s="47" t="n"/>
      <c r="H310" s="47" t="n"/>
      <c r="I310" s="47" t="n"/>
      <c r="J310" s="47" t="n"/>
      <c r="K310" s="47" t="n"/>
      <c r="L310" s="47" t="n"/>
      <c r="M310" s="47" t="n"/>
      <c r="N310" s="47" t="n"/>
      <c r="O310" s="47" t="n"/>
      <c r="P310" s="47" t="n"/>
      <c r="Q310" s="47" t="n"/>
      <c r="R310" s="47" t="n"/>
      <c r="S310" s="47" t="n"/>
      <c r="T310" s="47" t="n"/>
      <c r="U310" s="47" t="n"/>
      <c r="V310" s="47" t="n"/>
      <c r="W310" s="47" t="n"/>
      <c r="X310" s="47" t="n"/>
      <c r="Y310" s="47" t="n"/>
      <c r="Z310" s="47" t="n"/>
      <c r="AA310" s="47" t="n"/>
      <c r="AB310" s="47" t="n"/>
      <c r="AC310" s="47" t="n"/>
      <c r="AD310" s="47" t="n"/>
      <c r="AE310" s="47" t="n"/>
      <c r="AF310" s="47" t="n"/>
      <c r="AG310" s="47" t="n"/>
      <c r="AH310" s="47" t="n"/>
      <c r="AI310" s="47" t="n"/>
      <c r="AJ310" s="47" t="n"/>
      <c r="AK310" s="47" t="n"/>
      <c r="AL310" s="47" t="n"/>
      <c r="AM310" s="47" t="n"/>
      <c r="AN310" s="47" t="n"/>
      <c r="AO310" s="47" t="n"/>
      <c r="AP310" s="47" t="n"/>
      <c r="AQ310" s="47" t="n"/>
      <c r="AR310" s="47" t="n"/>
      <c r="AS310" s="47" t="n"/>
      <c r="AT310" s="47" t="n"/>
      <c r="AU310" s="47" t="n"/>
      <c r="AV310" s="47" t="n"/>
      <c r="AW310" s="47" t="n"/>
      <c r="AX310" s="47" t="n"/>
      <c r="AY310" s="47" t="n"/>
      <c r="AZ310" s="47" t="n"/>
      <c r="BA310" s="47" t="n"/>
      <c r="BB310" s="47" t="n"/>
      <c r="BC310" s="47" t="n"/>
      <c r="BD310" s="47" t="n"/>
      <c r="BE310" s="47" t="n"/>
      <c r="BF310" s="47" t="n"/>
      <c r="BG310" s="47" t="n"/>
      <c r="BH310" s="47" t="n"/>
      <c r="BI310" s="47" t="n"/>
      <c r="BJ310" s="47" t="n"/>
      <c r="BK310" s="47" t="n"/>
      <c r="BL310" s="47" t="n"/>
      <c r="BM310" s="47" t="n"/>
      <c r="BN310" s="47" t="n"/>
      <c r="BO310" s="47" t="n"/>
      <c r="BP310" s="47" t="n"/>
      <c r="BQ310" s="47" t="n"/>
      <c r="BR310" s="47" t="n"/>
      <c r="BS310" s="47" t="n"/>
      <c r="BT310" s="47" t="n"/>
      <c r="BU310" s="47" t="n"/>
      <c r="BV310" s="47" t="n"/>
      <c r="BW310" s="47" t="n"/>
      <c r="BX310" s="47" t="n"/>
      <c r="BY310" s="6" t="n"/>
      <c r="BZ310" s="6" t="n"/>
      <c r="CA310" s="175" t="n">
        <v>100</v>
      </c>
      <c r="CB310" s="175" t="n">
        <v>100</v>
      </c>
      <c r="CC310" s="175" t="n">
        <v>100</v>
      </c>
      <c r="CD310" s="175" t="n">
        <v>100</v>
      </c>
      <c r="CE310" s="175" t="n">
        <v>100</v>
      </c>
      <c r="CF310" s="20" t="n"/>
    </row>
    <row r="311" ht="15" customHeight="1">
      <c r="B311" s="76" t="inlineStr">
        <is>
          <t xml:space="preserve">  Revolving line of credit outstanding ($400m facility to Mar-2028; year end)</t>
        </is>
      </c>
      <c r="C311" s="47" t="n"/>
      <c r="D311" s="47" t="n"/>
      <c r="E311" s="47" t="n"/>
      <c r="F311" s="47" t="n"/>
      <c r="G311" s="47" t="n"/>
      <c r="H311" s="47" t="n"/>
      <c r="I311" s="47" t="n"/>
      <c r="J311" s="47" t="n"/>
      <c r="K311" s="47" t="n"/>
      <c r="L311" s="47" t="n"/>
      <c r="M311" s="47" t="n"/>
      <c r="N311" s="47" t="n"/>
      <c r="O311" s="47" t="n"/>
      <c r="P311" s="47" t="n"/>
      <c r="Q311" s="47" t="n"/>
      <c r="R311" s="47" t="n"/>
      <c r="S311" s="47" t="n"/>
      <c r="T311" s="47" t="n"/>
      <c r="U311" s="47" t="n"/>
      <c r="V311" s="47" t="n"/>
      <c r="W311" s="47" t="n"/>
      <c r="X311" s="47" t="n"/>
      <c r="Y311" s="47" t="n"/>
      <c r="Z311" s="47" t="n"/>
      <c r="AA311" s="47" t="n"/>
      <c r="AB311" s="47" t="n"/>
      <c r="AC311" s="47" t="n"/>
      <c r="AD311" s="47" t="n"/>
      <c r="AE311" s="47" t="n"/>
      <c r="AF311" s="47" t="n"/>
      <c r="AG311" s="47" t="n"/>
      <c r="AH311" s="47" t="n"/>
      <c r="AI311" s="47" t="n"/>
      <c r="AJ311" s="47" t="n"/>
      <c r="AK311" s="47" t="n"/>
      <c r="AL311" s="47" t="n"/>
      <c r="AM311" s="47" t="n"/>
      <c r="AN311" s="47" t="n"/>
      <c r="AO311" s="47" t="n"/>
      <c r="AP311" s="47" t="n"/>
      <c r="AQ311" s="47" t="n"/>
      <c r="AR311" s="47" t="n"/>
      <c r="AS311" s="47" t="n"/>
      <c r="AT311" s="47" t="n"/>
      <c r="AU311" s="47" t="n"/>
      <c r="AV311" s="47" t="n"/>
      <c r="AW311" s="47" t="n"/>
      <c r="AX311" s="47" t="n"/>
      <c r="AY311" s="47" t="n"/>
      <c r="AZ311" s="47" t="n"/>
      <c r="BA311" s="47" t="n"/>
      <c r="BB311" s="47" t="n"/>
      <c r="BC311" s="47" t="n"/>
      <c r="BD311" s="47" t="n"/>
      <c r="BE311" s="47" t="n"/>
      <c r="BF311" s="47" t="n"/>
      <c r="BG311" s="47" t="n"/>
      <c r="BH311" s="47" t="n"/>
      <c r="BI311" s="47" t="n"/>
      <c r="BJ311" s="47" t="n"/>
      <c r="BK311" s="47" t="n"/>
      <c r="BL311" s="47" t="n"/>
      <c r="BM311" s="47" t="n"/>
      <c r="BN311" s="47" t="n"/>
      <c r="BO311" s="47" t="n"/>
      <c r="BP311" s="47" t="n"/>
      <c r="BQ311" s="47" t="n"/>
      <c r="BR311" s="47" t="n"/>
      <c r="BS311" s="47" t="n"/>
      <c r="BT311" s="47" t="n"/>
      <c r="BU311" s="47" t="n"/>
      <c r="BV311" s="47" t="n"/>
      <c r="BW311" s="47" t="n"/>
      <c r="BX311" s="47" t="n"/>
      <c r="BY311" s="6" t="n"/>
      <c r="BZ311" s="6" t="n"/>
      <c r="CA311" s="176">
        <f>MAX(0,N(BX311)+CA310-CA309)</f>
        <v/>
      </c>
      <c r="CB311" s="176">
        <f>MAX(0,N(CA311)+CB310-CB309)</f>
        <v/>
      </c>
      <c r="CC311" s="176">
        <f>MAX(0,N(CB311)+CC310-CC309)</f>
        <v/>
      </c>
      <c r="CD311" s="176">
        <f>MAX(0,N(CC311)+CD310-CD309)</f>
        <v/>
      </c>
      <c r="CE311" s="176">
        <f>MAX(0,N(CD311)+CE310-CE309)</f>
        <v/>
      </c>
      <c r="CF311" s="20" t="inlineStr">
        <is>
          <t>Drawn / repaid so that cash ≥ minimum balance (undrawn at 30-Jun-26; $368m available after letters of credit).</t>
        </is>
      </c>
    </row>
    <row r="312" ht="15" customHeight="1">
      <c r="B312" s="76" t="inlineStr">
        <is>
          <t xml:space="preserve">  Net issuance / (repayment)</t>
        </is>
      </c>
      <c r="C312" s="47" t="n"/>
      <c r="D312" s="47" t="n"/>
      <c r="E312" s="47" t="n"/>
      <c r="F312" s="47" t="n"/>
      <c r="G312" s="47" t="n"/>
      <c r="H312" s="47" t="n"/>
      <c r="I312" s="47" t="n"/>
      <c r="J312" s="47" t="n"/>
      <c r="K312" s="47" t="n"/>
      <c r="L312" s="47" t="n"/>
      <c r="M312" s="47" t="n"/>
      <c r="N312" s="47" t="n"/>
      <c r="O312" s="47" t="n"/>
      <c r="P312" s="47" t="n"/>
      <c r="Q312" s="47" t="n"/>
      <c r="R312" s="47" t="n"/>
      <c r="S312" s="47" t="n"/>
      <c r="T312" s="47" t="n"/>
      <c r="U312" s="47" t="n"/>
      <c r="V312" s="47" t="n"/>
      <c r="W312" s="47" t="n"/>
      <c r="X312" s="47" t="n"/>
      <c r="Y312" s="47" t="n"/>
      <c r="Z312" s="47" t="n"/>
      <c r="AA312" s="47" t="n"/>
      <c r="AB312" s="47" t="n"/>
      <c r="AC312" s="47" t="n"/>
      <c r="AD312" s="47" t="n"/>
      <c r="AE312" s="47" t="n"/>
      <c r="AF312" s="47" t="n"/>
      <c r="AG312" s="47" t="n"/>
      <c r="AH312" s="47" t="n"/>
      <c r="AI312" s="47" t="n"/>
      <c r="AJ312" s="47" t="n"/>
      <c r="AK312" s="47" t="n"/>
      <c r="AL312" s="47" t="n"/>
      <c r="AM312" s="47" t="n"/>
      <c r="AN312" s="47" t="n"/>
      <c r="AO312" s="47" t="n"/>
      <c r="AP312" s="47" t="n"/>
      <c r="AQ312" s="47" t="n"/>
      <c r="AR312" s="47" t="n"/>
      <c r="AS312" s="47" t="n"/>
      <c r="AT312" s="47" t="n"/>
      <c r="AU312" s="47" t="n"/>
      <c r="AV312" s="47" t="n"/>
      <c r="AW312" s="47" t="n"/>
      <c r="AX312" s="47" t="n"/>
      <c r="AY312" s="47" t="n"/>
      <c r="AZ312" s="47" t="n"/>
      <c r="BA312" s="47" t="n"/>
      <c r="BB312" s="47" t="n"/>
      <c r="BC312" s="47" t="n"/>
      <c r="BD312" s="47" t="n"/>
      <c r="BE312" s="47" t="n"/>
      <c r="BF312" s="47" t="n"/>
      <c r="BG312" s="47" t="n"/>
      <c r="BH312" s="47" t="n"/>
      <c r="BI312" s="47" t="n"/>
      <c r="BJ312" s="47" t="n"/>
      <c r="BK312" s="47" t="n"/>
      <c r="BL312" s="47" t="n"/>
      <c r="BM312" s="47" t="n"/>
      <c r="BN312" s="47" t="n"/>
      <c r="BO312" s="47" t="n"/>
      <c r="BP312" s="47" t="n"/>
      <c r="BQ312" s="47" t="n"/>
      <c r="BR312" s="47" t="n"/>
      <c r="BS312" s="47" t="n"/>
      <c r="BT312" s="47" t="n"/>
      <c r="BU312" s="47" t="n"/>
      <c r="BV312" s="47" t="n"/>
      <c r="BW312" s="47" t="n"/>
      <c r="BX312" s="47" t="n"/>
      <c r="BY312" s="6" t="n"/>
      <c r="BZ312" s="6" t="n"/>
      <c r="CA312" s="176">
        <f>IFERROR(CA304-BV304,"")</f>
        <v/>
      </c>
      <c r="CB312" s="176">
        <f>IFERROR(CB304-CA304,"")</f>
        <v/>
      </c>
      <c r="CC312" s="176">
        <f>IFERROR(CC304-CB304,"")</f>
        <v/>
      </c>
      <c r="CD312" s="176">
        <f>IFERROR(CD304-CC304,"")</f>
        <v/>
      </c>
      <c r="CE312" s="176">
        <f>IFERROR(CE304-CD304,"")</f>
        <v/>
      </c>
      <c r="CF312" s="20" t="n"/>
    </row>
    <row r="313" ht="15" customHeight="1">
      <c r="B313" s="76" t="inlineStr">
        <is>
          <t xml:space="preserve">  Interest rate on senior notes (opening balance) %</t>
        </is>
      </c>
      <c r="C313" s="47" t="n"/>
      <c r="D313" s="47" t="n"/>
      <c r="E313" s="47" t="n"/>
      <c r="F313" s="47" t="n"/>
      <c r="G313" s="47" t="n"/>
      <c r="H313" s="47" t="n"/>
      <c r="I313" s="47" t="n"/>
      <c r="J313" s="47" t="n"/>
      <c r="K313" s="47" t="n"/>
      <c r="L313" s="47" t="n"/>
      <c r="M313" s="47" t="n"/>
      <c r="N313" s="47" t="n"/>
      <c r="O313" s="47" t="n"/>
      <c r="P313" s="47" t="n"/>
      <c r="Q313" s="47" t="n"/>
      <c r="R313" s="47" t="n"/>
      <c r="S313" s="47" t="n"/>
      <c r="T313" s="47" t="n"/>
      <c r="U313" s="47" t="n"/>
      <c r="V313" s="47" t="n"/>
      <c r="W313" s="47" t="n"/>
      <c r="X313" s="47" t="n"/>
      <c r="Y313" s="47" t="n"/>
      <c r="Z313" s="47" t="n"/>
      <c r="AA313" s="47" t="n"/>
      <c r="AB313" s="47" t="n"/>
      <c r="AC313" s="47" t="n"/>
      <c r="AD313" s="47" t="n"/>
      <c r="AE313" s="47" t="n"/>
      <c r="AF313" s="47" t="n"/>
      <c r="AG313" s="47" t="n"/>
      <c r="AH313" s="47" t="n"/>
      <c r="AI313" s="47" t="n"/>
      <c r="AJ313" s="47" t="n"/>
      <c r="AK313" s="47" t="n"/>
      <c r="AL313" s="47" t="n"/>
      <c r="AM313" s="47" t="n"/>
      <c r="AN313" s="47" t="n"/>
      <c r="AO313" s="47" t="n"/>
      <c r="AP313" s="47" t="n"/>
      <c r="AQ313" s="47" t="n"/>
      <c r="AR313" s="47" t="n"/>
      <c r="AS313" s="47" t="n"/>
      <c r="AT313" s="47" t="n"/>
      <c r="AU313" s="47" t="n"/>
      <c r="AV313" s="47" t="n"/>
      <c r="AW313" s="47" t="n"/>
      <c r="AX313" s="47" t="n"/>
      <c r="AY313" s="47" t="n"/>
      <c r="AZ313" s="47" t="n"/>
      <c r="BA313" s="47" t="n"/>
      <c r="BB313" s="47" t="n"/>
      <c r="BC313" s="47" t="n"/>
      <c r="BD313" s="47" t="n"/>
      <c r="BE313" s="47" t="n"/>
      <c r="BF313" s="47" t="n"/>
      <c r="BG313" s="47" t="n"/>
      <c r="BH313" s="47" t="n"/>
      <c r="BI313" s="47" t="n"/>
      <c r="BJ313" s="47" t="n"/>
      <c r="BK313" s="47" t="n"/>
      <c r="BL313" s="47" t="n"/>
      <c r="BM313" s="47" t="n"/>
      <c r="BN313" s="47" t="n"/>
      <c r="BO313" s="47" t="n"/>
      <c r="BP313" s="47" t="n"/>
      <c r="BQ313" s="47" t="n"/>
      <c r="BR313" s="47" t="n"/>
      <c r="BS313" s="47" t="n"/>
      <c r="BT313" s="47" t="n"/>
      <c r="BU313" s="47" t="n"/>
      <c r="BV313" s="47" t="n"/>
      <c r="BW313" s="47" t="n"/>
      <c r="BX313" s="47" t="n"/>
      <c r="BY313" s="6" t="n"/>
      <c r="BZ313" s="6" t="n"/>
      <c r="CA313" s="37" t="n"/>
      <c r="CB313" s="195" t="n">
        <v>0.0279</v>
      </c>
      <c r="CC313" s="195" t="n">
        <v>0.0279</v>
      </c>
      <c r="CD313" s="195" t="n">
        <v>0.0279</v>
      </c>
      <c r="CE313" s="195" t="n">
        <v>0.0279</v>
      </c>
      <c r="CF313" s="20" t="inlineStr">
        <is>
          <t>Series B senior notes 2.79% (2020 Note Agreement with PGIM).</t>
        </is>
      </c>
    </row>
    <row r="314" ht="15" customHeight="1">
      <c r="B314" s="76" t="inlineStr">
        <is>
          <t xml:space="preserve">  Interest rate on revolver %</t>
        </is>
      </c>
      <c r="C314" s="47" t="n"/>
      <c r="D314" s="47" t="n"/>
      <c r="E314" s="47" t="n"/>
      <c r="F314" s="47" t="n"/>
      <c r="G314" s="47" t="n"/>
      <c r="H314" s="47" t="n"/>
      <c r="I314" s="47" t="n"/>
      <c r="J314" s="47" t="n"/>
      <c r="K314" s="47" t="n"/>
      <c r="L314" s="47" t="n"/>
      <c r="M314" s="47" t="n"/>
      <c r="N314" s="47" t="n"/>
      <c r="O314" s="47" t="n"/>
      <c r="P314" s="47" t="n"/>
      <c r="Q314" s="47" t="n"/>
      <c r="R314" s="47" t="n"/>
      <c r="S314" s="47" t="n"/>
      <c r="T314" s="47" t="n"/>
      <c r="U314" s="47" t="n"/>
      <c r="V314" s="47" t="n"/>
      <c r="W314" s="47" t="n"/>
      <c r="X314" s="47" t="n"/>
      <c r="Y314" s="47" t="n"/>
      <c r="Z314" s="47" t="n"/>
      <c r="AA314" s="47" t="n"/>
      <c r="AB314" s="47" t="n"/>
      <c r="AC314" s="47" t="n"/>
      <c r="AD314" s="47" t="n"/>
      <c r="AE314" s="47" t="n"/>
      <c r="AF314" s="47" t="n"/>
      <c r="AG314" s="47" t="n"/>
      <c r="AH314" s="47" t="n"/>
      <c r="AI314" s="47" t="n"/>
      <c r="AJ314" s="47" t="n"/>
      <c r="AK314" s="47" t="n"/>
      <c r="AL314" s="47" t="n"/>
      <c r="AM314" s="47" t="n"/>
      <c r="AN314" s="47" t="n"/>
      <c r="AO314" s="47" t="n"/>
      <c r="AP314" s="47" t="n"/>
      <c r="AQ314" s="47" t="n"/>
      <c r="AR314" s="47" t="n"/>
      <c r="AS314" s="47" t="n"/>
      <c r="AT314" s="47" t="n"/>
      <c r="AU314" s="47" t="n"/>
      <c r="AV314" s="47" t="n"/>
      <c r="AW314" s="47" t="n"/>
      <c r="AX314" s="47" t="n"/>
      <c r="AY314" s="47" t="n"/>
      <c r="AZ314" s="47" t="n"/>
      <c r="BA314" s="47" t="n"/>
      <c r="BB314" s="47" t="n"/>
      <c r="BC314" s="47" t="n"/>
      <c r="BD314" s="47" t="n"/>
      <c r="BE314" s="47" t="n"/>
      <c r="BF314" s="47" t="n"/>
      <c r="BG314" s="47" t="n"/>
      <c r="BH314" s="47" t="n"/>
      <c r="BI314" s="47" t="n"/>
      <c r="BJ314" s="47" t="n"/>
      <c r="BK314" s="47" t="n"/>
      <c r="BL314" s="47" t="n"/>
      <c r="BM314" s="47" t="n"/>
      <c r="BN314" s="47" t="n"/>
      <c r="BO314" s="47" t="n"/>
      <c r="BP314" s="47" t="n"/>
      <c r="BQ314" s="47" t="n"/>
      <c r="BR314" s="47" t="n"/>
      <c r="BS314" s="47" t="n"/>
      <c r="BT314" s="47" t="n"/>
      <c r="BU314" s="47" t="n"/>
      <c r="BV314" s="47" t="n"/>
      <c r="BW314" s="47" t="n"/>
      <c r="BX314" s="47" t="n"/>
      <c r="BY314" s="6" t="n"/>
      <c r="BZ314" s="6" t="n"/>
      <c r="CA314" s="37" t="n"/>
      <c r="CB314" s="195" t="n">
        <v>0.05</v>
      </c>
      <c r="CC314" s="195" t="n">
        <v>0.05</v>
      </c>
      <c r="CD314" s="195" t="n">
        <v>0.05</v>
      </c>
      <c r="CE314" s="195" t="n">
        <v>0.05</v>
      </c>
      <c r="CF314" s="20" t="inlineStr">
        <is>
          <t>SOFR + 0.10% + 1.000–1.375% margin.</t>
        </is>
      </c>
    </row>
    <row r="315" ht="15" customHeight="1">
      <c r="B315" s="76" t="inlineStr">
        <is>
          <t xml:space="preserve">  Interest income yield on opening cash &amp; short-term investments %</t>
        </is>
      </c>
      <c r="C315" s="47" t="n"/>
      <c r="D315" s="47" t="n"/>
      <c r="E315" s="47" t="n"/>
      <c r="F315" s="47" t="n"/>
      <c r="G315" s="47" t="n"/>
      <c r="H315" s="47" t="n"/>
      <c r="I315" s="47" t="n"/>
      <c r="J315" s="47" t="n"/>
      <c r="K315" s="47" t="n"/>
      <c r="L315" s="47" t="n"/>
      <c r="M315" s="47" t="n"/>
      <c r="N315" s="47" t="n"/>
      <c r="O315" s="47" t="n"/>
      <c r="P315" s="47" t="n"/>
      <c r="Q315" s="47" t="n"/>
      <c r="R315" s="47" t="n"/>
      <c r="S315" s="47" t="n"/>
      <c r="T315" s="47" t="n"/>
      <c r="U315" s="47" t="n"/>
      <c r="V315" s="47" t="n"/>
      <c r="W315" s="47" t="n"/>
      <c r="X315" s="47" t="n"/>
      <c r="Y315" s="47" t="n"/>
      <c r="Z315" s="47" t="n"/>
      <c r="AA315" s="47" t="n"/>
      <c r="AB315" s="47" t="n"/>
      <c r="AC315" s="47" t="n"/>
      <c r="AD315" s="47" t="n"/>
      <c r="AE315" s="47" t="n"/>
      <c r="AF315" s="47" t="n"/>
      <c r="AG315" s="47" t="n"/>
      <c r="AH315" s="47" t="n"/>
      <c r="AI315" s="47" t="n"/>
      <c r="AJ315" s="47" t="n"/>
      <c r="AK315" s="47" t="n"/>
      <c r="AL315" s="47" t="n"/>
      <c r="AM315" s="47" t="n"/>
      <c r="AN315" s="47" t="n"/>
      <c r="AO315" s="47" t="n"/>
      <c r="AP315" s="47" t="n"/>
      <c r="AQ315" s="47" t="n"/>
      <c r="AR315" s="47" t="n"/>
      <c r="AS315" s="47" t="n"/>
      <c r="AT315" s="47" t="n"/>
      <c r="AU315" s="47" t="n"/>
      <c r="AV315" s="47" t="n"/>
      <c r="AW315" s="47" t="n"/>
      <c r="AX315" s="47" t="n"/>
      <c r="AY315" s="47" t="n"/>
      <c r="AZ315" s="47" t="n"/>
      <c r="BA315" s="47" t="n"/>
      <c r="BB315" s="47" t="n"/>
      <c r="BC315" s="47" t="n"/>
      <c r="BD315" s="47" t="n"/>
      <c r="BE315" s="47" t="n"/>
      <c r="BF315" s="47" t="n"/>
      <c r="BG315" s="47" t="n"/>
      <c r="BH315" s="47" t="n"/>
      <c r="BI315" s="47" t="n"/>
      <c r="BJ315" s="47" t="n"/>
      <c r="BK315" s="47" t="n"/>
      <c r="BL315" s="47" t="n"/>
      <c r="BM315" s="47" t="n"/>
      <c r="BN315" s="47" t="n"/>
      <c r="BO315" s="47" t="n"/>
      <c r="BP315" s="47" t="n"/>
      <c r="BQ315" s="47" t="n"/>
      <c r="BR315" s="47" t="n"/>
      <c r="BS315" s="47" t="n"/>
      <c r="BT315" s="47" t="n"/>
      <c r="BU315" s="47" t="n"/>
      <c r="BV315" s="47" t="n"/>
      <c r="BW315" s="47" t="n"/>
      <c r="BX315" s="47" t="n"/>
      <c r="BY315" s="6" t="n"/>
      <c r="BZ315" s="6" t="n"/>
      <c r="CA315" s="37" t="n"/>
      <c r="CB315" s="195" t="n">
        <v>0.035</v>
      </c>
      <c r="CC315" s="195" t="n">
        <v>0.035</v>
      </c>
      <c r="CD315" s="195" t="n">
        <v>0.035</v>
      </c>
      <c r="CE315" s="195" t="n">
        <v>0.035</v>
      </c>
      <c r="CF315" s="20" t="n"/>
    </row>
    <row r="316" ht="15" customHeight="1">
      <c r="B316" s="26" t="inlineStr">
        <is>
          <t>Cash-return buybacks (repurchases plug: cash above the scenario target balance returned, 2027E+)</t>
        </is>
      </c>
      <c r="CF316" s="6" t="n"/>
    </row>
    <row r="317" ht="15" customHeight="1">
      <c r="B317" s="76" t="inlineStr">
        <is>
          <t xml:space="preserve">  Target cash balance (USDm) (scenario)</t>
        </is>
      </c>
      <c r="C317" s="47" t="n"/>
      <c r="D317" s="47" t="n"/>
      <c r="E317" s="47" t="n"/>
      <c r="F317" s="47" t="n"/>
      <c r="G317" s="47" t="n"/>
      <c r="H317" s="47" t="n"/>
      <c r="I317" s="47" t="n"/>
      <c r="J317" s="47" t="n"/>
      <c r="K317" s="47" t="n"/>
      <c r="L317" s="47" t="n"/>
      <c r="M317" s="47" t="n"/>
      <c r="N317" s="47" t="n"/>
      <c r="O317" s="47" t="n"/>
      <c r="P317" s="47" t="n"/>
      <c r="Q317" s="47" t="n"/>
      <c r="R317" s="47" t="n"/>
      <c r="S317" s="47" t="n"/>
      <c r="T317" s="47" t="n"/>
      <c r="U317" s="47" t="n"/>
      <c r="V317" s="47" t="n"/>
      <c r="W317" s="47" t="n"/>
      <c r="X317" s="47" t="n"/>
      <c r="Y317" s="47" t="n"/>
      <c r="Z317" s="47" t="n"/>
      <c r="AA317" s="47" t="n"/>
      <c r="AB317" s="47" t="n"/>
      <c r="AC317" s="47" t="n"/>
      <c r="AD317" s="47" t="n"/>
      <c r="AE317" s="47" t="n"/>
      <c r="AF317" s="47" t="n"/>
      <c r="AG317" s="47" t="n"/>
      <c r="AH317" s="47" t="n"/>
      <c r="AI317" s="47" t="n"/>
      <c r="AJ317" s="47" t="n"/>
      <c r="AK317" s="47" t="n"/>
      <c r="AL317" s="47" t="n"/>
      <c r="AM317" s="47" t="n"/>
      <c r="AN317" s="47" t="n"/>
      <c r="AO317" s="47" t="n"/>
      <c r="AP317" s="47" t="n"/>
      <c r="AQ317" s="47" t="n"/>
      <c r="AR317" s="47" t="n"/>
      <c r="AS317" s="47" t="n"/>
      <c r="AT317" s="47" t="n"/>
      <c r="AU317" s="47" t="n"/>
      <c r="AV317" s="47" t="n"/>
      <c r="AW317" s="47" t="n"/>
      <c r="AX317" s="47" t="n"/>
      <c r="AY317" s="47" t="n"/>
      <c r="AZ317" s="47" t="n"/>
      <c r="BA317" s="47" t="n"/>
      <c r="BB317" s="47" t="n"/>
      <c r="BC317" s="47" t="n"/>
      <c r="BD317" s="47" t="n"/>
      <c r="BE317" s="47" t="n"/>
      <c r="BF317" s="47" t="n"/>
      <c r="BG317" s="47" t="n"/>
      <c r="BH317" s="47" t="n"/>
      <c r="BI317" s="47" t="n"/>
      <c r="BJ317" s="47" t="n"/>
      <c r="BK317" s="47" t="n"/>
      <c r="BL317" s="47" t="n"/>
      <c r="BM317" s="47" t="n"/>
      <c r="BN317" s="47" t="n"/>
      <c r="BO317" s="47" t="n"/>
      <c r="BP317" s="47" t="n"/>
      <c r="BQ317" s="47" t="n"/>
      <c r="BR317" s="47" t="n"/>
      <c r="BS317" s="47" t="n"/>
      <c r="BT317" s="47" t="n"/>
      <c r="BU317" s="47" t="n"/>
      <c r="BV317" s="47" t="n"/>
      <c r="BW317" s="47" t="n"/>
      <c r="BX317" s="47" t="n"/>
      <c r="BY317" s="6" t="n"/>
      <c r="BZ317" s="6" t="n"/>
      <c r="CA317" s="37" t="n"/>
      <c r="CB317" s="176">
        <f>CHOOSE(MATCH($CF$2,{"Bull","Base","Bear"},0),$CO$28,$CP$28,$CQ$28)</f>
        <v/>
      </c>
      <c r="CC317" s="176">
        <f>CHOOSE(MATCH($CF$2,{"Bull","Base","Bear"},0),$CO$28,$CP$28,$CQ$28)</f>
        <v/>
      </c>
      <c r="CD317" s="176">
        <f>CHOOSE(MATCH($CF$2,{"Bull","Base","Bear"},0),$CO$28,$CP$28,$CQ$28)</f>
        <v/>
      </c>
      <c r="CE317" s="176">
        <f>CHOOSE(MATCH($CF$2,{"Bull","Base","Bear"},0),$CO$28,$CP$28,$CQ$28)</f>
        <v/>
      </c>
      <c r="CF317" s="20" t="inlineStr">
        <is>
          <t>ODFL runs with minimal debt and returns surplus cash (cash $120m at YE25, $284m at 30-Jun-26). Target cash: Bull $150m / Base $250m / Bear $400m.</t>
        </is>
      </c>
    </row>
    <row r="318" ht="15" customHeight="1">
      <c r="B318" s="76" t="inlineStr">
        <is>
          <t xml:space="preserve">  Cash before buybacks (year end)</t>
        </is>
      </c>
      <c r="C318" s="47" t="n"/>
      <c r="D318" s="47" t="n"/>
      <c r="E318" s="47" t="n"/>
      <c r="F318" s="47" t="n"/>
      <c r="G318" s="47" t="n"/>
      <c r="H318" s="47" t="n"/>
      <c r="I318" s="47" t="n"/>
      <c r="J318" s="47" t="n"/>
      <c r="K318" s="47" t="n"/>
      <c r="L318" s="47" t="n"/>
      <c r="M318" s="47" t="n"/>
      <c r="N318" s="47" t="n"/>
      <c r="O318" s="47" t="n"/>
      <c r="P318" s="47" t="n"/>
      <c r="Q318" s="47" t="n"/>
      <c r="R318" s="47" t="n"/>
      <c r="S318" s="47" t="n"/>
      <c r="T318" s="47" t="n"/>
      <c r="U318" s="47" t="n"/>
      <c r="V318" s="47" t="n"/>
      <c r="W318" s="47" t="n"/>
      <c r="X318" s="47" t="n"/>
      <c r="Y318" s="47" t="n"/>
      <c r="Z318" s="47" t="n"/>
      <c r="AA318" s="47" t="n"/>
      <c r="AB318" s="47" t="n"/>
      <c r="AC318" s="47" t="n"/>
      <c r="AD318" s="47" t="n"/>
      <c r="AE318" s="47" t="n"/>
      <c r="AF318" s="47" t="n"/>
      <c r="AG318" s="47" t="n"/>
      <c r="AH318" s="47" t="n"/>
      <c r="AI318" s="47" t="n"/>
      <c r="AJ318" s="47" t="n"/>
      <c r="AK318" s="47" t="n"/>
      <c r="AL318" s="47" t="n"/>
      <c r="AM318" s="47" t="n"/>
      <c r="AN318" s="47" t="n"/>
      <c r="AO318" s="47" t="n"/>
      <c r="AP318" s="47" t="n"/>
      <c r="AQ318" s="47" t="n"/>
      <c r="AR318" s="47" t="n"/>
      <c r="AS318" s="47" t="n"/>
      <c r="AT318" s="47" t="n"/>
      <c r="AU318" s="47" t="n"/>
      <c r="AV318" s="47" t="n"/>
      <c r="AW318" s="47" t="n"/>
      <c r="AX318" s="47" t="n"/>
      <c r="AY318" s="47" t="n"/>
      <c r="AZ318" s="47" t="n"/>
      <c r="BA318" s="47" t="n"/>
      <c r="BB318" s="47" t="n"/>
      <c r="BC318" s="47" t="n"/>
      <c r="BD318" s="47" t="n"/>
      <c r="BE318" s="47" t="n"/>
      <c r="BF318" s="47" t="n"/>
      <c r="BG318" s="47" t="n"/>
      <c r="BH318" s="47" t="n"/>
      <c r="BI318" s="47" t="n"/>
      <c r="BJ318" s="47" t="n"/>
      <c r="BK318" s="47" t="n"/>
      <c r="BL318" s="47" t="n"/>
      <c r="BM318" s="47" t="n"/>
      <c r="BN318" s="47" t="n"/>
      <c r="BO318" s="47" t="n"/>
      <c r="BP318" s="47" t="n"/>
      <c r="BQ318" s="47" t="n"/>
      <c r="BR318" s="47" t="n"/>
      <c r="BS318" s="47" t="n"/>
      <c r="BT318" s="47" t="n"/>
      <c r="BU318" s="47" t="n"/>
      <c r="BV318" s="47" t="n"/>
      <c r="BW318" s="47" t="n"/>
      <c r="BX318" s="47" t="n"/>
      <c r="BY318" s="6" t="n"/>
      <c r="BZ318" s="6" t="n"/>
      <c r="CA318" s="37" t="n"/>
      <c r="CB318" s="176">
        <f>CB221+CB207+CB213+CB216+CB218+CB305+CB307</f>
        <v/>
      </c>
      <c r="CC318" s="176">
        <f>CC221+CC207+CC213+CC216+CC218+CC305+CC307</f>
        <v/>
      </c>
      <c r="CD318" s="176">
        <f>CD221+CD207+CD213+CD216+CD218+CD305+CD307</f>
        <v/>
      </c>
      <c r="CE318" s="176">
        <f>CE221+CE207+CE213+CE216+CE218+CE305+CE307</f>
        <v/>
      </c>
      <c r="CF318" s="20" t="n"/>
    </row>
    <row r="319" ht="15" customHeight="1">
      <c r="B319" s="76" t="inlineStr">
        <is>
          <t xml:space="preserve">  Share repurchases: plug to the target cash balance</t>
        </is>
      </c>
      <c r="C319" s="47" t="n"/>
      <c r="D319" s="47" t="n"/>
      <c r="E319" s="47" t="n"/>
      <c r="F319" s="47" t="n"/>
      <c r="G319" s="47" t="n"/>
      <c r="H319" s="47" t="n"/>
      <c r="I319" s="47" t="n"/>
      <c r="J319" s="47" t="n"/>
      <c r="K319" s="47" t="n"/>
      <c r="L319" s="47" t="n"/>
      <c r="M319" s="47" t="n"/>
      <c r="N319" s="47" t="n"/>
      <c r="O319" s="47" t="n"/>
      <c r="P319" s="47" t="n"/>
      <c r="Q319" s="47" t="n"/>
      <c r="R319" s="47" t="n"/>
      <c r="S319" s="47" t="n"/>
      <c r="T319" s="47" t="n"/>
      <c r="U319" s="47" t="n"/>
      <c r="V319" s="47" t="n"/>
      <c r="W319" s="47" t="n"/>
      <c r="X319" s="47" t="n"/>
      <c r="Y319" s="47" t="n"/>
      <c r="Z319" s="47" t="n"/>
      <c r="AA319" s="47" t="n"/>
      <c r="AB319" s="47" t="n"/>
      <c r="AC319" s="47" t="n"/>
      <c r="AD319" s="47" t="n"/>
      <c r="AE319" s="47" t="n"/>
      <c r="AF319" s="47" t="n"/>
      <c r="AG319" s="47" t="n"/>
      <c r="AH319" s="47" t="n"/>
      <c r="AI319" s="47" t="n"/>
      <c r="AJ319" s="47" t="n"/>
      <c r="AK319" s="47" t="n"/>
      <c r="AL319" s="47" t="n"/>
      <c r="AM319" s="47" t="n"/>
      <c r="AN319" s="47" t="n"/>
      <c r="AO319" s="47" t="n"/>
      <c r="AP319" s="47" t="n"/>
      <c r="AQ319" s="47" t="n"/>
      <c r="AR319" s="47" t="n"/>
      <c r="AS319" s="47" t="n"/>
      <c r="AT319" s="47" t="n"/>
      <c r="AU319" s="47" t="n"/>
      <c r="AV319" s="47" t="n"/>
      <c r="AW319" s="47" t="n"/>
      <c r="AX319" s="47" t="n"/>
      <c r="AY319" s="47" t="n"/>
      <c r="AZ319" s="47" t="n"/>
      <c r="BA319" s="47" t="n"/>
      <c r="BB319" s="47" t="n"/>
      <c r="BC319" s="47" t="n"/>
      <c r="BD319" s="47" t="n"/>
      <c r="BE319" s="47" t="n"/>
      <c r="BF319" s="47" t="n"/>
      <c r="BG319" s="47" t="n"/>
      <c r="BH319" s="47" t="n"/>
      <c r="BI319" s="47" t="n"/>
      <c r="BJ319" s="47" t="n"/>
      <c r="BK319" s="47" t="n"/>
      <c r="BL319" s="47" t="n"/>
      <c r="BM319" s="47" t="n"/>
      <c r="BN319" s="47" t="n"/>
      <c r="BO319" s="47" t="n"/>
      <c r="BP319" s="47" t="n"/>
      <c r="BQ319" s="47" t="n"/>
      <c r="BR319" s="47" t="n"/>
      <c r="BS319" s="47" t="n"/>
      <c r="BT319" s="47" t="n"/>
      <c r="BU319" s="47" t="n"/>
      <c r="BV319" s="47" t="n"/>
      <c r="BW319" s="47" t="n"/>
      <c r="BX319" s="47" t="n"/>
      <c r="BY319" s="6" t="n"/>
      <c r="BZ319" s="6" t="n"/>
      <c r="CA319" s="37" t="n"/>
      <c r="CB319" s="176">
        <f>MAX(0,CB318-CB317)</f>
        <v/>
      </c>
      <c r="CC319" s="176">
        <f>MAX(0,CC318-CC317)</f>
        <v/>
      </c>
      <c r="CD319" s="176">
        <f>MAX(0,CD318-CD317)</f>
        <v/>
      </c>
      <c r="CE319" s="176">
        <f>MAX(0,CE318-CE317)</f>
        <v/>
      </c>
      <c r="CF319" s="20" t="inlineStr">
        <is>
          <t>Surplus cash beyond the target balance is returned via buybacks ($1.31bn authorisation remaining at 30-Jun-26 under the $3.0bn 2023 programme); feeds the cash-flow repurchase line.</t>
        </is>
      </c>
    </row>
    <row r="320" ht="15" customHeight="1">
      <c r="B320" s="26" t="inlineStr">
        <is>
          <t>Historical reference (driver context)</t>
        </is>
      </c>
      <c r="CF320" s="6" t="n"/>
    </row>
    <row r="321" ht="15" customHeight="1">
      <c r="B321" s="26" t="inlineStr">
        <is>
          <t xml:space="preserve">  Total D&amp;A % of revenue</t>
        </is>
      </c>
      <c r="C321" s="190">
        <f>IF(AND(ISNUMBER(C108),ISNUMBER(C100)),IFERROR(C108/C100,""),"")</f>
        <v/>
      </c>
      <c r="D321" s="190">
        <f>IF(AND(ISNUMBER(D108),ISNUMBER(D100)),IFERROR(D108/D100,""),"")</f>
        <v/>
      </c>
      <c r="E321" s="190">
        <f>IF(AND(ISNUMBER(E108),ISNUMBER(E100)),IFERROR(E108/E100,""),"")</f>
        <v/>
      </c>
      <c r="F321" s="190">
        <f>IF(AND(ISNUMBER(F108),ISNUMBER(F100)),IFERROR(F108/F100,""),"")</f>
        <v/>
      </c>
      <c r="G321" s="190">
        <f>IF(AND(ISNUMBER(G108),ISNUMBER(G100)),IFERROR(G108/G100,""),"")</f>
        <v/>
      </c>
      <c r="H321" s="190">
        <f>IF(AND(ISNUMBER(H108),ISNUMBER(H100)),IFERROR(H108/H100,""),"")</f>
        <v/>
      </c>
      <c r="I321" s="190">
        <f>IF(AND(ISNUMBER(I108),ISNUMBER(I100)),IFERROR(I108/I100,""),"")</f>
        <v/>
      </c>
      <c r="J321" s="190">
        <f>IF(AND(ISNUMBER(J108),ISNUMBER(J100)),IFERROR(J108/J100,""),"")</f>
        <v/>
      </c>
      <c r="K321" s="190">
        <f>IF(AND(ISNUMBER(K108),ISNUMBER(K100)),IFERROR(K108/K100,""),"")</f>
        <v/>
      </c>
      <c r="L321" s="190">
        <f>IF(AND(ISNUMBER(L108),ISNUMBER(L100)),IFERROR(L108/L100,""),"")</f>
        <v/>
      </c>
      <c r="M321" s="190">
        <f>IF(AND(ISNUMBER(M108),ISNUMBER(M100)),IFERROR(M108/M100,""),"")</f>
        <v/>
      </c>
      <c r="N321" s="190">
        <f>IF(AND(ISNUMBER(N108),ISNUMBER(N100)),IFERROR(N108/N100,""),"")</f>
        <v/>
      </c>
      <c r="O321" s="190">
        <f>IF(AND(ISNUMBER(O108),ISNUMBER(O100)),IFERROR(O108/O100,""),"")</f>
        <v/>
      </c>
      <c r="P321" s="190">
        <f>IF(AND(ISNUMBER(P108),ISNUMBER(P100)),IFERROR(P108/P100,""),"")</f>
        <v/>
      </c>
      <c r="Q321" s="190">
        <f>IF(AND(ISNUMBER(Q108),ISNUMBER(Q100)),IFERROR(Q108/Q100,""),"")</f>
        <v/>
      </c>
      <c r="R321" s="190">
        <f>IF(AND(ISNUMBER(R108),ISNUMBER(R100)),IFERROR(R108/R100,""),"")</f>
        <v/>
      </c>
      <c r="S321" s="190">
        <f>IF(AND(ISNUMBER(S108),ISNUMBER(S100)),IFERROR(S108/S100,""),"")</f>
        <v/>
      </c>
      <c r="T321" s="190">
        <f>IF(AND(ISNUMBER(T108),ISNUMBER(T100)),IFERROR(T108/T100,""),"")</f>
        <v/>
      </c>
      <c r="U321" s="190">
        <f>IF(AND(ISNUMBER(U108),ISNUMBER(U100)),IFERROR(U108/U100,""),"")</f>
        <v/>
      </c>
      <c r="V321" s="190">
        <f>IF(AND(ISNUMBER(V108),ISNUMBER(V100)),IFERROR(V108/V100,""),"")</f>
        <v/>
      </c>
      <c r="W321" s="190">
        <f>IF(AND(ISNUMBER(W108),ISNUMBER(W100)),IFERROR(W108/W100,""),"")</f>
        <v/>
      </c>
      <c r="X321" s="190">
        <f>IF(AND(ISNUMBER(X108),ISNUMBER(X100)),IFERROR(X108/X100,""),"")</f>
        <v/>
      </c>
      <c r="Y321" s="190">
        <f>IF(AND(ISNUMBER(Y108),ISNUMBER(Y100)),IFERROR(Y108/Y100,""),"")</f>
        <v/>
      </c>
      <c r="Z321" s="190">
        <f>IF(AND(ISNUMBER(Z108),ISNUMBER(Z100)),IFERROR(Z108/Z100,""),"")</f>
        <v/>
      </c>
      <c r="AA321" s="190">
        <f>IF(AND(ISNUMBER(AA108),ISNUMBER(AA100)),IFERROR(AA108/AA100,""),"")</f>
        <v/>
      </c>
      <c r="AB321" s="190">
        <f>IF(AND(ISNUMBER(AB108),ISNUMBER(AB100)),IFERROR(AB108/AB100,""),"")</f>
        <v/>
      </c>
      <c r="AC321" s="190">
        <f>IF(AND(ISNUMBER(AC108),ISNUMBER(AC100)),IFERROR(AC108/AC100,""),"")</f>
        <v/>
      </c>
      <c r="AD321" s="190">
        <f>IF(AND(ISNUMBER(AD108),ISNUMBER(AD100)),IFERROR(AD108/AD100,""),"")</f>
        <v/>
      </c>
      <c r="AE321" s="190">
        <f>IF(AND(ISNUMBER(AE108),ISNUMBER(AE100)),IFERROR(AE108/AE100,""),"")</f>
        <v/>
      </c>
      <c r="AF321" s="190">
        <f>IF(AND(ISNUMBER(AF108),ISNUMBER(AF100)),IFERROR(AF108/AF100,""),"")</f>
        <v/>
      </c>
      <c r="AG321" s="190">
        <f>IF(AND(ISNUMBER(AG108),ISNUMBER(AG100)),IFERROR(AG108/AG100,""),"")</f>
        <v/>
      </c>
      <c r="AH321" s="190">
        <f>IF(AND(ISNUMBER(AH108),ISNUMBER(AH100)),IFERROR(AH108/AH100,""),"")</f>
        <v/>
      </c>
      <c r="AI321" s="190">
        <f>IF(AND(ISNUMBER(AI108),ISNUMBER(AI100)),IFERROR(AI108/AI100,""),"")</f>
        <v/>
      </c>
      <c r="AJ321" s="190">
        <f>IF(AND(ISNUMBER(AJ108),ISNUMBER(AJ100)),IFERROR(AJ108/AJ100,""),"")</f>
        <v/>
      </c>
      <c r="AK321" s="190">
        <f>IF(AND(ISNUMBER(AK108),ISNUMBER(AK100)),IFERROR(AK108/AK100,""),"")</f>
        <v/>
      </c>
      <c r="AL321" s="190">
        <f>IF(AND(ISNUMBER(AL108),ISNUMBER(AL100)),IFERROR(AL108/AL100,""),"")</f>
        <v/>
      </c>
      <c r="AM321" s="190">
        <f>IF(AND(ISNUMBER(AM108),ISNUMBER(AM100)),IFERROR(AM108/AM100,""),"")</f>
        <v/>
      </c>
      <c r="AN321" s="190">
        <f>IF(AND(ISNUMBER(AN108),ISNUMBER(AN100)),IFERROR(AN108/AN100,""),"")</f>
        <v/>
      </c>
      <c r="AO321" s="190">
        <f>IF(AND(ISNUMBER(AO108),ISNUMBER(AO100)),IFERROR(AO108/AO100,""),"")</f>
        <v/>
      </c>
      <c r="AP321" s="190">
        <f>IF(AND(ISNUMBER(AP108),ISNUMBER(AP100)),IFERROR(AP108/AP100,""),"")</f>
        <v/>
      </c>
      <c r="AQ321" s="190">
        <f>IF(AND(ISNUMBER(AQ108),ISNUMBER(AQ100)),IFERROR(AQ108/AQ100,""),"")</f>
        <v/>
      </c>
      <c r="AR321" s="190">
        <f>IF(AND(ISNUMBER(AR108),ISNUMBER(AR100)),IFERROR(AR108/AR100,""),"")</f>
        <v/>
      </c>
      <c r="AS321" s="190">
        <f>IF(AND(ISNUMBER(AS108),ISNUMBER(AS100)),IFERROR(AS108/AS100,""),"")</f>
        <v/>
      </c>
      <c r="AT321" s="190">
        <f>IF(AND(ISNUMBER(AT108),ISNUMBER(AT100)),IFERROR(AT108/AT100,""),"")</f>
        <v/>
      </c>
      <c r="AU321" s="190">
        <f>IF(AND(ISNUMBER(AU108),ISNUMBER(AU100)),IFERROR(AU108/AU100,""),"")</f>
        <v/>
      </c>
      <c r="AV321" s="190">
        <f>IF(AND(ISNUMBER(AV108),ISNUMBER(AV100)),IFERROR(AV108/AV100,""),"")</f>
        <v/>
      </c>
      <c r="AW321" s="190">
        <f>IF(AND(ISNUMBER(AW108),ISNUMBER(AW100)),IFERROR(AW108/AW100,""),"")</f>
        <v/>
      </c>
      <c r="AX321" s="190">
        <f>IF(AND(ISNUMBER(AX108),ISNUMBER(AX100)),IFERROR(AX108/AX100,""),"")</f>
        <v/>
      </c>
      <c r="AY321" s="190">
        <f>IF(AND(ISNUMBER(AY108),ISNUMBER(AY100)),IFERROR(AY108/AY100,""),"")</f>
        <v/>
      </c>
      <c r="AZ321" s="190">
        <f>IF(AND(ISNUMBER(AZ108),ISNUMBER(AZ100)),IFERROR(AZ108/AZ100,""),"")</f>
        <v/>
      </c>
      <c r="BA321" s="190">
        <f>IF(AND(ISNUMBER(BA108),ISNUMBER(BA100)),IFERROR(BA108/BA100,""),"")</f>
        <v/>
      </c>
      <c r="BB321" s="190">
        <f>IF(AND(ISNUMBER(BB108),ISNUMBER(BB100)),IFERROR(BB108/BB100,""),"")</f>
        <v/>
      </c>
      <c r="BC321" s="190">
        <f>IF(AND(ISNUMBER(BC108),ISNUMBER(BC100)),IFERROR(BC108/BC100,""),"")</f>
        <v/>
      </c>
      <c r="BD321" s="190">
        <f>IF(AND(ISNUMBER(BD108),ISNUMBER(BD100)),IFERROR(BD108/BD100,""),"")</f>
        <v/>
      </c>
      <c r="BE321" s="190">
        <f>IF(AND(ISNUMBER(BE108),ISNUMBER(BE100)),IFERROR(BE108/BE100,""),"")</f>
        <v/>
      </c>
      <c r="BF321" s="190">
        <f>IF(AND(ISNUMBER(BF108),ISNUMBER(BF100)),IFERROR(BF108/BF100,""),"")</f>
        <v/>
      </c>
      <c r="BG321" s="190">
        <f>IF(AND(ISNUMBER(BG108),ISNUMBER(BG100)),IFERROR(BG108/BG100,""),"")</f>
        <v/>
      </c>
      <c r="BH321" s="190">
        <f>IF(AND(ISNUMBER(BH108),ISNUMBER(BH100)),IFERROR(BH108/BH100,""),"")</f>
        <v/>
      </c>
      <c r="BI321" s="190">
        <f>IF(AND(ISNUMBER(BI108),ISNUMBER(BI100)),IFERROR(BI108/BI100,""),"")</f>
        <v/>
      </c>
      <c r="BJ321" s="190">
        <f>IF(AND(ISNUMBER(BJ108),ISNUMBER(BJ100)),IFERROR(BJ108/BJ100,""),"")</f>
        <v/>
      </c>
      <c r="BK321" s="190">
        <f>IF(AND(ISNUMBER(BK108),ISNUMBER(BK100)),IFERROR(BK108/BK100,""),"")</f>
        <v/>
      </c>
      <c r="BL321" s="190">
        <f>IF(AND(ISNUMBER(BL108),ISNUMBER(BL100)),IFERROR(BL108/BL100,""),"")</f>
        <v/>
      </c>
      <c r="BM321" s="190">
        <f>IF(AND(ISNUMBER(BM108),ISNUMBER(BM100)),IFERROR(BM108/BM100,""),"")</f>
        <v/>
      </c>
      <c r="BN321" s="190">
        <f>IF(AND(ISNUMBER(BN108),ISNUMBER(BN100)),IFERROR(BN108/BN100,""),"")</f>
        <v/>
      </c>
      <c r="BO321" s="190">
        <f>IF(AND(ISNUMBER(BO108),ISNUMBER(BO100)),IFERROR(BO108/BO100,""),"")</f>
        <v/>
      </c>
      <c r="BP321" s="190">
        <f>IF(AND(ISNUMBER(BP108),ISNUMBER(BP100)),IFERROR(BP108/BP100,""),"")</f>
        <v/>
      </c>
      <c r="BQ321" s="190">
        <f>IF(AND(ISNUMBER(BQ108),ISNUMBER(BQ100)),IFERROR(BQ108/BQ100,""),"")</f>
        <v/>
      </c>
      <c r="BR321" s="190">
        <f>IF(AND(ISNUMBER(BR108),ISNUMBER(BR100)),IFERROR(BR108/BR100,""),"")</f>
        <v/>
      </c>
      <c r="BS321" s="190">
        <f>IF(AND(ISNUMBER(BS108),ISNUMBER(BS100)),IFERROR(BS108/BS100,""),"")</f>
        <v/>
      </c>
      <c r="BT321" s="190">
        <f>IF(AND(ISNUMBER(BT108),ISNUMBER(BT100)),IFERROR(BT108/BT100,""),"")</f>
        <v/>
      </c>
      <c r="BU321" s="190">
        <f>IF(AND(ISNUMBER(BU108),ISNUMBER(BU100)),IFERROR(BU108/BU100,""),"")</f>
        <v/>
      </c>
      <c r="BV321" s="190">
        <f>IF(AND(ISNUMBER(BV108),ISNUMBER(BV100)),IFERROR(BV108/BV100,""),"")</f>
        <v/>
      </c>
      <c r="BW321" s="190">
        <f>IF(AND(ISNUMBER(BW108),ISNUMBER(BW100)),IFERROR(BW108/BW100,""),"")</f>
        <v/>
      </c>
      <c r="BX321" s="190">
        <f>IF(AND(ISNUMBER(BX108),ISNUMBER(BX100)),IFERROR(BX108/BX100,""),"")</f>
        <v/>
      </c>
      <c r="BY321" s="25" t="n"/>
      <c r="BZ321" s="25" t="n"/>
      <c r="CA321" s="181">
        <f>IF(AND(ISNUMBER(CA108),ISNUMBER(CA100)),IFERROR(CA108/CA100,""),"")</f>
        <v/>
      </c>
      <c r="CB321" s="181">
        <f>IF(AND(ISNUMBER(CB108),ISNUMBER(CB100)),IFERROR(CB108/CB100,""),"")</f>
        <v/>
      </c>
      <c r="CC321" s="181">
        <f>IF(AND(ISNUMBER(CC108),ISNUMBER(CC100)),IFERROR(CC108/CC100,""),"")</f>
        <v/>
      </c>
      <c r="CD321" s="181">
        <f>IF(AND(ISNUMBER(CD108),ISNUMBER(CD100)),IFERROR(CD108/CD100,""),"")</f>
        <v/>
      </c>
      <c r="CE321" s="181">
        <f>IF(AND(ISNUMBER(CE108),ISNUMBER(CE100)),IFERROR(CE108/CE100,""),"")</f>
        <v/>
      </c>
      <c r="CF321" s="6" t="n"/>
    </row>
    <row r="322" ht="15" customHeight="1">
      <c r="B322" s="26" t="inlineStr">
        <is>
          <t xml:space="preserve">  Net property &amp; equipment % of revenue</t>
        </is>
      </c>
      <c r="C322" s="190">
        <f>IF(ISNUMBER(C254),IFERROR(C254/C289,""),"")</f>
        <v/>
      </c>
      <c r="D322" s="190">
        <f>IF(ISNUMBER(D254),IFERROR(D254/D289,""),"")</f>
        <v/>
      </c>
      <c r="E322" s="190">
        <f>IF(ISNUMBER(E254),IFERROR(E254/E289,""),"")</f>
        <v/>
      </c>
      <c r="F322" s="190">
        <f>IF(ISNUMBER(F254),IFERROR(F254/F289,""),"")</f>
        <v/>
      </c>
      <c r="G322" s="190">
        <f>IF(ISNUMBER(G254),IFERROR(G254/G289,""),"")</f>
        <v/>
      </c>
      <c r="H322" s="190">
        <f>IF(ISNUMBER(H254),IFERROR(H254/H289,""),"")</f>
        <v/>
      </c>
      <c r="I322" s="190">
        <f>IF(ISNUMBER(I254),IFERROR(I254/I289,""),"")</f>
        <v/>
      </c>
      <c r="J322" s="190">
        <f>IF(ISNUMBER(J254),IFERROR(J254/J289,""),"")</f>
        <v/>
      </c>
      <c r="K322" s="190">
        <f>IF(ISNUMBER(K254),IFERROR(K254/K289,""),"")</f>
        <v/>
      </c>
      <c r="L322" s="190">
        <f>IF(ISNUMBER(L254),IFERROR(L254/L289,""),"")</f>
        <v/>
      </c>
      <c r="M322" s="190">
        <f>IF(ISNUMBER(M254),IFERROR(M254/M289,""),"")</f>
        <v/>
      </c>
      <c r="N322" s="190">
        <f>IF(ISNUMBER(N254),IFERROR(N254/N289,""),"")</f>
        <v/>
      </c>
      <c r="O322" s="190">
        <f>IF(ISNUMBER(O254),IFERROR(O254/O289,""),"")</f>
        <v/>
      </c>
      <c r="P322" s="190">
        <f>IF(ISNUMBER(P254),IFERROR(P254/P289,""),"")</f>
        <v/>
      </c>
      <c r="Q322" s="190">
        <f>IF(ISNUMBER(Q254),IFERROR(Q254/Q289,""),"")</f>
        <v/>
      </c>
      <c r="R322" s="190">
        <f>IF(ISNUMBER(R254),IFERROR(R254/R289,""),"")</f>
        <v/>
      </c>
      <c r="S322" s="190">
        <f>IF(ISNUMBER(S254),IFERROR(S254/S289,""),"")</f>
        <v/>
      </c>
      <c r="T322" s="190">
        <f>IF(ISNUMBER(T254),IFERROR(T254/T289,""),"")</f>
        <v/>
      </c>
      <c r="U322" s="190">
        <f>IF(ISNUMBER(U254),IFERROR(U254/U289,""),"")</f>
        <v/>
      </c>
      <c r="V322" s="190">
        <f>IF(ISNUMBER(V254),IFERROR(V254/V289,""),"")</f>
        <v/>
      </c>
      <c r="W322" s="190">
        <f>IF(ISNUMBER(W254),IFERROR(W254/W289,""),"")</f>
        <v/>
      </c>
      <c r="X322" s="190">
        <f>IF(ISNUMBER(X254),IFERROR(X254/X289,""),"")</f>
        <v/>
      </c>
      <c r="Y322" s="190">
        <f>IF(ISNUMBER(Y254),IFERROR(Y254/Y289,""),"")</f>
        <v/>
      </c>
      <c r="Z322" s="190">
        <f>IF(ISNUMBER(Z254),IFERROR(Z254/Z289,""),"")</f>
        <v/>
      </c>
      <c r="AA322" s="190">
        <f>IF(ISNUMBER(AA254),IFERROR(AA254/AA289,""),"")</f>
        <v/>
      </c>
      <c r="AB322" s="190">
        <f>IF(ISNUMBER(AB254),IFERROR(AB254/AB289,""),"")</f>
        <v/>
      </c>
      <c r="AC322" s="190">
        <f>IF(ISNUMBER(AC254),IFERROR(AC254/AC289,""),"")</f>
        <v/>
      </c>
      <c r="AD322" s="190">
        <f>IF(ISNUMBER(AD254),IFERROR(AD254/AD289,""),"")</f>
        <v/>
      </c>
      <c r="AE322" s="190">
        <f>IF(ISNUMBER(AE254),IFERROR(AE254/AE289,""),"")</f>
        <v/>
      </c>
      <c r="AF322" s="190">
        <f>IF(ISNUMBER(AF254),IFERROR(AF254/AF289,""),"")</f>
        <v/>
      </c>
      <c r="AG322" s="190">
        <f>IF(ISNUMBER(AG254),IFERROR(AG254/AG289,""),"")</f>
        <v/>
      </c>
      <c r="AH322" s="190">
        <f>IF(ISNUMBER(AH254),IFERROR(AH254/AH289,""),"")</f>
        <v/>
      </c>
      <c r="AI322" s="190">
        <f>IF(ISNUMBER(AI254),IFERROR(AI254/AI289,""),"")</f>
        <v/>
      </c>
      <c r="AJ322" s="190">
        <f>IF(ISNUMBER(AJ254),IFERROR(AJ254/AJ289,""),"")</f>
        <v/>
      </c>
      <c r="AK322" s="190">
        <f>IF(ISNUMBER(AK254),IFERROR(AK254/AK289,""),"")</f>
        <v/>
      </c>
      <c r="AL322" s="190">
        <f>IF(ISNUMBER(AL254),IFERROR(AL254/AL289,""),"")</f>
        <v/>
      </c>
      <c r="AM322" s="190">
        <f>IF(ISNUMBER(AM254),IFERROR(AM254/AM289,""),"")</f>
        <v/>
      </c>
      <c r="AN322" s="190">
        <f>IF(ISNUMBER(AN254),IFERROR(AN254/AN289,""),"")</f>
        <v/>
      </c>
      <c r="AO322" s="190">
        <f>IF(ISNUMBER(AO254),IFERROR(AO254/AO289,""),"")</f>
        <v/>
      </c>
      <c r="AP322" s="190">
        <f>IF(ISNUMBER(AP254),IFERROR(AP254/AP289,""),"")</f>
        <v/>
      </c>
      <c r="AQ322" s="190">
        <f>IF(ISNUMBER(AQ254),IFERROR(AQ254/AQ289,""),"")</f>
        <v/>
      </c>
      <c r="AR322" s="190">
        <f>IF(ISNUMBER(AR254),IFERROR(AR254/AR289,""),"")</f>
        <v/>
      </c>
      <c r="AS322" s="190">
        <f>IF(ISNUMBER(AS254),IFERROR(AS254/AS289,""),"")</f>
        <v/>
      </c>
      <c r="AT322" s="190">
        <f>IF(ISNUMBER(AT254),IFERROR(AT254/AT289,""),"")</f>
        <v/>
      </c>
      <c r="AU322" s="190">
        <f>IF(ISNUMBER(AU254),IFERROR(AU254/AU289,""),"")</f>
        <v/>
      </c>
      <c r="AV322" s="190">
        <f>IF(ISNUMBER(AV254),IFERROR(AV254/AV289,""),"")</f>
        <v/>
      </c>
      <c r="AW322" s="190">
        <f>IF(ISNUMBER(AW254),IFERROR(AW254/AW289,""),"")</f>
        <v/>
      </c>
      <c r="AX322" s="190">
        <f>IF(ISNUMBER(AX254),IFERROR(AX254/AX289,""),"")</f>
        <v/>
      </c>
      <c r="AY322" s="190">
        <f>IF(ISNUMBER(AY254),IFERROR(AY254/AY289,""),"")</f>
        <v/>
      </c>
      <c r="AZ322" s="190">
        <f>IF(ISNUMBER(AZ254),IFERROR(AZ254/AZ289,""),"")</f>
        <v/>
      </c>
      <c r="BA322" s="190">
        <f>IF(ISNUMBER(BA254),IFERROR(BA254/BA289,""),"")</f>
        <v/>
      </c>
      <c r="BB322" s="190">
        <f>IF(ISNUMBER(BB254),IFERROR(BB254/BB289,""),"")</f>
        <v/>
      </c>
      <c r="BC322" s="190">
        <f>IF(ISNUMBER(BC254),IFERROR(BC254/BC289,""),"")</f>
        <v/>
      </c>
      <c r="BD322" s="190">
        <f>IF(ISNUMBER(BD254),IFERROR(BD254/BD289,""),"")</f>
        <v/>
      </c>
      <c r="BE322" s="190">
        <f>IF(ISNUMBER(BE254),IFERROR(BE254/BE289,""),"")</f>
        <v/>
      </c>
      <c r="BF322" s="190">
        <f>IF(ISNUMBER(BF254),IFERROR(BF254/BF289,""),"")</f>
        <v/>
      </c>
      <c r="BG322" s="190">
        <f>IF(ISNUMBER(BG254),IFERROR(BG254/BG289,""),"")</f>
        <v/>
      </c>
      <c r="BH322" s="190">
        <f>IF(ISNUMBER(BH254),IFERROR(BH254/BH289,""),"")</f>
        <v/>
      </c>
      <c r="BI322" s="190">
        <f>IF(ISNUMBER(BI254),IFERROR(BI254/BI289,""),"")</f>
        <v/>
      </c>
      <c r="BJ322" s="190">
        <f>IF(ISNUMBER(BJ254),IFERROR(BJ254/BJ289,""),"")</f>
        <v/>
      </c>
      <c r="BK322" s="190">
        <f>IF(ISNUMBER(BK254),IFERROR(BK254/BK289,""),"")</f>
        <v/>
      </c>
      <c r="BL322" s="190">
        <f>IF(ISNUMBER(BL254),IFERROR(BL254/BL289,""),"")</f>
        <v/>
      </c>
      <c r="BM322" s="190">
        <f>IF(ISNUMBER(BM254),IFERROR(BM254/BM289,""),"")</f>
        <v/>
      </c>
      <c r="BN322" s="190">
        <f>IF(ISNUMBER(BN254),IFERROR(BN254/BN289,""),"")</f>
        <v/>
      </c>
      <c r="BO322" s="190">
        <f>IF(ISNUMBER(BO254),IFERROR(BO254/BO289,""),"")</f>
        <v/>
      </c>
      <c r="BP322" s="190">
        <f>IF(ISNUMBER(BP254),IFERROR(BP254/BP289,""),"")</f>
        <v/>
      </c>
      <c r="BQ322" s="190">
        <f>IF(ISNUMBER(BQ254),IFERROR(BQ254/BQ289,""),"")</f>
        <v/>
      </c>
      <c r="BR322" s="190">
        <f>IF(ISNUMBER(BR254),IFERROR(BR254/BR289,""),"")</f>
        <v/>
      </c>
      <c r="BS322" s="190">
        <f>IF(ISNUMBER(BS254),IFERROR(BS254/BS289,""),"")</f>
        <v/>
      </c>
      <c r="BT322" s="190">
        <f>IF(ISNUMBER(BT254),IFERROR(BT254/BT289,""),"")</f>
        <v/>
      </c>
      <c r="BU322" s="190">
        <f>IF(ISNUMBER(BU254),IFERROR(BU254/BU289,""),"")</f>
        <v/>
      </c>
      <c r="BV322" s="190">
        <f>IF(ISNUMBER(BV254),IFERROR(BV254/BV289,""),"")</f>
        <v/>
      </c>
      <c r="BW322" s="190">
        <f>IF(ISNUMBER(BW254),IFERROR(BW254/BW289,""),"")</f>
        <v/>
      </c>
      <c r="BX322" s="190">
        <f>IF(ISNUMBER(BX254),IFERROR(BX254/BX289,""),"")</f>
        <v/>
      </c>
      <c r="BY322" s="25" t="n"/>
      <c r="BZ322" s="25" t="n"/>
      <c r="CA322" s="181">
        <f>IF(ISNUMBER(CA254),IFERROR(CA254/CA289,""),"")</f>
        <v/>
      </c>
      <c r="CB322" s="181">
        <f>IF(ISNUMBER(CB254),IFERROR(CB254/CB289,""),"")</f>
        <v/>
      </c>
      <c r="CC322" s="181">
        <f>IF(ISNUMBER(CC254),IFERROR(CC254/CC289,""),"")</f>
        <v/>
      </c>
      <c r="CD322" s="181">
        <f>IF(ISNUMBER(CD254),IFERROR(CD254/CD289,""),"")</f>
        <v/>
      </c>
      <c r="CE322" s="181">
        <f>IF(ISNUMBER(CE254),IFERROR(CE254/CE289,""),"")</f>
        <v/>
      </c>
      <c r="CF322" s="6" t="n"/>
    </row>
    <row r="323" ht="15" customHeight="1"/>
    <row r="324" ht="15" customHeight="1">
      <c r="B324" s="11" t="inlineStr">
        <is>
          <t>RATIO ANALYSIS</t>
        </is>
      </c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  <c r="AA324" s="11" t="n"/>
      <c r="AB324" s="11" t="n"/>
      <c r="AC324" s="11" t="n"/>
      <c r="AD324" s="11" t="n"/>
      <c r="AE324" s="11" t="n"/>
      <c r="AF324" s="11" t="n"/>
      <c r="AG324" s="11" t="n"/>
      <c r="AH324" s="11" t="n"/>
      <c r="AI324" s="11" t="n"/>
      <c r="AJ324" s="11" t="n"/>
      <c r="AK324" s="11" t="n"/>
      <c r="AL324" s="11" t="n"/>
      <c r="AM324" s="11" t="n"/>
      <c r="AN324" s="11" t="n"/>
      <c r="AO324" s="11" t="n"/>
      <c r="AP324" s="11" t="n"/>
      <c r="AQ324" s="11" t="n"/>
      <c r="AR324" s="11" t="n"/>
      <c r="AS324" s="11" t="n"/>
      <c r="AT324" s="11" t="n"/>
      <c r="AU324" s="11" t="n"/>
      <c r="AV324" s="11" t="n"/>
      <c r="AW324" s="11" t="n"/>
      <c r="AX324" s="11" t="n"/>
      <c r="AY324" s="11" t="n"/>
      <c r="AZ324" s="11" t="n"/>
      <c r="BA324" s="11" t="n"/>
      <c r="BB324" s="11" t="n"/>
      <c r="BC324" s="11" t="n"/>
      <c r="BD324" s="11" t="n"/>
      <c r="BE324" s="11" t="n"/>
      <c r="BF324" s="11" t="n"/>
      <c r="BG324" s="11" t="n"/>
      <c r="BH324" s="11" t="n"/>
      <c r="BI324" s="11" t="n"/>
      <c r="BJ324" s="11" t="n"/>
      <c r="BK324" s="11" t="n"/>
      <c r="BL324" s="11" t="n"/>
      <c r="BM324" s="11" t="n"/>
      <c r="BN324" s="11" t="n"/>
      <c r="BO324" s="11" t="n"/>
      <c r="BP324" s="11" t="n"/>
      <c r="BQ324" s="11" t="n"/>
      <c r="BR324" s="11" t="n"/>
      <c r="BS324" s="11" t="n"/>
      <c r="BT324" s="11" t="n"/>
      <c r="BU324" s="11" t="n"/>
      <c r="BV324" s="11" t="n"/>
      <c r="BW324" s="11" t="n"/>
      <c r="BX324" s="11" t="n"/>
      <c r="BY324" s="11" t="n"/>
      <c r="BZ324" s="11" t="n"/>
      <c r="CA324" s="11" t="n"/>
      <c r="CB324" s="11" t="n"/>
      <c r="CC324" s="11" t="n"/>
      <c r="CD324" s="11" t="n"/>
      <c r="CE324" s="11" t="n"/>
      <c r="CF324" s="11" t="inlineStr">
        <is>
          <t>RETURNS — annual columns (NOPAT on Adjusted EBIT)</t>
        </is>
      </c>
    </row>
    <row r="325" ht="15" customHeight="1">
      <c r="B325" s="26" t="inlineStr">
        <is>
          <t>DuPont decomposition of ROIC</t>
        </is>
      </c>
      <c r="CF325" s="6" t="n"/>
    </row>
    <row r="326" ht="15" customHeight="1">
      <c r="B326" s="26" t="inlineStr">
        <is>
          <t>Adjusted EBIT (Adjusted EBITDA − D&amp;A)</t>
        </is>
      </c>
      <c r="C326" s="194">
        <f>C164</f>
        <v/>
      </c>
      <c r="D326" s="194">
        <f>D164</f>
        <v/>
      </c>
      <c r="E326" s="194">
        <f>E164</f>
        <v/>
      </c>
      <c r="F326" s="194">
        <f>F164</f>
        <v/>
      </c>
      <c r="G326" s="194">
        <f>G164</f>
        <v/>
      </c>
      <c r="H326" s="194">
        <f>H164</f>
        <v/>
      </c>
      <c r="I326" s="194">
        <f>I164</f>
        <v/>
      </c>
      <c r="J326" s="36" t="n"/>
      <c r="K326" s="36" t="n"/>
      <c r="L326" s="36" t="n"/>
      <c r="M326" s="36" t="n"/>
      <c r="N326" s="194">
        <f>N164</f>
        <v/>
      </c>
      <c r="O326" s="36" t="n"/>
      <c r="P326" s="36" t="n"/>
      <c r="Q326" s="36" t="n"/>
      <c r="R326" s="36" t="n"/>
      <c r="S326" s="194">
        <f>S164</f>
        <v/>
      </c>
      <c r="T326" s="36" t="n"/>
      <c r="U326" s="36" t="n"/>
      <c r="V326" s="36" t="n"/>
      <c r="W326" s="36" t="n"/>
      <c r="X326" s="194">
        <f>X164</f>
        <v/>
      </c>
      <c r="Y326" s="36" t="n"/>
      <c r="Z326" s="36" t="n"/>
      <c r="AA326" s="36" t="n"/>
      <c r="AB326" s="36" t="n"/>
      <c r="AC326" s="194">
        <f>AC164</f>
        <v/>
      </c>
      <c r="AD326" s="36" t="n"/>
      <c r="AE326" s="36" t="n"/>
      <c r="AF326" s="36" t="n"/>
      <c r="AG326" s="36" t="n"/>
      <c r="AH326" s="194">
        <f>AH164</f>
        <v/>
      </c>
      <c r="AI326" s="36" t="n"/>
      <c r="AJ326" s="36" t="n"/>
      <c r="AK326" s="36" t="n"/>
      <c r="AL326" s="36" t="n"/>
      <c r="AM326" s="194">
        <f>AM164</f>
        <v/>
      </c>
      <c r="AN326" s="36" t="n"/>
      <c r="AO326" s="36" t="n"/>
      <c r="AP326" s="36" t="n"/>
      <c r="AQ326" s="36" t="n"/>
      <c r="AR326" s="194">
        <f>AR164</f>
        <v/>
      </c>
      <c r="AS326" s="36" t="n"/>
      <c r="AT326" s="36" t="n"/>
      <c r="AU326" s="36" t="n"/>
      <c r="AV326" s="36" t="n"/>
      <c r="AW326" s="194">
        <f>AW164</f>
        <v/>
      </c>
      <c r="AX326" s="36" t="n"/>
      <c r="AY326" s="36" t="n"/>
      <c r="AZ326" s="36" t="n"/>
      <c r="BA326" s="36" t="n"/>
      <c r="BB326" s="194">
        <f>BB164</f>
        <v/>
      </c>
      <c r="BC326" s="36" t="n"/>
      <c r="BD326" s="36" t="n"/>
      <c r="BE326" s="36" t="n"/>
      <c r="BF326" s="36" t="n"/>
      <c r="BG326" s="194">
        <f>BG164</f>
        <v/>
      </c>
      <c r="BH326" s="36" t="n"/>
      <c r="BI326" s="36" t="n"/>
      <c r="BJ326" s="36" t="n"/>
      <c r="BK326" s="36" t="n"/>
      <c r="BL326" s="194">
        <f>BL164</f>
        <v/>
      </c>
      <c r="BM326" s="36" t="n"/>
      <c r="BN326" s="36" t="n"/>
      <c r="BO326" s="36" t="n"/>
      <c r="BP326" s="36" t="n"/>
      <c r="BQ326" s="194">
        <f>BQ164</f>
        <v/>
      </c>
      <c r="BR326" s="36" t="n"/>
      <c r="BS326" s="36" t="n"/>
      <c r="BT326" s="36" t="n"/>
      <c r="BU326" s="36" t="n"/>
      <c r="BV326" s="194">
        <f>BV164</f>
        <v/>
      </c>
      <c r="BW326" s="36" t="n"/>
      <c r="BX326" s="36" t="n"/>
      <c r="BY326" s="37" t="n"/>
      <c r="BZ326" s="37" t="n"/>
      <c r="CA326" s="176">
        <f>CA164</f>
        <v/>
      </c>
      <c r="CB326" s="176">
        <f>CB164</f>
        <v/>
      </c>
      <c r="CC326" s="176">
        <f>CC164</f>
        <v/>
      </c>
      <c r="CD326" s="176">
        <f>CD164</f>
        <v/>
      </c>
      <c r="CE326" s="176">
        <f>CE164</f>
        <v/>
      </c>
      <c r="CF326" s="20" t="n"/>
    </row>
    <row r="327" ht="15" customHeight="1">
      <c r="B327" s="26" t="inlineStr">
        <is>
          <t>Effective tax rate (actual)</t>
        </is>
      </c>
      <c r="C327" s="190">
        <f>C121</f>
        <v/>
      </c>
      <c r="D327" s="190">
        <f>D121</f>
        <v/>
      </c>
      <c r="E327" s="190">
        <f>E121</f>
        <v/>
      </c>
      <c r="F327" s="190">
        <f>F121</f>
        <v/>
      </c>
      <c r="G327" s="190">
        <f>G121</f>
        <v/>
      </c>
      <c r="H327" s="190">
        <f>H121</f>
        <v/>
      </c>
      <c r="I327" s="190">
        <f>I121</f>
        <v/>
      </c>
      <c r="J327" s="36" t="n"/>
      <c r="K327" s="36" t="n"/>
      <c r="L327" s="36" t="n"/>
      <c r="M327" s="36" t="n"/>
      <c r="N327" s="190">
        <f>N121</f>
        <v/>
      </c>
      <c r="O327" s="36" t="n"/>
      <c r="P327" s="36" t="n"/>
      <c r="Q327" s="36" t="n"/>
      <c r="R327" s="36" t="n"/>
      <c r="S327" s="190">
        <f>S121</f>
        <v/>
      </c>
      <c r="T327" s="36" t="n"/>
      <c r="U327" s="36" t="n"/>
      <c r="V327" s="36" t="n"/>
      <c r="W327" s="36" t="n"/>
      <c r="X327" s="190">
        <f>X121</f>
        <v/>
      </c>
      <c r="Y327" s="36" t="n"/>
      <c r="Z327" s="36" t="n"/>
      <c r="AA327" s="36" t="n"/>
      <c r="AB327" s="36" t="n"/>
      <c r="AC327" s="190">
        <f>AC121</f>
        <v/>
      </c>
      <c r="AD327" s="36" t="n"/>
      <c r="AE327" s="36" t="n"/>
      <c r="AF327" s="36" t="n"/>
      <c r="AG327" s="36" t="n"/>
      <c r="AH327" s="190">
        <f>AH121</f>
        <v/>
      </c>
      <c r="AI327" s="36" t="n"/>
      <c r="AJ327" s="36" t="n"/>
      <c r="AK327" s="36" t="n"/>
      <c r="AL327" s="36" t="n"/>
      <c r="AM327" s="190">
        <f>AM121</f>
        <v/>
      </c>
      <c r="AN327" s="36" t="n"/>
      <c r="AO327" s="36" t="n"/>
      <c r="AP327" s="36" t="n"/>
      <c r="AQ327" s="36" t="n"/>
      <c r="AR327" s="190">
        <f>AR121</f>
        <v/>
      </c>
      <c r="AS327" s="36" t="n"/>
      <c r="AT327" s="36" t="n"/>
      <c r="AU327" s="36" t="n"/>
      <c r="AV327" s="36" t="n"/>
      <c r="AW327" s="190">
        <f>AW121</f>
        <v/>
      </c>
      <c r="AX327" s="36" t="n"/>
      <c r="AY327" s="36" t="n"/>
      <c r="AZ327" s="36" t="n"/>
      <c r="BA327" s="36" t="n"/>
      <c r="BB327" s="190">
        <f>BB121</f>
        <v/>
      </c>
      <c r="BC327" s="36" t="n"/>
      <c r="BD327" s="36" t="n"/>
      <c r="BE327" s="36" t="n"/>
      <c r="BF327" s="36" t="n"/>
      <c r="BG327" s="190">
        <f>BG121</f>
        <v/>
      </c>
      <c r="BH327" s="36" t="n"/>
      <c r="BI327" s="36" t="n"/>
      <c r="BJ327" s="36" t="n"/>
      <c r="BK327" s="36" t="n"/>
      <c r="BL327" s="190">
        <f>BL121</f>
        <v/>
      </c>
      <c r="BM327" s="36" t="n"/>
      <c r="BN327" s="36" t="n"/>
      <c r="BO327" s="36" t="n"/>
      <c r="BP327" s="36" t="n"/>
      <c r="BQ327" s="190">
        <f>BQ121</f>
        <v/>
      </c>
      <c r="BR327" s="36" t="n"/>
      <c r="BS327" s="36" t="n"/>
      <c r="BT327" s="36" t="n"/>
      <c r="BU327" s="36" t="n"/>
      <c r="BV327" s="190">
        <f>BV121</f>
        <v/>
      </c>
      <c r="BW327" s="36" t="n"/>
      <c r="BX327" s="36" t="n"/>
      <c r="BY327" s="37" t="n"/>
      <c r="BZ327" s="37" t="n"/>
      <c r="CA327" s="181">
        <f>CA121</f>
        <v/>
      </c>
      <c r="CB327" s="181">
        <f>CB121</f>
        <v/>
      </c>
      <c r="CC327" s="181">
        <f>CC121</f>
        <v/>
      </c>
      <c r="CD327" s="181">
        <f>CD121</f>
        <v/>
      </c>
      <c r="CE327" s="181">
        <f>CE121</f>
        <v/>
      </c>
      <c r="CF327" s="20" t="n"/>
    </row>
    <row r="328" ht="15" customHeight="1">
      <c r="B328" s="26" t="inlineStr">
        <is>
          <t>NOPAT = Adjusted EBIT × (1 − tax rate)</t>
        </is>
      </c>
      <c r="C328" s="194">
        <f>IFERROR(C326*(1-C327),"n/a")</f>
        <v/>
      </c>
      <c r="D328" s="194">
        <f>IFERROR(D326*(1-D327),"n/a")</f>
        <v/>
      </c>
      <c r="E328" s="194">
        <f>IFERROR(E326*(1-E327),"n/a")</f>
        <v/>
      </c>
      <c r="F328" s="194">
        <f>IFERROR(F326*(1-F327),"n/a")</f>
        <v/>
      </c>
      <c r="G328" s="194">
        <f>IFERROR(G326*(1-G327),"n/a")</f>
        <v/>
      </c>
      <c r="H328" s="194">
        <f>IFERROR(H326*(1-H327),"n/a")</f>
        <v/>
      </c>
      <c r="I328" s="194">
        <f>IFERROR(I326*(1-I327),"n/a")</f>
        <v/>
      </c>
      <c r="J328" s="36" t="n"/>
      <c r="K328" s="36" t="n"/>
      <c r="L328" s="36" t="n"/>
      <c r="M328" s="36" t="n"/>
      <c r="N328" s="194">
        <f>IFERROR(N326*(1-N327),"n/a")</f>
        <v/>
      </c>
      <c r="O328" s="36" t="n"/>
      <c r="P328" s="36" t="n"/>
      <c r="Q328" s="36" t="n"/>
      <c r="R328" s="36" t="n"/>
      <c r="S328" s="194">
        <f>IFERROR(S326*(1-S327),"n/a")</f>
        <v/>
      </c>
      <c r="T328" s="36" t="n"/>
      <c r="U328" s="36" t="n"/>
      <c r="V328" s="36" t="n"/>
      <c r="W328" s="36" t="n"/>
      <c r="X328" s="194">
        <f>IFERROR(X326*(1-X327),"n/a")</f>
        <v/>
      </c>
      <c r="Y328" s="36" t="n"/>
      <c r="Z328" s="36" t="n"/>
      <c r="AA328" s="36" t="n"/>
      <c r="AB328" s="36" t="n"/>
      <c r="AC328" s="194">
        <f>IFERROR(AC326*(1-AC327),"n/a")</f>
        <v/>
      </c>
      <c r="AD328" s="36" t="n"/>
      <c r="AE328" s="36" t="n"/>
      <c r="AF328" s="36" t="n"/>
      <c r="AG328" s="36" t="n"/>
      <c r="AH328" s="194">
        <f>IFERROR(AH326*(1-AH327),"n/a")</f>
        <v/>
      </c>
      <c r="AI328" s="36" t="n"/>
      <c r="AJ328" s="36" t="n"/>
      <c r="AK328" s="36" t="n"/>
      <c r="AL328" s="36" t="n"/>
      <c r="AM328" s="194">
        <f>IFERROR(AM326*(1-AM327),"n/a")</f>
        <v/>
      </c>
      <c r="AN328" s="36" t="n"/>
      <c r="AO328" s="36" t="n"/>
      <c r="AP328" s="36" t="n"/>
      <c r="AQ328" s="36" t="n"/>
      <c r="AR328" s="194">
        <f>IFERROR(AR326*(1-AR327),"n/a")</f>
        <v/>
      </c>
      <c r="AS328" s="36" t="n"/>
      <c r="AT328" s="36" t="n"/>
      <c r="AU328" s="36" t="n"/>
      <c r="AV328" s="36" t="n"/>
      <c r="AW328" s="194">
        <f>IFERROR(AW326*(1-AW327),"n/a")</f>
        <v/>
      </c>
      <c r="AX328" s="36" t="n"/>
      <c r="AY328" s="36" t="n"/>
      <c r="AZ328" s="36" t="n"/>
      <c r="BA328" s="36" t="n"/>
      <c r="BB328" s="194">
        <f>IFERROR(BB326*(1-BB327),"n/a")</f>
        <v/>
      </c>
      <c r="BC328" s="36" t="n"/>
      <c r="BD328" s="36" t="n"/>
      <c r="BE328" s="36" t="n"/>
      <c r="BF328" s="36" t="n"/>
      <c r="BG328" s="194">
        <f>IFERROR(BG326*(1-BG327),"n/a")</f>
        <v/>
      </c>
      <c r="BH328" s="36" t="n"/>
      <c r="BI328" s="36" t="n"/>
      <c r="BJ328" s="36" t="n"/>
      <c r="BK328" s="36" t="n"/>
      <c r="BL328" s="194">
        <f>IFERROR(BL326*(1-BL327),"n/a")</f>
        <v/>
      </c>
      <c r="BM328" s="36" t="n"/>
      <c r="BN328" s="36" t="n"/>
      <c r="BO328" s="36" t="n"/>
      <c r="BP328" s="36" t="n"/>
      <c r="BQ328" s="194">
        <f>IFERROR(BQ326*(1-BQ327),"n/a")</f>
        <v/>
      </c>
      <c r="BR328" s="36" t="n"/>
      <c r="BS328" s="36" t="n"/>
      <c r="BT328" s="36" t="n"/>
      <c r="BU328" s="36" t="n"/>
      <c r="BV328" s="194">
        <f>IFERROR(BV326*(1-BV327),"n/a")</f>
        <v/>
      </c>
      <c r="BW328" s="36" t="n"/>
      <c r="BX328" s="36" t="n"/>
      <c r="BY328" s="37" t="n"/>
      <c r="BZ328" s="37" t="n"/>
      <c r="CA328" s="176">
        <f>IFERROR(CA326*(1-CA327),"n/a")</f>
        <v/>
      </c>
      <c r="CB328" s="176">
        <f>IFERROR(CB326*(1-CB327),"n/a")</f>
        <v/>
      </c>
      <c r="CC328" s="176">
        <f>IFERROR(CC326*(1-CC327),"n/a")</f>
        <v/>
      </c>
      <c r="CD328" s="176">
        <f>IFERROR(CD326*(1-CD327),"n/a")</f>
        <v/>
      </c>
      <c r="CE328" s="176">
        <f>IFERROR(CE326*(1-CE327),"n/a")</f>
        <v/>
      </c>
      <c r="CF328" s="20" t="n"/>
    </row>
    <row r="329" ht="15" customHeight="1">
      <c r="B329" s="26" t="inlineStr">
        <is>
          <t>Invested capital (IC) = Equity + Net debt</t>
        </is>
      </c>
      <c r="C329" s="194">
        <f>IFERROR(C330+C331,"n/a")</f>
        <v/>
      </c>
      <c r="D329" s="194">
        <f>IFERROR(D330+D331,"n/a")</f>
        <v/>
      </c>
      <c r="E329" s="194">
        <f>IFERROR(E330+E331,"n/a")</f>
        <v/>
      </c>
      <c r="F329" s="194">
        <f>IFERROR(F330+F331,"n/a")</f>
        <v/>
      </c>
      <c r="G329" s="194">
        <f>IFERROR(G330+G331,"n/a")</f>
        <v/>
      </c>
      <c r="H329" s="194">
        <f>IFERROR(H330+H331,"n/a")</f>
        <v/>
      </c>
      <c r="I329" s="194">
        <f>IFERROR(I330+I331,"n/a")</f>
        <v/>
      </c>
      <c r="J329" s="36" t="n"/>
      <c r="K329" s="36" t="n"/>
      <c r="L329" s="36" t="n"/>
      <c r="M329" s="36" t="n"/>
      <c r="N329" s="194">
        <f>IFERROR(N330+N331,"n/a")</f>
        <v/>
      </c>
      <c r="O329" s="36" t="n"/>
      <c r="P329" s="36" t="n"/>
      <c r="Q329" s="36" t="n"/>
      <c r="R329" s="36" t="n"/>
      <c r="S329" s="194">
        <f>IFERROR(S330+S331,"n/a")</f>
        <v/>
      </c>
      <c r="T329" s="36" t="n"/>
      <c r="U329" s="36" t="n"/>
      <c r="V329" s="36" t="n"/>
      <c r="W329" s="36" t="n"/>
      <c r="X329" s="194">
        <f>IFERROR(X330+X331,"n/a")</f>
        <v/>
      </c>
      <c r="Y329" s="36" t="n"/>
      <c r="Z329" s="36" t="n"/>
      <c r="AA329" s="36" t="n"/>
      <c r="AB329" s="36" t="n"/>
      <c r="AC329" s="194">
        <f>IFERROR(AC330+AC331,"n/a")</f>
        <v/>
      </c>
      <c r="AD329" s="36" t="n"/>
      <c r="AE329" s="36" t="n"/>
      <c r="AF329" s="36" t="n"/>
      <c r="AG329" s="36" t="n"/>
      <c r="AH329" s="194">
        <f>IFERROR(AH330+AH331,"n/a")</f>
        <v/>
      </c>
      <c r="AI329" s="36" t="n"/>
      <c r="AJ329" s="36" t="n"/>
      <c r="AK329" s="36" t="n"/>
      <c r="AL329" s="36" t="n"/>
      <c r="AM329" s="194">
        <f>IFERROR(AM330+AM331,"n/a")</f>
        <v/>
      </c>
      <c r="AN329" s="36" t="n"/>
      <c r="AO329" s="36" t="n"/>
      <c r="AP329" s="36" t="n"/>
      <c r="AQ329" s="36" t="n"/>
      <c r="AR329" s="194">
        <f>IFERROR(AR330+AR331,"n/a")</f>
        <v/>
      </c>
      <c r="AS329" s="36" t="n"/>
      <c r="AT329" s="36" t="n"/>
      <c r="AU329" s="36" t="n"/>
      <c r="AV329" s="36" t="n"/>
      <c r="AW329" s="194">
        <f>IFERROR(AW330+AW331,"n/a")</f>
        <v/>
      </c>
      <c r="AX329" s="36" t="n"/>
      <c r="AY329" s="36" t="n"/>
      <c r="AZ329" s="36" t="n"/>
      <c r="BA329" s="36" t="n"/>
      <c r="BB329" s="194">
        <f>IFERROR(BB330+BB331,"n/a")</f>
        <v/>
      </c>
      <c r="BC329" s="36" t="n"/>
      <c r="BD329" s="36" t="n"/>
      <c r="BE329" s="36" t="n"/>
      <c r="BF329" s="36" t="n"/>
      <c r="BG329" s="194">
        <f>IFERROR(BG330+BG331,"n/a")</f>
        <v/>
      </c>
      <c r="BH329" s="36" t="n"/>
      <c r="BI329" s="36" t="n"/>
      <c r="BJ329" s="36" t="n"/>
      <c r="BK329" s="36" t="n"/>
      <c r="BL329" s="194">
        <f>IFERROR(BL330+BL331,"n/a")</f>
        <v/>
      </c>
      <c r="BM329" s="36" t="n"/>
      <c r="BN329" s="36" t="n"/>
      <c r="BO329" s="36" t="n"/>
      <c r="BP329" s="36" t="n"/>
      <c r="BQ329" s="194">
        <f>IFERROR(BQ330+BQ331,"n/a")</f>
        <v/>
      </c>
      <c r="BR329" s="36" t="n"/>
      <c r="BS329" s="36" t="n"/>
      <c r="BT329" s="36" t="n"/>
      <c r="BU329" s="36" t="n"/>
      <c r="BV329" s="194">
        <f>IFERROR(BV330+BV331,"n/a")</f>
        <v/>
      </c>
      <c r="BW329" s="36" t="n"/>
      <c r="BX329" s="36" t="n"/>
      <c r="BY329" s="37" t="n"/>
      <c r="BZ329" s="37" t="n"/>
      <c r="CA329" s="176">
        <f>IFERROR(CA330+CA331,"n/a")</f>
        <v/>
      </c>
      <c r="CB329" s="176">
        <f>IFERROR(CB330+CB331,"n/a")</f>
        <v/>
      </c>
      <c r="CC329" s="176">
        <f>IFERROR(CC330+CC331,"n/a")</f>
        <v/>
      </c>
      <c r="CD329" s="176">
        <f>IFERROR(CD330+CD331,"n/a")</f>
        <v/>
      </c>
      <c r="CE329" s="176">
        <f>IFERROR(CE330+CE331,"n/a")</f>
        <v/>
      </c>
      <c r="CF329" s="20" t="n"/>
    </row>
    <row r="330" ht="15" customHeight="1">
      <c r="B330" s="26" t="inlineStr">
        <is>
          <t xml:space="preserve">  Total shareholders' equity</t>
        </is>
      </c>
      <c r="C330" s="194">
        <f>C271</f>
        <v/>
      </c>
      <c r="D330" s="194">
        <f>D271</f>
        <v/>
      </c>
      <c r="E330" s="194">
        <f>E271</f>
        <v/>
      </c>
      <c r="F330" s="194">
        <f>F271</f>
        <v/>
      </c>
      <c r="G330" s="194">
        <f>G271</f>
        <v/>
      </c>
      <c r="H330" s="194">
        <f>H271</f>
        <v/>
      </c>
      <c r="I330" s="194">
        <f>I271</f>
        <v/>
      </c>
      <c r="J330" s="36" t="n"/>
      <c r="K330" s="36" t="n"/>
      <c r="L330" s="36" t="n"/>
      <c r="M330" s="36" t="n"/>
      <c r="N330" s="194">
        <f>N271</f>
        <v/>
      </c>
      <c r="O330" s="36" t="n"/>
      <c r="P330" s="36" t="n"/>
      <c r="Q330" s="36" t="n"/>
      <c r="R330" s="36" t="n"/>
      <c r="S330" s="194">
        <f>S271</f>
        <v/>
      </c>
      <c r="T330" s="36" t="n"/>
      <c r="U330" s="36" t="n"/>
      <c r="V330" s="36" t="n"/>
      <c r="W330" s="36" t="n"/>
      <c r="X330" s="194">
        <f>X271</f>
        <v/>
      </c>
      <c r="Y330" s="36" t="n"/>
      <c r="Z330" s="36" t="n"/>
      <c r="AA330" s="36" t="n"/>
      <c r="AB330" s="36" t="n"/>
      <c r="AC330" s="194">
        <f>AC271</f>
        <v/>
      </c>
      <c r="AD330" s="36" t="n"/>
      <c r="AE330" s="36" t="n"/>
      <c r="AF330" s="36" t="n"/>
      <c r="AG330" s="36" t="n"/>
      <c r="AH330" s="194">
        <f>AH271</f>
        <v/>
      </c>
      <c r="AI330" s="36" t="n"/>
      <c r="AJ330" s="36" t="n"/>
      <c r="AK330" s="36" t="n"/>
      <c r="AL330" s="36" t="n"/>
      <c r="AM330" s="194">
        <f>AM271</f>
        <v/>
      </c>
      <c r="AN330" s="36" t="n"/>
      <c r="AO330" s="36" t="n"/>
      <c r="AP330" s="36" t="n"/>
      <c r="AQ330" s="36" t="n"/>
      <c r="AR330" s="194">
        <f>AR271</f>
        <v/>
      </c>
      <c r="AS330" s="36" t="n"/>
      <c r="AT330" s="36" t="n"/>
      <c r="AU330" s="36" t="n"/>
      <c r="AV330" s="36" t="n"/>
      <c r="AW330" s="194">
        <f>AW271</f>
        <v/>
      </c>
      <c r="AX330" s="36" t="n"/>
      <c r="AY330" s="36" t="n"/>
      <c r="AZ330" s="36" t="n"/>
      <c r="BA330" s="36" t="n"/>
      <c r="BB330" s="194">
        <f>BB271</f>
        <v/>
      </c>
      <c r="BC330" s="36" t="n"/>
      <c r="BD330" s="36" t="n"/>
      <c r="BE330" s="36" t="n"/>
      <c r="BF330" s="36" t="n"/>
      <c r="BG330" s="194">
        <f>BG271</f>
        <v/>
      </c>
      <c r="BH330" s="36" t="n"/>
      <c r="BI330" s="36" t="n"/>
      <c r="BJ330" s="36" t="n"/>
      <c r="BK330" s="36" t="n"/>
      <c r="BL330" s="194">
        <f>BL271</f>
        <v/>
      </c>
      <c r="BM330" s="36" t="n"/>
      <c r="BN330" s="36" t="n"/>
      <c r="BO330" s="36" t="n"/>
      <c r="BP330" s="36" t="n"/>
      <c r="BQ330" s="194">
        <f>BQ271</f>
        <v/>
      </c>
      <c r="BR330" s="36" t="n"/>
      <c r="BS330" s="36" t="n"/>
      <c r="BT330" s="36" t="n"/>
      <c r="BU330" s="36" t="n"/>
      <c r="BV330" s="194">
        <f>BV271</f>
        <v/>
      </c>
      <c r="BW330" s="36" t="n"/>
      <c r="BX330" s="36" t="n"/>
      <c r="BY330" s="37" t="n"/>
      <c r="BZ330" s="37" t="n"/>
      <c r="CA330" s="176">
        <f>CA271</f>
        <v/>
      </c>
      <c r="CB330" s="176">
        <f>CB271</f>
        <v/>
      </c>
      <c r="CC330" s="176">
        <f>CC271</f>
        <v/>
      </c>
      <c r="CD330" s="176">
        <f>CD271</f>
        <v/>
      </c>
      <c r="CE330" s="176">
        <f>CE271</f>
        <v/>
      </c>
      <c r="CF330" s="20" t="n"/>
    </row>
    <row r="331" ht="15" customHeight="1">
      <c r="B331" s="26" t="inlineStr">
        <is>
          <t xml:space="preserve">  Net debt = Total debt − cash &amp; short-term investments</t>
        </is>
      </c>
      <c r="C331" s="194">
        <f>IFERROR(C304-C249-N(C250),"n/a")</f>
        <v/>
      </c>
      <c r="D331" s="194">
        <f>IFERROR(D304-D249-N(D250),"n/a")</f>
        <v/>
      </c>
      <c r="E331" s="194">
        <f>IFERROR(E304-E249-N(E250),"n/a")</f>
        <v/>
      </c>
      <c r="F331" s="194">
        <f>IFERROR(F304-F249-N(F250),"n/a")</f>
        <v/>
      </c>
      <c r="G331" s="194">
        <f>IFERROR(G304-G249-N(G250),"n/a")</f>
        <v/>
      </c>
      <c r="H331" s="194">
        <f>IFERROR(H304-H249-N(H250),"n/a")</f>
        <v/>
      </c>
      <c r="I331" s="194">
        <f>IFERROR(I304-I249-N(I250),"n/a")</f>
        <v/>
      </c>
      <c r="J331" s="36" t="n"/>
      <c r="K331" s="36" t="n"/>
      <c r="L331" s="36" t="n"/>
      <c r="M331" s="36" t="n"/>
      <c r="N331" s="194">
        <f>IFERROR(N304-N249-N(N250),"n/a")</f>
        <v/>
      </c>
      <c r="O331" s="36" t="n"/>
      <c r="P331" s="36" t="n"/>
      <c r="Q331" s="36" t="n"/>
      <c r="R331" s="36" t="n"/>
      <c r="S331" s="194">
        <f>IFERROR(S304-S249-N(S250),"n/a")</f>
        <v/>
      </c>
      <c r="T331" s="36" t="n"/>
      <c r="U331" s="36" t="n"/>
      <c r="V331" s="36" t="n"/>
      <c r="W331" s="36" t="n"/>
      <c r="X331" s="194">
        <f>IFERROR(X304-X249-N(X250),"n/a")</f>
        <v/>
      </c>
      <c r="Y331" s="36" t="n"/>
      <c r="Z331" s="36" t="n"/>
      <c r="AA331" s="36" t="n"/>
      <c r="AB331" s="36" t="n"/>
      <c r="AC331" s="194">
        <f>IFERROR(AC304-AC249-N(AC250),"n/a")</f>
        <v/>
      </c>
      <c r="AD331" s="36" t="n"/>
      <c r="AE331" s="36" t="n"/>
      <c r="AF331" s="36" t="n"/>
      <c r="AG331" s="36" t="n"/>
      <c r="AH331" s="194">
        <f>IFERROR(AH304-AH249-N(AH250),"n/a")</f>
        <v/>
      </c>
      <c r="AI331" s="36" t="n"/>
      <c r="AJ331" s="36" t="n"/>
      <c r="AK331" s="36" t="n"/>
      <c r="AL331" s="36" t="n"/>
      <c r="AM331" s="194">
        <f>IFERROR(AM304-AM249-N(AM250),"n/a")</f>
        <v/>
      </c>
      <c r="AN331" s="36" t="n"/>
      <c r="AO331" s="36" t="n"/>
      <c r="AP331" s="36" t="n"/>
      <c r="AQ331" s="36" t="n"/>
      <c r="AR331" s="194">
        <f>IFERROR(AR304-AR249-N(AR250),"n/a")</f>
        <v/>
      </c>
      <c r="AS331" s="36" t="n"/>
      <c r="AT331" s="36" t="n"/>
      <c r="AU331" s="36" t="n"/>
      <c r="AV331" s="36" t="n"/>
      <c r="AW331" s="194">
        <f>IFERROR(AW304-AW249-N(AW250),"n/a")</f>
        <v/>
      </c>
      <c r="AX331" s="36" t="n"/>
      <c r="AY331" s="36" t="n"/>
      <c r="AZ331" s="36" t="n"/>
      <c r="BA331" s="36" t="n"/>
      <c r="BB331" s="194">
        <f>IFERROR(BB304-BB249-N(BB250),"n/a")</f>
        <v/>
      </c>
      <c r="BC331" s="36" t="n"/>
      <c r="BD331" s="36" t="n"/>
      <c r="BE331" s="36" t="n"/>
      <c r="BF331" s="36" t="n"/>
      <c r="BG331" s="194">
        <f>IFERROR(BG304-BG249-N(BG250),"n/a")</f>
        <v/>
      </c>
      <c r="BH331" s="36" t="n"/>
      <c r="BI331" s="36" t="n"/>
      <c r="BJ331" s="36" t="n"/>
      <c r="BK331" s="36" t="n"/>
      <c r="BL331" s="194">
        <f>IFERROR(BL304-BL249-N(BL250),"n/a")</f>
        <v/>
      </c>
      <c r="BM331" s="36" t="n"/>
      <c r="BN331" s="36" t="n"/>
      <c r="BO331" s="36" t="n"/>
      <c r="BP331" s="36" t="n"/>
      <c r="BQ331" s="194">
        <f>IFERROR(BQ304-BQ249-N(BQ250),"n/a")</f>
        <v/>
      </c>
      <c r="BR331" s="36" t="n"/>
      <c r="BS331" s="36" t="n"/>
      <c r="BT331" s="36" t="n"/>
      <c r="BU331" s="36" t="n"/>
      <c r="BV331" s="194">
        <f>IFERROR(BV304-BV249-N(BV250),"n/a")</f>
        <v/>
      </c>
      <c r="BW331" s="36" t="n"/>
      <c r="BX331" s="36" t="n"/>
      <c r="BY331" s="37" t="n"/>
      <c r="BZ331" s="37" t="n"/>
      <c r="CA331" s="176">
        <f>IFERROR(CA304-CA249-N(CA250),"n/a")</f>
        <v/>
      </c>
      <c r="CB331" s="176">
        <f>IFERROR(CB304-CB249-N(CB250),"n/a")</f>
        <v/>
      </c>
      <c r="CC331" s="176">
        <f>IFERROR(CC304-CC249-N(CC250),"n/a")</f>
        <v/>
      </c>
      <c r="CD331" s="176">
        <f>IFERROR(CD304-CD249-N(CD250),"n/a")</f>
        <v/>
      </c>
      <c r="CE331" s="176">
        <f>IFERROR(CE304-CE249-N(CE250),"n/a")</f>
        <v/>
      </c>
      <c r="CF331" s="20" t="n"/>
    </row>
    <row r="332" ht="15" customHeight="1">
      <c r="B332" s="59" t="inlineStr">
        <is>
          <t>ROIC = NOPAT / IC</t>
        </is>
      </c>
      <c r="C332" s="200">
        <f>IFERROR(C328/C329,"n/a")</f>
        <v/>
      </c>
      <c r="D332" s="200">
        <f>IFERROR(D328/D329,"n/a")</f>
        <v/>
      </c>
      <c r="E332" s="200">
        <f>IFERROR(E328/E329,"n/a")</f>
        <v/>
      </c>
      <c r="F332" s="200">
        <f>IFERROR(F328/F329,"n/a")</f>
        <v/>
      </c>
      <c r="G332" s="200">
        <f>IFERROR(G328/G329,"n/a")</f>
        <v/>
      </c>
      <c r="H332" s="200">
        <f>IFERROR(H328/H329,"n/a")</f>
        <v/>
      </c>
      <c r="I332" s="200">
        <f>IFERROR(I328/I329,"n/a")</f>
        <v/>
      </c>
      <c r="J332" s="60" t="n"/>
      <c r="K332" s="60" t="n"/>
      <c r="L332" s="60" t="n"/>
      <c r="M332" s="60" t="n"/>
      <c r="N332" s="200">
        <f>IFERROR(N328/N329,"n/a")</f>
        <v/>
      </c>
      <c r="O332" s="60" t="n"/>
      <c r="P332" s="60" t="n"/>
      <c r="Q332" s="60" t="n"/>
      <c r="R332" s="60" t="n"/>
      <c r="S332" s="200">
        <f>IFERROR(S328/S329,"n/a")</f>
        <v/>
      </c>
      <c r="T332" s="60" t="n"/>
      <c r="U332" s="60" t="n"/>
      <c r="V332" s="60" t="n"/>
      <c r="W332" s="60" t="n"/>
      <c r="X332" s="200">
        <f>IFERROR(X328/X329,"n/a")</f>
        <v/>
      </c>
      <c r="Y332" s="60" t="n"/>
      <c r="Z332" s="60" t="n"/>
      <c r="AA332" s="60" t="n"/>
      <c r="AB332" s="60" t="n"/>
      <c r="AC332" s="200">
        <f>IFERROR(AC328/AC329,"n/a")</f>
        <v/>
      </c>
      <c r="AD332" s="60" t="n"/>
      <c r="AE332" s="60" t="n"/>
      <c r="AF332" s="60" t="n"/>
      <c r="AG332" s="60" t="n"/>
      <c r="AH332" s="200">
        <f>IFERROR(AH328/AH329,"n/a")</f>
        <v/>
      </c>
      <c r="AI332" s="60" t="n"/>
      <c r="AJ332" s="60" t="n"/>
      <c r="AK332" s="60" t="n"/>
      <c r="AL332" s="60" t="n"/>
      <c r="AM332" s="200">
        <f>IFERROR(AM328/AM329,"n/a")</f>
        <v/>
      </c>
      <c r="AN332" s="60" t="n"/>
      <c r="AO332" s="60" t="n"/>
      <c r="AP332" s="60" t="n"/>
      <c r="AQ332" s="60" t="n"/>
      <c r="AR332" s="200">
        <f>IFERROR(AR328/AR329,"n/a")</f>
        <v/>
      </c>
      <c r="AS332" s="60" t="n"/>
      <c r="AT332" s="60" t="n"/>
      <c r="AU332" s="60" t="n"/>
      <c r="AV332" s="60" t="n"/>
      <c r="AW332" s="200">
        <f>IFERROR(AW328/AW329,"n/a")</f>
        <v/>
      </c>
      <c r="AX332" s="60" t="n"/>
      <c r="AY332" s="60" t="n"/>
      <c r="AZ332" s="60" t="n"/>
      <c r="BA332" s="60" t="n"/>
      <c r="BB332" s="200">
        <f>IFERROR(BB328/BB329,"n/a")</f>
        <v/>
      </c>
      <c r="BC332" s="60" t="n"/>
      <c r="BD332" s="60" t="n"/>
      <c r="BE332" s="60" t="n"/>
      <c r="BF332" s="60" t="n"/>
      <c r="BG332" s="200">
        <f>IFERROR(BG328/BG329,"n/a")</f>
        <v/>
      </c>
      <c r="BH332" s="60" t="n"/>
      <c r="BI332" s="60" t="n"/>
      <c r="BJ332" s="60" t="n"/>
      <c r="BK332" s="60" t="n"/>
      <c r="BL332" s="200">
        <f>IFERROR(BL328/BL329,"n/a")</f>
        <v/>
      </c>
      <c r="BM332" s="60" t="n"/>
      <c r="BN332" s="60" t="n"/>
      <c r="BO332" s="60" t="n"/>
      <c r="BP332" s="60" t="n"/>
      <c r="BQ332" s="200">
        <f>IFERROR(BQ328/BQ329,"n/a")</f>
        <v/>
      </c>
      <c r="BR332" s="60" t="n"/>
      <c r="BS332" s="60" t="n"/>
      <c r="BT332" s="60" t="n"/>
      <c r="BU332" s="60" t="n"/>
      <c r="BV332" s="200">
        <f>IFERROR(BV328/BV329,"n/a")</f>
        <v/>
      </c>
      <c r="BW332" s="60" t="n"/>
      <c r="BX332" s="60" t="n"/>
      <c r="BY332" s="60" t="n"/>
      <c r="BZ332" s="60" t="n"/>
      <c r="CA332" s="200">
        <f>IFERROR(CA328/CA329,"n/a")</f>
        <v/>
      </c>
      <c r="CB332" s="200">
        <f>IFERROR(CB328/CB329,"n/a")</f>
        <v/>
      </c>
      <c r="CC332" s="200">
        <f>IFERROR(CC328/CC329,"n/a")</f>
        <v/>
      </c>
      <c r="CD332" s="200">
        <f>IFERROR(CD328/CD329,"n/a")</f>
        <v/>
      </c>
      <c r="CE332" s="200">
        <f>IFERROR(CE328/CE329,"n/a")</f>
        <v/>
      </c>
      <c r="CF332" s="6" t="n"/>
      <c r="CH332" s="39">
        <f>IFERROR(AVERAGE(CA332,CB332,CC332,CD332,CE332),"n/m")</f>
        <v/>
      </c>
      <c r="CI332" s="39">
        <f>IFERROR(AVERAGE(BB332,BG332,BL332,BQ332,BV332),"n/m")</f>
        <v/>
      </c>
      <c r="CJ332" s="39">
        <f>IFERROR(AVERAGE(AC332,AH332,AM332,AR332,AW332,BB332,BG332,BL332,BQ332,BV332),"n/m")</f>
        <v/>
      </c>
      <c r="CK332" s="39">
        <f>IFERROR(AVERAGE(C332,D332,E332,F332,G332,H332,I332,N332,S332,X332,AC332,AH332,AM332,AR332,AW332,BB332,BG332,BL332,BQ332,BV332),"n/m")</f>
        <v/>
      </c>
    </row>
    <row r="333" ht="15" customHeight="1">
      <c r="B333" s="26" t="inlineStr">
        <is>
          <t xml:space="preserve">  Margin = Adjusted EBIT / Revenue</t>
        </is>
      </c>
      <c r="C333" s="190">
        <f>IFERROR(C326/C100,"n/a")</f>
        <v/>
      </c>
      <c r="D333" s="190">
        <f>IFERROR(D326/D100,"n/a")</f>
        <v/>
      </c>
      <c r="E333" s="190">
        <f>IFERROR(E326/E100,"n/a")</f>
        <v/>
      </c>
      <c r="F333" s="190">
        <f>IFERROR(F326/F100,"n/a")</f>
        <v/>
      </c>
      <c r="G333" s="190">
        <f>IFERROR(G326/G100,"n/a")</f>
        <v/>
      </c>
      <c r="H333" s="190">
        <f>IFERROR(H326/H100,"n/a")</f>
        <v/>
      </c>
      <c r="I333" s="190">
        <f>IFERROR(I326/I100,"n/a")</f>
        <v/>
      </c>
      <c r="J333" s="36" t="n"/>
      <c r="K333" s="36" t="n"/>
      <c r="L333" s="36" t="n"/>
      <c r="M333" s="36" t="n"/>
      <c r="N333" s="190">
        <f>IFERROR(N326/N100,"n/a")</f>
        <v/>
      </c>
      <c r="O333" s="36" t="n"/>
      <c r="P333" s="36" t="n"/>
      <c r="Q333" s="36" t="n"/>
      <c r="R333" s="36" t="n"/>
      <c r="S333" s="190">
        <f>IFERROR(S326/S100,"n/a")</f>
        <v/>
      </c>
      <c r="T333" s="36" t="n"/>
      <c r="U333" s="36" t="n"/>
      <c r="V333" s="36" t="n"/>
      <c r="W333" s="36" t="n"/>
      <c r="X333" s="190">
        <f>IFERROR(X326/X100,"n/a")</f>
        <v/>
      </c>
      <c r="Y333" s="36" t="n"/>
      <c r="Z333" s="36" t="n"/>
      <c r="AA333" s="36" t="n"/>
      <c r="AB333" s="36" t="n"/>
      <c r="AC333" s="190">
        <f>IFERROR(AC326/AC100,"n/a")</f>
        <v/>
      </c>
      <c r="AD333" s="36" t="n"/>
      <c r="AE333" s="36" t="n"/>
      <c r="AF333" s="36" t="n"/>
      <c r="AG333" s="36" t="n"/>
      <c r="AH333" s="190">
        <f>IFERROR(AH326/AH100,"n/a")</f>
        <v/>
      </c>
      <c r="AI333" s="36" t="n"/>
      <c r="AJ333" s="36" t="n"/>
      <c r="AK333" s="36" t="n"/>
      <c r="AL333" s="36" t="n"/>
      <c r="AM333" s="190">
        <f>IFERROR(AM326/AM100,"n/a")</f>
        <v/>
      </c>
      <c r="AN333" s="36" t="n"/>
      <c r="AO333" s="36" t="n"/>
      <c r="AP333" s="36" t="n"/>
      <c r="AQ333" s="36" t="n"/>
      <c r="AR333" s="190">
        <f>IFERROR(AR326/AR100,"n/a")</f>
        <v/>
      </c>
      <c r="AS333" s="36" t="n"/>
      <c r="AT333" s="36" t="n"/>
      <c r="AU333" s="36" t="n"/>
      <c r="AV333" s="36" t="n"/>
      <c r="AW333" s="190">
        <f>IFERROR(AW326/AW100,"n/a")</f>
        <v/>
      </c>
      <c r="AX333" s="36" t="n"/>
      <c r="AY333" s="36" t="n"/>
      <c r="AZ333" s="36" t="n"/>
      <c r="BA333" s="36" t="n"/>
      <c r="BB333" s="190">
        <f>IFERROR(BB326/BB100,"n/a")</f>
        <v/>
      </c>
      <c r="BC333" s="36" t="n"/>
      <c r="BD333" s="36" t="n"/>
      <c r="BE333" s="36" t="n"/>
      <c r="BF333" s="36" t="n"/>
      <c r="BG333" s="190">
        <f>IFERROR(BG326/BG100,"n/a")</f>
        <v/>
      </c>
      <c r="BH333" s="36" t="n"/>
      <c r="BI333" s="36" t="n"/>
      <c r="BJ333" s="36" t="n"/>
      <c r="BK333" s="36" t="n"/>
      <c r="BL333" s="190">
        <f>IFERROR(BL326/BL100,"n/a")</f>
        <v/>
      </c>
      <c r="BM333" s="36" t="n"/>
      <c r="BN333" s="36" t="n"/>
      <c r="BO333" s="36" t="n"/>
      <c r="BP333" s="36" t="n"/>
      <c r="BQ333" s="190">
        <f>IFERROR(BQ326/BQ100,"n/a")</f>
        <v/>
      </c>
      <c r="BR333" s="36" t="n"/>
      <c r="BS333" s="36" t="n"/>
      <c r="BT333" s="36" t="n"/>
      <c r="BU333" s="36" t="n"/>
      <c r="BV333" s="190">
        <f>IFERROR(BV326/BV100,"n/a")</f>
        <v/>
      </c>
      <c r="BW333" s="36" t="n"/>
      <c r="BX333" s="36" t="n"/>
      <c r="BY333" s="37" t="n"/>
      <c r="BZ333" s="37" t="n"/>
      <c r="CA333" s="181">
        <f>IFERROR(CA326/CA100,"n/a")</f>
        <v/>
      </c>
      <c r="CB333" s="181">
        <f>IFERROR(CB326/CB100,"n/a")</f>
        <v/>
      </c>
      <c r="CC333" s="181">
        <f>IFERROR(CC326/CC100,"n/a")</f>
        <v/>
      </c>
      <c r="CD333" s="181">
        <f>IFERROR(CD326/CD100,"n/a")</f>
        <v/>
      </c>
      <c r="CE333" s="181">
        <f>IFERROR(CE326/CE100,"n/a")</f>
        <v/>
      </c>
      <c r="CF333" s="20" t="n"/>
    </row>
    <row r="334" ht="15" customHeight="1">
      <c r="B334" s="26" t="inlineStr">
        <is>
          <t xml:space="preserve">  Capital turnover = Revenue / IC</t>
        </is>
      </c>
      <c r="C334" s="212">
        <f>IFERROR(C100/C329,"n/a")</f>
        <v/>
      </c>
      <c r="D334" s="212">
        <f>IFERROR(D100/D329,"n/a")</f>
        <v/>
      </c>
      <c r="E334" s="212">
        <f>IFERROR(E100/E329,"n/a")</f>
        <v/>
      </c>
      <c r="F334" s="212">
        <f>IFERROR(F100/F329,"n/a")</f>
        <v/>
      </c>
      <c r="G334" s="212">
        <f>IFERROR(G100/G329,"n/a")</f>
        <v/>
      </c>
      <c r="H334" s="212">
        <f>IFERROR(H100/H329,"n/a")</f>
        <v/>
      </c>
      <c r="I334" s="212">
        <f>IFERROR(I100/I329,"n/a")</f>
        <v/>
      </c>
      <c r="J334" s="36" t="n"/>
      <c r="K334" s="36" t="n"/>
      <c r="L334" s="36" t="n"/>
      <c r="M334" s="36" t="n"/>
      <c r="N334" s="212">
        <f>IFERROR(N100/N329,"n/a")</f>
        <v/>
      </c>
      <c r="O334" s="36" t="n"/>
      <c r="P334" s="36" t="n"/>
      <c r="Q334" s="36" t="n"/>
      <c r="R334" s="36" t="n"/>
      <c r="S334" s="212">
        <f>IFERROR(S100/S329,"n/a")</f>
        <v/>
      </c>
      <c r="T334" s="36" t="n"/>
      <c r="U334" s="36" t="n"/>
      <c r="V334" s="36" t="n"/>
      <c r="W334" s="36" t="n"/>
      <c r="X334" s="212">
        <f>IFERROR(X100/X329,"n/a")</f>
        <v/>
      </c>
      <c r="Y334" s="36" t="n"/>
      <c r="Z334" s="36" t="n"/>
      <c r="AA334" s="36" t="n"/>
      <c r="AB334" s="36" t="n"/>
      <c r="AC334" s="212">
        <f>IFERROR(AC100/AC329,"n/a")</f>
        <v/>
      </c>
      <c r="AD334" s="36" t="n"/>
      <c r="AE334" s="36" t="n"/>
      <c r="AF334" s="36" t="n"/>
      <c r="AG334" s="36" t="n"/>
      <c r="AH334" s="212">
        <f>IFERROR(AH100/AH329,"n/a")</f>
        <v/>
      </c>
      <c r="AI334" s="36" t="n"/>
      <c r="AJ334" s="36" t="n"/>
      <c r="AK334" s="36" t="n"/>
      <c r="AL334" s="36" t="n"/>
      <c r="AM334" s="212">
        <f>IFERROR(AM100/AM329,"n/a")</f>
        <v/>
      </c>
      <c r="AN334" s="36" t="n"/>
      <c r="AO334" s="36" t="n"/>
      <c r="AP334" s="36" t="n"/>
      <c r="AQ334" s="36" t="n"/>
      <c r="AR334" s="212">
        <f>IFERROR(AR100/AR329,"n/a")</f>
        <v/>
      </c>
      <c r="AS334" s="36" t="n"/>
      <c r="AT334" s="36" t="n"/>
      <c r="AU334" s="36" t="n"/>
      <c r="AV334" s="36" t="n"/>
      <c r="AW334" s="212">
        <f>IFERROR(AW100/AW329,"n/a")</f>
        <v/>
      </c>
      <c r="AX334" s="36" t="n"/>
      <c r="AY334" s="36" t="n"/>
      <c r="AZ334" s="36" t="n"/>
      <c r="BA334" s="36" t="n"/>
      <c r="BB334" s="212">
        <f>IFERROR(BB100/BB329,"n/a")</f>
        <v/>
      </c>
      <c r="BC334" s="36" t="n"/>
      <c r="BD334" s="36" t="n"/>
      <c r="BE334" s="36" t="n"/>
      <c r="BF334" s="36" t="n"/>
      <c r="BG334" s="212">
        <f>IFERROR(BG100/BG329,"n/a")</f>
        <v/>
      </c>
      <c r="BH334" s="36" t="n"/>
      <c r="BI334" s="36" t="n"/>
      <c r="BJ334" s="36" t="n"/>
      <c r="BK334" s="36" t="n"/>
      <c r="BL334" s="212">
        <f>IFERROR(BL100/BL329,"n/a")</f>
        <v/>
      </c>
      <c r="BM334" s="36" t="n"/>
      <c r="BN334" s="36" t="n"/>
      <c r="BO334" s="36" t="n"/>
      <c r="BP334" s="36" t="n"/>
      <c r="BQ334" s="212">
        <f>IFERROR(BQ100/BQ329,"n/a")</f>
        <v/>
      </c>
      <c r="BR334" s="36" t="n"/>
      <c r="BS334" s="36" t="n"/>
      <c r="BT334" s="36" t="n"/>
      <c r="BU334" s="36" t="n"/>
      <c r="BV334" s="212">
        <f>IFERROR(BV100/BV329,"n/a")</f>
        <v/>
      </c>
      <c r="BW334" s="36" t="n"/>
      <c r="BX334" s="36" t="n"/>
      <c r="BY334" s="37" t="n"/>
      <c r="BZ334" s="37" t="n"/>
      <c r="CA334" s="199">
        <f>IFERROR(CA100/CA329,"n/a")</f>
        <v/>
      </c>
      <c r="CB334" s="199">
        <f>IFERROR(CB100/CB329,"n/a")</f>
        <v/>
      </c>
      <c r="CC334" s="199">
        <f>IFERROR(CC100/CC329,"n/a")</f>
        <v/>
      </c>
      <c r="CD334" s="199">
        <f>IFERROR(CD100/CD329,"n/a")</f>
        <v/>
      </c>
      <c r="CE334" s="199">
        <f>IFERROR(CE100/CE329,"n/a")</f>
        <v/>
      </c>
      <c r="CF334" s="20" t="n"/>
    </row>
    <row r="335" ht="15" customHeight="1">
      <c r="B335" s="26" t="inlineStr">
        <is>
          <t xml:space="preserve">  Tax burden = (1 − effective tax rate)</t>
        </is>
      </c>
      <c r="C335" s="190">
        <f>IFERROR(1-C327,"n/a")</f>
        <v/>
      </c>
      <c r="D335" s="190">
        <f>IFERROR(1-D327,"n/a")</f>
        <v/>
      </c>
      <c r="E335" s="190">
        <f>IFERROR(1-E327,"n/a")</f>
        <v/>
      </c>
      <c r="F335" s="190">
        <f>IFERROR(1-F327,"n/a")</f>
        <v/>
      </c>
      <c r="G335" s="190">
        <f>IFERROR(1-G327,"n/a")</f>
        <v/>
      </c>
      <c r="H335" s="190">
        <f>IFERROR(1-H327,"n/a")</f>
        <v/>
      </c>
      <c r="I335" s="190">
        <f>IFERROR(1-I327,"n/a")</f>
        <v/>
      </c>
      <c r="J335" s="36" t="n"/>
      <c r="K335" s="36" t="n"/>
      <c r="L335" s="36" t="n"/>
      <c r="M335" s="36" t="n"/>
      <c r="N335" s="190">
        <f>IFERROR(1-N327,"n/a")</f>
        <v/>
      </c>
      <c r="O335" s="36" t="n"/>
      <c r="P335" s="36" t="n"/>
      <c r="Q335" s="36" t="n"/>
      <c r="R335" s="36" t="n"/>
      <c r="S335" s="190">
        <f>IFERROR(1-S327,"n/a")</f>
        <v/>
      </c>
      <c r="T335" s="36" t="n"/>
      <c r="U335" s="36" t="n"/>
      <c r="V335" s="36" t="n"/>
      <c r="W335" s="36" t="n"/>
      <c r="X335" s="190">
        <f>IFERROR(1-X327,"n/a")</f>
        <v/>
      </c>
      <c r="Y335" s="36" t="n"/>
      <c r="Z335" s="36" t="n"/>
      <c r="AA335" s="36" t="n"/>
      <c r="AB335" s="36" t="n"/>
      <c r="AC335" s="190">
        <f>IFERROR(1-AC327,"n/a")</f>
        <v/>
      </c>
      <c r="AD335" s="36" t="n"/>
      <c r="AE335" s="36" t="n"/>
      <c r="AF335" s="36" t="n"/>
      <c r="AG335" s="36" t="n"/>
      <c r="AH335" s="190">
        <f>IFERROR(1-AH327,"n/a")</f>
        <v/>
      </c>
      <c r="AI335" s="36" t="n"/>
      <c r="AJ335" s="36" t="n"/>
      <c r="AK335" s="36" t="n"/>
      <c r="AL335" s="36" t="n"/>
      <c r="AM335" s="190">
        <f>IFERROR(1-AM327,"n/a")</f>
        <v/>
      </c>
      <c r="AN335" s="36" t="n"/>
      <c r="AO335" s="36" t="n"/>
      <c r="AP335" s="36" t="n"/>
      <c r="AQ335" s="36" t="n"/>
      <c r="AR335" s="190">
        <f>IFERROR(1-AR327,"n/a")</f>
        <v/>
      </c>
      <c r="AS335" s="36" t="n"/>
      <c r="AT335" s="36" t="n"/>
      <c r="AU335" s="36" t="n"/>
      <c r="AV335" s="36" t="n"/>
      <c r="AW335" s="190">
        <f>IFERROR(1-AW327,"n/a")</f>
        <v/>
      </c>
      <c r="AX335" s="36" t="n"/>
      <c r="AY335" s="36" t="n"/>
      <c r="AZ335" s="36" t="n"/>
      <c r="BA335" s="36" t="n"/>
      <c r="BB335" s="190">
        <f>IFERROR(1-BB327,"n/a")</f>
        <v/>
      </c>
      <c r="BC335" s="36" t="n"/>
      <c r="BD335" s="36" t="n"/>
      <c r="BE335" s="36" t="n"/>
      <c r="BF335" s="36" t="n"/>
      <c r="BG335" s="190">
        <f>IFERROR(1-BG327,"n/a")</f>
        <v/>
      </c>
      <c r="BH335" s="36" t="n"/>
      <c r="BI335" s="36" t="n"/>
      <c r="BJ335" s="36" t="n"/>
      <c r="BK335" s="36" t="n"/>
      <c r="BL335" s="190">
        <f>IFERROR(1-BL327,"n/a")</f>
        <v/>
      </c>
      <c r="BM335" s="36" t="n"/>
      <c r="BN335" s="36" t="n"/>
      <c r="BO335" s="36" t="n"/>
      <c r="BP335" s="36" t="n"/>
      <c r="BQ335" s="190">
        <f>IFERROR(1-BQ327,"n/a")</f>
        <v/>
      </c>
      <c r="BR335" s="36" t="n"/>
      <c r="BS335" s="36" t="n"/>
      <c r="BT335" s="36" t="n"/>
      <c r="BU335" s="36" t="n"/>
      <c r="BV335" s="190">
        <f>IFERROR(1-BV327,"n/a")</f>
        <v/>
      </c>
      <c r="BW335" s="36" t="n"/>
      <c r="BX335" s="36" t="n"/>
      <c r="BY335" s="37" t="n"/>
      <c r="BZ335" s="37" t="n"/>
      <c r="CA335" s="181">
        <f>IFERROR(1-CA327,"n/a")</f>
        <v/>
      </c>
      <c r="CB335" s="181">
        <f>IFERROR(1-CB327,"n/a")</f>
        <v/>
      </c>
      <c r="CC335" s="181">
        <f>IFERROR(1-CC327,"n/a")</f>
        <v/>
      </c>
      <c r="CD335" s="181">
        <f>IFERROR(1-CD327,"n/a")</f>
        <v/>
      </c>
      <c r="CE335" s="181">
        <f>IFERROR(1-CE327,"n/a")</f>
        <v/>
      </c>
      <c r="CF335" s="20" t="n"/>
    </row>
    <row r="336" ht="15" customHeight="1">
      <c r="B336" s="26" t="inlineStr">
        <is>
          <t xml:space="preserve">  Check: Margin × Turnover × Tax burden = ROIC</t>
        </is>
      </c>
      <c r="C336" s="190">
        <f>IFERROR(C333*C334*C335,"n/a")</f>
        <v/>
      </c>
      <c r="D336" s="190">
        <f>IFERROR(D333*D334*D335,"n/a")</f>
        <v/>
      </c>
      <c r="E336" s="190">
        <f>IFERROR(E333*E334*E335,"n/a")</f>
        <v/>
      </c>
      <c r="F336" s="190">
        <f>IFERROR(F333*F334*F335,"n/a")</f>
        <v/>
      </c>
      <c r="G336" s="190">
        <f>IFERROR(G333*G334*G335,"n/a")</f>
        <v/>
      </c>
      <c r="H336" s="190">
        <f>IFERROR(H333*H334*H335,"n/a")</f>
        <v/>
      </c>
      <c r="I336" s="190">
        <f>IFERROR(I333*I334*I335,"n/a")</f>
        <v/>
      </c>
      <c r="J336" s="36" t="n"/>
      <c r="K336" s="36" t="n"/>
      <c r="L336" s="36" t="n"/>
      <c r="M336" s="36" t="n"/>
      <c r="N336" s="190">
        <f>IFERROR(N333*N334*N335,"n/a")</f>
        <v/>
      </c>
      <c r="O336" s="36" t="n"/>
      <c r="P336" s="36" t="n"/>
      <c r="Q336" s="36" t="n"/>
      <c r="R336" s="36" t="n"/>
      <c r="S336" s="190">
        <f>IFERROR(S333*S334*S335,"n/a")</f>
        <v/>
      </c>
      <c r="T336" s="36" t="n"/>
      <c r="U336" s="36" t="n"/>
      <c r="V336" s="36" t="n"/>
      <c r="W336" s="36" t="n"/>
      <c r="X336" s="190">
        <f>IFERROR(X333*X334*X335,"n/a")</f>
        <v/>
      </c>
      <c r="Y336" s="36" t="n"/>
      <c r="Z336" s="36" t="n"/>
      <c r="AA336" s="36" t="n"/>
      <c r="AB336" s="36" t="n"/>
      <c r="AC336" s="190">
        <f>IFERROR(AC333*AC334*AC335,"n/a")</f>
        <v/>
      </c>
      <c r="AD336" s="36" t="n"/>
      <c r="AE336" s="36" t="n"/>
      <c r="AF336" s="36" t="n"/>
      <c r="AG336" s="36" t="n"/>
      <c r="AH336" s="190">
        <f>IFERROR(AH333*AH334*AH335,"n/a")</f>
        <v/>
      </c>
      <c r="AI336" s="36" t="n"/>
      <c r="AJ336" s="36" t="n"/>
      <c r="AK336" s="36" t="n"/>
      <c r="AL336" s="36" t="n"/>
      <c r="AM336" s="190">
        <f>IFERROR(AM333*AM334*AM335,"n/a")</f>
        <v/>
      </c>
      <c r="AN336" s="36" t="n"/>
      <c r="AO336" s="36" t="n"/>
      <c r="AP336" s="36" t="n"/>
      <c r="AQ336" s="36" t="n"/>
      <c r="AR336" s="190">
        <f>IFERROR(AR333*AR334*AR335,"n/a")</f>
        <v/>
      </c>
      <c r="AS336" s="36" t="n"/>
      <c r="AT336" s="36" t="n"/>
      <c r="AU336" s="36" t="n"/>
      <c r="AV336" s="36" t="n"/>
      <c r="AW336" s="190">
        <f>IFERROR(AW333*AW334*AW335,"n/a")</f>
        <v/>
      </c>
      <c r="AX336" s="36" t="n"/>
      <c r="AY336" s="36" t="n"/>
      <c r="AZ336" s="36" t="n"/>
      <c r="BA336" s="36" t="n"/>
      <c r="BB336" s="190">
        <f>IFERROR(BB333*BB334*BB335,"n/a")</f>
        <v/>
      </c>
      <c r="BC336" s="36" t="n"/>
      <c r="BD336" s="36" t="n"/>
      <c r="BE336" s="36" t="n"/>
      <c r="BF336" s="36" t="n"/>
      <c r="BG336" s="190">
        <f>IFERROR(BG333*BG334*BG335,"n/a")</f>
        <v/>
      </c>
      <c r="BH336" s="36" t="n"/>
      <c r="BI336" s="36" t="n"/>
      <c r="BJ336" s="36" t="n"/>
      <c r="BK336" s="36" t="n"/>
      <c r="BL336" s="190">
        <f>IFERROR(BL333*BL334*BL335,"n/a")</f>
        <v/>
      </c>
      <c r="BM336" s="36" t="n"/>
      <c r="BN336" s="36" t="n"/>
      <c r="BO336" s="36" t="n"/>
      <c r="BP336" s="36" t="n"/>
      <c r="BQ336" s="190">
        <f>IFERROR(BQ333*BQ334*BQ335,"n/a")</f>
        <v/>
      </c>
      <c r="BR336" s="36" t="n"/>
      <c r="BS336" s="36" t="n"/>
      <c r="BT336" s="36" t="n"/>
      <c r="BU336" s="36" t="n"/>
      <c r="BV336" s="190">
        <f>IFERROR(BV333*BV334*BV335,"n/a")</f>
        <v/>
      </c>
      <c r="BW336" s="36" t="n"/>
      <c r="BX336" s="36" t="n"/>
      <c r="BY336" s="37" t="n"/>
      <c r="BZ336" s="37" t="n"/>
      <c r="CA336" s="181">
        <f>IFERROR(CA333*CA334*CA335,"n/a")</f>
        <v/>
      </c>
      <c r="CB336" s="181">
        <f>IFERROR(CB333*CB334*CB335,"n/a")</f>
        <v/>
      </c>
      <c r="CC336" s="181">
        <f>IFERROR(CC333*CC334*CC335,"n/a")</f>
        <v/>
      </c>
      <c r="CD336" s="181">
        <f>IFERROR(CD333*CD334*CD335,"n/a")</f>
        <v/>
      </c>
      <c r="CE336" s="181">
        <f>IFERROR(CE333*CE334*CE335,"n/a")</f>
        <v/>
      </c>
      <c r="CF336" s="20" t="n"/>
    </row>
    <row r="337" ht="15" customHeight="1">
      <c r="B337" s="26" t="inlineStr">
        <is>
          <t>RONTA decomposition</t>
        </is>
      </c>
      <c r="CF337" s="6" t="n"/>
    </row>
    <row r="338" ht="15" customHeight="1">
      <c r="B338" s="26" t="inlineStr">
        <is>
          <t>NOPAT = Adjusted EBIT × (1 − tax rate)</t>
        </is>
      </c>
      <c r="C338" s="194">
        <f>C328</f>
        <v/>
      </c>
      <c r="D338" s="194">
        <f>D328</f>
        <v/>
      </c>
      <c r="E338" s="194">
        <f>E328</f>
        <v/>
      </c>
      <c r="F338" s="194">
        <f>F328</f>
        <v/>
      </c>
      <c r="G338" s="194">
        <f>G328</f>
        <v/>
      </c>
      <c r="H338" s="194">
        <f>H328</f>
        <v/>
      </c>
      <c r="I338" s="194">
        <f>I328</f>
        <v/>
      </c>
      <c r="J338" s="36" t="n"/>
      <c r="K338" s="36" t="n"/>
      <c r="L338" s="36" t="n"/>
      <c r="M338" s="36" t="n"/>
      <c r="N338" s="194">
        <f>N328</f>
        <v/>
      </c>
      <c r="O338" s="36" t="n"/>
      <c r="P338" s="36" t="n"/>
      <c r="Q338" s="36" t="n"/>
      <c r="R338" s="36" t="n"/>
      <c r="S338" s="194">
        <f>S328</f>
        <v/>
      </c>
      <c r="T338" s="36" t="n"/>
      <c r="U338" s="36" t="n"/>
      <c r="V338" s="36" t="n"/>
      <c r="W338" s="36" t="n"/>
      <c r="X338" s="194">
        <f>X328</f>
        <v/>
      </c>
      <c r="Y338" s="36" t="n"/>
      <c r="Z338" s="36" t="n"/>
      <c r="AA338" s="36" t="n"/>
      <c r="AB338" s="36" t="n"/>
      <c r="AC338" s="194">
        <f>AC328</f>
        <v/>
      </c>
      <c r="AD338" s="36" t="n"/>
      <c r="AE338" s="36" t="n"/>
      <c r="AF338" s="36" t="n"/>
      <c r="AG338" s="36" t="n"/>
      <c r="AH338" s="194">
        <f>AH328</f>
        <v/>
      </c>
      <c r="AI338" s="36" t="n"/>
      <c r="AJ338" s="36" t="n"/>
      <c r="AK338" s="36" t="n"/>
      <c r="AL338" s="36" t="n"/>
      <c r="AM338" s="194">
        <f>AM328</f>
        <v/>
      </c>
      <c r="AN338" s="36" t="n"/>
      <c r="AO338" s="36" t="n"/>
      <c r="AP338" s="36" t="n"/>
      <c r="AQ338" s="36" t="n"/>
      <c r="AR338" s="194">
        <f>AR328</f>
        <v/>
      </c>
      <c r="AS338" s="36" t="n"/>
      <c r="AT338" s="36" t="n"/>
      <c r="AU338" s="36" t="n"/>
      <c r="AV338" s="36" t="n"/>
      <c r="AW338" s="194">
        <f>AW328</f>
        <v/>
      </c>
      <c r="AX338" s="36" t="n"/>
      <c r="AY338" s="36" t="n"/>
      <c r="AZ338" s="36" t="n"/>
      <c r="BA338" s="36" t="n"/>
      <c r="BB338" s="194">
        <f>BB328</f>
        <v/>
      </c>
      <c r="BC338" s="36" t="n"/>
      <c r="BD338" s="36" t="n"/>
      <c r="BE338" s="36" t="n"/>
      <c r="BF338" s="36" t="n"/>
      <c r="BG338" s="194">
        <f>BG328</f>
        <v/>
      </c>
      <c r="BH338" s="36" t="n"/>
      <c r="BI338" s="36" t="n"/>
      <c r="BJ338" s="36" t="n"/>
      <c r="BK338" s="36" t="n"/>
      <c r="BL338" s="194">
        <f>BL328</f>
        <v/>
      </c>
      <c r="BM338" s="36" t="n"/>
      <c r="BN338" s="36" t="n"/>
      <c r="BO338" s="36" t="n"/>
      <c r="BP338" s="36" t="n"/>
      <c r="BQ338" s="194">
        <f>BQ328</f>
        <v/>
      </c>
      <c r="BR338" s="36" t="n"/>
      <c r="BS338" s="36" t="n"/>
      <c r="BT338" s="36" t="n"/>
      <c r="BU338" s="36" t="n"/>
      <c r="BV338" s="194">
        <f>BV328</f>
        <v/>
      </c>
      <c r="BW338" s="36" t="n"/>
      <c r="BX338" s="36" t="n"/>
      <c r="BY338" s="37" t="n"/>
      <c r="BZ338" s="37" t="n"/>
      <c r="CA338" s="176">
        <f>CA328</f>
        <v/>
      </c>
      <c r="CB338" s="176">
        <f>CB328</f>
        <v/>
      </c>
      <c r="CC338" s="176">
        <f>CC328</f>
        <v/>
      </c>
      <c r="CD338" s="176">
        <f>CD328</f>
        <v/>
      </c>
      <c r="CE338" s="176">
        <f>CE328</f>
        <v/>
      </c>
      <c r="CF338" s="20" t="n"/>
    </row>
    <row r="339" ht="15" customHeight="1">
      <c r="B339" s="26" t="inlineStr">
        <is>
          <t xml:space="preserve">  Total assets</t>
        </is>
      </c>
      <c r="C339" s="194">
        <f>C256</f>
        <v/>
      </c>
      <c r="D339" s="194">
        <f>D256</f>
        <v/>
      </c>
      <c r="E339" s="194">
        <f>E256</f>
        <v/>
      </c>
      <c r="F339" s="194">
        <f>F256</f>
        <v/>
      </c>
      <c r="G339" s="194">
        <f>G256</f>
        <v/>
      </c>
      <c r="H339" s="194">
        <f>H256</f>
        <v/>
      </c>
      <c r="I339" s="194">
        <f>I256</f>
        <v/>
      </c>
      <c r="J339" s="36" t="n"/>
      <c r="K339" s="36" t="n"/>
      <c r="L339" s="36" t="n"/>
      <c r="M339" s="36" t="n"/>
      <c r="N339" s="194">
        <f>N256</f>
        <v/>
      </c>
      <c r="O339" s="36" t="n"/>
      <c r="P339" s="36" t="n"/>
      <c r="Q339" s="36" t="n"/>
      <c r="R339" s="36" t="n"/>
      <c r="S339" s="194">
        <f>S256</f>
        <v/>
      </c>
      <c r="T339" s="36" t="n"/>
      <c r="U339" s="36" t="n"/>
      <c r="V339" s="36" t="n"/>
      <c r="W339" s="36" t="n"/>
      <c r="X339" s="194">
        <f>X256</f>
        <v/>
      </c>
      <c r="Y339" s="36" t="n"/>
      <c r="Z339" s="36" t="n"/>
      <c r="AA339" s="36" t="n"/>
      <c r="AB339" s="36" t="n"/>
      <c r="AC339" s="194">
        <f>AC256</f>
        <v/>
      </c>
      <c r="AD339" s="36" t="n"/>
      <c r="AE339" s="36" t="n"/>
      <c r="AF339" s="36" t="n"/>
      <c r="AG339" s="36" t="n"/>
      <c r="AH339" s="194">
        <f>AH256</f>
        <v/>
      </c>
      <c r="AI339" s="36" t="n"/>
      <c r="AJ339" s="36" t="n"/>
      <c r="AK339" s="36" t="n"/>
      <c r="AL339" s="36" t="n"/>
      <c r="AM339" s="194">
        <f>AM256</f>
        <v/>
      </c>
      <c r="AN339" s="36" t="n"/>
      <c r="AO339" s="36" t="n"/>
      <c r="AP339" s="36" t="n"/>
      <c r="AQ339" s="36" t="n"/>
      <c r="AR339" s="194">
        <f>AR256</f>
        <v/>
      </c>
      <c r="AS339" s="36" t="n"/>
      <c r="AT339" s="36" t="n"/>
      <c r="AU339" s="36" t="n"/>
      <c r="AV339" s="36" t="n"/>
      <c r="AW339" s="194">
        <f>AW256</f>
        <v/>
      </c>
      <c r="AX339" s="36" t="n"/>
      <c r="AY339" s="36" t="n"/>
      <c r="AZ339" s="36" t="n"/>
      <c r="BA339" s="36" t="n"/>
      <c r="BB339" s="194">
        <f>BB256</f>
        <v/>
      </c>
      <c r="BC339" s="36" t="n"/>
      <c r="BD339" s="36" t="n"/>
      <c r="BE339" s="36" t="n"/>
      <c r="BF339" s="36" t="n"/>
      <c r="BG339" s="194">
        <f>BG256</f>
        <v/>
      </c>
      <c r="BH339" s="36" t="n"/>
      <c r="BI339" s="36" t="n"/>
      <c r="BJ339" s="36" t="n"/>
      <c r="BK339" s="36" t="n"/>
      <c r="BL339" s="194">
        <f>BL256</f>
        <v/>
      </c>
      <c r="BM339" s="36" t="n"/>
      <c r="BN339" s="36" t="n"/>
      <c r="BO339" s="36" t="n"/>
      <c r="BP339" s="36" t="n"/>
      <c r="BQ339" s="194">
        <f>BQ256</f>
        <v/>
      </c>
      <c r="BR339" s="36" t="n"/>
      <c r="BS339" s="36" t="n"/>
      <c r="BT339" s="36" t="n"/>
      <c r="BU339" s="36" t="n"/>
      <c r="BV339" s="194">
        <f>BV256</f>
        <v/>
      </c>
      <c r="BW339" s="36" t="n"/>
      <c r="BX339" s="36" t="n"/>
      <c r="BY339" s="37" t="n"/>
      <c r="BZ339" s="37" t="n"/>
      <c r="CA339" s="176">
        <f>CA256</f>
        <v/>
      </c>
      <c r="CB339" s="176">
        <f>CB256</f>
        <v/>
      </c>
      <c r="CC339" s="176">
        <f>CC256</f>
        <v/>
      </c>
      <c r="CD339" s="176">
        <f>CD256</f>
        <v/>
      </c>
      <c r="CE339" s="176">
        <f>CE256</f>
        <v/>
      </c>
      <c r="CF339" s="20" t="n"/>
    </row>
    <row r="340" ht="15" customHeight="1">
      <c r="B340" s="26" t="inlineStr">
        <is>
          <t xml:space="preserve">  − Goodwill &amp; intangibles (within other assets; nil after 2020)</t>
        </is>
      </c>
      <c r="C340" s="194">
        <f>-N(C341)</f>
        <v/>
      </c>
      <c r="D340" s="194">
        <f>-N(D341)</f>
        <v/>
      </c>
      <c r="E340" s="194">
        <f>-N(E341)</f>
        <v/>
      </c>
      <c r="F340" s="194">
        <f>-N(F341)</f>
        <v/>
      </c>
      <c r="G340" s="194">
        <f>-N(G341)</f>
        <v/>
      </c>
      <c r="H340" s="194">
        <f>-N(H341)</f>
        <v/>
      </c>
      <c r="I340" s="194">
        <f>-N(I341)</f>
        <v/>
      </c>
      <c r="J340" s="36" t="n"/>
      <c r="K340" s="36" t="n"/>
      <c r="L340" s="36" t="n"/>
      <c r="M340" s="36" t="n"/>
      <c r="N340" s="194">
        <f>-N(N341)</f>
        <v/>
      </c>
      <c r="O340" s="36" t="n"/>
      <c r="P340" s="36" t="n"/>
      <c r="Q340" s="36" t="n"/>
      <c r="R340" s="36" t="n"/>
      <c r="S340" s="194">
        <f>-N(S341)</f>
        <v/>
      </c>
      <c r="T340" s="36" t="n"/>
      <c r="U340" s="36" t="n"/>
      <c r="V340" s="36" t="n"/>
      <c r="W340" s="36" t="n"/>
      <c r="X340" s="194">
        <f>-N(X341)</f>
        <v/>
      </c>
      <c r="Y340" s="36" t="n"/>
      <c r="Z340" s="36" t="n"/>
      <c r="AA340" s="36" t="n"/>
      <c r="AB340" s="36" t="n"/>
      <c r="AC340" s="194">
        <f>-N(AC341)</f>
        <v/>
      </c>
      <c r="AD340" s="36" t="n"/>
      <c r="AE340" s="36" t="n"/>
      <c r="AF340" s="36" t="n"/>
      <c r="AG340" s="36" t="n"/>
      <c r="AH340" s="194">
        <f>-N(AH341)</f>
        <v/>
      </c>
      <c r="AI340" s="36" t="n"/>
      <c r="AJ340" s="36" t="n"/>
      <c r="AK340" s="36" t="n"/>
      <c r="AL340" s="36" t="n"/>
      <c r="AM340" s="194">
        <f>-N(AM341)</f>
        <v/>
      </c>
      <c r="AN340" s="36" t="n"/>
      <c r="AO340" s="36" t="n"/>
      <c r="AP340" s="36" t="n"/>
      <c r="AQ340" s="36" t="n"/>
      <c r="AR340" s="194">
        <f>-N(AR341)</f>
        <v/>
      </c>
      <c r="AS340" s="36" t="n"/>
      <c r="AT340" s="36" t="n"/>
      <c r="AU340" s="36" t="n"/>
      <c r="AV340" s="36" t="n"/>
      <c r="AW340" s="194">
        <f>-N(AW341)</f>
        <v/>
      </c>
      <c r="AX340" s="36" t="n"/>
      <c r="AY340" s="36" t="n"/>
      <c r="AZ340" s="36" t="n"/>
      <c r="BA340" s="36" t="n"/>
      <c r="BB340" s="194">
        <f>-N(BB341)</f>
        <v/>
      </c>
      <c r="BC340" s="36" t="n"/>
      <c r="BD340" s="36" t="n"/>
      <c r="BE340" s="36" t="n"/>
      <c r="BF340" s="36" t="n"/>
      <c r="BG340" s="194">
        <f>-N(BG341)</f>
        <v/>
      </c>
      <c r="BH340" s="36" t="n"/>
      <c r="BI340" s="36" t="n"/>
      <c r="BJ340" s="36" t="n"/>
      <c r="BK340" s="36" t="n"/>
      <c r="BL340" s="194">
        <f>-N(BL341)</f>
        <v/>
      </c>
      <c r="BM340" s="36" t="n"/>
      <c r="BN340" s="36" t="n"/>
      <c r="BO340" s="36" t="n"/>
      <c r="BP340" s="36" t="n"/>
      <c r="BQ340" s="194">
        <f>-N(BQ341)</f>
        <v/>
      </c>
      <c r="BR340" s="36" t="n"/>
      <c r="BS340" s="36" t="n"/>
      <c r="BT340" s="36" t="n"/>
      <c r="BU340" s="36" t="n"/>
      <c r="BV340" s="194">
        <f>-N(BV341)</f>
        <v/>
      </c>
      <c r="BW340" s="36" t="n"/>
      <c r="BX340" s="36" t="n"/>
      <c r="BY340" s="37" t="n"/>
      <c r="BZ340" s="37" t="n"/>
      <c r="CA340" s="176">
        <f>-N(CA341)</f>
        <v/>
      </c>
      <c r="CB340" s="176">
        <f>-N(CB341)</f>
        <v/>
      </c>
      <c r="CC340" s="176">
        <f>-N(CC341)</f>
        <v/>
      </c>
      <c r="CD340" s="176">
        <f>-N(CD341)</f>
        <v/>
      </c>
      <c r="CE340" s="176">
        <f>-N(CE341)</f>
        <v/>
      </c>
      <c r="CF340" s="20" t="n"/>
    </row>
    <row r="341" ht="15" customHeight="1">
      <c r="B341" s="42" t="inlineStr">
        <is>
          <t xml:space="preserve">  Memo: goodwill &amp; intangible assets (balance sheet, where separately presented)</t>
        </is>
      </c>
      <c r="C341" s="36" t="n"/>
      <c r="D341" s="174" t="n">
        <v>23.518</v>
      </c>
      <c r="E341" s="174" t="n">
        <v>25.55</v>
      </c>
      <c r="F341" s="174" t="n">
        <v>24.635</v>
      </c>
      <c r="G341" s="174" t="n">
        <v>19.463</v>
      </c>
      <c r="H341" s="174" t="n">
        <v>19.463</v>
      </c>
      <c r="I341" s="174" t="n">
        <v>19.463</v>
      </c>
      <c r="J341" s="36" t="n"/>
      <c r="K341" s="36" t="n"/>
      <c r="L341" s="36" t="n"/>
      <c r="M341" s="36" t="n"/>
      <c r="N341" s="174" t="n">
        <v>19.463</v>
      </c>
      <c r="O341" s="36" t="n"/>
      <c r="P341" s="36" t="n"/>
      <c r="Q341" s="36" t="n"/>
      <c r="R341" s="36" t="n"/>
      <c r="S341" s="174" t="n">
        <v>19.463</v>
      </c>
      <c r="T341" s="36" t="n"/>
      <c r="U341" s="36" t="n"/>
      <c r="V341" s="36" t="n"/>
      <c r="W341" s="36" t="n"/>
      <c r="X341" s="174" t="n">
        <v>19.463</v>
      </c>
      <c r="Y341" s="36" t="n"/>
      <c r="Z341" s="36" t="n"/>
      <c r="AA341" s="36" t="n"/>
      <c r="AB341" s="36" t="n"/>
      <c r="AC341" s="174" t="n">
        <v>19.463</v>
      </c>
      <c r="AD341" s="36" t="n"/>
      <c r="AE341" s="36" t="n"/>
      <c r="AF341" s="36" t="n"/>
      <c r="AG341" s="36" t="n"/>
      <c r="AH341" s="174" t="n">
        <v>19.463</v>
      </c>
      <c r="AI341" s="36" t="n"/>
      <c r="AJ341" s="36" t="n"/>
      <c r="AK341" s="36" t="n"/>
      <c r="AL341" s="36" t="n"/>
      <c r="AM341" s="174" t="n">
        <v>19.463</v>
      </c>
      <c r="AN341" s="36" t="n"/>
      <c r="AO341" s="36" t="n"/>
      <c r="AP341" s="36" t="n"/>
      <c r="AQ341" s="36" t="n"/>
      <c r="AR341" s="174" t="n">
        <v>19.463</v>
      </c>
      <c r="AS341" s="36" t="n"/>
      <c r="AT341" s="36" t="n"/>
      <c r="AU341" s="36" t="n"/>
      <c r="AV341" s="36" t="n"/>
      <c r="AW341" s="36" t="n"/>
      <c r="AX341" s="36" t="n"/>
      <c r="AY341" s="36" t="n"/>
      <c r="AZ341" s="36" t="n"/>
      <c r="BA341" s="36" t="n"/>
      <c r="BB341" s="36" t="n"/>
      <c r="BC341" s="36" t="n"/>
      <c r="BD341" s="36" t="n"/>
      <c r="BE341" s="36" t="n"/>
      <c r="BF341" s="36" t="n"/>
      <c r="BG341" s="36" t="n"/>
      <c r="BH341" s="36" t="n"/>
      <c r="BI341" s="36" t="n"/>
      <c r="BJ341" s="36" t="n"/>
      <c r="BK341" s="36" t="n"/>
      <c r="BL341" s="36" t="n"/>
      <c r="BM341" s="36" t="n"/>
      <c r="BN341" s="36" t="n"/>
      <c r="BO341" s="36" t="n"/>
      <c r="BP341" s="36" t="n"/>
      <c r="BQ341" s="36" t="n"/>
      <c r="BR341" s="36" t="n"/>
      <c r="BS341" s="36" t="n"/>
      <c r="BT341" s="36" t="n"/>
      <c r="BU341" s="36" t="n"/>
      <c r="BV341" s="36" t="n"/>
      <c r="BW341" s="36" t="n"/>
      <c r="BX341" s="36" t="n"/>
      <c r="BY341" s="6" t="n"/>
      <c r="BZ341" s="6" t="n"/>
      <c r="CA341" s="6" t="n"/>
      <c r="CB341" s="6" t="n"/>
      <c r="CC341" s="6" t="n"/>
      <c r="CD341" s="6" t="n"/>
      <c r="CE341" s="6" t="n"/>
      <c r="CF341" s="6" t="n"/>
    </row>
    <row r="342" ht="15" customHeight="1">
      <c r="B342" s="26" t="inlineStr">
        <is>
          <t xml:space="preserve">  − Non-interest-bearing current liabilities (total CL excl. debt)</t>
        </is>
      </c>
      <c r="C342" s="194">
        <f>-(C263-N(C261))</f>
        <v/>
      </c>
      <c r="D342" s="194">
        <f>-(D263-N(D261))</f>
        <v/>
      </c>
      <c r="E342" s="194">
        <f>-(E263-N(E261))</f>
        <v/>
      </c>
      <c r="F342" s="194">
        <f>-(F263-N(F261))</f>
        <v/>
      </c>
      <c r="G342" s="194">
        <f>-(G263-N(G261))</f>
        <v/>
      </c>
      <c r="H342" s="194">
        <f>-(H263-N(H261))</f>
        <v/>
      </c>
      <c r="I342" s="194">
        <f>-(I263-N(I261))</f>
        <v/>
      </c>
      <c r="J342" s="36" t="n"/>
      <c r="K342" s="36" t="n"/>
      <c r="L342" s="36" t="n"/>
      <c r="M342" s="36" t="n"/>
      <c r="N342" s="194">
        <f>-(N263-N(N261))</f>
        <v/>
      </c>
      <c r="O342" s="36" t="n"/>
      <c r="P342" s="36" t="n"/>
      <c r="Q342" s="36" t="n"/>
      <c r="R342" s="36" t="n"/>
      <c r="S342" s="194">
        <f>-(S263-N(S261))</f>
        <v/>
      </c>
      <c r="T342" s="36" t="n"/>
      <c r="U342" s="36" t="n"/>
      <c r="V342" s="36" t="n"/>
      <c r="W342" s="36" t="n"/>
      <c r="X342" s="194">
        <f>-(X263-N(X261))</f>
        <v/>
      </c>
      <c r="Y342" s="36" t="n"/>
      <c r="Z342" s="36" t="n"/>
      <c r="AA342" s="36" t="n"/>
      <c r="AB342" s="36" t="n"/>
      <c r="AC342" s="194">
        <f>-(AC263-N(AC261))</f>
        <v/>
      </c>
      <c r="AD342" s="36" t="n"/>
      <c r="AE342" s="36" t="n"/>
      <c r="AF342" s="36" t="n"/>
      <c r="AG342" s="36" t="n"/>
      <c r="AH342" s="194">
        <f>-(AH263-N(AH261))</f>
        <v/>
      </c>
      <c r="AI342" s="36" t="n"/>
      <c r="AJ342" s="36" t="n"/>
      <c r="AK342" s="36" t="n"/>
      <c r="AL342" s="36" t="n"/>
      <c r="AM342" s="194">
        <f>-(AM263-N(AM261))</f>
        <v/>
      </c>
      <c r="AN342" s="36" t="n"/>
      <c r="AO342" s="36" t="n"/>
      <c r="AP342" s="36" t="n"/>
      <c r="AQ342" s="36" t="n"/>
      <c r="AR342" s="194">
        <f>-(AR263-N(AR261))</f>
        <v/>
      </c>
      <c r="AS342" s="36" t="n"/>
      <c r="AT342" s="36" t="n"/>
      <c r="AU342" s="36" t="n"/>
      <c r="AV342" s="36" t="n"/>
      <c r="AW342" s="194">
        <f>-(AW263-N(AW261))</f>
        <v/>
      </c>
      <c r="AX342" s="36" t="n"/>
      <c r="AY342" s="36" t="n"/>
      <c r="AZ342" s="36" t="n"/>
      <c r="BA342" s="36" t="n"/>
      <c r="BB342" s="194">
        <f>-(BB263-N(BB261))</f>
        <v/>
      </c>
      <c r="BC342" s="36" t="n"/>
      <c r="BD342" s="36" t="n"/>
      <c r="BE342" s="36" t="n"/>
      <c r="BF342" s="36" t="n"/>
      <c r="BG342" s="194">
        <f>-(BG263-N(BG261))</f>
        <v/>
      </c>
      <c r="BH342" s="36" t="n"/>
      <c r="BI342" s="36" t="n"/>
      <c r="BJ342" s="36" t="n"/>
      <c r="BK342" s="36" t="n"/>
      <c r="BL342" s="194">
        <f>-(BL263-N(BL261))</f>
        <v/>
      </c>
      <c r="BM342" s="36" t="n"/>
      <c r="BN342" s="36" t="n"/>
      <c r="BO342" s="36" t="n"/>
      <c r="BP342" s="36" t="n"/>
      <c r="BQ342" s="194">
        <f>-(BQ263-N(BQ261))</f>
        <v/>
      </c>
      <c r="BR342" s="36" t="n"/>
      <c r="BS342" s="36" t="n"/>
      <c r="BT342" s="36" t="n"/>
      <c r="BU342" s="36" t="n"/>
      <c r="BV342" s="194">
        <f>-(BV263-N(BV261))</f>
        <v/>
      </c>
      <c r="BW342" s="36" t="n"/>
      <c r="BX342" s="36" t="n"/>
      <c r="BY342" s="37" t="n"/>
      <c r="BZ342" s="37" t="n"/>
      <c r="CA342" s="176">
        <f>-(CA263-N(CA261))</f>
        <v/>
      </c>
      <c r="CB342" s="176">
        <f>-(CB263-N(CB261))</f>
        <v/>
      </c>
      <c r="CC342" s="176">
        <f>-(CC263-N(CC261))</f>
        <v/>
      </c>
      <c r="CD342" s="176">
        <f>-(CD263-N(CD261))</f>
        <v/>
      </c>
      <c r="CE342" s="176">
        <f>-(CE263-N(CE261))</f>
        <v/>
      </c>
      <c r="CF342" s="20" t="n"/>
    </row>
    <row r="343" ht="15" customHeight="1">
      <c r="B343" s="26" t="inlineStr">
        <is>
          <t xml:space="preserve">  = Net tangible assets</t>
        </is>
      </c>
      <c r="C343" s="194">
        <f>C339+C340+C342</f>
        <v/>
      </c>
      <c r="D343" s="194">
        <f>D339+D340+D342</f>
        <v/>
      </c>
      <c r="E343" s="194">
        <f>E339+E340+E342</f>
        <v/>
      </c>
      <c r="F343" s="194">
        <f>F339+F340+F342</f>
        <v/>
      </c>
      <c r="G343" s="194">
        <f>G339+G340+G342</f>
        <v/>
      </c>
      <c r="H343" s="194">
        <f>H339+H340+H342</f>
        <v/>
      </c>
      <c r="I343" s="194">
        <f>I339+I340+I342</f>
        <v/>
      </c>
      <c r="J343" s="36" t="n"/>
      <c r="K343" s="36" t="n"/>
      <c r="L343" s="36" t="n"/>
      <c r="M343" s="36" t="n"/>
      <c r="N343" s="194">
        <f>N339+N340+N342</f>
        <v/>
      </c>
      <c r="O343" s="36" t="n"/>
      <c r="P343" s="36" t="n"/>
      <c r="Q343" s="36" t="n"/>
      <c r="R343" s="36" t="n"/>
      <c r="S343" s="194">
        <f>S339+S340+S342</f>
        <v/>
      </c>
      <c r="T343" s="36" t="n"/>
      <c r="U343" s="36" t="n"/>
      <c r="V343" s="36" t="n"/>
      <c r="W343" s="36" t="n"/>
      <c r="X343" s="194">
        <f>X339+X340+X342</f>
        <v/>
      </c>
      <c r="Y343" s="36" t="n"/>
      <c r="Z343" s="36" t="n"/>
      <c r="AA343" s="36" t="n"/>
      <c r="AB343" s="36" t="n"/>
      <c r="AC343" s="194">
        <f>AC339+AC340+AC342</f>
        <v/>
      </c>
      <c r="AD343" s="36" t="n"/>
      <c r="AE343" s="36" t="n"/>
      <c r="AF343" s="36" t="n"/>
      <c r="AG343" s="36" t="n"/>
      <c r="AH343" s="194">
        <f>AH339+AH340+AH342</f>
        <v/>
      </c>
      <c r="AI343" s="36" t="n"/>
      <c r="AJ343" s="36" t="n"/>
      <c r="AK343" s="36" t="n"/>
      <c r="AL343" s="36" t="n"/>
      <c r="AM343" s="194">
        <f>AM339+AM340+AM342</f>
        <v/>
      </c>
      <c r="AN343" s="36" t="n"/>
      <c r="AO343" s="36" t="n"/>
      <c r="AP343" s="36" t="n"/>
      <c r="AQ343" s="36" t="n"/>
      <c r="AR343" s="194">
        <f>AR339+AR340+AR342</f>
        <v/>
      </c>
      <c r="AS343" s="36" t="n"/>
      <c r="AT343" s="36" t="n"/>
      <c r="AU343" s="36" t="n"/>
      <c r="AV343" s="36" t="n"/>
      <c r="AW343" s="194">
        <f>AW339+AW340+AW342</f>
        <v/>
      </c>
      <c r="AX343" s="36" t="n"/>
      <c r="AY343" s="36" t="n"/>
      <c r="AZ343" s="36" t="n"/>
      <c r="BA343" s="36" t="n"/>
      <c r="BB343" s="194">
        <f>BB339+BB340+BB342</f>
        <v/>
      </c>
      <c r="BC343" s="36" t="n"/>
      <c r="BD343" s="36" t="n"/>
      <c r="BE343" s="36" t="n"/>
      <c r="BF343" s="36" t="n"/>
      <c r="BG343" s="194">
        <f>BG339+BG340+BG342</f>
        <v/>
      </c>
      <c r="BH343" s="36" t="n"/>
      <c r="BI343" s="36" t="n"/>
      <c r="BJ343" s="36" t="n"/>
      <c r="BK343" s="36" t="n"/>
      <c r="BL343" s="194">
        <f>BL339+BL340+BL342</f>
        <v/>
      </c>
      <c r="BM343" s="36" t="n"/>
      <c r="BN343" s="36" t="n"/>
      <c r="BO343" s="36" t="n"/>
      <c r="BP343" s="36" t="n"/>
      <c r="BQ343" s="194">
        <f>BQ339+BQ340+BQ342</f>
        <v/>
      </c>
      <c r="BR343" s="36" t="n"/>
      <c r="BS343" s="36" t="n"/>
      <c r="BT343" s="36" t="n"/>
      <c r="BU343" s="36" t="n"/>
      <c r="BV343" s="194">
        <f>BV339+BV340+BV342</f>
        <v/>
      </c>
      <c r="BW343" s="36" t="n"/>
      <c r="BX343" s="36" t="n"/>
      <c r="BY343" s="37" t="n"/>
      <c r="BZ343" s="37" t="n"/>
      <c r="CA343" s="176">
        <f>CA339+CA340+CA342</f>
        <v/>
      </c>
      <c r="CB343" s="176">
        <f>CB339+CB340+CB342</f>
        <v/>
      </c>
      <c r="CC343" s="176">
        <f>CC339+CC340+CC342</f>
        <v/>
      </c>
      <c r="CD343" s="176">
        <f>CD339+CD340+CD342</f>
        <v/>
      </c>
      <c r="CE343" s="176">
        <f>CE339+CE340+CE342</f>
        <v/>
      </c>
      <c r="CF343" s="20" t="n"/>
    </row>
    <row r="344" ht="15" customHeight="1">
      <c r="B344" s="59" t="inlineStr">
        <is>
          <t>RONTA = NOPAT / NTA</t>
        </is>
      </c>
      <c r="C344" s="200">
        <f>IFERROR(C338/C343,"n/a")</f>
        <v/>
      </c>
      <c r="D344" s="200">
        <f>IFERROR(D338/D343,"n/a")</f>
        <v/>
      </c>
      <c r="E344" s="200">
        <f>IFERROR(E338/E343,"n/a")</f>
        <v/>
      </c>
      <c r="F344" s="200">
        <f>IFERROR(F338/F343,"n/a")</f>
        <v/>
      </c>
      <c r="G344" s="200">
        <f>IFERROR(G338/G343,"n/a")</f>
        <v/>
      </c>
      <c r="H344" s="200">
        <f>IFERROR(H338/H343,"n/a")</f>
        <v/>
      </c>
      <c r="I344" s="200">
        <f>IFERROR(I338/I343,"n/a")</f>
        <v/>
      </c>
      <c r="J344" s="60" t="n"/>
      <c r="K344" s="60" t="n"/>
      <c r="L344" s="60" t="n"/>
      <c r="M344" s="60" t="n"/>
      <c r="N344" s="200">
        <f>IFERROR(N338/N343,"n/a")</f>
        <v/>
      </c>
      <c r="O344" s="60" t="n"/>
      <c r="P344" s="60" t="n"/>
      <c r="Q344" s="60" t="n"/>
      <c r="R344" s="60" t="n"/>
      <c r="S344" s="200">
        <f>IFERROR(S338/S343,"n/a")</f>
        <v/>
      </c>
      <c r="T344" s="60" t="n"/>
      <c r="U344" s="60" t="n"/>
      <c r="V344" s="60" t="n"/>
      <c r="W344" s="60" t="n"/>
      <c r="X344" s="200">
        <f>IFERROR(X338/X343,"n/a")</f>
        <v/>
      </c>
      <c r="Y344" s="60" t="n"/>
      <c r="Z344" s="60" t="n"/>
      <c r="AA344" s="60" t="n"/>
      <c r="AB344" s="60" t="n"/>
      <c r="AC344" s="200">
        <f>IFERROR(AC338/AC343,"n/a")</f>
        <v/>
      </c>
      <c r="AD344" s="60" t="n"/>
      <c r="AE344" s="60" t="n"/>
      <c r="AF344" s="60" t="n"/>
      <c r="AG344" s="60" t="n"/>
      <c r="AH344" s="200">
        <f>IFERROR(AH338/AH343,"n/a")</f>
        <v/>
      </c>
      <c r="AI344" s="60" t="n"/>
      <c r="AJ344" s="60" t="n"/>
      <c r="AK344" s="60" t="n"/>
      <c r="AL344" s="60" t="n"/>
      <c r="AM344" s="200">
        <f>IFERROR(AM338/AM343,"n/a")</f>
        <v/>
      </c>
      <c r="AN344" s="60" t="n"/>
      <c r="AO344" s="60" t="n"/>
      <c r="AP344" s="60" t="n"/>
      <c r="AQ344" s="60" t="n"/>
      <c r="AR344" s="200">
        <f>IFERROR(AR338/AR343,"n/a")</f>
        <v/>
      </c>
      <c r="AS344" s="60" t="n"/>
      <c r="AT344" s="60" t="n"/>
      <c r="AU344" s="60" t="n"/>
      <c r="AV344" s="60" t="n"/>
      <c r="AW344" s="200">
        <f>IFERROR(AW338/AW343,"n/a")</f>
        <v/>
      </c>
      <c r="AX344" s="60" t="n"/>
      <c r="AY344" s="60" t="n"/>
      <c r="AZ344" s="60" t="n"/>
      <c r="BA344" s="60" t="n"/>
      <c r="BB344" s="200">
        <f>IFERROR(BB338/BB343,"n/a")</f>
        <v/>
      </c>
      <c r="BC344" s="60" t="n"/>
      <c r="BD344" s="60" t="n"/>
      <c r="BE344" s="60" t="n"/>
      <c r="BF344" s="60" t="n"/>
      <c r="BG344" s="200">
        <f>IFERROR(BG338/BG343,"n/a")</f>
        <v/>
      </c>
      <c r="BH344" s="60" t="n"/>
      <c r="BI344" s="60" t="n"/>
      <c r="BJ344" s="60" t="n"/>
      <c r="BK344" s="60" t="n"/>
      <c r="BL344" s="200">
        <f>IFERROR(BL338/BL343,"n/a")</f>
        <v/>
      </c>
      <c r="BM344" s="60" t="n"/>
      <c r="BN344" s="60" t="n"/>
      <c r="BO344" s="60" t="n"/>
      <c r="BP344" s="60" t="n"/>
      <c r="BQ344" s="200">
        <f>IFERROR(BQ338/BQ343,"n/a")</f>
        <v/>
      </c>
      <c r="BR344" s="60" t="n"/>
      <c r="BS344" s="60" t="n"/>
      <c r="BT344" s="60" t="n"/>
      <c r="BU344" s="60" t="n"/>
      <c r="BV344" s="200">
        <f>IFERROR(BV338/BV343,"n/a")</f>
        <v/>
      </c>
      <c r="BW344" s="60" t="n"/>
      <c r="BX344" s="60" t="n"/>
      <c r="BY344" s="60" t="n"/>
      <c r="BZ344" s="60" t="n"/>
      <c r="CA344" s="200">
        <f>IFERROR(CA338/CA343,"n/a")</f>
        <v/>
      </c>
      <c r="CB344" s="200">
        <f>IFERROR(CB338/CB343,"n/a")</f>
        <v/>
      </c>
      <c r="CC344" s="200">
        <f>IFERROR(CC338/CC343,"n/a")</f>
        <v/>
      </c>
      <c r="CD344" s="200">
        <f>IFERROR(CD338/CD343,"n/a")</f>
        <v/>
      </c>
      <c r="CE344" s="200">
        <f>IFERROR(CE338/CE343,"n/a")</f>
        <v/>
      </c>
      <c r="CF344" s="6" t="n"/>
      <c r="CH344" s="39">
        <f>IFERROR(AVERAGE(CA344,CB344,CC344,CD344,CE344),"n/m")</f>
        <v/>
      </c>
      <c r="CI344" s="39">
        <f>IFERROR(AVERAGE(BB344,BG344,BL344,BQ344,BV344),"n/m")</f>
        <v/>
      </c>
      <c r="CJ344" s="39">
        <f>IFERROR(AVERAGE(AC344,AH344,AM344,AR344,AW344,BB344,BG344,BL344,BQ344,BV344),"n/m")</f>
        <v/>
      </c>
      <c r="CK344" s="39">
        <f>IFERROR(AVERAGE(C344,D344,E344,F344,G344,H344,I344,N344,S344,X344,AC344,AH344,AM344,AR344,AW344,BB344,BG344,BL344,BQ344,BV344),"n/m")</f>
        <v/>
      </c>
    </row>
    <row r="345" ht="15" customHeight="1">
      <c r="B345" s="26" t="inlineStr">
        <is>
          <t>Return on Equity (ROE)</t>
        </is>
      </c>
      <c r="CF345" s="6" t="n"/>
    </row>
    <row r="346" ht="15" customHeight="1">
      <c r="B346" s="26" t="inlineStr">
        <is>
          <t>Net income</t>
        </is>
      </c>
      <c r="C346" s="194">
        <f>C122</f>
        <v/>
      </c>
      <c r="D346" s="194">
        <f>D122</f>
        <v/>
      </c>
      <c r="E346" s="194">
        <f>E122</f>
        <v/>
      </c>
      <c r="F346" s="194">
        <f>F122</f>
        <v/>
      </c>
      <c r="G346" s="194">
        <f>G122</f>
        <v/>
      </c>
      <c r="H346" s="194">
        <f>H122</f>
        <v/>
      </c>
      <c r="I346" s="194">
        <f>I122</f>
        <v/>
      </c>
      <c r="J346" s="36" t="n"/>
      <c r="K346" s="36" t="n"/>
      <c r="L346" s="36" t="n"/>
      <c r="M346" s="36" t="n"/>
      <c r="N346" s="194">
        <f>N122</f>
        <v/>
      </c>
      <c r="O346" s="36" t="n"/>
      <c r="P346" s="36" t="n"/>
      <c r="Q346" s="36" t="n"/>
      <c r="R346" s="36" t="n"/>
      <c r="S346" s="194">
        <f>S122</f>
        <v/>
      </c>
      <c r="T346" s="36" t="n"/>
      <c r="U346" s="36" t="n"/>
      <c r="V346" s="36" t="n"/>
      <c r="W346" s="36" t="n"/>
      <c r="X346" s="194">
        <f>X122</f>
        <v/>
      </c>
      <c r="Y346" s="36" t="n"/>
      <c r="Z346" s="36" t="n"/>
      <c r="AA346" s="36" t="n"/>
      <c r="AB346" s="36" t="n"/>
      <c r="AC346" s="194">
        <f>AC122</f>
        <v/>
      </c>
      <c r="AD346" s="36" t="n"/>
      <c r="AE346" s="36" t="n"/>
      <c r="AF346" s="36" t="n"/>
      <c r="AG346" s="36" t="n"/>
      <c r="AH346" s="194">
        <f>AH122</f>
        <v/>
      </c>
      <c r="AI346" s="36" t="n"/>
      <c r="AJ346" s="36" t="n"/>
      <c r="AK346" s="36" t="n"/>
      <c r="AL346" s="36" t="n"/>
      <c r="AM346" s="194">
        <f>AM122</f>
        <v/>
      </c>
      <c r="AN346" s="36" t="n"/>
      <c r="AO346" s="36" t="n"/>
      <c r="AP346" s="36" t="n"/>
      <c r="AQ346" s="36" t="n"/>
      <c r="AR346" s="194">
        <f>AR122</f>
        <v/>
      </c>
      <c r="AS346" s="36" t="n"/>
      <c r="AT346" s="36" t="n"/>
      <c r="AU346" s="36" t="n"/>
      <c r="AV346" s="36" t="n"/>
      <c r="AW346" s="194">
        <f>AW122</f>
        <v/>
      </c>
      <c r="AX346" s="36" t="n"/>
      <c r="AY346" s="36" t="n"/>
      <c r="AZ346" s="36" t="n"/>
      <c r="BA346" s="36" t="n"/>
      <c r="BB346" s="194">
        <f>BB122</f>
        <v/>
      </c>
      <c r="BC346" s="36" t="n"/>
      <c r="BD346" s="36" t="n"/>
      <c r="BE346" s="36" t="n"/>
      <c r="BF346" s="36" t="n"/>
      <c r="BG346" s="194">
        <f>BG122</f>
        <v/>
      </c>
      <c r="BH346" s="36" t="n"/>
      <c r="BI346" s="36" t="n"/>
      <c r="BJ346" s="36" t="n"/>
      <c r="BK346" s="36" t="n"/>
      <c r="BL346" s="194">
        <f>BL122</f>
        <v/>
      </c>
      <c r="BM346" s="36" t="n"/>
      <c r="BN346" s="36" t="n"/>
      <c r="BO346" s="36" t="n"/>
      <c r="BP346" s="36" t="n"/>
      <c r="BQ346" s="194">
        <f>BQ122</f>
        <v/>
      </c>
      <c r="BR346" s="36" t="n"/>
      <c r="BS346" s="36" t="n"/>
      <c r="BT346" s="36" t="n"/>
      <c r="BU346" s="36" t="n"/>
      <c r="BV346" s="194">
        <f>BV122</f>
        <v/>
      </c>
      <c r="BW346" s="36" t="n"/>
      <c r="BX346" s="36" t="n"/>
      <c r="BY346" s="37" t="n"/>
      <c r="BZ346" s="37" t="n"/>
      <c r="CA346" s="176">
        <f>CA122</f>
        <v/>
      </c>
      <c r="CB346" s="176">
        <f>CB122</f>
        <v/>
      </c>
      <c r="CC346" s="176">
        <f>CC122</f>
        <v/>
      </c>
      <c r="CD346" s="176">
        <f>CD122</f>
        <v/>
      </c>
      <c r="CE346" s="176">
        <f>CE122</f>
        <v/>
      </c>
      <c r="CF346" s="20" t="n"/>
    </row>
    <row r="347" ht="15" customHeight="1">
      <c r="B347" s="26" t="inlineStr">
        <is>
          <t>Shareholders' equity</t>
        </is>
      </c>
      <c r="C347" s="194">
        <f>C271</f>
        <v/>
      </c>
      <c r="D347" s="194">
        <f>D271</f>
        <v/>
      </c>
      <c r="E347" s="194">
        <f>E271</f>
        <v/>
      </c>
      <c r="F347" s="194">
        <f>F271</f>
        <v/>
      </c>
      <c r="G347" s="194">
        <f>G271</f>
        <v/>
      </c>
      <c r="H347" s="194">
        <f>H271</f>
        <v/>
      </c>
      <c r="I347" s="194">
        <f>I271</f>
        <v/>
      </c>
      <c r="J347" s="36" t="n"/>
      <c r="K347" s="36" t="n"/>
      <c r="L347" s="36" t="n"/>
      <c r="M347" s="36" t="n"/>
      <c r="N347" s="194">
        <f>N271</f>
        <v/>
      </c>
      <c r="O347" s="36" t="n"/>
      <c r="P347" s="36" t="n"/>
      <c r="Q347" s="36" t="n"/>
      <c r="R347" s="36" t="n"/>
      <c r="S347" s="194">
        <f>S271</f>
        <v/>
      </c>
      <c r="T347" s="36" t="n"/>
      <c r="U347" s="36" t="n"/>
      <c r="V347" s="36" t="n"/>
      <c r="W347" s="36" t="n"/>
      <c r="X347" s="194">
        <f>X271</f>
        <v/>
      </c>
      <c r="Y347" s="36" t="n"/>
      <c r="Z347" s="36" t="n"/>
      <c r="AA347" s="36" t="n"/>
      <c r="AB347" s="36" t="n"/>
      <c r="AC347" s="194">
        <f>AC271</f>
        <v/>
      </c>
      <c r="AD347" s="36" t="n"/>
      <c r="AE347" s="36" t="n"/>
      <c r="AF347" s="36" t="n"/>
      <c r="AG347" s="36" t="n"/>
      <c r="AH347" s="194">
        <f>AH271</f>
        <v/>
      </c>
      <c r="AI347" s="36" t="n"/>
      <c r="AJ347" s="36" t="n"/>
      <c r="AK347" s="36" t="n"/>
      <c r="AL347" s="36" t="n"/>
      <c r="AM347" s="194">
        <f>AM271</f>
        <v/>
      </c>
      <c r="AN347" s="36" t="n"/>
      <c r="AO347" s="36" t="n"/>
      <c r="AP347" s="36" t="n"/>
      <c r="AQ347" s="36" t="n"/>
      <c r="AR347" s="194">
        <f>AR271</f>
        <v/>
      </c>
      <c r="AS347" s="36" t="n"/>
      <c r="AT347" s="36" t="n"/>
      <c r="AU347" s="36" t="n"/>
      <c r="AV347" s="36" t="n"/>
      <c r="AW347" s="194">
        <f>AW271</f>
        <v/>
      </c>
      <c r="AX347" s="36" t="n"/>
      <c r="AY347" s="36" t="n"/>
      <c r="AZ347" s="36" t="n"/>
      <c r="BA347" s="36" t="n"/>
      <c r="BB347" s="194">
        <f>BB271</f>
        <v/>
      </c>
      <c r="BC347" s="36" t="n"/>
      <c r="BD347" s="36" t="n"/>
      <c r="BE347" s="36" t="n"/>
      <c r="BF347" s="36" t="n"/>
      <c r="BG347" s="194">
        <f>BG271</f>
        <v/>
      </c>
      <c r="BH347" s="36" t="n"/>
      <c r="BI347" s="36" t="n"/>
      <c r="BJ347" s="36" t="n"/>
      <c r="BK347" s="36" t="n"/>
      <c r="BL347" s="194">
        <f>BL271</f>
        <v/>
      </c>
      <c r="BM347" s="36" t="n"/>
      <c r="BN347" s="36" t="n"/>
      <c r="BO347" s="36" t="n"/>
      <c r="BP347" s="36" t="n"/>
      <c r="BQ347" s="194">
        <f>BQ271</f>
        <v/>
      </c>
      <c r="BR347" s="36" t="n"/>
      <c r="BS347" s="36" t="n"/>
      <c r="BT347" s="36" t="n"/>
      <c r="BU347" s="36" t="n"/>
      <c r="BV347" s="194">
        <f>BV271</f>
        <v/>
      </c>
      <c r="BW347" s="36" t="n"/>
      <c r="BX347" s="36" t="n"/>
      <c r="BY347" s="37" t="n"/>
      <c r="BZ347" s="37" t="n"/>
      <c r="CA347" s="176">
        <f>CA271</f>
        <v/>
      </c>
      <c r="CB347" s="176">
        <f>CB271</f>
        <v/>
      </c>
      <c r="CC347" s="176">
        <f>CC271</f>
        <v/>
      </c>
      <c r="CD347" s="176">
        <f>CD271</f>
        <v/>
      </c>
      <c r="CE347" s="176">
        <f>CE271</f>
        <v/>
      </c>
      <c r="CF347" s="20" t="n"/>
    </row>
    <row r="348" ht="15" customHeight="1">
      <c r="B348" s="26" t="inlineStr">
        <is>
          <t>ROE = Net income / Equity</t>
        </is>
      </c>
      <c r="C348" s="190">
        <f>IFERROR(C346/C347,"n/a")</f>
        <v/>
      </c>
      <c r="D348" s="190">
        <f>IFERROR(D346/D347,"n/a")</f>
        <v/>
      </c>
      <c r="E348" s="190">
        <f>IFERROR(E346/E347,"n/a")</f>
        <v/>
      </c>
      <c r="F348" s="190">
        <f>IFERROR(F346/F347,"n/a")</f>
        <v/>
      </c>
      <c r="G348" s="190">
        <f>IFERROR(G346/G347,"n/a")</f>
        <v/>
      </c>
      <c r="H348" s="190">
        <f>IFERROR(H346/H347,"n/a")</f>
        <v/>
      </c>
      <c r="I348" s="190">
        <f>IFERROR(I346/I347,"n/a")</f>
        <v/>
      </c>
      <c r="J348" s="36" t="n"/>
      <c r="K348" s="36" t="n"/>
      <c r="L348" s="36" t="n"/>
      <c r="M348" s="36" t="n"/>
      <c r="N348" s="190">
        <f>IFERROR(N346/N347,"n/a")</f>
        <v/>
      </c>
      <c r="O348" s="36" t="n"/>
      <c r="P348" s="36" t="n"/>
      <c r="Q348" s="36" t="n"/>
      <c r="R348" s="36" t="n"/>
      <c r="S348" s="190">
        <f>IFERROR(S346/S347,"n/a")</f>
        <v/>
      </c>
      <c r="T348" s="36" t="n"/>
      <c r="U348" s="36" t="n"/>
      <c r="V348" s="36" t="n"/>
      <c r="W348" s="36" t="n"/>
      <c r="X348" s="190">
        <f>IFERROR(X346/X347,"n/a")</f>
        <v/>
      </c>
      <c r="Y348" s="36" t="n"/>
      <c r="Z348" s="36" t="n"/>
      <c r="AA348" s="36" t="n"/>
      <c r="AB348" s="36" t="n"/>
      <c r="AC348" s="190">
        <f>IFERROR(AC346/AC347,"n/a")</f>
        <v/>
      </c>
      <c r="AD348" s="36" t="n"/>
      <c r="AE348" s="36" t="n"/>
      <c r="AF348" s="36" t="n"/>
      <c r="AG348" s="36" t="n"/>
      <c r="AH348" s="190">
        <f>IFERROR(AH346/AH347,"n/a")</f>
        <v/>
      </c>
      <c r="AI348" s="36" t="n"/>
      <c r="AJ348" s="36" t="n"/>
      <c r="AK348" s="36" t="n"/>
      <c r="AL348" s="36" t="n"/>
      <c r="AM348" s="190">
        <f>IFERROR(AM346/AM347,"n/a")</f>
        <v/>
      </c>
      <c r="AN348" s="36" t="n"/>
      <c r="AO348" s="36" t="n"/>
      <c r="AP348" s="36" t="n"/>
      <c r="AQ348" s="36" t="n"/>
      <c r="AR348" s="190">
        <f>IFERROR(AR346/AR347,"n/a")</f>
        <v/>
      </c>
      <c r="AS348" s="36" t="n"/>
      <c r="AT348" s="36" t="n"/>
      <c r="AU348" s="36" t="n"/>
      <c r="AV348" s="36" t="n"/>
      <c r="AW348" s="190">
        <f>IFERROR(AW346/AW347,"n/a")</f>
        <v/>
      </c>
      <c r="AX348" s="36" t="n"/>
      <c r="AY348" s="36" t="n"/>
      <c r="AZ348" s="36" t="n"/>
      <c r="BA348" s="36" t="n"/>
      <c r="BB348" s="190">
        <f>IFERROR(BB346/BB347,"n/a")</f>
        <v/>
      </c>
      <c r="BC348" s="36" t="n"/>
      <c r="BD348" s="36" t="n"/>
      <c r="BE348" s="36" t="n"/>
      <c r="BF348" s="36" t="n"/>
      <c r="BG348" s="190">
        <f>IFERROR(BG346/BG347,"n/a")</f>
        <v/>
      </c>
      <c r="BH348" s="36" t="n"/>
      <c r="BI348" s="36" t="n"/>
      <c r="BJ348" s="36" t="n"/>
      <c r="BK348" s="36" t="n"/>
      <c r="BL348" s="190">
        <f>IFERROR(BL346/BL347,"n/a")</f>
        <v/>
      </c>
      <c r="BM348" s="36" t="n"/>
      <c r="BN348" s="36" t="n"/>
      <c r="BO348" s="36" t="n"/>
      <c r="BP348" s="36" t="n"/>
      <c r="BQ348" s="190">
        <f>IFERROR(BQ346/BQ347,"n/a")</f>
        <v/>
      </c>
      <c r="BR348" s="36" t="n"/>
      <c r="BS348" s="36" t="n"/>
      <c r="BT348" s="36" t="n"/>
      <c r="BU348" s="36" t="n"/>
      <c r="BV348" s="190">
        <f>IFERROR(BV346/BV347,"n/a")</f>
        <v/>
      </c>
      <c r="BW348" s="36" t="n"/>
      <c r="BX348" s="36" t="n"/>
      <c r="BY348" s="37" t="n"/>
      <c r="BZ348" s="37" t="n"/>
      <c r="CA348" s="181">
        <f>IFERROR(CA346/CA347,"n/a")</f>
        <v/>
      </c>
      <c r="CB348" s="181">
        <f>IFERROR(CB346/CB347,"n/a")</f>
        <v/>
      </c>
      <c r="CC348" s="181">
        <f>IFERROR(CC346/CC347,"n/a")</f>
        <v/>
      </c>
      <c r="CD348" s="181">
        <f>IFERROR(CD346/CD347,"n/a")</f>
        <v/>
      </c>
      <c r="CE348" s="181">
        <f>IFERROR(CE346/CE347,"n/a")</f>
        <v/>
      </c>
      <c r="CF348" s="20" t="n"/>
      <c r="CH348" s="39">
        <f>IFERROR(AVERAGE(CA348,CB348,CC348,CD348,CE348),"n/m")</f>
        <v/>
      </c>
      <c r="CI348" s="39">
        <f>IFERROR(AVERAGE(BB348,BG348,BL348,BQ348,BV348),"n/m")</f>
        <v/>
      </c>
      <c r="CJ348" s="39">
        <f>IFERROR(AVERAGE(AC348,AH348,AM348,AR348,AW348,BB348,BG348,BL348,BQ348,BV348),"n/m")</f>
        <v/>
      </c>
      <c r="CK348" s="39">
        <f>IFERROR(AVERAGE(C348,D348,E348,F348,G348,H348,I348,N348,S348,X348,AC348,AH348,AM348,AR348,AW348,BB348,BG348,BL348,BQ348,BV348),"n/m")</f>
        <v/>
      </c>
    </row>
    <row r="349" ht="15" customHeight="1">
      <c r="B349" s="26" t="inlineStr">
        <is>
          <t>Leverage</t>
        </is>
      </c>
      <c r="CF349" s="6" t="n"/>
    </row>
    <row r="350" ht="15" customHeight="1">
      <c r="B350" s="26" t="inlineStr">
        <is>
          <t>Net debt = Total debt − cash &amp; short-term investments (negative = net cash)</t>
        </is>
      </c>
      <c r="C350" s="194">
        <f>C331</f>
        <v/>
      </c>
      <c r="D350" s="194">
        <f>D331</f>
        <v/>
      </c>
      <c r="E350" s="194">
        <f>E331</f>
        <v/>
      </c>
      <c r="F350" s="194">
        <f>F331</f>
        <v/>
      </c>
      <c r="G350" s="194">
        <f>G331</f>
        <v/>
      </c>
      <c r="H350" s="194">
        <f>H331</f>
        <v/>
      </c>
      <c r="I350" s="194">
        <f>I331</f>
        <v/>
      </c>
      <c r="J350" s="36" t="n"/>
      <c r="K350" s="36" t="n"/>
      <c r="L350" s="36" t="n"/>
      <c r="M350" s="36" t="n"/>
      <c r="N350" s="194">
        <f>N331</f>
        <v/>
      </c>
      <c r="O350" s="36" t="n"/>
      <c r="P350" s="36" t="n"/>
      <c r="Q350" s="36" t="n"/>
      <c r="R350" s="36" t="n"/>
      <c r="S350" s="194">
        <f>S331</f>
        <v/>
      </c>
      <c r="T350" s="36" t="n"/>
      <c r="U350" s="36" t="n"/>
      <c r="V350" s="36" t="n"/>
      <c r="W350" s="36" t="n"/>
      <c r="X350" s="194">
        <f>X331</f>
        <v/>
      </c>
      <c r="Y350" s="36" t="n"/>
      <c r="Z350" s="36" t="n"/>
      <c r="AA350" s="36" t="n"/>
      <c r="AB350" s="36" t="n"/>
      <c r="AC350" s="194">
        <f>AC331</f>
        <v/>
      </c>
      <c r="AD350" s="36" t="n"/>
      <c r="AE350" s="36" t="n"/>
      <c r="AF350" s="36" t="n"/>
      <c r="AG350" s="36" t="n"/>
      <c r="AH350" s="194">
        <f>AH331</f>
        <v/>
      </c>
      <c r="AI350" s="36" t="n"/>
      <c r="AJ350" s="36" t="n"/>
      <c r="AK350" s="36" t="n"/>
      <c r="AL350" s="36" t="n"/>
      <c r="AM350" s="194">
        <f>AM331</f>
        <v/>
      </c>
      <c r="AN350" s="36" t="n"/>
      <c r="AO350" s="36" t="n"/>
      <c r="AP350" s="36" t="n"/>
      <c r="AQ350" s="36" t="n"/>
      <c r="AR350" s="194">
        <f>AR331</f>
        <v/>
      </c>
      <c r="AS350" s="36" t="n"/>
      <c r="AT350" s="36" t="n"/>
      <c r="AU350" s="36" t="n"/>
      <c r="AV350" s="36" t="n"/>
      <c r="AW350" s="194">
        <f>AW331</f>
        <v/>
      </c>
      <c r="AX350" s="36" t="n"/>
      <c r="AY350" s="36" t="n"/>
      <c r="AZ350" s="36" t="n"/>
      <c r="BA350" s="36" t="n"/>
      <c r="BB350" s="194">
        <f>BB331</f>
        <v/>
      </c>
      <c r="BC350" s="36" t="n"/>
      <c r="BD350" s="36" t="n"/>
      <c r="BE350" s="36" t="n"/>
      <c r="BF350" s="36" t="n"/>
      <c r="BG350" s="194">
        <f>BG331</f>
        <v/>
      </c>
      <c r="BH350" s="36" t="n"/>
      <c r="BI350" s="36" t="n"/>
      <c r="BJ350" s="36" t="n"/>
      <c r="BK350" s="36" t="n"/>
      <c r="BL350" s="194">
        <f>BL331</f>
        <v/>
      </c>
      <c r="BM350" s="36" t="n"/>
      <c r="BN350" s="36" t="n"/>
      <c r="BO350" s="36" t="n"/>
      <c r="BP350" s="36" t="n"/>
      <c r="BQ350" s="194">
        <f>BQ331</f>
        <v/>
      </c>
      <c r="BR350" s="36" t="n"/>
      <c r="BS350" s="36" t="n"/>
      <c r="BT350" s="36" t="n"/>
      <c r="BU350" s="36" t="n"/>
      <c r="BV350" s="194">
        <f>BV331</f>
        <v/>
      </c>
      <c r="BW350" s="36" t="n"/>
      <c r="BX350" s="36" t="n"/>
      <c r="BY350" s="37" t="n"/>
      <c r="BZ350" s="37" t="n"/>
      <c r="CA350" s="176">
        <f>CA331</f>
        <v/>
      </c>
      <c r="CB350" s="176">
        <f>CB331</f>
        <v/>
      </c>
      <c r="CC350" s="176">
        <f>CC331</f>
        <v/>
      </c>
      <c r="CD350" s="176">
        <f>CD331</f>
        <v/>
      </c>
      <c r="CE350" s="176">
        <f>CE331</f>
        <v/>
      </c>
      <c r="CF350" s="20" t="n"/>
    </row>
    <row r="351" ht="15" customHeight="1">
      <c r="B351" s="26" t="inlineStr">
        <is>
          <t>Adjusted EBITDA (model)</t>
        </is>
      </c>
      <c r="C351" s="194">
        <f>C157</f>
        <v/>
      </c>
      <c r="D351" s="194">
        <f>D157</f>
        <v/>
      </c>
      <c r="E351" s="194">
        <f>E157</f>
        <v/>
      </c>
      <c r="F351" s="194">
        <f>F157</f>
        <v/>
      </c>
      <c r="G351" s="194">
        <f>G157</f>
        <v/>
      </c>
      <c r="H351" s="194">
        <f>H157</f>
        <v/>
      </c>
      <c r="I351" s="194">
        <f>I157</f>
        <v/>
      </c>
      <c r="J351" s="36" t="n"/>
      <c r="K351" s="36" t="n"/>
      <c r="L351" s="36" t="n"/>
      <c r="M351" s="36" t="n"/>
      <c r="N351" s="194">
        <f>N157</f>
        <v/>
      </c>
      <c r="O351" s="36" t="n"/>
      <c r="P351" s="36" t="n"/>
      <c r="Q351" s="36" t="n"/>
      <c r="R351" s="36" t="n"/>
      <c r="S351" s="194">
        <f>S157</f>
        <v/>
      </c>
      <c r="T351" s="36" t="n"/>
      <c r="U351" s="36" t="n"/>
      <c r="V351" s="36" t="n"/>
      <c r="W351" s="36" t="n"/>
      <c r="X351" s="194">
        <f>X157</f>
        <v/>
      </c>
      <c r="Y351" s="36" t="n"/>
      <c r="Z351" s="36" t="n"/>
      <c r="AA351" s="36" t="n"/>
      <c r="AB351" s="36" t="n"/>
      <c r="AC351" s="194">
        <f>AC157</f>
        <v/>
      </c>
      <c r="AD351" s="36" t="n"/>
      <c r="AE351" s="36" t="n"/>
      <c r="AF351" s="36" t="n"/>
      <c r="AG351" s="36" t="n"/>
      <c r="AH351" s="194">
        <f>AH157</f>
        <v/>
      </c>
      <c r="AI351" s="36" t="n"/>
      <c r="AJ351" s="36" t="n"/>
      <c r="AK351" s="36" t="n"/>
      <c r="AL351" s="36" t="n"/>
      <c r="AM351" s="194">
        <f>AM157</f>
        <v/>
      </c>
      <c r="AN351" s="36" t="n"/>
      <c r="AO351" s="36" t="n"/>
      <c r="AP351" s="36" t="n"/>
      <c r="AQ351" s="36" t="n"/>
      <c r="AR351" s="194">
        <f>AR157</f>
        <v/>
      </c>
      <c r="AS351" s="36" t="n"/>
      <c r="AT351" s="36" t="n"/>
      <c r="AU351" s="36" t="n"/>
      <c r="AV351" s="36" t="n"/>
      <c r="AW351" s="194">
        <f>AW157</f>
        <v/>
      </c>
      <c r="AX351" s="36" t="n"/>
      <c r="AY351" s="36" t="n"/>
      <c r="AZ351" s="36" t="n"/>
      <c r="BA351" s="36" t="n"/>
      <c r="BB351" s="194">
        <f>BB157</f>
        <v/>
      </c>
      <c r="BC351" s="36" t="n"/>
      <c r="BD351" s="36" t="n"/>
      <c r="BE351" s="36" t="n"/>
      <c r="BF351" s="36" t="n"/>
      <c r="BG351" s="194">
        <f>BG157</f>
        <v/>
      </c>
      <c r="BH351" s="36" t="n"/>
      <c r="BI351" s="36" t="n"/>
      <c r="BJ351" s="36" t="n"/>
      <c r="BK351" s="36" t="n"/>
      <c r="BL351" s="194">
        <f>BL157</f>
        <v/>
      </c>
      <c r="BM351" s="36" t="n"/>
      <c r="BN351" s="36" t="n"/>
      <c r="BO351" s="36" t="n"/>
      <c r="BP351" s="36" t="n"/>
      <c r="BQ351" s="194">
        <f>BQ157</f>
        <v/>
      </c>
      <c r="BR351" s="36" t="n"/>
      <c r="BS351" s="36" t="n"/>
      <c r="BT351" s="36" t="n"/>
      <c r="BU351" s="36" t="n"/>
      <c r="BV351" s="194">
        <f>BV157</f>
        <v/>
      </c>
      <c r="BW351" s="36" t="n"/>
      <c r="BX351" s="36" t="n"/>
      <c r="BY351" s="37" t="n"/>
      <c r="BZ351" s="37" t="n"/>
      <c r="CA351" s="176">
        <f>CA157</f>
        <v/>
      </c>
      <c r="CB351" s="176">
        <f>CB157</f>
        <v/>
      </c>
      <c r="CC351" s="176">
        <f>CC157</f>
        <v/>
      </c>
      <c r="CD351" s="176">
        <f>CD157</f>
        <v/>
      </c>
      <c r="CE351" s="176">
        <f>CE157</f>
        <v/>
      </c>
      <c r="CF351" s="20" t="n"/>
    </row>
    <row r="352" ht="15" customHeight="1">
      <c r="B352" s="59" t="inlineStr">
        <is>
          <t>Net debt / Adjusted EBITDA (x)</t>
        </is>
      </c>
      <c r="C352" s="217">
        <f>IFERROR(C350/C351,"n/a")</f>
        <v/>
      </c>
      <c r="D352" s="217">
        <f>IFERROR(D350/D351,"n/a")</f>
        <v/>
      </c>
      <c r="E352" s="217">
        <f>IFERROR(E350/E351,"n/a")</f>
        <v/>
      </c>
      <c r="F352" s="217">
        <f>IFERROR(F350/F351,"n/a")</f>
        <v/>
      </c>
      <c r="G352" s="217">
        <f>IFERROR(G350/G351,"n/a")</f>
        <v/>
      </c>
      <c r="H352" s="217">
        <f>IFERROR(H350/H351,"n/a")</f>
        <v/>
      </c>
      <c r="I352" s="217">
        <f>IFERROR(I350/I351,"n/a")</f>
        <v/>
      </c>
      <c r="J352" s="60" t="n"/>
      <c r="K352" s="60" t="n"/>
      <c r="L352" s="60" t="n"/>
      <c r="M352" s="60" t="n"/>
      <c r="N352" s="217">
        <f>IFERROR(N350/N351,"n/a")</f>
        <v/>
      </c>
      <c r="O352" s="60" t="n"/>
      <c r="P352" s="60" t="n"/>
      <c r="Q352" s="60" t="n"/>
      <c r="R352" s="60" t="n"/>
      <c r="S352" s="217">
        <f>IFERROR(S350/S351,"n/a")</f>
        <v/>
      </c>
      <c r="T352" s="60" t="n"/>
      <c r="U352" s="60" t="n"/>
      <c r="V352" s="60" t="n"/>
      <c r="W352" s="60" t="n"/>
      <c r="X352" s="217">
        <f>IFERROR(X350/X351,"n/a")</f>
        <v/>
      </c>
      <c r="Y352" s="60" t="n"/>
      <c r="Z352" s="60" t="n"/>
      <c r="AA352" s="60" t="n"/>
      <c r="AB352" s="60" t="n"/>
      <c r="AC352" s="217">
        <f>IFERROR(AC350/AC351,"n/a")</f>
        <v/>
      </c>
      <c r="AD352" s="60" t="n"/>
      <c r="AE352" s="60" t="n"/>
      <c r="AF352" s="60" t="n"/>
      <c r="AG352" s="60" t="n"/>
      <c r="AH352" s="217">
        <f>IFERROR(AH350/AH351,"n/a")</f>
        <v/>
      </c>
      <c r="AI352" s="60" t="n"/>
      <c r="AJ352" s="60" t="n"/>
      <c r="AK352" s="60" t="n"/>
      <c r="AL352" s="60" t="n"/>
      <c r="AM352" s="217">
        <f>IFERROR(AM350/AM351,"n/a")</f>
        <v/>
      </c>
      <c r="AN352" s="60" t="n"/>
      <c r="AO352" s="60" t="n"/>
      <c r="AP352" s="60" t="n"/>
      <c r="AQ352" s="60" t="n"/>
      <c r="AR352" s="217">
        <f>IFERROR(AR350/AR351,"n/a")</f>
        <v/>
      </c>
      <c r="AS352" s="60" t="n"/>
      <c r="AT352" s="60" t="n"/>
      <c r="AU352" s="60" t="n"/>
      <c r="AV352" s="60" t="n"/>
      <c r="AW352" s="217">
        <f>IFERROR(AW350/AW351,"n/a")</f>
        <v/>
      </c>
      <c r="AX352" s="60" t="n"/>
      <c r="AY352" s="60" t="n"/>
      <c r="AZ352" s="60" t="n"/>
      <c r="BA352" s="60" t="n"/>
      <c r="BB352" s="217">
        <f>IFERROR(BB350/BB351,"n/a")</f>
        <v/>
      </c>
      <c r="BC352" s="60" t="n"/>
      <c r="BD352" s="60" t="n"/>
      <c r="BE352" s="60" t="n"/>
      <c r="BF352" s="60" t="n"/>
      <c r="BG352" s="217">
        <f>IFERROR(BG350/BG351,"n/a")</f>
        <v/>
      </c>
      <c r="BH352" s="60" t="n"/>
      <c r="BI352" s="60" t="n"/>
      <c r="BJ352" s="60" t="n"/>
      <c r="BK352" s="60" t="n"/>
      <c r="BL352" s="217">
        <f>IFERROR(BL350/BL351,"n/a")</f>
        <v/>
      </c>
      <c r="BM352" s="60" t="n"/>
      <c r="BN352" s="60" t="n"/>
      <c r="BO352" s="60" t="n"/>
      <c r="BP352" s="60" t="n"/>
      <c r="BQ352" s="217">
        <f>IFERROR(BQ350/BQ351,"n/a")</f>
        <v/>
      </c>
      <c r="BR352" s="60" t="n"/>
      <c r="BS352" s="60" t="n"/>
      <c r="BT352" s="60" t="n"/>
      <c r="BU352" s="60" t="n"/>
      <c r="BV352" s="217">
        <f>IFERROR(BV350/BV351,"n/a")</f>
        <v/>
      </c>
      <c r="BW352" s="60" t="n"/>
      <c r="BX352" s="60" t="n"/>
      <c r="BY352" s="60" t="n"/>
      <c r="BZ352" s="60" t="n"/>
      <c r="CA352" s="217">
        <f>IFERROR(CA350/CA351,"n/a")</f>
        <v/>
      </c>
      <c r="CB352" s="217">
        <f>IFERROR(CB350/CB351,"n/a")</f>
        <v/>
      </c>
      <c r="CC352" s="217">
        <f>IFERROR(CC350/CC351,"n/a")</f>
        <v/>
      </c>
      <c r="CD352" s="217">
        <f>IFERROR(CD350/CD351,"n/a")</f>
        <v/>
      </c>
      <c r="CE352" s="217">
        <f>IFERROR(CE350/CE351,"n/a")</f>
        <v/>
      </c>
      <c r="CF352" s="6" t="n"/>
      <c r="CH352" s="39">
        <f>IFERROR(AVERAGE(CA352,CB352,CC352,CD352,CE352),"n/m")</f>
        <v/>
      </c>
      <c r="CI352" s="39">
        <f>IFERROR(AVERAGE(BB352,BG352,BL352,BQ352,BV352),"n/m")</f>
        <v/>
      </c>
      <c r="CJ352" s="39">
        <f>IFERROR(AVERAGE(AC352,AH352,AM352,AR352,AW352,BB352,BG352,BL352,BQ352,BV352),"n/m")</f>
        <v/>
      </c>
      <c r="CK352" s="39">
        <f>IFERROR(AVERAGE(C352,D352,E352,F352,G352,H352,I352,N352,S352,X352,AC352,AH352,AM352,AR352,AW352,BB352,BG352,BL352,BQ352,BV352),"n/m")</f>
        <v/>
      </c>
    </row>
    <row r="353" ht="15" customHeight="1"/>
    <row r="354" ht="15" customHeight="1">
      <c r="B354" s="11" t="inlineStr">
        <is>
          <t>VALUATION</t>
        </is>
      </c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  <c r="AA354" s="11" t="n"/>
      <c r="AB354" s="11" t="n"/>
      <c r="AC354" s="11" t="n"/>
      <c r="AD354" s="11" t="n"/>
      <c r="AE354" s="11" t="n"/>
      <c r="AF354" s="11" t="n"/>
      <c r="AG354" s="11" t="n"/>
      <c r="AH354" s="11" t="n"/>
      <c r="AI354" s="11" t="n"/>
      <c r="AJ354" s="11" t="n"/>
      <c r="AK354" s="11" t="n"/>
      <c r="AL354" s="11" t="n"/>
      <c r="AM354" s="11" t="n"/>
      <c r="AN354" s="11" t="n"/>
      <c r="AO354" s="11" t="n"/>
      <c r="AP354" s="11" t="n"/>
      <c r="AQ354" s="11" t="n"/>
      <c r="AR354" s="11" t="n"/>
      <c r="AS354" s="11" t="n"/>
      <c r="AT354" s="11" t="n"/>
      <c r="AU354" s="11" t="n"/>
      <c r="AV354" s="11" t="n"/>
      <c r="AW354" s="11" t="n"/>
      <c r="AX354" s="11" t="n"/>
      <c r="AY354" s="11" t="n"/>
      <c r="AZ354" s="11" t="n"/>
      <c r="BA354" s="11" t="n"/>
      <c r="BB354" s="11" t="n"/>
      <c r="BC354" s="11" t="n"/>
      <c r="BD354" s="11" t="n"/>
      <c r="BE354" s="11" t="n"/>
      <c r="BF354" s="11" t="n"/>
      <c r="BG354" s="11" t="n"/>
      <c r="BH354" s="11" t="n"/>
      <c r="BI354" s="11" t="n"/>
      <c r="BJ354" s="11" t="n"/>
      <c r="BK354" s="11" t="n"/>
      <c r="BL354" s="11" t="n"/>
      <c r="BM354" s="11" t="n"/>
      <c r="BN354" s="11" t="n"/>
      <c r="BO354" s="11" t="n"/>
      <c r="BP354" s="11" t="n"/>
      <c r="BQ354" s="11" t="n"/>
      <c r="BR354" s="11" t="n"/>
      <c r="BS354" s="11" t="n"/>
      <c r="BT354" s="11" t="n"/>
      <c r="BU354" s="11" t="n"/>
      <c r="BV354" s="11" t="n"/>
      <c r="BW354" s="11" t="n"/>
      <c r="BX354" s="11" t="n"/>
      <c r="BY354" s="11" t="n"/>
      <c r="BZ354" s="11" t="n"/>
      <c r="CA354" s="11" t="n"/>
      <c r="CB354" s="11" t="n"/>
      <c r="CC354" s="11" t="n"/>
      <c r="CD354" s="11" t="n"/>
      <c r="CE354" s="11" t="n"/>
      <c r="CF354" s="11" t="inlineStr">
        <is>
          <t>VALUATION — share price input $198.39 (latest observable on EDGAR: Form 4 open-market sale 25-Aug-2026 at $198.39; update to market)</t>
        </is>
      </c>
    </row>
    <row r="355" ht="15" customHeight="1">
      <c r="B355" s="76" t="inlineStr">
        <is>
          <t>Share price ($) — current</t>
        </is>
      </c>
      <c r="C355" s="47" t="n"/>
      <c r="D355" s="47" t="n"/>
      <c r="E355" s="47" t="n"/>
      <c r="F355" s="47" t="n"/>
      <c r="G355" s="47" t="n"/>
      <c r="H355" s="47" t="n"/>
      <c r="I355" s="47" t="n"/>
      <c r="J355" s="47" t="n"/>
      <c r="K355" s="47" t="n"/>
      <c r="L355" s="47" t="n"/>
      <c r="M355" s="47" t="n"/>
      <c r="N355" s="47" t="n"/>
      <c r="O355" s="47" t="n"/>
      <c r="P355" s="47" t="n"/>
      <c r="Q355" s="47" t="n"/>
      <c r="R355" s="47" t="n"/>
      <c r="S355" s="47" t="n"/>
      <c r="T355" s="47" t="n"/>
      <c r="U355" s="47" t="n"/>
      <c r="V355" s="47" t="n"/>
      <c r="W355" s="47" t="n"/>
      <c r="X355" s="47" t="n"/>
      <c r="Y355" s="47" t="n"/>
      <c r="Z355" s="47" t="n"/>
      <c r="AA355" s="47" t="n"/>
      <c r="AB355" s="47" t="n"/>
      <c r="AC355" s="47" t="n"/>
      <c r="AD355" s="47" t="n"/>
      <c r="AE355" s="47" t="n"/>
      <c r="AF355" s="47" t="n"/>
      <c r="AG355" s="47" t="n"/>
      <c r="AH355" s="47" t="n"/>
      <c r="AI355" s="47" t="n"/>
      <c r="AJ355" s="47" t="n"/>
      <c r="AK355" s="47" t="n"/>
      <c r="AL355" s="47" t="n"/>
      <c r="AM355" s="47" t="n"/>
      <c r="AN355" s="47" t="n"/>
      <c r="AO355" s="47" t="n"/>
      <c r="AP355" s="47" t="n"/>
      <c r="AQ355" s="47" t="n"/>
      <c r="AR355" s="47" t="n"/>
      <c r="AS355" s="47" t="n"/>
      <c r="AT355" s="47" t="n"/>
      <c r="AU355" s="47" t="n"/>
      <c r="AV355" s="47" t="n"/>
      <c r="AW355" s="47" t="n"/>
      <c r="AX355" s="47" t="n"/>
      <c r="AY355" s="47" t="n"/>
      <c r="AZ355" s="47" t="n"/>
      <c r="BA355" s="47" t="n"/>
      <c r="BB355" s="47" t="n"/>
      <c r="BC355" s="47" t="n"/>
      <c r="BD355" s="47" t="n"/>
      <c r="BE355" s="47" t="n"/>
      <c r="BF355" s="47" t="n"/>
      <c r="BG355" s="47" t="n"/>
      <c r="BH355" s="47" t="n"/>
      <c r="BI355" s="47" t="n"/>
      <c r="BJ355" s="47" t="n"/>
      <c r="BK355" s="47" t="n"/>
      <c r="BL355" s="47" t="n"/>
      <c r="BM355" s="47" t="n"/>
      <c r="BN355" s="47" t="n"/>
      <c r="BO355" s="47" t="n"/>
      <c r="BP355" s="47" t="n"/>
      <c r="BQ355" s="47" t="n"/>
      <c r="BR355" s="47" t="n"/>
      <c r="BS355" s="47" t="n"/>
      <c r="BT355" s="47" t="n"/>
      <c r="BU355" s="47" t="n"/>
      <c r="BV355" s="47" t="n"/>
      <c r="BW355" s="47" t="n"/>
      <c r="BX355" s="47" t="n"/>
      <c r="BY355" s="6" t="n"/>
      <c r="BZ355" s="6" t="n"/>
      <c r="CA355" s="213" t="n">
        <v>198.39</v>
      </c>
      <c r="CB355" s="189">
        <f>CA355</f>
        <v/>
      </c>
      <c r="CC355" s="189">
        <f>CB355</f>
        <v/>
      </c>
      <c r="CD355" s="189">
        <f>CC355</f>
        <v/>
      </c>
      <c r="CE355" s="189">
        <f>CD355</f>
        <v/>
      </c>
      <c r="CF355" s="20" t="n"/>
    </row>
    <row r="356" ht="15" customHeight="1">
      <c r="B356" s="26" t="inlineStr">
        <is>
          <t>Diluted shares at period end (m)</t>
        </is>
      </c>
      <c r="C356" s="36" t="n"/>
      <c r="D356" s="3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  <c r="AP356" s="36" t="n"/>
      <c r="AQ356" s="36" t="n"/>
      <c r="AR356" s="36" t="n"/>
      <c r="AS356" s="36" t="n"/>
      <c r="AT356" s="36" t="n"/>
      <c r="AU356" s="36" t="n"/>
      <c r="AV356" s="36" t="n"/>
      <c r="AW356" s="36" t="n"/>
      <c r="AX356" s="36" t="n"/>
      <c r="AY356" s="36" t="n"/>
      <c r="AZ356" s="36" t="n"/>
      <c r="BA356" s="36" t="n"/>
      <c r="BB356" s="36" t="n"/>
      <c r="BC356" s="36" t="n"/>
      <c r="BD356" s="36" t="n"/>
      <c r="BE356" s="36" t="n"/>
      <c r="BF356" s="36" t="n"/>
      <c r="BG356" s="36" t="n"/>
      <c r="BH356" s="36" t="n"/>
      <c r="BI356" s="36" t="n"/>
      <c r="BJ356" s="36" t="n"/>
      <c r="BK356" s="36" t="n"/>
      <c r="BL356" s="36" t="n"/>
      <c r="BM356" s="36" t="n"/>
      <c r="BN356" s="36" t="n"/>
      <c r="BO356" s="36" t="n"/>
      <c r="BP356" s="36" t="n"/>
      <c r="BQ356" s="36" t="n"/>
      <c r="BR356" s="36" t="n"/>
      <c r="BS356" s="36" t="n"/>
      <c r="BT356" s="36" t="n"/>
      <c r="BU356" s="36" t="n"/>
      <c r="BV356" s="36" t="n"/>
      <c r="BW356" s="36" t="n"/>
      <c r="BX356" s="36" t="n"/>
      <c r="BY356" s="37" t="n"/>
      <c r="BZ356" s="37" t="n"/>
      <c r="CA356" s="206">
        <f>CA243+(BX130-BX129)</f>
        <v/>
      </c>
      <c r="CB356" s="206">
        <f>CB243+N(CB301)</f>
        <v/>
      </c>
      <c r="CC356" s="206">
        <f>CC243+N(CC301)</f>
        <v/>
      </c>
      <c r="CD356" s="206">
        <f>CD243+N(CD301)</f>
        <v/>
      </c>
      <c r="CE356" s="206">
        <f>CE243+N(CE301)</f>
        <v/>
      </c>
      <c r="CF356" s="20" t="n"/>
    </row>
    <row r="357" ht="15" customHeight="1">
      <c r="B357" s="26" t="inlineStr">
        <is>
          <t>Market capitalisation (USDm)</t>
        </is>
      </c>
      <c r="C357" s="36" t="n"/>
      <c r="D357" s="3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  <c r="AP357" s="36" t="n"/>
      <c r="AQ357" s="36" t="n"/>
      <c r="AR357" s="36" t="n"/>
      <c r="AS357" s="36" t="n"/>
      <c r="AT357" s="36" t="n"/>
      <c r="AU357" s="36" t="n"/>
      <c r="AV357" s="36" t="n"/>
      <c r="AW357" s="36" t="n"/>
      <c r="AX357" s="36" t="n"/>
      <c r="AY357" s="36" t="n"/>
      <c r="AZ357" s="36" t="n"/>
      <c r="BA357" s="36" t="n"/>
      <c r="BB357" s="36" t="n"/>
      <c r="BC357" s="36" t="n"/>
      <c r="BD357" s="36" t="n"/>
      <c r="BE357" s="36" t="n"/>
      <c r="BF357" s="36" t="n"/>
      <c r="BG357" s="36" t="n"/>
      <c r="BH357" s="36" t="n"/>
      <c r="BI357" s="36" t="n"/>
      <c r="BJ357" s="36" t="n"/>
      <c r="BK357" s="36" t="n"/>
      <c r="BL357" s="36" t="n"/>
      <c r="BM357" s="36" t="n"/>
      <c r="BN357" s="36" t="n"/>
      <c r="BO357" s="36" t="n"/>
      <c r="BP357" s="36" t="n"/>
      <c r="BQ357" s="36" t="n"/>
      <c r="BR357" s="36" t="n"/>
      <c r="BS357" s="36" t="n"/>
      <c r="BT357" s="36" t="n"/>
      <c r="BU357" s="36" t="n"/>
      <c r="BV357" s="36" t="n"/>
      <c r="BW357" s="36" t="n"/>
      <c r="BX357" s="36" t="n"/>
      <c r="BY357" s="37" t="n"/>
      <c r="BZ357" s="37" t="n"/>
      <c r="CA357" s="176">
        <f>IFERROR(CA355*CA356,"n/a")</f>
        <v/>
      </c>
      <c r="CB357" s="176">
        <f>IFERROR(CB355*CB356,"n/a")</f>
        <v/>
      </c>
      <c r="CC357" s="176">
        <f>IFERROR(CC355*CC356,"n/a")</f>
        <v/>
      </c>
      <c r="CD357" s="176">
        <f>IFERROR(CD355*CD356,"n/a")</f>
        <v/>
      </c>
      <c r="CE357" s="176">
        <f>IFERROR(CE355*CE356,"n/a")</f>
        <v/>
      </c>
      <c r="CF357" s="20" t="n"/>
    </row>
    <row r="358" ht="15" customHeight="1">
      <c r="B358" s="26" t="inlineStr">
        <is>
          <t>Net debt (USDm; negative = net cash)</t>
        </is>
      </c>
      <c r="C358" s="36" t="n"/>
      <c r="D358" s="3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  <c r="AP358" s="36" t="n"/>
      <c r="AQ358" s="36" t="n"/>
      <c r="AR358" s="36" t="n"/>
      <c r="AS358" s="36" t="n"/>
      <c r="AT358" s="36" t="n"/>
      <c r="AU358" s="36" t="n"/>
      <c r="AV358" s="36" t="n"/>
      <c r="AW358" s="36" t="n"/>
      <c r="AX358" s="36" t="n"/>
      <c r="AY358" s="36" t="n"/>
      <c r="AZ358" s="36" t="n"/>
      <c r="BA358" s="36" t="n"/>
      <c r="BB358" s="36" t="n"/>
      <c r="BC358" s="36" t="n"/>
      <c r="BD358" s="36" t="n"/>
      <c r="BE358" s="36" t="n"/>
      <c r="BF358" s="36" t="n"/>
      <c r="BG358" s="36" t="n"/>
      <c r="BH358" s="36" t="n"/>
      <c r="BI358" s="36" t="n"/>
      <c r="BJ358" s="36" t="n"/>
      <c r="BK358" s="36" t="n"/>
      <c r="BL358" s="36" t="n"/>
      <c r="BM358" s="36" t="n"/>
      <c r="BN358" s="36" t="n"/>
      <c r="BO358" s="36" t="n"/>
      <c r="BP358" s="36" t="n"/>
      <c r="BQ358" s="36" t="n"/>
      <c r="BR358" s="36" t="n"/>
      <c r="BS358" s="36" t="n"/>
      <c r="BT358" s="36" t="n"/>
      <c r="BU358" s="36" t="n"/>
      <c r="BV358" s="36" t="n"/>
      <c r="BW358" s="36" t="n"/>
      <c r="BX358" s="36" t="n"/>
      <c r="BY358" s="37" t="n"/>
      <c r="BZ358" s="37" t="n"/>
      <c r="CA358" s="176">
        <f>CA350</f>
        <v/>
      </c>
      <c r="CB358" s="176">
        <f>CB350</f>
        <v/>
      </c>
      <c r="CC358" s="176">
        <f>CC350</f>
        <v/>
      </c>
      <c r="CD358" s="176">
        <f>CD350</f>
        <v/>
      </c>
      <c r="CE358" s="176">
        <f>CE350</f>
        <v/>
      </c>
      <c r="CF358" s="20" t="n"/>
    </row>
    <row r="359" ht="15" customHeight="1">
      <c r="B359" s="26" t="inlineStr">
        <is>
          <t>Noncontrolling interests (USDm; none)</t>
        </is>
      </c>
      <c r="C359" s="36" t="n"/>
      <c r="D359" s="3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  <c r="AP359" s="36" t="n"/>
      <c r="AQ359" s="36" t="n"/>
      <c r="AR359" s="36" t="n"/>
      <c r="AS359" s="36" t="n"/>
      <c r="AT359" s="36" t="n"/>
      <c r="AU359" s="36" t="n"/>
      <c r="AV359" s="36" t="n"/>
      <c r="AW359" s="36" t="n"/>
      <c r="AX359" s="36" t="n"/>
      <c r="AY359" s="36" t="n"/>
      <c r="AZ359" s="36" t="n"/>
      <c r="BA359" s="36" t="n"/>
      <c r="BB359" s="36" t="n"/>
      <c r="BC359" s="36" t="n"/>
      <c r="BD359" s="36" t="n"/>
      <c r="BE359" s="36" t="n"/>
      <c r="BF359" s="36" t="n"/>
      <c r="BG359" s="36" t="n"/>
      <c r="BH359" s="36" t="n"/>
      <c r="BI359" s="36" t="n"/>
      <c r="BJ359" s="36" t="n"/>
      <c r="BK359" s="36" t="n"/>
      <c r="BL359" s="36" t="n"/>
      <c r="BM359" s="36" t="n"/>
      <c r="BN359" s="36" t="n"/>
      <c r="BO359" s="36" t="n"/>
      <c r="BP359" s="36" t="n"/>
      <c r="BQ359" s="36" t="n"/>
      <c r="BR359" s="36" t="n"/>
      <c r="BS359" s="36" t="n"/>
      <c r="BT359" s="36" t="n"/>
      <c r="BU359" s="36" t="n"/>
      <c r="BV359" s="36" t="n"/>
      <c r="BW359" s="36" t="n"/>
      <c r="BX359" s="36" t="n"/>
      <c r="BY359" s="37" t="n"/>
      <c r="BZ359" s="37" t="n"/>
      <c r="CA359" s="175" t="n">
        <v>0</v>
      </c>
      <c r="CB359" s="175" t="n">
        <v>0</v>
      </c>
      <c r="CC359" s="175" t="n">
        <v>0</v>
      </c>
      <c r="CD359" s="175" t="n">
        <v>0</v>
      </c>
      <c r="CE359" s="175" t="n">
        <v>0</v>
      </c>
      <c r="CF359" s="20" t="n"/>
    </row>
    <row r="360" ht="15" customHeight="1">
      <c r="B360" s="17" t="inlineStr">
        <is>
          <t>Enterprise value (USDm)</t>
        </is>
      </c>
      <c r="C360" s="46" t="n"/>
      <c r="D360" s="46" t="n"/>
      <c r="E360" s="46" t="n"/>
      <c r="F360" s="46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  <c r="Z360" s="46" t="n"/>
      <c r="AA360" s="46" t="n"/>
      <c r="AB360" s="46" t="n"/>
      <c r="AC360" s="46" t="n"/>
      <c r="AD360" s="46" t="n"/>
      <c r="AE360" s="46" t="n"/>
      <c r="AF360" s="46" t="n"/>
      <c r="AG360" s="46" t="n"/>
      <c r="AH360" s="46" t="n"/>
      <c r="AI360" s="46" t="n"/>
      <c r="AJ360" s="46" t="n"/>
      <c r="AK360" s="46" t="n"/>
      <c r="AL360" s="46" t="n"/>
      <c r="AM360" s="46" t="n"/>
      <c r="AN360" s="46" t="n"/>
      <c r="AO360" s="46" t="n"/>
      <c r="AP360" s="46" t="n"/>
      <c r="AQ360" s="46" t="n"/>
      <c r="AR360" s="46" t="n"/>
      <c r="AS360" s="46" t="n"/>
      <c r="AT360" s="46" t="n"/>
      <c r="AU360" s="46" t="n"/>
      <c r="AV360" s="46" t="n"/>
      <c r="AW360" s="46" t="n"/>
      <c r="AX360" s="46" t="n"/>
      <c r="AY360" s="46" t="n"/>
      <c r="AZ360" s="46" t="n"/>
      <c r="BA360" s="46" t="n"/>
      <c r="BB360" s="46" t="n"/>
      <c r="BC360" s="46" t="n"/>
      <c r="BD360" s="46" t="n"/>
      <c r="BE360" s="46" t="n"/>
      <c r="BF360" s="46" t="n"/>
      <c r="BG360" s="46" t="n"/>
      <c r="BH360" s="46" t="n"/>
      <c r="BI360" s="46" t="n"/>
      <c r="BJ360" s="46" t="n"/>
      <c r="BK360" s="46" t="n"/>
      <c r="BL360" s="46" t="n"/>
      <c r="BM360" s="46" t="n"/>
      <c r="BN360" s="46" t="n"/>
      <c r="BO360" s="46" t="n"/>
      <c r="BP360" s="46" t="n"/>
      <c r="BQ360" s="46" t="n"/>
      <c r="BR360" s="46" t="n"/>
      <c r="BS360" s="46" t="n"/>
      <c r="BT360" s="46" t="n"/>
      <c r="BU360" s="46" t="n"/>
      <c r="BV360" s="46" t="n"/>
      <c r="BW360" s="46" t="n"/>
      <c r="BX360" s="46" t="n"/>
      <c r="BY360" s="34" t="n"/>
      <c r="BZ360" s="34" t="n"/>
      <c r="CA360" s="178">
        <f>IFERROR(CA357+CA358+CA359,"n/a")</f>
        <v/>
      </c>
      <c r="CB360" s="178">
        <f>IFERROR(CB357+CB358+CB359,"n/a")</f>
        <v/>
      </c>
      <c r="CC360" s="178">
        <f>IFERROR(CC357+CC358+CC359,"n/a")</f>
        <v/>
      </c>
      <c r="CD360" s="178">
        <f>IFERROR(CD357+CD358+CD359,"n/a")</f>
        <v/>
      </c>
      <c r="CE360" s="178">
        <f>IFERROR(CE357+CE358+CE359,"n/a")</f>
        <v/>
      </c>
      <c r="CF360" s="6" t="n"/>
    </row>
    <row r="361" ht="15" customHeight="1">
      <c r="B361" s="26" t="inlineStr">
        <is>
          <t>Multiples</t>
        </is>
      </c>
      <c r="CF361" s="6" t="n"/>
    </row>
    <row r="362" ht="15" customHeight="1">
      <c r="B362" s="26" t="inlineStr">
        <is>
          <t xml:space="preserve">  EV / Revenue</t>
        </is>
      </c>
      <c r="C362" s="36" t="n"/>
      <c r="D362" s="3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  <c r="AP362" s="36" t="n"/>
      <c r="AQ362" s="36" t="n"/>
      <c r="AR362" s="36" t="n"/>
      <c r="AS362" s="36" t="n"/>
      <c r="AT362" s="36" t="n"/>
      <c r="AU362" s="36" t="n"/>
      <c r="AV362" s="36" t="n"/>
      <c r="AW362" s="36" t="n"/>
      <c r="AX362" s="36" t="n"/>
      <c r="AY362" s="36" t="n"/>
      <c r="AZ362" s="36" t="n"/>
      <c r="BA362" s="36" t="n"/>
      <c r="BB362" s="36" t="n"/>
      <c r="BC362" s="36" t="n"/>
      <c r="BD362" s="36" t="n"/>
      <c r="BE362" s="36" t="n"/>
      <c r="BF362" s="36" t="n"/>
      <c r="BG362" s="36" t="n"/>
      <c r="BH362" s="36" t="n"/>
      <c r="BI362" s="36" t="n"/>
      <c r="BJ362" s="36" t="n"/>
      <c r="BK362" s="36" t="n"/>
      <c r="BL362" s="36" t="n"/>
      <c r="BM362" s="36" t="n"/>
      <c r="BN362" s="36" t="n"/>
      <c r="BO362" s="36" t="n"/>
      <c r="BP362" s="36" t="n"/>
      <c r="BQ362" s="36" t="n"/>
      <c r="BR362" s="36" t="n"/>
      <c r="BS362" s="36" t="n"/>
      <c r="BT362" s="36" t="n"/>
      <c r="BU362" s="36" t="n"/>
      <c r="BV362" s="36" t="n"/>
      <c r="BW362" s="36" t="n"/>
      <c r="BX362" s="36" t="n"/>
      <c r="BY362" s="37" t="n"/>
      <c r="BZ362" s="37" t="n"/>
      <c r="CA362" s="218">
        <f>IFERROR(CA360/CA100,"n/a")</f>
        <v/>
      </c>
      <c r="CB362" s="218">
        <f>IFERROR(CB360/CB100,"n/a")</f>
        <v/>
      </c>
      <c r="CC362" s="218">
        <f>IFERROR(CC360/CC100,"n/a")</f>
        <v/>
      </c>
      <c r="CD362" s="218">
        <f>IFERROR(CD360/CD100,"n/a")</f>
        <v/>
      </c>
      <c r="CE362" s="218">
        <f>IFERROR(CE360/CE100,"n/a")</f>
        <v/>
      </c>
      <c r="CF362" s="20" t="n"/>
    </row>
    <row r="363" ht="15" customHeight="1">
      <c r="B363" s="26" t="inlineStr">
        <is>
          <t xml:space="preserve">  EV / Adjusted EBITDA</t>
        </is>
      </c>
      <c r="C363" s="36" t="n"/>
      <c r="D363" s="3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  <c r="AP363" s="36" t="n"/>
      <c r="AQ363" s="36" t="n"/>
      <c r="AR363" s="36" t="n"/>
      <c r="AS363" s="36" t="n"/>
      <c r="AT363" s="36" t="n"/>
      <c r="AU363" s="36" t="n"/>
      <c r="AV363" s="36" t="n"/>
      <c r="AW363" s="36" t="n"/>
      <c r="AX363" s="36" t="n"/>
      <c r="AY363" s="36" t="n"/>
      <c r="AZ363" s="36" t="n"/>
      <c r="BA363" s="36" t="n"/>
      <c r="BB363" s="36" t="n"/>
      <c r="BC363" s="36" t="n"/>
      <c r="BD363" s="36" t="n"/>
      <c r="BE363" s="36" t="n"/>
      <c r="BF363" s="36" t="n"/>
      <c r="BG363" s="36" t="n"/>
      <c r="BH363" s="36" t="n"/>
      <c r="BI363" s="36" t="n"/>
      <c r="BJ363" s="36" t="n"/>
      <c r="BK363" s="36" t="n"/>
      <c r="BL363" s="36" t="n"/>
      <c r="BM363" s="36" t="n"/>
      <c r="BN363" s="36" t="n"/>
      <c r="BO363" s="36" t="n"/>
      <c r="BP363" s="36" t="n"/>
      <c r="BQ363" s="36" t="n"/>
      <c r="BR363" s="36" t="n"/>
      <c r="BS363" s="36" t="n"/>
      <c r="BT363" s="36" t="n"/>
      <c r="BU363" s="36" t="n"/>
      <c r="BV363" s="36" t="n"/>
      <c r="BW363" s="36" t="n"/>
      <c r="BX363" s="36" t="n"/>
      <c r="BY363" s="37" t="n"/>
      <c r="BZ363" s="37" t="n"/>
      <c r="CA363" s="218">
        <f>IFERROR(CA360/CA157,"n/a")</f>
        <v/>
      </c>
      <c r="CB363" s="218">
        <f>IFERROR(CB360/CB157,"n/a")</f>
        <v/>
      </c>
      <c r="CC363" s="218">
        <f>IFERROR(CC360/CC157,"n/a")</f>
        <v/>
      </c>
      <c r="CD363" s="218">
        <f>IFERROR(CD360/CD157,"n/a")</f>
        <v/>
      </c>
      <c r="CE363" s="218">
        <f>IFERROR(CE360/CE157,"n/a")</f>
        <v/>
      </c>
      <c r="CF363" s="20" t="n"/>
    </row>
    <row r="364" ht="15" customHeight="1">
      <c r="B364" s="26" t="inlineStr">
        <is>
          <t xml:space="preserve">  EV / Adjusted EBIT</t>
        </is>
      </c>
      <c r="C364" s="36" t="n"/>
      <c r="D364" s="3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  <c r="AP364" s="36" t="n"/>
      <c r="AQ364" s="36" t="n"/>
      <c r="AR364" s="36" t="n"/>
      <c r="AS364" s="36" t="n"/>
      <c r="AT364" s="36" t="n"/>
      <c r="AU364" s="36" t="n"/>
      <c r="AV364" s="36" t="n"/>
      <c r="AW364" s="36" t="n"/>
      <c r="AX364" s="36" t="n"/>
      <c r="AY364" s="36" t="n"/>
      <c r="AZ364" s="36" t="n"/>
      <c r="BA364" s="36" t="n"/>
      <c r="BB364" s="36" t="n"/>
      <c r="BC364" s="36" t="n"/>
      <c r="BD364" s="36" t="n"/>
      <c r="BE364" s="36" t="n"/>
      <c r="BF364" s="36" t="n"/>
      <c r="BG364" s="36" t="n"/>
      <c r="BH364" s="36" t="n"/>
      <c r="BI364" s="36" t="n"/>
      <c r="BJ364" s="36" t="n"/>
      <c r="BK364" s="36" t="n"/>
      <c r="BL364" s="36" t="n"/>
      <c r="BM364" s="36" t="n"/>
      <c r="BN364" s="36" t="n"/>
      <c r="BO364" s="36" t="n"/>
      <c r="BP364" s="36" t="n"/>
      <c r="BQ364" s="36" t="n"/>
      <c r="BR364" s="36" t="n"/>
      <c r="BS364" s="36" t="n"/>
      <c r="BT364" s="36" t="n"/>
      <c r="BU364" s="36" t="n"/>
      <c r="BV364" s="36" t="n"/>
      <c r="BW364" s="36" t="n"/>
      <c r="BX364" s="36" t="n"/>
      <c r="BY364" s="37" t="n"/>
      <c r="BZ364" s="37" t="n"/>
      <c r="CA364" s="218">
        <f>IFERROR(CA360/CA164,"n/a")</f>
        <v/>
      </c>
      <c r="CB364" s="218">
        <f>IFERROR(CB360/CB164,"n/a")</f>
        <v/>
      </c>
      <c r="CC364" s="218">
        <f>IFERROR(CC360/CC164,"n/a")</f>
        <v/>
      </c>
      <c r="CD364" s="218">
        <f>IFERROR(CD360/CD164,"n/a")</f>
        <v/>
      </c>
      <c r="CE364" s="218">
        <f>IFERROR(CE360/CE164,"n/a")</f>
        <v/>
      </c>
      <c r="CF364" s="20" t="n"/>
    </row>
    <row r="365" ht="15" customHeight="1">
      <c r="B365" s="26" t="inlineStr">
        <is>
          <t xml:space="preserve">  EV / IC</t>
        </is>
      </c>
      <c r="C365" s="36" t="n"/>
      <c r="D365" s="3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  <c r="AP365" s="36" t="n"/>
      <c r="AQ365" s="36" t="n"/>
      <c r="AR365" s="36" t="n"/>
      <c r="AS365" s="36" t="n"/>
      <c r="AT365" s="36" t="n"/>
      <c r="AU365" s="36" t="n"/>
      <c r="AV365" s="36" t="n"/>
      <c r="AW365" s="36" t="n"/>
      <c r="AX365" s="36" t="n"/>
      <c r="AY365" s="36" t="n"/>
      <c r="AZ365" s="36" t="n"/>
      <c r="BA365" s="36" t="n"/>
      <c r="BB365" s="36" t="n"/>
      <c r="BC365" s="36" t="n"/>
      <c r="BD365" s="36" t="n"/>
      <c r="BE365" s="36" t="n"/>
      <c r="BF365" s="36" t="n"/>
      <c r="BG365" s="36" t="n"/>
      <c r="BH365" s="36" t="n"/>
      <c r="BI365" s="36" t="n"/>
      <c r="BJ365" s="36" t="n"/>
      <c r="BK365" s="36" t="n"/>
      <c r="BL365" s="36" t="n"/>
      <c r="BM365" s="36" t="n"/>
      <c r="BN365" s="36" t="n"/>
      <c r="BO365" s="36" t="n"/>
      <c r="BP365" s="36" t="n"/>
      <c r="BQ365" s="36" t="n"/>
      <c r="BR365" s="36" t="n"/>
      <c r="BS365" s="36" t="n"/>
      <c r="BT365" s="36" t="n"/>
      <c r="BU365" s="36" t="n"/>
      <c r="BV365" s="36" t="n"/>
      <c r="BW365" s="36" t="n"/>
      <c r="BX365" s="36" t="n"/>
      <c r="BY365" s="37" t="n"/>
      <c r="BZ365" s="37" t="n"/>
      <c r="CA365" s="218">
        <f>IFERROR(CA360/CA329,"n/a")</f>
        <v/>
      </c>
      <c r="CB365" s="218">
        <f>IFERROR(CB360/CB329,"n/a")</f>
        <v/>
      </c>
      <c r="CC365" s="218">
        <f>IFERROR(CC360/CC329,"n/a")</f>
        <v/>
      </c>
      <c r="CD365" s="218">
        <f>IFERROR(CD360/CD329,"n/a")</f>
        <v/>
      </c>
      <c r="CE365" s="218">
        <f>IFERROR(CE360/CE329,"n/a")</f>
        <v/>
      </c>
      <c r="CF365" s="20" t="n"/>
    </row>
    <row r="366" ht="15" customHeight="1">
      <c r="B366" s="26" t="inlineStr">
        <is>
          <t xml:space="preserve">  P / E (GAAP diluted)</t>
        </is>
      </c>
      <c r="C366" s="36" t="n"/>
      <c r="D366" s="3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  <c r="AP366" s="36" t="n"/>
      <c r="AQ366" s="36" t="n"/>
      <c r="AR366" s="36" t="n"/>
      <c r="AS366" s="36" t="n"/>
      <c r="AT366" s="36" t="n"/>
      <c r="AU366" s="36" t="n"/>
      <c r="AV366" s="36" t="n"/>
      <c r="AW366" s="36" t="n"/>
      <c r="AX366" s="36" t="n"/>
      <c r="AY366" s="36" t="n"/>
      <c r="AZ366" s="36" t="n"/>
      <c r="BA366" s="36" t="n"/>
      <c r="BB366" s="36" t="n"/>
      <c r="BC366" s="36" t="n"/>
      <c r="BD366" s="36" t="n"/>
      <c r="BE366" s="36" t="n"/>
      <c r="BF366" s="36" t="n"/>
      <c r="BG366" s="36" t="n"/>
      <c r="BH366" s="36" t="n"/>
      <c r="BI366" s="36" t="n"/>
      <c r="BJ366" s="36" t="n"/>
      <c r="BK366" s="36" t="n"/>
      <c r="BL366" s="36" t="n"/>
      <c r="BM366" s="36" t="n"/>
      <c r="BN366" s="36" t="n"/>
      <c r="BO366" s="36" t="n"/>
      <c r="BP366" s="36" t="n"/>
      <c r="BQ366" s="36" t="n"/>
      <c r="BR366" s="36" t="n"/>
      <c r="BS366" s="36" t="n"/>
      <c r="BT366" s="36" t="n"/>
      <c r="BU366" s="36" t="n"/>
      <c r="BV366" s="36" t="n"/>
      <c r="BW366" s="36" t="n"/>
      <c r="BX366" s="36" t="n"/>
      <c r="BY366" s="37" t="n"/>
      <c r="BZ366" s="37" t="n"/>
      <c r="CA366" s="218">
        <f>IFERROR(CA355/CA132,"n/a")</f>
        <v/>
      </c>
      <c r="CB366" s="218">
        <f>IFERROR(CB355/CB132,"n/a")</f>
        <v/>
      </c>
      <c r="CC366" s="218">
        <f>IFERROR(CC355/CC132,"n/a")</f>
        <v/>
      </c>
      <c r="CD366" s="218">
        <f>IFERROR(CD355/CD132,"n/a")</f>
        <v/>
      </c>
      <c r="CE366" s="218">
        <f>IFERROR(CE355/CE132,"n/a")</f>
        <v/>
      </c>
      <c r="CF366" s="20" t="n"/>
    </row>
    <row r="367" ht="15" customHeight="1">
      <c r="B367" s="26" t="inlineStr">
        <is>
          <t xml:space="preserve">  P / E (adjusted EPS)</t>
        </is>
      </c>
      <c r="C367" s="36" t="n"/>
      <c r="D367" s="3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  <c r="AP367" s="36" t="n"/>
      <c r="AQ367" s="36" t="n"/>
      <c r="AR367" s="36" t="n"/>
      <c r="AS367" s="36" t="n"/>
      <c r="AT367" s="36" t="n"/>
      <c r="AU367" s="36" t="n"/>
      <c r="AV367" s="36" t="n"/>
      <c r="AW367" s="36" t="n"/>
      <c r="AX367" s="36" t="n"/>
      <c r="AY367" s="36" t="n"/>
      <c r="AZ367" s="36" t="n"/>
      <c r="BA367" s="36" t="n"/>
      <c r="BB367" s="36" t="n"/>
      <c r="BC367" s="36" t="n"/>
      <c r="BD367" s="36" t="n"/>
      <c r="BE367" s="36" t="n"/>
      <c r="BF367" s="36" t="n"/>
      <c r="BG367" s="36" t="n"/>
      <c r="BH367" s="36" t="n"/>
      <c r="BI367" s="36" t="n"/>
      <c r="BJ367" s="36" t="n"/>
      <c r="BK367" s="36" t="n"/>
      <c r="BL367" s="36" t="n"/>
      <c r="BM367" s="36" t="n"/>
      <c r="BN367" s="36" t="n"/>
      <c r="BO367" s="36" t="n"/>
      <c r="BP367" s="36" t="n"/>
      <c r="BQ367" s="36" t="n"/>
      <c r="BR367" s="36" t="n"/>
      <c r="BS367" s="36" t="n"/>
      <c r="BT367" s="36" t="n"/>
      <c r="BU367" s="36" t="n"/>
      <c r="BV367" s="36" t="n"/>
      <c r="BW367" s="36" t="n"/>
      <c r="BX367" s="36" t="n"/>
      <c r="BY367" s="37" t="n"/>
      <c r="BZ367" s="37" t="n"/>
      <c r="CA367" s="218">
        <f>IFERROR(CA355/CA176,"n/a")</f>
        <v/>
      </c>
      <c r="CB367" s="218">
        <f>IFERROR(CB355/CB176,"n/a")</f>
        <v/>
      </c>
      <c r="CC367" s="218">
        <f>IFERROR(CC355/CC176,"n/a")</f>
        <v/>
      </c>
      <c r="CD367" s="218">
        <f>IFERROR(CD355/CD176,"n/a")</f>
        <v/>
      </c>
      <c r="CE367" s="218">
        <f>IFERROR(CE355/CE176,"n/a")</f>
        <v/>
      </c>
      <c r="CF367" s="20" t="n"/>
    </row>
    <row r="368" ht="15" customHeight="1">
      <c r="B368" s="26" t="inlineStr">
        <is>
          <t xml:space="preserve">  FCF yield</t>
        </is>
      </c>
      <c r="C368" s="36" t="n"/>
      <c r="D368" s="3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  <c r="AP368" s="36" t="n"/>
      <c r="AQ368" s="36" t="n"/>
      <c r="AR368" s="36" t="n"/>
      <c r="AS368" s="36" t="n"/>
      <c r="AT368" s="36" t="n"/>
      <c r="AU368" s="36" t="n"/>
      <c r="AV368" s="36" t="n"/>
      <c r="AW368" s="36" t="n"/>
      <c r="AX368" s="36" t="n"/>
      <c r="AY368" s="36" t="n"/>
      <c r="AZ368" s="36" t="n"/>
      <c r="BA368" s="36" t="n"/>
      <c r="BB368" s="36" t="n"/>
      <c r="BC368" s="36" t="n"/>
      <c r="BD368" s="36" t="n"/>
      <c r="BE368" s="36" t="n"/>
      <c r="BF368" s="36" t="n"/>
      <c r="BG368" s="36" t="n"/>
      <c r="BH368" s="36" t="n"/>
      <c r="BI368" s="36" t="n"/>
      <c r="BJ368" s="36" t="n"/>
      <c r="BK368" s="36" t="n"/>
      <c r="BL368" s="36" t="n"/>
      <c r="BM368" s="36" t="n"/>
      <c r="BN368" s="36" t="n"/>
      <c r="BO368" s="36" t="n"/>
      <c r="BP368" s="36" t="n"/>
      <c r="BQ368" s="36" t="n"/>
      <c r="BR368" s="36" t="n"/>
      <c r="BS368" s="36" t="n"/>
      <c r="BT368" s="36" t="n"/>
      <c r="BU368" s="36" t="n"/>
      <c r="BV368" s="36" t="n"/>
      <c r="BW368" s="36" t="n"/>
      <c r="BX368" s="36" t="n"/>
      <c r="BY368" s="37" t="n"/>
      <c r="BZ368" s="37" t="n"/>
      <c r="CA368" s="181">
        <f>IFERROR(CA226/CA357,"n/a")</f>
        <v/>
      </c>
      <c r="CB368" s="181">
        <f>IFERROR(CB226/CB357,"n/a")</f>
        <v/>
      </c>
      <c r="CC368" s="181">
        <f>IFERROR(CC226/CC357,"n/a")</f>
        <v/>
      </c>
      <c r="CD368" s="181">
        <f>IFERROR(CD226/CD357,"n/a")</f>
        <v/>
      </c>
      <c r="CE368" s="181">
        <f>IFERROR(CE226/CE357,"n/a")</f>
        <v/>
      </c>
      <c r="CF368" s="20" t="n"/>
    </row>
    <row r="369" ht="15" customHeight="1">
      <c r="B369" s="26" t="inlineStr">
        <is>
          <t xml:space="preserve">  Dividend yield</t>
        </is>
      </c>
      <c r="C369" s="36" t="n"/>
      <c r="D369" s="3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  <c r="AP369" s="36" t="n"/>
      <c r="AQ369" s="36" t="n"/>
      <c r="AR369" s="36" t="n"/>
      <c r="AS369" s="36" t="n"/>
      <c r="AT369" s="36" t="n"/>
      <c r="AU369" s="36" t="n"/>
      <c r="AV369" s="36" t="n"/>
      <c r="AW369" s="36" t="n"/>
      <c r="AX369" s="36" t="n"/>
      <c r="AY369" s="36" t="n"/>
      <c r="AZ369" s="36" t="n"/>
      <c r="BA369" s="36" t="n"/>
      <c r="BB369" s="36" t="n"/>
      <c r="BC369" s="36" t="n"/>
      <c r="BD369" s="36" t="n"/>
      <c r="BE369" s="36" t="n"/>
      <c r="BF369" s="36" t="n"/>
      <c r="BG369" s="36" t="n"/>
      <c r="BH369" s="36" t="n"/>
      <c r="BI369" s="36" t="n"/>
      <c r="BJ369" s="36" t="n"/>
      <c r="BK369" s="36" t="n"/>
      <c r="BL369" s="36" t="n"/>
      <c r="BM369" s="36" t="n"/>
      <c r="BN369" s="36" t="n"/>
      <c r="BO369" s="36" t="n"/>
      <c r="BP369" s="36" t="n"/>
      <c r="BQ369" s="36" t="n"/>
      <c r="BR369" s="36" t="n"/>
      <c r="BS369" s="36" t="n"/>
      <c r="BT369" s="36" t="n"/>
      <c r="BU369" s="36" t="n"/>
      <c r="BV369" s="36" t="n"/>
      <c r="BW369" s="36" t="n"/>
      <c r="BX369" s="36" t="n"/>
      <c r="BY369" s="37" t="n"/>
      <c r="BZ369" s="37" t="n"/>
      <c r="CA369" s="181">
        <f>IFERROR(CA135/CA355,"n/a")</f>
        <v/>
      </c>
      <c r="CB369" s="181">
        <f>IFERROR(CB135/CB355,"n/a")</f>
        <v/>
      </c>
      <c r="CC369" s="181">
        <f>IFERROR(CC135/CC355,"n/a")</f>
        <v/>
      </c>
      <c r="CD369" s="181">
        <f>IFERROR(CD135/CD355,"n/a")</f>
        <v/>
      </c>
      <c r="CE369" s="181">
        <f>IFERROR(CE135/CE355,"n/a")</f>
        <v/>
      </c>
      <c r="CF369" s="20" t="n"/>
    </row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collapsed="1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</sheetData>
  <dataValidations count="1">
    <dataValidation sqref="CF2" showDropDown="0" showInputMessage="0" showErrorMessage="0" allowBlank="0" type="list">
      <formula1>"Bull,Base,Bear"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J47"/>
  <sheetViews>
    <sheetView showGridLines="0" zoomScale="60" zoomScaleNormal="60" workbookViewId="0">
      <selection activeCell="H26" sqref="H26"/>
    </sheetView>
  </sheetViews>
  <sheetFormatPr baseColWidth="8" defaultColWidth="8.5703125" defaultRowHeight="15"/>
  <cols>
    <col width="2.140625" customWidth="1" min="1" max="1"/>
    <col width="63.85546875" customWidth="1" min="2" max="2"/>
    <col width="11.85546875" customWidth="1" min="3" max="8"/>
    <col width="13.28515625" customWidth="1" min="9" max="9"/>
    <col width="12.5703125" customWidth="1" min="10" max="12"/>
    <col width="3.85546875" customWidth="1" min="13" max="13"/>
    <col width="63.85546875" customWidth="1" min="14" max="14"/>
    <col width="11.85546875" customWidth="1" min="15" max="20"/>
    <col width="13.28515625" customWidth="1" min="21" max="21"/>
    <col width="12.5703125" customWidth="1" min="22" max="24"/>
    <col width="3.85546875" customWidth="1" min="25" max="25"/>
    <col width="63.85546875" customWidth="1" min="26" max="26"/>
    <col width="11.85546875" customWidth="1" min="27" max="32"/>
    <col width="13.28515625" customWidth="1" min="33" max="33"/>
    <col width="12.5703125" customWidth="1" min="34" max="36"/>
  </cols>
  <sheetData>
    <row r="2" ht="19.5" customHeight="1">
      <c r="B2" s="80" t="inlineStr">
        <is>
          <t>Old Dominion Freight Line (ODFL) — Bull / Base / Bear Case P&amp;L Summary</t>
        </is>
      </c>
      <c r="J2" s="173" t="inlineStr">
        <is>
          <t>Share price ($):</t>
        </is>
      </c>
      <c r="K2" s="81">
        <f>Model!$CA$355</f>
        <v/>
      </c>
    </row>
    <row r="3" ht="15" customHeight="1">
      <c r="B3" s="4" t="inlineStr">
        <is>
          <t>Adjusted figures are model definitions (ODFL publishes no non-GAAP measures): Adjusted EBITDA / adjusted EPS exclude net gains on disposal of property &amp; equipment and company-named one-offs · USD millions · Live panel linked to Model — toggle scenario via Model!CF2. Bull and Bear panels are value snapshots generated from the Model with the switch set to each case.</t>
        </is>
      </c>
      <c r="J3" s="173" t="inlineStr">
        <is>
          <t>As of:</t>
        </is>
      </c>
      <c r="K3" s="82">
        <f>TODAY()</f>
        <v/>
      </c>
    </row>
    <row r="5" ht="15" customHeight="1">
      <c r="B5" s="11" t="inlineStr">
        <is>
          <t>Scenario:</t>
        </is>
      </c>
      <c r="C5" s="83">
        <f>Model!$CF$2</f>
        <v/>
      </c>
      <c r="N5" s="84" t="inlineStr">
        <is>
          <t>Scenario:</t>
        </is>
      </c>
      <c r="O5" s="85" t="inlineStr">
        <is>
          <t>Bull</t>
        </is>
      </c>
      <c r="P5" s="4" t="inlineStr">
        <is>
          <t>Snapshot (values) — Model run with switch = Bull</t>
        </is>
      </c>
      <c r="Z5" s="84" t="inlineStr">
        <is>
          <t>Scenario:</t>
        </is>
      </c>
      <c r="AA5" s="85" t="inlineStr">
        <is>
          <t>Bear</t>
        </is>
      </c>
      <c r="AB5" s="4" t="inlineStr">
        <is>
          <t>Snapshot (values) — Model run with switch = Bear</t>
        </is>
      </c>
    </row>
    <row r="7" ht="32.1" customHeight="1">
      <c r="B7" s="86" t="inlineStr">
        <is>
          <t>(USDm, except EPS and shares)</t>
        </is>
      </c>
      <c r="C7" s="171" t="inlineStr">
        <is>
          <t>2025A</t>
        </is>
      </c>
      <c r="D7" s="171" t="inlineStr">
        <is>
          <t>2026E</t>
        </is>
      </c>
      <c r="E7" s="171" t="inlineStr">
        <is>
          <t>2027E</t>
        </is>
      </c>
      <c r="F7" s="171" t="inlineStr">
        <is>
          <t>2028E</t>
        </is>
      </c>
      <c r="G7" s="171" t="inlineStr">
        <is>
          <t>2029E</t>
        </is>
      </c>
      <c r="H7" s="171" t="inlineStr">
        <is>
          <t>2030E</t>
        </is>
      </c>
      <c r="I7" s="171" t="inlineStr">
        <is>
          <t>25-'30 CAGR</t>
        </is>
      </c>
      <c r="J7" s="172" t="inlineStr">
        <is>
          <t>LT Hist Avg</t>
        </is>
      </c>
      <c r="K7" s="172" t="inlineStr">
        <is>
          <t>LT Hist Min</t>
        </is>
      </c>
      <c r="L7" s="172" t="inlineStr">
        <is>
          <t>LT Hist Max</t>
        </is>
      </c>
      <c r="N7" s="86" t="inlineStr">
        <is>
          <t>(USDm, except EPS and shares)</t>
        </is>
      </c>
      <c r="O7" s="171" t="inlineStr">
        <is>
          <t>2025A</t>
        </is>
      </c>
      <c r="P7" s="171" t="inlineStr">
        <is>
          <t>2026E</t>
        </is>
      </c>
      <c r="Q7" s="171" t="inlineStr">
        <is>
          <t>2027E</t>
        </is>
      </c>
      <c r="R7" s="171" t="inlineStr">
        <is>
          <t>2028E</t>
        </is>
      </c>
      <c r="S7" s="171" t="inlineStr">
        <is>
          <t>2029E</t>
        </is>
      </c>
      <c r="T7" s="171" t="inlineStr">
        <is>
          <t>2030E</t>
        </is>
      </c>
      <c r="U7" s="171" t="inlineStr">
        <is>
          <t>25-'30 CAGR</t>
        </is>
      </c>
      <c r="V7" s="172" t="inlineStr">
        <is>
          <t>LT Hist Avg</t>
        </is>
      </c>
      <c r="W7" s="172" t="inlineStr">
        <is>
          <t>LT Hist Min</t>
        </is>
      </c>
      <c r="X7" s="172" t="inlineStr">
        <is>
          <t>LT Hist Max</t>
        </is>
      </c>
      <c r="Z7" s="86" t="inlineStr">
        <is>
          <t>(USDm, except EPS and shares)</t>
        </is>
      </c>
      <c r="AA7" s="171" t="inlineStr">
        <is>
          <t>2025A</t>
        </is>
      </c>
      <c r="AB7" s="171" t="inlineStr">
        <is>
          <t>2026E</t>
        </is>
      </c>
      <c r="AC7" s="171" t="inlineStr">
        <is>
          <t>2027E</t>
        </is>
      </c>
      <c r="AD7" s="171" t="inlineStr">
        <is>
          <t>2028E</t>
        </is>
      </c>
      <c r="AE7" s="171" t="inlineStr">
        <is>
          <t>2029E</t>
        </is>
      </c>
      <c r="AF7" s="171" t="inlineStr">
        <is>
          <t>2030E</t>
        </is>
      </c>
      <c r="AG7" s="171" t="inlineStr">
        <is>
          <t>25-'30 CAGR</t>
        </is>
      </c>
      <c r="AH7" s="172" t="inlineStr">
        <is>
          <t>LT Hist Avg</t>
        </is>
      </c>
      <c r="AI7" s="172" t="inlineStr">
        <is>
          <t>LT Hist Min</t>
        </is>
      </c>
      <c r="AJ7" s="172" t="inlineStr">
        <is>
          <t>LT Hist Max</t>
        </is>
      </c>
    </row>
    <row r="9" ht="15" customHeight="1">
      <c r="B9" s="87" t="inlineStr">
        <is>
          <t>Revenue</t>
        </is>
      </c>
      <c r="C9" s="88">
        <f>Model!BV100</f>
        <v/>
      </c>
      <c r="D9" s="89">
        <f>Model!CA100</f>
        <v/>
      </c>
      <c r="E9" s="89">
        <f>Model!CB100</f>
        <v/>
      </c>
      <c r="F9" s="89">
        <f>Model!CC100</f>
        <v/>
      </c>
      <c r="G9" s="89">
        <f>Model!CD100</f>
        <v/>
      </c>
      <c r="H9" s="89">
        <f>Model!CE100</f>
        <v/>
      </c>
      <c r="I9" s="90">
        <f>IFERROR((H9/C9)^(1/5)-1,"n/m")</f>
        <v/>
      </c>
      <c r="N9" s="87" t="inlineStr">
        <is>
          <t>Revenue</t>
        </is>
      </c>
      <c r="O9" s="88" t="n">
        <v>5496.389</v>
      </c>
      <c r="P9" s="89" t="n">
        <v>6008.49565837987</v>
      </c>
      <c r="Q9" s="89" t="n">
        <v>6770.33430558729</v>
      </c>
      <c r="R9" s="89" t="n">
        <v>7667.91673625579</v>
      </c>
      <c r="S9" s="89" t="n">
        <v>8570.57856130879</v>
      </c>
      <c r="T9" s="89" t="n">
        <v>9490.05151760329</v>
      </c>
      <c r="U9" s="90" t="n">
        <v>0.115419471751691</v>
      </c>
      <c r="Z9" s="87" t="inlineStr">
        <is>
          <t>Revenue</t>
        </is>
      </c>
      <c r="AA9" s="88" t="n">
        <v>5496.389</v>
      </c>
      <c r="AB9" s="89" t="n">
        <v>5856.3705641344</v>
      </c>
      <c r="AC9" s="89" t="n">
        <v>6144.24582708723</v>
      </c>
      <c r="AD9" s="89" t="n">
        <v>6479.95274366325</v>
      </c>
      <c r="AE9" s="89" t="n">
        <v>6741.07777898443</v>
      </c>
      <c r="AF9" s="89" t="n">
        <v>6944.73677624835</v>
      </c>
      <c r="AG9" s="90" t="n">
        <v>0.0478899267203865</v>
      </c>
    </row>
    <row r="10" ht="15" customHeight="1">
      <c r="B10" s="91" t="inlineStr">
        <is>
          <t xml:space="preserve">   Revenue y/y %</t>
        </is>
      </c>
      <c r="C10" s="92" t="n"/>
      <c r="D10" s="93">
        <f>IFERROR(D9/C9-1,"")</f>
        <v/>
      </c>
      <c r="E10" s="93">
        <f>IFERROR(E9/D9-1,"")</f>
        <v/>
      </c>
      <c r="F10" s="93">
        <f>IFERROR(F9/E9-1,"")</f>
        <v/>
      </c>
      <c r="G10" s="93">
        <f>IFERROR(G9/F9-1,"")</f>
        <v/>
      </c>
      <c r="H10" s="93">
        <f>IFERROR(H9/G9-1,"")</f>
        <v/>
      </c>
      <c r="N10" s="91" t="inlineStr">
        <is>
          <t xml:space="preserve">   Revenue y/y %</t>
        </is>
      </c>
      <c r="O10" s="92" t="n"/>
      <c r="P10" s="93" t="n">
        <v>0.0931714728305921</v>
      </c>
      <c r="Q10" s="93" t="n">
        <v>0.126793575384365</v>
      </c>
      <c r="R10" s="93" t="n">
        <v>0.132575791704668</v>
      </c>
      <c r="S10" s="93" t="n">
        <v>0.117719304486574</v>
      </c>
      <c r="T10" s="93" t="n">
        <v>0.107282483874006</v>
      </c>
      <c r="Z10" s="91" t="inlineStr">
        <is>
          <t xml:space="preserve">   Revenue y/y %</t>
        </is>
      </c>
      <c r="AA10" s="92" t="n"/>
      <c r="AB10" s="93" t="n">
        <v>0.0654941933939537</v>
      </c>
      <c r="AC10" s="93" t="n">
        <v>0.0491559165869446</v>
      </c>
      <c r="AD10" s="93" t="n">
        <v>0.0546376115187386</v>
      </c>
      <c r="AE10" s="93" t="n">
        <v>0.0402973672264093</v>
      </c>
      <c r="AF10" s="93" t="n">
        <v>0.0302116373584709</v>
      </c>
    </row>
    <row r="11" ht="15" customHeight="1">
      <c r="B11" s="87" t="inlineStr">
        <is>
          <t xml:space="preserve">   LTL tons per day y/y %</t>
        </is>
      </c>
      <c r="C11" s="94">
        <f>Model!BV185</f>
        <v/>
      </c>
      <c r="D11" s="95">
        <f>Model!CA185</f>
        <v/>
      </c>
      <c r="E11" s="95">
        <f>Model!CB185</f>
        <v/>
      </c>
      <c r="F11" s="95">
        <f>Model!CC185</f>
        <v/>
      </c>
      <c r="G11" s="95">
        <f>Model!CD185</f>
        <v/>
      </c>
      <c r="H11" s="95">
        <f>Model!CE185</f>
        <v/>
      </c>
      <c r="N11" s="87" t="inlineStr">
        <is>
          <t xml:space="preserve">   LTL tons per day y/y %</t>
        </is>
      </c>
      <c r="O11" s="94" t="n">
        <v>-0.0878841757683515</v>
      </c>
      <c r="P11" s="95" t="n">
        <v>-0.0169917206899648</v>
      </c>
      <c r="Q11" s="95" t="n">
        <v>0.06</v>
      </c>
      <c r="R11" s="95" t="n">
        <v>0.07000000000000001</v>
      </c>
      <c r="S11" s="95" t="n">
        <v>0.06</v>
      </c>
      <c r="T11" s="95" t="n">
        <v>0.055</v>
      </c>
      <c r="Z11" s="87" t="inlineStr">
        <is>
          <t xml:space="preserve">   LTL tons per day y/y %</t>
        </is>
      </c>
      <c r="AA11" s="94" t="n">
        <v>-0.0878841757683515</v>
      </c>
      <c r="AB11" s="95" t="n">
        <v>-0.0348271784717247</v>
      </c>
      <c r="AC11" s="95" t="n">
        <v>0.01</v>
      </c>
      <c r="AD11" s="95" t="n">
        <v>0.02</v>
      </c>
      <c r="AE11" s="95" t="n">
        <v>0.01</v>
      </c>
      <c r="AF11" s="95" t="n">
        <v>0.005</v>
      </c>
    </row>
    <row r="12" ht="15" customHeight="1">
      <c r="B12" s="87" t="inlineStr">
        <is>
          <t>Adjusted EBITDA (model)</t>
        </is>
      </c>
      <c r="C12" s="88">
        <f>Model!BV157</f>
        <v/>
      </c>
      <c r="D12" s="89">
        <f>Model!CA157</f>
        <v/>
      </c>
      <c r="E12" s="89">
        <f>Model!CB157</f>
        <v/>
      </c>
      <c r="F12" s="89">
        <f>Model!CC157</f>
        <v/>
      </c>
      <c r="G12" s="89">
        <f>Model!CD157</f>
        <v/>
      </c>
      <c r="H12" s="89">
        <f>Model!CE157</f>
        <v/>
      </c>
      <c r="I12" s="90">
        <f>IFERROR((H12/C12)^(1/5)-1,"n/m")</f>
        <v/>
      </c>
      <c r="N12" s="87" t="inlineStr">
        <is>
          <t>Adjusted EBITDA (model)</t>
        </is>
      </c>
      <c r="O12" s="88" t="n">
        <v>1728.666</v>
      </c>
      <c r="P12" s="89" t="n">
        <v>2167.88879616761</v>
      </c>
      <c r="Q12" s="89" t="n">
        <v>2545.64569890082</v>
      </c>
      <c r="R12" s="89" t="n">
        <v>2959.81586019474</v>
      </c>
      <c r="S12" s="89" t="n">
        <v>3351.09621747174</v>
      </c>
      <c r="T12" s="89" t="n">
        <v>3758.0604009709</v>
      </c>
      <c r="U12" s="90" t="n">
        <v>0.168020682817511</v>
      </c>
      <c r="Z12" s="87" t="inlineStr">
        <is>
          <t>Adjusted EBITDA (model)</t>
        </is>
      </c>
      <c r="AA12" s="88" t="n">
        <v>1728.666</v>
      </c>
      <c r="AB12" s="89" t="n">
        <v>1936.95600713045</v>
      </c>
      <c r="AC12" s="89" t="n">
        <v>2064.46659790131</v>
      </c>
      <c r="AD12" s="89" t="n">
        <v>2242.06364930748</v>
      </c>
      <c r="AE12" s="89" t="n">
        <v>2366.11830042353</v>
      </c>
      <c r="AF12" s="89" t="n">
        <v>2472.32629234441</v>
      </c>
      <c r="AG12" s="90" t="n">
        <v>0.0741846435461691</v>
      </c>
    </row>
    <row r="13" ht="15" customHeight="1">
      <c r="B13" s="91" t="inlineStr">
        <is>
          <t xml:space="preserve">   Adjusted EBITDA margin %</t>
        </is>
      </c>
      <c r="C13" s="96">
        <f>IFERROR(C12/C9,"")</f>
        <v/>
      </c>
      <c r="D13" s="97">
        <f>IFERROR(D12/D9,"")</f>
        <v/>
      </c>
      <c r="E13" s="97">
        <f>IFERROR(E12/E9,"")</f>
        <v/>
      </c>
      <c r="F13" s="97">
        <f>IFERROR(F12/F9,"")</f>
        <v/>
      </c>
      <c r="G13" s="97">
        <f>IFERROR(G12/G9,"")</f>
        <v/>
      </c>
      <c r="H13" s="97">
        <f>IFERROR(H12/H9,"")</f>
        <v/>
      </c>
      <c r="J13" s="98">
        <f>IFERROR(AVERAGE(Model!C158,Model!D158,Model!E158,Model!F158,Model!G158,Model!H158,Model!I158,Model!N158,Model!S158,Model!X158,Model!AC158,Model!AH158,Model!AM158,Model!AR158,Model!AW158,Model!BB158,Model!BG158,Model!BL158,Model!BQ158,Model!BV158),"")</f>
        <v/>
      </c>
      <c r="K13" s="98">
        <f>IFERROR(MIN(Model!C158,Model!D158,Model!E158,Model!F158,Model!G158,Model!H158,Model!I158,Model!N158,Model!S158,Model!X158,Model!AC158,Model!AH158,Model!AM158,Model!AR158,Model!AW158,Model!BB158,Model!BG158,Model!BL158,Model!BQ158,Model!BV158),"")</f>
        <v/>
      </c>
      <c r="L13" s="98">
        <f>IFERROR(MAX(Model!C158,Model!D158,Model!E158,Model!F158,Model!G158,Model!H158,Model!I158,Model!N158,Model!S158,Model!X158,Model!AC158,Model!AH158,Model!AM158,Model!AR158,Model!AW158,Model!BB158,Model!BG158,Model!BL158,Model!BQ158,Model!BV158),"")</f>
        <v/>
      </c>
      <c r="N13" s="91" t="inlineStr">
        <is>
          <t xml:space="preserve">   Adjusted EBITDA margin %</t>
        </is>
      </c>
      <c r="O13" s="96" t="n">
        <v>0.314509398807108</v>
      </c>
      <c r="P13" s="97" t="n">
        <v>0.360803921551333</v>
      </c>
      <c r="Q13" s="97" t="n">
        <v>0.376</v>
      </c>
      <c r="R13" s="97" t="n">
        <v>0.386</v>
      </c>
      <c r="S13" s="97" t="n">
        <v>0.391</v>
      </c>
      <c r="T13" s="97" t="n">
        <v>0.396</v>
      </c>
      <c r="V13" s="98" t="n">
        <v>0.230233367019462</v>
      </c>
      <c r="W13" s="98" t="n">
        <v>0.132809105184316</v>
      </c>
      <c r="X13" s="98" t="n">
        <v>0.335052907496186</v>
      </c>
      <c r="Z13" s="91" t="inlineStr">
        <is>
          <t xml:space="preserve">   Adjusted EBITDA margin %</t>
        </is>
      </c>
      <c r="AA13" s="96" t="n">
        <v>0.314509398807108</v>
      </c>
      <c r="AB13" s="97" t="n">
        <v>0.3307434162368</v>
      </c>
      <c r="AC13" s="97" t="n">
        <v>0.336</v>
      </c>
      <c r="AD13" s="97" t="n">
        <v>0.346</v>
      </c>
      <c r="AE13" s="97" t="n">
        <v>0.351</v>
      </c>
      <c r="AF13" s="97" t="n">
        <v>0.356</v>
      </c>
      <c r="AH13" s="98" t="n">
        <v>0.230233367019462</v>
      </c>
      <c r="AI13" s="98" t="n">
        <v>0.132809105184316</v>
      </c>
      <c r="AJ13" s="98" t="n">
        <v>0.335052907496186</v>
      </c>
    </row>
    <row r="15" ht="15" customHeight="1">
      <c r="B15" s="87" t="inlineStr">
        <is>
          <t>Operating Income (GAAP)</t>
        </is>
      </c>
      <c r="C15" s="88">
        <f>Model!BV114</f>
        <v/>
      </c>
      <c r="D15" s="89">
        <f>Model!CA114</f>
        <v/>
      </c>
      <c r="E15" s="89">
        <f>Model!CB114</f>
        <v/>
      </c>
      <c r="F15" s="89">
        <f>Model!CC114</f>
        <v/>
      </c>
      <c r="G15" s="89">
        <f>Model!CD114</f>
        <v/>
      </c>
      <c r="H15" s="89">
        <f>Model!CE114</f>
        <v/>
      </c>
      <c r="I15" s="90">
        <f>IFERROR((H15/C15)^(1/5)-1,"n/m")</f>
        <v/>
      </c>
      <c r="N15" s="87" t="inlineStr">
        <is>
          <t>Operating Income (GAAP)</t>
        </is>
      </c>
      <c r="O15" s="88" t="n">
        <v>1361.045</v>
      </c>
      <c r="P15" s="89" t="n">
        <v>1815.95579616761</v>
      </c>
      <c r="Q15" s="89" t="n">
        <v>2098.80363473206</v>
      </c>
      <c r="R15" s="89" t="n">
        <v>2453.73335560186</v>
      </c>
      <c r="S15" s="89" t="n">
        <v>2785.43803242536</v>
      </c>
      <c r="T15" s="89" t="n">
        <v>3131.71700080909</v>
      </c>
      <c r="U15" s="90" t="n">
        <v>0.181359301519267</v>
      </c>
      <c r="Z15" s="87" t="inlineStr">
        <is>
          <t>Operating Income (GAAP)</t>
        </is>
      </c>
      <c r="AA15" s="88" t="n">
        <v>1361.045</v>
      </c>
      <c r="AB15" s="89" t="n">
        <v>1585.02300713045</v>
      </c>
      <c r="AC15" s="89" t="n">
        <v>1658.94637331355</v>
      </c>
      <c r="AD15" s="89" t="n">
        <v>1814.38676822571</v>
      </c>
      <c r="AE15" s="89" t="n">
        <v>1921.20716701056</v>
      </c>
      <c r="AF15" s="89" t="n">
        <v>2013.97366511202</v>
      </c>
      <c r="AG15" s="90" t="n">
        <v>0.0815242473281383</v>
      </c>
    </row>
    <row r="16" ht="15" customHeight="1">
      <c r="B16" s="91" t="inlineStr">
        <is>
          <t xml:space="preserve">   Operating income y/y %</t>
        </is>
      </c>
      <c r="C16" s="92" t="n"/>
      <c r="D16" s="93">
        <f>IFERROR(D15/C15-1,"")</f>
        <v/>
      </c>
      <c r="E16" s="93">
        <f>IFERROR(E15/D15-1,"")</f>
        <v/>
      </c>
      <c r="F16" s="93">
        <f>IFERROR(F15/E15-1,"")</f>
        <v/>
      </c>
      <c r="G16" s="93">
        <f>IFERROR(G15/F15-1,"")</f>
        <v/>
      </c>
      <c r="H16" s="93">
        <f>IFERROR(H15/G15-1,"")</f>
        <v/>
      </c>
      <c r="N16" s="91" t="inlineStr">
        <is>
          <t xml:space="preserve">   Operating income y/y %</t>
        </is>
      </c>
      <c r="O16" s="92" t="n"/>
      <c r="P16" s="93" t="n">
        <v>0.334236411116175</v>
      </c>
      <c r="Q16" s="93" t="n">
        <v>0.155757006399255</v>
      </c>
      <c r="R16" s="93" t="n">
        <v>0.169110494662883</v>
      </c>
      <c r="S16" s="93" t="n">
        <v>0.135183668619176</v>
      </c>
      <c r="T16" s="93" t="n">
        <v>0.124317599010528</v>
      </c>
      <c r="Z16" s="91" t="inlineStr">
        <is>
          <t xml:space="preserve">   Operating income y/y %</t>
        </is>
      </c>
      <c r="AA16" s="92" t="n"/>
      <c r="AB16" s="93" t="n">
        <v>0.164563263617624</v>
      </c>
      <c r="AC16" s="93" t="n">
        <v>0.0466386707641129</v>
      </c>
      <c r="AD16" s="93" t="n">
        <v>0.09369826379721059</v>
      </c>
      <c r="AE16" s="93" t="n">
        <v>0.05887410592688</v>
      </c>
      <c r="AF16" s="93" t="n">
        <v>0.0482855257331811</v>
      </c>
    </row>
    <row r="17" ht="15" customHeight="1">
      <c r="B17" s="91" t="inlineStr">
        <is>
          <t xml:space="preserve">   Operating margin (1 − operating ratio) %</t>
        </is>
      </c>
      <c r="C17" s="96">
        <f>IFERROR(C15/C9,"")</f>
        <v/>
      </c>
      <c r="D17" s="97">
        <f>IFERROR(D15/D9,"")</f>
        <v/>
      </c>
      <c r="E17" s="97">
        <f>IFERROR(E15/E9,"")</f>
        <v/>
      </c>
      <c r="F17" s="97">
        <f>IFERROR(F15/F9,"")</f>
        <v/>
      </c>
      <c r="G17" s="97">
        <f>IFERROR(G15/G9,"")</f>
        <v/>
      </c>
      <c r="H17" s="97">
        <f>IFERROR(H15/H9,"")</f>
        <v/>
      </c>
      <c r="J17" s="98">
        <f>IFERROR(AVERAGE(Model!C194,Model!D194,Model!E194,Model!F194,Model!G194,Model!H194,Model!I194,Model!N194,Model!S194,Model!X194,Model!AC194,Model!AH194,Model!AM194,Model!AR194,Model!AW194,Model!BB194,Model!BG194,Model!BL194,Model!BQ194,Model!BV194),"")</f>
        <v/>
      </c>
      <c r="K17" s="98">
        <f>IFERROR(MIN(Model!C194,Model!D194,Model!E194,Model!F194,Model!G194,Model!H194,Model!I194,Model!N194,Model!S194,Model!X194,Model!AC194,Model!AH194,Model!AM194,Model!AR194,Model!AW194,Model!BB194,Model!BG194,Model!BL194,Model!BQ194,Model!BV194),"")</f>
        <v/>
      </c>
      <c r="L17" s="98">
        <f>IFERROR(MAX(Model!C194,Model!D194,Model!E194,Model!F194,Model!G194,Model!H194,Model!I194,Model!N194,Model!S194,Model!X194,Model!AC194,Model!AH194,Model!AM194,Model!AR194,Model!AW194,Model!BB194,Model!BG194,Model!BL194,Model!BQ194,Model!BV194),"")</f>
        <v/>
      </c>
      <c r="N17" s="91" t="inlineStr">
        <is>
          <t xml:space="preserve">   Operating margin (1 − operating ratio) %</t>
        </is>
      </c>
      <c r="O17" s="96" t="n">
        <v>0.247625304540854</v>
      </c>
      <c r="P17" s="97" t="n">
        <v>0.302231356967855</v>
      </c>
      <c r="Q17" s="97" t="n">
        <v>0.31</v>
      </c>
      <c r="R17" s="97" t="n">
        <v>0.32</v>
      </c>
      <c r="S17" s="97" t="n">
        <v>0.325</v>
      </c>
      <c r="T17" s="97" t="n">
        <v>0.33</v>
      </c>
      <c r="V17" s="98" t="n">
        <v>0.173518432713406</v>
      </c>
      <c r="W17" s="98" t="n">
        <v>0.0565387287601253</v>
      </c>
      <c r="X17" s="98" t="n">
        <v>0.294027054299811</v>
      </c>
      <c r="Z17" s="91" t="inlineStr">
        <is>
          <t xml:space="preserve">   Operating margin (1 − operating ratio) %</t>
        </is>
      </c>
      <c r="AA17" s="96" t="n">
        <v>0.247625304540854</v>
      </c>
      <c r="AB17" s="97" t="n">
        <v>0.270649370590968</v>
      </c>
      <c r="AC17" s="97" t="n">
        <v>0.27</v>
      </c>
      <c r="AD17" s="97" t="n">
        <v>0.28</v>
      </c>
      <c r="AE17" s="97" t="n">
        <v>0.285</v>
      </c>
      <c r="AF17" s="97" t="n">
        <v>0.29</v>
      </c>
      <c r="AH17" s="98" t="n">
        <v>0.173518432713406</v>
      </c>
      <c r="AI17" s="98" t="n">
        <v>0.0565387287601253</v>
      </c>
      <c r="AJ17" s="98" t="n">
        <v>0.294027054299811</v>
      </c>
    </row>
    <row r="19" ht="15" customHeight="1">
      <c r="B19" s="87" t="inlineStr">
        <is>
          <t>Adjusted Net Income (model)</t>
        </is>
      </c>
      <c r="C19" s="88">
        <f>Model!BV174</f>
        <v/>
      </c>
      <c r="D19" s="89">
        <f>Model!CA174</f>
        <v/>
      </c>
      <c r="E19" s="89">
        <f>Model!CB174</f>
        <v/>
      </c>
      <c r="F19" s="89">
        <f>Model!CC174</f>
        <v/>
      </c>
      <c r="G19" s="89">
        <f>Model!CD174</f>
        <v/>
      </c>
      <c r="H19" s="89">
        <f>Model!CE174</f>
        <v/>
      </c>
      <c r="I19" s="90">
        <f>IFERROR((H19/C19)^(1/5)-1,"n/m")</f>
        <v/>
      </c>
      <c r="N19" s="87" t="inlineStr">
        <is>
          <t>Adjusted Net Income (model)</t>
        </is>
      </c>
      <c r="O19" s="88" t="n">
        <v>1025.91237467054</v>
      </c>
      <c r="P19" s="89" t="n">
        <v>1350.90310263477</v>
      </c>
      <c r="Q19" s="89" t="n">
        <v>1585.49447611016</v>
      </c>
      <c r="R19" s="89" t="n">
        <v>1841.61257947639</v>
      </c>
      <c r="S19" s="89" t="n">
        <v>2090.39108709402</v>
      </c>
      <c r="T19" s="89" t="n">
        <v>2350.10031338181</v>
      </c>
      <c r="U19" s="90" t="n">
        <v>0.180307662114457</v>
      </c>
      <c r="Z19" s="87" t="inlineStr">
        <is>
          <t>Adjusted Net Income (model)</t>
        </is>
      </c>
      <c r="AA19" s="88" t="n">
        <v>1025.91237467054</v>
      </c>
      <c r="AB19" s="89" t="n">
        <v>1177.70351165687</v>
      </c>
      <c r="AC19" s="89" t="n">
        <v>1257.73991524179</v>
      </c>
      <c r="AD19" s="89" t="n">
        <v>1368.66513894428</v>
      </c>
      <c r="AE19" s="89" t="n">
        <v>1448.78043803292</v>
      </c>
      <c r="AF19" s="89" t="n">
        <v>1518.35531160902</v>
      </c>
      <c r="AG19" s="90" t="n">
        <v>0.0815650102377625</v>
      </c>
    </row>
    <row r="21" ht="15" customHeight="1">
      <c r="B21" s="87" t="inlineStr">
        <is>
          <t>FDSO (m)</t>
        </is>
      </c>
      <c r="C21" s="99">
        <f>Model!BV130</f>
        <v/>
      </c>
      <c r="D21" s="100">
        <f>Model!CA130</f>
        <v/>
      </c>
      <c r="E21" s="100">
        <f>Model!CB130</f>
        <v/>
      </c>
      <c r="F21" s="100">
        <f>Model!CC130</f>
        <v/>
      </c>
      <c r="G21" s="100">
        <f>Model!CD130</f>
        <v/>
      </c>
      <c r="H21" s="100">
        <f>Model!CE130</f>
        <v/>
      </c>
      <c r="I21" s="90">
        <f>IFERROR((H21/C21)^(1/5)-1,"n/m")</f>
        <v/>
      </c>
      <c r="N21" s="87" t="inlineStr">
        <is>
          <t>FDSO (m)</t>
        </is>
      </c>
      <c r="O21" s="99" t="n">
        <v>211.598</v>
      </c>
      <c r="P21" s="100" t="n">
        <v>208.361442335803</v>
      </c>
      <c r="Q21" s="100" t="n">
        <v>203.291037407352</v>
      </c>
      <c r="R21" s="100" t="n">
        <v>197.382908731129</v>
      </c>
      <c r="S21" s="100" t="n">
        <v>191.895243771581</v>
      </c>
      <c r="T21" s="100" t="n">
        <v>186.035516577895</v>
      </c>
      <c r="U21" s="90" t="n">
        <v>-0.0254214215606329</v>
      </c>
      <c r="Z21" s="87" t="inlineStr">
        <is>
          <t>FDSO (m)</t>
        </is>
      </c>
      <c r="AA21" s="99" t="n">
        <v>211.598</v>
      </c>
      <c r="AB21" s="100" t="n">
        <v>208.676478375926</v>
      </c>
      <c r="AC21" s="100" t="n">
        <v>205.639794950157</v>
      </c>
      <c r="AD21" s="100" t="n">
        <v>201.739722603468</v>
      </c>
      <c r="AE21" s="100" t="n">
        <v>198.318025670402</v>
      </c>
      <c r="AF21" s="100" t="n">
        <v>194.976816940929</v>
      </c>
      <c r="AG21" s="90" t="n">
        <v>-0.016228394227614</v>
      </c>
    </row>
    <row r="23" ht="15" customHeight="1">
      <c r="B23" s="87" t="inlineStr">
        <is>
          <t>Adjusted EPS — Diluted ($)</t>
        </is>
      </c>
      <c r="C23" s="101">
        <f>Model!BV176</f>
        <v/>
      </c>
      <c r="D23" s="102">
        <f>Model!CA176</f>
        <v/>
      </c>
      <c r="E23" s="102">
        <f>Model!CB176</f>
        <v/>
      </c>
      <c r="F23" s="102">
        <f>Model!CC176</f>
        <v/>
      </c>
      <c r="G23" s="102">
        <f>Model!CD176</f>
        <v/>
      </c>
      <c r="H23" s="102">
        <f>Model!CE176</f>
        <v/>
      </c>
      <c r="I23" s="90">
        <f>IFERROR((H23/C23)^(1/5)-1,"n/m")</f>
        <v/>
      </c>
      <c r="N23" s="87" t="inlineStr">
        <is>
          <t>Adjusted EPS — Diluted ($)</t>
        </is>
      </c>
      <c r="O23" s="101" t="n">
        <v>4.84840298429351</v>
      </c>
      <c r="P23" s="102" t="n">
        <v>6.48346012338313</v>
      </c>
      <c r="Q23" s="102" t="n">
        <v>7.79913613669628</v>
      </c>
      <c r="R23" s="102" t="n">
        <v>9.33015219663724</v>
      </c>
      <c r="S23" s="102" t="n">
        <v>10.8933970744073</v>
      </c>
      <c r="T23" s="102" t="n">
        <v>12.6325357469997</v>
      </c>
      <c r="U23" s="90" t="n">
        <v>0.211095429579965</v>
      </c>
      <c r="Z23" s="87" t="inlineStr">
        <is>
          <t>Adjusted EPS — Diluted ($)</t>
        </is>
      </c>
      <c r="AA23" s="101" t="n">
        <v>4.84840298429351</v>
      </c>
      <c r="AB23" s="102" t="n">
        <v>5.64368117011857</v>
      </c>
      <c r="AC23" s="102" t="n">
        <v>6.11622821130825</v>
      </c>
      <c r="AD23" s="102" t="n">
        <v>6.7843115935798</v>
      </c>
      <c r="AE23" s="102" t="n">
        <v>7.30533915480153</v>
      </c>
      <c r="AF23" s="102" t="n">
        <v>7.78736331545008</v>
      </c>
      <c r="AG23" s="90" t="n">
        <v>0.09940661418927239</v>
      </c>
    </row>
    <row r="24" ht="15" customHeight="1">
      <c r="B24" s="91" t="inlineStr">
        <is>
          <t xml:space="preserve">   EPS y/y %</t>
        </is>
      </c>
      <c r="C24" s="92" t="n"/>
      <c r="D24" s="93">
        <f>IFERROR(D23/C23-1,"")</f>
        <v/>
      </c>
      <c r="E24" s="93">
        <f>IFERROR(E23/D23-1,"")</f>
        <v/>
      </c>
      <c r="F24" s="93">
        <f>IFERROR(F23/E23-1,"")</f>
        <v/>
      </c>
      <c r="G24" s="93">
        <f>IFERROR(G23/F23-1,"")</f>
        <v/>
      </c>
      <c r="H24" s="93">
        <f>IFERROR(H23/G23-1,"")</f>
        <v/>
      </c>
      <c r="N24" s="91" t="inlineStr">
        <is>
          <t xml:space="preserve">   EPS y/y %</t>
        </is>
      </c>
      <c r="O24" s="92" t="n"/>
      <c r="P24" s="93" t="n">
        <v>0.33723622899879</v>
      </c>
      <c r="Q24" s="93" t="n">
        <v>0.202928064378473</v>
      </c>
      <c r="R24" s="93" t="n">
        <v>0.19630585145671</v>
      </c>
      <c r="S24" s="93" t="n">
        <v>0.16754762889436</v>
      </c>
      <c r="T24" s="93" t="n">
        <v>0.159650718753133</v>
      </c>
      <c r="Z24" s="91" t="inlineStr">
        <is>
          <t xml:space="preserve">   EPS y/y %</t>
        </is>
      </c>
      <c r="AA24" s="92" t="n"/>
      <c r="AB24" s="93" t="n">
        <v>0.164028895370575</v>
      </c>
      <c r="AC24" s="93" t="n">
        <v>0.0837302864824587</v>
      </c>
      <c r="AD24" s="93" t="n">
        <v>0.109231271167471</v>
      </c>
      <c r="AE24" s="93" t="n">
        <v>0.07679888431344969</v>
      </c>
      <c r="AF24" s="93" t="n">
        <v>0.0659824479650253</v>
      </c>
    </row>
    <row r="26" ht="15" customHeight="1">
      <c r="B26" s="91" t="inlineStr">
        <is>
          <t>P / E (x) — assumed (adjusted EPS)</t>
        </is>
      </c>
      <c r="C26" s="103" t="n"/>
      <c r="D26" s="103" t="n"/>
      <c r="E26" s="103" t="n"/>
      <c r="F26" s="103" t="n"/>
      <c r="G26" s="103" t="n">
        <v>28</v>
      </c>
      <c r="H26" s="103" t="n">
        <v>28</v>
      </c>
      <c r="N26" s="91" t="inlineStr">
        <is>
          <t>P / E (x) — assumed (adjusted EPS)</t>
        </is>
      </c>
      <c r="O26" s="103" t="n"/>
      <c r="P26" s="103" t="n"/>
      <c r="Q26" s="103" t="n"/>
      <c r="R26" s="103" t="n"/>
      <c r="S26" s="103" t="n">
        <v>32</v>
      </c>
      <c r="T26" s="103" t="n">
        <v>32</v>
      </c>
      <c r="Z26" s="91" t="inlineStr">
        <is>
          <t>P / E (x) — assumed (adjusted EPS)</t>
        </is>
      </c>
      <c r="AA26" s="103" t="n"/>
      <c r="AB26" s="103" t="n"/>
      <c r="AC26" s="103" t="n"/>
      <c r="AD26" s="103" t="n">
        <v>22</v>
      </c>
      <c r="AE26" s="103" t="n">
        <v>22</v>
      </c>
      <c r="AF26" s="103" t="n">
        <v>22</v>
      </c>
    </row>
    <row r="27" ht="15" customHeight="1">
      <c r="B27" s="11" t="inlineStr">
        <is>
          <t>Price Target ($)</t>
        </is>
      </c>
      <c r="C27" s="104" t="n"/>
      <c r="D27" s="104" t="n"/>
      <c r="E27" s="104" t="n"/>
      <c r="F27" s="104" t="n"/>
      <c r="G27" s="104">
        <f>G26*G23</f>
        <v/>
      </c>
      <c r="H27" s="104">
        <f>H26*H23</f>
        <v/>
      </c>
      <c r="N27" s="11" t="inlineStr">
        <is>
          <t>Price Target ($)</t>
        </is>
      </c>
      <c r="O27" s="104" t="n"/>
      <c r="P27" s="104" t="n"/>
      <c r="Q27" s="104" t="n"/>
      <c r="R27" s="104" t="n"/>
      <c r="S27" s="104">
        <f>S26*S23</f>
        <v/>
      </c>
      <c r="T27" s="104">
        <f>T26*T23</f>
        <v/>
      </c>
      <c r="Z27" s="11" t="inlineStr">
        <is>
          <t>Price Target ($)</t>
        </is>
      </c>
      <c r="AA27" s="104" t="n"/>
      <c r="AB27" s="104" t="n"/>
      <c r="AC27" s="104" t="n"/>
      <c r="AD27" s="104">
        <f>AD26*AD23</f>
        <v/>
      </c>
      <c r="AE27" s="104">
        <f>AE26*AE23</f>
        <v/>
      </c>
      <c r="AF27" s="104">
        <f>AF26*AF23</f>
        <v/>
      </c>
    </row>
    <row r="28" ht="15" customHeight="1">
      <c r="B28" t="inlineStr">
        <is>
          <t xml:space="preserve">   Upside / (Downside) vs current</t>
        </is>
      </c>
      <c r="E28" s="105" t="n"/>
      <c r="F28" s="105" t="n"/>
      <c r="G28" s="105">
        <f>IFERROR(G27/$K$2-1,"")</f>
        <v/>
      </c>
      <c r="H28" s="105">
        <f>IFERROR(H27/$K$2-1,"")</f>
        <v/>
      </c>
      <c r="N28" t="inlineStr">
        <is>
          <t xml:space="preserve">   Upside / (Downside) vs current</t>
        </is>
      </c>
      <c r="O28" s="105" t="n"/>
      <c r="P28" s="105" t="n"/>
      <c r="Q28" s="105" t="n"/>
      <c r="R28" s="105" t="n"/>
      <c r="S28" s="105">
        <f>IFERROR(S27/$K$2-1,"")</f>
        <v/>
      </c>
      <c r="T28" s="105">
        <f>IFERROR(T27/$K$2-1,"")</f>
        <v/>
      </c>
      <c r="Z28" t="inlineStr">
        <is>
          <t xml:space="preserve">   Upside / (Downside) vs current</t>
        </is>
      </c>
      <c r="AA28" s="105" t="n"/>
      <c r="AB28" s="105" t="n"/>
      <c r="AC28" s="105" t="n"/>
      <c r="AD28" s="105">
        <f>IFERROR(AD27/$K$2-1,"")</f>
        <v/>
      </c>
      <c r="AE28" s="105">
        <f>IFERROR(AE27/$K$2-1,"")</f>
        <v/>
      </c>
      <c r="AF28" s="105">
        <f>IFERROR(AF27/$K$2-1,"")</f>
        <v/>
      </c>
    </row>
    <row r="29" ht="15" customHeight="1">
      <c r="B29" s="83" t="inlineStr">
        <is>
          <t>IRR (to Dec-Y-1)</t>
        </is>
      </c>
      <c r="C29" s="106" t="n"/>
      <c r="D29" s="106" t="n"/>
      <c r="E29" s="106" t="n"/>
      <c r="F29" s="106" t="n"/>
      <c r="G29" s="106">
        <f>IFERROR((G27/$K$2)^(1/((DATE(2029-1,12,31)-$K$3)/365.25))-1,"")</f>
        <v/>
      </c>
      <c r="H29" s="106">
        <f>IFERROR((H27/$K$2)^(1/((DATE(2030-1,12,31)-$K$3)/365.25))-1,"")</f>
        <v/>
      </c>
      <c r="N29" s="83" t="inlineStr">
        <is>
          <t>IRR (to Dec-Y-1)</t>
        </is>
      </c>
      <c r="O29" s="106" t="n"/>
      <c r="P29" s="106" t="n"/>
      <c r="Q29" s="106" t="n"/>
      <c r="R29" s="106" t="n"/>
      <c r="S29" s="106">
        <f>IFERROR((S27/$K$2)^(1/((DATE(2029-1,12,31)-$K$3)/365.25))-1,"")</f>
        <v/>
      </c>
      <c r="T29" s="106">
        <f>IFERROR((T27/$K$2)^(1/((DATE(2030-1,12,31)-$K$3)/365.25))-1,"")</f>
        <v/>
      </c>
      <c r="Z29" s="83" t="inlineStr">
        <is>
          <t>IRR (to Dec-Y-1)</t>
        </is>
      </c>
      <c r="AA29" s="106" t="n"/>
      <c r="AB29" s="106" t="n"/>
      <c r="AC29" s="106" t="n"/>
      <c r="AD29" s="106">
        <f>IFERROR((AD27/$K$2)^(1/((DATE(2028-1,12,31)-$K$3)/365.25))-1,"")</f>
        <v/>
      </c>
      <c r="AE29" s="106">
        <f>IFERROR((AE27/$K$2)^(1/((DATE(2029-1,12,31)-$K$3)/365.25))-1,"")</f>
        <v/>
      </c>
      <c r="AF29" s="106">
        <f>IFERROR((AF27/$K$2)^(1/((DATE(2030-1,12,31)-$K$3)/365.25))-1,"")</f>
        <v/>
      </c>
    </row>
    <row r="31" ht="15" customHeight="1">
      <c r="B31" s="87" t="inlineStr">
        <is>
          <t>Free Cash Flow</t>
        </is>
      </c>
      <c r="C31" s="88">
        <f>Model!BV226</f>
        <v/>
      </c>
      <c r="D31" s="89">
        <f>Model!CA226</f>
        <v/>
      </c>
      <c r="E31" s="89">
        <f>Model!CB226</f>
        <v/>
      </c>
      <c r="F31" s="89">
        <f>Model!CC226</f>
        <v/>
      </c>
      <c r="G31" s="89">
        <f>Model!CD226</f>
        <v/>
      </c>
      <c r="H31" s="89">
        <f>Model!CE226</f>
        <v/>
      </c>
      <c r="I31" s="90">
        <f>IFERROR((H31/C31)^(1/5)-1,"n/m")</f>
        <v/>
      </c>
      <c r="N31" s="87" t="inlineStr">
        <is>
          <t>Free Cash Flow</t>
        </is>
      </c>
      <c r="O31" s="88" t="n">
        <v>955.099</v>
      </c>
      <c r="P31" s="89" t="n">
        <v>1292.55440972336</v>
      </c>
      <c r="Q31" s="89" t="n">
        <v>1309.97464725744</v>
      </c>
      <c r="R31" s="89" t="n">
        <v>1526.40049892699</v>
      </c>
      <c r="S31" s="89" t="n">
        <v>1737.95124652271</v>
      </c>
      <c r="T31" s="89" t="n">
        <v>1958.97617977389</v>
      </c>
      <c r="U31" s="90" t="n">
        <v>0.154505890135217</v>
      </c>
      <c r="Z31" s="87" t="inlineStr">
        <is>
          <t>Free Cash Flow</t>
        </is>
      </c>
      <c r="AA31" s="88" t="n">
        <v>955.099</v>
      </c>
      <c r="AB31" s="89" t="n">
        <v>1124.3821446924</v>
      </c>
      <c r="AC31" s="89" t="n">
        <v>1017.35237430966</v>
      </c>
      <c r="AD31" s="89" t="n">
        <v>1112.65707796153</v>
      </c>
      <c r="AE31" s="89" t="n">
        <v>1183.57232354504</v>
      </c>
      <c r="AF31" s="89" t="n">
        <v>1245.57135237175</v>
      </c>
      <c r="AG31" s="90" t="n">
        <v>0.0545423952285147</v>
      </c>
    </row>
    <row r="32" ht="15" customHeight="1">
      <c r="B32" s="91" t="inlineStr">
        <is>
          <t xml:space="preserve">   FCF %</t>
        </is>
      </c>
      <c r="C32" s="96">
        <f>IFERROR(C31/C9,"")</f>
        <v/>
      </c>
      <c r="D32" s="97">
        <f>IFERROR(D31/D9,"")</f>
        <v/>
      </c>
      <c r="E32" s="97">
        <f>IFERROR(E31/E9,"")</f>
        <v/>
      </c>
      <c r="F32" s="97">
        <f>IFERROR(F31/F9,"")</f>
        <v/>
      </c>
      <c r="G32" s="97">
        <f>IFERROR(G31/G9,"")</f>
        <v/>
      </c>
      <c r="H32" s="97">
        <f>IFERROR(H31/H9,"")</f>
        <v/>
      </c>
      <c r="J32" s="98">
        <f>IFERROR(AVERAGE(Model!C228,Model!D228,Model!E228,Model!F228,Model!G228,Model!H228,Model!I228,Model!N228,Model!S228,Model!X228,Model!AC228,Model!AH228,Model!AM228,Model!AR228,Model!AW228,Model!BB228,Model!BG228,Model!BL228,Model!BQ228,Model!BV228),"")</f>
        <v/>
      </c>
      <c r="K32" s="98">
        <f>IFERROR(MIN(Model!C228,Model!D228,Model!E228,Model!F228,Model!G228,Model!H228,Model!I228,Model!N228,Model!S228,Model!X228,Model!AC228,Model!AH228,Model!AM228,Model!AR228,Model!AW228,Model!BB228,Model!BG228,Model!BL228,Model!BQ228,Model!BV228),"")</f>
        <v/>
      </c>
      <c r="L32" s="98">
        <f>IFERROR(MAX(Model!C228,Model!D228,Model!E228,Model!F228,Model!G228,Model!H228,Model!I228,Model!N228,Model!S228,Model!X228,Model!AC228,Model!AH228,Model!AM228,Model!AR228,Model!AW228,Model!BB228,Model!BG228,Model!BL228,Model!BQ228,Model!BV228),"")</f>
        <v/>
      </c>
      <c r="N32" s="91" t="inlineStr">
        <is>
          <t xml:space="preserve">   FCF %</t>
        </is>
      </c>
      <c r="O32" s="96" t="n">
        <v>0.173768450522698</v>
      </c>
      <c r="P32" s="97" t="n">
        <v>0.215121135674063</v>
      </c>
      <c r="Q32" s="97" t="n">
        <v>0.193487439191352</v>
      </c>
      <c r="R32" s="97" t="n">
        <v>0.199063259478261</v>
      </c>
      <c r="S32" s="97" t="n">
        <v>0.202781088124967</v>
      </c>
      <c r="T32" s="97" t="n">
        <v>0.206424188123757</v>
      </c>
      <c r="V32" s="98" t="n">
        <v>0.0589085613000235</v>
      </c>
      <c r="W32" s="98" t="n">
        <v>-0.0643949221087466</v>
      </c>
      <c r="X32" s="98" t="n">
        <v>0.176318867961652</v>
      </c>
      <c r="Z32" s="91" t="inlineStr">
        <is>
          <t xml:space="preserve">   FCF %</t>
        </is>
      </c>
      <c r="AA32" s="96" t="n">
        <v>0.173768450522698</v>
      </c>
      <c r="AB32" s="97" t="n">
        <v>0.191992998458523</v>
      </c>
      <c r="AC32" s="97" t="n">
        <v>0.165578071408636</v>
      </c>
      <c r="AD32" s="97" t="n">
        <v>0.171707591394026</v>
      </c>
      <c r="AE32" s="97" t="n">
        <v>0.175576126303553</v>
      </c>
      <c r="AF32" s="97" t="n">
        <v>0.179354724664544</v>
      </c>
      <c r="AH32" s="98" t="n">
        <v>0.0589085613000235</v>
      </c>
      <c r="AI32" s="98" t="n">
        <v>-0.0643949221087466</v>
      </c>
      <c r="AJ32" s="98" t="n">
        <v>0.176318867961652</v>
      </c>
    </row>
    <row r="33" ht="15" customHeight="1">
      <c r="B33" s="91" t="inlineStr">
        <is>
          <t xml:space="preserve">   FCF / share ($)</t>
        </is>
      </c>
      <c r="C33" s="107">
        <f>IFERROR(C31/C21,"")</f>
        <v/>
      </c>
      <c r="D33" s="108">
        <f>IFERROR(D31/D21,"")</f>
        <v/>
      </c>
      <c r="E33" s="108">
        <f>IFERROR(E31/E21,"")</f>
        <v/>
      </c>
      <c r="F33" s="108">
        <f>IFERROR(F31/F21,"")</f>
        <v/>
      </c>
      <c r="G33" s="108">
        <f>IFERROR(G31/G21,"")</f>
        <v/>
      </c>
      <c r="H33" s="108">
        <f>IFERROR(H31/H21,"")</f>
        <v/>
      </c>
      <c r="N33" s="91" t="inlineStr">
        <is>
          <t xml:space="preserve">   FCF / share ($)</t>
        </is>
      </c>
      <c r="O33" s="107" t="n">
        <v>4.51374304104954</v>
      </c>
      <c r="P33" s="108" t="n">
        <v>6.20342418075714</v>
      </c>
      <c r="Q33" s="108" t="n">
        <v>6.44383866580665</v>
      </c>
      <c r="R33" s="108" t="n">
        <v>7.73319487862154</v>
      </c>
      <c r="S33" s="108" t="n">
        <v>9.05677083164943</v>
      </c>
      <c r="T33" s="108" t="n">
        <v>10.5301192794208</v>
      </c>
      <c r="Z33" s="91" t="inlineStr">
        <is>
          <t xml:space="preserve">   FCF / share ($)</t>
        </is>
      </c>
      <c r="AA33" s="107" t="n">
        <v>4.51374304104954</v>
      </c>
      <c r="AB33" s="108" t="n">
        <v>5.38815947749917</v>
      </c>
      <c r="AC33" s="108" t="n">
        <v>4.94725437046974</v>
      </c>
      <c r="AD33" s="108" t="n">
        <v>5.51530984380563</v>
      </c>
      <c r="AE33" s="108" t="n">
        <v>5.96805217046735</v>
      </c>
      <c r="AF33" s="108" t="n">
        <v>6.38830488626305</v>
      </c>
    </row>
    <row r="34" ht="15" customHeight="1">
      <c r="B34" s="91" t="inlineStr">
        <is>
          <t xml:space="preserve">   FCF Yield (on PT)</t>
        </is>
      </c>
      <c r="E34" s="109" t="n"/>
      <c r="F34" s="109">
        <f>IFERROR(F33/F$27,"")</f>
        <v/>
      </c>
      <c r="G34" s="109">
        <f>IFERROR(G33/G$27,"")</f>
        <v/>
      </c>
      <c r="H34" s="109">
        <f>IFERROR(H33/H$27,"")</f>
        <v/>
      </c>
      <c r="N34" s="91" t="inlineStr">
        <is>
          <t xml:space="preserve">   FCF Yield (on PT)</t>
        </is>
      </c>
      <c r="Q34" s="109" t="n"/>
      <c r="R34" s="109">
        <f>IFERROR(R33/R$27,"")</f>
        <v/>
      </c>
      <c r="S34" s="109">
        <f>IFERROR(S33/S$27,"")</f>
        <v/>
      </c>
      <c r="T34" s="109">
        <f>IFERROR(T33/T$27,"")</f>
        <v/>
      </c>
      <c r="Z34" s="91" t="inlineStr">
        <is>
          <t xml:space="preserve">   FCF Yield (on PT)</t>
        </is>
      </c>
      <c r="AC34" s="109" t="n"/>
      <c r="AD34" s="109">
        <f>IFERROR(AD33/AD$27,"")</f>
        <v/>
      </c>
      <c r="AE34" s="109">
        <f>IFERROR(AE33/AE$27,"")</f>
        <v/>
      </c>
      <c r="AF34" s="109">
        <f>IFERROR(AF33/AF$27,"")</f>
        <v/>
      </c>
    </row>
    <row r="35" ht="15" customHeight="1">
      <c r="B35" s="87" t="inlineStr">
        <is>
          <t>Adjusted EBITDA (leverage basis)</t>
        </is>
      </c>
      <c r="C35" s="88">
        <f>Model!BV157</f>
        <v/>
      </c>
      <c r="D35" s="89">
        <f>Model!CA157</f>
        <v/>
      </c>
      <c r="E35" s="89">
        <f>Model!CB157</f>
        <v/>
      </c>
      <c r="F35" s="89">
        <f>Model!CC157</f>
        <v/>
      </c>
      <c r="G35" s="89">
        <f>Model!CD157</f>
        <v/>
      </c>
      <c r="H35" s="89">
        <f>Model!CE157</f>
        <v/>
      </c>
      <c r="I35" s="90">
        <f>IFERROR((H35/C35)^(1/5)-1,"n/m")</f>
        <v/>
      </c>
      <c r="N35" s="87" t="inlineStr">
        <is>
          <t>Adjusted EBITDA (leverage basis)</t>
        </is>
      </c>
      <c r="O35" s="88" t="n">
        <v>1728.666</v>
      </c>
      <c r="P35" s="89" t="n">
        <v>2167.88879616761</v>
      </c>
      <c r="Q35" s="89" t="n">
        <v>2545.64569890082</v>
      </c>
      <c r="R35" s="89" t="n">
        <v>2959.81586019474</v>
      </c>
      <c r="S35" s="89" t="n">
        <v>3351.09621747174</v>
      </c>
      <c r="T35" s="89" t="n">
        <v>3758.0604009709</v>
      </c>
      <c r="U35" s="90" t="n">
        <v>0.168020682817511</v>
      </c>
      <c r="Z35" s="87" t="inlineStr">
        <is>
          <t>Adjusted EBITDA (leverage basis)</t>
        </is>
      </c>
      <c r="AA35" s="88" t="n">
        <v>1728.666</v>
      </c>
      <c r="AB35" s="89" t="n">
        <v>1936.95600713045</v>
      </c>
      <c r="AC35" s="89" t="n">
        <v>2064.46659790131</v>
      </c>
      <c r="AD35" s="89" t="n">
        <v>2242.06364930748</v>
      </c>
      <c r="AE35" s="89" t="n">
        <v>2366.11830042353</v>
      </c>
      <c r="AF35" s="89" t="n">
        <v>2472.32629234441</v>
      </c>
      <c r="AG35" s="90" t="n">
        <v>0.0741846435461691</v>
      </c>
    </row>
    <row r="36" ht="15" customHeight="1">
      <c r="B36" s="91" t="inlineStr">
        <is>
          <t xml:space="preserve">   Adjusted EBITDA % of revenue</t>
        </is>
      </c>
      <c r="C36" s="96">
        <f>IFERROR(C35/C9,"")</f>
        <v/>
      </c>
      <c r="D36" s="97">
        <f>IFERROR(D35/D9,"")</f>
        <v/>
      </c>
      <c r="E36" s="97">
        <f>IFERROR(E35/E9,"")</f>
        <v/>
      </c>
      <c r="F36" s="97">
        <f>IFERROR(F35/F9,"")</f>
        <v/>
      </c>
      <c r="G36" s="97">
        <f>IFERROR(G35/G9,"")</f>
        <v/>
      </c>
      <c r="H36" s="97">
        <f>IFERROR(H35/H9,"")</f>
        <v/>
      </c>
      <c r="J36" s="98">
        <f>IFERROR(AVERAGE(Model!C192,Model!D192,Model!E192,Model!F192,Model!G192,Model!H192,Model!I192,Model!N192,Model!S192,Model!X192,Model!AC192,Model!AH192,Model!AM192,Model!AR192,Model!AW192,Model!BB192,Model!BG192,Model!BL192,Model!BQ192,Model!BV192),"")</f>
        <v/>
      </c>
      <c r="K36" s="98">
        <f>IFERROR(MIN(Model!C192,Model!D192,Model!E192,Model!F192,Model!G192,Model!H192,Model!I192,Model!N192,Model!S192,Model!X192,Model!AC192,Model!AH192,Model!AM192,Model!AR192,Model!AW192,Model!BB192,Model!BG192,Model!BL192,Model!BQ192,Model!BV192),"")</f>
        <v/>
      </c>
      <c r="L36" s="98">
        <f>IFERROR(MAX(Model!C192,Model!D192,Model!E192,Model!F192,Model!G192,Model!H192,Model!I192,Model!N192,Model!S192,Model!X192,Model!AC192,Model!AH192,Model!AM192,Model!AR192,Model!AW192,Model!BB192,Model!BG192,Model!BL192,Model!BQ192,Model!BV192),"")</f>
        <v/>
      </c>
      <c r="N36" s="91" t="inlineStr">
        <is>
          <t xml:space="preserve">   Adjusted EBITDA % of revenue</t>
        </is>
      </c>
      <c r="O36" s="96" t="n">
        <v>0.314509398807108</v>
      </c>
      <c r="P36" s="97" t="n">
        <v>0.360803921551333</v>
      </c>
      <c r="Q36" s="97" t="n">
        <v>0.376</v>
      </c>
      <c r="R36" s="97" t="n">
        <v>0.386</v>
      </c>
      <c r="S36" s="97" t="n">
        <v>0.391</v>
      </c>
      <c r="T36" s="97" t="n">
        <v>0.396</v>
      </c>
      <c r="V36" s="98" t="n">
        <v>0.230233367019462</v>
      </c>
      <c r="W36" s="98" t="n">
        <v>0.132809105184316</v>
      </c>
      <c r="X36" s="98" t="n">
        <v>0.335052907496186</v>
      </c>
      <c r="Z36" s="91" t="inlineStr">
        <is>
          <t xml:space="preserve">   Adjusted EBITDA % of revenue</t>
        </is>
      </c>
      <c r="AA36" s="96" t="n">
        <v>0.314509398807108</v>
      </c>
      <c r="AB36" s="97" t="n">
        <v>0.3307434162368</v>
      </c>
      <c r="AC36" s="97" t="n">
        <v>0.336</v>
      </c>
      <c r="AD36" s="97" t="n">
        <v>0.346</v>
      </c>
      <c r="AE36" s="97" t="n">
        <v>0.351</v>
      </c>
      <c r="AF36" s="97" t="n">
        <v>0.356</v>
      </c>
      <c r="AH36" s="98" t="n">
        <v>0.230233367019462</v>
      </c>
      <c r="AI36" s="98" t="n">
        <v>0.132809105184316</v>
      </c>
      <c r="AJ36" s="98" t="n">
        <v>0.335052907496186</v>
      </c>
    </row>
    <row r="38" ht="15" customHeight="1">
      <c r="B38" s="87" t="inlineStr">
        <is>
          <t>Net Debt (negative = net cash)</t>
        </is>
      </c>
      <c r="C38" s="88">
        <f>Model!BV350</f>
        <v/>
      </c>
      <c r="D38" s="89">
        <f>Model!CA350</f>
        <v/>
      </c>
      <c r="E38" s="89">
        <f>Model!CB350</f>
        <v/>
      </c>
      <c r="F38" s="89">
        <f>Model!CC350</f>
        <v/>
      </c>
      <c r="G38" s="89">
        <f>Model!CD350</f>
        <v/>
      </c>
      <c r="H38" s="89">
        <f>Model!CE350</f>
        <v/>
      </c>
      <c r="N38" s="87" t="inlineStr">
        <is>
          <t>Net Debt (negative = net cash)</t>
        </is>
      </c>
      <c r="O38" s="88" t="n">
        <v>-80.096</v>
      </c>
      <c r="P38" s="89" t="n">
        <v>-529.914896613824</v>
      </c>
      <c r="Q38" s="89" t="n">
        <v>-150.003</v>
      </c>
      <c r="R38" s="89" t="n">
        <v>-150.003</v>
      </c>
      <c r="S38" s="89" t="n">
        <v>-150.003</v>
      </c>
      <c r="T38" s="89" t="n">
        <v>-150.003</v>
      </c>
      <c r="Z38" s="87" t="inlineStr">
        <is>
          <t>Net Debt (negative = net cash)</t>
        </is>
      </c>
      <c r="AA38" s="88" t="n">
        <v>-80.096</v>
      </c>
      <c r="AB38" s="89" t="n">
        <v>-611.377189776323</v>
      </c>
      <c r="AC38" s="89" t="n">
        <v>-400.003</v>
      </c>
      <c r="AD38" s="89" t="n">
        <v>-400.003</v>
      </c>
      <c r="AE38" s="89" t="n">
        <v>-400.003</v>
      </c>
      <c r="AF38" s="89" t="n">
        <v>-400.003</v>
      </c>
    </row>
    <row r="39" ht="15" customHeight="1">
      <c r="B39" s="91" t="inlineStr">
        <is>
          <t xml:space="preserve">   Net Debt / Adjusted EBITDA (x)</t>
        </is>
      </c>
      <c r="C39" s="110">
        <f>IFERROR(C38/C35,"")</f>
        <v/>
      </c>
      <c r="D39" s="111">
        <f>IFERROR(D38/D35,"")</f>
        <v/>
      </c>
      <c r="E39" s="111">
        <f>IFERROR(E38/E35,"")</f>
        <v/>
      </c>
      <c r="F39" s="111">
        <f>IFERROR(F38/F35,"")</f>
        <v/>
      </c>
      <c r="G39" s="111">
        <f>IFERROR(G38/G35,"")</f>
        <v/>
      </c>
      <c r="H39" s="111">
        <f>IFERROR(H38/H35,"")</f>
        <v/>
      </c>
      <c r="N39" s="91" t="inlineStr">
        <is>
          <t xml:space="preserve">   Net Debt / Adjusted EBITDA (x)</t>
        </is>
      </c>
      <c r="O39" s="110" t="n">
        <v>-0.0463339939583471</v>
      </c>
      <c r="P39" s="111" t="n">
        <v>-0.244438228358671</v>
      </c>
      <c r="Q39" s="111" t="n">
        <v>-0.0589253249439894</v>
      </c>
      <c r="R39" s="111" t="n">
        <v>-0.0506798419514282</v>
      </c>
      <c r="S39" s="111" t="n">
        <v>-0.0447623673763599</v>
      </c>
      <c r="T39" s="111" t="n">
        <v>-0.039915005081144</v>
      </c>
      <c r="Z39" s="91" t="inlineStr">
        <is>
          <t xml:space="preserve">   Net Debt / Adjusted EBITDA (x)</t>
        </is>
      </c>
      <c r="AA39" s="110" t="n">
        <v>-0.0463339939583471</v>
      </c>
      <c r="AB39" s="111" t="n">
        <v>-0.31563813918627</v>
      </c>
      <c r="AC39" s="111" t="n">
        <v>-0.19375610165194</v>
      </c>
      <c r="AD39" s="111" t="n">
        <v>-0.178408405186691</v>
      </c>
      <c r="AE39" s="111" t="n">
        <v>-0.169054522729654</v>
      </c>
      <c r="AF39" s="111" t="n">
        <v>-0.161792155525189</v>
      </c>
    </row>
    <row r="41" ht="15" customHeight="1">
      <c r="B41" s="87" t="inlineStr">
        <is>
          <t>ROIC</t>
        </is>
      </c>
      <c r="C41" s="94">
        <f>Model!BV332</f>
        <v/>
      </c>
      <c r="D41" s="95">
        <f>Model!CA332</f>
        <v/>
      </c>
      <c r="E41" s="95">
        <f>Model!CB332</f>
        <v/>
      </c>
      <c r="F41" s="95">
        <f>Model!CC332</f>
        <v/>
      </c>
      <c r="G41" s="95">
        <f>Model!CD332</f>
        <v/>
      </c>
      <c r="H41" s="95">
        <f>Model!CE332</f>
        <v/>
      </c>
      <c r="J41" s="98">
        <f>IFERROR(AVERAGE(Model!C332,Model!D332,Model!E332,Model!F332,Model!G332,Model!H332,Model!I332,Model!N332,Model!S332,Model!X332,Model!AC332,Model!AH332,Model!AM332,Model!AR332,Model!AW332,Model!BB332,Model!BG332,Model!BL332,Model!BQ332,Model!BV332),"")</f>
        <v/>
      </c>
      <c r="K41" s="98">
        <f>IFERROR(MIN(Model!C332,Model!D332,Model!E332,Model!F332,Model!G332,Model!H332,Model!I332,Model!N332,Model!S332,Model!X332,Model!AC332,Model!AH332,Model!AM332,Model!AR332,Model!AW332,Model!BB332,Model!BG332,Model!BL332,Model!BQ332,Model!BV332),"")</f>
        <v/>
      </c>
      <c r="L41" s="98">
        <f>IFERROR(MAX(Model!C332,Model!D332,Model!E332,Model!F332,Model!G332,Model!H332,Model!I332,Model!N332,Model!S332,Model!X332,Model!AC332,Model!AH332,Model!AM332,Model!AR332,Model!AW332,Model!BB332,Model!BG332,Model!BL332,Model!BQ332,Model!BV332),"")</f>
        <v/>
      </c>
      <c r="N41" s="87" t="inlineStr">
        <is>
          <t>ROIC</t>
        </is>
      </c>
      <c r="O41" s="94" t="n">
        <v>0.24243064372126</v>
      </c>
      <c r="P41" s="95" t="n">
        <v>0.314541177573613</v>
      </c>
      <c r="Q41" s="95" t="n">
        <v>0.347230477375926</v>
      </c>
      <c r="R41" s="95" t="n">
        <v>0.381732465220777</v>
      </c>
      <c r="S41" s="95" t="n">
        <v>0.406237812613998</v>
      </c>
      <c r="T41" s="95" t="n">
        <v>0.427094145677392</v>
      </c>
      <c r="V41" s="98" t="n">
        <v>0.194498074210501</v>
      </c>
      <c r="W41" s="98" t="n">
        <v>0.0481287444746422</v>
      </c>
      <c r="X41" s="98" t="n">
        <v>0.387307855873596</v>
      </c>
      <c r="Z41" s="87" t="inlineStr">
        <is>
          <t>ROIC</t>
        </is>
      </c>
      <c r="AA41" s="94" t="n">
        <v>0.24243064372126</v>
      </c>
      <c r="AB41" s="95" t="n">
        <v>0.274440005489387</v>
      </c>
      <c r="AC41" s="95" t="n">
        <v>0.27679632083103</v>
      </c>
      <c r="AD41" s="95" t="n">
        <v>0.287832357609024</v>
      </c>
      <c r="AE41" s="95" t="n">
        <v>0.289998919266983</v>
      </c>
      <c r="AF41" s="95" t="n">
        <v>0.289561475083305</v>
      </c>
      <c r="AH41" s="98" t="n">
        <v>0.194498074210501</v>
      </c>
      <c r="AI41" s="98" t="n">
        <v>0.0481287444746422</v>
      </c>
      <c r="AJ41" s="98" t="n">
        <v>0.387307855873596</v>
      </c>
    </row>
    <row r="42" ht="15" customHeight="1">
      <c r="B42" s="87" t="inlineStr">
        <is>
          <t>RONTA</t>
        </is>
      </c>
      <c r="C42" s="94">
        <f>Model!BV344</f>
        <v/>
      </c>
      <c r="D42" s="95">
        <f>Model!CA344</f>
        <v/>
      </c>
      <c r="E42" s="95">
        <f>Model!CB344</f>
        <v/>
      </c>
      <c r="F42" s="95">
        <f>Model!CC344</f>
        <v/>
      </c>
      <c r="G42" s="95">
        <f>Model!CD344</f>
        <v/>
      </c>
      <c r="H42" s="95">
        <f>Model!CE344</f>
        <v/>
      </c>
      <c r="J42" s="98">
        <f>IFERROR(AVERAGE(Model!C344,Model!D344,Model!E344,Model!F344,Model!G344,Model!H344,Model!I344,Model!N344,Model!S344,Model!X344,Model!AC344,Model!AH344,Model!AM344,Model!AR344,Model!AW344,Model!BB344,Model!BG344,Model!BL344,Model!BQ344,Model!BV344),"")</f>
        <v/>
      </c>
      <c r="K42" s="98">
        <f>IFERROR(MIN(Model!C344,Model!D344,Model!E344,Model!F344,Model!G344,Model!H344,Model!I344,Model!N344,Model!S344,Model!X344,Model!AC344,Model!AH344,Model!AM344,Model!AR344,Model!AW344,Model!BB344,Model!BG344,Model!BL344,Model!BQ344,Model!BV344),"")</f>
        <v/>
      </c>
      <c r="L42" s="98">
        <f>IFERROR(MAX(Model!C344,Model!D344,Model!E344,Model!F344,Model!G344,Model!H344,Model!I344,Model!N344,Model!S344,Model!X344,Model!AC344,Model!AH344,Model!AM344,Model!AR344,Model!AW344,Model!BB344,Model!BG344,Model!BL344,Model!BQ344,Model!BV344),"")</f>
        <v/>
      </c>
      <c r="N42" s="87" t="inlineStr">
        <is>
          <t>RONTA</t>
        </is>
      </c>
      <c r="O42" s="94" t="n">
        <v>0.204886647539167</v>
      </c>
      <c r="P42" s="95" t="n">
        <v>0.245390805083026</v>
      </c>
      <c r="Q42" s="95" t="n">
        <v>0.293670617990118</v>
      </c>
      <c r="R42" s="95" t="n">
        <v>0.324699407289255</v>
      </c>
      <c r="S42" s="95" t="n">
        <v>0.347641523257129</v>
      </c>
      <c r="T42" s="95" t="n">
        <v>0.367788293056536</v>
      </c>
      <c r="V42" s="98" t="n">
        <v>0.154643097696494</v>
      </c>
      <c r="W42" s="98" t="n">
        <v>0.042068729915427</v>
      </c>
      <c r="X42" s="98" t="n">
        <v>0.314692033800629</v>
      </c>
      <c r="Z42" s="87" t="inlineStr">
        <is>
          <t>RONTA</t>
        </is>
      </c>
      <c r="AA42" s="94" t="n">
        <v>0.204886647539167</v>
      </c>
      <c r="AB42" s="95" t="n">
        <v>0.210913031820462</v>
      </c>
      <c r="AC42" s="95" t="n">
        <v>0.223303804114694</v>
      </c>
      <c r="AD42" s="95" t="n">
        <v>0.233631863600714</v>
      </c>
      <c r="AE42" s="95" t="n">
        <v>0.236778937230354</v>
      </c>
      <c r="AF42" s="95" t="n">
        <v>0.237750021670541</v>
      </c>
      <c r="AH42" s="98" t="n">
        <v>0.154643097696494</v>
      </c>
      <c r="AI42" s="98" t="n">
        <v>0.042068729915427</v>
      </c>
      <c r="AJ42" s="98" t="n">
        <v>0.314692033800629</v>
      </c>
    </row>
    <row r="44" ht="15" customHeight="1">
      <c r="B44" s="91" t="inlineStr">
        <is>
          <t>Implied Market Cap (USDm)</t>
        </is>
      </c>
      <c r="E44" s="112" t="n"/>
      <c r="F44" s="112">
        <f>F27*F21</f>
        <v/>
      </c>
      <c r="G44" s="112">
        <f>G27*G21</f>
        <v/>
      </c>
      <c r="H44" s="112">
        <f>H27*H21</f>
        <v/>
      </c>
      <c r="N44" s="91" t="inlineStr">
        <is>
          <t>Implied Market Cap (USDm)</t>
        </is>
      </c>
      <c r="Q44" s="112" t="n"/>
      <c r="R44" s="112">
        <f>R27*R21</f>
        <v/>
      </c>
      <c r="S44" s="112">
        <f>S27*S21</f>
        <v/>
      </c>
      <c r="T44" s="112">
        <f>T27*T21</f>
        <v/>
      </c>
      <c r="Z44" s="91" t="inlineStr">
        <is>
          <t>Implied Market Cap (USDm)</t>
        </is>
      </c>
      <c r="AC44" s="112" t="n"/>
      <c r="AD44" s="112">
        <f>AD27*AD21</f>
        <v/>
      </c>
      <c r="AE44" s="112">
        <f>AE27*AE21</f>
        <v/>
      </c>
      <c r="AF44" s="112">
        <f>AF27*AF21</f>
        <v/>
      </c>
    </row>
    <row r="45" ht="15" customHeight="1">
      <c r="B45" s="91" t="inlineStr">
        <is>
          <t>(+) Net Debt &amp; NCI</t>
        </is>
      </c>
      <c r="E45" s="112" t="n"/>
      <c r="F45" s="112">
        <f>F38+Model!CC359</f>
        <v/>
      </c>
      <c r="G45" s="112">
        <f>G38+Model!CD359</f>
        <v/>
      </c>
      <c r="H45" s="112">
        <f>H38+Model!CE359</f>
        <v/>
      </c>
      <c r="N45" s="91" t="inlineStr">
        <is>
          <t>(+) Net Debt &amp; NCI</t>
        </is>
      </c>
      <c r="Q45" s="112" t="n"/>
      <c r="R45" s="112">
        <f>R38+Model!CC359</f>
        <v/>
      </c>
      <c r="S45" s="112">
        <f>S38+Model!CD359</f>
        <v/>
      </c>
      <c r="T45" s="112">
        <f>T38+Model!CE359</f>
        <v/>
      </c>
      <c r="Z45" s="91" t="inlineStr">
        <is>
          <t>(+) Net Debt &amp; NCI</t>
        </is>
      </c>
      <c r="AC45" s="112" t="n"/>
      <c r="AD45" s="112">
        <f>AD38+Model!CC359</f>
        <v/>
      </c>
      <c r="AE45" s="112">
        <f>AE38+Model!CD359</f>
        <v/>
      </c>
      <c r="AF45" s="112">
        <f>AF38+Model!CE359</f>
        <v/>
      </c>
    </row>
    <row r="46" ht="15" customHeight="1">
      <c r="B46" s="91" t="inlineStr">
        <is>
          <t>Implied Enterprise Value (USDm)</t>
        </is>
      </c>
      <c r="E46" s="112" t="n"/>
      <c r="F46" s="112">
        <f>F44+F45</f>
        <v/>
      </c>
      <c r="G46" s="112">
        <f>G44+G45</f>
        <v/>
      </c>
      <c r="H46" s="112">
        <f>H44+H45</f>
        <v/>
      </c>
      <c r="N46" s="91" t="inlineStr">
        <is>
          <t>Implied Enterprise Value (USDm)</t>
        </is>
      </c>
      <c r="Q46" s="112" t="n"/>
      <c r="R46" s="112">
        <f>R44+R45</f>
        <v/>
      </c>
      <c r="S46" s="112">
        <f>S44+S45</f>
        <v/>
      </c>
      <c r="T46" s="112">
        <f>T44+T45</f>
        <v/>
      </c>
      <c r="Z46" s="91" t="inlineStr">
        <is>
          <t>Implied Enterprise Value (USDm)</t>
        </is>
      </c>
      <c r="AC46" s="112" t="n"/>
      <c r="AD46" s="112">
        <f>AD44+AD45</f>
        <v/>
      </c>
      <c r="AE46" s="112">
        <f>AE44+AE45</f>
        <v/>
      </c>
      <c r="AF46" s="112">
        <f>AF44+AF45</f>
        <v/>
      </c>
    </row>
    <row r="47" ht="15" customHeight="1">
      <c r="B47" s="91" t="inlineStr">
        <is>
          <t>Implied EV / Adjusted EBITDA (x)</t>
        </is>
      </c>
      <c r="E47" s="113" t="n"/>
      <c r="F47" s="113">
        <f>IFERROR(F46/F35,"")</f>
        <v/>
      </c>
      <c r="G47" s="113">
        <f>IFERROR(G46/G35,"")</f>
        <v/>
      </c>
      <c r="H47" s="113">
        <f>IFERROR(H46/H35,"")</f>
        <v/>
      </c>
      <c r="N47" s="91" t="inlineStr">
        <is>
          <t>Implied EV / Adjusted EBITDA (x)</t>
        </is>
      </c>
      <c r="Q47" s="113" t="n"/>
      <c r="R47" s="113">
        <f>IFERROR(R46/R35,"")</f>
        <v/>
      </c>
      <c r="S47" s="113">
        <f>IFERROR(S46/S35,"")</f>
        <v/>
      </c>
      <c r="T47" s="113">
        <f>IFERROR(T46/T35,"")</f>
        <v/>
      </c>
      <c r="Z47" s="91" t="inlineStr">
        <is>
          <t>Implied EV / Adjusted EBITDA (x)</t>
        </is>
      </c>
      <c r="AC47" s="113" t="n"/>
      <c r="AD47" s="113">
        <f>IFERROR(AD46/AD35,"")</f>
        <v/>
      </c>
      <c r="AE47" s="113">
        <f>IFERROR(AE46/AE35,"")</f>
        <v/>
      </c>
      <c r="AF47" s="113">
        <f>IFERROR(AF46/AF35,"")</f>
        <v/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Q118"/>
  <sheetViews>
    <sheetView topLeftCell="A21" zoomScale="60" zoomScaleNormal="60" workbookViewId="0">
      <selection activeCell="C59" sqref="C59"/>
    </sheetView>
  </sheetViews>
  <sheetFormatPr baseColWidth="8" defaultColWidth="8.5703125" defaultRowHeight="15"/>
  <cols>
    <col width="10.5703125" customWidth="1" min="1" max="1"/>
    <col width="50" customWidth="1" min="2" max="2"/>
    <col width="12.5703125" customWidth="1" min="3" max="14"/>
    <col width="13.28515625" customWidth="1" min="16" max="17"/>
  </cols>
  <sheetData>
    <row r="2" ht="17.25" customHeight="1">
      <c r="B2" s="117" t="inlineStr">
        <is>
          <t>DCF VALUATION — OLD DOMINION FREIGHT LINE (ODFL)</t>
        </is>
      </c>
      <c r="C2" s="118" t="n"/>
      <c r="D2" s="118" t="n"/>
      <c r="E2" s="118" t="n"/>
      <c r="F2" s="118" t="n"/>
      <c r="G2" s="118" t="n"/>
      <c r="H2" s="118" t="n"/>
      <c r="I2" s="118" t="n"/>
      <c r="J2" s="118" t="n"/>
      <c r="K2" s="118" t="n"/>
      <c r="L2" s="118" t="n"/>
      <c r="M2" s="118" t="n"/>
      <c r="N2" s="118" t="n"/>
      <c r="O2" s="118" t="n"/>
      <c r="P2" s="118" t="n"/>
      <c r="Q2" s="118" t="n"/>
    </row>
    <row r="3">
      <c r="B3" s="118" t="n"/>
      <c r="C3" s="118" t="n"/>
      <c r="D3" s="118" t="n"/>
      <c r="E3" s="118" t="n"/>
      <c r="F3" s="118" t="n"/>
      <c r="G3" s="118" t="n"/>
      <c r="H3" s="118" t="n"/>
      <c r="I3" s="118" t="n"/>
      <c r="J3" s="118" t="n"/>
      <c r="K3" s="118" t="n"/>
      <c r="L3" s="118" t="n"/>
      <c r="M3" s="118" t="n"/>
      <c r="N3" s="118" t="n"/>
      <c r="O3" s="118" t="n"/>
      <c r="P3" s="118" t="n"/>
      <c r="Q3" s="118" t="n"/>
    </row>
    <row r="4" ht="15" customHeight="1">
      <c r="B4" s="139" t="inlineStr">
        <is>
          <t>1. WACC BUILD</t>
        </is>
      </c>
      <c r="C4" s="118" t="n"/>
      <c r="D4" s="118" t="n"/>
      <c r="E4" s="118" t="n"/>
      <c r="F4" s="118" t="n"/>
      <c r="G4" s="118" t="n"/>
      <c r="H4" s="118" t="n"/>
      <c r="I4" s="118" t="n"/>
      <c r="J4" s="118" t="n"/>
      <c r="K4" s="118" t="n"/>
      <c r="L4" s="118" t="n"/>
      <c r="M4" s="118" t="n"/>
      <c r="N4" s="118" t="n"/>
      <c r="O4" s="118" t="n"/>
      <c r="P4" s="118" t="n"/>
      <c r="Q4" s="118" t="n"/>
    </row>
    <row r="5" ht="15" customHeight="1">
      <c r="B5" s="140" t="inlineStr">
        <is>
          <t>Risk-free rate (US 10Y govt)</t>
        </is>
      </c>
      <c r="C5" s="141" t="n">
        <v>0.055</v>
      </c>
      <c r="D5" s="142" t="inlineStr">
        <is>
          <t>Assumption (~US 10Y Treasury yield); update to market</t>
        </is>
      </c>
      <c r="E5" s="118" t="n"/>
      <c r="F5" s="118" t="n"/>
      <c r="G5" s="118" t="n"/>
      <c r="H5" s="118" t="n"/>
      <c r="I5" s="118" t="n"/>
      <c r="J5" s="118" t="n"/>
      <c r="K5" s="118" t="n"/>
      <c r="L5" s="118" t="n"/>
      <c r="M5" s="118" t="n"/>
      <c r="N5" s="118" t="n"/>
      <c r="O5" s="118" t="n"/>
      <c r="P5" s="118" t="n"/>
      <c r="Q5" s="118" t="n"/>
    </row>
    <row r="6" ht="15" customHeight="1">
      <c r="B6" s="140" t="inlineStr">
        <is>
          <t>Equity risk premium</t>
        </is>
      </c>
      <c r="C6" s="141" t="n">
        <v>0.05</v>
      </c>
      <c r="D6" s="142" t="inlineStr">
        <is>
          <t>US implied ERP ~4.5–5.5% (Damodaran)</t>
        </is>
      </c>
      <c r="E6" s="118" t="n"/>
      <c r="F6" s="118" t="n"/>
      <c r="G6" s="118" t="n"/>
      <c r="H6" s="118" t="n"/>
      <c r="I6" s="118" t="n"/>
      <c r="J6" s="118" t="n"/>
      <c r="K6" s="118" t="n"/>
      <c r="L6" s="118" t="n"/>
      <c r="M6" s="118" t="n"/>
      <c r="N6" s="118" t="n"/>
      <c r="O6" s="118" t="n"/>
      <c r="P6" s="118" t="n"/>
      <c r="Q6" s="118" t="n"/>
    </row>
    <row r="7" ht="15" customHeight="1">
      <c r="B7" s="140" t="inlineStr">
        <is>
          <t>Levered beta</t>
        </is>
      </c>
      <c r="C7" s="143" t="n">
        <v>1.05</v>
      </c>
      <c r="D7" s="142" t="inlineStr">
        <is>
          <t>LTL peers (SAIA, XPO, ArcBest, TFI) ~1.1–1.4; ODFL ~1.0–1.1 — union-free, net-cash balance sheet and best-in-class service dampen cyclicality</t>
        </is>
      </c>
      <c r="E7" s="118" t="n"/>
      <c r="F7" s="118" t="n"/>
      <c r="G7" s="118" t="n"/>
      <c r="H7" s="118" t="n"/>
      <c r="I7" s="118" t="n"/>
      <c r="J7" s="118" t="n"/>
      <c r="K7" s="118" t="n"/>
      <c r="L7" s="118" t="n"/>
      <c r="M7" s="118" t="n"/>
      <c r="N7" s="118" t="n"/>
      <c r="O7" s="118" t="n"/>
      <c r="P7" s="118" t="n"/>
      <c r="Q7" s="118" t="n"/>
    </row>
    <row r="8" ht="15" customHeight="1">
      <c r="B8" s="140" t="inlineStr">
        <is>
          <t>Cost of equity</t>
        </is>
      </c>
      <c r="C8" s="144">
        <f>C5+C7*C6</f>
        <v/>
      </c>
      <c r="D8" s="118" t="n"/>
      <c r="E8" s="118" t="n"/>
      <c r="F8" s="118" t="n"/>
      <c r="G8" s="118" t="n"/>
      <c r="H8" s="118" t="n"/>
      <c r="I8" s="118" t="n"/>
      <c r="J8" s="118" t="n"/>
      <c r="K8" s="118" t="n"/>
      <c r="L8" s="118" t="n"/>
      <c r="M8" s="118" t="n"/>
      <c r="N8" s="118" t="n"/>
      <c r="O8" s="118" t="n"/>
      <c r="P8" s="118" t="n"/>
      <c r="Q8" s="118" t="n"/>
    </row>
    <row r="9" ht="15" customHeight="1">
      <c r="B9" s="140" t="inlineStr">
        <is>
          <t>Pre-tax cost of debt</t>
        </is>
      </c>
      <c r="C9" s="141" t="n">
        <v>0.048</v>
      </c>
      <c r="D9" s="142" t="inlineStr">
        <is>
          <t>Minimal debt ($20m Series B 2.79% notes, final May-2027); $400m revolver at SOFR + 1.00%; marginal cost ~4.5–5.0%</t>
        </is>
      </c>
      <c r="E9" s="118" t="n"/>
      <c r="F9" s="118" t="n"/>
      <c r="G9" s="118" t="n"/>
      <c r="H9" s="118" t="n"/>
      <c r="I9" s="118" t="n"/>
      <c r="J9" s="118" t="n"/>
      <c r="K9" s="118" t="n"/>
      <c r="L9" s="118" t="n"/>
      <c r="M9" s="118" t="n"/>
      <c r="N9" s="118" t="n"/>
      <c r="O9" s="118" t="n"/>
      <c r="P9" s="118" t="n"/>
      <c r="Q9" s="118" t="n"/>
    </row>
    <row r="10" ht="15" customHeight="1">
      <c r="B10" s="140" t="inlineStr">
        <is>
          <t>Tax rate</t>
        </is>
      </c>
      <c r="C10" s="141" t="n">
        <v>0.25</v>
      </c>
      <c r="D10" s="142" t="inlineStr">
        <is>
          <t>Model 2027E+ effective tax rate (1H/26 25.0%)</t>
        </is>
      </c>
      <c r="E10" s="118" t="n"/>
      <c r="F10" s="118" t="n"/>
      <c r="G10" s="118" t="n"/>
      <c r="H10" s="118" t="n"/>
      <c r="I10" s="118" t="n"/>
      <c r="J10" s="118" t="n"/>
      <c r="K10" s="118" t="n"/>
      <c r="L10" s="118" t="n"/>
      <c r="M10" s="118" t="n"/>
      <c r="N10" s="118" t="n"/>
      <c r="O10" s="118" t="n"/>
      <c r="P10" s="118" t="n"/>
      <c r="Q10" s="118" t="n"/>
    </row>
    <row r="11" ht="15" customHeight="1">
      <c r="B11" s="140" t="inlineStr">
        <is>
          <t>After-tax cost of debt</t>
        </is>
      </c>
      <c r="C11" s="144">
        <f>C9*(1-C10)</f>
        <v/>
      </c>
      <c r="D11" s="118" t="n"/>
      <c r="E11" s="118" t="n"/>
      <c r="F11" s="118" t="n"/>
      <c r="G11" s="118" t="n"/>
      <c r="H11" s="118" t="n"/>
      <c r="I11" s="118" t="n"/>
      <c r="J11" s="118" t="n"/>
      <c r="K11" s="118" t="n"/>
      <c r="L11" s="118" t="n"/>
      <c r="M11" s="118" t="n"/>
      <c r="N11" s="118" t="n"/>
      <c r="O11" s="118" t="n"/>
      <c r="P11" s="118" t="n"/>
      <c r="Q11" s="118" t="n"/>
    </row>
    <row r="12" ht="15" customHeight="1">
      <c r="B12" s="140" t="inlineStr">
        <is>
          <t>Target D/V</t>
        </is>
      </c>
      <c r="C12" s="141" t="n">
        <v>0.02</v>
      </c>
      <c r="D12" s="142" t="inlineStr">
        <is>
          <t>Net cash (~$264m at 30-Jun-26) vs ~$41bn market cap ($198.39 × ~208m shares); capital structure effectively all equity</t>
        </is>
      </c>
      <c r="E12" s="118" t="n"/>
      <c r="F12" s="118" t="n"/>
      <c r="G12" s="118" t="n"/>
      <c r="H12" s="118" t="n"/>
      <c r="I12" s="118" t="n"/>
      <c r="J12" s="118" t="n"/>
      <c r="K12" s="118" t="n"/>
      <c r="L12" s="118" t="n"/>
      <c r="M12" s="118" t="n"/>
      <c r="N12" s="118" t="n"/>
      <c r="O12" s="118" t="n"/>
      <c r="P12" s="118" t="n"/>
      <c r="Q12" s="118" t="n"/>
    </row>
    <row r="13" ht="15" customHeight="1">
      <c r="B13" s="145" t="inlineStr">
        <is>
          <t>WACC</t>
        </is>
      </c>
      <c r="C13" s="146">
        <f>C8*(1-C12)+C11*C12</f>
        <v/>
      </c>
      <c r="D13" s="118" t="n"/>
      <c r="E13" s="118" t="n"/>
      <c r="F13" s="118" t="n"/>
      <c r="G13" s="118" t="n"/>
      <c r="H13" s="118" t="n"/>
      <c r="I13" s="118" t="n"/>
      <c r="J13" s="118" t="n"/>
      <c r="K13" s="118" t="n"/>
      <c r="L13" s="118" t="n"/>
      <c r="M13" s="118" t="n"/>
      <c r="N13" s="118" t="n"/>
      <c r="O13" s="118" t="n"/>
      <c r="P13" s="118" t="n"/>
      <c r="Q13" s="118" t="n"/>
    </row>
    <row r="14">
      <c r="B14" s="118" t="n"/>
      <c r="C14" s="118" t="n"/>
      <c r="D14" s="118" t="n"/>
      <c r="E14" s="118" t="n"/>
      <c r="F14" s="118" t="n"/>
      <c r="G14" s="118" t="n"/>
      <c r="H14" s="118" t="n"/>
      <c r="I14" s="118" t="n"/>
      <c r="J14" s="118" t="n"/>
      <c r="K14" s="118" t="n"/>
      <c r="L14" s="118" t="n"/>
      <c r="M14" s="118" t="n"/>
      <c r="N14" s="118" t="n"/>
      <c r="O14" s="118" t="n"/>
      <c r="P14" s="118" t="n"/>
      <c r="Q14" s="118" t="n"/>
    </row>
    <row r="15" ht="15" customHeight="1">
      <c r="B15" s="118" t="inlineStr">
        <is>
          <t>Valuation date (live)</t>
        </is>
      </c>
      <c r="C15" s="119">
        <f>TODAY()</f>
        <v/>
      </c>
      <c r="D15" s="142" t="inlineStr">
        <is>
          <t>Periods = (Dec-31-Year − today) / 365.25; cash flows assumed at year-end</t>
        </is>
      </c>
      <c r="E15" s="118" t="n"/>
      <c r="F15" s="118" t="n"/>
      <c r="G15" s="118" t="n"/>
      <c r="H15" s="118" t="n"/>
      <c r="I15" s="118" t="n"/>
      <c r="J15" s="118" t="n"/>
      <c r="K15" s="118" t="n"/>
      <c r="L15" s="118" t="n"/>
      <c r="M15" s="118" t="n"/>
      <c r="N15" s="118" t="n"/>
      <c r="O15" s="118" t="n"/>
      <c r="P15" s="118" t="n"/>
      <c r="Q15" s="118" t="n"/>
    </row>
    <row r="16" ht="15" customHeight="1">
      <c r="B16" s="139" t="inlineStr">
        <is>
          <t>2. UNLEVERED FREE CASH FLOW BUILD (USDm)</t>
        </is>
      </c>
      <c r="C16" s="118" t="n"/>
      <c r="D16" s="118" t="n"/>
      <c r="E16" s="118" t="n"/>
      <c r="F16" s="118" t="n"/>
      <c r="G16" s="118" t="n"/>
      <c r="H16" s="118" t="n"/>
      <c r="I16" s="118" t="n"/>
      <c r="J16" s="118" t="n"/>
      <c r="K16" s="118" t="n"/>
      <c r="L16" s="118" t="n"/>
      <c r="M16" s="118" t="n"/>
      <c r="N16" s="118" t="n"/>
      <c r="O16" s="118" t="n"/>
      <c r="P16" s="118" t="n"/>
      <c r="Q16" s="118" t="n"/>
    </row>
    <row r="17" ht="15" customHeight="1">
      <c r="B17" s="118" t="n"/>
      <c r="C17" s="118" t="n"/>
      <c r="D17" s="138" t="inlineStr">
        <is>
          <t>2026E</t>
        </is>
      </c>
      <c r="E17" s="138" t="inlineStr">
        <is>
          <t>2027E</t>
        </is>
      </c>
      <c r="F17" s="138" t="inlineStr">
        <is>
          <t>2028E</t>
        </is>
      </c>
      <c r="G17" s="138" t="inlineStr">
        <is>
          <t>2029E</t>
        </is>
      </c>
      <c r="H17" s="138" t="inlineStr">
        <is>
          <t>2030E</t>
        </is>
      </c>
      <c r="I17" s="138" t="inlineStr">
        <is>
          <t>2031E</t>
        </is>
      </c>
      <c r="J17" s="138" t="inlineStr">
        <is>
          <t>2032E</t>
        </is>
      </c>
      <c r="K17" s="138" t="inlineStr">
        <is>
          <t>2033E</t>
        </is>
      </c>
      <c r="L17" s="138" t="inlineStr">
        <is>
          <t>2034E</t>
        </is>
      </c>
      <c r="M17" s="138" t="inlineStr">
        <is>
          <t>2035E</t>
        </is>
      </c>
      <c r="N17" s="138" t="inlineStr">
        <is>
          <t>Terminal</t>
        </is>
      </c>
      <c r="O17" s="118" t="n"/>
      <c r="P17" s="138" t="inlineStr">
        <is>
          <t>CAGR 26–30E</t>
        </is>
      </c>
      <c r="Q17" s="138" t="inlineStr">
        <is>
          <t>CAGR 26–35E</t>
        </is>
      </c>
    </row>
    <row r="18" ht="15" customHeight="1">
      <c r="B18" s="118" t="inlineStr">
        <is>
          <t>Adjusted EBIT (Model; Adjusted EBITDA − D&amp;A)</t>
        </is>
      </c>
      <c r="C18" s="118" t="n"/>
      <c r="D18" s="147">
        <f>Model!CA164</f>
        <v/>
      </c>
      <c r="E18" s="147">
        <f>Model!CB164</f>
        <v/>
      </c>
      <c r="F18" s="147">
        <f>Model!CC164</f>
        <v/>
      </c>
      <c r="G18" s="147">
        <f>Model!CD164</f>
        <v/>
      </c>
      <c r="H18" s="147">
        <f>Model!CE164</f>
        <v/>
      </c>
      <c r="I18" s="120">
        <f>H18*(1+I$31)</f>
        <v/>
      </c>
      <c r="J18" s="120">
        <f>I18*(1+J$31)</f>
        <v/>
      </c>
      <c r="K18" s="120">
        <f>J18*(1+K$31)</f>
        <v/>
      </c>
      <c r="L18" s="120">
        <f>K18*(1+L$31)</f>
        <v/>
      </c>
      <c r="M18" s="120">
        <f>L18*(1+M$31)</f>
        <v/>
      </c>
      <c r="N18" s="118" t="n"/>
      <c r="O18" s="118" t="n"/>
      <c r="P18" s="121">
        <f>IFERROR(($H18/$D18)^(1/(VALUE(LEFT($H$17,4))-VALUE(LEFT($D$17,4))))-1,"n/m")</f>
        <v/>
      </c>
      <c r="Q18" s="121">
        <f>IFERROR(($M18/$D18)^(1/(VALUE(LEFT($M$17,4))-VALUE(LEFT($D$17,4))))-1,"n/m")</f>
        <v/>
      </c>
    </row>
    <row r="19" ht="15" customHeight="1">
      <c r="B19" s="122" t="inlineStr">
        <is>
          <t xml:space="preserve">   y/y %</t>
        </is>
      </c>
      <c r="C19" s="122" t="n"/>
      <c r="D19" s="123" t="n"/>
      <c r="E19" s="123">
        <f>IFERROR(E18/D18-1,"")</f>
        <v/>
      </c>
      <c r="F19" s="123">
        <f>IFERROR(F18/E18-1,"")</f>
        <v/>
      </c>
      <c r="G19" s="123">
        <f>IFERROR(G18/F18-1,"")</f>
        <v/>
      </c>
      <c r="H19" s="123">
        <f>IFERROR(H18/G18-1,"")</f>
        <v/>
      </c>
      <c r="I19" s="123">
        <f>IFERROR(I18/H18-1,"")</f>
        <v/>
      </c>
      <c r="J19" s="123">
        <f>IFERROR(J18/I18-1,"")</f>
        <v/>
      </c>
      <c r="K19" s="123">
        <f>IFERROR(K18/J18-1,"")</f>
        <v/>
      </c>
      <c r="L19" s="123">
        <f>IFERROR(L18/K18-1,"")</f>
        <v/>
      </c>
      <c r="M19" s="123">
        <f>IFERROR(M18/L18-1,"")</f>
        <v/>
      </c>
      <c r="N19" s="123" t="n"/>
      <c r="O19" s="118" t="n"/>
      <c r="P19" s="118" t="n"/>
      <c r="Q19" s="118" t="n"/>
    </row>
    <row r="20" ht="15" customHeight="1">
      <c r="B20" s="118" t="inlineStr">
        <is>
          <t>(−) Company-identified one-off items (pre-tax; nil in forecast)</t>
        </is>
      </c>
      <c r="C20" s="118" t="n"/>
      <c r="D20" s="147">
        <f>-Model!CA155</f>
        <v/>
      </c>
      <c r="E20" s="147">
        <f>-Model!CB155</f>
        <v/>
      </c>
      <c r="F20" s="147">
        <f>-Model!CC155</f>
        <v/>
      </c>
      <c r="G20" s="147">
        <f>-Model!CD155</f>
        <v/>
      </c>
      <c r="H20" s="147">
        <f>-Model!CE155</f>
        <v/>
      </c>
      <c r="I20" s="120">
        <f>H20*(1+I$31)</f>
        <v/>
      </c>
      <c r="J20" s="120">
        <f>I20*(1+J$31)</f>
        <v/>
      </c>
      <c r="K20" s="120">
        <f>J20*(1+K$31)</f>
        <v/>
      </c>
      <c r="L20" s="120">
        <f>K20*(1+L$31)</f>
        <v/>
      </c>
      <c r="M20" s="120">
        <f>L20*(1+M$31)</f>
        <v/>
      </c>
      <c r="N20" s="118" t="n"/>
      <c r="O20" s="118" t="n"/>
      <c r="P20" s="118" t="n"/>
      <c r="Q20" s="118" t="n"/>
    </row>
    <row r="21" ht="15" customHeight="1">
      <c r="B21" s="118" t="inlineStr">
        <is>
          <t>× (1 − tax rate)</t>
        </is>
      </c>
      <c r="C21" s="118" t="n"/>
      <c r="D21" s="124">
        <f>1-$C$10</f>
        <v/>
      </c>
      <c r="E21" s="124">
        <f>1-$C$10</f>
        <v/>
      </c>
      <c r="F21" s="124">
        <f>1-$C$10</f>
        <v/>
      </c>
      <c r="G21" s="124">
        <f>1-$C$10</f>
        <v/>
      </c>
      <c r="H21" s="124">
        <f>1-$C$10</f>
        <v/>
      </c>
      <c r="I21" s="124">
        <f>1-$C$10</f>
        <v/>
      </c>
      <c r="J21" s="124">
        <f>1-$C$10</f>
        <v/>
      </c>
      <c r="K21" s="124">
        <f>1-$C$10</f>
        <v/>
      </c>
      <c r="L21" s="124">
        <f>1-$C$10</f>
        <v/>
      </c>
      <c r="M21" s="124">
        <f>1-$C$10</f>
        <v/>
      </c>
      <c r="N21" s="118" t="n"/>
      <c r="O21" s="118" t="n"/>
      <c r="P21" s="118" t="n"/>
      <c r="Q21" s="118" t="n"/>
    </row>
    <row r="22" ht="15" customHeight="1">
      <c r="B22" s="118" t="inlineStr">
        <is>
          <t>NOPAT  =  (Adjusted EBIT − one-off items) × (1 − t)</t>
        </is>
      </c>
      <c r="C22" s="118" t="n"/>
      <c r="D22" s="120">
        <f>(D18+D20)*D21</f>
        <v/>
      </c>
      <c r="E22" s="120">
        <f>(E18+E20)*E21</f>
        <v/>
      </c>
      <c r="F22" s="120">
        <f>(F18+F20)*F21</f>
        <v/>
      </c>
      <c r="G22" s="120">
        <f>(G18+G20)*G21</f>
        <v/>
      </c>
      <c r="H22" s="120">
        <f>(H18+H20)*H21</f>
        <v/>
      </c>
      <c r="I22" s="120">
        <f>(I18+I20)*I21</f>
        <v/>
      </c>
      <c r="J22" s="120">
        <f>(J18+J20)*J21</f>
        <v/>
      </c>
      <c r="K22" s="120">
        <f>(K18+K20)*K21</f>
        <v/>
      </c>
      <c r="L22" s="120">
        <f>(L18+L20)*L21</f>
        <v/>
      </c>
      <c r="M22" s="120">
        <f>(M18+M20)*M21</f>
        <v/>
      </c>
      <c r="N22" s="118" t="n"/>
      <c r="O22" s="118" t="n"/>
      <c r="P22" s="118" t="n"/>
      <c r="Q22" s="118" t="n"/>
    </row>
    <row r="23" ht="15" customHeight="1">
      <c r="B23" s="118" t="inlineStr">
        <is>
          <t>plus depreciation &amp; amortization</t>
        </is>
      </c>
      <c r="C23" s="118" t="n"/>
      <c r="D23" s="147">
        <f>Model!CA108</f>
        <v/>
      </c>
      <c r="E23" s="147">
        <f>Model!CB108</f>
        <v/>
      </c>
      <c r="F23" s="147">
        <f>Model!CC108</f>
        <v/>
      </c>
      <c r="G23" s="147">
        <f>Model!CD108</f>
        <v/>
      </c>
      <c r="H23" s="147">
        <f>Model!CE108</f>
        <v/>
      </c>
      <c r="I23" s="120">
        <f>H23*(1+I$31)</f>
        <v/>
      </c>
      <c r="J23" s="120">
        <f>I23*(1+J$31)</f>
        <v/>
      </c>
      <c r="K23" s="120">
        <f>J23*(1+K$31)</f>
        <v/>
      </c>
      <c r="L23" s="120">
        <f>K23*(1+L$31)</f>
        <v/>
      </c>
      <c r="M23" s="120">
        <f>L23*(1+M$31)</f>
        <v/>
      </c>
      <c r="N23" s="118" t="n"/>
      <c r="O23" s="118" t="n"/>
      <c r="P23" s="118" t="n"/>
      <c r="Q23" s="118" t="n"/>
    </row>
    <row r="24" ht="15" customHeight="1">
      <c r="B24" s="118" t="inlineStr">
        <is>
          <t>− Capex (property &amp; equipment) and acquisitions of business assets</t>
        </is>
      </c>
      <c r="C24" s="118" t="n"/>
      <c r="D24" s="147">
        <f>D29</f>
        <v/>
      </c>
      <c r="E24" s="147">
        <f>E29+Model!CB211</f>
        <v/>
      </c>
      <c r="F24" s="147">
        <f>F29+Model!CC211</f>
        <v/>
      </c>
      <c r="G24" s="147">
        <f>G29+Model!CD211</f>
        <v/>
      </c>
      <c r="H24" s="147">
        <f>H29+Model!CE211</f>
        <v/>
      </c>
      <c r="I24" s="120">
        <f>I29</f>
        <v/>
      </c>
      <c r="J24" s="120">
        <f>J29</f>
        <v/>
      </c>
      <c r="K24" s="120">
        <f>K29</f>
        <v/>
      </c>
      <c r="L24" s="120">
        <f>L29</f>
        <v/>
      </c>
      <c r="M24" s="120">
        <f>M29</f>
        <v/>
      </c>
      <c r="N24" s="118" t="n"/>
      <c r="O24" s="118" t="n"/>
      <c r="P24" s="118" t="n"/>
      <c r="Q24" s="118" t="n"/>
    </row>
    <row r="25" ht="15" customHeight="1">
      <c r="B25" s="118" t="inlineStr">
        <is>
          <t>− Δ Working capital (CF statement)</t>
        </is>
      </c>
      <c r="C25" s="118" t="n"/>
      <c r="D25" s="147">
        <f>Model!CA206</f>
        <v/>
      </c>
      <c r="E25" s="147">
        <f>Model!CB206</f>
        <v/>
      </c>
      <c r="F25" s="147">
        <f>Model!CC206</f>
        <v/>
      </c>
      <c r="G25" s="147">
        <f>Model!CD206</f>
        <v/>
      </c>
      <c r="H25" s="147">
        <f>Model!CE206</f>
        <v/>
      </c>
      <c r="I25" s="120">
        <f>H25*(1+I$31)</f>
        <v/>
      </c>
      <c r="J25" s="120">
        <f>I25*(1+J$31)</f>
        <v/>
      </c>
      <c r="K25" s="120">
        <f>J25*(1+K$31)</f>
        <v/>
      </c>
      <c r="L25" s="120">
        <f>K25*(1+L$31)</f>
        <v/>
      </c>
      <c r="M25" s="120">
        <f>L25*(1+M$31)</f>
        <v/>
      </c>
      <c r="N25" s="118" t="n"/>
      <c r="O25" s="118" t="n"/>
      <c r="P25" s="118" t="n"/>
      <c r="Q25" s="118" t="n"/>
    </row>
    <row r="26" ht="15" customHeight="1">
      <c r="B26" s="148" t="inlineStr">
        <is>
          <t>Unlevered FCF</t>
        </is>
      </c>
      <c r="C26" s="118" t="n"/>
      <c r="D26" s="149">
        <f>D22+D23+D24+D25</f>
        <v/>
      </c>
      <c r="E26" s="149">
        <f>E22+E23+E24+E25</f>
        <v/>
      </c>
      <c r="F26" s="149">
        <f>F22+F23+F24+F25</f>
        <v/>
      </c>
      <c r="G26" s="149">
        <f>G22+G23+G24+G25</f>
        <v/>
      </c>
      <c r="H26" s="149">
        <f>H22+H23+H24+H25</f>
        <v/>
      </c>
      <c r="I26" s="149">
        <f>I22+I23+I24+I25</f>
        <v/>
      </c>
      <c r="J26" s="149">
        <f>J22+J23+J24+J25</f>
        <v/>
      </c>
      <c r="K26" s="149">
        <f>K22+K23+K24+K25</f>
        <v/>
      </c>
      <c r="L26" s="149">
        <f>L22+L23+L24+L25</f>
        <v/>
      </c>
      <c r="M26" s="149">
        <f>M22+M23+M24+M25</f>
        <v/>
      </c>
      <c r="N26" s="149">
        <f>M26*(1+$C$32)</f>
        <v/>
      </c>
      <c r="O26" s="118" t="n"/>
      <c r="P26" s="121">
        <f>IFERROR(($H26/$D26)^(1/(VALUE(LEFT($H$17,4))-VALUE(LEFT($D$17,4))))-1,"n/m")</f>
        <v/>
      </c>
      <c r="Q26" s="121">
        <f>IFERROR(($M26/$D26)^(1/(VALUE(LEFT($M$17,4))-VALUE(LEFT($D$17,4))))-1,"n/m")</f>
        <v/>
      </c>
    </row>
    <row r="27" ht="15" customHeight="1">
      <c r="B27" s="122" t="inlineStr">
        <is>
          <t xml:space="preserve">   y/y %</t>
        </is>
      </c>
      <c r="C27" s="122" t="n"/>
      <c r="D27" s="123" t="n"/>
      <c r="E27" s="123">
        <f>IFERROR(E26/D26-1,"")</f>
        <v/>
      </c>
      <c r="F27" s="123">
        <f>IFERROR(F26/E26-1,"")</f>
        <v/>
      </c>
      <c r="G27" s="123">
        <f>IFERROR(G26/F26-1,"")</f>
        <v/>
      </c>
      <c r="H27" s="123">
        <f>IFERROR(H26/G26-1,"")</f>
        <v/>
      </c>
      <c r="I27" s="123">
        <f>IFERROR(I26/H26-1,"")</f>
        <v/>
      </c>
      <c r="J27" s="123">
        <f>IFERROR(J26/I26-1,"")</f>
        <v/>
      </c>
      <c r="K27" s="123">
        <f>IFERROR(K26/J26-1,"")</f>
        <v/>
      </c>
      <c r="L27" s="123">
        <f>IFERROR(L26/K26-1,"")</f>
        <v/>
      </c>
      <c r="M27" s="123">
        <f>IFERROR(M26/L26-1,"")</f>
        <v/>
      </c>
      <c r="N27" s="123" t="n"/>
      <c r="O27" s="118" t="n"/>
      <c r="P27" s="118" t="n"/>
      <c r="Q27" s="118" t="n"/>
    </row>
    <row r="28" ht="15" customHeight="1">
      <c r="B28" s="118" t="inlineStr">
        <is>
          <t>Terminal Value (Gordon Growth)</t>
        </is>
      </c>
      <c r="C28" s="118" t="n"/>
      <c r="D28" s="118" t="n"/>
      <c r="E28" s="118" t="n"/>
      <c r="F28" s="118" t="n"/>
      <c r="G28" s="118" t="n"/>
      <c r="H28" s="118" t="n"/>
      <c r="I28" s="118" t="n"/>
      <c r="J28" s="118" t="n"/>
      <c r="K28" s="118" t="n"/>
      <c r="L28" s="118" t="n"/>
      <c r="M28" s="118" t="n"/>
      <c r="N28" s="149">
        <f>N26/($C$13-$C$32)</f>
        <v/>
      </c>
      <c r="O28" s="118" t="n"/>
      <c r="P28" s="118" t="n"/>
      <c r="Q28" s="118" t="n"/>
    </row>
    <row r="29" ht="15" customHeight="1">
      <c r="B29" s="142" t="inlineStr">
        <is>
          <t xml:space="preserve">   memo: PP&amp;E capex only (fade years carry no new acquisitions)</t>
        </is>
      </c>
      <c r="C29" s="118" t="n"/>
      <c r="D29" s="147">
        <f>Model!CA208</f>
        <v/>
      </c>
      <c r="E29" s="147">
        <f>Model!CB208</f>
        <v/>
      </c>
      <c r="F29" s="147">
        <f>Model!CC208</f>
        <v/>
      </c>
      <c r="G29" s="147">
        <f>Model!CD208</f>
        <v/>
      </c>
      <c r="H29" s="147">
        <f>Model!CE208</f>
        <v/>
      </c>
      <c r="I29" s="120">
        <f>H29*(1+I$31)</f>
        <v/>
      </c>
      <c r="J29" s="120">
        <f>I29*(1+J$31)</f>
        <v/>
      </c>
      <c r="K29" s="120">
        <f>J29*(1+K$31)</f>
        <v/>
      </c>
      <c r="L29" s="120">
        <f>K29*(1+L$31)</f>
        <v/>
      </c>
      <c r="M29" s="120">
        <f>L29*(1+M$31)</f>
        <v/>
      </c>
      <c r="N29" s="118" t="n"/>
      <c r="O29" s="118" t="n"/>
      <c r="P29" s="118" t="n"/>
      <c r="Q29" s="118" t="n"/>
    </row>
    <row r="30">
      <c r="B30" s="118" t="n"/>
      <c r="C30" s="118" t="n"/>
      <c r="D30" s="118" t="n"/>
      <c r="E30" s="118" t="n"/>
      <c r="F30" s="118" t="n"/>
      <c r="G30" s="118" t="n"/>
      <c r="H30" s="118" t="n"/>
      <c r="I30" s="118" t="n"/>
      <c r="J30" s="118" t="n"/>
      <c r="K30" s="118" t="n"/>
      <c r="L30" s="118" t="n"/>
      <c r="M30" s="118" t="n"/>
      <c r="N30" s="118" t="n"/>
      <c r="O30" s="118" t="n"/>
      <c r="P30" s="118" t="n"/>
      <c r="Q30" s="118" t="n"/>
    </row>
    <row r="31" ht="15" customHeight="1">
      <c r="B31" s="118" t="inlineStr">
        <is>
          <t>Fade-period growth (2031E–35E)</t>
        </is>
      </c>
      <c r="C31" s="118" t="n"/>
      <c r="D31" s="118" t="n"/>
      <c r="E31" s="118" t="n"/>
      <c r="F31" s="118" t="n"/>
      <c r="G31" s="118" t="n"/>
      <c r="H31" s="118" t="n"/>
      <c r="I31" s="150" t="n">
        <v>0.06</v>
      </c>
      <c r="J31" s="151">
        <f>I31+($M$31-$I$31)/(COLUMNS($I$31:$M$31)-1)</f>
        <v/>
      </c>
      <c r="K31" s="151">
        <f>J31+($M$31-$I$31)/(COLUMNS($I$31:$M$31)-1)</f>
        <v/>
      </c>
      <c r="L31" s="151">
        <f>K31+($M$31-$I$31)/(COLUMNS($I$31:$M$31)-1)</f>
        <v/>
      </c>
      <c r="M31" s="150" t="n">
        <v>0.05</v>
      </c>
      <c r="N31" s="118" t="n"/>
      <c r="O31" s="118" t="n"/>
      <c r="P31" s="118" t="n"/>
      <c r="Q31" s="118" t="n"/>
    </row>
    <row r="32" ht="15" customHeight="1">
      <c r="B32" s="118" t="inlineStr">
        <is>
          <t>Terminal growth rate</t>
        </is>
      </c>
      <c r="C32" s="152" t="n">
        <v>0.04</v>
      </c>
      <c r="D32" s="118" t="n"/>
      <c r="E32" s="118" t="n"/>
      <c r="F32" s="118" t="n"/>
      <c r="G32" s="118" t="n"/>
      <c r="H32" s="118" t="n"/>
      <c r="I32" s="118" t="n"/>
      <c r="J32" s="118" t="n"/>
      <c r="K32" s="118" t="n"/>
      <c r="L32" s="118" t="n"/>
      <c r="M32" s="118" t="n"/>
      <c r="N32" s="118" t="n"/>
      <c r="O32" s="118" t="n"/>
      <c r="P32" s="118" t="n"/>
      <c r="Q32" s="118" t="n"/>
    </row>
    <row r="33">
      <c r="B33" s="118" t="n"/>
      <c r="C33" s="118" t="n"/>
      <c r="D33" s="118" t="n"/>
      <c r="E33" s="118" t="n"/>
      <c r="F33" s="118" t="n"/>
      <c r="G33" s="118" t="n"/>
      <c r="H33" s="118" t="n"/>
      <c r="I33" s="118" t="n"/>
      <c r="J33" s="118" t="n"/>
      <c r="K33" s="118" t="n"/>
      <c r="L33" s="118" t="n"/>
      <c r="M33" s="118" t="n"/>
      <c r="N33" s="118" t="n"/>
      <c r="O33" s="118" t="n"/>
      <c r="P33" s="118" t="n"/>
      <c r="Q33" s="118" t="n"/>
    </row>
    <row r="34" ht="15" customHeight="1">
      <c r="B34" s="118" t="inlineStr">
        <is>
          <t>Discount period (years)</t>
        </is>
      </c>
      <c r="C34" s="118" t="n"/>
      <c r="D34" s="125">
        <f>(DATE(2026,12,31)-$C$15)/365.25</f>
        <v/>
      </c>
      <c r="E34" s="125">
        <f>(DATE(2027,12,31)-$C$15)/365.25</f>
        <v/>
      </c>
      <c r="F34" s="125">
        <f>(DATE(2028,12,31)-$C$15)/365.25</f>
        <v/>
      </c>
      <c r="G34" s="125">
        <f>(DATE(2029,12,31)-$C$15)/365.25</f>
        <v/>
      </c>
      <c r="H34" s="125">
        <f>(DATE(2030,12,31)-$C$15)/365.25</f>
        <v/>
      </c>
      <c r="I34" s="125">
        <f>(DATE(2031,12,31)-$C$15)/365.25</f>
        <v/>
      </c>
      <c r="J34" s="125">
        <f>(DATE(2032,12,31)-$C$15)/365.25</f>
        <v/>
      </c>
      <c r="K34" s="125">
        <f>(DATE(2033,12,31)-$C$15)/365.25</f>
        <v/>
      </c>
      <c r="L34" s="125">
        <f>(DATE(2034,12,31)-$C$15)/365.25</f>
        <v/>
      </c>
      <c r="M34" s="125">
        <f>(DATE(2035,12,31)-$C$15)/365.25</f>
        <v/>
      </c>
      <c r="N34" s="125">
        <f>M34</f>
        <v/>
      </c>
      <c r="O34" s="118" t="n"/>
      <c r="P34" s="118" t="n"/>
      <c r="Q34" s="118" t="n"/>
    </row>
    <row r="35" ht="15" customHeight="1">
      <c r="B35" s="118" t="inlineStr">
        <is>
          <t>Discount factor</t>
        </is>
      </c>
      <c r="C35" s="118" t="n"/>
      <c r="D35" s="126">
        <f>1/(1+$C$13)^D34</f>
        <v/>
      </c>
      <c r="E35" s="126">
        <f>1/(1+$C$13)^E34</f>
        <v/>
      </c>
      <c r="F35" s="126">
        <f>1/(1+$C$13)^F34</f>
        <v/>
      </c>
      <c r="G35" s="126">
        <f>1/(1+$C$13)^G34</f>
        <v/>
      </c>
      <c r="H35" s="126">
        <f>1/(1+$C$13)^H34</f>
        <v/>
      </c>
      <c r="I35" s="126">
        <f>1/(1+$C$13)^I34</f>
        <v/>
      </c>
      <c r="J35" s="126">
        <f>1/(1+$C$13)^J34</f>
        <v/>
      </c>
      <c r="K35" s="126">
        <f>1/(1+$C$13)^K34</f>
        <v/>
      </c>
      <c r="L35" s="126">
        <f>1/(1+$C$13)^L34</f>
        <v/>
      </c>
      <c r="M35" s="126">
        <f>1/(1+$C$13)^M34</f>
        <v/>
      </c>
      <c r="N35" s="126">
        <f>1/(1+$C$13)^N34</f>
        <v/>
      </c>
      <c r="O35" s="118" t="n"/>
      <c r="P35" s="118" t="n"/>
      <c r="Q35" s="118" t="n"/>
    </row>
    <row r="36" ht="15" customHeight="1">
      <c r="B36" s="118" t="inlineStr">
        <is>
          <t>PV of UFCF</t>
        </is>
      </c>
      <c r="C36" s="118" t="n"/>
      <c r="D36" s="120">
        <f>D26*D35</f>
        <v/>
      </c>
      <c r="E36" s="120">
        <f>E26*E35</f>
        <v/>
      </c>
      <c r="F36" s="120">
        <f>F26*F35</f>
        <v/>
      </c>
      <c r="G36" s="120">
        <f>G26*G35</f>
        <v/>
      </c>
      <c r="H36" s="120">
        <f>H26*H35</f>
        <v/>
      </c>
      <c r="I36" s="120">
        <f>I26*I35</f>
        <v/>
      </c>
      <c r="J36" s="120">
        <f>J26*J35</f>
        <v/>
      </c>
      <c r="K36" s="120">
        <f>K26*K35</f>
        <v/>
      </c>
      <c r="L36" s="120">
        <f>L26*L35</f>
        <v/>
      </c>
      <c r="M36" s="120">
        <f>M26*M35</f>
        <v/>
      </c>
      <c r="N36" s="120">
        <f>N28*N35</f>
        <v/>
      </c>
      <c r="O36" s="118" t="n"/>
      <c r="P36" s="118" t="n"/>
      <c r="Q36" s="118" t="n"/>
    </row>
    <row r="37" ht="15" customHeight="1">
      <c r="B37" s="118" t="n"/>
      <c r="C37" s="118" t="n"/>
      <c r="D37" s="142" t="inlineStr">
        <is>
          <t>ODFL's Adjusted EBITDA (model) expenses share-based compensation and excludes disposal gains on revenue equipment / real estate; capex is gross of ~0.6% of revenue disposal proceeds (conservative). ODFL capex runs well above D&amp;A in growth phases (2021–24 ~13–15% of revenue).</t>
        </is>
      </c>
      <c r="E37" s="118" t="n"/>
      <c r="F37" s="118" t="n"/>
      <c r="G37" s="118" t="n"/>
      <c r="H37" s="118" t="n"/>
      <c r="I37" s="118" t="n"/>
      <c r="J37" s="118" t="n"/>
      <c r="K37" s="118" t="n"/>
      <c r="L37" s="118" t="n"/>
      <c r="M37" s="118" t="n"/>
      <c r="N37" s="118" t="n"/>
      <c r="O37" s="118" t="n"/>
      <c r="P37" s="118" t="n"/>
      <c r="Q37" s="118" t="n"/>
    </row>
    <row r="38">
      <c r="B38" s="118" t="n"/>
      <c r="C38" s="118" t="n"/>
      <c r="D38" s="118" t="n"/>
      <c r="E38" s="118" t="n"/>
      <c r="F38" s="118" t="n"/>
      <c r="G38" s="118" t="n"/>
      <c r="H38" s="118" t="n"/>
      <c r="I38" s="118" t="n"/>
      <c r="J38" s="118" t="n"/>
      <c r="K38" s="118" t="n"/>
      <c r="L38" s="118" t="n"/>
      <c r="M38" s="118" t="n"/>
      <c r="N38" s="118" t="n"/>
      <c r="O38" s="118" t="n"/>
      <c r="P38" s="118" t="n"/>
      <c r="Q38" s="118" t="n"/>
    </row>
    <row r="39" ht="15.75" customHeight="1">
      <c r="B39" s="118" t="inlineStr">
        <is>
          <t>Implied ROIC &amp; incremental ROIC (USDm)</t>
        </is>
      </c>
      <c r="C39" s="118" t="n"/>
      <c r="D39" s="153">
        <f>D17</f>
        <v/>
      </c>
      <c r="E39" s="153">
        <f>E17</f>
        <v/>
      </c>
      <c r="F39" s="153">
        <f>F17</f>
        <v/>
      </c>
      <c r="G39" s="153">
        <f>G17</f>
        <v/>
      </c>
      <c r="H39" s="153">
        <f>H17</f>
        <v/>
      </c>
      <c r="I39" s="153">
        <f>I17</f>
        <v/>
      </c>
      <c r="J39" s="153">
        <f>J17</f>
        <v/>
      </c>
      <c r="K39" s="153">
        <f>K17</f>
        <v/>
      </c>
      <c r="L39" s="153">
        <f>L17</f>
        <v/>
      </c>
      <c r="M39" s="153">
        <f>M17</f>
        <v/>
      </c>
      <c r="N39" s="153" t="inlineStr">
        <is>
          <t>Terminal</t>
        </is>
      </c>
      <c r="O39" s="118" t="n"/>
      <c r="P39" s="118" t="n"/>
      <c r="Q39" s="118" t="n"/>
    </row>
    <row r="40" ht="15.75" customHeight="1">
      <c r="B40" s="118" t="inlineStr">
        <is>
          <t>NOPAT (row 22)</t>
        </is>
      </c>
      <c r="C40" s="118" t="n"/>
      <c r="D40" s="127">
        <f>D22</f>
        <v/>
      </c>
      <c r="E40" s="127">
        <f>E22</f>
        <v/>
      </c>
      <c r="F40" s="127">
        <f>F22</f>
        <v/>
      </c>
      <c r="G40" s="127">
        <f>G22</f>
        <v/>
      </c>
      <c r="H40" s="127">
        <f>H22</f>
        <v/>
      </c>
      <c r="I40" s="127">
        <f>I22</f>
        <v/>
      </c>
      <c r="J40" s="127">
        <f>J22</f>
        <v/>
      </c>
      <c r="K40" s="127">
        <f>K22</f>
        <v/>
      </c>
      <c r="L40" s="127">
        <f>L22</f>
        <v/>
      </c>
      <c r="M40" s="127">
        <f>M22</f>
        <v/>
      </c>
      <c r="N40" s="127">
        <f>M40*(1+$C$32)</f>
        <v/>
      </c>
      <c r="O40" s="118" t="n"/>
      <c r="P40" s="118" t="n"/>
      <c r="Q40" s="118" t="n"/>
    </row>
    <row r="41" ht="15.75" customHeight="1">
      <c r="B41" s="118" t="inlineStr">
        <is>
          <t>Net investment  =  NOPAT − UFCF</t>
        </is>
      </c>
      <c r="C41" s="118" t="n"/>
      <c r="D41" s="127">
        <f>D40-D26</f>
        <v/>
      </c>
      <c r="E41" s="127">
        <f>E40-E26</f>
        <v/>
      </c>
      <c r="F41" s="127">
        <f>F40-F26</f>
        <v/>
      </c>
      <c r="G41" s="127">
        <f>G40-G26</f>
        <v/>
      </c>
      <c r="H41" s="127">
        <f>H40-H26</f>
        <v/>
      </c>
      <c r="I41" s="127">
        <f>I40-I26</f>
        <v/>
      </c>
      <c r="J41" s="127">
        <f>J40-J26</f>
        <v/>
      </c>
      <c r="K41" s="127">
        <f>K40-K26</f>
        <v/>
      </c>
      <c r="L41" s="127">
        <f>L40-L26</f>
        <v/>
      </c>
      <c r="M41" s="127">
        <f>M40-M26</f>
        <v/>
      </c>
      <c r="N41" s="127">
        <f>N40-N26</f>
        <v/>
      </c>
      <c r="O41" s="118" t="n"/>
      <c r="P41" s="118" t="n"/>
      <c r="Q41" s="118" t="n"/>
    </row>
    <row r="42" ht="15.75" customHeight="1">
      <c r="B42" s="118" t="inlineStr">
        <is>
          <t>Opening invested capital</t>
        </is>
      </c>
      <c r="C42" s="118" t="n"/>
      <c r="D42" s="147">
        <f>Model!BV329</f>
        <v/>
      </c>
      <c r="E42" s="127">
        <f>D43</f>
        <v/>
      </c>
      <c r="F42" s="127">
        <f>E43</f>
        <v/>
      </c>
      <c r="G42" s="127">
        <f>F43</f>
        <v/>
      </c>
      <c r="H42" s="127">
        <f>G43</f>
        <v/>
      </c>
      <c r="I42" s="127">
        <f>H43</f>
        <v/>
      </c>
      <c r="J42" s="127">
        <f>I43</f>
        <v/>
      </c>
      <c r="K42" s="127">
        <f>J43</f>
        <v/>
      </c>
      <c r="L42" s="127">
        <f>K43</f>
        <v/>
      </c>
      <c r="M42" s="127">
        <f>L43</f>
        <v/>
      </c>
      <c r="N42" s="127">
        <f>M43</f>
        <v/>
      </c>
      <c r="O42" s="118" t="n"/>
      <c r="P42" s="118" t="n"/>
      <c r="Q42" s="118" t="n"/>
    </row>
    <row r="43" ht="15.75" customHeight="1">
      <c r="B43" s="118" t="inlineStr">
        <is>
          <t>Closing invested capital</t>
        </is>
      </c>
      <c r="C43" s="118" t="n"/>
      <c r="D43" s="127">
        <f>D42+D41</f>
        <v/>
      </c>
      <c r="E43" s="127">
        <f>E42+E41</f>
        <v/>
      </c>
      <c r="F43" s="127">
        <f>F42+F41</f>
        <v/>
      </c>
      <c r="G43" s="127">
        <f>G42+G41</f>
        <v/>
      </c>
      <c r="H43" s="127">
        <f>H42+H41</f>
        <v/>
      </c>
      <c r="I43" s="127">
        <f>I42+I41</f>
        <v/>
      </c>
      <c r="J43" s="127">
        <f>J42+J41</f>
        <v/>
      </c>
      <c r="K43" s="127">
        <f>K42+K41</f>
        <v/>
      </c>
      <c r="L43" s="127">
        <f>L42+L41</f>
        <v/>
      </c>
      <c r="M43" s="127">
        <f>M42+M41</f>
        <v/>
      </c>
      <c r="N43" s="127" t="n"/>
      <c r="O43" s="118" t="n"/>
      <c r="P43" s="118" t="n"/>
      <c r="Q43" s="118" t="n"/>
    </row>
    <row r="44" ht="15.75" customHeight="1">
      <c r="B44" s="128" t="inlineStr">
        <is>
          <t>Implied ROIC  =  NOPAT / opening IC</t>
        </is>
      </c>
      <c r="C44" s="129" t="n"/>
      <c r="D44" s="130">
        <f>IFERROR(D40/D42,"")</f>
        <v/>
      </c>
      <c r="E44" s="130">
        <f>IFERROR(E40/E42,"")</f>
        <v/>
      </c>
      <c r="F44" s="130">
        <f>IFERROR(F40/F42,"")</f>
        <v/>
      </c>
      <c r="G44" s="130">
        <f>IFERROR(G40/G42,"")</f>
        <v/>
      </c>
      <c r="H44" s="130">
        <f>IFERROR(H40/H42,"")</f>
        <v/>
      </c>
      <c r="I44" s="130">
        <f>IFERROR(I40/I42,"")</f>
        <v/>
      </c>
      <c r="J44" s="130">
        <f>IFERROR(J40/J42,"")</f>
        <v/>
      </c>
      <c r="K44" s="130">
        <f>IFERROR(K40/K42,"")</f>
        <v/>
      </c>
      <c r="L44" s="130">
        <f>IFERROR(L40/L42,"")</f>
        <v/>
      </c>
      <c r="M44" s="130">
        <f>IFERROR(M40/M42,"")</f>
        <v/>
      </c>
      <c r="N44" s="130">
        <f>IFERROR(N40/N42,"")</f>
        <v/>
      </c>
      <c r="O44" s="118" t="n"/>
      <c r="P44" s="118" t="n"/>
      <c r="Q44" s="118" t="n"/>
    </row>
    <row r="45" ht="15.75" customHeight="1">
      <c r="B45" s="118" t="inlineStr">
        <is>
          <t>Reinvestment rate  =  net inv. / NOPAT</t>
        </is>
      </c>
      <c r="C45" s="131" t="n"/>
      <c r="D45" s="121">
        <f>IFERROR(D41/D40,"")</f>
        <v/>
      </c>
      <c r="E45" s="121">
        <f>IFERROR(E41/E40,"")</f>
        <v/>
      </c>
      <c r="F45" s="121">
        <f>IFERROR(F41/F40,"")</f>
        <v/>
      </c>
      <c r="G45" s="121">
        <f>IFERROR(G41/G40,"")</f>
        <v/>
      </c>
      <c r="H45" s="121">
        <f>IFERROR(H41/H40,"")</f>
        <v/>
      </c>
      <c r="I45" s="121">
        <f>IFERROR(I41/I40,"")</f>
        <v/>
      </c>
      <c r="J45" s="121">
        <f>IFERROR(J41/J40,"")</f>
        <v/>
      </c>
      <c r="K45" s="121">
        <f>IFERROR(K41/K40,"")</f>
        <v/>
      </c>
      <c r="L45" s="121">
        <f>IFERROR(L41/L40,"")</f>
        <v/>
      </c>
      <c r="M45" s="121">
        <f>IFERROR(M41/M40,"")</f>
        <v/>
      </c>
      <c r="N45" s="121">
        <f>IFERROR(N41/N40,"")</f>
        <v/>
      </c>
      <c r="O45" s="118" t="n"/>
      <c r="P45" s="118" t="n"/>
      <c r="Q45" s="118" t="n"/>
    </row>
    <row r="46" ht="15.75" customHeight="1">
      <c r="B46" s="128" t="inlineStr">
        <is>
          <t>Incremental ROIC  =  Δ NOPAT / prior-yr net inv.</t>
        </is>
      </c>
      <c r="C46" s="129" t="n"/>
      <c r="D46" s="130" t="n"/>
      <c r="E46" s="130">
        <f>IFERROR((E40-D40)/D41,"")</f>
        <v/>
      </c>
      <c r="F46" s="130">
        <f>IFERROR((F40-E40)/E41,"")</f>
        <v/>
      </c>
      <c r="G46" s="130">
        <f>IFERROR((G40-F40)/F41,"")</f>
        <v/>
      </c>
      <c r="H46" s="130">
        <f>IFERROR((H40-G40)/G41,"")</f>
        <v/>
      </c>
      <c r="I46" s="130">
        <f>IFERROR((I40-H40)/H41,"")</f>
        <v/>
      </c>
      <c r="J46" s="130">
        <f>IFERROR((J40-I40)/I41,"")</f>
        <v/>
      </c>
      <c r="K46" s="130">
        <f>IFERROR((K40-J40)/J41,"")</f>
        <v/>
      </c>
      <c r="L46" s="130">
        <f>IFERROR((L40-K40)/K41,"")</f>
        <v/>
      </c>
      <c r="M46" s="130">
        <f>IFERROR((M40-L40)/L41,"")</f>
        <v/>
      </c>
      <c r="N46" s="130">
        <f>IFERROR($C$32/N45,"")</f>
        <v/>
      </c>
      <c r="O46" s="118" t="n"/>
      <c r="P46" s="118" t="n"/>
      <c r="Q46" s="118" t="n"/>
    </row>
    <row r="47" ht="15.75" customHeight="1">
      <c r="B47" s="118" t="inlineStr">
        <is>
          <t>Cumulative incremental ROIC 2026E–35E</t>
        </is>
      </c>
      <c r="C47" s="121">
        <f>IFERROR((M40-D40)/SUM(D41:L41),"")</f>
        <v/>
      </c>
      <c r="D47" s="121" t="n"/>
      <c r="E47" s="121" t="n"/>
      <c r="F47" s="121" t="n"/>
      <c r="G47" s="121" t="n"/>
      <c r="H47" s="121" t="n"/>
      <c r="I47" s="121" t="n"/>
      <c r="J47" s="121" t="n"/>
      <c r="K47" s="121" t="n"/>
      <c r="L47" s="121" t="n"/>
      <c r="M47" s="121" t="n"/>
      <c r="N47" s="121" t="n"/>
      <c r="O47" s="118" t="n"/>
      <c r="P47" s="118" t="n"/>
      <c r="Q47" s="118" t="n"/>
    </row>
    <row r="48">
      <c r="B48" s="118" t="n"/>
      <c r="C48" s="118" t="n"/>
      <c r="D48" s="142" t="inlineStr">
        <is>
          <t>Opening IC = Model 2025A book IC (equity + net debt), rolled forward with DCF net investment (capex − D&amp;A + ΔWC). Terminal incremental ROIC = g / reinvestment rate.</t>
        </is>
      </c>
      <c r="E48" s="118" t="n"/>
      <c r="F48" s="118" t="n"/>
      <c r="G48" s="118" t="n"/>
      <c r="H48" s="118" t="n"/>
      <c r="I48" s="118" t="n"/>
      <c r="J48" s="118" t="n"/>
      <c r="K48" s="118" t="n"/>
      <c r="L48" s="118" t="n"/>
      <c r="M48" s="118" t="n"/>
      <c r="N48" s="118" t="n"/>
      <c r="O48" s="118" t="n"/>
      <c r="P48" s="118" t="n"/>
      <c r="Q48" s="118" t="n"/>
    </row>
    <row r="49" ht="15" customHeight="1">
      <c r="B49" s="139" t="inlineStr">
        <is>
          <t>3. VALUATION SUMMARY</t>
        </is>
      </c>
      <c r="C49" s="118" t="n"/>
      <c r="D49" s="118" t="n"/>
      <c r="E49" s="118" t="n"/>
      <c r="F49" s="118" t="n"/>
      <c r="G49" s="118" t="n"/>
      <c r="H49" s="118" t="n"/>
      <c r="I49" s="118" t="n"/>
      <c r="J49" s="118" t="n"/>
      <c r="K49" s="118" t="n"/>
      <c r="L49" s="118" t="n"/>
      <c r="M49" s="118" t="n"/>
      <c r="N49" s="118" t="n"/>
      <c r="O49" s="118" t="n"/>
      <c r="P49" s="118" t="n"/>
      <c r="Q49" s="118" t="n"/>
    </row>
    <row r="50" ht="15" customHeight="1">
      <c r="B50" s="140" t="inlineStr">
        <is>
          <t>Sum of PV (explicit + fade)</t>
        </is>
      </c>
      <c r="C50" s="120">
        <f>SUM(D36:M36)</f>
        <v/>
      </c>
      <c r="D50" s="118" t="n"/>
      <c r="E50" s="118" t="n"/>
      <c r="F50" s="118" t="n"/>
      <c r="G50" s="118" t="n"/>
      <c r="H50" s="118" t="n"/>
      <c r="I50" s="118" t="n"/>
      <c r="J50" s="118" t="n"/>
      <c r="K50" s="118" t="n"/>
      <c r="L50" s="118" t="n"/>
      <c r="M50" s="118" t="n"/>
      <c r="N50" s="118" t="n"/>
      <c r="O50" s="118" t="n"/>
      <c r="P50" s="118" t="n"/>
      <c r="Q50" s="118" t="n"/>
    </row>
    <row r="51" ht="15" customHeight="1">
      <c r="B51" s="140" t="inlineStr">
        <is>
          <t>PV of Terminal Value</t>
        </is>
      </c>
      <c r="C51" s="120">
        <f>N36</f>
        <v/>
      </c>
      <c r="D51" s="118" t="n"/>
      <c r="E51" s="118" t="n"/>
      <c r="F51" s="118" t="n"/>
      <c r="G51" s="118" t="n"/>
      <c r="H51" s="118" t="n"/>
      <c r="I51" s="118" t="n"/>
      <c r="J51" s="118" t="n"/>
      <c r="K51" s="118" t="n"/>
      <c r="L51" s="118" t="n"/>
      <c r="M51" s="118" t="n"/>
      <c r="N51" s="118" t="n"/>
      <c r="O51" s="118" t="n"/>
      <c r="P51" s="118" t="n"/>
      <c r="Q51" s="118" t="n"/>
    </row>
    <row r="52" ht="15" customHeight="1">
      <c r="B52" s="145" t="inlineStr">
        <is>
          <t>Enterprise Value</t>
        </is>
      </c>
      <c r="C52" s="149">
        <f>C50+C51</f>
        <v/>
      </c>
      <c r="D52" s="118" t="n"/>
      <c r="E52" s="118" t="n"/>
      <c r="F52" s="118" t="n"/>
      <c r="G52" s="118" t="n"/>
      <c r="H52" s="118" t="n"/>
      <c r="I52" s="118" t="n"/>
      <c r="J52" s="118" t="n"/>
      <c r="K52" s="118" t="n"/>
      <c r="L52" s="118" t="n"/>
      <c r="M52" s="118" t="n"/>
      <c r="N52" s="118" t="n"/>
      <c r="O52" s="118" t="n"/>
      <c r="P52" s="118" t="n"/>
      <c r="Q52" s="118" t="n"/>
    </row>
    <row r="53" ht="15" customHeight="1">
      <c r="B53" s="140" t="inlineStr">
        <is>
          <t>Less: net debt (Model 2026E YE; negative = net cash)</t>
        </is>
      </c>
      <c r="C53" s="120">
        <f>Model!CA350</f>
        <v/>
      </c>
      <c r="D53" s="118" t="n"/>
      <c r="E53" s="118" t="n"/>
      <c r="F53" s="118" t="n"/>
      <c r="G53" s="118" t="n"/>
      <c r="H53" s="118" t="n"/>
      <c r="I53" s="118" t="n"/>
      <c r="J53" s="118" t="n"/>
      <c r="K53" s="118" t="n"/>
      <c r="L53" s="118" t="n"/>
      <c r="M53" s="118" t="n"/>
      <c r="N53" s="118" t="n"/>
      <c r="O53" s="118" t="n"/>
      <c r="P53" s="118" t="n"/>
      <c r="Q53" s="118" t="n"/>
    </row>
    <row r="54" ht="15" customHeight="1">
      <c r="B54" s="140" t="inlineStr">
        <is>
          <t>Less: non-controlling interests (none)</t>
        </is>
      </c>
      <c r="C54" s="120">
        <f>Model!CA359</f>
        <v/>
      </c>
      <c r="D54" s="118" t="n"/>
      <c r="E54" s="118" t="n"/>
      <c r="F54" s="118" t="n"/>
      <c r="G54" s="118" t="n"/>
      <c r="H54" s="118" t="n"/>
      <c r="I54" s="118" t="n"/>
      <c r="J54" s="118" t="n"/>
      <c r="K54" s="118" t="n"/>
      <c r="L54" s="118" t="n"/>
      <c r="M54" s="118" t="n"/>
      <c r="N54" s="118" t="n"/>
      <c r="O54" s="118" t="n"/>
      <c r="P54" s="118" t="n"/>
      <c r="Q54" s="118" t="n"/>
    </row>
    <row r="55" ht="15" customHeight="1">
      <c r="B55" s="145" t="inlineStr">
        <is>
          <t>Equity Value</t>
        </is>
      </c>
      <c r="C55" s="149">
        <f>C52-C53-C54</f>
        <v/>
      </c>
      <c r="D55" s="118" t="n"/>
      <c r="E55" s="118" t="n"/>
      <c r="F55" s="118" t="n"/>
      <c r="G55" s="118" t="n"/>
      <c r="H55" s="118" t="n"/>
      <c r="I55" s="118" t="n"/>
      <c r="J55" s="118" t="n"/>
      <c r="K55" s="118" t="n"/>
      <c r="L55" s="118" t="n"/>
      <c r="M55" s="118" t="n"/>
      <c r="N55" s="118" t="n"/>
      <c r="O55" s="118" t="n"/>
      <c r="P55" s="118" t="n"/>
      <c r="Q55" s="118" t="n"/>
    </row>
    <row r="56" ht="15" customHeight="1">
      <c r="B56" s="140" t="inlineStr">
        <is>
          <t>Diluted shares (m, Model 2026E period end)</t>
        </is>
      </c>
      <c r="C56" s="132">
        <f>Model!CA356</f>
        <v/>
      </c>
      <c r="D56" s="118" t="n"/>
      <c r="E56" s="118" t="n"/>
      <c r="F56" s="118" t="n"/>
      <c r="G56" s="118" t="n"/>
      <c r="H56" s="118" t="n"/>
      <c r="I56" s="118" t="n"/>
      <c r="J56" s="118" t="n"/>
      <c r="K56" s="118" t="n"/>
      <c r="L56" s="118" t="n"/>
      <c r="M56" s="118" t="n"/>
      <c r="N56" s="118" t="n"/>
      <c r="O56" s="118" t="n"/>
      <c r="P56" s="118" t="n"/>
      <c r="Q56" s="118" t="n"/>
    </row>
    <row r="57" ht="15" customHeight="1">
      <c r="B57" s="145" t="inlineStr">
        <is>
          <t>Implied share price ($)</t>
        </is>
      </c>
      <c r="C57" s="154">
        <f>C55/C56</f>
        <v/>
      </c>
      <c r="D57" s="118" t="n"/>
      <c r="E57" s="118" t="n"/>
      <c r="F57" s="118" t="n"/>
      <c r="G57" s="118" t="n"/>
      <c r="H57" s="118" t="n"/>
      <c r="I57" s="118" t="n"/>
      <c r="J57" s="118" t="n"/>
      <c r="K57" s="118" t="n"/>
      <c r="L57" s="118" t="n"/>
      <c r="M57" s="118" t="n"/>
      <c r="N57" s="118" t="n"/>
      <c r="O57" s="118" t="n"/>
      <c r="P57" s="118" t="n"/>
      <c r="Q57" s="118" t="n"/>
    </row>
    <row r="58" ht="15" customHeight="1">
      <c r="B58" s="140" t="inlineStr">
        <is>
          <t>Current share price ($)</t>
        </is>
      </c>
      <c r="C58" s="133">
        <f>Model!CA355</f>
        <v/>
      </c>
      <c r="D58" s="118" t="n"/>
      <c r="E58" s="118" t="n"/>
      <c r="F58" s="118" t="n"/>
      <c r="G58" s="118" t="n"/>
      <c r="H58" s="118" t="n"/>
      <c r="I58" s="118" t="n"/>
      <c r="J58" s="118" t="n"/>
      <c r="K58" s="118" t="n"/>
      <c r="L58" s="118" t="n"/>
      <c r="M58" s="118" t="n"/>
      <c r="N58" s="118" t="n"/>
      <c r="O58" s="118" t="n"/>
      <c r="P58" s="118" t="n"/>
      <c r="Q58" s="118" t="n"/>
    </row>
    <row r="59" ht="15" customHeight="1">
      <c r="B59" s="140" t="inlineStr">
        <is>
          <t>Implied upside / (downside)</t>
        </is>
      </c>
      <c r="C59" s="131">
        <f>C57/C58-1</f>
        <v/>
      </c>
      <c r="D59" s="118" t="n"/>
      <c r="E59" s="118" t="n"/>
      <c r="F59" s="118" t="n"/>
      <c r="G59" s="118" t="n"/>
      <c r="H59" s="118" t="n"/>
      <c r="I59" s="118" t="n"/>
      <c r="J59" s="118" t="n"/>
      <c r="K59" s="118" t="n"/>
      <c r="L59" s="118" t="n"/>
      <c r="M59" s="118" t="n"/>
      <c r="N59" s="118" t="n"/>
      <c r="O59" s="118" t="n"/>
      <c r="P59" s="118" t="n"/>
      <c r="Q59" s="118" t="n"/>
    </row>
    <row r="60" ht="15" customHeight="1">
      <c r="B60" s="118" t="inlineStr">
        <is>
          <t>Required discount to DCF value for target IRR (discount closes over horizon; value compounds at WACC)</t>
        </is>
      </c>
      <c r="C60" s="121">
        <f>1-((1+C13)/(1+F60))^F61</f>
        <v/>
      </c>
      <c r="D60" s="118" t="n"/>
      <c r="E60" s="159" t="inlineStr">
        <is>
          <t>Target IRR</t>
        </is>
      </c>
      <c r="F60" s="160" t="n">
        <v>0.15</v>
      </c>
      <c r="G60" s="118" t="n"/>
      <c r="H60" s="118" t="n"/>
      <c r="I60" s="118" t="n"/>
      <c r="J60" s="118" t="n"/>
      <c r="K60" s="118" t="n"/>
      <c r="L60" s="118" t="n"/>
      <c r="M60" s="118" t="n"/>
      <c r="N60" s="118" t="n"/>
      <c r="O60" s="118" t="n"/>
      <c r="P60" s="118" t="n"/>
      <c r="Q60" s="118" t="n"/>
    </row>
    <row r="61" ht="15" customHeight="1">
      <c r="B61" s="118" t="inlineStr">
        <is>
          <t>Max entry price for target IRR ($) — % vs. current share price shown right</t>
        </is>
      </c>
      <c r="C61" s="161">
        <f>C57*(1-C60)</f>
        <v/>
      </c>
      <c r="D61" s="170">
        <f>C61/C58-1</f>
        <v/>
      </c>
      <c r="E61" s="159" t="inlineStr">
        <is>
          <t>Years for discount to close</t>
        </is>
      </c>
      <c r="F61" s="162" t="n">
        <v>3</v>
      </c>
      <c r="G61" s="118" t="n"/>
      <c r="H61" s="118" t="n"/>
      <c r="I61" s="118" t="n"/>
      <c r="J61" s="118" t="n"/>
      <c r="K61" s="118" t="n"/>
      <c r="L61" s="118" t="n"/>
      <c r="M61" s="118" t="n"/>
      <c r="N61" s="118" t="n"/>
      <c r="O61" s="118" t="n"/>
      <c r="P61" s="118" t="n"/>
      <c r="Q61" s="118" t="n"/>
    </row>
    <row r="62">
      <c r="B62" s="118" t="n"/>
      <c r="C62" s="118" t="n"/>
      <c r="D62" s="118" t="n"/>
      <c r="E62" s="118" t="n"/>
      <c r="F62" s="118" t="n"/>
      <c r="G62" s="118" t="n"/>
      <c r="H62" s="118" t="n"/>
      <c r="I62" s="118" t="n"/>
      <c r="J62" s="118" t="n"/>
      <c r="K62" s="118" t="n"/>
      <c r="L62" s="118" t="n"/>
      <c r="M62" s="118" t="n"/>
      <c r="N62" s="118" t="n"/>
      <c r="O62" s="118" t="n"/>
      <c r="P62" s="118" t="n"/>
      <c r="Q62" s="118" t="n"/>
    </row>
    <row r="63">
      <c r="B63" s="118" t="n"/>
      <c r="C63" s="118" t="n"/>
      <c r="D63" s="118" t="n"/>
      <c r="E63" s="118" t="n"/>
      <c r="F63" s="118" t="n"/>
      <c r="G63" s="118" t="n"/>
      <c r="H63" s="118" t="n"/>
      <c r="I63" s="118" t="n"/>
      <c r="J63" s="118" t="n"/>
      <c r="K63" s="118" t="n"/>
      <c r="L63" s="118" t="n"/>
      <c r="M63" s="118" t="n"/>
      <c r="N63" s="118" t="n"/>
      <c r="O63" s="118" t="n"/>
      <c r="P63" s="118" t="n"/>
      <c r="Q63" s="118" t="n"/>
    </row>
    <row r="64" ht="15" customHeight="1">
      <c r="B64" s="139" t="inlineStr">
        <is>
          <t>4. SENSITIVITY: IMPLIED PRICE ($) — WACC × Terminal Growth</t>
        </is>
      </c>
      <c r="C64" s="118" t="n"/>
      <c r="D64" s="118" t="n"/>
      <c r="E64" s="118" t="n"/>
      <c r="F64" s="118" t="n"/>
      <c r="G64" s="118" t="n"/>
      <c r="H64" s="118" t="n"/>
      <c r="I64" s="118" t="n"/>
      <c r="J64" s="118" t="n"/>
      <c r="K64" s="118" t="n"/>
      <c r="L64" s="118" t="n"/>
      <c r="M64" s="118" t="n"/>
      <c r="N64" s="118" t="n"/>
      <c r="O64" s="118" t="n"/>
      <c r="P64" s="118" t="n"/>
      <c r="Q64" s="118" t="n"/>
    </row>
    <row r="65">
      <c r="B65" s="118" t="inlineStr">
        <is>
          <t>WACC step (across)</t>
        </is>
      </c>
      <c r="C65" s="134" t="n">
        <v>0.005</v>
      </c>
      <c r="D65" s="118" t="n"/>
      <c r="E65" s="118" t="n"/>
      <c r="F65" s="118" t="n"/>
      <c r="G65" s="118" t="n"/>
      <c r="H65" s="118" t="n"/>
      <c r="I65" s="118" t="n"/>
      <c r="J65" s="118" t="n"/>
      <c r="K65" s="118" t="n"/>
      <c r="L65" s="118" t="n"/>
      <c r="M65" s="118" t="n"/>
      <c r="N65" s="118" t="n"/>
      <c r="O65" s="118" t="n"/>
      <c r="P65" s="118" t="n"/>
      <c r="Q65" s="118" t="n"/>
    </row>
    <row r="66" ht="15" customHeight="1">
      <c r="B66" s="118" t="inlineStr">
        <is>
          <t>Terminal growth step (down)</t>
        </is>
      </c>
      <c r="C66" s="134" t="n">
        <v>0.005</v>
      </c>
      <c r="D66" s="118" t="n"/>
      <c r="E66" s="118" t="n"/>
      <c r="F66" s="118" t="n"/>
      <c r="G66" s="118" t="n"/>
      <c r="H66" s="118" t="n"/>
      <c r="I66" s="118" t="n"/>
      <c r="J66" s="118" t="n"/>
      <c r="K66" s="118" t="n"/>
      <c r="L66" s="118" t="n"/>
      <c r="M66" s="118" t="n"/>
      <c r="N66" s="118" t="n"/>
      <c r="O66" s="118" t="n"/>
      <c r="P66" s="118" t="n"/>
      <c r="Q66" s="118" t="n"/>
    </row>
    <row r="67" ht="15" customHeight="1">
      <c r="B67" s="118" t="inlineStr">
        <is>
          <t>g (down) / WACC</t>
        </is>
      </c>
      <c r="C67" s="118" t="n"/>
      <c r="D67" s="155">
        <f>E67-$C$65</f>
        <v/>
      </c>
      <c r="E67" s="155">
        <f>F67-$C$65</f>
        <v/>
      </c>
      <c r="F67" s="155">
        <f>$C$13</f>
        <v/>
      </c>
      <c r="G67" s="155">
        <f>F67+$C$65</f>
        <v/>
      </c>
      <c r="H67" s="155">
        <f>G67+$C$65</f>
        <v/>
      </c>
      <c r="I67" s="118" t="n"/>
      <c r="J67" s="118" t="n"/>
      <c r="K67" s="118" t="n"/>
      <c r="L67" s="118" t="n"/>
      <c r="M67" s="118" t="n"/>
      <c r="N67" s="118" t="n"/>
      <c r="O67" s="118" t="n"/>
      <c r="P67" s="118" t="n"/>
      <c r="Q67" s="118" t="n"/>
    </row>
    <row r="68" ht="15" customHeight="1">
      <c r="B68" s="155">
        <f>B69-$C$66</f>
        <v/>
      </c>
      <c r="C68" s="118" t="n"/>
      <c r="D68" s="135">
        <f>IFERROR((SUMPRODUCT($D$26:$M$26/(1+D$67)^$D$34:$M$34)+($M$26*(1+$B68)/(D$67-$B68))/(1+D$67)^$M$34-$C$53-$C$54)/$C$56,"")</f>
        <v/>
      </c>
      <c r="E68" s="135">
        <f>IFERROR((SUMPRODUCT($D$26:$M$26/(1+E$67)^$D$34:$M$34)+($M$26*(1+$B68)/(E$67-$B68))/(1+E$67)^$M$34-$C$53-$C$54)/$C$56,"")</f>
        <v/>
      </c>
      <c r="F68" s="135">
        <f>IFERROR((SUMPRODUCT($D$26:$M$26/(1+F$67)^$D$34:$M$34)+($M$26*(1+$B68)/(F$67-$B68))/(1+F$67)^$M$34-$C$53-$C$54)/$C$56,"")</f>
        <v/>
      </c>
      <c r="G68" s="135">
        <f>IFERROR((SUMPRODUCT($D$26:$M$26/(1+G$67)^$D$34:$M$34)+($M$26*(1+$B68)/(G$67-$B68))/(1+G$67)^$M$34-$C$53-$C$54)/$C$56,"")</f>
        <v/>
      </c>
      <c r="H68" s="135">
        <f>IFERROR((SUMPRODUCT($D$26:$M$26/(1+H$67)^$D$34:$M$34)+($M$26*(1+$B68)/(H$67-$B68))/(1+H$67)^$M$34-$C$53-$C$54)/$C$56,"")</f>
        <v/>
      </c>
      <c r="I68" s="118" t="n"/>
      <c r="J68" s="118" t="n"/>
      <c r="K68" s="118" t="n"/>
      <c r="L68" s="118" t="n"/>
      <c r="M68" s="118" t="n"/>
      <c r="N68" s="118" t="n"/>
      <c r="O68" s="118" t="n"/>
      <c r="P68" s="118" t="n"/>
      <c r="Q68" s="118" t="n"/>
    </row>
    <row r="69" ht="15" customHeight="1">
      <c r="B69" s="155">
        <f>B70-$C$66</f>
        <v/>
      </c>
      <c r="C69" s="118" t="n"/>
      <c r="D69" s="135">
        <f>IFERROR((SUMPRODUCT($D$26:$M$26/(1+D$67)^$D$34:$M$34)+($M$26*(1+$B69)/(D$67-$B69))/(1+D$67)^$M$34-$C$53-$C$54)/$C$56,"")</f>
        <v/>
      </c>
      <c r="E69" s="135">
        <f>IFERROR((SUMPRODUCT($D$26:$M$26/(1+E$67)^$D$34:$M$34)+($M$26*(1+$B69)/(E$67-$B69))/(1+E$67)^$M$34-$C$53-$C$54)/$C$56,"")</f>
        <v/>
      </c>
      <c r="F69" s="135">
        <f>IFERROR((SUMPRODUCT($D$26:$M$26/(1+F$67)^$D$34:$M$34)+($M$26*(1+$B69)/(F$67-$B69))/(1+F$67)^$M$34-$C$53-$C$54)/$C$56,"")</f>
        <v/>
      </c>
      <c r="G69" s="135">
        <f>IFERROR((SUMPRODUCT($D$26:$M$26/(1+G$67)^$D$34:$M$34)+($M$26*(1+$B69)/(G$67-$B69))/(1+G$67)^$M$34-$C$53-$C$54)/$C$56,"")</f>
        <v/>
      </c>
      <c r="H69" s="135">
        <f>IFERROR((SUMPRODUCT($D$26:$M$26/(1+H$67)^$D$34:$M$34)+($M$26*(1+$B69)/(H$67-$B69))/(1+H$67)^$M$34-$C$53-$C$54)/$C$56,"")</f>
        <v/>
      </c>
      <c r="I69" s="118" t="n"/>
      <c r="J69" s="118" t="n"/>
      <c r="K69" s="118" t="n"/>
      <c r="L69" s="118" t="n"/>
      <c r="M69" s="118" t="n"/>
      <c r="N69" s="118" t="n"/>
      <c r="O69" s="118" t="n"/>
      <c r="P69" s="118" t="n"/>
      <c r="Q69" s="118" t="n"/>
    </row>
    <row r="70" ht="15" customHeight="1">
      <c r="B70" s="155">
        <f>$C$32</f>
        <v/>
      </c>
      <c r="C70" s="118" t="n"/>
      <c r="D70" s="135">
        <f>IFERROR((SUMPRODUCT($D$26:$M$26/(1+D$67)^$D$34:$M$34)+($M$26*(1+$B70)/(D$67-$B70))/(1+D$67)^$M$34-$C$53-$C$54)/$C$56,"")</f>
        <v/>
      </c>
      <c r="E70" s="135">
        <f>IFERROR((SUMPRODUCT($D$26:$M$26/(1+E$67)^$D$34:$M$34)+($M$26*(1+$B70)/(E$67-$B70))/(1+E$67)^$M$34-$C$53-$C$54)/$C$56,"")</f>
        <v/>
      </c>
      <c r="F70" s="136">
        <f>IFERROR((SUMPRODUCT($D$26:$M$26/(1+F$67)^$D$34:$M$34)+($M$26*(1+$B70)/(F$67-$B70))/(1+F$67)^$M$34-$C$53-$C$54)/$C$56,"")</f>
        <v/>
      </c>
      <c r="G70" s="135">
        <f>IFERROR((SUMPRODUCT($D$26:$M$26/(1+G$67)^$D$34:$M$34)+($M$26*(1+$B70)/(G$67-$B70))/(1+G$67)^$M$34-$C$53-$C$54)/$C$56,"")</f>
        <v/>
      </c>
      <c r="H70" s="135">
        <f>IFERROR((SUMPRODUCT($D$26:$M$26/(1+H$67)^$D$34:$M$34)+($M$26*(1+$B70)/(H$67-$B70))/(1+H$67)^$M$34-$C$53-$C$54)/$C$56,"")</f>
        <v/>
      </c>
      <c r="I70" s="118" t="n"/>
      <c r="J70" s="118" t="n"/>
      <c r="K70" s="118" t="n"/>
      <c r="L70" s="118" t="n"/>
      <c r="M70" s="118" t="n"/>
      <c r="N70" s="118" t="n"/>
      <c r="O70" s="118" t="n"/>
      <c r="P70" s="118" t="n"/>
      <c r="Q70" s="118" t="n"/>
    </row>
    <row r="71" ht="15" customHeight="1">
      <c r="B71" s="155">
        <f>B70+$C$66</f>
        <v/>
      </c>
      <c r="C71" s="118" t="n"/>
      <c r="D71" s="135">
        <f>IFERROR((SUMPRODUCT($D$26:$M$26/(1+D$67)^$D$34:$M$34)+($M$26*(1+$B71)/(D$67-$B71))/(1+D$67)^$M$34-$C$53-$C$54)/$C$56,"")</f>
        <v/>
      </c>
      <c r="E71" s="135">
        <f>IFERROR((SUMPRODUCT($D$26:$M$26/(1+E$67)^$D$34:$M$34)+($M$26*(1+$B71)/(E$67-$B71))/(1+E$67)^$M$34-$C$53-$C$54)/$C$56,"")</f>
        <v/>
      </c>
      <c r="F71" s="135">
        <f>IFERROR((SUMPRODUCT($D$26:$M$26/(1+F$67)^$D$34:$M$34)+($M$26*(1+$B71)/(F$67-$B71))/(1+F$67)^$M$34-$C$53-$C$54)/$C$56,"")</f>
        <v/>
      </c>
      <c r="G71" s="135">
        <f>IFERROR((SUMPRODUCT($D$26:$M$26/(1+G$67)^$D$34:$M$34)+($M$26*(1+$B71)/(G$67-$B71))/(1+G$67)^$M$34-$C$53-$C$54)/$C$56,"")</f>
        <v/>
      </c>
      <c r="H71" s="135">
        <f>IFERROR((SUMPRODUCT($D$26:$M$26/(1+H$67)^$D$34:$M$34)+($M$26*(1+$B71)/(H$67-$B71))/(1+H$67)^$M$34-$C$53-$C$54)/$C$56,"")</f>
        <v/>
      </c>
      <c r="I71" s="118" t="n"/>
      <c r="J71" s="118" t="n"/>
      <c r="K71" s="118" t="n"/>
      <c r="L71" s="118" t="n"/>
      <c r="M71" s="118" t="n"/>
      <c r="N71" s="118" t="n"/>
      <c r="O71" s="118" t="n"/>
      <c r="P71" s="118" t="n"/>
      <c r="Q71" s="118" t="n"/>
    </row>
    <row r="72" ht="15" customHeight="1">
      <c r="B72" s="155">
        <f>B71+$C$66</f>
        <v/>
      </c>
      <c r="C72" s="118" t="n"/>
      <c r="D72" s="135">
        <f>IFERROR((SUMPRODUCT($D$26:$M$26/(1+D$67)^$D$34:$M$34)+($M$26*(1+$B72)/(D$67-$B72))/(1+D$67)^$M$34-$C$53-$C$54)/$C$56,"")</f>
        <v/>
      </c>
      <c r="E72" s="135">
        <f>IFERROR((SUMPRODUCT($D$26:$M$26/(1+E$67)^$D$34:$M$34)+($M$26*(1+$B72)/(E$67-$B72))/(1+E$67)^$M$34-$C$53-$C$54)/$C$56,"")</f>
        <v/>
      </c>
      <c r="F72" s="135">
        <f>IFERROR((SUMPRODUCT($D$26:$M$26/(1+F$67)^$D$34:$M$34)+($M$26*(1+$B72)/(F$67-$B72))/(1+F$67)^$M$34-$C$53-$C$54)/$C$56,"")</f>
        <v/>
      </c>
      <c r="G72" s="135">
        <f>IFERROR((SUMPRODUCT($D$26:$M$26/(1+G$67)^$D$34:$M$34)+($M$26*(1+$B72)/(G$67-$B72))/(1+G$67)^$M$34-$C$53-$C$54)/$C$56,"")</f>
        <v/>
      </c>
      <c r="H72" s="135">
        <f>IFERROR((SUMPRODUCT($D$26:$M$26/(1+H$67)^$D$34:$M$34)+($M$26*(1+$B72)/(H$67-$B72))/(1+H$67)^$M$34-$C$53-$C$54)/$C$56,"")</f>
        <v/>
      </c>
      <c r="I72" s="118" t="n"/>
      <c r="J72" s="118" t="n"/>
      <c r="K72" s="118" t="n"/>
      <c r="L72" s="118" t="n"/>
      <c r="M72" s="118" t="n"/>
      <c r="N72" s="118" t="n"/>
      <c r="O72" s="118" t="n"/>
      <c r="P72" s="118" t="n"/>
      <c r="Q72" s="118" t="n"/>
    </row>
    <row r="73">
      <c r="B73" s="118" t="n"/>
      <c r="C73" s="118" t="n"/>
      <c r="D73" s="118" t="n"/>
      <c r="E73" s="118" t="n"/>
      <c r="F73" s="118" t="n"/>
      <c r="G73" s="118" t="n"/>
      <c r="H73" s="118" t="n"/>
      <c r="I73" s="118" t="n"/>
      <c r="J73" s="118" t="n"/>
      <c r="K73" s="118" t="n"/>
      <c r="L73" s="118" t="n"/>
      <c r="M73" s="118" t="n"/>
      <c r="N73" s="118" t="n"/>
      <c r="O73" s="118" t="n"/>
      <c r="P73" s="118" t="n"/>
      <c r="Q73" s="118" t="n"/>
    </row>
    <row r="74">
      <c r="B74" s="118" t="n"/>
      <c r="C74" s="118" t="n"/>
      <c r="D74" s="118" t="n"/>
      <c r="E74" s="118" t="n"/>
      <c r="F74" s="118" t="n"/>
      <c r="G74" s="118" t="n"/>
      <c r="H74" s="118" t="n"/>
      <c r="I74" s="118" t="n"/>
      <c r="J74" s="118" t="n"/>
      <c r="K74" s="118" t="n"/>
      <c r="L74" s="118" t="n"/>
      <c r="M74" s="118" t="n"/>
      <c r="N74" s="118" t="n"/>
      <c r="O74" s="118" t="n"/>
      <c r="P74" s="118" t="n"/>
      <c r="Q74" s="118" t="n"/>
    </row>
    <row r="75" ht="15" customHeight="1">
      <c r="B75" s="139" t="inlineStr">
        <is>
          <t>5. REVERSE DCF</t>
        </is>
      </c>
      <c r="C75" s="118" t="n"/>
      <c r="D75" s="118" t="n"/>
      <c r="E75" s="118" t="n"/>
      <c r="F75" s="118" t="n"/>
      <c r="G75" s="118" t="n"/>
      <c r="H75" s="118" t="n"/>
      <c r="I75" s="118" t="n"/>
      <c r="J75" s="118" t="n"/>
      <c r="K75" s="118" t="n"/>
      <c r="L75" s="118" t="n"/>
      <c r="M75" s="118" t="n"/>
      <c r="N75" s="118" t="n"/>
      <c r="O75" s="118" t="n"/>
      <c r="P75" s="118" t="n"/>
      <c r="Q75" s="118" t="n"/>
    </row>
    <row r="76" ht="15" customHeight="1">
      <c r="B76" s="142" t="inlineStr">
        <is>
          <t>To solve for the market-implied path: Data ▸ What-If Analysis ▸ Goal Seek — set C57 (implied price) to the current price (C58) by changing C32 (terminal growth) or the Model scenario levers (tons/day growth, ex-fuel yield, operating ratio).</t>
        </is>
      </c>
      <c r="C76" s="118" t="n"/>
      <c r="D76" s="118" t="n"/>
      <c r="E76" s="118" t="n"/>
      <c r="F76" s="118" t="n"/>
      <c r="G76" s="118" t="n"/>
      <c r="H76" s="118" t="n"/>
      <c r="I76" s="118" t="n"/>
      <c r="J76" s="118" t="n"/>
      <c r="K76" s="118" t="n"/>
      <c r="L76" s="118" t="n"/>
      <c r="M76" s="118" t="n"/>
      <c r="N76" s="118" t="n"/>
      <c r="O76" s="118" t="n"/>
      <c r="P76" s="118" t="n"/>
      <c r="Q76" s="118" t="n"/>
    </row>
    <row r="77">
      <c r="B77" s="118" t="n"/>
      <c r="C77" s="118" t="n"/>
      <c r="D77" s="118" t="n"/>
      <c r="E77" s="118" t="n"/>
      <c r="F77" s="118" t="n"/>
      <c r="G77" s="118" t="n"/>
      <c r="H77" s="118" t="n"/>
      <c r="I77" s="118" t="n"/>
      <c r="J77" s="118" t="n"/>
      <c r="K77" s="118" t="n"/>
      <c r="L77" s="118" t="n"/>
      <c r="M77" s="118" t="n"/>
      <c r="N77" s="118" t="n"/>
      <c r="O77" s="118" t="n"/>
      <c r="P77" s="118" t="n"/>
      <c r="Q77" s="118" t="n"/>
    </row>
    <row r="78" ht="15" customHeight="1">
      <c r="B78" s="139" t="inlineStr">
        <is>
          <t>6. MAUBOUSSIN EV / NOPAT — TWO-STAGE FRAMEWORK</t>
        </is>
      </c>
      <c r="C78" s="118" t="n"/>
      <c r="D78" s="118" t="n"/>
      <c r="E78" s="118" t="n"/>
      <c r="F78" s="118" t="n"/>
      <c r="G78" s="118" t="n"/>
      <c r="H78" s="118" t="n"/>
      <c r="I78" s="118" t="n"/>
      <c r="J78" s="118" t="n"/>
      <c r="K78" s="118" t="n"/>
      <c r="L78" s="118" t="n"/>
      <c r="M78" s="118" t="n"/>
      <c r="N78" s="118" t="n"/>
      <c r="O78" s="118" t="n"/>
      <c r="P78" s="118" t="n"/>
      <c r="Q78" s="118" t="n"/>
    </row>
    <row r="79" ht="15" customHeight="1">
      <c r="B79" s="142" t="inlineStr">
        <is>
          <t>EV/NOPAT  =  1/r  +  [g × (1 − r/ROIIC) / (r × (r − g))] × [1 − ((1+g)/(1+r))^N]</t>
        </is>
      </c>
      <c r="C79" s="118" t="n"/>
      <c r="D79" s="118" t="n"/>
      <c r="E79" s="118" t="n"/>
      <c r="F79" s="118" t="n"/>
      <c r="G79" s="118" t="n"/>
      <c r="H79" s="118" t="n"/>
      <c r="I79" s="118" t="n"/>
      <c r="J79" s="118" t="n"/>
      <c r="K79" s="118" t="n"/>
      <c r="L79" s="118" t="n"/>
      <c r="M79" s="118" t="n"/>
      <c r="N79" s="118" t="n"/>
      <c r="O79" s="118" t="n"/>
      <c r="P79" s="118" t="n"/>
      <c r="Q79" s="118" t="n"/>
    </row>
    <row r="80" ht="15" customHeight="1">
      <c r="B80" s="142" t="inlineStr">
        <is>
          <t>Formula source: Mauboussin &amp; Rappaport, "Expectations Investing" (2021); Counterpoint Global, "What Does a Price-Earnings Multiple Mean?" (2020).</t>
        </is>
      </c>
      <c r="C80" s="118" t="n"/>
      <c r="D80" s="118" t="n"/>
      <c r="E80" s="118" t="n"/>
      <c r="F80" s="118" t="n"/>
      <c r="G80" s="118" t="n"/>
      <c r="H80" s="118" t="n"/>
      <c r="I80" s="118" t="n"/>
      <c r="J80" s="118" t="n"/>
      <c r="K80" s="118" t="n"/>
      <c r="L80" s="118" t="n"/>
      <c r="M80" s="118" t="n"/>
      <c r="N80" s="118" t="n"/>
      <c r="O80" s="118" t="n"/>
      <c r="P80" s="118" t="n"/>
      <c r="Q80" s="118" t="n"/>
    </row>
    <row r="81">
      <c r="B81" s="118" t="n"/>
      <c r="C81" s="118" t="n"/>
      <c r="D81" s="118" t="n"/>
      <c r="E81" s="118" t="n"/>
      <c r="F81" s="118" t="n"/>
      <c r="G81" s="118" t="n"/>
      <c r="H81" s="118" t="n"/>
      <c r="I81" s="118" t="n"/>
      <c r="J81" s="118" t="n"/>
      <c r="K81" s="118" t="n"/>
      <c r="L81" s="118" t="n"/>
      <c r="M81" s="118" t="n"/>
      <c r="N81" s="118" t="n"/>
      <c r="O81" s="118" t="n"/>
      <c r="P81" s="118" t="n"/>
      <c r="Q81" s="118" t="n"/>
    </row>
    <row r="82" ht="15" customHeight="1">
      <c r="B82" s="139" t="inlineStr">
        <is>
          <t>Input</t>
        </is>
      </c>
      <c r="C82" s="139" t="inlineStr">
        <is>
          <t>Value</t>
        </is>
      </c>
      <c r="D82" s="139" t="inlineStr">
        <is>
          <t>Rationale (Old Dominion characteristics)</t>
        </is>
      </c>
      <c r="E82" s="118" t="n"/>
      <c r="F82" s="118" t="n"/>
      <c r="G82" s="118" t="n"/>
      <c r="H82" s="118" t="n"/>
      <c r="I82" s="118" t="n"/>
      <c r="J82" s="118" t="n"/>
      <c r="K82" s="118" t="n"/>
      <c r="L82" s="118" t="n"/>
      <c r="M82" s="118" t="n"/>
      <c r="N82" s="118" t="n"/>
      <c r="O82" s="118" t="n"/>
      <c r="P82" s="118" t="n"/>
      <c r="Q82" s="118" t="n"/>
    </row>
    <row r="83" ht="15" customHeight="1">
      <c r="B83" s="118" t="inlineStr">
        <is>
          <t>r  (Cost of capital / WACC)</t>
        </is>
      </c>
      <c r="C83" s="156">
        <f>$C$13</f>
        <v/>
      </c>
      <c r="D83" s="142" t="inlineStr">
        <is>
          <t>Linked from Section 1 WACC build</t>
        </is>
      </c>
      <c r="E83" s="118" t="n"/>
      <c r="F83" s="118" t="n"/>
      <c r="G83" s="118" t="n"/>
      <c r="H83" s="118" t="n"/>
      <c r="I83" s="118" t="n"/>
      <c r="J83" s="118" t="n"/>
      <c r="K83" s="118" t="n"/>
      <c r="L83" s="118" t="n"/>
      <c r="M83" s="118" t="n"/>
      <c r="N83" s="118" t="n"/>
      <c r="O83" s="118" t="n"/>
      <c r="P83" s="118" t="n"/>
      <c r="Q83" s="118" t="n"/>
    </row>
    <row r="84" ht="15" customHeight="1">
      <c r="B84" s="118" t="inlineStr">
        <is>
          <t>g  (NOPAT growth, Stage 1)</t>
        </is>
      </c>
      <c r="C84" s="141" t="n">
        <v>0.11</v>
      </c>
      <c r="D84" s="142" t="inlineStr">
        <is>
          <t>Model Adjusted EBIT CAGR 2026–30E: tons/day recovery (+4–5% p.a.), ex-fuel yield +4–5% and operating-ratio improvement toward 68.5% → ~12% NOPAT growth</t>
        </is>
      </c>
      <c r="E84" s="118" t="n"/>
      <c r="F84" s="118" t="n"/>
      <c r="G84" s="118" t="n"/>
      <c r="H84" s="118" t="n"/>
      <c r="I84" s="118" t="n"/>
      <c r="J84" s="118" t="n"/>
      <c r="K84" s="118" t="n"/>
      <c r="L84" s="118" t="n"/>
      <c r="M84" s="118" t="n"/>
      <c r="N84" s="118" t="n"/>
      <c r="O84" s="118" t="n"/>
      <c r="P84" s="118" t="n"/>
      <c r="Q84" s="118" t="n"/>
    </row>
    <row r="85" ht="15" customHeight="1">
      <c r="B85" s="118" t="inlineStr">
        <is>
          <t>ROIIC  (Return on incremental invested capital)</t>
        </is>
      </c>
      <c r="C85" s="141" t="n">
        <v>0.25</v>
      </c>
      <c r="D85" s="142" t="inlineStr">
        <is>
          <t>Service-led share gains on a network with excess door capacity: incremental density earns very high returns (2016–25 ROIC 20–30% after tax on book IC)</t>
        </is>
      </c>
      <c r="E85" s="118" t="n"/>
      <c r="F85" s="118" t="n"/>
      <c r="G85" s="118" t="n"/>
      <c r="H85" s="118" t="n"/>
      <c r="I85" s="118" t="n"/>
      <c r="J85" s="118" t="n"/>
      <c r="K85" s="118" t="n"/>
      <c r="L85" s="118" t="n"/>
      <c r="M85" s="118" t="n"/>
      <c r="N85" s="118" t="n"/>
      <c r="O85" s="118" t="n"/>
      <c r="P85" s="118" t="n"/>
      <c r="Q85" s="118" t="n"/>
    </row>
    <row r="86" ht="15" customHeight="1">
      <c r="B86" s="118" t="inlineStr">
        <is>
          <t>N  (Years of value creation / CAP)</t>
        </is>
      </c>
      <c r="C86" s="157" t="n">
        <v>15</v>
      </c>
      <c r="D86" s="142" t="inlineStr">
        <is>
          <t>Union-free, owned real estate (240 of 260 service centers), 99% on-time / 0.1% claims ratio and a decades-long record of LTL share gains; long runway in a consolidating industry</t>
        </is>
      </c>
      <c r="E86" s="118" t="n"/>
      <c r="F86" s="118" t="n"/>
      <c r="G86" s="118" t="n"/>
      <c r="H86" s="118" t="n"/>
      <c r="I86" s="118" t="n"/>
      <c r="J86" s="118" t="n"/>
      <c r="K86" s="118" t="n"/>
      <c r="L86" s="118" t="n"/>
      <c r="M86" s="118" t="n"/>
      <c r="N86" s="118" t="n"/>
      <c r="O86" s="118" t="n"/>
      <c r="P86" s="118" t="n"/>
      <c r="Q86" s="118" t="n"/>
    </row>
    <row r="87">
      <c r="B87" s="118" t="n"/>
      <c r="C87" s="118" t="n"/>
      <c r="D87" s="118" t="n"/>
      <c r="E87" s="118" t="n"/>
      <c r="F87" s="118" t="n"/>
      <c r="G87" s="118" t="n"/>
      <c r="H87" s="118" t="n"/>
      <c r="I87" s="118" t="n"/>
      <c r="J87" s="118" t="n"/>
      <c r="K87" s="118" t="n"/>
      <c r="L87" s="118" t="n"/>
      <c r="M87" s="118" t="n"/>
      <c r="N87" s="118" t="n"/>
      <c r="O87" s="118" t="n"/>
      <c r="P87" s="118" t="n"/>
      <c r="Q87" s="118" t="n"/>
    </row>
    <row r="88" ht="15" customHeight="1">
      <c r="B88" s="139" t="inlineStr">
        <is>
          <t>Calculation</t>
        </is>
      </c>
      <c r="C88" s="139" t="inlineStr">
        <is>
          <t>Value</t>
        </is>
      </c>
      <c r="D88" s="118" t="n"/>
      <c r="E88" s="118" t="n"/>
      <c r="F88" s="118" t="n"/>
      <c r="G88" s="118" t="n"/>
      <c r="H88" s="118" t="n"/>
      <c r="I88" s="118" t="n"/>
      <c r="J88" s="118" t="n"/>
      <c r="K88" s="118" t="n"/>
      <c r="L88" s="118" t="n"/>
      <c r="M88" s="118" t="n"/>
      <c r="N88" s="118" t="n"/>
      <c r="O88" s="118" t="n"/>
      <c r="P88" s="118" t="n"/>
      <c r="Q88" s="118" t="n"/>
    </row>
    <row r="89" ht="15" customHeight="1">
      <c r="B89" s="118" t="inlineStr">
        <is>
          <t>Steady-state component:  1 / r</t>
        </is>
      </c>
      <c r="C89" s="125">
        <f>1/C83</f>
        <v/>
      </c>
      <c r="D89" s="118" t="n"/>
      <c r="E89" s="118" t="n"/>
      <c r="F89" s="118" t="n"/>
      <c r="G89" s="118" t="n"/>
      <c r="H89" s="118" t="n"/>
      <c r="I89" s="118" t="n"/>
      <c r="J89" s="118" t="n"/>
      <c r="K89" s="118" t="n"/>
      <c r="L89" s="118" t="n"/>
      <c r="M89" s="118" t="n"/>
      <c r="N89" s="118" t="n"/>
      <c r="O89" s="118" t="n"/>
      <c r="P89" s="118" t="n"/>
      <c r="Q89" s="118" t="n"/>
    </row>
    <row r="90" ht="15" customHeight="1">
      <c r="B90" s="118" t="inlineStr">
        <is>
          <t>Value-creation factor: 1 − r / ROIIC</t>
        </is>
      </c>
      <c r="C90" s="125">
        <f>1-C83/C85</f>
        <v/>
      </c>
      <c r="D90" s="118" t="n"/>
      <c r="E90" s="118" t="n"/>
      <c r="F90" s="118" t="n"/>
      <c r="G90" s="118" t="n"/>
      <c r="H90" s="118" t="n"/>
      <c r="I90" s="118" t="n"/>
      <c r="J90" s="118" t="n"/>
      <c r="K90" s="118" t="n"/>
      <c r="L90" s="118" t="n"/>
      <c r="M90" s="118" t="n"/>
      <c r="N90" s="118" t="n"/>
      <c r="O90" s="118" t="n"/>
      <c r="P90" s="118" t="n"/>
      <c r="Q90" s="118" t="n"/>
    </row>
    <row r="91" ht="15" customHeight="1">
      <c r="B91" s="118" t="inlineStr">
        <is>
          <t>Growth multiplier: g × (1 − r/ROIIC) / (r × (r − g))</t>
        </is>
      </c>
      <c r="C91" s="125">
        <f>C84*C90/(C83*(C83-C84))</f>
        <v/>
      </c>
      <c r="D91" s="118" t="n"/>
      <c r="E91" s="118" t="n"/>
      <c r="F91" s="118" t="n"/>
      <c r="G91" s="118" t="n"/>
      <c r="H91" s="118" t="n"/>
      <c r="I91" s="118" t="n"/>
      <c r="J91" s="118" t="n"/>
      <c r="K91" s="118" t="n"/>
      <c r="L91" s="118" t="n"/>
      <c r="M91" s="118" t="n"/>
      <c r="N91" s="118" t="n"/>
      <c r="O91" s="118" t="n"/>
      <c r="P91" s="118" t="n"/>
      <c r="Q91" s="118" t="n"/>
    </row>
    <row r="92" ht="15" customHeight="1">
      <c r="B92" s="118" t="inlineStr">
        <is>
          <t>Time decay: 1 − ((1+g)/(1+r))^N</t>
        </is>
      </c>
      <c r="C92" s="125">
        <f>1-((1+C84)/(1+C83))^C86</f>
        <v/>
      </c>
      <c r="D92" s="118" t="n"/>
      <c r="E92" s="118" t="n"/>
      <c r="F92" s="118" t="n"/>
      <c r="G92" s="118" t="n"/>
      <c r="H92" s="118" t="n"/>
      <c r="I92" s="118" t="n"/>
      <c r="J92" s="118" t="n"/>
      <c r="K92" s="118" t="n"/>
      <c r="L92" s="118" t="n"/>
      <c r="M92" s="118" t="n"/>
      <c r="N92" s="118" t="n"/>
      <c r="O92" s="118" t="n"/>
      <c r="P92" s="118" t="n"/>
      <c r="Q92" s="118" t="n"/>
    </row>
    <row r="93" ht="15" customHeight="1">
      <c r="B93" s="118" t="inlineStr">
        <is>
          <t>PVGO component (growth value)</t>
        </is>
      </c>
      <c r="C93" s="125">
        <f>C91*C92</f>
        <v/>
      </c>
      <c r="D93" s="118" t="n"/>
      <c r="E93" s="118" t="n"/>
      <c r="F93" s="118" t="n"/>
      <c r="G93" s="118" t="n"/>
      <c r="H93" s="118" t="n"/>
      <c r="I93" s="118" t="n"/>
      <c r="J93" s="118" t="n"/>
      <c r="K93" s="118" t="n"/>
      <c r="L93" s="118" t="n"/>
      <c r="M93" s="118" t="n"/>
      <c r="N93" s="118" t="n"/>
      <c r="O93" s="118" t="n"/>
      <c r="P93" s="118" t="n"/>
      <c r="Q93" s="118" t="n"/>
    </row>
    <row r="94" ht="15" customHeight="1">
      <c r="B94" s="138" t="inlineStr">
        <is>
          <t>Mauboussin EV / NOPAT (steady-state + PVGO)</t>
        </is>
      </c>
      <c r="C94" s="158">
        <f>C89+C93</f>
        <v/>
      </c>
      <c r="D94" s="118" t="n"/>
      <c r="E94" s="118" t="n"/>
      <c r="F94" s="118" t="n"/>
      <c r="G94" s="118" t="n"/>
      <c r="H94" s="118" t="n"/>
      <c r="I94" s="118" t="n"/>
      <c r="J94" s="118" t="n"/>
      <c r="K94" s="118" t="n"/>
      <c r="L94" s="118" t="n"/>
      <c r="M94" s="118" t="n"/>
      <c r="N94" s="118" t="n"/>
      <c r="O94" s="118" t="n"/>
      <c r="P94" s="118" t="n"/>
      <c r="Q94" s="118" t="n"/>
    </row>
    <row r="95">
      <c r="B95" s="118" t="n"/>
      <c r="C95" s="118" t="n"/>
      <c r="D95" s="118" t="n"/>
      <c r="E95" s="118" t="n"/>
      <c r="F95" s="118" t="n"/>
      <c r="G95" s="118" t="n"/>
      <c r="H95" s="118" t="n"/>
      <c r="I95" s="118" t="n"/>
      <c r="J95" s="118" t="n"/>
      <c r="K95" s="118" t="n"/>
      <c r="L95" s="118" t="n"/>
      <c r="M95" s="118" t="n"/>
      <c r="N95" s="118" t="n"/>
      <c r="O95" s="118" t="n"/>
      <c r="P95" s="118" t="n"/>
      <c r="Q95" s="118" t="n"/>
    </row>
    <row r="96" ht="15" customHeight="1">
      <c r="B96" s="139" t="inlineStr">
        <is>
          <t>VALUATION  —  Applied to 2028E NOPAT</t>
        </is>
      </c>
      <c r="C96" s="139" t="inlineStr">
        <is>
          <t>USDm</t>
        </is>
      </c>
      <c r="D96" s="118" t="n"/>
      <c r="E96" s="118" t="n"/>
      <c r="F96" s="118" t="n"/>
      <c r="G96" s="118" t="n"/>
      <c r="H96" s="118" t="n"/>
      <c r="I96" s="118" t="n"/>
      <c r="J96" s="118" t="n"/>
      <c r="K96" s="118" t="n"/>
      <c r="L96" s="118" t="n"/>
      <c r="M96" s="118" t="n"/>
      <c r="N96" s="118" t="n"/>
      <c r="O96" s="118" t="n"/>
      <c r="P96" s="118" t="n"/>
      <c r="Q96" s="118" t="n"/>
    </row>
    <row r="97" ht="15" customHeight="1">
      <c r="B97" s="118" t="inlineStr">
        <is>
          <t>2028E Adjusted EBIT (Model)</t>
        </is>
      </c>
      <c r="C97" s="120">
        <f>Model!CC164</f>
        <v/>
      </c>
      <c r="D97" s="118" t="n"/>
      <c r="E97" s="118" t="n"/>
      <c r="F97" s="118" t="n"/>
      <c r="G97" s="118" t="n"/>
      <c r="H97" s="118" t="n"/>
      <c r="I97" s="118" t="n"/>
      <c r="J97" s="118" t="n"/>
      <c r="K97" s="118" t="n"/>
      <c r="L97" s="118" t="n"/>
      <c r="M97" s="118" t="n"/>
      <c r="N97" s="118" t="n"/>
      <c r="O97" s="118" t="n"/>
      <c r="P97" s="118" t="n"/>
      <c r="Q97" s="118" t="n"/>
    </row>
    <row r="98" ht="15" customHeight="1">
      <c r="B98" s="118" t="inlineStr">
        <is>
          <t>(−) 2028E company-identified one-off items</t>
        </is>
      </c>
      <c r="C98" s="120">
        <f>-Model!CC155</f>
        <v/>
      </c>
      <c r="D98" s="118" t="n"/>
      <c r="E98" s="118" t="n"/>
      <c r="F98" s="118" t="n"/>
      <c r="G98" s="118" t="n"/>
      <c r="H98" s="118" t="n"/>
      <c r="I98" s="118" t="n"/>
      <c r="J98" s="118" t="n"/>
      <c r="K98" s="118" t="n"/>
      <c r="L98" s="118" t="n"/>
      <c r="M98" s="118" t="n"/>
      <c r="N98" s="118" t="n"/>
      <c r="O98" s="118" t="n"/>
      <c r="P98" s="118" t="n"/>
      <c r="Q98" s="118" t="n"/>
    </row>
    <row r="99" ht="15" customHeight="1">
      <c r="B99" s="118" t="inlineStr">
        <is>
          <t>Tax rate (from WACC build)</t>
        </is>
      </c>
      <c r="C99" s="131">
        <f>$C$10</f>
        <v/>
      </c>
      <c r="D99" s="118" t="n"/>
      <c r="E99" s="118" t="n"/>
      <c r="F99" s="118" t="n"/>
      <c r="G99" s="118" t="n"/>
      <c r="H99" s="118" t="n"/>
      <c r="I99" s="118" t="n"/>
      <c r="J99" s="118" t="n"/>
      <c r="K99" s="118" t="n"/>
      <c r="L99" s="118" t="n"/>
      <c r="M99" s="118" t="n"/>
      <c r="N99" s="118" t="n"/>
      <c r="O99" s="118" t="n"/>
      <c r="P99" s="118" t="n"/>
      <c r="Q99" s="118" t="n"/>
    </row>
    <row r="100" ht="15" customHeight="1">
      <c r="B100" s="118" t="inlineStr">
        <is>
          <t>2028E NOPAT  =  (Adj. EBIT − one-off items) × (1 − t)</t>
        </is>
      </c>
      <c r="C100" s="120">
        <f>(C97+C98)*(1-C99)</f>
        <v/>
      </c>
      <c r="D100" s="118" t="n"/>
      <c r="E100" s="118" t="n"/>
      <c r="F100" s="118" t="n"/>
      <c r="G100" s="118" t="n"/>
      <c r="H100" s="118" t="n"/>
      <c r="I100" s="118" t="n"/>
      <c r="J100" s="118" t="n"/>
      <c r="K100" s="118" t="n"/>
      <c r="L100" s="118" t="n"/>
      <c r="M100" s="118" t="n"/>
      <c r="N100" s="118" t="n"/>
      <c r="O100" s="118" t="n"/>
      <c r="P100" s="118" t="n"/>
      <c r="Q100" s="118" t="n"/>
    </row>
    <row r="101" ht="15" customHeight="1">
      <c r="B101" s="118" t="inlineStr">
        <is>
          <t>× Mauboussin EV/NOPAT multiple</t>
        </is>
      </c>
      <c r="C101" s="137">
        <f>C94</f>
        <v/>
      </c>
      <c r="D101" s="118" t="n"/>
      <c r="E101" s="118" t="n"/>
      <c r="F101" s="118" t="n"/>
      <c r="G101" s="118" t="n"/>
      <c r="H101" s="118" t="n"/>
      <c r="I101" s="118" t="n"/>
      <c r="J101" s="118" t="n"/>
      <c r="K101" s="118" t="n"/>
      <c r="L101" s="118" t="n"/>
      <c r="M101" s="118" t="n"/>
      <c r="N101" s="118" t="n"/>
      <c r="O101" s="118" t="n"/>
      <c r="P101" s="118" t="n"/>
      <c r="Q101" s="118" t="n"/>
    </row>
    <row r="102" ht="15" customHeight="1">
      <c r="B102" s="118" t="inlineStr">
        <is>
          <t>Implied Enterprise Value (2028E basis)</t>
        </is>
      </c>
      <c r="C102" s="120">
        <f>C100*C101</f>
        <v/>
      </c>
      <c r="D102" s="118" t="n"/>
      <c r="E102" s="118" t="n"/>
      <c r="F102" s="118" t="n"/>
      <c r="G102" s="118" t="n"/>
      <c r="H102" s="118" t="n"/>
      <c r="I102" s="118" t="n"/>
      <c r="J102" s="118" t="n"/>
      <c r="K102" s="118" t="n"/>
      <c r="L102" s="118" t="n"/>
      <c r="M102" s="118" t="n"/>
      <c r="N102" s="118" t="n"/>
      <c r="O102" s="118" t="n"/>
      <c r="P102" s="118" t="n"/>
      <c r="Q102" s="118" t="n"/>
    </row>
    <row r="103" ht="15" customHeight="1">
      <c r="B103" s="118" t="inlineStr">
        <is>
          <t>Less: YE2027 net debt + NCI (Model)</t>
        </is>
      </c>
      <c r="C103" s="120">
        <f>Model!CB350+Model!CB359</f>
        <v/>
      </c>
      <c r="D103" s="118" t="n"/>
      <c r="E103" s="118" t="n"/>
      <c r="F103" s="118" t="n"/>
      <c r="G103" s="118" t="n"/>
      <c r="H103" s="118" t="n"/>
      <c r="I103" s="118" t="n"/>
      <c r="J103" s="118" t="n"/>
      <c r="K103" s="118" t="n"/>
      <c r="L103" s="118" t="n"/>
      <c r="M103" s="118" t="n"/>
      <c r="N103" s="118" t="n"/>
      <c r="O103" s="118" t="n"/>
      <c r="P103" s="118" t="n"/>
      <c r="Q103" s="118" t="n"/>
    </row>
    <row r="104" ht="15" customHeight="1">
      <c r="B104" s="118" t="inlineStr">
        <is>
          <t>Implied Equity Value</t>
        </is>
      </c>
      <c r="C104" s="120">
        <f>C102-C103</f>
        <v/>
      </c>
      <c r="D104" s="118" t="n"/>
      <c r="E104" s="118" t="n"/>
      <c r="F104" s="118" t="n"/>
      <c r="G104" s="118" t="n"/>
      <c r="H104" s="118" t="n"/>
      <c r="I104" s="118" t="n"/>
      <c r="J104" s="118" t="n"/>
      <c r="K104" s="118" t="n"/>
      <c r="L104" s="118" t="n"/>
      <c r="M104" s="118" t="n"/>
      <c r="N104" s="118" t="n"/>
      <c r="O104" s="118" t="n"/>
      <c r="P104" s="118" t="n"/>
      <c r="Q104" s="118" t="n"/>
    </row>
    <row r="105" ht="15" customHeight="1">
      <c r="B105" s="118" t="inlineStr">
        <is>
          <t>Diluted shares 2028E (m, Model)</t>
        </is>
      </c>
      <c r="C105" s="120">
        <f>Model!CC356</f>
        <v/>
      </c>
      <c r="D105" s="118" t="n"/>
      <c r="E105" s="118" t="n"/>
      <c r="F105" s="118" t="n"/>
      <c r="G105" s="118" t="n"/>
      <c r="H105" s="118" t="n"/>
      <c r="I105" s="118" t="n"/>
      <c r="J105" s="118" t="n"/>
      <c r="K105" s="118" t="n"/>
      <c r="L105" s="118" t="n"/>
      <c r="M105" s="118" t="n"/>
      <c r="N105" s="118" t="n"/>
      <c r="O105" s="118" t="n"/>
      <c r="P105" s="118" t="n"/>
      <c r="Q105" s="118" t="n"/>
    </row>
    <row r="106" ht="15" customHeight="1">
      <c r="B106" s="118" t="inlineStr">
        <is>
          <t>Implied share price 2028 ($)</t>
        </is>
      </c>
      <c r="C106" s="133">
        <f>C104/C105</f>
        <v/>
      </c>
      <c r="D106" s="118" t="n"/>
      <c r="E106" s="118" t="n"/>
      <c r="F106" s="118" t="n"/>
      <c r="G106" s="118" t="n"/>
      <c r="H106" s="118" t="n"/>
      <c r="I106" s="118" t="n"/>
      <c r="J106" s="118" t="n"/>
      <c r="K106" s="118" t="n"/>
      <c r="L106" s="118" t="n"/>
      <c r="M106" s="118" t="n"/>
      <c r="N106" s="118" t="n"/>
      <c r="O106" s="118" t="n"/>
      <c r="P106" s="118" t="n"/>
      <c r="Q106" s="118" t="n"/>
    </row>
    <row r="107">
      <c r="B107" s="118" t="n"/>
      <c r="C107" s="118" t="n"/>
      <c r="D107" s="118" t="n"/>
      <c r="E107" s="118" t="n"/>
      <c r="F107" s="118" t="n"/>
      <c r="G107" s="118" t="n"/>
      <c r="H107" s="118" t="n"/>
      <c r="I107" s="118" t="n"/>
      <c r="J107" s="118" t="n"/>
      <c r="K107" s="118" t="n"/>
      <c r="L107" s="118" t="n"/>
      <c r="M107" s="118" t="n"/>
      <c r="N107" s="118" t="n"/>
      <c r="O107" s="118" t="n"/>
      <c r="P107" s="118" t="n"/>
      <c r="Q107" s="118" t="n"/>
    </row>
    <row r="108" ht="15" customHeight="1">
      <c r="B108" s="118" t="inlineStr">
        <is>
          <t>Current share price ($)</t>
        </is>
      </c>
      <c r="C108" s="133">
        <f>C58</f>
        <v/>
      </c>
      <c r="D108" s="118" t="n"/>
      <c r="E108" s="118" t="n"/>
      <c r="F108" s="118" t="n"/>
      <c r="G108" s="118" t="n"/>
      <c r="H108" s="118" t="n"/>
      <c r="I108" s="118" t="n"/>
      <c r="J108" s="118" t="n"/>
      <c r="K108" s="118" t="n"/>
      <c r="L108" s="118" t="n"/>
      <c r="M108" s="118" t="n"/>
      <c r="N108" s="118" t="n"/>
      <c r="O108" s="118" t="n"/>
      <c r="P108" s="118" t="n"/>
      <c r="Q108" s="118" t="n"/>
    </row>
    <row r="109" ht="15" customHeight="1">
      <c r="B109" s="118" t="inlineStr">
        <is>
          <t>Implied upside / (downside)</t>
        </is>
      </c>
      <c r="C109" s="131">
        <f>C106/C108-1</f>
        <v/>
      </c>
      <c r="D109" s="118" t="n"/>
      <c r="E109" s="118" t="n"/>
      <c r="F109" s="118" t="n"/>
      <c r="G109" s="118" t="n"/>
      <c r="H109" s="118" t="n"/>
      <c r="I109" s="118" t="n"/>
      <c r="J109" s="118" t="n"/>
      <c r="K109" s="118" t="n"/>
      <c r="L109" s="118" t="n"/>
      <c r="M109" s="118" t="n"/>
      <c r="N109" s="118" t="n"/>
      <c r="O109" s="118" t="n"/>
      <c r="P109" s="118" t="n"/>
      <c r="Q109" s="118" t="n"/>
    </row>
    <row r="110">
      <c r="B110" s="118" t="n"/>
      <c r="C110" s="118" t="n"/>
      <c r="D110" s="118" t="n"/>
      <c r="E110" s="118" t="n"/>
      <c r="F110" s="118" t="n"/>
      <c r="G110" s="118" t="n"/>
      <c r="H110" s="118" t="n"/>
      <c r="I110" s="118" t="n"/>
      <c r="J110" s="118" t="n"/>
      <c r="K110" s="118" t="n"/>
      <c r="L110" s="118" t="n"/>
      <c r="M110" s="118" t="n"/>
      <c r="N110" s="118" t="n"/>
      <c r="O110" s="118" t="n"/>
      <c r="P110" s="118" t="n"/>
      <c r="Q110" s="118" t="n"/>
    </row>
    <row r="111" ht="15" customHeight="1">
      <c r="B111" s="139" t="inlineStr">
        <is>
          <t>MARKET-IMPLIED EV/NOPAT TODAY</t>
        </is>
      </c>
      <c r="C111" s="139" t="inlineStr">
        <is>
          <t>USDm</t>
        </is>
      </c>
      <c r="D111" s="118" t="n"/>
      <c r="E111" s="118" t="n"/>
      <c r="F111" s="118" t="n"/>
      <c r="G111" s="118" t="n"/>
      <c r="H111" s="118" t="n"/>
      <c r="I111" s="118" t="n"/>
      <c r="J111" s="118" t="n"/>
      <c r="K111" s="118" t="n"/>
      <c r="L111" s="118" t="n"/>
      <c r="M111" s="118" t="n"/>
      <c r="N111" s="118" t="n"/>
      <c r="O111" s="118" t="n"/>
      <c r="P111" s="118" t="n"/>
      <c r="Q111" s="118" t="n"/>
    </row>
    <row r="112" ht="15" customHeight="1">
      <c r="B112" s="118" t="inlineStr">
        <is>
          <t>Current market cap (spot × diluted shares)</t>
        </is>
      </c>
      <c r="C112" s="120">
        <f>C58*C56</f>
        <v/>
      </c>
      <c r="D112" s="118" t="n"/>
      <c r="E112" s="118" t="n"/>
      <c r="F112" s="118" t="n"/>
      <c r="G112" s="118" t="n"/>
      <c r="H112" s="118" t="n"/>
      <c r="I112" s="118" t="n"/>
      <c r="J112" s="118" t="n"/>
      <c r="K112" s="118" t="n"/>
      <c r="L112" s="118" t="n"/>
      <c r="M112" s="118" t="n"/>
      <c r="N112" s="118" t="n"/>
      <c r="O112" s="118" t="n"/>
      <c r="P112" s="118" t="n"/>
      <c r="Q112" s="118" t="n"/>
    </row>
    <row r="113" ht="15" customHeight="1">
      <c r="B113" s="118" t="inlineStr">
        <is>
          <t>Plus: YE2026 net debt &amp; NCI</t>
        </is>
      </c>
      <c r="C113" s="120">
        <f>C53+C54</f>
        <v/>
      </c>
      <c r="D113" s="118" t="n"/>
      <c r="E113" s="118" t="n"/>
      <c r="F113" s="118" t="n"/>
      <c r="G113" s="118" t="n"/>
      <c r="H113" s="118" t="n"/>
      <c r="I113" s="118" t="n"/>
      <c r="J113" s="118" t="n"/>
      <c r="K113" s="118" t="n"/>
      <c r="L113" s="118" t="n"/>
      <c r="M113" s="118" t="n"/>
      <c r="N113" s="118" t="n"/>
      <c r="O113" s="118" t="n"/>
      <c r="P113" s="118" t="n"/>
      <c r="Q113" s="118" t="n"/>
    </row>
    <row r="114" ht="15" customHeight="1">
      <c r="B114" s="118" t="inlineStr">
        <is>
          <t>Implied Enterprise Value (today)</t>
        </is>
      </c>
      <c r="C114" s="120">
        <f>C112+C113</f>
        <v/>
      </c>
      <c r="D114" s="118" t="n"/>
      <c r="E114" s="118" t="n"/>
      <c r="F114" s="118" t="n"/>
      <c r="G114" s="118" t="n"/>
      <c r="H114" s="118" t="n"/>
      <c r="I114" s="118" t="n"/>
      <c r="J114" s="118" t="n"/>
      <c r="K114" s="118" t="n"/>
      <c r="L114" s="118" t="n"/>
      <c r="M114" s="118" t="n"/>
      <c r="N114" s="118" t="n"/>
      <c r="O114" s="118" t="n"/>
      <c r="P114" s="118" t="n"/>
      <c r="Q114" s="118" t="n"/>
    </row>
    <row r="115" ht="15" customHeight="1">
      <c r="B115" s="118" t="inlineStr">
        <is>
          <t>ODFL's market-implied EV/NOPAT (on 2028E NOPAT)</t>
        </is>
      </c>
      <c r="C115" s="137">
        <f>C114/C100</f>
        <v/>
      </c>
      <c r="D115" s="118" t="n"/>
      <c r="E115" s="118" t="n"/>
      <c r="F115" s="118" t="n"/>
      <c r="G115" s="118" t="n"/>
      <c r="H115" s="118" t="n"/>
      <c r="I115" s="118" t="n"/>
      <c r="J115" s="118" t="n"/>
      <c r="K115" s="118" t="n"/>
      <c r="L115" s="118" t="n"/>
      <c r="M115" s="118" t="n"/>
      <c r="N115" s="118" t="n"/>
      <c r="O115" s="118" t="n"/>
      <c r="P115" s="118" t="n"/>
      <c r="Q115" s="118" t="n"/>
    </row>
    <row r="116">
      <c r="B116" s="118" t="n"/>
      <c r="C116" s="118" t="n"/>
      <c r="D116" s="118" t="n"/>
      <c r="E116" s="118" t="n"/>
      <c r="F116" s="118" t="n"/>
      <c r="G116" s="118" t="n"/>
      <c r="H116" s="118" t="n"/>
      <c r="I116" s="118" t="n"/>
      <c r="J116" s="118" t="n"/>
      <c r="K116" s="118" t="n"/>
      <c r="L116" s="118" t="n"/>
      <c r="M116" s="118" t="n"/>
      <c r="N116" s="118" t="n"/>
      <c r="O116" s="118" t="n"/>
      <c r="P116" s="118" t="n"/>
      <c r="Q116" s="118" t="n"/>
    </row>
    <row r="117" ht="15" customHeight="1">
      <c r="B117" s="118" t="inlineStr">
        <is>
          <t>Multiple gap (Mauboussin − Market)</t>
        </is>
      </c>
      <c r="C117" s="137">
        <f>C94-C115</f>
        <v/>
      </c>
      <c r="D117" s="118" t="n"/>
      <c r="E117" s="118" t="n"/>
      <c r="F117" s="118" t="n"/>
      <c r="G117" s="118" t="n"/>
      <c r="H117" s="118" t="n"/>
      <c r="I117" s="118" t="n"/>
      <c r="J117" s="118" t="n"/>
      <c r="K117" s="118" t="n"/>
      <c r="L117" s="118" t="n"/>
      <c r="M117" s="118" t="n"/>
      <c r="N117" s="118" t="n"/>
      <c r="O117" s="118" t="n"/>
      <c r="P117" s="118" t="n"/>
      <c r="Q117" s="118" t="n"/>
    </row>
    <row r="118" ht="15" customHeight="1">
      <c r="B118" s="118" t="inlineStr">
        <is>
          <t>Implied re-rating headroom</t>
        </is>
      </c>
      <c r="C118" s="131">
        <f>C94/C115-1</f>
        <v/>
      </c>
      <c r="D118" s="118" t="n"/>
      <c r="E118" s="118" t="n"/>
      <c r="F118" s="118" t="n"/>
      <c r="G118" s="118" t="n"/>
      <c r="H118" s="118" t="n"/>
      <c r="I118" s="118" t="n"/>
      <c r="J118" s="118" t="n"/>
      <c r="K118" s="118" t="n"/>
      <c r="L118" s="118" t="n"/>
      <c r="M118" s="118" t="n"/>
      <c r="N118" s="118" t="n"/>
      <c r="O118" s="118" t="n"/>
      <c r="P118" s="118" t="n"/>
      <c r="Q118" s="118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V21"/>
  <sheetViews>
    <sheetView zoomScale="70" zoomScaleNormal="70" workbookViewId="0">
      <selection activeCell="A1" sqref="A1"/>
    </sheetView>
  </sheetViews>
  <sheetFormatPr baseColWidth="8" defaultColWidth="8.5703125" defaultRowHeight="15"/>
  <cols>
    <col width="30" customWidth="1" min="2" max="2"/>
  </cols>
  <sheetData>
    <row r="2" ht="17.25" customHeight="1">
      <c r="B2" s="115" t="inlineStr">
        <is>
          <t>Old Dominion Freight Line — Historical Operating Performance (2006–2025)</t>
        </is>
      </c>
    </row>
    <row r="3" ht="15" customHeight="1">
      <c r="B3" s="4" t="inlineStr">
        <is>
          <t>All historicals · USDm · Linked to Model. Volume / price = tons per day and revenue per hundredweight excluding fuel surcharges, y/y (total-tons basis to 2013, LTL from 2014). Adjusted EBITDA = model definition (ODFL publishes no non-GAAP measures). ROIC / RONTA on Adjusted EBIT.</t>
        </is>
      </c>
    </row>
    <row r="7" ht="15" customHeight="1">
      <c r="C7" s="11" t="n">
        <v>2006</v>
      </c>
      <c r="D7" s="11" t="n">
        <v>2007</v>
      </c>
      <c r="E7" s="11" t="n">
        <v>2008</v>
      </c>
      <c r="F7" s="11" t="n">
        <v>2009</v>
      </c>
      <c r="G7" s="11" t="n">
        <v>2010</v>
      </c>
      <c r="H7" s="11" t="n">
        <v>2011</v>
      </c>
      <c r="I7" s="11" t="n">
        <v>2012</v>
      </c>
      <c r="J7" s="11" t="n">
        <v>2013</v>
      </c>
      <c r="K7" s="11" t="n">
        <v>2014</v>
      </c>
      <c r="L7" s="11" t="n">
        <v>2015</v>
      </c>
      <c r="M7" s="11" t="n">
        <v>2016</v>
      </c>
      <c r="N7" s="11" t="n">
        <v>2017</v>
      </c>
      <c r="O7" s="11" t="n">
        <v>2018</v>
      </c>
      <c r="P7" s="11" t="n">
        <v>2019</v>
      </c>
      <c r="Q7" s="11" t="n">
        <v>2020</v>
      </c>
      <c r="R7" s="11" t="n">
        <v>2021</v>
      </c>
      <c r="S7" s="11" t="n">
        <v>2022</v>
      </c>
      <c r="T7" s="11" t="n">
        <v>2023</v>
      </c>
      <c r="U7" s="11" t="n">
        <v>2024</v>
      </c>
      <c r="V7" s="11" t="n">
        <v>2025</v>
      </c>
    </row>
    <row r="8" ht="15" customHeight="1">
      <c r="B8" t="inlineStr">
        <is>
          <t>Tons per day y/y %</t>
        </is>
      </c>
      <c r="C8" s="116">
        <f>IFERROR(Model!C13+0,IFERROR(Model!C13+0,0))</f>
        <v/>
      </c>
      <c r="D8" s="116">
        <f>IFERROR(Model!D13+0,IFERROR(Model!D13+0,0))</f>
        <v/>
      </c>
      <c r="E8" s="116">
        <f>IFERROR(Model!E13+0,IFERROR(Model!E13+0,0))</f>
        <v/>
      </c>
      <c r="F8" s="116">
        <f>IFERROR(Model!F13+0,IFERROR(Model!F13+0,0))</f>
        <v/>
      </c>
      <c r="G8" s="116">
        <f>IFERROR(Model!G13+0,IFERROR(Model!G13+0,0))</f>
        <v/>
      </c>
      <c r="H8" s="116">
        <f>IFERROR(Model!H13+0,IFERROR(Model!H13+0,0))</f>
        <v/>
      </c>
      <c r="I8" s="116">
        <f>IFERROR(Model!I13+0,IFERROR(Model!I13+0,0))</f>
        <v/>
      </c>
      <c r="J8" s="116">
        <f>IFERROR(Model!N13+0,IFERROR(Model!N13+0,0))</f>
        <v/>
      </c>
      <c r="K8" s="116">
        <f>IFERROR(Model!S13+0,IFERROR(Model!S13+0,0))</f>
        <v/>
      </c>
      <c r="L8" s="116">
        <f>IFERROR(Model!X13+0,IFERROR(Model!X13+0,0))</f>
        <v/>
      </c>
      <c r="M8" s="116">
        <f>IFERROR(Model!AC13+0,IFERROR(Model!AC13+0,0))</f>
        <v/>
      </c>
      <c r="N8" s="116">
        <f>IFERROR(Model!AH13+0,IFERROR(Model!AH13+0,0))</f>
        <v/>
      </c>
      <c r="O8" s="116">
        <f>IFERROR(Model!AM13+0,IFERROR(Model!AM13+0,0))</f>
        <v/>
      </c>
      <c r="P8" s="116">
        <f>IFERROR(Model!AR13+0,IFERROR(Model!AR13+0,0))</f>
        <v/>
      </c>
      <c r="Q8" s="116">
        <f>IFERROR(Model!AW13+0,IFERROR(Model!AW13+0,0))</f>
        <v/>
      </c>
      <c r="R8" s="116">
        <f>IFERROR(Model!BB13+0,IFERROR(Model!BB13+0,0))</f>
        <v/>
      </c>
      <c r="S8" s="116">
        <f>IFERROR(Model!BG13+0,IFERROR(Model!BG13+0,0))</f>
        <v/>
      </c>
      <c r="T8" s="116">
        <f>IFERROR(Model!BL13+0,IFERROR(Model!BL13+0,0))</f>
        <v/>
      </c>
      <c r="U8" s="116">
        <f>IFERROR(Model!BQ13+0,IFERROR(Model!BQ13+0,0))</f>
        <v/>
      </c>
      <c r="V8" s="116">
        <f>IFERROR(Model!BV13+0,IFERROR(Model!BV13+0,0))</f>
        <v/>
      </c>
    </row>
    <row r="9" ht="15" customHeight="1">
      <c r="B9" t="inlineStr">
        <is>
          <t>Revenue/cwt ex fuel y/y %</t>
        </is>
      </c>
      <c r="C9" s="116">
        <f>IFERROR(Model!C29+0,IFERROR(Model!C29+0,0))</f>
        <v/>
      </c>
      <c r="D9" s="116">
        <f>IFERROR(Model!D29+0,IFERROR(Model!D29+0,0))</f>
        <v/>
      </c>
      <c r="E9" s="116">
        <f>IFERROR(Model!E29+0,IFERROR(Model!E29+0,0))</f>
        <v/>
      </c>
      <c r="F9" s="116">
        <f>IFERROR(Model!F29+0,IFERROR(Model!F29+0,0))</f>
        <v/>
      </c>
      <c r="G9" s="116">
        <f>IFERROR(Model!G29+0,IFERROR(Model!G29+0,0))</f>
        <v/>
      </c>
      <c r="H9" s="116">
        <f>IFERROR(Model!H29+0,IFERROR(Model!H29+0,0))</f>
        <v/>
      </c>
      <c r="I9" s="116">
        <f>IFERROR(Model!I29+0,IFERROR(Model!I29+0,0))</f>
        <v/>
      </c>
      <c r="J9" s="116">
        <f>IFERROR(Model!N29+0,IFERROR(Model!N29+0,0))</f>
        <v/>
      </c>
      <c r="K9" s="116">
        <f>IFERROR(Model!S29+0,IFERROR(Model!S29+0,0))</f>
        <v/>
      </c>
      <c r="L9" s="116">
        <f>IFERROR(Model!X29+0,IFERROR(Model!X29+0,0))</f>
        <v/>
      </c>
      <c r="M9" s="116">
        <f>IFERROR(Model!AC29+0,IFERROR(Model!AC29+0,0))</f>
        <v/>
      </c>
      <c r="N9" s="116">
        <f>IFERROR(Model!AH29+0,IFERROR(Model!AH29+0,0))</f>
        <v/>
      </c>
      <c r="O9" s="116">
        <f>IFERROR(Model!AM29+0,IFERROR(Model!AM29+0,0))</f>
        <v/>
      </c>
      <c r="P9" s="116">
        <f>IFERROR(Model!AR29+0,IFERROR(Model!AR29+0,0))</f>
        <v/>
      </c>
      <c r="Q9" s="116">
        <f>IFERROR(Model!AW29+0,IFERROR(Model!AW29+0,0))</f>
        <v/>
      </c>
      <c r="R9" s="116">
        <f>IFERROR(Model!BB29+0,IFERROR(Model!BB29+0,0))</f>
        <v/>
      </c>
      <c r="S9" s="116">
        <f>IFERROR(Model!BG29+0,IFERROR(Model!BG29+0,0))</f>
        <v/>
      </c>
      <c r="T9" s="116">
        <f>IFERROR(Model!BL29+0,IFERROR(Model!BL29+0,0))</f>
        <v/>
      </c>
      <c r="U9" s="116">
        <f>IFERROR(Model!BQ29+0,IFERROR(Model!BQ29+0,0))</f>
        <v/>
      </c>
      <c r="V9" s="116">
        <f>IFERROR(Model!BV29+0,IFERROR(Model!BV29+0,0))</f>
        <v/>
      </c>
    </row>
    <row r="11" ht="15" customHeight="1">
      <c r="C11" s="11">
        <f>C7</f>
        <v/>
      </c>
      <c r="D11" s="11">
        <f>D7</f>
        <v/>
      </c>
      <c r="E11" s="11">
        <f>E7</f>
        <v/>
      </c>
      <c r="F11" s="11">
        <f>F7</f>
        <v/>
      </c>
      <c r="G11" s="11">
        <f>G7</f>
        <v/>
      </c>
      <c r="H11" s="11">
        <f>H7</f>
        <v/>
      </c>
      <c r="I11" s="11">
        <f>I7</f>
        <v/>
      </c>
      <c r="J11" s="11">
        <f>J7</f>
        <v/>
      </c>
      <c r="K11" s="11">
        <f>K7</f>
        <v/>
      </c>
      <c r="L11" s="11">
        <f>L7</f>
        <v/>
      </c>
      <c r="M11" s="11">
        <f>M7</f>
        <v/>
      </c>
      <c r="N11" s="11">
        <f>N7</f>
        <v/>
      </c>
      <c r="O11" s="11">
        <f>O7</f>
        <v/>
      </c>
      <c r="P11" s="11">
        <f>P7</f>
        <v/>
      </c>
      <c r="Q11" s="11">
        <f>Q7</f>
        <v/>
      </c>
      <c r="R11" s="11">
        <f>R7</f>
        <v/>
      </c>
      <c r="S11" s="11">
        <f>S7</f>
        <v/>
      </c>
      <c r="T11" s="11">
        <f>T7</f>
        <v/>
      </c>
      <c r="U11" s="11">
        <f>U7</f>
        <v/>
      </c>
      <c r="V11" s="11">
        <f>V7</f>
        <v/>
      </c>
    </row>
    <row r="12" ht="15" customHeight="1">
      <c r="B12" t="inlineStr">
        <is>
          <t>Adjusted EBITDA</t>
        </is>
      </c>
      <c r="C12" s="114">
        <f>Model!C157</f>
        <v/>
      </c>
      <c r="D12" s="114">
        <f>Model!D157</f>
        <v/>
      </c>
      <c r="E12" s="114">
        <f>Model!E157</f>
        <v/>
      </c>
      <c r="F12" s="114">
        <f>Model!F157</f>
        <v/>
      </c>
      <c r="G12" s="114">
        <f>Model!G157</f>
        <v/>
      </c>
      <c r="H12" s="114">
        <f>Model!H157</f>
        <v/>
      </c>
      <c r="I12" s="114">
        <f>Model!I157</f>
        <v/>
      </c>
      <c r="J12" s="114">
        <f>Model!N157</f>
        <v/>
      </c>
      <c r="K12" s="114">
        <f>Model!S157</f>
        <v/>
      </c>
      <c r="L12" s="114">
        <f>Model!X157</f>
        <v/>
      </c>
      <c r="M12" s="114">
        <f>Model!AC157</f>
        <v/>
      </c>
      <c r="N12" s="114">
        <f>Model!AH157</f>
        <v/>
      </c>
      <c r="O12" s="114">
        <f>Model!AM157</f>
        <v/>
      </c>
      <c r="P12" s="114">
        <f>Model!AR157</f>
        <v/>
      </c>
      <c r="Q12" s="114">
        <f>Model!AW157</f>
        <v/>
      </c>
      <c r="R12" s="114">
        <f>Model!BB157</f>
        <v/>
      </c>
      <c r="S12" s="114">
        <f>Model!BG157</f>
        <v/>
      </c>
      <c r="T12" s="114">
        <f>Model!BL157</f>
        <v/>
      </c>
      <c r="U12" s="114">
        <f>Model!BQ157</f>
        <v/>
      </c>
      <c r="V12" s="114">
        <f>Model!BV157</f>
        <v/>
      </c>
    </row>
    <row r="13" ht="15" customHeight="1">
      <c r="B13" t="inlineStr">
        <is>
          <t>Operating Income (GAAP)</t>
        </is>
      </c>
      <c r="C13" s="114">
        <f>Model!C114</f>
        <v/>
      </c>
      <c r="D13" s="114">
        <f>Model!D114</f>
        <v/>
      </c>
      <c r="E13" s="114">
        <f>Model!E114</f>
        <v/>
      </c>
      <c r="F13" s="114">
        <f>Model!F114</f>
        <v/>
      </c>
      <c r="G13" s="114">
        <f>Model!G114</f>
        <v/>
      </c>
      <c r="H13" s="114">
        <f>Model!H114</f>
        <v/>
      </c>
      <c r="I13" s="114">
        <f>Model!I114</f>
        <v/>
      </c>
      <c r="J13" s="114">
        <f>Model!N114</f>
        <v/>
      </c>
      <c r="K13" s="114">
        <f>Model!S114</f>
        <v/>
      </c>
      <c r="L13" s="114">
        <f>Model!X114</f>
        <v/>
      </c>
      <c r="M13" s="114">
        <f>Model!AC114</f>
        <v/>
      </c>
      <c r="N13" s="114">
        <f>Model!AH114</f>
        <v/>
      </c>
      <c r="O13" s="114">
        <f>Model!AM114</f>
        <v/>
      </c>
      <c r="P13" s="114">
        <f>Model!AR114</f>
        <v/>
      </c>
      <c r="Q13" s="114">
        <f>Model!AW114</f>
        <v/>
      </c>
      <c r="R13" s="114">
        <f>Model!BB114</f>
        <v/>
      </c>
      <c r="S13" s="114">
        <f>Model!BG114</f>
        <v/>
      </c>
      <c r="T13" s="114">
        <f>Model!BL114</f>
        <v/>
      </c>
      <c r="U13" s="114">
        <f>Model!BQ114</f>
        <v/>
      </c>
      <c r="V13" s="114">
        <f>Model!BV114</f>
        <v/>
      </c>
    </row>
    <row r="14" ht="15" customHeight="1">
      <c r="B14" t="inlineStr">
        <is>
          <t>Adj. EBITDA Margin %</t>
        </is>
      </c>
      <c r="C14" s="116">
        <f>Model!C192</f>
        <v/>
      </c>
      <c r="D14" s="116">
        <f>Model!D192</f>
        <v/>
      </c>
      <c r="E14" s="116">
        <f>Model!E192</f>
        <v/>
      </c>
      <c r="F14" s="116">
        <f>Model!F192</f>
        <v/>
      </c>
      <c r="G14" s="116">
        <f>Model!G192</f>
        <v/>
      </c>
      <c r="H14" s="116">
        <f>Model!H192</f>
        <v/>
      </c>
      <c r="I14" s="116">
        <f>Model!I192</f>
        <v/>
      </c>
      <c r="J14" s="116">
        <f>Model!N192</f>
        <v/>
      </c>
      <c r="K14" s="116">
        <f>Model!S192</f>
        <v/>
      </c>
      <c r="L14" s="116">
        <f>Model!X192</f>
        <v/>
      </c>
      <c r="M14" s="116">
        <f>Model!AC192</f>
        <v/>
      </c>
      <c r="N14" s="116">
        <f>Model!AH192</f>
        <v/>
      </c>
      <c r="O14" s="116">
        <f>Model!AM192</f>
        <v/>
      </c>
      <c r="P14" s="116">
        <f>Model!AR192</f>
        <v/>
      </c>
      <c r="Q14" s="116">
        <f>Model!AW192</f>
        <v/>
      </c>
      <c r="R14" s="116">
        <f>Model!BB192</f>
        <v/>
      </c>
      <c r="S14" s="116">
        <f>Model!BG192</f>
        <v/>
      </c>
      <c r="T14" s="116">
        <f>Model!BL192</f>
        <v/>
      </c>
      <c r="U14" s="116">
        <f>Model!BQ192</f>
        <v/>
      </c>
      <c r="V14" s="116">
        <f>Model!BV192</f>
        <v/>
      </c>
    </row>
    <row r="15" ht="15" customHeight="1">
      <c r="B15" t="inlineStr">
        <is>
          <t>GAAP Op. Margin %</t>
        </is>
      </c>
      <c r="C15" s="116">
        <f>Model!C194</f>
        <v/>
      </c>
      <c r="D15" s="116">
        <f>Model!D194</f>
        <v/>
      </c>
      <c r="E15" s="116">
        <f>Model!E194</f>
        <v/>
      </c>
      <c r="F15" s="116">
        <f>Model!F194</f>
        <v/>
      </c>
      <c r="G15" s="116">
        <f>Model!G194</f>
        <v/>
      </c>
      <c r="H15" s="116">
        <f>Model!H194</f>
        <v/>
      </c>
      <c r="I15" s="116">
        <f>Model!I194</f>
        <v/>
      </c>
      <c r="J15" s="116">
        <f>Model!N194</f>
        <v/>
      </c>
      <c r="K15" s="116">
        <f>Model!S194</f>
        <v/>
      </c>
      <c r="L15" s="116">
        <f>Model!X194</f>
        <v/>
      </c>
      <c r="M15" s="116">
        <f>Model!AC194</f>
        <v/>
      </c>
      <c r="N15" s="116">
        <f>Model!AH194</f>
        <v/>
      </c>
      <c r="O15" s="116">
        <f>Model!AM194</f>
        <v/>
      </c>
      <c r="P15" s="116">
        <f>Model!AR194</f>
        <v/>
      </c>
      <c r="Q15" s="116">
        <f>Model!AW194</f>
        <v/>
      </c>
      <c r="R15" s="116">
        <f>Model!BB194</f>
        <v/>
      </c>
      <c r="S15" s="116">
        <f>Model!BG194</f>
        <v/>
      </c>
      <c r="T15" s="116">
        <f>Model!BL194</f>
        <v/>
      </c>
      <c r="U15" s="116">
        <f>Model!BQ194</f>
        <v/>
      </c>
      <c r="V15" s="116">
        <f>Model!BV194</f>
        <v/>
      </c>
    </row>
    <row r="17" ht="15" customHeight="1">
      <c r="C17" s="11">
        <f>C7</f>
        <v/>
      </c>
      <c r="D17" s="11">
        <f>D7</f>
        <v/>
      </c>
      <c r="E17" s="11">
        <f>E7</f>
        <v/>
      </c>
      <c r="F17" s="11">
        <f>F7</f>
        <v/>
      </c>
      <c r="G17" s="11">
        <f>G7</f>
        <v/>
      </c>
      <c r="H17" s="11">
        <f>H7</f>
        <v/>
      </c>
      <c r="I17" s="11">
        <f>I7</f>
        <v/>
      </c>
      <c r="J17" s="11">
        <f>J7</f>
        <v/>
      </c>
      <c r="K17" s="11">
        <f>K7</f>
        <v/>
      </c>
      <c r="L17" s="11">
        <f>L7</f>
        <v/>
      </c>
      <c r="M17" s="11">
        <f>M7</f>
        <v/>
      </c>
      <c r="N17" s="11">
        <f>N7</f>
        <v/>
      </c>
      <c r="O17" s="11">
        <f>O7</f>
        <v/>
      </c>
      <c r="P17" s="11">
        <f>P7</f>
        <v/>
      </c>
      <c r="Q17" s="11">
        <f>Q7</f>
        <v/>
      </c>
      <c r="R17" s="11">
        <f>R7</f>
        <v/>
      </c>
      <c r="S17" s="11">
        <f>S7</f>
        <v/>
      </c>
      <c r="T17" s="11">
        <f>T7</f>
        <v/>
      </c>
      <c r="U17" s="11">
        <f>U7</f>
        <v/>
      </c>
      <c r="V17" s="11">
        <f>V7</f>
        <v/>
      </c>
    </row>
    <row r="18" ht="15" customHeight="1">
      <c r="B18" t="inlineStr">
        <is>
          <t>ROIC</t>
        </is>
      </c>
      <c r="C18" s="116">
        <f>IFERROR(Model!C332+0,NA())</f>
        <v/>
      </c>
      <c r="D18" s="116">
        <f>IFERROR(Model!D332+0,NA())</f>
        <v/>
      </c>
      <c r="E18" s="116">
        <f>IFERROR(Model!E332+0,NA())</f>
        <v/>
      </c>
      <c r="F18" s="116">
        <f>IFERROR(Model!F332+0,NA())</f>
        <v/>
      </c>
      <c r="G18" s="116">
        <f>IFERROR(Model!G332+0,NA())</f>
        <v/>
      </c>
      <c r="H18" s="116">
        <f>IFERROR(Model!H332+0,NA())</f>
        <v/>
      </c>
      <c r="I18" s="116">
        <f>IFERROR(Model!I332+0,NA())</f>
        <v/>
      </c>
      <c r="J18" s="116">
        <f>IFERROR(Model!N332+0,NA())</f>
        <v/>
      </c>
      <c r="K18" s="116">
        <f>IFERROR(Model!S332+0,NA())</f>
        <v/>
      </c>
      <c r="L18" s="116">
        <f>IFERROR(Model!X332+0,NA())</f>
        <v/>
      </c>
      <c r="M18" s="116">
        <f>IFERROR(Model!AC332+0,NA())</f>
        <v/>
      </c>
      <c r="N18" s="116">
        <f>IFERROR(Model!AH332+0,NA())</f>
        <v/>
      </c>
      <c r="O18" s="116">
        <f>IFERROR(Model!AM332+0,NA())</f>
        <v/>
      </c>
      <c r="P18" s="116">
        <f>IFERROR(Model!AR332+0,NA())</f>
        <v/>
      </c>
      <c r="Q18" s="116">
        <f>IFERROR(Model!AW332+0,NA())</f>
        <v/>
      </c>
      <c r="R18" s="116">
        <f>IFERROR(Model!BB332+0,NA())</f>
        <v/>
      </c>
      <c r="S18" s="116">
        <f>IFERROR(Model!BG332+0,NA())</f>
        <v/>
      </c>
      <c r="T18" s="116">
        <f>IFERROR(Model!BL332+0,NA())</f>
        <v/>
      </c>
      <c r="U18" s="116">
        <f>IFERROR(Model!BQ332+0,NA())</f>
        <v/>
      </c>
      <c r="V18" s="116">
        <f>IFERROR(Model!BV332+0,NA())</f>
        <v/>
      </c>
    </row>
    <row r="19" ht="15" customHeight="1">
      <c r="B19" t="inlineStr">
        <is>
          <t>RONTA</t>
        </is>
      </c>
      <c r="C19" s="116">
        <f>IFERROR(Model!C344+0,NA())</f>
        <v/>
      </c>
      <c r="D19" s="116">
        <f>IFERROR(Model!D344+0,NA())</f>
        <v/>
      </c>
      <c r="E19" s="116">
        <f>IFERROR(Model!E344+0,NA())</f>
        <v/>
      </c>
      <c r="F19" s="116">
        <f>IFERROR(Model!F344+0,NA())</f>
        <v/>
      </c>
      <c r="G19" s="116">
        <f>IFERROR(Model!G344+0,NA())</f>
        <v/>
      </c>
      <c r="H19" s="116">
        <f>IFERROR(Model!H344+0,NA())</f>
        <v/>
      </c>
      <c r="I19" s="116">
        <f>IFERROR(Model!I344+0,NA())</f>
        <v/>
      </c>
      <c r="J19" s="116">
        <f>IFERROR(Model!N344+0,NA())</f>
        <v/>
      </c>
      <c r="K19" s="116">
        <f>IFERROR(Model!S344+0,NA())</f>
        <v/>
      </c>
      <c r="L19" s="116">
        <f>IFERROR(Model!X344+0,NA())</f>
        <v/>
      </c>
      <c r="M19" s="116">
        <f>IFERROR(Model!AC344+0,NA())</f>
        <v/>
      </c>
      <c r="N19" s="116">
        <f>IFERROR(Model!AH344+0,NA())</f>
        <v/>
      </c>
      <c r="O19" s="116">
        <f>IFERROR(Model!AM344+0,NA())</f>
        <v/>
      </c>
      <c r="P19" s="116">
        <f>IFERROR(Model!AR344+0,NA())</f>
        <v/>
      </c>
      <c r="Q19" s="116">
        <f>IFERROR(Model!AW344+0,NA())</f>
        <v/>
      </c>
      <c r="R19" s="116">
        <f>IFERROR(Model!BB344+0,NA())</f>
        <v/>
      </c>
      <c r="S19" s="116">
        <f>IFERROR(Model!BG344+0,NA())</f>
        <v/>
      </c>
      <c r="T19" s="116">
        <f>IFERROR(Model!BL344+0,NA())</f>
        <v/>
      </c>
      <c r="U19" s="116">
        <f>IFERROR(Model!BQ344+0,NA())</f>
        <v/>
      </c>
      <c r="V19" s="116">
        <f>IFERROR(Model!BV344+0,NA())</f>
        <v/>
      </c>
    </row>
    <row r="20" ht="15" customHeight="1">
      <c r="B20" t="inlineStr">
        <is>
          <t>Adj. EBITDA margin %</t>
        </is>
      </c>
      <c r="C20" s="116">
        <f>IFERROR(Model!C192+0,NA())</f>
        <v/>
      </c>
      <c r="D20" s="116">
        <f>IFERROR(Model!D192+0,NA())</f>
        <v/>
      </c>
      <c r="E20" s="116">
        <f>IFERROR(Model!E192+0,NA())</f>
        <v/>
      </c>
      <c r="F20" s="116">
        <f>IFERROR(Model!F192+0,NA())</f>
        <v/>
      </c>
      <c r="G20" s="116">
        <f>IFERROR(Model!G192+0,NA())</f>
        <v/>
      </c>
      <c r="H20" s="116">
        <f>IFERROR(Model!H192+0,NA())</f>
        <v/>
      </c>
      <c r="I20" s="116">
        <f>IFERROR(Model!I192+0,NA())</f>
        <v/>
      </c>
      <c r="J20" s="116">
        <f>IFERROR(Model!N192+0,NA())</f>
        <v/>
      </c>
      <c r="K20" s="116">
        <f>IFERROR(Model!S192+0,NA())</f>
        <v/>
      </c>
      <c r="L20" s="116">
        <f>IFERROR(Model!X192+0,NA())</f>
        <v/>
      </c>
      <c r="M20" s="116">
        <f>IFERROR(Model!AC192+0,NA())</f>
        <v/>
      </c>
      <c r="N20" s="116">
        <f>IFERROR(Model!AH192+0,NA())</f>
        <v/>
      </c>
      <c r="O20" s="116">
        <f>IFERROR(Model!AM192+0,NA())</f>
        <v/>
      </c>
      <c r="P20" s="116">
        <f>IFERROR(Model!AR192+0,NA())</f>
        <v/>
      </c>
      <c r="Q20" s="116">
        <f>IFERROR(Model!AW192+0,NA())</f>
        <v/>
      </c>
      <c r="R20" s="116">
        <f>IFERROR(Model!BB192+0,NA())</f>
        <v/>
      </c>
      <c r="S20" s="116">
        <f>IFERROR(Model!BG192+0,NA())</f>
        <v/>
      </c>
      <c r="T20" s="116">
        <f>IFERROR(Model!BL192+0,NA())</f>
        <v/>
      </c>
      <c r="U20" s="116">
        <f>IFERROR(Model!BQ192+0,NA())</f>
        <v/>
      </c>
      <c r="V20" s="116">
        <f>IFERROR(Model!BV192+0,NA())</f>
        <v/>
      </c>
    </row>
    <row r="21" ht="15" customHeight="1">
      <c r="B21" t="inlineStr">
        <is>
          <t>FCF margin %</t>
        </is>
      </c>
      <c r="C21" s="116">
        <f>IFERROR(Model!C228+0,NA())</f>
        <v/>
      </c>
      <c r="D21" s="116">
        <f>IFERROR(Model!D228+0,NA())</f>
        <v/>
      </c>
      <c r="E21" s="116">
        <f>IFERROR(Model!E228+0,NA())</f>
        <v/>
      </c>
      <c r="F21" s="116">
        <f>IFERROR(Model!F228+0,NA())</f>
        <v/>
      </c>
      <c r="G21" s="116">
        <f>IFERROR(Model!G228+0,NA())</f>
        <v/>
      </c>
      <c r="H21" s="116">
        <f>IFERROR(Model!H228+0,NA())</f>
        <v/>
      </c>
      <c r="I21" s="116">
        <f>IFERROR(Model!I228+0,NA())</f>
        <v/>
      </c>
      <c r="J21" s="116">
        <f>IFERROR(Model!N228+0,NA())</f>
        <v/>
      </c>
      <c r="K21" s="116">
        <f>IFERROR(Model!S228+0,NA())</f>
        <v/>
      </c>
      <c r="L21" s="116">
        <f>IFERROR(Model!X228+0,NA())</f>
        <v/>
      </c>
      <c r="M21" s="116">
        <f>IFERROR(Model!AC228+0,NA())</f>
        <v/>
      </c>
      <c r="N21" s="116">
        <f>IFERROR(Model!AH228+0,NA())</f>
        <v/>
      </c>
      <c r="O21" s="116">
        <f>IFERROR(Model!AM228+0,NA())</f>
        <v/>
      </c>
      <c r="P21" s="116">
        <f>IFERROR(Model!AR228+0,NA())</f>
        <v/>
      </c>
      <c r="Q21" s="116">
        <f>IFERROR(Model!AW228+0,NA())</f>
        <v/>
      </c>
      <c r="R21" s="116">
        <f>IFERROR(Model!BB228+0,NA())</f>
        <v/>
      </c>
      <c r="S21" s="116">
        <f>IFERROR(Model!BG228+0,NA())</f>
        <v/>
      </c>
      <c r="T21" s="116">
        <f>IFERROR(Model!BL228+0,NA())</f>
        <v/>
      </c>
      <c r="U21" s="116">
        <f>IFERROR(Model!BQ228+0,NA())</f>
        <v/>
      </c>
      <c r="V21" s="116">
        <f>IFERROR(Model!BV228+0,NA())</f>
        <v/>
      </c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2026-10-04T02:35:31Z</dcterms:created>
  <dcterms:modified xsi:type="dcterms:W3CDTF">2026-10-05T18:57:58Z</dcterms:modified>
  <cp:lastModifiedBy>Payton Liske</cp:lastModifiedBy>
  <cp:revision>3</cp:revision>
</cp:coreProperties>
</file>