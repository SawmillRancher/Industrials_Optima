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505" yWindow="5505" windowWidth="14400" windowHeight="7275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23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0%;\(0%\);\-"/>
    <numFmt numFmtId="176" formatCode="0.0\x"/>
    <numFmt numFmtId="177" formatCode="dd\-mmm\-yy"/>
    <numFmt numFmtId="178" formatCode="0.0%"/>
    <numFmt numFmtId="179" formatCode="0.000"/>
    <numFmt numFmtId="180" formatCode="d/mmm/yyyy"/>
    <numFmt numFmtId="181" formatCode="#,##0.0"/>
    <numFmt numFmtId="182" formatCode="0.0%;\(0.0%\)"/>
    <numFmt numFmtId="183" formatCode="0.00\x"/>
    <numFmt numFmtId="184" formatCode="0.0\x;\(0.0\x\)"/>
    <numFmt numFmtId="185" formatCode="&quot;$&quot;#,##0.00;\(&quot;$&quot;#,##0.00\);\-"/>
    <numFmt numFmtId="186" formatCode="#,##0.00;\(#,##0.00\);\-"/>
  </numFmts>
  <fonts count="58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color rgb="FF595959"/>
      <sz val="12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b val="1"/>
      <color rgb="FF666666"/>
      <sz val="12"/>
    </font>
    <font>
      <name val="Calibri"/>
      <family val="2"/>
      <b val="1"/>
      <color rgb="FFC00000"/>
      <sz val="11"/>
    </font>
    <font>
      <name val="Calibri"/>
      <color rgb="FF000000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000000"/>
      <sz val="12"/>
    </font>
    <font>
      <name val="Calibri"/>
      <color rgb="FF0000FF"/>
      <sz val="12"/>
    </font>
    <font>
      <name val="Calibri"/>
      <color rgb="FF595959"/>
      <sz val="9"/>
    </font>
    <font>
      <name val="Calibri"/>
      <b val="1"/>
      <color rgb="FF000000"/>
      <sz val="12"/>
    </font>
    <font>
      <name val="Calibri"/>
      <color rgb="FF008000"/>
      <sz val="12"/>
    </font>
    <font>
      <name val="Calibri"/>
      <b val="1"/>
      <color rgb="FF000000"/>
      <sz val="11"/>
    </font>
    <font>
      <name val="Calibri"/>
      <b val="1"/>
      <color rgb="FF0000FF"/>
      <sz val="12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2F3E46"/>
      <sz val="12"/>
    </font>
    <font>
      <name val="Calibri"/>
      <color rgb="FFA6A6A6"/>
      <sz val="12"/>
    </font>
    <font>
      <name val="Calibri"/>
      <b val="1"/>
      <i val="1"/>
      <color rgb="FFC00000"/>
      <sz val="10"/>
    </font>
    <font>
      <name val="Calibri"/>
      <color rgb="FF0000FF"/>
      <sz val="11"/>
    </font>
  </fonts>
  <fills count="18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2F3E46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2F3E46"/>
      </bottom>
      <diagonal/>
    </border>
  </borders>
  <cellStyleXfs count="2">
    <xf numFmtId="0" fontId="27" fillId="0" borderId="0"/>
    <xf numFmtId="9" fontId="27" fillId="0" borderId="0"/>
  </cellStyleXfs>
  <cellXfs count="30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8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0" fillId="0" borderId="0" pivotButton="0" quotePrefix="0" xfId="0"/>
    <xf numFmtId="4" fontId="21" fillId="2" borderId="0" pivotButton="0" quotePrefix="0" xfId="0"/>
    <xf numFmtId="0" fontId="22" fillId="6" borderId="0" pivotButton="0" quotePrefix="0" xfId="0"/>
    <xf numFmtId="0" fontId="12" fillId="0" borderId="0" pivotButton="0" quotePrefix="0" xfId="0"/>
    <xf numFmtId="0" fontId="21" fillId="3" borderId="0" pivotButton="0" quotePrefix="0" xfId="0"/>
    <xf numFmtId="0" fontId="23" fillId="5" borderId="0" pivotButton="0" quotePrefix="0" xfId="0"/>
    <xf numFmtId="0" fontId="22" fillId="0" borderId="0" pivotButton="0" quotePrefix="0" xfId="0"/>
    <xf numFmtId="167" fontId="21" fillId="9" borderId="0" pivotButton="0" quotePrefix="0" xfId="0"/>
    <xf numFmtId="167" fontId="21" fillId="2" borderId="0" pivotButton="0" quotePrefix="0" xfId="0"/>
    <xf numFmtId="175" fontId="12" fillId="10" borderId="0" pivotButton="0" quotePrefix="0" xfId="0"/>
    <xf numFmtId="0" fontId="24" fillId="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66" fontId="21" fillId="9" borderId="0" pivotButton="0" quotePrefix="0" xfId="0"/>
    <xf numFmtId="166" fontId="21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4" fillId="11" borderId="0" pivotButton="0" quotePrefix="0" xfId="0"/>
    <xf numFmtId="164" fontId="21" fillId="9" borderId="0" pivotButton="0" quotePrefix="0" xfId="0"/>
    <xf numFmtId="164" fontId="21" fillId="2" borderId="0" pivotButton="0" quotePrefix="0" xfId="0"/>
    <xf numFmtId="168" fontId="21" fillId="9" borderId="0" pivotButton="0" quotePrefix="0" xfId="0"/>
    <xf numFmtId="168" fontId="21" fillId="2" borderId="0" pivotButton="0" quotePrefix="0" xfId="0"/>
    <xf numFmtId="176" fontId="3" fillId="12" borderId="0" pivotButton="0" quotePrefix="0" xfId="0"/>
    <xf numFmtId="167" fontId="6" fillId="5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66" fontId="24" fillId="0" borderId="0" pivotButton="0" quotePrefix="0" xfId="0"/>
    <xf numFmtId="173" fontId="24" fillId="9" borderId="0" pivotButton="0" quotePrefix="0" xfId="0"/>
    <xf numFmtId="173" fontId="24" fillId="2" borderId="0" pivotButton="0" quotePrefix="0" xfId="0"/>
    <xf numFmtId="167" fontId="24" fillId="0" borderId="0" pivotButton="0" quotePrefix="0" xfId="0"/>
    <xf numFmtId="173" fontId="24" fillId="0" borderId="0" pivotButton="0" quotePrefix="0" xfId="0"/>
    <xf numFmtId="167" fontId="25" fillId="0" borderId="0" pivotButton="0" quotePrefix="0" xfId="0"/>
    <xf numFmtId="0" fontId="26" fillId="0" borderId="0" pivotButton="0" quotePrefix="0" xfId="0"/>
    <xf numFmtId="166" fontId="25" fillId="0" borderId="0" pivotButton="0" quotePrefix="0" xfId="0"/>
    <xf numFmtId="0" fontId="28" fillId="5" borderId="0" pivotButton="0" quotePrefix="0" xfId="0"/>
    <xf numFmtId="0" fontId="29" fillId="0" borderId="0" pivotButton="0" quotePrefix="0" xfId="0"/>
    <xf numFmtId="177" fontId="29" fillId="0" borderId="0" pivotButton="0" quotePrefix="0" xfId="0"/>
    <xf numFmtId="167" fontId="29" fillId="0" borderId="0" pivotButton="0" quotePrefix="0" xfId="0"/>
    <xf numFmtId="166" fontId="30" fillId="0" borderId="0" pivotButton="0" quotePrefix="0" xfId="0"/>
    <xf numFmtId="178" fontId="29" fillId="0" borderId="0" pivotButton="0" quotePrefix="0" xfId="0"/>
    <xf numFmtId="2" fontId="29" fillId="0" borderId="0" pivotButton="0" quotePrefix="0" xfId="0"/>
    <xf numFmtId="179" fontId="29" fillId="0" borderId="0" pivotButton="0" quotePrefix="0" xfId="0"/>
    <xf numFmtId="167" fontId="30" fillId="0" borderId="0" pivotButton="0" quotePrefix="0" xfId="0"/>
    <xf numFmtId="0" fontId="31" fillId="0" borderId="0" pivotButton="0" quotePrefix="0" xfId="0"/>
    <xf numFmtId="166" fontId="31" fillId="0" borderId="0" pivotButton="0" quotePrefix="0" xfId="0"/>
    <xf numFmtId="166" fontId="29" fillId="0" borderId="0" pivotButton="0" quotePrefix="0" xfId="0"/>
    <xf numFmtId="164" fontId="29" fillId="0" borderId="0" pivotButton="0" quotePrefix="0" xfId="0"/>
    <xf numFmtId="4" fontId="29" fillId="0" borderId="0" pivotButton="0" quotePrefix="0" xfId="0"/>
    <xf numFmtId="178" fontId="32" fillId="0" borderId="0" pivotButton="0" quotePrefix="0" xfId="0"/>
    <xf numFmtId="3" fontId="29" fillId="0" borderId="0" pivotButton="0" quotePrefix="0" xfId="0"/>
    <xf numFmtId="3" fontId="29" fillId="3" borderId="0" pivotButton="0" quotePrefix="0" xfId="0"/>
    <xf numFmtId="176" fontId="29" fillId="0" borderId="0" pivotButton="0" quotePrefix="0" xfId="0"/>
    <xf numFmtId="0" fontId="33" fillId="0" borderId="0" pivotButton="0" quotePrefix="0" xfId="0"/>
    <xf numFmtId="10" fontId="32" fillId="2" borderId="0" pivotButton="0" quotePrefix="0" xfId="0"/>
    <xf numFmtId="0" fontId="34" fillId="0" borderId="0" pivotButton="0" quotePrefix="0" xfId="0"/>
    <xf numFmtId="2" fontId="32" fillId="2" borderId="0" pivotButton="0" quotePrefix="0" xfId="0"/>
    <xf numFmtId="10" fontId="33" fillId="0" borderId="0" pivotButton="0" quotePrefix="0" xfId="0"/>
    <xf numFmtId="0" fontId="35" fillId="0" borderId="0" pivotButton="0" quotePrefix="0" xfId="0"/>
    <xf numFmtId="10" fontId="35" fillId="6" borderId="0" pivotButton="0" quotePrefix="0" xfId="0"/>
    <xf numFmtId="167" fontId="36" fillId="0" borderId="0" pivotButton="0" quotePrefix="0" xfId="0"/>
    <xf numFmtId="0" fontId="35" fillId="6" borderId="0" pivotButton="0" quotePrefix="0" xfId="0"/>
    <xf numFmtId="167" fontId="35" fillId="6" borderId="0" pivotButton="0" quotePrefix="0" xfId="0"/>
    <xf numFmtId="178" fontId="32" fillId="2" borderId="0" pivotButton="0" quotePrefix="0" xfId="0"/>
    <xf numFmtId="178" fontId="30" fillId="2" borderId="0" pivotButton="0" quotePrefix="0" xfId="0"/>
    <xf numFmtId="178" fontId="37" fillId="3" borderId="0" pivotButton="0" quotePrefix="0" xfId="0"/>
    <xf numFmtId="10" fontId="30" fillId="0" borderId="0" pivotButton="0" quotePrefix="0" xfId="0"/>
    <xf numFmtId="1" fontId="32" fillId="2" borderId="0" pivotButton="0" quotePrefix="0" xfId="0"/>
    <xf numFmtId="0" fontId="30" fillId="0" borderId="0" applyAlignment="1" pivotButton="0" quotePrefix="0" xfId="0">
      <alignment horizontal="right"/>
    </xf>
    <xf numFmtId="178" fontId="32" fillId="13" borderId="0" pivotButton="0" quotePrefix="0" xfId="0"/>
    <xf numFmtId="1" fontId="32" fillId="13" borderId="0" pivotButton="0" quotePrefix="0" xfId="0"/>
    <xf numFmtId="0" fontId="38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9" fontId="30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0" fontId="0" fillId="2" borderId="0" pivotButton="0" quotePrefix="0" xfId="0"/>
    <xf numFmtId="0" fontId="0" fillId="0" borderId="2" pivotButton="0" quotePrefix="0" xfId="0"/>
    <xf numFmtId="166" fontId="17" fillId="2" borderId="0" applyAlignment="1" pivotButton="0" quotePrefix="0" xfId="0">
      <alignment horizontal="right"/>
    </xf>
    <xf numFmtId="0" fontId="39" fillId="0" borderId="0" pivotButton="0" quotePrefix="0" xfId="0"/>
    <xf numFmtId="0" fontId="0" fillId="2" borderId="2" pivotButton="0" quotePrefix="0" xfId="0"/>
    <xf numFmtId="0" fontId="40" fillId="0" borderId="0" pivotButton="0" quotePrefix="0" xfId="0"/>
    <xf numFmtId="0" fontId="1" fillId="0" borderId="0" pivotButton="0" quotePrefix="0" xfId="0"/>
    <xf numFmtId="0" fontId="0" fillId="6" borderId="2" pivotButton="0" quotePrefix="0" xfId="0"/>
    <xf numFmtId="177" fontId="0" fillId="0" borderId="0" pivotButton="0" quotePrefix="0" xfId="0"/>
    <xf numFmtId="0" fontId="11" fillId="5" borderId="0" pivotButton="0" quotePrefix="0" xfId="0"/>
    <xf numFmtId="0" fontId="11" fillId="5" borderId="0" applyAlignment="1" pivotButton="0" quotePrefix="0" xfId="0">
      <alignment horizontal="right"/>
    </xf>
    <xf numFmtId="166" fontId="8" fillId="0" borderId="0" pivotButton="0" quotePrefix="0" xfId="0"/>
    <xf numFmtId="4" fontId="11" fillId="5" borderId="0" pivotButton="0" quotePrefix="0" xfId="0"/>
    <xf numFmtId="4" fontId="8" fillId="0" borderId="0" pivotButton="0" quotePrefix="0" xfId="0"/>
    <xf numFmtId="178" fontId="8" fillId="0" borderId="0" pivotButton="0" quotePrefix="0" xfId="0"/>
    <xf numFmtId="176" fontId="11" fillId="5" borderId="0" pivotButton="0" quotePrefix="0" xfId="0"/>
    <xf numFmtId="10" fontId="46" fillId="13" borderId="0" pivotButton="0" quotePrefix="0" xfId="0"/>
    <xf numFmtId="2" fontId="46" fillId="13" borderId="0" pivotButton="0" quotePrefix="0" xfId="0"/>
    <xf numFmtId="10" fontId="45" fillId="0" borderId="0" pivotButton="0" quotePrefix="0" xfId="0"/>
    <xf numFmtId="180" fontId="46" fillId="0" borderId="0" applyAlignment="1" pivotButton="0" quotePrefix="0" xfId="0">
      <alignment horizontal="center"/>
    </xf>
    <xf numFmtId="167" fontId="49" fillId="0" borderId="0" pivotButton="0" quotePrefix="0" xfId="0"/>
    <xf numFmtId="167" fontId="45" fillId="0" borderId="0" pivotButton="0" quotePrefix="0" xfId="0"/>
    <xf numFmtId="166" fontId="45" fillId="0" borderId="0" pivotButton="0" quotePrefix="0" xfId="0"/>
    <xf numFmtId="166" fontId="45" fillId="0" borderId="0" applyAlignment="1" pivotButton="0" quotePrefix="0" xfId="0">
      <alignment horizontal="center"/>
    </xf>
    <xf numFmtId="2" fontId="45" fillId="0" borderId="0" pivotButton="0" quotePrefix="0" xfId="0"/>
    <xf numFmtId="167" fontId="48" fillId="0" borderId="0" pivotButton="0" quotePrefix="0" xfId="0"/>
    <xf numFmtId="167" fontId="48" fillId="16" borderId="0" pivotButton="0" quotePrefix="0" xfId="0"/>
    <xf numFmtId="166" fontId="48" fillId="16" borderId="0" pivotButton="0" quotePrefix="0" xfId="0"/>
    <xf numFmtId="166" fontId="48" fillId="16" borderId="0" applyAlignment="1" pivotButton="0" quotePrefix="0" xfId="0">
      <alignment horizontal="center"/>
    </xf>
    <xf numFmtId="178" fontId="46" fillId="13" borderId="0" pivotButton="0" quotePrefix="0" xfId="0"/>
    <xf numFmtId="178" fontId="45" fillId="13" borderId="0" pivotButton="0" quotePrefix="0" xfId="0"/>
    <xf numFmtId="178" fontId="51" fillId="17" borderId="0" pivotButton="0" quotePrefix="0" xfId="0"/>
    <xf numFmtId="179" fontId="45" fillId="0" borderId="0" pivotButton="0" quotePrefix="0" xfId="0"/>
    <xf numFmtId="181" fontId="49" fillId="0" borderId="0" pivotButton="0" quotePrefix="0" xfId="0"/>
    <xf numFmtId="4" fontId="44" fillId="14" borderId="0" pivotButton="0" quotePrefix="0" xfId="0"/>
    <xf numFmtId="4" fontId="49" fillId="0" borderId="0" pivotButton="0" quotePrefix="0" xfId="0"/>
    <xf numFmtId="182" fontId="48" fillId="16" borderId="0" pivotButton="0" quotePrefix="0" xfId="0"/>
    <xf numFmtId="4" fontId="48" fillId="16" borderId="0" pivotButton="0" quotePrefix="0" xfId="0"/>
    <xf numFmtId="1" fontId="46" fillId="13" borderId="0" pivotButton="0" quotePrefix="0" xfId="0"/>
    <xf numFmtId="0" fontId="41" fillId="0" borderId="0" pivotButton="0" quotePrefix="0" xfId="0"/>
    <xf numFmtId="0" fontId="42" fillId="14" borderId="0" pivotButton="0" quotePrefix="0" xfId="0"/>
    <xf numFmtId="0" fontId="43" fillId="14" borderId="0" pivotButton="0" quotePrefix="0" xfId="0"/>
    <xf numFmtId="0" fontId="44" fillId="15" borderId="0" pivotButton="0" quotePrefix="0" xfId="0"/>
    <xf numFmtId="0" fontId="43" fillId="15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8" fillId="16" borderId="0" pivotButton="0" quotePrefix="0" xfId="0"/>
    <xf numFmtId="0" fontId="41" fillId="15" borderId="0" pivotButton="0" quotePrefix="0" xfId="0"/>
    <xf numFmtId="0" fontId="44" fillId="14" borderId="0" pivotButton="0" quotePrefix="0" xfId="0"/>
    <xf numFmtId="0" fontId="44" fillId="14" borderId="0" applyAlignment="1" pivotButton="0" quotePrefix="0" xfId="0">
      <alignment horizontal="center"/>
    </xf>
    <xf numFmtId="0" fontId="43" fillId="14" borderId="0" applyAlignment="1" pivotButton="0" quotePrefix="0" xfId="0">
      <alignment horizontal="center"/>
    </xf>
    <xf numFmtId="0" fontId="47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centerContinuous"/>
    </xf>
    <xf numFmtId="0" fontId="44" fillId="15" borderId="0" applyAlignment="1" pivotButton="0" quotePrefix="0" xfId="0">
      <alignment horizontal="right"/>
    </xf>
    <xf numFmtId="1" fontId="46" fillId="13" borderId="0" applyAlignment="1" pivotButton="0" quotePrefix="0" xfId="0">
      <alignment horizontal="center"/>
    </xf>
    <xf numFmtId="16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67" fontId="45" fillId="0" borderId="0" applyAlignment="1" pivotButton="0" quotePrefix="0" xfId="0">
      <alignment horizontal="right"/>
    </xf>
    <xf numFmtId="181" fontId="49" fillId="0" borderId="0" applyAlignment="1" pivotButton="0" quotePrefix="0" xfId="0">
      <alignment horizontal="right"/>
    </xf>
    <xf numFmtId="4" fontId="44" fillId="14" borderId="0" applyAlignment="1" pivotButton="0" quotePrefix="0" xfId="0">
      <alignment horizontal="right"/>
    </xf>
    <xf numFmtId="4" fontId="45" fillId="0" borderId="0" applyAlignment="1" pivotButton="0" quotePrefix="0" xfId="0">
      <alignment horizontal="right"/>
    </xf>
    <xf numFmtId="166" fontId="45" fillId="0" borderId="0" applyAlignment="1" pivotButton="0" quotePrefix="0" xfId="0">
      <alignment horizontal="right"/>
    </xf>
    <xf numFmtId="10" fontId="48" fillId="16" borderId="4" pivotButton="0" quotePrefix="0" xfId="0"/>
    <xf numFmtId="0" fontId="48" fillId="16" borderId="4" pivotButton="0" quotePrefix="0" xfId="0"/>
    <xf numFmtId="0" fontId="50" fillId="16" borderId="4" pivotButton="0" quotePrefix="0" xfId="0"/>
    <xf numFmtId="167" fontId="48" fillId="16" borderId="4" pivotButton="0" quotePrefix="0" xfId="0"/>
    <xf numFmtId="0" fontId="45" fillId="0" borderId="4" pivotButton="0" quotePrefix="0" xfId="0"/>
    <xf numFmtId="0" fontId="41" fillId="0" borderId="4" pivotButton="0" quotePrefix="0" xfId="0"/>
    <xf numFmtId="167" fontId="45" fillId="0" borderId="4" pivotButton="0" quotePrefix="0" xfId="0"/>
    <xf numFmtId="0" fontId="48" fillId="0" borderId="4" pivotButton="0" quotePrefix="0" xfId="0"/>
    <xf numFmtId="167" fontId="48" fillId="0" borderId="4" pivotButton="0" quotePrefix="0" xfId="0"/>
    <xf numFmtId="3" fontId="45" fillId="0" borderId="0" applyAlignment="1" pivotButton="0" quotePrefix="0" xfId="0">
      <alignment horizontal="center"/>
    </xf>
    <xf numFmtId="3" fontId="48" fillId="17" borderId="0" applyAlignment="1" pivotButton="0" quotePrefix="0" xfId="0">
      <alignment horizontal="center"/>
    </xf>
    <xf numFmtId="0" fontId="43" fillId="14" borderId="4" pivotButton="0" quotePrefix="0" xfId="0"/>
    <xf numFmtId="10" fontId="44" fillId="14" borderId="4" applyAlignment="1" pivotButton="0" quotePrefix="0" xfId="0">
      <alignment horizontal="center"/>
    </xf>
    <xf numFmtId="0" fontId="41" fillId="0" borderId="5" pivotButton="0" quotePrefix="0" xfId="0"/>
    <xf numFmtId="3" fontId="45" fillId="0" borderId="5" applyAlignment="1" pivotButton="0" quotePrefix="0" xfId="0">
      <alignment horizontal="center"/>
    </xf>
    <xf numFmtId="0" fontId="44" fillId="14" borderId="6" pivotButton="0" quotePrefix="0" xfId="0"/>
    <xf numFmtId="10" fontId="48" fillId="0" borderId="7" applyAlignment="1" pivotButton="0" quotePrefix="0" xfId="0">
      <alignment horizontal="right"/>
    </xf>
    <xf numFmtId="10" fontId="48" fillId="0" borderId="8" applyAlignment="1" pivotButton="0" quotePrefix="0" xfId="0">
      <alignment horizontal="right"/>
    </xf>
    <xf numFmtId="10" fontId="44" fillId="14" borderId="9" applyAlignment="1" pivotButton="0" quotePrefix="0" xfId="0">
      <alignment horizontal="center"/>
    </xf>
    <xf numFmtId="3" fontId="45" fillId="0" borderId="10" applyAlignment="1" pivotButton="0" quotePrefix="0" xfId="0">
      <alignment horizontal="center"/>
    </xf>
    <xf numFmtId="3" fontId="45" fillId="0" borderId="11" applyAlignment="1" pivotButton="0" quotePrefix="0" xfId="0">
      <alignment horizontal="center"/>
    </xf>
    <xf numFmtId="0" fontId="45" fillId="0" borderId="0" applyAlignment="1" pivotButton="0" quotePrefix="0" xfId="0">
      <alignment horizontal="left" indent="2"/>
    </xf>
    <xf numFmtId="10" fontId="49" fillId="0" borderId="0" applyAlignment="1" pivotButton="0" quotePrefix="0" xfId="0">
      <alignment horizontal="center"/>
    </xf>
    <xf numFmtId="10" fontId="46" fillId="13" borderId="0" applyAlignment="1" pivotButton="0" quotePrefix="0" xfId="0">
      <alignment horizontal="center"/>
    </xf>
    <xf numFmtId="183" fontId="45" fillId="0" borderId="0" applyAlignment="1" pivotButton="0" quotePrefix="0" xfId="0">
      <alignment horizontal="center"/>
    </xf>
    <xf numFmtId="2" fontId="45" fillId="0" borderId="0" applyAlignment="1" pivotButton="0" quotePrefix="0" xfId="0">
      <alignment horizontal="center"/>
    </xf>
    <xf numFmtId="179" fontId="45" fillId="0" borderId="0" applyAlignment="1" pivotButton="0" quotePrefix="0" xfId="0">
      <alignment horizontal="center"/>
    </xf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82" fontId="48" fillId="16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84" fontId="48" fillId="0" borderId="0" applyAlignment="1" pivotButton="0" quotePrefix="0" xfId="0">
      <alignment horizontal="right"/>
    </xf>
    <xf numFmtId="167" fontId="25" fillId="2" borderId="0" pivotButton="0" quotePrefix="0" xfId="0"/>
    <xf numFmtId="185" fontId="25" fillId="2" borderId="0" pivotButton="0" quotePrefix="0" xfId="0"/>
    <xf numFmtId="168" fontId="25" fillId="2" borderId="0" pivotButton="0" quotePrefix="0" xfId="0"/>
    <xf numFmtId="0" fontId="0" fillId="0" borderId="0" pivotButton="0" quotePrefix="0" xfId="0"/>
    <xf numFmtId="0" fontId="54" fillId="0" borderId="0" pivotButton="0" quotePrefix="0" xfId="0"/>
    <xf numFmtId="167" fontId="46" fillId="0" borderId="0" applyAlignment="1" pivotButton="0" quotePrefix="0" xfId="0">
      <alignment horizontal="right"/>
    </xf>
    <xf numFmtId="167" fontId="45" fillId="2" borderId="0" applyAlignment="1" pivotButton="0" quotePrefix="0" xfId="0">
      <alignment horizontal="right"/>
    </xf>
    <xf numFmtId="166" fontId="55" fillId="0" borderId="0" applyAlignment="1" pivotButton="0" quotePrefix="0" xfId="0">
      <alignment horizontal="right"/>
    </xf>
    <xf numFmtId="166" fontId="45" fillId="2" borderId="0" applyAlignment="1" pivotButton="0" quotePrefix="0" xfId="0">
      <alignment horizontal="right"/>
    </xf>
    <xf numFmtId="167" fontId="46" fillId="0" borderId="0" pivotButton="0" quotePrefix="0" xfId="0"/>
    <xf numFmtId="166" fontId="46" fillId="0" borderId="0" pivotButton="0" quotePrefix="0" xfId="0"/>
    <xf numFmtId="168" fontId="46" fillId="0" borderId="0" pivotButton="0" quotePrefix="0" xfId="0"/>
    <xf numFmtId="167" fontId="48" fillId="0" borderId="2" applyAlignment="1" pivotButton="0" quotePrefix="0" xfId="0">
      <alignment horizontal="right"/>
    </xf>
    <xf numFmtId="167" fontId="48" fillId="2" borderId="2" applyAlignment="1" pivotButton="0" quotePrefix="0" xfId="0">
      <alignment horizontal="right"/>
    </xf>
    <xf numFmtId="167" fontId="51" fillId="2" borderId="0" applyAlignment="1" pivotButton="0" quotePrefix="0" xfId="0">
      <alignment horizontal="right"/>
    </xf>
    <xf numFmtId="173" fontId="51" fillId="2" borderId="0" applyAlignment="1" pivotButton="0" quotePrefix="0" xfId="0">
      <alignment horizontal="right"/>
    </xf>
    <xf numFmtId="166" fontId="51" fillId="2" borderId="0" applyAlignment="1" pivotButton="0" quotePrefix="0" xfId="0">
      <alignment horizontal="right"/>
    </xf>
    <xf numFmtId="167" fontId="51" fillId="2" borderId="2" applyAlignment="1" pivotButton="0" quotePrefix="0" xfId="0">
      <alignment horizontal="right"/>
    </xf>
    <xf numFmtId="0" fontId="51" fillId="2" borderId="0" applyAlignment="1" pivotButton="0" quotePrefix="0" xfId="0">
      <alignment horizontal="right"/>
    </xf>
    <xf numFmtId="167" fontId="48" fillId="6" borderId="2" applyAlignment="1" pivotButton="0" quotePrefix="0" xfId="0">
      <alignment horizontal="right"/>
    </xf>
    <xf numFmtId="167" fontId="41" fillId="2" borderId="0" pivotButton="0" quotePrefix="0" xfId="0"/>
    <xf numFmtId="166" fontId="41" fillId="2" borderId="0" pivotButton="0" quotePrefix="0" xfId="0"/>
    <xf numFmtId="166" fontId="48" fillId="2" borderId="0" applyAlignment="1" pivotButton="0" quotePrefix="0" xfId="0">
      <alignment horizontal="right"/>
    </xf>
    <xf numFmtId="167" fontId="51" fillId="6" borderId="2" applyAlignment="1" pivotButton="0" quotePrefix="0" xfId="0">
      <alignment horizontal="right"/>
    </xf>
    <xf numFmtId="168" fontId="48" fillId="6" borderId="2" applyAlignment="1" pivotButton="0" quotePrefix="0" xfId="0">
      <alignment horizontal="right"/>
    </xf>
    <xf numFmtId="168" fontId="46" fillId="0" borderId="0" applyAlignment="1" pivotButton="0" quotePrefix="0" xfId="0">
      <alignment horizontal="right"/>
    </xf>
    <xf numFmtId="168" fontId="45" fillId="0" borderId="0" applyAlignment="1" pivotButton="0" quotePrefix="0" xfId="0">
      <alignment horizontal="right"/>
    </xf>
    <xf numFmtId="168" fontId="45" fillId="2" borderId="0" applyAlignment="1" pivotButton="0" quotePrefix="0" xfId="0">
      <alignment horizontal="right"/>
    </xf>
    <xf numFmtId="0" fontId="56" fillId="0" borderId="0" pivotButton="0" quotePrefix="0" xfId="0"/>
    <xf numFmtId="167" fontId="51" fillId="0" borderId="2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3" fontId="45" fillId="2" borderId="0" applyAlignment="1" pivotButton="0" quotePrefix="0" xfId="0">
      <alignment horizontal="right"/>
    </xf>
    <xf numFmtId="186" fontId="46" fillId="0" borderId="0" applyAlignment="1" pivotButton="0" quotePrefix="0" xfId="0">
      <alignment horizontal="right"/>
    </xf>
    <xf numFmtId="186" fontId="45" fillId="2" borderId="0" applyAlignment="1" pivotButton="0" quotePrefix="0" xfId="0">
      <alignment horizontal="right"/>
    </xf>
    <xf numFmtId="164" fontId="46" fillId="0" borderId="0" applyAlignment="1" pivotButton="0" quotePrefix="0" xfId="0">
      <alignment horizontal="right"/>
    </xf>
    <xf numFmtId="186" fontId="45" fillId="0" borderId="0" applyAlignment="1" pivotButton="0" quotePrefix="0" xfId="0">
      <alignment horizontal="right"/>
    </xf>
    <xf numFmtId="186" fontId="51" fillId="2" borderId="0" applyAlignment="1" pivotButton="0" quotePrefix="0" xfId="0">
      <alignment horizontal="right"/>
    </xf>
    <xf numFmtId="164" fontId="45" fillId="2" borderId="0" applyAlignment="1" pivotButton="0" quotePrefix="0" xfId="0">
      <alignment horizontal="right"/>
    </xf>
    <xf numFmtId="164" fontId="41" fillId="2" borderId="0" pivotButton="0" quotePrefix="0" xfId="0"/>
    <xf numFmtId="174" fontId="45" fillId="0" borderId="0" applyAlignment="1" pivotButton="0" quotePrefix="0" xfId="0">
      <alignment horizontal="right"/>
    </xf>
    <xf numFmtId="174" fontId="51" fillId="2" borderId="0" applyAlignment="1" pivotButton="0" quotePrefix="0" xfId="0">
      <alignment horizontal="right"/>
    </xf>
    <xf numFmtId="0" fontId="57" fillId="0" borderId="0" pivotButton="0" quotePrefix="0" xfId="0"/>
    <xf numFmtId="164" fontId="51" fillId="2" borderId="0" applyAlignment="1" pivotButton="0" quotePrefix="0" xfId="0">
      <alignment horizontal="right"/>
    </xf>
    <xf numFmtId="166" fontId="48" fillId="6" borderId="2" applyAlignment="1" pivotButton="0" quotePrefix="0" xfId="0">
      <alignment horizontal="right"/>
    </xf>
    <xf numFmtId="173" fontId="48" fillId="6" borderId="2" applyAlignment="1" pivotButton="0" quotePrefix="0" xfId="0">
      <alignment horizontal="right"/>
    </xf>
    <xf numFmtId="164" fontId="45" fillId="0" borderId="0" applyAlignment="1" pivotButton="0" quotePrefix="0" xfId="0">
      <alignment horizontal="right"/>
    </xf>
    <xf numFmtId="176" fontId="45" fillId="0" borderId="0" applyAlignment="1" pivotButton="0" quotePrefix="0" xfId="0">
      <alignment horizontal="right"/>
    </xf>
    <xf numFmtId="176" fontId="45" fillId="2" borderId="0" applyAlignment="1" pivotButton="0" quotePrefix="0" xfId="0">
      <alignment horizontal="right"/>
    </xf>
    <xf numFmtId="177" fontId="0" fillId="0" borderId="0" pivotButton="0" quotePrefix="0" xfId="0"/>
    <xf numFmtId="175" fontId="12" fillId="1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76" fontId="3" fillId="12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76" fontId="44" fillId="14" borderId="0" applyAlignment="1" pivotButton="0" quotePrefix="0" xfId="0">
      <alignment horizontal="center"/>
    </xf>
    <xf numFmtId="176" fontId="44" fillId="14" borderId="0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Revenue Growth: Agents and Infra vs. Devices and Consumer Contribution, pp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Charts!$C$8:$V$8</c:f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Charts!$C$9:$V$9</c:f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&amp; Operating Income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Charts!$C$12:$V$12</c:f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Charts!$C$13:$V$13</c:f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Charts!$C$14:$V$14</c:f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Charts!$C$15:$V$15</c:f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Charts!$C$18:$V$18</c:f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Charts!$C$19:$V$19</c:f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Charts!$C$20:$V$20</c:f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Charts!$C$21:$V$21</c:f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MSFT model</author>
  </authors>
  <commentList>
    <comment ref="CK2" authorId="0" shapeId="0">
      <text>
        <t>Scenario toggle. Choose Bull / Base / Bear. Drives: Q1 FY27 guidance end-points (segment revenue high / mid / low; COGS and opex low / mid / high), 2028E–2031E product &amp; service growth, segment margins, M&amp;A spend, and the liquidity target and minimum for buybacks (scenario table CS:CW).</t>
      </text>
    </comment>
    <comment ref="B11" authorId="0" shapeId="0">
      <text>
        <t>Source: Form 8-K 2-Sep-2026 (Item 7.01, Ex. 99.1 "FY27 Segments and Investor Metrics"): product and service revenue restated to the FY27 definitions, Q1 FY25 – Q4 FY26. Earlier periods are not available on this basis.</t>
      </text>
    </comment>
    <comment ref="B31" authorId="0" shapeId="0">
      <text>
        <t>Source: Form 8-K 2-Sep-2026 (Ex. 99.1): Agents and Infra / Devices and Consumer revenue, cost of revenue, operating expenses and operating income restated, Q1 FY25 – Q4 FY26.</t>
      </text>
    </comment>
    <comment ref="AC71" authorId="0" shapeId="0">
      <text>
        <t>FY2016 annual segment figures (Q4 FY16 release) differ from the sum of Q1–Q3 as first reported (re-allocations within the year).</t>
      </text>
    </comment>
    <comment ref="B136" authorId="0" shapeId="0">
      <text>
        <t>Source: 8-K 2-Sep-2026, Item 7.01 Ex. 99.1 ("FY27 Q1 Adjusted Outlook"), which re-files the outlook given on the 29-Jul-2026 earnings call.</t>
      </text>
    </comment>
    <comment ref="B151" authorId="0" shapeId="0">
      <text>
        <t>UNVERIFIED — not in an SEC filing. UNVERIFIED - not filed on EDGAR (earnings-call commentary, 29-Jul-2026, as reported by third parties): FY27: double-digit revenue and operating income growth; continued growth in capital expenditures. Sources: https://www.marketbeat.com/instant-alerts/microsoft-q4-earnings-call-highlights-2026-07-29/; https://www.nasdaq.com/articles/microsoft-q4-earnings-call-highlights; https://www.fool.com/earnings/call-transcripts/2026/08/07/microsoft-msft-q4-2026-earnings-call-transcript/</t>
      </text>
    </comment>
    <comment ref="B156" authorId="0" shapeId="0">
      <text>
        <t>Source: Microsoft earnings releases (Form 8-K Item 2.02, Ex. 99.1) — cash-flow statements (three-month columns); depreciation and amortization of intangibles: 10-K notes (XBRL, annual).</t>
      </text>
    </comment>
    <comment ref="BW156" authorId="0" shapeId="0">
      <text>
        <t>Restated Q1 FY26 (see the cash-flow row comment): $8,147m vs $13,061m as first reported.</t>
      </text>
    </comment>
    <comment ref="B167" authorId="0" shapeId="0">
      <text>
        <t>Source: cash-flow statements (additions to property and equipment) + 10-K lease note (finance-lease right-of-use assets obtained, XBRL).</t>
      </text>
    </comment>
    <comment ref="B179" authorId="0" shapeId="0">
      <text>
        <t>Source: Microsoft earnings releases (Form 8-K Item 2.02, Ex. 99.1) — income statements, as originally reported (FY2006–FY2012: 10-K Item 8). FY2016–FY2017 were restated for ASC 606 / 842 in the 8-K of 3-Aug-2017; the model keeps the original figures (cell comments).</t>
      </text>
    </comment>
    <comment ref="AC179" authorId="0" shapeId="0">
      <text>
        <t>FY2016 as originally reported ($85,320m). Restated for ASC 606 / 842 to $91,154m (8-K 3-Aug-2017).</t>
      </text>
    </comment>
    <comment ref="AH179" authorId="0" shapeId="0">
      <text>
        <t>FY2017 as originally reported ($89,950m). Restated for ASC 606 / 842 to $96,571m (8-K 3-Aug-2017); FY2018 y/y in this row therefore crosses bases.</t>
      </text>
    </comment>
    <comment ref="E190" authorId="0" shapeId="0">
      <text>
        <t>FY2008 as originally reported in the FY2008 10-K ($22,492m); later 10-K comparatives show $22,271m.</t>
      </text>
    </comment>
    <comment ref="AC190" authorId="0" shapeId="0">
      <text>
        <t>FY2016 operating income as originally reported ($20,182m); $26,078m restated for ASC 606.</t>
      </text>
    </comment>
    <comment ref="AH190" authorId="0" shapeId="0">
      <text>
        <t>FY2017 operating income as originally reported ($22,326m); $29,025m restated for ASC 606.</t>
      </text>
    </comment>
    <comment ref="AC199" authorId="0" shapeId="0">
      <text>
        <t>FY2016 reflects the early adoption of ASU 2016-09 effective 1-Jul-2015; Q1–Q3 FY16 are as originally reported, so they sum to $302m more tax than the year.</t>
      </text>
    </comment>
    <comment ref="B207" authorId="0" shapeId="0">
      <text>
        <t>Source: Microsoft earnings releases (Form 8-K Item 2.02, Ex. 99.1) — income statements (weighted average shares). No stock splits since Feb-2003.</t>
      </text>
    </comment>
    <comment ref="B213" authorId="0" shapeId="0">
      <text>
        <t>Source: XBRL CommonStockDividendsPerShareDeclared (10-K / 10-Q); FY2006–07 from the 10-K income statements.</t>
      </text>
    </comment>
    <comment ref="B224" authorId="0" shapeId="0">
      <text>
        <t>Source: Microsoft earnings releases (Form 8-K Item 2.02, Ex. 99.1) — "GAAP to Non-GAAP" / "As Adjusted" reconciliation tables (ngaap.json); items and the basis per period are in the cell comments of the published adjusted EPS row.</t>
      </text>
    </comment>
    <comment ref="I229" authorId="0" shapeId="0">
      <text>
        <t>FY2012 adjusted figures were first presented in the Q4 FY13 release (prior-year comparative).</t>
      </text>
    </comment>
    <comment ref="T229" authorId="0" shapeId="0">
      <text>
        <t>Q1–Q3 FY15 first given adjusted figures in the FY2016 releases (re-presented comparatives) — that presentation is used.</t>
      </text>
    </comment>
    <comment ref="B263" authorId="0" shapeId="0">
      <text>
        <t>Source: Microsoft earnings releases (Form 8-K Item 2.02, Ex. 99.1) — reconciliation tables (ngaap.json). FY2012–Q1 FY14 published per share only.</t>
      </text>
    </comment>
    <comment ref="I263" authorId="0" shapeId="0">
      <text>
        <t>Company items (2012): Goodwill impairment (IMPAIR: OI +6,193, EPS +0.73); Windows Upgrade Offer (REVDEF: OI +540, EPS +0.06) — first presented in the Q4 FY13 release (prior-year comparative; no FY2012 release reconciliation)</t>
      </text>
    </comment>
    <comment ref="J263" authorId="0" shapeId="0">
      <text>
        <t>Company items (Q1-13): Revenue deferred for Windows Upgrade Offer, Windows 8 Pre-sales, and Office Offer (REVDEF: OI +1,356, EPS +0.13) — own release</t>
      </text>
    </comment>
    <comment ref="K263" authorId="0" shapeId="0">
      <text>
        <t>Company items (Q2-13): Net revenue deferred for Windows Upgrade Offer, Office Upgrade Offer and Pre-sales, and Video Game Deferral (REVDEF: OI +1,329, EPS +0.13); Revenue recognized for Windows 8 Pre-sales (REVDEF: OI -783, EPS -0.08) — own release</t>
      </text>
    </comment>
    <comment ref="L263" authorId="0" shapeId="0">
      <text>
        <t>Company items (Q3-13): Net revenue recognition for Windows Upgrade Offer, Office Upgrade Offer and Pre-Sales, and Video Game Deferral (REVDEF: OI -1,658, EPS -0.16); European Commission fine (LEGAL: OI +733, EPS +0.09) — own release</t>
      </text>
    </comment>
    <comment ref="M263" authorId="0" shapeId="0">
      <text>
        <t>Company items (Q4-13): Office Upgrade Offer (REVDEF: OI -782, EPS -0.07) — own release</t>
      </text>
    </comment>
    <comment ref="N263" authorId="0" shapeId="0">
      <text>
        <t>Company items (2013): Windows Upgrade Offer (REVDEF: OI -540, EPS -0.05); European Commission fine (LEGAL: OI +733, EPS +0.09) — own release (Q4 FY13, twelve months)</t>
      </text>
    </comment>
    <comment ref="O263" authorId="0" shapeId="0">
      <text>
        <t>Company items (Q1-14): Revenue deferred primarily related to Windows 8.1 Pre-sales (REVDEF: OI +113, EPS +0.01) — own release</t>
      </text>
    </comment>
    <comment ref="T263" authorId="0" shapeId="0">
      <text>
        <t>Company items (Q1-15): Integration and Restructuring Charges (RESTR: OI +1,140, NI +909, EPS +0.11) — re-presented in the Q1 FY16 release (no adjusted figures in the Q1 FY15 release)</t>
      </text>
    </comment>
    <comment ref="U263" authorId="0" shapeId="0">
      <text>
        <t>Company items (Q2-15): Net Impact from Revenue Deferrals (REVDEF: OI -326, NI -248, EPS -0.03); Integration and Restructuring Charges (RESTR: OI +243, NI +175, EPS +0.02) — re-presented in the Q2 FY16 release (no adjusted figures in the Q2 FY15 release)</t>
      </text>
    </comment>
    <comment ref="V263" authorId="0" shapeId="0">
      <text>
        <t>Company items (Q3-15): Integration and Restructuring Charges (RESTR: OI +190, NI +119, EPS +0.01) — re-presented in the Q3 FY16 release (no adjusted figures in the Q3 FY15 release)</t>
      </text>
    </comment>
    <comment ref="W263" authorId="0" shapeId="0">
      <text>
        <t>Company items (Q4-15): Impairment, Integration, and Restructuring Charges (RESTR: OI +8,438, NI +8,262, EPS +1.02) — own release (net income effect from the Q4 FY16 release comparative: $8,262m; adjusted net income $5,067m)</t>
      </text>
    </comment>
    <comment ref="X263" authorId="0" shapeId="0">
      <text>
        <t>Company items (2015): Impairment, Integration, and Restructuring Charges (RESTR: OI +10,011, NI +9,494, EPS +1.15) — own release (Q4 FY15, twelve months; net income effect from the Q4 FY16 release comparative: $9,494m)</t>
      </text>
    </comment>
    <comment ref="Y263" authorId="0" shapeId="0">
      <text>
        <t>Company items (Q1-16): Net Impact from Windows 10 Revenue Deferrals (REVDEF: OI +1,281, NI +760, EPS +0.10) — own release</t>
      </text>
    </comment>
    <comment ref="Z263" authorId="0" shapeId="0">
      <text>
        <t>Company items (Q2-16): Net Impact from Revenue Deferrals (REVDEF: OI +1,897, NI +1,277, EPS +0.16) — own release</t>
      </text>
    </comment>
    <comment ref="AA263" authorId="0" shapeId="0">
      <text>
        <t>Company items (Q3-16): Net Impact from Revenue Deferrals (REVDEF: OI +1,545, NI +1,217, EPS +0.15) — own release</t>
      </text>
    </comment>
    <comment ref="AB263" authorId="0" shapeId="0">
      <text>
        <t>Company items (Q4-16): Net Impact from Windows 10 Revenue Deferrals (REVDEF: OI +2,028, NI +1,467, EPS +0.19); Impairment, Integration, and Restructuring Expenses (RESTR: OI +1,110, NI +895, EPS +0.11) — own release</t>
      </text>
    </comment>
    <comment ref="AC263" authorId="0" shapeId="0">
      <text>
        <t>Company items (2016): Net Impact from Windows 10 Revenue Deferrals (REVDEF: OI +6,643, NI +4,635, EPS +0.58); Impairment, Integration, and Restructuring Expenses (RESTR: OI +1,110, NI +895, EPS +0.11) — own release (Q4 FY16, twelve months)</t>
      </text>
    </comment>
    <comment ref="AD263" authorId="0" shapeId="0">
      <text>
        <t>Company items (Q1-17): Net Impact from Windows 10 Revenue Deferrals (REVDEF: OI +1,881, NI +1,299, EPS +0.16) — own release</t>
      </text>
    </comment>
    <comment ref="AE263" authorId="0" shapeId="0">
      <text>
        <t>Company items (Q2-17): Net Impact from Windows 10 Revenue Deferrals (REVDEF: OI +1,976, NI +1,315, EPS +0.17) — own release</t>
      </text>
    </comment>
    <comment ref="AF263" authorId="0" shapeId="0">
      <text>
        <t>Company items (Q3-17): Net Impact from Windows 10 Revenue Deferrals (REVDEF: OI +1,467, NI +914, EPS +0.12) — own release</t>
      </text>
    </comment>
    <comment ref="AG263" authorId="0" shapeId="0">
      <text>
        <t>Company items (Q4-17): Net Impact from Windows 10 Revenue Deferrals (REVDEF: OI +1,383, NI +909, EPS +0.12); Impairment and Restructuring Expenses (RESTR: OI +306, NI +243, EPS +0.03) — own release</t>
      </text>
    </comment>
    <comment ref="AH263" authorId="0" shapeId="0">
      <text>
        <t>Company items (2017): Net Impact from Windows 10 Revenue Deferrals (REVDEF: OI +6,707, NI +4,437, EPS +0.57); Impairment and Restructuring Expenses (RESTR: OI +306, NI +243, EPS +0.03) — own release (Q4 FY17, twelve months)</t>
      </text>
    </comment>
    <comment ref="AJ263" authorId="0" shapeId="0">
      <text>
        <t>Company items (Q2-18): Net TCJA Impact (TAX: OI +0, NI +13,800, EPS +1.78) — own release</t>
      </text>
    </comment>
    <comment ref="AL263" authorId="0" shapeId="0">
      <text>
        <t>Company items (Q4-18): Net TCJA Impact (TAX: OI +0, NI -104, EPS -0.01) — own release</t>
      </text>
    </comment>
    <comment ref="AM263" authorId="0" shapeId="0">
      <text>
        <t>Company items (2018): Net TCJA Impact (TAX: OI +0, NI +13,696, EPS +1.75) — own release (Q4 FY18, twelve months)</t>
      </text>
    </comment>
    <comment ref="AO263" authorId="0" shapeId="0">
      <text>
        <t>Company items (Q2-19): Net TCJA Impact (TAX: OI +0, NI +157, EPS +0.02) — own release</t>
      </text>
    </comment>
    <comment ref="AQ263" authorId="0" shapeId="0">
      <text>
        <t>Company items (Q4-19): Net Tax Impact of Transfer of Intangible Properties (TAX: OI +0, NI -2,567, EPS -0.34) — own release</t>
      </text>
    </comment>
    <comment ref="AR263" authorId="0" shapeId="0">
      <text>
        <t>Company items (2019): Net Tax Impact of Transfer of Intangible Properties (TAX: OI +0, NI -2,567, EPS -0.33); Net Impact of the TCJA (TAX: OI +0, NI +157, EPS +0.02) — own release (Q4 FY19, twelve months)</t>
      </text>
    </comment>
    <comment ref="AZ263" authorId="0" shapeId="0">
      <text>
        <t>Company items (Q3-21): Net income tax benefit related to India Supreme Court decision on withholding taxes (TAX: OI +0, NI -620, EPS -0.08) — own release</t>
      </text>
    </comment>
    <comment ref="BB263" authorId="0" shapeId="0">
      <text>
        <t>Company items (2021): Net income tax benefit related to India Supreme Court decision on withholding taxes (TAX: OI +0, NI -620, EPS -0.08) — own release (Q4 FY21, twelve months)</t>
      </text>
    </comment>
    <comment ref="BC263" authorId="0" shapeId="0">
      <text>
        <t>Company items (Q1-22): Net income tax benefit related to transfer of intangible properties (TAX: OI +0, NI -3,291, EPS -0.44) — own release</t>
      </text>
    </comment>
    <comment ref="BG263" authorId="0" shapeId="0">
      <text>
        <t>Company items (2022): Net income tax benefit related to transfer of intangible properties (TAX: OI +0, NI -3,291, EPS -0.44) — own release (Q4 FY22, twelve months)</t>
      </text>
    </comment>
    <comment ref="BI263" authorId="0" shapeId="0">
      <text>
        <t>Company items (Q2-23): Severance, hardware-related impairment, and lease consolidation costs (RESTR: OI +1,171, NI +946, EPS +0.12) — own release</t>
      </text>
    </comment>
    <comment ref="BL263" authorId="0" shapeId="0">
      <text>
        <t>Company items (2023): Severance, hardware-related impairment, and lease consolidation costs (RESTR: OI +1,171, NI +946, EPS +0.13) — own release (Q4 FY23, twelve months)</t>
      </text>
    </comment>
    <comment ref="BR263" authorId="0" shapeId="0">
      <text>
        <t>Company items (Q1-25): Impact from investments in OpenAI (OPENAI: OI +0, NI +523, EPS +0.07) — re-presented in the Q1 FY26 release (OpenAI adjustment introduced in Q1 FY26; FY2025 releases published no adjusted figures)</t>
      </text>
    </comment>
    <comment ref="BS263" authorId="0" shapeId="0">
      <text>
        <t>Company items (Q2-25): Impact from investments in OpenAI (OPENAI: OI +0, NI +939, EPS +0.12) — re-presented in the Q2 FY26 release</t>
      </text>
    </comment>
    <comment ref="BT263" authorId="0" shapeId="0">
      <text>
        <t>Company items (Q3-25): Adjustment (impact from investments in OpenAI) (OPENAI: OI +0, NI +583, EPS +0.08) — re-presented in the Q3 FY26 release</t>
      </text>
    </comment>
    <comment ref="BU263" authorId="0" shapeId="0">
      <text>
        <t>Company items (Q4-25): Impact from OpenAI (OPENAI: OI +0, NI +1,575, EPS +0.21) — re-presented in the Q4 FY26 release</t>
      </text>
    </comment>
    <comment ref="BV263" authorId="0" shapeId="0">
      <text>
        <t>Company items (2025): Impact from OpenAI (OPENAI: OI +0, NI +3,620, EPS +0.49) — re-presented in the Q4 FY26 release (twelve months)</t>
      </text>
    </comment>
    <comment ref="BW263" authorId="0" shapeId="0">
      <text>
        <t>Company items (Q1-26): Impact from investments in OpenAI (OPENAI: OI +0, NI +3,086, EPS +0.41) — own release</t>
      </text>
    </comment>
    <comment ref="BX263" authorId="0" shapeId="0">
      <text>
        <t>Company items (Q2-26): Impact from investments in OpenAI (OPENAI: OI +0, NI -7,583, EPS -1.02) — own release</t>
      </text>
    </comment>
    <comment ref="BY263" authorId="0" shapeId="0">
      <text>
        <t>Company items (Q3-26): Adjustment (impact from investments in OpenAI) (OPENAI: OI +0, NI +14, EPS +0.00) — own release ("Adjustment*" column; footnote: impact from investments in OpenAI)</t>
      </text>
    </comment>
    <comment ref="BZ263" authorId="0" shapeId="0">
      <text>
        <t>Company items (Q4-26): Impact from OpenAI (OPENAI: OI +0, NI -480, EPS -0.07) — own release</t>
      </text>
    </comment>
    <comment ref="CA263" authorId="0" shapeId="0">
      <text>
        <t>Company items (2026): Impact from OpenAI (OPENAI: OI +0, NI -4,963, EPS -0.67) — own release (Q4 FY26, twelve months)</t>
      </text>
    </comment>
    <comment ref="BR267" authorId="0" shapeId="0">
      <text>
        <t>Introduced in the Q1 FY26 release; FY2025 quarters take the adjusted figures re-presented in the FY2026 releases (the FY2025 releases published none).</t>
      </text>
    </comment>
    <comment ref="B290" authorId="0" shapeId="0">
      <text>
        <t>Source: Microsoft earnings releases (Form 8-K Item 2.02, Ex. 99.1) — cash-flow statements (three-month columns for quarters; Q1 FY26 restated from the Q2 FY26 six-month column).</t>
      </text>
    </comment>
    <comment ref="BW292" authorId="0" shapeId="0">
      <text>
        <t>Q1 FY26 cash flow: the Q2 FY26 release six-month column reclassified $4,914m from "Depreciation, amortization, and other" to "Net recognized losses (gains) on investments and derivatives" (OpenAI equity-method results); CFO unchanged. Q1 is restated from the later year-to-date statement: D&amp;A and other = H1 $17,345m - Q2 $9,198m = $8,147m (originally $13,061m); gains = $(1,007)m - $4,914m. Source: Q2 FY26 release (8-K 28-Jan-2026, Ex. 99.1).</t>
      </text>
    </comment>
    <comment ref="B338" authorId="0" shapeId="0">
      <text>
        <t>Source: Microsoft earnings releases (Form 8-K Item 2.02, Ex. 99.1) — balance sheets (period ends).</t>
      </text>
    </comment>
    <comment ref="B379" authorId="0" shapeId="0">
      <text>
        <t>Source: 10-K business-combination notes — LinkedIn (FY2017 10-K), Nuance (final allocation, FY2024 10-K), Activision Blizzard (FY2024 10-K).</t>
      </text>
    </comment>
    <comment ref="B394" authorId="0" shapeId="0">
      <text>
        <t>Source: balance sheets; FY2026 10-K Note 10 (debt) and Note 14 (leases).</t>
      </text>
    </comment>
    <comment ref="B402" authorId="0" shapeId="0">
      <text>
        <t>Source: 10-K lease notes (XBRL FinanceLeaseLiability, RightOfUseAssetObtainedInExchangeForFinanceLeaseLiability, FinanceLeasePrincipalPayments).</t>
      </text>
    </comment>
  </commentList>
</comments>
</file>

<file path=xl/comments/comment2.xml><?xml version="1.0" encoding="utf-8"?>
<comments xmlns="http://schemas.openxmlformats.org/spreadsheetml/2006/main">
  <authors>
    <author>MSFT model</author>
  </authors>
  <commentList>
    <comment ref="N26" authorId="0" shapeId="0">
      <text>
        <t>P/E on adjusted diluted EPS (company definition; FY2026A $17.28). MSFT at $541 (user price, 12-Oct-2026) trades at ~31x FY2026A adjusted EPS. Exit multiples are assumptions: Base 30x, Bull 34x, Bear 24x applied to FY2030E–31E (FY2029E–31E for Bear), reflecting slower growth as the AI capex cycle matures.</t>
      </text>
    </comment>
    <comment ref="P40" authorId="0" shapeId="0">
      <text>
        <t>Snapshot (values) of Model rows 327, 326 and 329 (Share Buyback Schedule) with Model!CK2 = Bull / Bear. Base panel (D40:H42) is live-linked.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W464"/>
  <sheetViews>
    <sheetView showGridLines="0" tabSelected="1" zoomScale="70" zoomScaleNormal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CA164" sqref="CA164"/>
    </sheetView>
  </sheetViews>
  <sheetFormatPr baseColWidth="8" defaultColWidth="8.5703125" defaultRowHeight="15" outlineLevelRow="2"/>
  <cols>
    <col width="2.42578125" customWidth="1" style="251" min="1" max="1"/>
    <col width="62" customWidth="1" style="251" min="2" max="2"/>
    <col width="13" customWidth="1" style="251" min="3" max="3"/>
    <col width="13" customWidth="1" style="251" min="4" max="4"/>
    <col width="13" customWidth="1" style="251" min="5" max="5"/>
    <col width="13" customWidth="1" style="251" min="6" max="6"/>
    <col width="13" customWidth="1" style="251" min="7" max="7"/>
    <col width="13" customWidth="1" style="251" min="8" max="8"/>
    <col width="13" customWidth="1" style="251" min="9" max="9"/>
    <col hidden="1" outlineLevel="1" width="9.5703125" customWidth="1" style="251" min="10" max="10"/>
    <col hidden="1" outlineLevel="1" width="9.5703125" customWidth="1" style="251" min="11" max="11"/>
    <col hidden="1" outlineLevel="1" width="9.5703125" customWidth="1" style="251" min="12" max="12"/>
    <col hidden="1" outlineLevel="1" width="9.5703125" customWidth="1" style="251" min="13" max="13"/>
    <col width="13" customWidth="1" style="251" min="14" max="14"/>
    <col hidden="1" outlineLevel="1" width="9.5703125" customWidth="1" style="251" min="15" max="15"/>
    <col hidden="1" outlineLevel="1" width="9.5703125" customWidth="1" style="251" min="16" max="16"/>
    <col hidden="1" outlineLevel="1" width="9.5703125" customWidth="1" style="251" min="17" max="17"/>
    <col hidden="1" outlineLevel="1" width="9.5703125" customWidth="1" style="251" min="18" max="18"/>
    <col width="13" customWidth="1" style="251" min="19" max="19"/>
    <col hidden="1" outlineLevel="1" width="9.5703125" customWidth="1" style="251" min="20" max="20"/>
    <col hidden="1" outlineLevel="1" width="9.5703125" customWidth="1" style="251" min="21" max="21"/>
    <col hidden="1" outlineLevel="1" width="9.5703125" customWidth="1" style="251" min="22" max="22"/>
    <col hidden="1" outlineLevel="1" width="9.5703125" customWidth="1" style="251" min="23" max="23"/>
    <col width="13" customWidth="1" style="251" min="24" max="24"/>
    <col hidden="1" outlineLevel="1" width="9.5703125" customWidth="1" style="251" min="25" max="25"/>
    <col hidden="1" outlineLevel="1" width="9.5703125" customWidth="1" style="251" min="26" max="26"/>
    <col hidden="1" outlineLevel="1" width="9.5703125" customWidth="1" style="251" min="27" max="27"/>
    <col hidden="1" outlineLevel="1" width="9.5703125" customWidth="1" style="251" min="28" max="28"/>
    <col width="13" customWidth="1" style="251" min="29" max="29"/>
    <col hidden="1" outlineLevel="1" width="9.5703125" customWidth="1" style="251" min="30" max="30"/>
    <col hidden="1" outlineLevel="1" width="9.5703125" customWidth="1" style="251" min="31" max="31"/>
    <col hidden="1" outlineLevel="1" width="9.5703125" customWidth="1" style="251" min="32" max="32"/>
    <col hidden="1" outlineLevel="1" width="9.5703125" customWidth="1" style="251" min="33" max="33"/>
    <col width="13" customWidth="1" style="251" min="34" max="34"/>
    <col hidden="1" outlineLevel="1" width="9.5703125" customWidth="1" style="251" min="35" max="35"/>
    <col hidden="1" outlineLevel="1" width="9.5703125" customWidth="1" style="251" min="36" max="36"/>
    <col hidden="1" outlineLevel="1" width="9.5703125" customWidth="1" style="251" min="37" max="37"/>
    <col hidden="1" outlineLevel="1" width="9.5703125" customWidth="1" style="251" min="38" max="38"/>
    <col width="13" customWidth="1" style="251" min="39" max="39"/>
    <col hidden="1" outlineLevel="1" width="9.5703125" customWidth="1" style="251" min="40" max="40"/>
    <col hidden="1" outlineLevel="1" width="9.5703125" customWidth="1" style="251" min="41" max="41"/>
    <col hidden="1" outlineLevel="1" width="9.5703125" customWidth="1" style="251" min="42" max="42"/>
    <col hidden="1" outlineLevel="1" width="9.5703125" customWidth="1" style="251" min="43" max="43"/>
    <col width="13" customWidth="1" style="251" min="44" max="44"/>
    <col hidden="1" outlineLevel="1" width="9.5703125" customWidth="1" style="251" min="45" max="45"/>
    <col hidden="1" outlineLevel="1" width="9.5703125" customWidth="1" style="251" min="46" max="46"/>
    <col hidden="1" outlineLevel="1" width="9.5703125" customWidth="1" style="251" min="47" max="47"/>
    <col hidden="1" outlineLevel="1" width="9.5703125" customWidth="1" style="251" min="48" max="48"/>
    <col width="13" customWidth="1" style="251" min="49" max="49"/>
    <col hidden="1" outlineLevel="1" width="9.5703125" customWidth="1" style="251" min="50" max="50"/>
    <col hidden="1" outlineLevel="1" width="9.5703125" customWidth="1" style="251" min="51" max="51"/>
    <col hidden="1" outlineLevel="1" width="9.5703125" customWidth="1" style="251" min="52" max="52"/>
    <col hidden="1" outlineLevel="1" width="9.5703125" customWidth="1" style="251" min="53" max="53"/>
    <col width="13" customWidth="1" style="251" min="54" max="54"/>
    <col hidden="1" outlineLevel="1" width="9.5703125" customWidth="1" style="251" min="55" max="55"/>
    <col hidden="1" outlineLevel="1" width="9.5703125" customWidth="1" style="251" min="56" max="56"/>
    <col hidden="1" outlineLevel="1" width="9.5703125" customWidth="1" style="251" min="57" max="57"/>
    <col hidden="1" outlineLevel="1" width="9.5703125" customWidth="1" style="251" min="58" max="58"/>
    <col width="13" customWidth="1" style="251" min="59" max="59"/>
    <col hidden="1" outlineLevel="1" width="9.5703125" customWidth="1" style="251" min="60" max="60"/>
    <col hidden="1" outlineLevel="1" width="9.5703125" customWidth="1" style="251" min="61" max="61"/>
    <col hidden="1" outlineLevel="1" width="9.5703125" customWidth="1" style="251" min="62" max="62"/>
    <col hidden="1" outlineLevel="1" width="9.5703125" customWidth="1" style="251" min="63" max="63"/>
    <col width="13" customWidth="1" style="251" min="64" max="64"/>
    <col hidden="1" outlineLevel="1" width="9.5703125" customWidth="1" style="251" min="65" max="65"/>
    <col hidden="1" outlineLevel="1" width="9.5703125" customWidth="1" style="251" min="66" max="66"/>
    <col hidden="1" outlineLevel="1" width="9.5703125" customWidth="1" style="251" min="67" max="67"/>
    <col hidden="1" outlineLevel="1" width="9.5703125" customWidth="1" style="251" min="68" max="68"/>
    <col width="13" customWidth="1" style="251" min="69" max="69"/>
    <col hidden="1" outlineLevel="1" width="9.5703125" customWidth="1" style="251" min="70" max="70"/>
    <col hidden="1" outlineLevel="1" width="9.5703125" customWidth="1" style="251" min="71" max="71"/>
    <col hidden="1" outlineLevel="1" width="9.5703125" customWidth="1" style="251" min="72" max="72"/>
    <col hidden="1" outlineLevel="1" width="9.5703125" customWidth="1" style="251" min="73" max="73"/>
    <col width="13" customWidth="1" style="251" min="74" max="74"/>
    <col hidden="1" outlineLevel="1" width="9.5703125" customWidth="1" style="251" min="75" max="75"/>
    <col hidden="1" outlineLevel="1" width="9.5703125" customWidth="1" style="251" min="76" max="76"/>
    <col hidden="1" outlineLevel="1" width="9.5703125" customWidth="1" style="251" min="77" max="77"/>
    <col hidden="1" outlineLevel="1" width="9.5703125" customWidth="1" style="251" min="78" max="78"/>
    <col width="13" customWidth="1" style="251" min="79" max="79"/>
    <col hidden="1" outlineLevel="1" width="11.42578125" customWidth="1" style="251" min="80" max="80"/>
    <col hidden="1" outlineLevel="1" width="11.42578125" customWidth="1" style="251" min="81" max="81"/>
    <col hidden="1" outlineLevel="1" width="11.42578125" customWidth="1" style="251" min="82" max="82"/>
    <col hidden="1" outlineLevel="1" width="11.42578125" customWidth="1" style="251" min="83" max="83"/>
    <col width="14.140625" customWidth="1" style="251" min="84" max="84"/>
    <col width="13" customWidth="1" style="251" min="85" max="85"/>
    <col width="13" customWidth="1" style="251" min="86" max="86"/>
    <col width="13" customWidth="1" style="251" min="87" max="87"/>
    <col width="13" customWidth="1" style="251" min="88" max="88"/>
    <col width="86.85546875" customWidth="1" style="251" min="89" max="89"/>
    <col width="2" customWidth="1" style="251" min="90" max="90"/>
    <col width="14.140625" customWidth="1" style="251" min="91" max="91"/>
    <col width="12.42578125" customWidth="1" style="251" min="92" max="92"/>
    <col width="13.42578125" customWidth="1" style="251" min="93" max="93"/>
    <col width="13" customWidth="1" style="251" min="94" max="94"/>
    <col width="2" customWidth="1" style="251" min="95" max="95"/>
    <col width="6" customWidth="1" style="251" min="96" max="96"/>
    <col width="46" customWidth="1" style="251" min="97" max="97"/>
    <col width="11.5703125" customWidth="1" style="251" min="98" max="98"/>
    <col width="13" customWidth="1" style="251" min="99" max="99"/>
    <col width="13" customWidth="1" style="251" min="100" max="100"/>
    <col width="60" customWidth="1" style="251" min="101" max="101"/>
  </cols>
  <sheetData>
    <row r="1" ht="15" customHeight="1" s="251">
      <c r="CK1" s="1" t="inlineStr">
        <is>
          <t>SCENARIO SWITCH ▼ (Bull / Base / Bear) — drives all scenario-linked forecast drivers</t>
        </is>
      </c>
    </row>
    <row r="2" ht="21" customHeight="1" s="251">
      <c r="B2" s="2" t="inlineStr">
        <is>
          <t>Microsoft Corporation (NASDAQ: MSFT) — 3-Statement Financial Model</t>
        </is>
      </c>
      <c r="CK2" s="3" t="inlineStr">
        <is>
          <t>Base</t>
        </is>
      </c>
    </row>
    <row r="3" ht="15" customHeight="1" s="251">
      <c r="B3" s="4" t="inlineStr">
        <is>
          <t>US GAAP as reported · USD millions (per-share data in USD; shares in millions) · Fiscal years ended 30 June (2027 = Jul-2026 – Jun-2027) · Source: Microsoft Forms 10-K / 10-Q, Form 8-K earnings releases (Ex. 99.1) and the 8-K of 2-Sep-2026 (FY27 segments, restated history, Q1 FY27 outlook), SEC EDGAR (CIK 0000789019); XBRL company facts. FY27 full-year call commentary is UNVERIFIED (information rows only).</t>
        </is>
      </c>
    </row>
    <row r="4" ht="15" customHeight="1" s="251">
      <c r="B4" s="5" t="inlineStr">
        <is>
          <t>Basis notes: as originally reported (FY2016–17 ASC 606 / 842 restatement and later segment recasts not applied; memo comments). Segment build on the FY27 structure (Agents and Infra / Devices and Consumer), restated history Q1/25–Q4/26 only; earlier structures as memo. Acquisitions: LinkedIn Dec-16, Nuance Mar-22, Activision Blizzard Oct-23. Q1/27E calibrated to the Q1 FY27 outlook; Q2–Q4/27E carry the Q1 calibration. Share price $541 (user, 12-Oct-2026).</t>
        </is>
      </c>
    </row>
    <row r="5" ht="15" customHeight="1" s="251">
      <c r="CB5" s="153" t="n"/>
      <c r="CC5" s="153" t="n"/>
      <c r="CD5" s="153" t="n"/>
      <c r="CE5" s="153" t="n"/>
      <c r="CF5" s="153" t="n"/>
      <c r="CG5" s="153" t="n"/>
      <c r="CH5" s="153" t="n"/>
      <c r="CI5" s="153" t="n"/>
      <c r="CJ5" s="153" t="n"/>
      <c r="CM5" s="6" t="inlineStr">
        <is>
          <t>Forecast</t>
        </is>
      </c>
      <c r="CN5" s="6" t="inlineStr">
        <is>
          <t>Historical</t>
        </is>
      </c>
      <c r="CO5" s="6" t="inlineStr">
        <is>
          <t>Historical</t>
        </is>
      </c>
      <c r="CP5" s="6" t="inlineStr">
        <is>
          <t>Historical</t>
        </is>
      </c>
    </row>
    <row r="6" ht="15" customHeight="1" s="251">
      <c r="B6" s="7" t="inlineStr">
        <is>
          <t>(USDm)</t>
        </is>
      </c>
      <c r="C6" s="8" t="n">
        <v>2006</v>
      </c>
      <c r="D6" s="8" t="n">
        <v>2007</v>
      </c>
      <c r="E6" s="8" t="n">
        <v>2008</v>
      </c>
      <c r="F6" s="8" t="n">
        <v>2009</v>
      </c>
      <c r="G6" s="8" t="n">
        <v>2010</v>
      </c>
      <c r="H6" s="8" t="n">
        <v>2011</v>
      </c>
      <c r="I6" s="8" t="n">
        <v>2012</v>
      </c>
      <c r="J6" s="8" t="inlineStr">
        <is>
          <t>Q1/13</t>
        </is>
      </c>
      <c r="K6" s="8" t="inlineStr">
        <is>
          <t>Q2/13</t>
        </is>
      </c>
      <c r="L6" s="8" t="inlineStr">
        <is>
          <t>Q3/13</t>
        </is>
      </c>
      <c r="M6" s="8" t="inlineStr">
        <is>
          <t>Q4/13</t>
        </is>
      </c>
      <c r="N6" s="8" t="n">
        <v>2013</v>
      </c>
      <c r="O6" s="8" t="inlineStr">
        <is>
          <t>Q1/14</t>
        </is>
      </c>
      <c r="P6" s="8" t="inlineStr">
        <is>
          <t>Q2/14</t>
        </is>
      </c>
      <c r="Q6" s="8" t="inlineStr">
        <is>
          <t>Q3/14</t>
        </is>
      </c>
      <c r="R6" s="8" t="inlineStr">
        <is>
          <t>Q4/14</t>
        </is>
      </c>
      <c r="S6" s="8" t="n">
        <v>2014</v>
      </c>
      <c r="T6" s="8" t="inlineStr">
        <is>
          <t>Q1/15</t>
        </is>
      </c>
      <c r="U6" s="8" t="inlineStr">
        <is>
          <t>Q2/15</t>
        </is>
      </c>
      <c r="V6" s="8" t="inlineStr">
        <is>
          <t>Q3/15</t>
        </is>
      </c>
      <c r="W6" s="8" t="inlineStr">
        <is>
          <t>Q4/15</t>
        </is>
      </c>
      <c r="X6" s="8" t="n">
        <v>2015</v>
      </c>
      <c r="Y6" s="8" t="inlineStr">
        <is>
          <t>Q1/16</t>
        </is>
      </c>
      <c r="Z6" s="8" t="inlineStr">
        <is>
          <t>Q2/16</t>
        </is>
      </c>
      <c r="AA6" s="8" t="inlineStr">
        <is>
          <t>Q3/16</t>
        </is>
      </c>
      <c r="AB6" s="8" t="inlineStr">
        <is>
          <t>Q4/16</t>
        </is>
      </c>
      <c r="AC6" s="8" t="n">
        <v>2016</v>
      </c>
      <c r="AD6" s="8" t="inlineStr">
        <is>
          <t>Q1/17</t>
        </is>
      </c>
      <c r="AE6" s="8" t="inlineStr">
        <is>
          <t>Q2/17</t>
        </is>
      </c>
      <c r="AF6" s="8" t="inlineStr">
        <is>
          <t>Q3/17</t>
        </is>
      </c>
      <c r="AG6" s="8" t="inlineStr">
        <is>
          <t>Q4/17</t>
        </is>
      </c>
      <c r="AH6" s="8" t="n">
        <v>2017</v>
      </c>
      <c r="AI6" s="8" t="inlineStr">
        <is>
          <t>Q1/18</t>
        </is>
      </c>
      <c r="AJ6" s="8" t="inlineStr">
        <is>
          <t>Q2/18</t>
        </is>
      </c>
      <c r="AK6" s="8" t="inlineStr">
        <is>
          <t>Q3/18</t>
        </is>
      </c>
      <c r="AL6" s="8" t="inlineStr">
        <is>
          <t>Q4/18</t>
        </is>
      </c>
      <c r="AM6" s="8" t="n">
        <v>2018</v>
      </c>
      <c r="AN6" s="8" t="inlineStr">
        <is>
          <t>Q1/19</t>
        </is>
      </c>
      <c r="AO6" s="8" t="inlineStr">
        <is>
          <t>Q2/19</t>
        </is>
      </c>
      <c r="AP6" s="8" t="inlineStr">
        <is>
          <t>Q3/19</t>
        </is>
      </c>
      <c r="AQ6" s="8" t="inlineStr">
        <is>
          <t>Q4/19</t>
        </is>
      </c>
      <c r="AR6" s="8" t="n">
        <v>2019</v>
      </c>
      <c r="AS6" s="8" t="inlineStr">
        <is>
          <t>Q1/20</t>
        </is>
      </c>
      <c r="AT6" s="8" t="inlineStr">
        <is>
          <t>Q2/20</t>
        </is>
      </c>
      <c r="AU6" s="8" t="inlineStr">
        <is>
          <t>Q3/20</t>
        </is>
      </c>
      <c r="AV6" s="8" t="inlineStr">
        <is>
          <t>Q4/20</t>
        </is>
      </c>
      <c r="AW6" s="8" t="n">
        <v>2020</v>
      </c>
      <c r="AX6" s="8" t="inlineStr">
        <is>
          <t>Q1/21</t>
        </is>
      </c>
      <c r="AY6" s="8" t="inlineStr">
        <is>
          <t>Q2/21</t>
        </is>
      </c>
      <c r="AZ6" s="8" t="inlineStr">
        <is>
          <t>Q3/21</t>
        </is>
      </c>
      <c r="BA6" s="8" t="inlineStr">
        <is>
          <t>Q4/21</t>
        </is>
      </c>
      <c r="BB6" s="8" t="n">
        <v>2021</v>
      </c>
      <c r="BC6" s="8" t="inlineStr">
        <is>
          <t>Q1/22</t>
        </is>
      </c>
      <c r="BD6" s="8" t="inlineStr">
        <is>
          <t>Q2/22</t>
        </is>
      </c>
      <c r="BE6" s="8" t="inlineStr">
        <is>
          <t>Q3/22</t>
        </is>
      </c>
      <c r="BF6" s="8" t="inlineStr">
        <is>
          <t>Q4/22</t>
        </is>
      </c>
      <c r="BG6" s="8" t="n">
        <v>2022</v>
      </c>
      <c r="BH6" s="8" t="inlineStr">
        <is>
          <t>Q1/23</t>
        </is>
      </c>
      <c r="BI6" s="8" t="inlineStr">
        <is>
          <t>Q2/23</t>
        </is>
      </c>
      <c r="BJ6" s="8" t="inlineStr">
        <is>
          <t>Q3/23</t>
        </is>
      </c>
      <c r="BK6" s="8" t="inlineStr">
        <is>
          <t>Q4/23</t>
        </is>
      </c>
      <c r="BL6" s="8" t="n">
        <v>2023</v>
      </c>
      <c r="BM6" s="8" t="inlineStr">
        <is>
          <t>Q1/24</t>
        </is>
      </c>
      <c r="BN6" s="8" t="inlineStr">
        <is>
          <t>Q2/24</t>
        </is>
      </c>
      <c r="BO6" s="8" t="inlineStr">
        <is>
          <t>Q3/24</t>
        </is>
      </c>
      <c r="BP6" s="8" t="inlineStr">
        <is>
          <t>Q4/24</t>
        </is>
      </c>
      <c r="BQ6" s="8" t="n">
        <v>2024</v>
      </c>
      <c r="BR6" s="8" t="inlineStr">
        <is>
          <t>Q1/25</t>
        </is>
      </c>
      <c r="BS6" s="8" t="inlineStr">
        <is>
          <t>Q2/25</t>
        </is>
      </c>
      <c r="BT6" s="8" t="inlineStr">
        <is>
          <t>Q3/25</t>
        </is>
      </c>
      <c r="BU6" s="8" t="inlineStr">
        <is>
          <t>Q4/25</t>
        </is>
      </c>
      <c r="BV6" s="8" t="n">
        <v>2025</v>
      </c>
      <c r="BW6" s="8" t="inlineStr">
        <is>
          <t>Q1/26</t>
        </is>
      </c>
      <c r="BX6" s="8" t="inlineStr">
        <is>
          <t>Q2/26</t>
        </is>
      </c>
      <c r="BY6" s="8" t="inlineStr">
        <is>
          <t>Q3/26</t>
        </is>
      </c>
      <c r="BZ6" s="8" t="inlineStr">
        <is>
          <t>Q4/26</t>
        </is>
      </c>
      <c r="CA6" s="8" t="n">
        <v>2026</v>
      </c>
      <c r="CB6" s="8" t="inlineStr">
        <is>
          <t>Q1/27E</t>
        </is>
      </c>
      <c r="CC6" s="8" t="inlineStr">
        <is>
          <t>Q2/27E</t>
        </is>
      </c>
      <c r="CD6" s="8" t="inlineStr">
        <is>
          <t>Q3/27E</t>
        </is>
      </c>
      <c r="CE6" s="8" t="inlineStr">
        <is>
          <t>Q4/27E</t>
        </is>
      </c>
      <c r="CF6" s="8" t="inlineStr">
        <is>
          <t>2027E</t>
        </is>
      </c>
      <c r="CG6" s="8" t="inlineStr">
        <is>
          <t>2028E</t>
        </is>
      </c>
      <c r="CH6" s="8" t="inlineStr">
        <is>
          <t>2029E</t>
        </is>
      </c>
      <c r="CI6" s="8" t="inlineStr">
        <is>
          <t>2030E</t>
        </is>
      </c>
      <c r="CJ6" s="8" t="inlineStr">
        <is>
          <t>2031E</t>
        </is>
      </c>
      <c r="CK6" s="8" t="inlineStr">
        <is>
          <t>Modelling Notes</t>
        </is>
      </c>
      <c r="CM6" s="6" t="inlineStr">
        <is>
          <t>5Y CAGR</t>
        </is>
      </c>
      <c r="CN6" s="6" t="inlineStr">
        <is>
          <t>5Y CAGR</t>
        </is>
      </c>
      <c r="CO6" s="6" t="inlineStr">
        <is>
          <t>10Y CAGR</t>
        </is>
      </c>
      <c r="CP6" s="6" t="inlineStr">
        <is>
          <t>20Y CAGR</t>
        </is>
      </c>
    </row>
    <row r="7" ht="15" customHeight="1" s="251">
      <c r="CM7" s="9" t="inlineStr">
        <is>
          <t>26-'31</t>
        </is>
      </c>
      <c r="CN7" s="9" t="inlineStr">
        <is>
          <t>21-'26</t>
        </is>
      </c>
      <c r="CO7" s="9" t="inlineStr">
        <is>
          <t>16-'26</t>
        </is>
      </c>
      <c r="CP7" s="9" t="inlineStr">
        <is>
          <t>06-'26</t>
        </is>
      </c>
    </row>
    <row r="8" ht="15" customHeight="1" s="251">
      <c r="B8" s="10" t="inlineStr">
        <is>
          <t>SEGMENT P&amp;L — AGENTS AND INFRA · DEVICES AND CONSUMER (FY27 structure: product &amp; service lines × segment operating margin)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inlineStr">
        <is>
          <t>SEGMENT BUILD — modelling logic (product &amp; service revenue → segment revenue → segment operating income at the segment margin → operating income → GAAP P&amp;L)</t>
        </is>
      </c>
    </row>
    <row r="9" ht="15" customHeight="1" s="251">
      <c r="CS9" s="11" t="inlineStr">
        <is>
          <t>SCENARIO INPUT TABLE — driver assumptions per Bull / Base / Bear</t>
        </is>
      </c>
      <c r="CT9" s="12" t="inlineStr">
        <is>
          <t>Bull</t>
        </is>
      </c>
      <c r="CU9" s="12" t="inlineStr">
        <is>
          <t>Base</t>
        </is>
      </c>
      <c r="CV9" s="12" t="inlineStr">
        <is>
          <t>Bear</t>
        </is>
      </c>
      <c r="CW9" s="13" t="inlineStr">
        <is>
          <t>Bull / Bear = Base + Δ (Δ inputs on each block header). Outlook block = high / mid / low end of the Q1 FY27 guidance ranges (costs: low / mid / high).</t>
        </is>
      </c>
    </row>
    <row r="10" ht="15" customHeight="1" s="251">
      <c r="B10" s="14" t="inlineStr">
        <is>
          <t>Agents and Infra (Azure, Microsoft 365 cloud, productivity &amp; server licensing, industry solutions — Dynamics 365, LinkedIn Talent / Sales, healthcare — and frontier &amp; support services)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4" t="n"/>
      <c r="CE10" s="14" t="n"/>
      <c r="CF10" s="14" t="n"/>
      <c r="CG10" s="14" t="n"/>
      <c r="CH10" s="14" t="n"/>
      <c r="CI10" s="14" t="n"/>
      <c r="CJ10" s="14" t="n"/>
      <c r="CK10" s="15" t="inlineStr">
        <is>
          <t>AGENTS AND INFRA — modelling logic (history: restated FY27 basis, 8-K 2-Sep-2026, Q1/25–Q4/26 only)</t>
        </is>
      </c>
    </row>
    <row r="11" ht="15" customHeight="1" s="251">
      <c r="B11" s="25" t="inlineStr">
        <is>
          <t xml:space="preserve">  Azure revenue</t>
        </is>
      </c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4" t="n"/>
      <c r="AJ11" s="34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4" t="n"/>
      <c r="AW11" s="34" t="n"/>
      <c r="AX11" s="34" t="n"/>
      <c r="AY11" s="34" t="n"/>
      <c r="AZ11" s="34" t="n"/>
      <c r="BA11" s="34" t="n"/>
      <c r="BB11" s="34" t="n"/>
      <c r="BC11" s="34" t="n"/>
      <c r="BD11" s="34" t="n"/>
      <c r="BE11" s="34" t="n"/>
      <c r="BF11" s="34" t="n"/>
      <c r="BG11" s="34" t="n"/>
      <c r="BH11" s="34" t="n"/>
      <c r="BI11" s="34" t="n"/>
      <c r="BJ11" s="34" t="n"/>
      <c r="BK11" s="34" t="n"/>
      <c r="BL11" s="34" t="n"/>
      <c r="BM11" s="34" t="n"/>
      <c r="BN11" s="34" t="n"/>
      <c r="BO11" s="34" t="n"/>
      <c r="BP11" s="34" t="n"/>
      <c r="BQ11" s="34" t="n"/>
      <c r="BR11" s="253" t="n">
        <v>16021</v>
      </c>
      <c r="BS11" s="253" t="n">
        <v>17337</v>
      </c>
      <c r="BT11" s="253" t="n">
        <v>18540</v>
      </c>
      <c r="BU11" s="253" t="n">
        <v>20712</v>
      </c>
      <c r="BV11" s="253" t="n">
        <v>72610</v>
      </c>
      <c r="BW11" s="253" t="n">
        <v>22384</v>
      </c>
      <c r="BX11" s="253" t="n">
        <v>24129</v>
      </c>
      <c r="BY11" s="253" t="n">
        <v>26008</v>
      </c>
      <c r="BZ11" s="253" t="n">
        <v>29417</v>
      </c>
      <c r="CA11" s="253" t="n">
        <v>101938</v>
      </c>
      <c r="CB11" s="254">
        <f>BW11*(1+CB12)</f>
        <v>31523.1267267547</v>
      </c>
      <c r="CC11" s="254">
        <f>BX11*(1+CC12)</f>
        <v>33980.5899209196</v>
      </c>
      <c r="CD11" s="254">
        <f>BY11*(1+CD12)</f>
        <v>36626.7637557825</v>
      </c>
      <c r="CE11" s="254">
        <f>BZ11*(1+CE12)</f>
        <v>41427.6187866754</v>
      </c>
      <c r="CF11" s="254">
        <f>SUM(CB11:CE11)</f>
        <v>143558.099190132</v>
      </c>
      <c r="CG11" s="254">
        <f>CF11*(1+CG12)</f>
        <v>189496.690930974</v>
      </c>
      <c r="CH11" s="254">
        <f>CG11*(1+CH12)</f>
        <v>238765.830573028</v>
      </c>
      <c r="CI11" s="254">
        <f>CH11*(1+CI12)</f>
        <v>288906.654993364</v>
      </c>
      <c r="CJ11" s="254">
        <f>CI11*(1+CJ12)</f>
        <v>338020.786342235</v>
      </c>
      <c r="CK11" s="19" t="inlineStr">
        <is>
          <t>Restated product &amp; service revenue (FY27 definitions; 8-K 2-Sep-2026, Ex. 99.1). Q1–Q4/27E: prior-year quarter × (1 + growth). 2028E+: prior year × (1 + scenario lever).</t>
        </is>
      </c>
      <c r="CM11" s="20">
        <f>IFERROR((CJ11/CA11)^(1/5)-1,"n/m")</f>
        <v>0.270929498384058</v>
      </c>
      <c r="CN11" s="20" t="str">
        <f>IFERROR((CA11/BB11)^(1/5)-1,"n/m")</f>
        <v>n/m</v>
      </c>
      <c r="CO11" s="20" t="str">
        <f>IFERROR((CA11/AC11)^(1/10)-1,"n/m")</f>
        <v>n/m</v>
      </c>
      <c r="CP11" s="20" t="str">
        <f>IFERROR((CA11/C11)^(1/20)-1,"n/m")</f>
        <v>n/m</v>
      </c>
      <c r="CS11" s="15" t="inlineStr">
        <is>
          <t>Q1 FY27 guidance — 29-Jul-2026 call, re-filed in 8-K 2-Sep-2026 (Item 7.01, Ex. 99.1; SEC-filed)</t>
        </is>
      </c>
      <c r="CT11" s="21" t="inlineStr">
        <is>
          <t>High</t>
        </is>
      </c>
      <c r="CU11" s="21" t="inlineStr">
        <is>
          <t>Mid</t>
        </is>
      </c>
      <c r="CV11" s="21" t="inlineStr">
        <is>
          <t>Low</t>
        </is>
      </c>
      <c r="CW11" s="13" t="inlineStr">
        <is>
          <t>Total revenue $89.85–90.95bn: Agents and Infra $75.15–75.75bn, Devices and Consumer $14.7–15.2bn (adjusted to the FY27 segments); COGS $29.6–29.8bn; operating expenses $16.8–16.9bn; other income ~$(100)m ex OpenAI; operating margin relatively flat y/y; ETR ~20%; capex over $50bn. Cost rows: Bull = low end, Bear = high end.</t>
        </is>
      </c>
    </row>
    <row r="12" ht="15" customHeight="1" s="251">
      <c r="B12" s="22" t="inlineStr">
        <is>
          <t xml:space="preserve">    y/y %</t>
        </is>
      </c>
      <c r="C12" s="23" t="n"/>
      <c r="D12" s="255">
        <f>IF(AND(ISNUMBER(D11),ISNUMBER(C11)),IFERROR(D11/C11-1,""),"")</f>
      </c>
      <c r="E12" s="255">
        <f>IF(AND(ISNUMBER(E11),ISNUMBER(D11)),IFERROR(E11/D11-1,""),"")</f>
      </c>
      <c r="F12" s="255">
        <f>IF(AND(ISNUMBER(F11),ISNUMBER(E11)),IFERROR(F11/E11-1,""),"")</f>
      </c>
      <c r="G12" s="255">
        <f>IF(AND(ISNUMBER(G11),ISNUMBER(F11)),IFERROR(G11/F11-1,""),"")</f>
      </c>
      <c r="H12" s="255">
        <f>IF(AND(ISNUMBER(H11),ISNUMBER(G11)),IFERROR(H11/G11-1,""),"")</f>
      </c>
      <c r="I12" s="255">
        <f>IF(AND(ISNUMBER(I11),ISNUMBER(H11)),IFERROR(I11/H11-1,""),"")</f>
      </c>
      <c r="J12" s="23" t="n"/>
      <c r="K12" s="23" t="n"/>
      <c r="L12" s="23" t="n"/>
      <c r="M12" s="23" t="n"/>
      <c r="N12" s="255">
        <f>IF(AND(ISNUMBER(N11),ISNUMBER(I11)),IFERROR(N11/I11-1,""),"")</f>
      </c>
      <c r="O12" s="255">
        <f>IF(AND(ISNUMBER(O11),ISNUMBER(J11)),IFERROR(O11/J11-1,""),"")</f>
      </c>
      <c r="P12" s="255">
        <f>IF(AND(ISNUMBER(P11),ISNUMBER(K11)),IFERROR(P11/K11-1,""),"")</f>
      </c>
      <c r="Q12" s="255">
        <f>IF(AND(ISNUMBER(Q11),ISNUMBER(L11)),IFERROR(Q11/L11-1,""),"")</f>
      </c>
      <c r="R12" s="255">
        <f>IF(AND(ISNUMBER(R11),ISNUMBER(M11)),IFERROR(R11/M11-1,""),"")</f>
      </c>
      <c r="S12" s="255">
        <f>IF(AND(ISNUMBER(S11),ISNUMBER(N11)),IFERROR(S11/N11-1,""),"")</f>
      </c>
      <c r="T12" s="255">
        <f>IF(AND(ISNUMBER(T11),ISNUMBER(O11)),IFERROR(T11/O11-1,""),"")</f>
      </c>
      <c r="U12" s="255">
        <f>IF(AND(ISNUMBER(U11),ISNUMBER(P11)),IFERROR(U11/P11-1,""),"")</f>
      </c>
      <c r="V12" s="255">
        <f>IF(AND(ISNUMBER(V11),ISNUMBER(Q11)),IFERROR(V11/Q11-1,""),"")</f>
      </c>
      <c r="W12" s="255">
        <f>IF(AND(ISNUMBER(W11),ISNUMBER(R11)),IFERROR(W11/R11-1,""),"")</f>
      </c>
      <c r="X12" s="255">
        <f>IF(AND(ISNUMBER(X11),ISNUMBER(S11)),IFERROR(X11/S11-1,""),"")</f>
      </c>
      <c r="Y12" s="255">
        <f>IF(AND(ISNUMBER(Y11),ISNUMBER(T11)),IFERROR(Y11/T11-1,""),"")</f>
      </c>
      <c r="Z12" s="255">
        <f>IF(AND(ISNUMBER(Z11),ISNUMBER(U11)),IFERROR(Z11/U11-1,""),"")</f>
      </c>
      <c r="AA12" s="255">
        <f>IF(AND(ISNUMBER(AA11),ISNUMBER(V11)),IFERROR(AA11/V11-1,""),"")</f>
      </c>
      <c r="AB12" s="255">
        <f>IF(AND(ISNUMBER(AB11),ISNUMBER(W11)),IFERROR(AB11/W11-1,""),"")</f>
      </c>
      <c r="AC12" s="255">
        <f>IF(AND(ISNUMBER(AC11),ISNUMBER(X11)),IFERROR(AC11/X11-1,""),"")</f>
      </c>
      <c r="AD12" s="255">
        <f>IF(AND(ISNUMBER(AD11),ISNUMBER(Y11)),IFERROR(AD11/Y11-1,""),"")</f>
      </c>
      <c r="AE12" s="255">
        <f>IF(AND(ISNUMBER(AE11),ISNUMBER(Z11)),IFERROR(AE11/Z11-1,""),"")</f>
      </c>
      <c r="AF12" s="255">
        <f>IF(AND(ISNUMBER(AF11),ISNUMBER(AA11)),IFERROR(AF11/AA11-1,""),"")</f>
      </c>
      <c r="AG12" s="255">
        <f>IF(AND(ISNUMBER(AG11),ISNUMBER(AB11)),IFERROR(AG11/AB11-1,""),"")</f>
      </c>
      <c r="AH12" s="255">
        <f>IF(AND(ISNUMBER(AH11),ISNUMBER(AC11)),IFERROR(AH11/AC11-1,""),"")</f>
      </c>
      <c r="AI12" s="255">
        <f>IF(AND(ISNUMBER(AI11),ISNUMBER(AD11)),IFERROR(AI11/AD11-1,""),"")</f>
      </c>
      <c r="AJ12" s="255">
        <f>IF(AND(ISNUMBER(AJ11),ISNUMBER(AE11)),IFERROR(AJ11/AE11-1,""),"")</f>
      </c>
      <c r="AK12" s="255">
        <f>IF(AND(ISNUMBER(AK11),ISNUMBER(AF11)),IFERROR(AK11/AF11-1,""),"")</f>
      </c>
      <c r="AL12" s="255">
        <f>IF(AND(ISNUMBER(AL11),ISNUMBER(AG11)),IFERROR(AL11/AG11-1,""),"")</f>
      </c>
      <c r="AM12" s="255">
        <f>IF(AND(ISNUMBER(AM11),ISNUMBER(AH11)),IFERROR(AM11/AH11-1,""),"")</f>
      </c>
      <c r="AN12" s="255">
        <f>IF(AND(ISNUMBER(AN11),ISNUMBER(AI11)),IFERROR(AN11/AI11-1,""),"")</f>
      </c>
      <c r="AO12" s="255">
        <f>IF(AND(ISNUMBER(AO11),ISNUMBER(AJ11)),IFERROR(AO11/AJ11-1,""),"")</f>
      </c>
      <c r="AP12" s="255">
        <f>IF(AND(ISNUMBER(AP11),ISNUMBER(AK11)),IFERROR(AP11/AK11-1,""),"")</f>
      </c>
      <c r="AQ12" s="255">
        <f>IF(AND(ISNUMBER(AQ11),ISNUMBER(AL11)),IFERROR(AQ11/AL11-1,""),"")</f>
      </c>
      <c r="AR12" s="255">
        <f>IF(AND(ISNUMBER(AR11),ISNUMBER(AM11)),IFERROR(AR11/AM11-1,""),"")</f>
      </c>
      <c r="AS12" s="255">
        <f>IF(AND(ISNUMBER(AS11),ISNUMBER(AN11)),IFERROR(AS11/AN11-1,""),"")</f>
      </c>
      <c r="AT12" s="255">
        <f>IF(AND(ISNUMBER(AT11),ISNUMBER(AO11)),IFERROR(AT11/AO11-1,""),"")</f>
      </c>
      <c r="AU12" s="255">
        <f>IF(AND(ISNUMBER(AU11),ISNUMBER(AP11)),IFERROR(AU11/AP11-1,""),"")</f>
      </c>
      <c r="AV12" s="255">
        <f>IF(AND(ISNUMBER(AV11),ISNUMBER(AQ11)),IFERROR(AV11/AQ11-1,""),"")</f>
      </c>
      <c r="AW12" s="255">
        <f>IF(AND(ISNUMBER(AW11),ISNUMBER(AR11)),IFERROR(AW11/AR11-1,""),"")</f>
      </c>
      <c r="AX12" s="255">
        <f>IF(AND(ISNUMBER(AX11),ISNUMBER(AS11)),IFERROR(AX11/AS11-1,""),"")</f>
      </c>
      <c r="AY12" s="255">
        <f>IF(AND(ISNUMBER(AY11),ISNUMBER(AT11)),IFERROR(AY11/AT11-1,""),"")</f>
      </c>
      <c r="AZ12" s="255">
        <f>IF(AND(ISNUMBER(AZ11),ISNUMBER(AU11)),IFERROR(AZ11/AU11-1,""),"")</f>
      </c>
      <c r="BA12" s="255">
        <f>IF(AND(ISNUMBER(BA11),ISNUMBER(AV11)),IFERROR(BA11/AV11-1,""),"")</f>
      </c>
      <c r="BB12" s="255">
        <f>IF(AND(ISNUMBER(BB11),ISNUMBER(AW11)),IFERROR(BB11/AW11-1,""),"")</f>
      </c>
      <c r="BC12" s="255">
        <f>IF(AND(ISNUMBER(BC11),ISNUMBER(AX11)),IFERROR(BC11/AX11-1,""),"")</f>
      </c>
      <c r="BD12" s="255">
        <f>IF(AND(ISNUMBER(BD11),ISNUMBER(AY11)),IFERROR(BD11/AY11-1,""),"")</f>
      </c>
      <c r="BE12" s="255">
        <f>IF(AND(ISNUMBER(BE11),ISNUMBER(AZ11)),IFERROR(BE11/AZ11-1,""),"")</f>
      </c>
      <c r="BF12" s="255">
        <f>IF(AND(ISNUMBER(BF11),ISNUMBER(BA11)),IFERROR(BF11/BA11-1,""),"")</f>
      </c>
      <c r="BG12" s="255">
        <f>IF(AND(ISNUMBER(BG11),ISNUMBER(BB11)),IFERROR(BG11/BB11-1,""),"")</f>
      </c>
      <c r="BH12" s="255">
        <f>IF(AND(ISNUMBER(BH11),ISNUMBER(BC11)),IFERROR(BH11/BC11-1,""),"")</f>
      </c>
      <c r="BI12" s="255">
        <f>IF(AND(ISNUMBER(BI11),ISNUMBER(BD11)),IFERROR(BI11/BD11-1,""),"")</f>
      </c>
      <c r="BJ12" s="255">
        <f>IF(AND(ISNUMBER(BJ11),ISNUMBER(BE11)),IFERROR(BJ11/BE11-1,""),"")</f>
      </c>
      <c r="BK12" s="255">
        <f>IF(AND(ISNUMBER(BK11),ISNUMBER(BF11)),IFERROR(BK11/BF11-1,""),"")</f>
      </c>
      <c r="BL12" s="255">
        <f>IF(AND(ISNUMBER(BL11),ISNUMBER(BG11)),IFERROR(BL11/BG11-1,""),"")</f>
      </c>
      <c r="BM12" s="255">
        <f>IF(AND(ISNUMBER(BM11),ISNUMBER(BH11)),IFERROR(BM11/BH11-1,""),"")</f>
      </c>
      <c r="BN12" s="255">
        <f>IF(AND(ISNUMBER(BN11),ISNUMBER(BI11)),IFERROR(BN11/BI11-1,""),"")</f>
      </c>
      <c r="BO12" s="255">
        <f>IF(AND(ISNUMBER(BO11),ISNUMBER(BJ11)),IFERROR(BO11/BJ11-1,""),"")</f>
      </c>
      <c r="BP12" s="255">
        <f>IF(AND(ISNUMBER(BP11),ISNUMBER(BK11)),IFERROR(BP11/BK11-1,""),"")</f>
      </c>
      <c r="BQ12" s="255">
        <f>IF(AND(ISNUMBER(BQ11),ISNUMBER(BL11)),IFERROR(BQ11/BL11-1,""),"")</f>
      </c>
      <c r="BR12" s="255">
        <f>IF(AND(ISNUMBER(BR11),ISNUMBER(BM11)),IFERROR(BR11/BM11-1,""),"")</f>
      </c>
      <c r="BS12" s="255">
        <f>IF(AND(ISNUMBER(BS11),ISNUMBER(BN11)),IFERROR(BS11/BN11-1,""),"")</f>
      </c>
      <c r="BT12" s="255">
        <f>IF(AND(ISNUMBER(BT11),ISNUMBER(BO11)),IFERROR(BT11/BO11-1,""),"")</f>
      </c>
      <c r="BU12" s="255">
        <f>IF(AND(ISNUMBER(BU11),ISNUMBER(BP11)),IFERROR(BU11/BP11-1,""),"")</f>
      </c>
      <c r="BV12" s="255">
        <f>IF(AND(ISNUMBER(BV11),ISNUMBER(BQ11)),IFERROR(BV11/BQ11-1,""),"")</f>
      </c>
      <c r="BW12" s="255">
        <f>IF(AND(ISNUMBER(BW11),ISNUMBER(BR11)),IFERROR(BW11/BR11-1,""),"")</f>
        <v>0.39716621933712</v>
      </c>
      <c r="BX12" s="255">
        <f>IF(AND(ISNUMBER(BX11),ISNUMBER(BS11)),IFERROR(BX11/BS11-1,""),"")</f>
        <v>0.391763280844437</v>
      </c>
      <c r="BY12" s="255">
        <f>IF(AND(ISNUMBER(BY11),ISNUMBER(BT11)),IFERROR(BY11/BT11-1,""),"")</f>
        <v>0.402804746494067</v>
      </c>
      <c r="BZ12" s="255">
        <f>IF(AND(ISNUMBER(BZ11),ISNUMBER(BU11)),IFERROR(BZ11/BU11-1,""),"")</f>
        <v>0.420287755890305</v>
      </c>
      <c r="CA12" s="255">
        <f>IF(AND(ISNUMBER(CA11),ISNUMBER(BV11)),IFERROR(CA11/BV11-1,""),"")</f>
        <v>0.403911306982509</v>
      </c>
      <c r="CB12" s="256">
        <f>CB13+$CB$139</f>
        <v>0.408288363418276</v>
      </c>
      <c r="CC12" s="256">
        <f>CC13+$CB$139</f>
        <v>0.408288363418276</v>
      </c>
      <c r="CD12" s="256">
        <f>CD13+$CB$139</f>
        <v>0.408288363418276</v>
      </c>
      <c r="CE12" s="256">
        <f>CE13+$CB$139</f>
        <v>0.408288363418276</v>
      </c>
      <c r="CF12" s="256">
        <f>IF(AND(ISNUMBER(CF11),ISNUMBER(CA11)),IFERROR(CF11/CA11-1,""),"")</f>
        <v>0.408288363418275</v>
      </c>
      <c r="CG12" s="256">
        <f>CHOOSE(MATCH($CK$2,{"Bull","Base","Bear"},0),$CT$27,$CU$27,$CV$27)</f>
        <v>0.32</v>
      </c>
      <c r="CH12" s="256">
        <f>CHOOSE(MATCH($CK$2,{"Bull","Base","Bear"},0),$CT$28,$CU$28,$CV$28)</f>
        <v>0.26</v>
      </c>
      <c r="CI12" s="256">
        <f>CHOOSE(MATCH($CK$2,{"Bull","Base","Bear"},0),$CT$29,$CU$29,$CV$29)</f>
        <v>0.21</v>
      </c>
      <c r="CJ12" s="256">
        <f>CHOOSE(MATCH($CK$2,{"Bull","Base","Bear"},0),$CT$30,$CU$30,$CV$30)</f>
        <v>0.17</v>
      </c>
      <c r="CK12" s="153" t="inlineStr">
        <is>
          <t>Q1–Q4/27E: Q4/26 y/y growth of the line + the segment calibration Δ solved in Q1/27E to the segment revenue guidance (carried to Q2–Q4). 2028E–2031E: scenario lever (Bull/Base/Bear table →).</t>
        </is>
      </c>
      <c r="CS12" s="25" t="inlineStr">
        <is>
          <t xml:space="preserve">  Q1 FY27 Agents and Infra revenue ($m)</t>
        </is>
      </c>
      <c r="CT12" s="257" t="n">
        <v>75750</v>
      </c>
      <c r="CU12" s="257" t="n">
        <v>75450</v>
      </c>
      <c r="CV12" s="257" t="n">
        <v>75150</v>
      </c>
      <c r="CW12" s="13" t="inlineStr">
        <is>
          <t>Guided $75.15–75.75bn (8-K 2-Sep-2026). Drives the Agents and Infra growth calibration.</t>
        </is>
      </c>
    </row>
    <row r="13" ht="15" customHeight="1" s="251">
      <c r="B13" s="25" t="inlineStr">
        <is>
          <t xml:space="preserve">    Growth before calibration (Q4/26 y/y, latest actual quarter)</t>
        </is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  <c r="AP13" s="36" t="n"/>
      <c r="AQ13" s="36" t="n"/>
      <c r="AR13" s="36" t="n"/>
      <c r="AS13" s="36" t="n"/>
      <c r="AT13" s="36" t="n"/>
      <c r="AU13" s="36" t="n"/>
      <c r="AV13" s="36" t="n"/>
      <c r="AW13" s="36" t="n"/>
      <c r="AX13" s="36" t="n"/>
      <c r="AY13" s="36" t="n"/>
      <c r="AZ13" s="36" t="n"/>
      <c r="BA13" s="36" t="n"/>
      <c r="BB13" s="36" t="n"/>
      <c r="BC13" s="36" t="n"/>
      <c r="BD13" s="36" t="n"/>
      <c r="BE13" s="36" t="n"/>
      <c r="BF13" s="36" t="n"/>
      <c r="BG13" s="36" t="n"/>
      <c r="BH13" s="36" t="n"/>
      <c r="BI13" s="36" t="n"/>
      <c r="BJ13" s="36" t="n"/>
      <c r="BK13" s="36" t="n"/>
      <c r="BL13" s="36" t="n"/>
      <c r="BM13" s="36" t="n"/>
      <c r="BN13" s="36" t="n"/>
      <c r="BO13" s="36" t="n"/>
      <c r="BP13" s="36" t="n"/>
      <c r="BQ13" s="36" t="n"/>
      <c r="BR13" s="36" t="n"/>
      <c r="BS13" s="36" t="n"/>
      <c r="BT13" s="36" t="n"/>
      <c r="BU13" s="36" t="n"/>
      <c r="BV13" s="36" t="n"/>
      <c r="BW13" s="36" t="n"/>
      <c r="BX13" s="36" t="n"/>
      <c r="BY13" s="36" t="n"/>
      <c r="BZ13" s="36" t="n"/>
      <c r="CA13" s="36" t="n"/>
      <c r="CB13" s="256">
        <f>IFERROR(BZ11/BU11-1,0)</f>
        <v>0.420287755890305</v>
      </c>
      <c r="CC13" s="256">
        <f>IFERROR(BZ11/BU11-1,0)</f>
        <v>0.420287755890305</v>
      </c>
      <c r="CD13" s="256">
        <f>IFERROR(BZ11/BU11-1,0)</f>
        <v>0.420287755890305</v>
      </c>
      <c r="CE13" s="256">
        <f>IFERROR(BZ11/BU11-1,0)</f>
        <v>0.420287755890305</v>
      </c>
      <c r="CF13" s="24" t="n"/>
      <c r="CG13" s="46" t="n"/>
      <c r="CH13" s="46" t="n"/>
      <c r="CI13" s="46" t="n"/>
      <c r="CJ13" s="46" t="n"/>
      <c r="CK13" s="19" t="n"/>
      <c r="CS13" s="25" t="inlineStr">
        <is>
          <t xml:space="preserve">  Q1 FY27 Devices and Consumer revenue ($m)</t>
        </is>
      </c>
      <c r="CT13" s="257" t="n">
        <v>15200</v>
      </c>
      <c r="CU13" s="257" t="n">
        <v>14950</v>
      </c>
      <c r="CV13" s="257" t="n">
        <v>14700</v>
      </c>
      <c r="CW13" s="13" t="inlineStr">
        <is>
          <t>Guided $14.7–15.2bn. Drives the Devices and Consumer growth calibration.</t>
        </is>
      </c>
    </row>
    <row r="14" ht="15" customHeight="1" s="251">
      <c r="B14" s="25" t="inlineStr">
        <is>
          <t xml:space="preserve">  Microsoft 365 cloud revenue</t>
        </is>
      </c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  <c r="BB14" s="34" t="n"/>
      <c r="BC14" s="34" t="n"/>
      <c r="BD14" s="34" t="n"/>
      <c r="BE14" s="34" t="n"/>
      <c r="BF14" s="34" t="n"/>
      <c r="BG14" s="34" t="n"/>
      <c r="BH14" s="34" t="n"/>
      <c r="BI14" s="34" t="n"/>
      <c r="BJ14" s="34" t="n"/>
      <c r="BK14" s="34" t="n"/>
      <c r="BL14" s="34" t="n"/>
      <c r="BM14" s="34" t="n"/>
      <c r="BN14" s="34" t="n"/>
      <c r="BO14" s="34" t="n"/>
      <c r="BP14" s="34" t="n"/>
      <c r="BQ14" s="34" t="n"/>
      <c r="BR14" s="253" t="n">
        <v>20017</v>
      </c>
      <c r="BS14" s="253" t="n">
        <v>20686</v>
      </c>
      <c r="BT14" s="253" t="n">
        <v>20967</v>
      </c>
      <c r="BU14" s="253" t="n">
        <v>22935</v>
      </c>
      <c r="BV14" s="253" t="n">
        <v>84605</v>
      </c>
      <c r="BW14" s="253" t="n">
        <v>23694</v>
      </c>
      <c r="BX14" s="253" t="n">
        <v>24466</v>
      </c>
      <c r="BY14" s="253" t="n">
        <v>25418</v>
      </c>
      <c r="BZ14" s="253" t="n">
        <v>26721</v>
      </c>
      <c r="CA14" s="253" t="n">
        <v>100299</v>
      </c>
      <c r="CB14" s="254">
        <f>BW14*(1+CB15)</f>
        <v>27320.9784810987</v>
      </c>
      <c r="CC14" s="254">
        <f>BX14*(1+CC15)</f>
        <v>28211.1530142044</v>
      </c>
      <c r="CD14" s="254">
        <f>BY14*(1+CD15)</f>
        <v>29308.8811949255</v>
      </c>
      <c r="CE14" s="254">
        <f>BZ14*(1+CE15)</f>
        <v>30811.3389884966</v>
      </c>
      <c r="CF14" s="254">
        <f>SUM(CB14:CE14)</f>
        <v>115652.351678725</v>
      </c>
      <c r="CG14" s="254">
        <f>CF14*(1+CG15)</f>
        <v>131843.680913747</v>
      </c>
      <c r="CH14" s="254">
        <f>CG14*(1+CH15)</f>
        <v>148983.359432534</v>
      </c>
      <c r="CI14" s="254">
        <f>CH14*(1+CI15)</f>
        <v>166861.362564438</v>
      </c>
      <c r="CJ14" s="254">
        <f>CI14*(1+CJ15)</f>
        <v>185216.112446526</v>
      </c>
      <c r="CK14" s="19" t="n"/>
      <c r="CM14" s="20">
        <f>IFERROR((CJ14/CA14)^(1/5)-1,"n/m")</f>
        <v>0.130515268674796</v>
      </c>
      <c r="CN14" s="20" t="str">
        <f>IFERROR((CA14/BB14)^(1/5)-1,"n/m")</f>
        <v>n/m</v>
      </c>
      <c r="CO14" s="20" t="str">
        <f>IFERROR((CA14/AC14)^(1/10)-1,"n/m")</f>
        <v>n/m</v>
      </c>
      <c r="CP14" s="20" t="str">
        <f>IFERROR((CA14/C14)^(1/20)-1,"n/m")</f>
        <v>n/m</v>
      </c>
      <c r="CS14" s="25" t="inlineStr">
        <is>
          <t xml:space="preserve">  Q1 FY27 cost of revenue ($m; Bull = low end)</t>
        </is>
      </c>
      <c r="CT14" s="257" t="n">
        <v>29600</v>
      </c>
      <c r="CU14" s="257" t="n">
        <v>29700</v>
      </c>
      <c r="CV14" s="257" t="n">
        <v>29800</v>
      </c>
      <c r="CW14" s="13" t="inlineStr">
        <is>
          <t>Guided $29.6–29.8bn. With opex, sets the guided operating income for the margin calibration.</t>
        </is>
      </c>
    </row>
    <row r="15" ht="15" customHeight="1" s="251">
      <c r="B15" s="22" t="inlineStr">
        <is>
          <t xml:space="preserve">    y/y %</t>
        </is>
      </c>
      <c r="C15" s="23" t="n"/>
      <c r="D15" s="255">
        <f>IF(AND(ISNUMBER(D14),ISNUMBER(C14)),IFERROR(D14/C14-1,""),"")</f>
      </c>
      <c r="E15" s="255">
        <f>IF(AND(ISNUMBER(E14),ISNUMBER(D14)),IFERROR(E14/D14-1,""),"")</f>
      </c>
      <c r="F15" s="255">
        <f>IF(AND(ISNUMBER(F14),ISNUMBER(E14)),IFERROR(F14/E14-1,""),"")</f>
      </c>
      <c r="G15" s="255">
        <f>IF(AND(ISNUMBER(G14),ISNUMBER(F14)),IFERROR(G14/F14-1,""),"")</f>
      </c>
      <c r="H15" s="255">
        <f>IF(AND(ISNUMBER(H14),ISNUMBER(G14)),IFERROR(H14/G14-1,""),"")</f>
      </c>
      <c r="I15" s="255">
        <f>IF(AND(ISNUMBER(I14),ISNUMBER(H14)),IFERROR(I14/H14-1,""),"")</f>
      </c>
      <c r="J15" s="23" t="n"/>
      <c r="K15" s="23" t="n"/>
      <c r="L15" s="23" t="n"/>
      <c r="M15" s="23" t="n"/>
      <c r="N15" s="255">
        <f>IF(AND(ISNUMBER(N14),ISNUMBER(I14)),IFERROR(N14/I14-1,""),"")</f>
      </c>
      <c r="O15" s="255">
        <f>IF(AND(ISNUMBER(O14),ISNUMBER(J14)),IFERROR(O14/J14-1,""),"")</f>
      </c>
      <c r="P15" s="255">
        <f>IF(AND(ISNUMBER(P14),ISNUMBER(K14)),IFERROR(P14/K14-1,""),"")</f>
      </c>
      <c r="Q15" s="255">
        <f>IF(AND(ISNUMBER(Q14),ISNUMBER(L14)),IFERROR(Q14/L14-1,""),"")</f>
      </c>
      <c r="R15" s="255">
        <f>IF(AND(ISNUMBER(R14),ISNUMBER(M14)),IFERROR(R14/M14-1,""),"")</f>
      </c>
      <c r="S15" s="255">
        <f>IF(AND(ISNUMBER(S14),ISNUMBER(N14)),IFERROR(S14/N14-1,""),"")</f>
      </c>
      <c r="T15" s="255">
        <f>IF(AND(ISNUMBER(T14),ISNUMBER(O14)),IFERROR(T14/O14-1,""),"")</f>
      </c>
      <c r="U15" s="255">
        <f>IF(AND(ISNUMBER(U14),ISNUMBER(P14)),IFERROR(U14/P14-1,""),"")</f>
      </c>
      <c r="V15" s="255">
        <f>IF(AND(ISNUMBER(V14),ISNUMBER(Q14)),IFERROR(V14/Q14-1,""),"")</f>
      </c>
      <c r="W15" s="255">
        <f>IF(AND(ISNUMBER(W14),ISNUMBER(R14)),IFERROR(W14/R14-1,""),"")</f>
      </c>
      <c r="X15" s="255">
        <f>IF(AND(ISNUMBER(X14),ISNUMBER(S14)),IFERROR(X14/S14-1,""),"")</f>
      </c>
      <c r="Y15" s="255">
        <f>IF(AND(ISNUMBER(Y14),ISNUMBER(T14)),IFERROR(Y14/T14-1,""),"")</f>
      </c>
      <c r="Z15" s="255">
        <f>IF(AND(ISNUMBER(Z14),ISNUMBER(U14)),IFERROR(Z14/U14-1,""),"")</f>
      </c>
      <c r="AA15" s="255">
        <f>IF(AND(ISNUMBER(AA14),ISNUMBER(V14)),IFERROR(AA14/V14-1,""),"")</f>
      </c>
      <c r="AB15" s="255">
        <f>IF(AND(ISNUMBER(AB14),ISNUMBER(W14)),IFERROR(AB14/W14-1,""),"")</f>
      </c>
      <c r="AC15" s="255">
        <f>IF(AND(ISNUMBER(AC14),ISNUMBER(X14)),IFERROR(AC14/X14-1,""),"")</f>
      </c>
      <c r="AD15" s="255">
        <f>IF(AND(ISNUMBER(AD14),ISNUMBER(Y14)),IFERROR(AD14/Y14-1,""),"")</f>
      </c>
      <c r="AE15" s="255">
        <f>IF(AND(ISNUMBER(AE14),ISNUMBER(Z14)),IFERROR(AE14/Z14-1,""),"")</f>
      </c>
      <c r="AF15" s="255">
        <f>IF(AND(ISNUMBER(AF14),ISNUMBER(AA14)),IFERROR(AF14/AA14-1,""),"")</f>
      </c>
      <c r="AG15" s="255">
        <f>IF(AND(ISNUMBER(AG14),ISNUMBER(AB14)),IFERROR(AG14/AB14-1,""),"")</f>
      </c>
      <c r="AH15" s="255">
        <f>IF(AND(ISNUMBER(AH14),ISNUMBER(AC14)),IFERROR(AH14/AC14-1,""),"")</f>
      </c>
      <c r="AI15" s="255">
        <f>IF(AND(ISNUMBER(AI14),ISNUMBER(AD14)),IFERROR(AI14/AD14-1,""),"")</f>
      </c>
      <c r="AJ15" s="255">
        <f>IF(AND(ISNUMBER(AJ14),ISNUMBER(AE14)),IFERROR(AJ14/AE14-1,""),"")</f>
      </c>
      <c r="AK15" s="255">
        <f>IF(AND(ISNUMBER(AK14),ISNUMBER(AF14)),IFERROR(AK14/AF14-1,""),"")</f>
      </c>
      <c r="AL15" s="255">
        <f>IF(AND(ISNUMBER(AL14),ISNUMBER(AG14)),IFERROR(AL14/AG14-1,""),"")</f>
      </c>
      <c r="AM15" s="255">
        <f>IF(AND(ISNUMBER(AM14),ISNUMBER(AH14)),IFERROR(AM14/AH14-1,""),"")</f>
      </c>
      <c r="AN15" s="255">
        <f>IF(AND(ISNUMBER(AN14),ISNUMBER(AI14)),IFERROR(AN14/AI14-1,""),"")</f>
      </c>
      <c r="AO15" s="255">
        <f>IF(AND(ISNUMBER(AO14),ISNUMBER(AJ14)),IFERROR(AO14/AJ14-1,""),"")</f>
      </c>
      <c r="AP15" s="255">
        <f>IF(AND(ISNUMBER(AP14),ISNUMBER(AK14)),IFERROR(AP14/AK14-1,""),"")</f>
      </c>
      <c r="AQ15" s="255">
        <f>IF(AND(ISNUMBER(AQ14),ISNUMBER(AL14)),IFERROR(AQ14/AL14-1,""),"")</f>
      </c>
      <c r="AR15" s="255">
        <f>IF(AND(ISNUMBER(AR14),ISNUMBER(AM14)),IFERROR(AR14/AM14-1,""),"")</f>
      </c>
      <c r="AS15" s="255">
        <f>IF(AND(ISNUMBER(AS14),ISNUMBER(AN14)),IFERROR(AS14/AN14-1,""),"")</f>
      </c>
      <c r="AT15" s="255">
        <f>IF(AND(ISNUMBER(AT14),ISNUMBER(AO14)),IFERROR(AT14/AO14-1,""),"")</f>
      </c>
      <c r="AU15" s="255">
        <f>IF(AND(ISNUMBER(AU14),ISNUMBER(AP14)),IFERROR(AU14/AP14-1,""),"")</f>
      </c>
      <c r="AV15" s="255">
        <f>IF(AND(ISNUMBER(AV14),ISNUMBER(AQ14)),IFERROR(AV14/AQ14-1,""),"")</f>
      </c>
      <c r="AW15" s="255">
        <f>IF(AND(ISNUMBER(AW14),ISNUMBER(AR14)),IFERROR(AW14/AR14-1,""),"")</f>
      </c>
      <c r="AX15" s="255">
        <f>IF(AND(ISNUMBER(AX14),ISNUMBER(AS14)),IFERROR(AX14/AS14-1,""),"")</f>
      </c>
      <c r="AY15" s="255">
        <f>IF(AND(ISNUMBER(AY14),ISNUMBER(AT14)),IFERROR(AY14/AT14-1,""),"")</f>
      </c>
      <c r="AZ15" s="255">
        <f>IF(AND(ISNUMBER(AZ14),ISNUMBER(AU14)),IFERROR(AZ14/AU14-1,""),"")</f>
      </c>
      <c r="BA15" s="255">
        <f>IF(AND(ISNUMBER(BA14),ISNUMBER(AV14)),IFERROR(BA14/AV14-1,""),"")</f>
      </c>
      <c r="BB15" s="255">
        <f>IF(AND(ISNUMBER(BB14),ISNUMBER(AW14)),IFERROR(BB14/AW14-1,""),"")</f>
      </c>
      <c r="BC15" s="255">
        <f>IF(AND(ISNUMBER(BC14),ISNUMBER(AX14)),IFERROR(BC14/AX14-1,""),"")</f>
      </c>
      <c r="BD15" s="255">
        <f>IF(AND(ISNUMBER(BD14),ISNUMBER(AY14)),IFERROR(BD14/AY14-1,""),"")</f>
      </c>
      <c r="BE15" s="255">
        <f>IF(AND(ISNUMBER(BE14),ISNUMBER(AZ14)),IFERROR(BE14/AZ14-1,""),"")</f>
      </c>
      <c r="BF15" s="255">
        <f>IF(AND(ISNUMBER(BF14),ISNUMBER(BA14)),IFERROR(BF14/BA14-1,""),"")</f>
      </c>
      <c r="BG15" s="255">
        <f>IF(AND(ISNUMBER(BG14),ISNUMBER(BB14)),IFERROR(BG14/BB14-1,""),"")</f>
      </c>
      <c r="BH15" s="255">
        <f>IF(AND(ISNUMBER(BH14),ISNUMBER(BC14)),IFERROR(BH14/BC14-1,""),"")</f>
      </c>
      <c r="BI15" s="255">
        <f>IF(AND(ISNUMBER(BI14),ISNUMBER(BD14)),IFERROR(BI14/BD14-1,""),"")</f>
      </c>
      <c r="BJ15" s="255">
        <f>IF(AND(ISNUMBER(BJ14),ISNUMBER(BE14)),IFERROR(BJ14/BE14-1,""),"")</f>
      </c>
      <c r="BK15" s="255">
        <f>IF(AND(ISNUMBER(BK14),ISNUMBER(BF14)),IFERROR(BK14/BF14-1,""),"")</f>
      </c>
      <c r="BL15" s="255">
        <f>IF(AND(ISNUMBER(BL14),ISNUMBER(BG14)),IFERROR(BL14/BG14-1,""),"")</f>
      </c>
      <c r="BM15" s="255">
        <f>IF(AND(ISNUMBER(BM14),ISNUMBER(BH14)),IFERROR(BM14/BH14-1,""),"")</f>
      </c>
      <c r="BN15" s="255">
        <f>IF(AND(ISNUMBER(BN14),ISNUMBER(BI14)),IFERROR(BN14/BI14-1,""),"")</f>
      </c>
      <c r="BO15" s="255">
        <f>IF(AND(ISNUMBER(BO14),ISNUMBER(BJ14)),IFERROR(BO14/BJ14-1,""),"")</f>
      </c>
      <c r="BP15" s="255">
        <f>IF(AND(ISNUMBER(BP14),ISNUMBER(BK14)),IFERROR(BP14/BK14-1,""),"")</f>
      </c>
      <c r="BQ15" s="255">
        <f>IF(AND(ISNUMBER(BQ14),ISNUMBER(BL14)),IFERROR(BQ14/BL14-1,""),"")</f>
      </c>
      <c r="BR15" s="255">
        <f>IF(AND(ISNUMBER(BR14),ISNUMBER(BM14)),IFERROR(BR14/BM14-1,""),"")</f>
      </c>
      <c r="BS15" s="255">
        <f>IF(AND(ISNUMBER(BS14),ISNUMBER(BN14)),IFERROR(BS14/BN14-1,""),"")</f>
      </c>
      <c r="BT15" s="255">
        <f>IF(AND(ISNUMBER(BT14),ISNUMBER(BO14)),IFERROR(BT14/BO14-1,""),"")</f>
      </c>
      <c r="BU15" s="255">
        <f>IF(AND(ISNUMBER(BU14),ISNUMBER(BP14)),IFERROR(BU14/BP14-1,""),"")</f>
      </c>
      <c r="BV15" s="255">
        <f>IF(AND(ISNUMBER(BV14),ISNUMBER(BQ14)),IFERROR(BV14/BQ14-1,""),"")</f>
      </c>
      <c r="BW15" s="255">
        <f>IF(AND(ISNUMBER(BW14),ISNUMBER(BR14)),IFERROR(BW14/BR14-1,""),"")</f>
        <v>0.183693860218814</v>
      </c>
      <c r="BX15" s="255">
        <f>IF(AND(ISNUMBER(BX14),ISNUMBER(BS14)),IFERROR(BX14/BS14-1,""),"")</f>
        <v>0.182732282703278</v>
      </c>
      <c r="BY15" s="255">
        <f>IF(AND(ISNUMBER(BY14),ISNUMBER(BT14)),IFERROR(BY14/BT14-1,""),"")</f>
        <v>0.212285973195975</v>
      </c>
      <c r="BZ15" s="255">
        <f>IF(AND(ISNUMBER(BZ14),ISNUMBER(BU14)),IFERROR(BZ14/BU14-1,""),"")</f>
        <v>0.165075212557227</v>
      </c>
      <c r="CA15" s="255">
        <f>IF(AND(ISNUMBER(CA14),ISNUMBER(BV14)),IFERROR(CA14/BV14-1,""),"")</f>
        <v>0.185497311033627</v>
      </c>
      <c r="CB15" s="256">
        <f>CB16+$CB$139</f>
        <v>0.153075820085198</v>
      </c>
      <c r="CC15" s="256">
        <f>CC16+$CB$139</f>
        <v>0.153075820085198</v>
      </c>
      <c r="CD15" s="256">
        <f>CD16+$CB$139</f>
        <v>0.153075820085198</v>
      </c>
      <c r="CE15" s="256">
        <f>CE16+$CB$139</f>
        <v>0.153075820085198</v>
      </c>
      <c r="CF15" s="256">
        <f>IF(AND(ISNUMBER(CF14),ISNUMBER(CA14)),IFERROR(CF14/CA14-1,""),"")</f>
        <v>0.153075820085197</v>
      </c>
      <c r="CG15" s="256">
        <f>CHOOSE(MATCH($CK$2,{"Bull","Base","Bear"},0),$CT$32,$CU$32,$CV$32)</f>
        <v>0.14</v>
      </c>
      <c r="CH15" s="256">
        <f>CHOOSE(MATCH($CK$2,{"Bull","Base","Bear"},0),$CT$33,$CU$33,$CV$33)</f>
        <v>0.13</v>
      </c>
      <c r="CI15" s="256">
        <f>CHOOSE(MATCH($CK$2,{"Bull","Base","Bear"},0),$CT$34,$CU$34,$CV$34)</f>
        <v>0.12</v>
      </c>
      <c r="CJ15" s="256">
        <f>CHOOSE(MATCH($CK$2,{"Bull","Base","Bear"},0),$CT$35,$CU$35,$CV$35)</f>
        <v>0.11</v>
      </c>
      <c r="CK15" s="153" t="n"/>
      <c r="CS15" s="25" t="inlineStr">
        <is>
          <t xml:space="preserve">  Q1 FY27 operating expenses ($m; Bull = low end)</t>
        </is>
      </c>
      <c r="CT15" s="257" t="n">
        <v>16800</v>
      </c>
      <c r="CU15" s="257" t="n">
        <v>16850</v>
      </c>
      <c r="CV15" s="257" t="n">
        <v>16900</v>
      </c>
      <c r="CW15" s="13" t="inlineStr">
        <is>
          <t>Guided $16.8–16.9bn. Drives Q1/27E R&amp;D, S&amp;M and G&amp;A (prior-year mix).</t>
        </is>
      </c>
    </row>
    <row r="16" ht="15" customHeight="1" s="251">
      <c r="B16" s="25" t="inlineStr">
        <is>
          <t xml:space="preserve">    Growth before calibration (Q4/26 y/y, latest actual quarter)</t>
        </is>
      </c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  <c r="BE16" s="36" t="n"/>
      <c r="BF16" s="36" t="n"/>
      <c r="BG16" s="36" t="n"/>
      <c r="BH16" s="36" t="n"/>
      <c r="BI16" s="36" t="n"/>
      <c r="BJ16" s="36" t="n"/>
      <c r="BK16" s="36" t="n"/>
      <c r="BL16" s="36" t="n"/>
      <c r="BM16" s="36" t="n"/>
      <c r="BN16" s="36" t="n"/>
      <c r="BO16" s="36" t="n"/>
      <c r="BP16" s="36" t="n"/>
      <c r="BQ16" s="36" t="n"/>
      <c r="BR16" s="36" t="n"/>
      <c r="BS16" s="36" t="n"/>
      <c r="BT16" s="36" t="n"/>
      <c r="BU16" s="36" t="n"/>
      <c r="BV16" s="36" t="n"/>
      <c r="BW16" s="36" t="n"/>
      <c r="BX16" s="36" t="n"/>
      <c r="BY16" s="36" t="n"/>
      <c r="BZ16" s="36" t="n"/>
      <c r="CA16" s="36" t="n"/>
      <c r="CB16" s="256">
        <f>IFERROR(BZ14/BU14-1,0)</f>
        <v>0.165075212557227</v>
      </c>
      <c r="CC16" s="256">
        <f>IFERROR(BZ14/BU14-1,0)</f>
        <v>0.165075212557227</v>
      </c>
      <c r="CD16" s="256">
        <f>IFERROR(BZ14/BU14-1,0)</f>
        <v>0.165075212557227</v>
      </c>
      <c r="CE16" s="256">
        <f>IFERROR(BZ14/BU14-1,0)</f>
        <v>0.165075212557227</v>
      </c>
      <c r="CF16" s="24" t="n"/>
      <c r="CG16" s="46" t="n"/>
      <c r="CH16" s="46" t="n"/>
      <c r="CI16" s="46" t="n"/>
      <c r="CJ16" s="46" t="n"/>
      <c r="CK16" s="19" t="n"/>
    </row>
    <row r="17" ht="15" customHeight="1" s="251">
      <c r="B17" s="25" t="inlineStr">
        <is>
          <t xml:space="preserve">  Productivity and server licensing revenue</t>
        </is>
      </c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  <c r="BB17" s="34" t="n"/>
      <c r="BC17" s="34" t="n"/>
      <c r="BD17" s="34" t="n"/>
      <c r="BE17" s="34" t="n"/>
      <c r="BF17" s="34" t="n"/>
      <c r="BG17" s="34" t="n"/>
      <c r="BH17" s="34" t="n"/>
      <c r="BI17" s="34" t="n"/>
      <c r="BJ17" s="34" t="n"/>
      <c r="BK17" s="34" t="n"/>
      <c r="BL17" s="34" t="n"/>
      <c r="BM17" s="34" t="n"/>
      <c r="BN17" s="34" t="n"/>
      <c r="BO17" s="34" t="n"/>
      <c r="BP17" s="34" t="n"/>
      <c r="BQ17" s="34" t="n"/>
      <c r="BR17" s="253" t="n">
        <v>8051</v>
      </c>
      <c r="BS17" s="253" t="n">
        <v>8307</v>
      </c>
      <c r="BT17" s="253" t="n">
        <v>8731</v>
      </c>
      <c r="BU17" s="253" t="n">
        <v>10302</v>
      </c>
      <c r="BV17" s="253" t="n">
        <v>35391</v>
      </c>
      <c r="BW17" s="253" t="n">
        <v>8678</v>
      </c>
      <c r="BX17" s="253" t="n">
        <v>8814</v>
      </c>
      <c r="BY17" s="253" t="n">
        <v>8760</v>
      </c>
      <c r="BZ17" s="253" t="n">
        <v>11033</v>
      </c>
      <c r="CA17" s="253" t="n">
        <v>37285</v>
      </c>
      <c r="CB17" s="254">
        <f>BW17*(1+CB18)</f>
        <v>9189.63494869538</v>
      </c>
      <c r="CC17" s="254">
        <f>BX17*(1+CC18)</f>
        <v>9333.65319633569</v>
      </c>
      <c r="CD17" s="254">
        <f>BY17*(1+CD18)</f>
        <v>9276.46948036086</v>
      </c>
      <c r="CE17" s="254">
        <f>BZ17*(1+CE18)</f>
        <v>11683.4803398198</v>
      </c>
      <c r="CF17" s="254">
        <f>SUM(CB17:CE17)</f>
        <v>39483.2379652117</v>
      </c>
      <c r="CG17" s="254">
        <f>CF17*(1+CG18)</f>
        <v>38693.5732059075</v>
      </c>
      <c r="CH17" s="254">
        <f>CG17*(1+CH18)</f>
        <v>37919.7017417894</v>
      </c>
      <c r="CI17" s="254">
        <f>CH17*(1+CI18)</f>
        <v>36782.1106895357</v>
      </c>
      <c r="CJ17" s="254">
        <f>CI17*(1+CJ18)</f>
        <v>35678.6473688496</v>
      </c>
      <c r="CK17" s="19" t="n"/>
      <c r="CM17" s="20">
        <f>IFERROR((CJ17/CA17)^(1/5)-1,"n/m")</f>
        <v>-0.00876906629290752</v>
      </c>
      <c r="CN17" s="20" t="str">
        <f>IFERROR((CA17/BB17)^(1/5)-1,"n/m")</f>
        <v>n/m</v>
      </c>
      <c r="CO17" s="20" t="str">
        <f>IFERROR((CA17/AC17)^(1/10)-1,"n/m")</f>
        <v>n/m</v>
      </c>
      <c r="CP17" s="20" t="str">
        <f>IFERROR((CA17/C17)^(1/20)-1,"n/m")</f>
        <v>n/m</v>
      </c>
      <c r="CS17" s="15" t="inlineStr">
        <is>
          <t>FY2027E point estimates (all cases)</t>
        </is>
      </c>
      <c r="CT17" s="21" t="n"/>
      <c r="CU17" s="21" t="n"/>
      <c r="CV17" s="21" t="n"/>
    </row>
    <row r="18" ht="15" customHeight="1" s="251">
      <c r="B18" s="22" t="inlineStr">
        <is>
          <t xml:space="preserve">    y/y %</t>
        </is>
      </c>
      <c r="C18" s="23" t="n"/>
      <c r="D18" s="255">
        <f>IF(AND(ISNUMBER(D17),ISNUMBER(C17)),IFERROR(D17/C17-1,""),"")</f>
      </c>
      <c r="E18" s="255">
        <f>IF(AND(ISNUMBER(E17),ISNUMBER(D17)),IFERROR(E17/D17-1,""),"")</f>
      </c>
      <c r="F18" s="255">
        <f>IF(AND(ISNUMBER(F17),ISNUMBER(E17)),IFERROR(F17/E17-1,""),"")</f>
      </c>
      <c r="G18" s="255">
        <f>IF(AND(ISNUMBER(G17),ISNUMBER(F17)),IFERROR(G17/F17-1,""),"")</f>
      </c>
      <c r="H18" s="255">
        <f>IF(AND(ISNUMBER(H17),ISNUMBER(G17)),IFERROR(H17/G17-1,""),"")</f>
      </c>
      <c r="I18" s="255">
        <f>IF(AND(ISNUMBER(I17),ISNUMBER(H17)),IFERROR(I17/H17-1,""),"")</f>
      </c>
      <c r="J18" s="23" t="n"/>
      <c r="K18" s="23" t="n"/>
      <c r="L18" s="23" t="n"/>
      <c r="M18" s="23" t="n"/>
      <c r="N18" s="255">
        <f>IF(AND(ISNUMBER(N17),ISNUMBER(I17)),IFERROR(N17/I17-1,""),"")</f>
      </c>
      <c r="O18" s="255">
        <f>IF(AND(ISNUMBER(O17),ISNUMBER(J17)),IFERROR(O17/J17-1,""),"")</f>
      </c>
      <c r="P18" s="255">
        <f>IF(AND(ISNUMBER(P17),ISNUMBER(K17)),IFERROR(P17/K17-1,""),"")</f>
      </c>
      <c r="Q18" s="255">
        <f>IF(AND(ISNUMBER(Q17),ISNUMBER(L17)),IFERROR(Q17/L17-1,""),"")</f>
      </c>
      <c r="R18" s="255">
        <f>IF(AND(ISNUMBER(R17),ISNUMBER(M17)),IFERROR(R17/M17-1,""),"")</f>
      </c>
      <c r="S18" s="255">
        <f>IF(AND(ISNUMBER(S17),ISNUMBER(N17)),IFERROR(S17/N17-1,""),"")</f>
      </c>
      <c r="T18" s="255">
        <f>IF(AND(ISNUMBER(T17),ISNUMBER(O17)),IFERROR(T17/O17-1,""),"")</f>
      </c>
      <c r="U18" s="255">
        <f>IF(AND(ISNUMBER(U17),ISNUMBER(P17)),IFERROR(U17/P17-1,""),"")</f>
      </c>
      <c r="V18" s="255">
        <f>IF(AND(ISNUMBER(V17),ISNUMBER(Q17)),IFERROR(V17/Q17-1,""),"")</f>
      </c>
      <c r="W18" s="255">
        <f>IF(AND(ISNUMBER(W17),ISNUMBER(R17)),IFERROR(W17/R17-1,""),"")</f>
      </c>
      <c r="X18" s="255">
        <f>IF(AND(ISNUMBER(X17),ISNUMBER(S17)),IFERROR(X17/S17-1,""),"")</f>
      </c>
      <c r="Y18" s="255">
        <f>IF(AND(ISNUMBER(Y17),ISNUMBER(T17)),IFERROR(Y17/T17-1,""),"")</f>
      </c>
      <c r="Z18" s="255">
        <f>IF(AND(ISNUMBER(Z17),ISNUMBER(U17)),IFERROR(Z17/U17-1,""),"")</f>
      </c>
      <c r="AA18" s="255">
        <f>IF(AND(ISNUMBER(AA17),ISNUMBER(V17)),IFERROR(AA17/V17-1,""),"")</f>
      </c>
      <c r="AB18" s="255">
        <f>IF(AND(ISNUMBER(AB17),ISNUMBER(W17)),IFERROR(AB17/W17-1,""),"")</f>
      </c>
      <c r="AC18" s="255">
        <f>IF(AND(ISNUMBER(AC17),ISNUMBER(X17)),IFERROR(AC17/X17-1,""),"")</f>
      </c>
      <c r="AD18" s="255">
        <f>IF(AND(ISNUMBER(AD17),ISNUMBER(Y17)),IFERROR(AD17/Y17-1,""),"")</f>
      </c>
      <c r="AE18" s="255">
        <f>IF(AND(ISNUMBER(AE17),ISNUMBER(Z17)),IFERROR(AE17/Z17-1,""),"")</f>
      </c>
      <c r="AF18" s="255">
        <f>IF(AND(ISNUMBER(AF17),ISNUMBER(AA17)),IFERROR(AF17/AA17-1,""),"")</f>
      </c>
      <c r="AG18" s="255">
        <f>IF(AND(ISNUMBER(AG17),ISNUMBER(AB17)),IFERROR(AG17/AB17-1,""),"")</f>
      </c>
      <c r="AH18" s="255">
        <f>IF(AND(ISNUMBER(AH17),ISNUMBER(AC17)),IFERROR(AH17/AC17-1,""),"")</f>
      </c>
      <c r="AI18" s="255">
        <f>IF(AND(ISNUMBER(AI17),ISNUMBER(AD17)),IFERROR(AI17/AD17-1,""),"")</f>
      </c>
      <c r="AJ18" s="255">
        <f>IF(AND(ISNUMBER(AJ17),ISNUMBER(AE17)),IFERROR(AJ17/AE17-1,""),"")</f>
      </c>
      <c r="AK18" s="255">
        <f>IF(AND(ISNUMBER(AK17),ISNUMBER(AF17)),IFERROR(AK17/AF17-1,""),"")</f>
      </c>
      <c r="AL18" s="255">
        <f>IF(AND(ISNUMBER(AL17),ISNUMBER(AG17)),IFERROR(AL17/AG17-1,""),"")</f>
      </c>
      <c r="AM18" s="255">
        <f>IF(AND(ISNUMBER(AM17),ISNUMBER(AH17)),IFERROR(AM17/AH17-1,""),"")</f>
      </c>
      <c r="AN18" s="255">
        <f>IF(AND(ISNUMBER(AN17),ISNUMBER(AI17)),IFERROR(AN17/AI17-1,""),"")</f>
      </c>
      <c r="AO18" s="255">
        <f>IF(AND(ISNUMBER(AO17),ISNUMBER(AJ17)),IFERROR(AO17/AJ17-1,""),"")</f>
      </c>
      <c r="AP18" s="255">
        <f>IF(AND(ISNUMBER(AP17),ISNUMBER(AK17)),IFERROR(AP17/AK17-1,""),"")</f>
      </c>
      <c r="AQ18" s="255">
        <f>IF(AND(ISNUMBER(AQ17),ISNUMBER(AL17)),IFERROR(AQ17/AL17-1,""),"")</f>
      </c>
      <c r="AR18" s="255">
        <f>IF(AND(ISNUMBER(AR17),ISNUMBER(AM17)),IFERROR(AR17/AM17-1,""),"")</f>
      </c>
      <c r="AS18" s="255">
        <f>IF(AND(ISNUMBER(AS17),ISNUMBER(AN17)),IFERROR(AS17/AN17-1,""),"")</f>
      </c>
      <c r="AT18" s="255">
        <f>IF(AND(ISNUMBER(AT17),ISNUMBER(AO17)),IFERROR(AT17/AO17-1,""),"")</f>
      </c>
      <c r="AU18" s="255">
        <f>IF(AND(ISNUMBER(AU17),ISNUMBER(AP17)),IFERROR(AU17/AP17-1,""),"")</f>
      </c>
      <c r="AV18" s="255">
        <f>IF(AND(ISNUMBER(AV17),ISNUMBER(AQ17)),IFERROR(AV17/AQ17-1,""),"")</f>
      </c>
      <c r="AW18" s="255">
        <f>IF(AND(ISNUMBER(AW17),ISNUMBER(AR17)),IFERROR(AW17/AR17-1,""),"")</f>
      </c>
      <c r="AX18" s="255">
        <f>IF(AND(ISNUMBER(AX17),ISNUMBER(AS17)),IFERROR(AX17/AS17-1,""),"")</f>
      </c>
      <c r="AY18" s="255">
        <f>IF(AND(ISNUMBER(AY17),ISNUMBER(AT17)),IFERROR(AY17/AT17-1,""),"")</f>
      </c>
      <c r="AZ18" s="255">
        <f>IF(AND(ISNUMBER(AZ17),ISNUMBER(AU17)),IFERROR(AZ17/AU17-1,""),"")</f>
      </c>
      <c r="BA18" s="255">
        <f>IF(AND(ISNUMBER(BA17),ISNUMBER(AV17)),IFERROR(BA17/AV17-1,""),"")</f>
      </c>
      <c r="BB18" s="255">
        <f>IF(AND(ISNUMBER(BB17),ISNUMBER(AW17)),IFERROR(BB17/AW17-1,""),"")</f>
      </c>
      <c r="BC18" s="255">
        <f>IF(AND(ISNUMBER(BC17),ISNUMBER(AX17)),IFERROR(BC17/AX17-1,""),"")</f>
      </c>
      <c r="BD18" s="255">
        <f>IF(AND(ISNUMBER(BD17),ISNUMBER(AY17)),IFERROR(BD17/AY17-1,""),"")</f>
      </c>
      <c r="BE18" s="255">
        <f>IF(AND(ISNUMBER(BE17),ISNUMBER(AZ17)),IFERROR(BE17/AZ17-1,""),"")</f>
      </c>
      <c r="BF18" s="255">
        <f>IF(AND(ISNUMBER(BF17),ISNUMBER(BA17)),IFERROR(BF17/BA17-1,""),"")</f>
      </c>
      <c r="BG18" s="255">
        <f>IF(AND(ISNUMBER(BG17),ISNUMBER(BB17)),IFERROR(BG17/BB17-1,""),"")</f>
      </c>
      <c r="BH18" s="255">
        <f>IF(AND(ISNUMBER(BH17),ISNUMBER(BC17)),IFERROR(BH17/BC17-1,""),"")</f>
      </c>
      <c r="BI18" s="255">
        <f>IF(AND(ISNUMBER(BI17),ISNUMBER(BD17)),IFERROR(BI17/BD17-1,""),"")</f>
      </c>
      <c r="BJ18" s="255">
        <f>IF(AND(ISNUMBER(BJ17),ISNUMBER(BE17)),IFERROR(BJ17/BE17-1,""),"")</f>
      </c>
      <c r="BK18" s="255">
        <f>IF(AND(ISNUMBER(BK17),ISNUMBER(BF17)),IFERROR(BK17/BF17-1,""),"")</f>
      </c>
      <c r="BL18" s="255">
        <f>IF(AND(ISNUMBER(BL17),ISNUMBER(BG17)),IFERROR(BL17/BG17-1,""),"")</f>
      </c>
      <c r="BM18" s="255">
        <f>IF(AND(ISNUMBER(BM17),ISNUMBER(BH17)),IFERROR(BM17/BH17-1,""),"")</f>
      </c>
      <c r="BN18" s="255">
        <f>IF(AND(ISNUMBER(BN17),ISNUMBER(BI17)),IFERROR(BN17/BI17-1,""),"")</f>
      </c>
      <c r="BO18" s="255">
        <f>IF(AND(ISNUMBER(BO17),ISNUMBER(BJ17)),IFERROR(BO17/BJ17-1,""),"")</f>
      </c>
      <c r="BP18" s="255">
        <f>IF(AND(ISNUMBER(BP17),ISNUMBER(BK17)),IFERROR(BP17/BK17-1,""),"")</f>
      </c>
      <c r="BQ18" s="255">
        <f>IF(AND(ISNUMBER(BQ17),ISNUMBER(BL17)),IFERROR(BQ17/BL17-1,""),"")</f>
      </c>
      <c r="BR18" s="255">
        <f>IF(AND(ISNUMBER(BR17),ISNUMBER(BM17)),IFERROR(BR17/BM17-1,""),"")</f>
      </c>
      <c r="BS18" s="255">
        <f>IF(AND(ISNUMBER(BS17),ISNUMBER(BN17)),IFERROR(BS17/BN17-1,""),"")</f>
      </c>
      <c r="BT18" s="255">
        <f>IF(AND(ISNUMBER(BT17),ISNUMBER(BO17)),IFERROR(BT17/BO17-1,""),"")</f>
      </c>
      <c r="BU18" s="255">
        <f>IF(AND(ISNUMBER(BU17),ISNUMBER(BP17)),IFERROR(BU17/BP17-1,""),"")</f>
      </c>
      <c r="BV18" s="255">
        <f>IF(AND(ISNUMBER(BV17),ISNUMBER(BQ17)),IFERROR(BV17/BQ17-1,""),"")</f>
      </c>
      <c r="BW18" s="255">
        <f>IF(AND(ISNUMBER(BW17),ISNUMBER(BR17)),IFERROR(BW17/BR17-1,""),"")</f>
        <v>0.077878524406906</v>
      </c>
      <c r="BX18" s="255">
        <f>IF(AND(ISNUMBER(BX17),ISNUMBER(BS17)),IFERROR(BX17/BS17-1,""),"")</f>
        <v>0.0610328638497653</v>
      </c>
      <c r="BY18" s="255">
        <f>IF(AND(ISNUMBER(BY17),ISNUMBER(BT17)),IFERROR(BY17/BT17-1,""),"")</f>
        <v>0.00332149811018212</v>
      </c>
      <c r="BZ18" s="255">
        <f>IF(AND(ISNUMBER(BZ17),ISNUMBER(BU17)),IFERROR(BZ17/BU17-1,""),"")</f>
        <v>0.0709570957095709</v>
      </c>
      <c r="CA18" s="255">
        <f>IF(AND(ISNUMBER(CA17),ISNUMBER(BV17)),IFERROR(CA17/BV17-1,""),"")</f>
        <v>0.0535164307309768</v>
      </c>
      <c r="CB18" s="256">
        <f>CB19+$CB$139</f>
        <v>0.0589577032375414</v>
      </c>
      <c r="CC18" s="256">
        <f>CC19+$CB$139</f>
        <v>0.0589577032375414</v>
      </c>
      <c r="CD18" s="256">
        <f>CD19+$CB$139</f>
        <v>0.0589577032375414</v>
      </c>
      <c r="CE18" s="256">
        <f>CE19+$CB$139</f>
        <v>0.0589577032375414</v>
      </c>
      <c r="CF18" s="256">
        <f>IF(AND(ISNUMBER(CF17),ISNUMBER(CA17)),IFERROR(CF17/CA17-1,""),"")</f>
        <v>0.0589577032375417</v>
      </c>
      <c r="CG18" s="256">
        <f>CHOOSE(MATCH($CK$2,{"Bull","Base","Bear"},0),$CT$37,$CU$37,$CV$37)</f>
        <v>-0.02</v>
      </c>
      <c r="CH18" s="256">
        <f>CHOOSE(MATCH($CK$2,{"Bull","Base","Bear"},0),$CT$38,$CU$38,$CV$38)</f>
        <v>-0.02</v>
      </c>
      <c r="CI18" s="256">
        <f>CHOOSE(MATCH($CK$2,{"Bull","Base","Bear"},0),$CT$39,$CU$39,$CV$39)</f>
        <v>-0.03</v>
      </c>
      <c r="CJ18" s="256">
        <f>CHOOSE(MATCH($CK$2,{"Bull","Base","Bear"},0),$CT$40,$CU$40,$CV$40)</f>
        <v>-0.03</v>
      </c>
      <c r="CK18" s="153" t="n"/>
      <c r="CS18" s="25" t="inlineStr">
        <is>
          <t xml:space="preserve">  Q1–Q4/27E other income (expense), net per quarter ($m)</t>
        </is>
      </c>
      <c r="CU18" s="257" t="n">
        <v>-100</v>
      </c>
      <c r="CW18" s="13" t="inlineStr">
        <is>
          <t>Guided ~$(100)m for Q1 excluding any impact from investments in OpenAI; held for Q2–Q4 (assumption).</t>
        </is>
      </c>
    </row>
    <row r="19" ht="15" customHeight="1" s="251">
      <c r="B19" s="25" t="inlineStr">
        <is>
          <t xml:space="preserve">    Growth before calibration (Q4/26 y/y, latest actual quarter)</t>
        </is>
      </c>
      <c r="C19" s="36" t="n"/>
      <c r="D19" s="36" t="n"/>
      <c r="E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  <c r="AU19" s="36" t="n"/>
      <c r="AV19" s="36" t="n"/>
      <c r="AW19" s="36" t="n"/>
      <c r="AX19" s="36" t="n"/>
      <c r="AY19" s="36" t="n"/>
      <c r="AZ19" s="36" t="n"/>
      <c r="BA19" s="36" t="n"/>
      <c r="BB19" s="36" t="n"/>
      <c r="BC19" s="36" t="n"/>
      <c r="BD19" s="36" t="n"/>
      <c r="BE19" s="36" t="n"/>
      <c r="BF19" s="36" t="n"/>
      <c r="BG19" s="36" t="n"/>
      <c r="BH19" s="36" t="n"/>
      <c r="BI19" s="36" t="n"/>
      <c r="BJ19" s="36" t="n"/>
      <c r="BK19" s="36" t="n"/>
      <c r="BL19" s="36" t="n"/>
      <c r="BM19" s="36" t="n"/>
      <c r="BN19" s="36" t="n"/>
      <c r="BO19" s="36" t="n"/>
      <c r="BP19" s="36" t="n"/>
      <c r="BQ19" s="36" t="n"/>
      <c r="BR19" s="36" t="n"/>
      <c r="BS19" s="36" t="n"/>
      <c r="BT19" s="36" t="n"/>
      <c r="BU19" s="36" t="n"/>
      <c r="BV19" s="36" t="n"/>
      <c r="BW19" s="36" t="n"/>
      <c r="BX19" s="36" t="n"/>
      <c r="BY19" s="36" t="n"/>
      <c r="BZ19" s="36" t="n"/>
      <c r="CA19" s="36" t="n"/>
      <c r="CB19" s="256">
        <f>IFERROR(BZ17/BU17-1,0)</f>
        <v>0.0709570957095709</v>
      </c>
      <c r="CC19" s="256">
        <f>IFERROR(BZ17/BU17-1,0)</f>
        <v>0.0709570957095709</v>
      </c>
      <c r="CD19" s="256">
        <f>IFERROR(BZ17/BU17-1,0)</f>
        <v>0.0709570957095709</v>
      </c>
      <c r="CE19" s="256">
        <f>IFERROR(BZ17/BU17-1,0)</f>
        <v>0.0709570957095709</v>
      </c>
      <c r="CF19" s="24" t="n"/>
      <c r="CG19" s="46" t="n"/>
      <c r="CH19" s="46" t="n"/>
      <c r="CI19" s="46" t="n"/>
      <c r="CJ19" s="46" t="n"/>
      <c r="CK19" s="19" t="n"/>
      <c r="CS19" s="25" t="inlineStr">
        <is>
          <t xml:space="preserve">  FY27E effective tax rate</t>
        </is>
      </c>
      <c r="CU19" s="258" t="n">
        <v>0.2</v>
      </c>
      <c r="CW19" s="13" t="inlineStr">
        <is>
          <t>Guided ~20% for Q1 (8-K 2-Sep-2026); held for the year (assumption). FY26 19.4%.</t>
        </is>
      </c>
    </row>
    <row r="20" ht="15" customHeight="1" s="251">
      <c r="B20" s="25" t="inlineStr">
        <is>
          <t xml:space="preserve">  Industry solutions revenue</t>
        </is>
      </c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  <c r="BB20" s="34" t="n"/>
      <c r="BC20" s="34" t="n"/>
      <c r="BD20" s="34" t="n"/>
      <c r="BE20" s="34" t="n"/>
      <c r="BF20" s="34" t="n"/>
      <c r="BG20" s="34" t="n"/>
      <c r="BH20" s="34" t="n"/>
      <c r="BI20" s="34" t="n"/>
      <c r="BJ20" s="34" t="n"/>
      <c r="BK20" s="34" t="n"/>
      <c r="BL20" s="34" t="n"/>
      <c r="BM20" s="34" t="n"/>
      <c r="BN20" s="34" t="n"/>
      <c r="BO20" s="34" t="n"/>
      <c r="BP20" s="34" t="n"/>
      <c r="BQ20" s="34" t="n"/>
      <c r="BR20" s="253" t="n">
        <v>4459</v>
      </c>
      <c r="BS20" s="253" t="n">
        <v>4544</v>
      </c>
      <c r="BT20" s="253" t="n">
        <v>4579</v>
      </c>
      <c r="BU20" s="253" t="n">
        <v>4835</v>
      </c>
      <c r="BV20" s="253" t="n">
        <v>18417</v>
      </c>
      <c r="BW20" s="253" t="n">
        <v>4894</v>
      </c>
      <c r="BX20" s="253" t="n">
        <v>4994</v>
      </c>
      <c r="BY20" s="253" t="n">
        <v>5165</v>
      </c>
      <c r="BZ20" s="253" t="n">
        <v>5292</v>
      </c>
      <c r="CA20" s="253" t="n">
        <v>20345</v>
      </c>
      <c r="CB20" s="254">
        <f>BW20*(1+CB21)</f>
        <v>5297.8516019906</v>
      </c>
      <c r="CC20" s="254">
        <f>BX20*(1+CC21)</f>
        <v>5406.1035758768</v>
      </c>
      <c r="CD20" s="254">
        <f>BY20*(1+CD21)</f>
        <v>5591.2144512222</v>
      </c>
      <c r="CE20" s="254">
        <f>BZ20*(1+CE21)</f>
        <v>5728.69445805767</v>
      </c>
      <c r="CF20" s="254">
        <f>SUM(CB20:CE20)</f>
        <v>22023.8640871473</v>
      </c>
      <c r="CG20" s="254">
        <f>CF20*(1+CG21)</f>
        <v>24006.0118549905</v>
      </c>
      <c r="CH20" s="254">
        <f>CG20*(1+CH21)</f>
        <v>26166.5529219397</v>
      </c>
      <c r="CI20" s="254">
        <f>CH20*(1+CI21)</f>
        <v>28259.8771556948</v>
      </c>
      <c r="CJ20" s="254">
        <f>CI20*(1+CJ21)</f>
        <v>30520.6673281504</v>
      </c>
      <c r="CK20" s="19" t="n"/>
      <c r="CM20" s="20">
        <f>IFERROR((CJ20/CA20)^(1/5)-1,"n/m")</f>
        <v>0.084494281137107</v>
      </c>
      <c r="CN20" s="20" t="str">
        <f>IFERROR((CA20/BB20)^(1/5)-1,"n/m")</f>
        <v>n/m</v>
      </c>
      <c r="CO20" s="20" t="str">
        <f>IFERROR((CA20/AC20)^(1/10)-1,"n/m")</f>
        <v>n/m</v>
      </c>
      <c r="CP20" s="20" t="str">
        <f>IFERROR((CA20/C20)^(1/20)-1,"n/m")</f>
        <v>n/m</v>
      </c>
      <c r="CS20" s="25" t="inlineStr">
        <is>
          <t xml:space="preserve">  FY27E quarterly dividend declared ($)</t>
        </is>
      </c>
      <c r="CU20" s="259" t="n">
        <v>1</v>
      </c>
      <c r="CW20" s="13" t="inlineStr">
        <is>
          <t>Assumption: $0.91 + ~10% (Sep-2025 raise +9.6%); the Sep-2026 declaration is not in the EDGAR filings reviewed. Update when filed.</t>
        </is>
      </c>
    </row>
    <row r="21" ht="15" customHeight="1" s="251">
      <c r="B21" s="22" t="inlineStr">
        <is>
          <t xml:space="preserve">    y/y %</t>
        </is>
      </c>
      <c r="C21" s="23" t="n"/>
      <c r="D21" s="255">
        <f>IF(AND(ISNUMBER(D20),ISNUMBER(C20)),IFERROR(D20/C20-1,""),"")</f>
      </c>
      <c r="E21" s="255">
        <f>IF(AND(ISNUMBER(E20),ISNUMBER(D20)),IFERROR(E20/D20-1,""),"")</f>
      </c>
      <c r="F21" s="255">
        <f>IF(AND(ISNUMBER(F20),ISNUMBER(E20)),IFERROR(F20/E20-1,""),"")</f>
      </c>
      <c r="G21" s="255">
        <f>IF(AND(ISNUMBER(G20),ISNUMBER(F20)),IFERROR(G20/F20-1,""),"")</f>
      </c>
      <c r="H21" s="255">
        <f>IF(AND(ISNUMBER(H20),ISNUMBER(G20)),IFERROR(H20/G20-1,""),"")</f>
      </c>
      <c r="I21" s="255">
        <f>IF(AND(ISNUMBER(I20),ISNUMBER(H20)),IFERROR(I20/H20-1,""),"")</f>
      </c>
      <c r="J21" s="23" t="n"/>
      <c r="K21" s="23" t="n"/>
      <c r="L21" s="23" t="n"/>
      <c r="M21" s="23" t="n"/>
      <c r="N21" s="255">
        <f>IF(AND(ISNUMBER(N20),ISNUMBER(I20)),IFERROR(N20/I20-1,""),"")</f>
      </c>
      <c r="O21" s="255">
        <f>IF(AND(ISNUMBER(O20),ISNUMBER(J20)),IFERROR(O20/J20-1,""),"")</f>
      </c>
      <c r="P21" s="255">
        <f>IF(AND(ISNUMBER(P20),ISNUMBER(K20)),IFERROR(P20/K20-1,""),"")</f>
      </c>
      <c r="Q21" s="255">
        <f>IF(AND(ISNUMBER(Q20),ISNUMBER(L20)),IFERROR(Q20/L20-1,""),"")</f>
      </c>
      <c r="R21" s="255">
        <f>IF(AND(ISNUMBER(R20),ISNUMBER(M20)),IFERROR(R20/M20-1,""),"")</f>
      </c>
      <c r="S21" s="255">
        <f>IF(AND(ISNUMBER(S20),ISNUMBER(N20)),IFERROR(S20/N20-1,""),"")</f>
      </c>
      <c r="T21" s="255">
        <f>IF(AND(ISNUMBER(T20),ISNUMBER(O20)),IFERROR(T20/O20-1,""),"")</f>
      </c>
      <c r="U21" s="255">
        <f>IF(AND(ISNUMBER(U20),ISNUMBER(P20)),IFERROR(U20/P20-1,""),"")</f>
      </c>
      <c r="V21" s="255">
        <f>IF(AND(ISNUMBER(V20),ISNUMBER(Q20)),IFERROR(V20/Q20-1,""),"")</f>
      </c>
      <c r="W21" s="255">
        <f>IF(AND(ISNUMBER(W20),ISNUMBER(R20)),IFERROR(W20/R20-1,""),"")</f>
      </c>
      <c r="X21" s="255">
        <f>IF(AND(ISNUMBER(X20),ISNUMBER(S20)),IFERROR(X20/S20-1,""),"")</f>
      </c>
      <c r="Y21" s="255">
        <f>IF(AND(ISNUMBER(Y20),ISNUMBER(T20)),IFERROR(Y20/T20-1,""),"")</f>
      </c>
      <c r="Z21" s="255">
        <f>IF(AND(ISNUMBER(Z20),ISNUMBER(U20)),IFERROR(Z20/U20-1,""),"")</f>
      </c>
      <c r="AA21" s="255">
        <f>IF(AND(ISNUMBER(AA20),ISNUMBER(V20)),IFERROR(AA20/V20-1,""),"")</f>
      </c>
      <c r="AB21" s="255">
        <f>IF(AND(ISNUMBER(AB20),ISNUMBER(W20)),IFERROR(AB20/W20-1,""),"")</f>
      </c>
      <c r="AC21" s="255">
        <f>IF(AND(ISNUMBER(AC20),ISNUMBER(X20)),IFERROR(AC20/X20-1,""),"")</f>
      </c>
      <c r="AD21" s="255">
        <f>IF(AND(ISNUMBER(AD20),ISNUMBER(Y20)),IFERROR(AD20/Y20-1,""),"")</f>
      </c>
      <c r="AE21" s="255">
        <f>IF(AND(ISNUMBER(AE20),ISNUMBER(Z20)),IFERROR(AE20/Z20-1,""),"")</f>
      </c>
      <c r="AF21" s="255">
        <f>IF(AND(ISNUMBER(AF20),ISNUMBER(AA20)),IFERROR(AF20/AA20-1,""),"")</f>
      </c>
      <c r="AG21" s="255">
        <f>IF(AND(ISNUMBER(AG20),ISNUMBER(AB20)),IFERROR(AG20/AB20-1,""),"")</f>
      </c>
      <c r="AH21" s="255">
        <f>IF(AND(ISNUMBER(AH20),ISNUMBER(AC20)),IFERROR(AH20/AC20-1,""),"")</f>
      </c>
      <c r="AI21" s="255">
        <f>IF(AND(ISNUMBER(AI20),ISNUMBER(AD20)),IFERROR(AI20/AD20-1,""),"")</f>
      </c>
      <c r="AJ21" s="255">
        <f>IF(AND(ISNUMBER(AJ20),ISNUMBER(AE20)),IFERROR(AJ20/AE20-1,""),"")</f>
      </c>
      <c r="AK21" s="255">
        <f>IF(AND(ISNUMBER(AK20),ISNUMBER(AF20)),IFERROR(AK20/AF20-1,""),"")</f>
      </c>
      <c r="AL21" s="255">
        <f>IF(AND(ISNUMBER(AL20),ISNUMBER(AG20)),IFERROR(AL20/AG20-1,""),"")</f>
      </c>
      <c r="AM21" s="255">
        <f>IF(AND(ISNUMBER(AM20),ISNUMBER(AH20)),IFERROR(AM20/AH20-1,""),"")</f>
      </c>
      <c r="AN21" s="255">
        <f>IF(AND(ISNUMBER(AN20),ISNUMBER(AI20)),IFERROR(AN20/AI20-1,""),"")</f>
      </c>
      <c r="AO21" s="255">
        <f>IF(AND(ISNUMBER(AO20),ISNUMBER(AJ20)),IFERROR(AO20/AJ20-1,""),"")</f>
      </c>
      <c r="AP21" s="255">
        <f>IF(AND(ISNUMBER(AP20),ISNUMBER(AK20)),IFERROR(AP20/AK20-1,""),"")</f>
      </c>
      <c r="AQ21" s="255">
        <f>IF(AND(ISNUMBER(AQ20),ISNUMBER(AL20)),IFERROR(AQ20/AL20-1,""),"")</f>
      </c>
      <c r="AR21" s="255">
        <f>IF(AND(ISNUMBER(AR20),ISNUMBER(AM20)),IFERROR(AR20/AM20-1,""),"")</f>
      </c>
      <c r="AS21" s="255">
        <f>IF(AND(ISNUMBER(AS20),ISNUMBER(AN20)),IFERROR(AS20/AN20-1,""),"")</f>
      </c>
      <c r="AT21" s="255">
        <f>IF(AND(ISNUMBER(AT20),ISNUMBER(AO20)),IFERROR(AT20/AO20-1,""),"")</f>
      </c>
      <c r="AU21" s="255">
        <f>IF(AND(ISNUMBER(AU20),ISNUMBER(AP20)),IFERROR(AU20/AP20-1,""),"")</f>
      </c>
      <c r="AV21" s="255">
        <f>IF(AND(ISNUMBER(AV20),ISNUMBER(AQ20)),IFERROR(AV20/AQ20-1,""),"")</f>
      </c>
      <c r="AW21" s="255">
        <f>IF(AND(ISNUMBER(AW20),ISNUMBER(AR20)),IFERROR(AW20/AR20-1,""),"")</f>
      </c>
      <c r="AX21" s="255">
        <f>IF(AND(ISNUMBER(AX20),ISNUMBER(AS20)),IFERROR(AX20/AS20-1,""),"")</f>
      </c>
      <c r="AY21" s="255">
        <f>IF(AND(ISNUMBER(AY20),ISNUMBER(AT20)),IFERROR(AY20/AT20-1,""),"")</f>
      </c>
      <c r="AZ21" s="255">
        <f>IF(AND(ISNUMBER(AZ20),ISNUMBER(AU20)),IFERROR(AZ20/AU20-1,""),"")</f>
      </c>
      <c r="BA21" s="255">
        <f>IF(AND(ISNUMBER(BA20),ISNUMBER(AV20)),IFERROR(BA20/AV20-1,""),"")</f>
      </c>
      <c r="BB21" s="255">
        <f>IF(AND(ISNUMBER(BB20),ISNUMBER(AW20)),IFERROR(BB20/AW20-1,""),"")</f>
      </c>
      <c r="BC21" s="255">
        <f>IF(AND(ISNUMBER(BC20),ISNUMBER(AX20)),IFERROR(BC20/AX20-1,""),"")</f>
      </c>
      <c r="BD21" s="255">
        <f>IF(AND(ISNUMBER(BD20),ISNUMBER(AY20)),IFERROR(BD20/AY20-1,""),"")</f>
      </c>
      <c r="BE21" s="255">
        <f>IF(AND(ISNUMBER(BE20),ISNUMBER(AZ20)),IFERROR(BE20/AZ20-1,""),"")</f>
      </c>
      <c r="BF21" s="255">
        <f>IF(AND(ISNUMBER(BF20),ISNUMBER(BA20)),IFERROR(BF20/BA20-1,""),"")</f>
      </c>
      <c r="BG21" s="255">
        <f>IF(AND(ISNUMBER(BG20),ISNUMBER(BB20)),IFERROR(BG20/BB20-1,""),"")</f>
      </c>
      <c r="BH21" s="255">
        <f>IF(AND(ISNUMBER(BH20),ISNUMBER(BC20)),IFERROR(BH20/BC20-1,""),"")</f>
      </c>
      <c r="BI21" s="255">
        <f>IF(AND(ISNUMBER(BI20),ISNUMBER(BD20)),IFERROR(BI20/BD20-1,""),"")</f>
      </c>
      <c r="BJ21" s="255">
        <f>IF(AND(ISNUMBER(BJ20),ISNUMBER(BE20)),IFERROR(BJ20/BE20-1,""),"")</f>
      </c>
      <c r="BK21" s="255">
        <f>IF(AND(ISNUMBER(BK20),ISNUMBER(BF20)),IFERROR(BK20/BF20-1,""),"")</f>
      </c>
      <c r="BL21" s="255">
        <f>IF(AND(ISNUMBER(BL20),ISNUMBER(BG20)),IFERROR(BL20/BG20-1,""),"")</f>
      </c>
      <c r="BM21" s="255">
        <f>IF(AND(ISNUMBER(BM20),ISNUMBER(BH20)),IFERROR(BM20/BH20-1,""),"")</f>
      </c>
      <c r="BN21" s="255">
        <f>IF(AND(ISNUMBER(BN20),ISNUMBER(BI20)),IFERROR(BN20/BI20-1,""),"")</f>
      </c>
      <c r="BO21" s="255">
        <f>IF(AND(ISNUMBER(BO20),ISNUMBER(BJ20)),IFERROR(BO20/BJ20-1,""),"")</f>
      </c>
      <c r="BP21" s="255">
        <f>IF(AND(ISNUMBER(BP20),ISNUMBER(BK20)),IFERROR(BP20/BK20-1,""),"")</f>
      </c>
      <c r="BQ21" s="255">
        <f>IF(AND(ISNUMBER(BQ20),ISNUMBER(BL20)),IFERROR(BQ20/BL20-1,""),"")</f>
      </c>
      <c r="BR21" s="255">
        <f>IF(AND(ISNUMBER(BR20),ISNUMBER(BM20)),IFERROR(BR20/BM20-1,""),"")</f>
      </c>
      <c r="BS21" s="255">
        <f>IF(AND(ISNUMBER(BS20),ISNUMBER(BN20)),IFERROR(BS20/BN20-1,""),"")</f>
      </c>
      <c r="BT21" s="255">
        <f>IF(AND(ISNUMBER(BT20),ISNUMBER(BO20)),IFERROR(BT20/BO20-1,""),"")</f>
      </c>
      <c r="BU21" s="255">
        <f>IF(AND(ISNUMBER(BU20),ISNUMBER(BP20)),IFERROR(BU20/BP20-1,""),"")</f>
      </c>
      <c r="BV21" s="255">
        <f>IF(AND(ISNUMBER(BV20),ISNUMBER(BQ20)),IFERROR(BV20/BQ20-1,""),"")</f>
      </c>
      <c r="BW21" s="255">
        <f>IF(AND(ISNUMBER(BW20),ISNUMBER(BR20)),IFERROR(BW20/BR20-1,""),"")</f>
        <v>0.0975555057187709</v>
      </c>
      <c r="BX21" s="255">
        <f>IF(AND(ISNUMBER(BX20),ISNUMBER(BS20)),IFERROR(BX20/BS20-1,""),"")</f>
        <v>0.099031690140845</v>
      </c>
      <c r="BY21" s="255">
        <f>IF(AND(ISNUMBER(BY20),ISNUMBER(BT20)),IFERROR(BY20/BT20-1,""),"")</f>
        <v>0.127975540511029</v>
      </c>
      <c r="BZ21" s="255">
        <f>IF(AND(ISNUMBER(BZ20),ISNUMBER(BU20)),IFERROR(BZ20/BU20-1,""),"")</f>
        <v>0.0945191313340228</v>
      </c>
      <c r="CA21" s="255">
        <f>IF(AND(ISNUMBER(CA20),ISNUMBER(BV20)),IFERROR(CA20/BV20-1,""),"")</f>
        <v>0.104685888038226</v>
      </c>
      <c r="CB21" s="256">
        <f>CB22+$CB$139</f>
        <v>0.0825197388619933</v>
      </c>
      <c r="CC21" s="256">
        <f>CC22+$CB$139</f>
        <v>0.0825197388619933</v>
      </c>
      <c r="CD21" s="256">
        <f>CD22+$CB$139</f>
        <v>0.0825197388619933</v>
      </c>
      <c r="CE21" s="256">
        <f>CE22+$CB$139</f>
        <v>0.0825197388619933</v>
      </c>
      <c r="CF21" s="256">
        <f>IF(AND(ISNUMBER(CF20),ISNUMBER(CA20)),IFERROR(CF20/CA20-1,""),"")</f>
        <v>0.0825197388619932</v>
      </c>
      <c r="CG21" s="256">
        <f>CHOOSE(MATCH($CK$2,{"Bull","Base","Bear"},0),$CT$42,$CU$42,$CV$42)</f>
        <v>0.09</v>
      </c>
      <c r="CH21" s="256">
        <f>CHOOSE(MATCH($CK$2,{"Bull","Base","Bear"},0),$CT$43,$CU$43,$CV$43)</f>
        <v>0.09</v>
      </c>
      <c r="CI21" s="256">
        <f>CHOOSE(MATCH($CK$2,{"Bull","Base","Bear"},0),$CT$44,$CU$44,$CV$44)</f>
        <v>0.08</v>
      </c>
      <c r="CJ21" s="256">
        <f>CHOOSE(MATCH($CK$2,{"Bull","Base","Bear"},0),$CT$45,$CU$45,$CV$45)</f>
        <v>0.08</v>
      </c>
      <c r="CK21" s="153" t="n"/>
      <c r="CS21" s="25" t="inlineStr">
        <is>
          <t xml:space="preserve">  FY27 revenue / operating-income growth "double-digit" — UNVERIFIED</t>
        </is>
      </c>
      <c r="CU21" s="258" t="n">
        <v>0.1</v>
      </c>
      <c r="CW21" s="13" t="inlineStr">
        <is>
          <t>UNVERIFIED: 29-Jul-2026 call commentary as reported by third parties (MarketBeat, Nasdaq, Motley Fool transcript); not in an SEC filing. Information row only — not used as a solve target.</t>
        </is>
      </c>
    </row>
    <row r="22" ht="15" customHeight="1" s="251">
      <c r="B22" s="25" t="inlineStr">
        <is>
          <t xml:space="preserve">    Growth before calibration (Q4/26 y/y, latest actual quarter)</t>
        </is>
      </c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  <c r="AU22" s="36" t="n"/>
      <c r="AV22" s="36" t="n"/>
      <c r="AW22" s="36" t="n"/>
      <c r="AX22" s="36" t="n"/>
      <c r="AY22" s="36" t="n"/>
      <c r="AZ22" s="36" t="n"/>
      <c r="BA22" s="36" t="n"/>
      <c r="BB22" s="36" t="n"/>
      <c r="BC22" s="36" t="n"/>
      <c r="BD22" s="36" t="n"/>
      <c r="BE22" s="36" t="n"/>
      <c r="BF22" s="36" t="n"/>
      <c r="BG22" s="36" t="n"/>
      <c r="BH22" s="36" t="n"/>
      <c r="BI22" s="36" t="n"/>
      <c r="BJ22" s="36" t="n"/>
      <c r="BK22" s="36" t="n"/>
      <c r="BL22" s="36" t="n"/>
      <c r="BM22" s="36" t="n"/>
      <c r="BN22" s="36" t="n"/>
      <c r="BO22" s="36" t="n"/>
      <c r="BP22" s="36" t="n"/>
      <c r="BQ22" s="36" t="n"/>
      <c r="BR22" s="36" t="n"/>
      <c r="BS22" s="36" t="n"/>
      <c r="BT22" s="36" t="n"/>
      <c r="BU22" s="36" t="n"/>
      <c r="BV22" s="36" t="n"/>
      <c r="BW22" s="36" t="n"/>
      <c r="BX22" s="36" t="n"/>
      <c r="BY22" s="36" t="n"/>
      <c r="BZ22" s="36" t="n"/>
      <c r="CA22" s="36" t="n"/>
      <c r="CB22" s="256">
        <f>IFERROR(BZ20/BU20-1,0)</f>
        <v>0.0945191313340228</v>
      </c>
      <c r="CC22" s="256">
        <f>IFERROR(BZ20/BU20-1,0)</f>
        <v>0.0945191313340228</v>
      </c>
      <c r="CD22" s="256">
        <f>IFERROR(BZ20/BU20-1,0)</f>
        <v>0.0945191313340228</v>
      </c>
      <c r="CE22" s="256">
        <f>IFERROR(BZ20/BU20-1,0)</f>
        <v>0.0945191313340228</v>
      </c>
      <c r="CF22" s="24" t="n"/>
      <c r="CG22" s="46" t="n"/>
      <c r="CH22" s="46" t="n"/>
      <c r="CI22" s="46" t="n"/>
      <c r="CJ22" s="46" t="n"/>
      <c r="CK22" s="19" t="n"/>
    </row>
    <row r="23" ht="15" customHeight="1" s="251">
      <c r="B23" s="25" t="inlineStr">
        <is>
          <t xml:space="preserve">  Frontier and support services revenue</t>
        </is>
      </c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  <c r="L23" s="34" t="n"/>
      <c r="M23" s="34" t="n"/>
      <c r="N23" s="34" t="n"/>
      <c r="O23" s="34" t="n"/>
      <c r="P23" s="34" t="n"/>
      <c r="Q23" s="34" t="n"/>
      <c r="R23" s="34" t="n"/>
      <c r="S23" s="34" t="n"/>
      <c r="T23" s="34" t="n"/>
      <c r="U23" s="34" t="n"/>
      <c r="V23" s="34" t="n"/>
      <c r="W23" s="34" t="n"/>
      <c r="X23" s="34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  <c r="BB23" s="34" t="n"/>
      <c r="BC23" s="34" t="n"/>
      <c r="BD23" s="34" t="n"/>
      <c r="BE23" s="34" t="n"/>
      <c r="BF23" s="34" t="n"/>
      <c r="BG23" s="34" t="n"/>
      <c r="BH23" s="34" t="n"/>
      <c r="BI23" s="34" t="n"/>
      <c r="BJ23" s="34" t="n"/>
      <c r="BK23" s="34" t="n"/>
      <c r="BL23" s="34" t="n"/>
      <c r="BM23" s="34" t="n"/>
      <c r="BN23" s="34" t="n"/>
      <c r="BO23" s="34" t="n"/>
      <c r="BP23" s="34" t="n"/>
      <c r="BQ23" s="34" t="n"/>
      <c r="BR23" s="253" t="n">
        <v>1928</v>
      </c>
      <c r="BS23" s="253" t="n">
        <v>1892</v>
      </c>
      <c r="BT23" s="253" t="n">
        <v>1946</v>
      </c>
      <c r="BU23" s="253" t="n">
        <v>1994</v>
      </c>
      <c r="BV23" s="253" t="n">
        <v>7760</v>
      </c>
      <c r="BW23" s="253" t="n">
        <v>2022</v>
      </c>
      <c r="BX23" s="253" t="n">
        <v>2038</v>
      </c>
      <c r="BY23" s="253" t="n">
        <v>2087</v>
      </c>
      <c r="BZ23" s="253" t="n">
        <v>2113</v>
      </c>
      <c r="CA23" s="253" t="n">
        <v>8260</v>
      </c>
      <c r="CB23" s="254">
        <f>BW23*(1+CB24)</f>
        <v>2118.40824146067</v>
      </c>
      <c r="CC23" s="254">
        <f>BX23*(1+CC24)</f>
        <v>2135.1711157749</v>
      </c>
      <c r="CD23" s="254">
        <f>BY23*(1+CD24)</f>
        <v>2186.50741836223</v>
      </c>
      <c r="CE23" s="254">
        <f>BZ23*(1+CE24)</f>
        <v>2213.74708912285</v>
      </c>
      <c r="CF23" s="254">
        <f>SUM(CB23:CE23)</f>
        <v>8653.83386472066</v>
      </c>
      <c r="CG23" s="254">
        <f>CF23*(1+CG24)</f>
        <v>8999.98721930948</v>
      </c>
      <c r="CH23" s="254">
        <f>CG23*(1+CH24)</f>
        <v>9359.98670808186</v>
      </c>
      <c r="CI23" s="254">
        <f>CH23*(1+CI24)</f>
        <v>9640.78630932432</v>
      </c>
      <c r="CJ23" s="254">
        <f>CI23*(1+CJ24)</f>
        <v>9930.00989860405</v>
      </c>
      <c r="CK23" s="19" t="n"/>
      <c r="CM23" s="20">
        <f>IFERROR((CJ23/CA23)^(1/5)-1,"n/m")</f>
        <v>0.0375139071059982</v>
      </c>
      <c r="CN23" s="20" t="str">
        <f>IFERROR((CA23/BB23)^(1/5)-1,"n/m")</f>
        <v>n/m</v>
      </c>
      <c r="CO23" s="20" t="str">
        <f>IFERROR((CA23/AC23)^(1/10)-1,"n/m")</f>
        <v>n/m</v>
      </c>
      <c r="CP23" s="20" t="str">
        <f>IFERROR((CA23/C23)^(1/20)-1,"n/m")</f>
        <v>n/m</v>
      </c>
      <c r="CS23" s="25" t="inlineStr">
        <is>
          <t xml:space="preserve">  Target cash &amp; short-term investments before buybacks ($m) — buyback plug FY2027E+</t>
        </is>
      </c>
      <c r="CT23" s="257" t="n">
        <v>60000</v>
      </c>
      <c r="CU23" s="257" t="n">
        <v>70000</v>
      </c>
      <c r="CV23" s="257" t="n">
        <v>80000</v>
      </c>
      <c r="CW23" s="13" t="inlineStr">
        <is>
          <t>Cash &amp; short-term investments $76.8bn at 30-Jun-2026 ($94.6bn a year earlier) against $40.3bn of debt and $66.6bn of finance leases. Surplus above the target is returned through buybacks ($40.6bn left on the $60bn program); Bull = lower target (more buybacks). Assumption.</t>
        </is>
      </c>
    </row>
    <row r="24" ht="15" customHeight="1" s="251">
      <c r="B24" s="22" t="inlineStr">
        <is>
          <t xml:space="preserve">    y/y %</t>
        </is>
      </c>
      <c r="C24" s="23" t="n"/>
      <c r="D24" s="255">
        <f>IF(AND(ISNUMBER(D23),ISNUMBER(C23)),IFERROR(D23/C23-1,""),"")</f>
      </c>
      <c r="E24" s="255">
        <f>IF(AND(ISNUMBER(E23),ISNUMBER(D23)),IFERROR(E23/D23-1,""),"")</f>
      </c>
      <c r="F24" s="255">
        <f>IF(AND(ISNUMBER(F23),ISNUMBER(E23)),IFERROR(F23/E23-1,""),"")</f>
      </c>
      <c r="G24" s="255">
        <f>IF(AND(ISNUMBER(G23),ISNUMBER(F23)),IFERROR(G23/F23-1,""),"")</f>
      </c>
      <c r="H24" s="255">
        <f>IF(AND(ISNUMBER(H23),ISNUMBER(G23)),IFERROR(H23/G23-1,""),"")</f>
      </c>
      <c r="I24" s="255">
        <f>IF(AND(ISNUMBER(I23),ISNUMBER(H23)),IFERROR(I23/H23-1,""),"")</f>
      </c>
      <c r="J24" s="23" t="n"/>
      <c r="K24" s="23" t="n"/>
      <c r="L24" s="23" t="n"/>
      <c r="M24" s="23" t="n"/>
      <c r="N24" s="255">
        <f>IF(AND(ISNUMBER(N23),ISNUMBER(I23)),IFERROR(N23/I23-1,""),"")</f>
      </c>
      <c r="O24" s="255">
        <f>IF(AND(ISNUMBER(O23),ISNUMBER(J23)),IFERROR(O23/J23-1,""),"")</f>
      </c>
      <c r="P24" s="255">
        <f>IF(AND(ISNUMBER(P23),ISNUMBER(K23)),IFERROR(P23/K23-1,""),"")</f>
      </c>
      <c r="Q24" s="255">
        <f>IF(AND(ISNUMBER(Q23),ISNUMBER(L23)),IFERROR(Q23/L23-1,""),"")</f>
      </c>
      <c r="R24" s="255">
        <f>IF(AND(ISNUMBER(R23),ISNUMBER(M23)),IFERROR(R23/M23-1,""),"")</f>
      </c>
      <c r="S24" s="255">
        <f>IF(AND(ISNUMBER(S23),ISNUMBER(N23)),IFERROR(S23/N23-1,""),"")</f>
      </c>
      <c r="T24" s="255">
        <f>IF(AND(ISNUMBER(T23),ISNUMBER(O23)),IFERROR(T23/O23-1,""),"")</f>
      </c>
      <c r="U24" s="255">
        <f>IF(AND(ISNUMBER(U23),ISNUMBER(P23)),IFERROR(U23/P23-1,""),"")</f>
      </c>
      <c r="V24" s="255">
        <f>IF(AND(ISNUMBER(V23),ISNUMBER(Q23)),IFERROR(V23/Q23-1,""),"")</f>
      </c>
      <c r="W24" s="255">
        <f>IF(AND(ISNUMBER(W23),ISNUMBER(R23)),IFERROR(W23/R23-1,""),"")</f>
      </c>
      <c r="X24" s="255">
        <f>IF(AND(ISNUMBER(X23),ISNUMBER(S23)),IFERROR(X23/S23-1,""),"")</f>
      </c>
      <c r="Y24" s="255">
        <f>IF(AND(ISNUMBER(Y23),ISNUMBER(T23)),IFERROR(Y23/T23-1,""),"")</f>
      </c>
      <c r="Z24" s="255">
        <f>IF(AND(ISNUMBER(Z23),ISNUMBER(U23)),IFERROR(Z23/U23-1,""),"")</f>
      </c>
      <c r="AA24" s="255">
        <f>IF(AND(ISNUMBER(AA23),ISNUMBER(V23)),IFERROR(AA23/V23-1,""),"")</f>
      </c>
      <c r="AB24" s="255">
        <f>IF(AND(ISNUMBER(AB23),ISNUMBER(W23)),IFERROR(AB23/W23-1,""),"")</f>
      </c>
      <c r="AC24" s="255">
        <f>IF(AND(ISNUMBER(AC23),ISNUMBER(X23)),IFERROR(AC23/X23-1,""),"")</f>
      </c>
      <c r="AD24" s="255">
        <f>IF(AND(ISNUMBER(AD23),ISNUMBER(Y23)),IFERROR(AD23/Y23-1,""),"")</f>
      </c>
      <c r="AE24" s="255">
        <f>IF(AND(ISNUMBER(AE23),ISNUMBER(Z23)),IFERROR(AE23/Z23-1,""),"")</f>
      </c>
      <c r="AF24" s="255">
        <f>IF(AND(ISNUMBER(AF23),ISNUMBER(AA23)),IFERROR(AF23/AA23-1,""),"")</f>
      </c>
      <c r="AG24" s="255">
        <f>IF(AND(ISNUMBER(AG23),ISNUMBER(AB23)),IFERROR(AG23/AB23-1,""),"")</f>
      </c>
      <c r="AH24" s="255">
        <f>IF(AND(ISNUMBER(AH23),ISNUMBER(AC23)),IFERROR(AH23/AC23-1,""),"")</f>
      </c>
      <c r="AI24" s="255">
        <f>IF(AND(ISNUMBER(AI23),ISNUMBER(AD23)),IFERROR(AI23/AD23-1,""),"")</f>
      </c>
      <c r="AJ24" s="255">
        <f>IF(AND(ISNUMBER(AJ23),ISNUMBER(AE23)),IFERROR(AJ23/AE23-1,""),"")</f>
      </c>
      <c r="AK24" s="255">
        <f>IF(AND(ISNUMBER(AK23),ISNUMBER(AF23)),IFERROR(AK23/AF23-1,""),"")</f>
      </c>
      <c r="AL24" s="255">
        <f>IF(AND(ISNUMBER(AL23),ISNUMBER(AG23)),IFERROR(AL23/AG23-1,""),"")</f>
      </c>
      <c r="AM24" s="255">
        <f>IF(AND(ISNUMBER(AM23),ISNUMBER(AH23)),IFERROR(AM23/AH23-1,""),"")</f>
      </c>
      <c r="AN24" s="255">
        <f>IF(AND(ISNUMBER(AN23),ISNUMBER(AI23)),IFERROR(AN23/AI23-1,""),"")</f>
      </c>
      <c r="AO24" s="255">
        <f>IF(AND(ISNUMBER(AO23),ISNUMBER(AJ23)),IFERROR(AO23/AJ23-1,""),"")</f>
      </c>
      <c r="AP24" s="255">
        <f>IF(AND(ISNUMBER(AP23),ISNUMBER(AK23)),IFERROR(AP23/AK23-1,""),"")</f>
      </c>
      <c r="AQ24" s="255">
        <f>IF(AND(ISNUMBER(AQ23),ISNUMBER(AL23)),IFERROR(AQ23/AL23-1,""),"")</f>
      </c>
      <c r="AR24" s="255">
        <f>IF(AND(ISNUMBER(AR23),ISNUMBER(AM23)),IFERROR(AR23/AM23-1,""),"")</f>
      </c>
      <c r="AS24" s="255">
        <f>IF(AND(ISNUMBER(AS23),ISNUMBER(AN23)),IFERROR(AS23/AN23-1,""),"")</f>
      </c>
      <c r="AT24" s="255">
        <f>IF(AND(ISNUMBER(AT23),ISNUMBER(AO23)),IFERROR(AT23/AO23-1,""),"")</f>
      </c>
      <c r="AU24" s="255">
        <f>IF(AND(ISNUMBER(AU23),ISNUMBER(AP23)),IFERROR(AU23/AP23-1,""),"")</f>
      </c>
      <c r="AV24" s="255">
        <f>IF(AND(ISNUMBER(AV23),ISNUMBER(AQ23)),IFERROR(AV23/AQ23-1,""),"")</f>
      </c>
      <c r="AW24" s="255">
        <f>IF(AND(ISNUMBER(AW23),ISNUMBER(AR23)),IFERROR(AW23/AR23-1,""),"")</f>
      </c>
      <c r="AX24" s="255">
        <f>IF(AND(ISNUMBER(AX23),ISNUMBER(AS23)),IFERROR(AX23/AS23-1,""),"")</f>
      </c>
      <c r="AY24" s="255">
        <f>IF(AND(ISNUMBER(AY23),ISNUMBER(AT23)),IFERROR(AY23/AT23-1,""),"")</f>
      </c>
      <c r="AZ24" s="255">
        <f>IF(AND(ISNUMBER(AZ23),ISNUMBER(AU23)),IFERROR(AZ23/AU23-1,""),"")</f>
      </c>
      <c r="BA24" s="255">
        <f>IF(AND(ISNUMBER(BA23),ISNUMBER(AV23)),IFERROR(BA23/AV23-1,""),"")</f>
      </c>
      <c r="BB24" s="255">
        <f>IF(AND(ISNUMBER(BB23),ISNUMBER(AW23)),IFERROR(BB23/AW23-1,""),"")</f>
      </c>
      <c r="BC24" s="255">
        <f>IF(AND(ISNUMBER(BC23),ISNUMBER(AX23)),IFERROR(BC23/AX23-1,""),"")</f>
      </c>
      <c r="BD24" s="255">
        <f>IF(AND(ISNUMBER(BD23),ISNUMBER(AY23)),IFERROR(BD23/AY23-1,""),"")</f>
      </c>
      <c r="BE24" s="255">
        <f>IF(AND(ISNUMBER(BE23),ISNUMBER(AZ23)),IFERROR(BE23/AZ23-1,""),"")</f>
      </c>
      <c r="BF24" s="255">
        <f>IF(AND(ISNUMBER(BF23),ISNUMBER(BA23)),IFERROR(BF23/BA23-1,""),"")</f>
      </c>
      <c r="BG24" s="255">
        <f>IF(AND(ISNUMBER(BG23),ISNUMBER(BB23)),IFERROR(BG23/BB23-1,""),"")</f>
      </c>
      <c r="BH24" s="255">
        <f>IF(AND(ISNUMBER(BH23),ISNUMBER(BC23)),IFERROR(BH23/BC23-1,""),"")</f>
      </c>
      <c r="BI24" s="255">
        <f>IF(AND(ISNUMBER(BI23),ISNUMBER(BD23)),IFERROR(BI23/BD23-1,""),"")</f>
      </c>
      <c r="BJ24" s="255">
        <f>IF(AND(ISNUMBER(BJ23),ISNUMBER(BE23)),IFERROR(BJ23/BE23-1,""),"")</f>
      </c>
      <c r="BK24" s="255">
        <f>IF(AND(ISNUMBER(BK23),ISNUMBER(BF23)),IFERROR(BK23/BF23-1,""),"")</f>
      </c>
      <c r="BL24" s="255">
        <f>IF(AND(ISNUMBER(BL23),ISNUMBER(BG23)),IFERROR(BL23/BG23-1,""),"")</f>
      </c>
      <c r="BM24" s="255">
        <f>IF(AND(ISNUMBER(BM23),ISNUMBER(BH23)),IFERROR(BM23/BH23-1,""),"")</f>
      </c>
      <c r="BN24" s="255">
        <f>IF(AND(ISNUMBER(BN23),ISNUMBER(BI23)),IFERROR(BN23/BI23-1,""),"")</f>
      </c>
      <c r="BO24" s="255">
        <f>IF(AND(ISNUMBER(BO23),ISNUMBER(BJ23)),IFERROR(BO23/BJ23-1,""),"")</f>
      </c>
      <c r="BP24" s="255">
        <f>IF(AND(ISNUMBER(BP23),ISNUMBER(BK23)),IFERROR(BP23/BK23-1,""),"")</f>
      </c>
      <c r="BQ24" s="255">
        <f>IF(AND(ISNUMBER(BQ23),ISNUMBER(BL23)),IFERROR(BQ23/BL23-1,""),"")</f>
      </c>
      <c r="BR24" s="255">
        <f>IF(AND(ISNUMBER(BR23),ISNUMBER(BM23)),IFERROR(BR23/BM23-1,""),"")</f>
      </c>
      <c r="BS24" s="255">
        <f>IF(AND(ISNUMBER(BS23),ISNUMBER(BN23)),IFERROR(BS23/BN23-1,""),"")</f>
      </c>
      <c r="BT24" s="255">
        <f>IF(AND(ISNUMBER(BT23),ISNUMBER(BO23)),IFERROR(BT23/BO23-1,""),"")</f>
      </c>
      <c r="BU24" s="255">
        <f>IF(AND(ISNUMBER(BU23),ISNUMBER(BP23)),IFERROR(BU23/BP23-1,""),"")</f>
      </c>
      <c r="BV24" s="255">
        <f>IF(AND(ISNUMBER(BV23),ISNUMBER(BQ23)),IFERROR(BV23/BQ23-1,""),"")</f>
      </c>
      <c r="BW24" s="255">
        <f>IF(AND(ISNUMBER(BW23),ISNUMBER(BR23)),IFERROR(BW23/BR23-1,""),"")</f>
        <v>0.0487551867219918</v>
      </c>
      <c r="BX24" s="255">
        <f>IF(AND(ISNUMBER(BX23),ISNUMBER(BS23)),IFERROR(BX23/BS23-1,""),"")</f>
        <v>0.0771670190274842</v>
      </c>
      <c r="BY24" s="255">
        <f>IF(AND(ISNUMBER(BY23),ISNUMBER(BT23)),IFERROR(BY23/BT23-1,""),"")</f>
        <v>0.0724563206577595</v>
      </c>
      <c r="BZ24" s="255">
        <f>IF(AND(ISNUMBER(BZ23),ISNUMBER(BU23)),IFERROR(BZ23/BU23-1,""),"")</f>
        <v>0.059679037111334</v>
      </c>
      <c r="CA24" s="255">
        <f>IF(AND(ISNUMBER(CA23),ISNUMBER(BV23)),IFERROR(CA23/BV23-1,""),"")</f>
        <v>0.0644329896907216</v>
      </c>
      <c r="CB24" s="256">
        <f>CB25+$CB$139</f>
        <v>0.0476796446393045</v>
      </c>
      <c r="CC24" s="256">
        <f>CC25+$CB$139</f>
        <v>0.0476796446393045</v>
      </c>
      <c r="CD24" s="256">
        <f>CD25+$CB$139</f>
        <v>0.0476796446393045</v>
      </c>
      <c r="CE24" s="256">
        <f>CE25+$CB$139</f>
        <v>0.0476796446393045</v>
      </c>
      <c r="CF24" s="256">
        <f>IF(AND(ISNUMBER(CF23),ISNUMBER(CA23)),IFERROR(CF23/CA23-1,""),"")</f>
        <v>0.0476796446393046</v>
      </c>
      <c r="CG24" s="256">
        <f>CHOOSE(MATCH($CK$2,{"Bull","Base","Bear"},0),$CT$47,$CU$47,$CV$47)</f>
        <v>0.04</v>
      </c>
      <c r="CH24" s="256">
        <f>CHOOSE(MATCH($CK$2,{"Bull","Base","Bear"},0),$CT$48,$CU$48,$CV$48)</f>
        <v>0.04</v>
      </c>
      <c r="CI24" s="256">
        <f>CHOOSE(MATCH($CK$2,{"Bull","Base","Bear"},0),$CT$49,$CU$49,$CV$49)</f>
        <v>0.03</v>
      </c>
      <c r="CJ24" s="256">
        <f>CHOOSE(MATCH($CK$2,{"Bull","Base","Bear"},0),$CT$50,$CU$50,$CV$50)</f>
        <v>0.03</v>
      </c>
      <c r="CK24" s="153" t="n"/>
      <c r="CS24" s="25" t="inlineStr">
        <is>
          <t xml:space="preserve">  Minimum share repurchases per year ($m)</t>
        </is>
      </c>
      <c r="CT24" s="257" t="n">
        <v>25000</v>
      </c>
      <c r="CU24" s="257" t="n">
        <v>20000</v>
      </c>
      <c r="CV24" s="257" t="n">
        <v>15000</v>
      </c>
      <c r="CW24" s="13" t="inlineStr">
        <is>
          <t>FY2026 repurchases $22.3bn (program $16.7bn + $5.6bn tax withholding); FY2025 $18.4bn. Minimum per year by scenario (assumption).</t>
        </is>
      </c>
    </row>
    <row r="25" ht="15" customHeight="1" s="251">
      <c r="B25" s="25" t="inlineStr">
        <is>
          <t xml:space="preserve">    Growth before calibration (Q4/26 y/y, latest actual quarter)</t>
        </is>
      </c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  <c r="AU25" s="36" t="n"/>
      <c r="AV25" s="36" t="n"/>
      <c r="AW25" s="36" t="n"/>
      <c r="AX25" s="36" t="n"/>
      <c r="AY25" s="36" t="n"/>
      <c r="AZ25" s="36" t="n"/>
      <c r="BA25" s="36" t="n"/>
      <c r="BB25" s="36" t="n"/>
      <c r="BC25" s="36" t="n"/>
      <c r="BD25" s="36" t="n"/>
      <c r="BE25" s="36" t="n"/>
      <c r="BF25" s="36" t="n"/>
      <c r="BG25" s="36" t="n"/>
      <c r="BH25" s="36" t="n"/>
      <c r="BI25" s="36" t="n"/>
      <c r="BJ25" s="36" t="n"/>
      <c r="BK25" s="36" t="n"/>
      <c r="BL25" s="36" t="n"/>
      <c r="BM25" s="36" t="n"/>
      <c r="BN25" s="36" t="n"/>
      <c r="BO25" s="36" t="n"/>
      <c r="BP25" s="36" t="n"/>
      <c r="BQ25" s="36" t="n"/>
      <c r="BR25" s="36" t="n"/>
      <c r="BS25" s="36" t="n"/>
      <c r="BT25" s="36" t="n"/>
      <c r="BU25" s="36" t="n"/>
      <c r="BV25" s="36" t="n"/>
      <c r="BW25" s="36" t="n"/>
      <c r="BX25" s="36" t="n"/>
      <c r="BY25" s="36" t="n"/>
      <c r="BZ25" s="36" t="n"/>
      <c r="CA25" s="36" t="n"/>
      <c r="CB25" s="256">
        <f>IFERROR(BZ23/BU23-1,0)</f>
        <v>0.059679037111334</v>
      </c>
      <c r="CC25" s="256">
        <f>IFERROR(BZ23/BU23-1,0)</f>
        <v>0.059679037111334</v>
      </c>
      <c r="CD25" s="256">
        <f>IFERROR(BZ23/BU23-1,0)</f>
        <v>0.059679037111334</v>
      </c>
      <c r="CE25" s="256">
        <f>IFERROR(BZ23/BU23-1,0)</f>
        <v>0.059679037111334</v>
      </c>
      <c r="CF25" s="24" t="n"/>
      <c r="CG25" s="46" t="n"/>
      <c r="CH25" s="46" t="n"/>
      <c r="CI25" s="46" t="n"/>
      <c r="CJ25" s="46" t="n"/>
      <c r="CK25" s="19" t="n"/>
    </row>
    <row r="26" ht="15" customHeight="1" s="251">
      <c r="B26" s="16" t="inlineStr">
        <is>
          <t xml:space="preserve">  Agents and Infra — segment revenue</t>
        </is>
      </c>
      <c r="C26" s="260">
        <f>IF(ISNUMBER(C11),C11+C14+C17+C20+C23,"")</f>
      </c>
      <c r="D26" s="260">
        <f>IF(ISNUMBER(D11),D11+D14+D17+D20+D23,"")</f>
      </c>
      <c r="E26" s="260">
        <f>IF(ISNUMBER(E11),E11+E14+E17+E20+E23,"")</f>
      </c>
      <c r="F26" s="260">
        <f>IF(ISNUMBER(F11),F11+F14+F17+F20+F23,"")</f>
      </c>
      <c r="G26" s="260">
        <f>IF(ISNUMBER(G11),G11+G14+G17+G20+G23,"")</f>
      </c>
      <c r="H26" s="260">
        <f>IF(ISNUMBER(H11),H11+H14+H17+H20+H23,"")</f>
      </c>
      <c r="I26" s="260">
        <f>IF(ISNUMBER(I11),I11+I14+I17+I20+I23,"")</f>
      </c>
      <c r="J26" s="260">
        <f>IF(ISNUMBER(J11),J11+J14+J17+J20+J23,"")</f>
      </c>
      <c r="K26" s="260">
        <f>IF(ISNUMBER(K11),K11+K14+K17+K20+K23,"")</f>
      </c>
      <c r="L26" s="260">
        <f>IF(ISNUMBER(L11),L11+L14+L17+L20+L23,"")</f>
      </c>
      <c r="M26" s="260">
        <f>IF(ISNUMBER(M11),M11+M14+M17+M20+M23,"")</f>
      </c>
      <c r="N26" s="260">
        <f>IF(ISNUMBER(N11),N11+N14+N17+N20+N23,"")</f>
      </c>
      <c r="O26" s="260">
        <f>IF(ISNUMBER(O11),O11+O14+O17+O20+O23,"")</f>
      </c>
      <c r="P26" s="260">
        <f>IF(ISNUMBER(P11),P11+P14+P17+P20+P23,"")</f>
      </c>
      <c r="Q26" s="260">
        <f>IF(ISNUMBER(Q11),Q11+Q14+Q17+Q20+Q23,"")</f>
      </c>
      <c r="R26" s="260">
        <f>IF(ISNUMBER(R11),R11+R14+R17+R20+R23,"")</f>
      </c>
      <c r="S26" s="260">
        <f>IF(ISNUMBER(S11),S11+S14+S17+S20+S23,"")</f>
      </c>
      <c r="T26" s="260">
        <f>IF(ISNUMBER(T11),T11+T14+T17+T20+T23,"")</f>
      </c>
      <c r="U26" s="260">
        <f>IF(ISNUMBER(U11),U11+U14+U17+U20+U23,"")</f>
      </c>
      <c r="V26" s="260">
        <f>IF(ISNUMBER(V11),V11+V14+V17+V20+V23,"")</f>
      </c>
      <c r="W26" s="260">
        <f>IF(ISNUMBER(W11),W11+W14+W17+W20+W23,"")</f>
      </c>
      <c r="X26" s="260">
        <f>IF(ISNUMBER(X11),X11+X14+X17+X20+X23,"")</f>
      </c>
      <c r="Y26" s="260">
        <f>IF(ISNUMBER(Y11),Y11+Y14+Y17+Y20+Y23,"")</f>
      </c>
      <c r="Z26" s="260">
        <f>IF(ISNUMBER(Z11),Z11+Z14+Z17+Z20+Z23,"")</f>
      </c>
      <c r="AA26" s="260">
        <f>IF(ISNUMBER(AA11),AA11+AA14+AA17+AA20+AA23,"")</f>
      </c>
      <c r="AB26" s="260">
        <f>IF(ISNUMBER(AB11),AB11+AB14+AB17+AB20+AB23,"")</f>
      </c>
      <c r="AC26" s="260">
        <f>IF(ISNUMBER(AC11),AC11+AC14+AC17+AC20+AC23,"")</f>
      </c>
      <c r="AD26" s="260">
        <f>IF(ISNUMBER(AD11),AD11+AD14+AD17+AD20+AD23,"")</f>
      </c>
      <c r="AE26" s="260">
        <f>IF(ISNUMBER(AE11),AE11+AE14+AE17+AE20+AE23,"")</f>
      </c>
      <c r="AF26" s="260">
        <f>IF(ISNUMBER(AF11),AF11+AF14+AF17+AF20+AF23,"")</f>
      </c>
      <c r="AG26" s="260">
        <f>IF(ISNUMBER(AG11),AG11+AG14+AG17+AG20+AG23,"")</f>
      </c>
      <c r="AH26" s="260">
        <f>IF(ISNUMBER(AH11),AH11+AH14+AH17+AH20+AH23,"")</f>
      </c>
      <c r="AI26" s="260">
        <f>IF(ISNUMBER(AI11),AI11+AI14+AI17+AI20+AI23,"")</f>
      </c>
      <c r="AJ26" s="260">
        <f>IF(ISNUMBER(AJ11),AJ11+AJ14+AJ17+AJ20+AJ23,"")</f>
      </c>
      <c r="AK26" s="260">
        <f>IF(ISNUMBER(AK11),AK11+AK14+AK17+AK20+AK23,"")</f>
      </c>
      <c r="AL26" s="260">
        <f>IF(ISNUMBER(AL11),AL11+AL14+AL17+AL20+AL23,"")</f>
      </c>
      <c r="AM26" s="260">
        <f>IF(ISNUMBER(AM11),AM11+AM14+AM17+AM20+AM23,"")</f>
      </c>
      <c r="AN26" s="260">
        <f>IF(ISNUMBER(AN11),AN11+AN14+AN17+AN20+AN23,"")</f>
      </c>
      <c r="AO26" s="260">
        <f>IF(ISNUMBER(AO11),AO11+AO14+AO17+AO20+AO23,"")</f>
      </c>
      <c r="AP26" s="260">
        <f>IF(ISNUMBER(AP11),AP11+AP14+AP17+AP20+AP23,"")</f>
      </c>
      <c r="AQ26" s="260">
        <f>IF(ISNUMBER(AQ11),AQ11+AQ14+AQ17+AQ20+AQ23,"")</f>
      </c>
      <c r="AR26" s="260">
        <f>IF(ISNUMBER(AR11),AR11+AR14+AR17+AR20+AR23,"")</f>
      </c>
      <c r="AS26" s="260">
        <f>IF(ISNUMBER(AS11),AS11+AS14+AS17+AS20+AS23,"")</f>
      </c>
      <c r="AT26" s="260">
        <f>IF(ISNUMBER(AT11),AT11+AT14+AT17+AT20+AT23,"")</f>
      </c>
      <c r="AU26" s="260">
        <f>IF(ISNUMBER(AU11),AU11+AU14+AU17+AU20+AU23,"")</f>
      </c>
      <c r="AV26" s="260">
        <f>IF(ISNUMBER(AV11),AV11+AV14+AV17+AV20+AV23,"")</f>
      </c>
      <c r="AW26" s="260">
        <f>IF(ISNUMBER(AW11),AW11+AW14+AW17+AW20+AW23,"")</f>
      </c>
      <c r="AX26" s="260">
        <f>IF(ISNUMBER(AX11),AX11+AX14+AX17+AX20+AX23,"")</f>
      </c>
      <c r="AY26" s="260">
        <f>IF(ISNUMBER(AY11),AY11+AY14+AY17+AY20+AY23,"")</f>
      </c>
      <c r="AZ26" s="260">
        <f>IF(ISNUMBER(AZ11),AZ11+AZ14+AZ17+AZ20+AZ23,"")</f>
      </c>
      <c r="BA26" s="260">
        <f>IF(ISNUMBER(BA11),BA11+BA14+BA17+BA20+BA23,"")</f>
      </c>
      <c r="BB26" s="260">
        <f>IF(ISNUMBER(BB11),BB11+BB14+BB17+BB20+BB23,"")</f>
      </c>
      <c r="BC26" s="260">
        <f>IF(ISNUMBER(BC11),BC11+BC14+BC17+BC20+BC23,"")</f>
      </c>
      <c r="BD26" s="260">
        <f>IF(ISNUMBER(BD11),BD11+BD14+BD17+BD20+BD23,"")</f>
      </c>
      <c r="BE26" s="260">
        <f>IF(ISNUMBER(BE11),BE11+BE14+BE17+BE20+BE23,"")</f>
      </c>
      <c r="BF26" s="260">
        <f>IF(ISNUMBER(BF11),BF11+BF14+BF17+BF20+BF23,"")</f>
      </c>
      <c r="BG26" s="260">
        <f>IF(ISNUMBER(BG11),BG11+BG14+BG17+BG20+BG23,"")</f>
      </c>
      <c r="BH26" s="260">
        <f>IF(ISNUMBER(BH11),BH11+BH14+BH17+BH20+BH23,"")</f>
      </c>
      <c r="BI26" s="260">
        <f>IF(ISNUMBER(BI11),BI11+BI14+BI17+BI20+BI23,"")</f>
      </c>
      <c r="BJ26" s="260">
        <f>IF(ISNUMBER(BJ11),BJ11+BJ14+BJ17+BJ20+BJ23,"")</f>
      </c>
      <c r="BK26" s="260">
        <f>IF(ISNUMBER(BK11),BK11+BK14+BK17+BK20+BK23,"")</f>
      </c>
      <c r="BL26" s="260">
        <f>IF(ISNUMBER(BL11),BL11+BL14+BL17+BL20+BL23,"")</f>
      </c>
      <c r="BM26" s="260">
        <f>IF(ISNUMBER(BM11),BM11+BM14+BM17+BM20+BM23,"")</f>
      </c>
      <c r="BN26" s="260">
        <f>IF(ISNUMBER(BN11),BN11+BN14+BN17+BN20+BN23,"")</f>
      </c>
      <c r="BO26" s="260">
        <f>IF(ISNUMBER(BO11),BO11+BO14+BO17+BO20+BO23,"")</f>
      </c>
      <c r="BP26" s="260">
        <f>IF(ISNUMBER(BP11),BP11+BP14+BP17+BP20+BP23,"")</f>
      </c>
      <c r="BQ26" s="260">
        <f>IF(ISNUMBER(BQ11),BQ11+BQ14+BQ17+BQ20+BQ23,"")</f>
      </c>
      <c r="BR26" s="260">
        <f>IF(ISNUMBER(BR11),BR11+BR14+BR17+BR20+BR23,"")</f>
        <v>50476</v>
      </c>
      <c r="BS26" s="260">
        <f>IF(ISNUMBER(BS11),BS11+BS14+BS17+BS20+BS23,"")</f>
        <v>52766</v>
      </c>
      <c r="BT26" s="260">
        <f>IF(ISNUMBER(BT11),BT11+BT14+BT17+BT20+BT23,"")</f>
        <v>54763</v>
      </c>
      <c r="BU26" s="260">
        <f>IF(ISNUMBER(BU11),BU11+BU14+BU17+BU20+BU23,"")</f>
        <v>60778</v>
      </c>
      <c r="BV26" s="260">
        <f>IF(ISNUMBER(BV11),BV11+BV14+BV17+BV20+BV23,"")</f>
        <v>218783</v>
      </c>
      <c r="BW26" s="260">
        <f>IF(ISNUMBER(BW11),BW11+BW14+BW17+BW20+BW23,"")</f>
        <v>61672</v>
      </c>
      <c r="BX26" s="260">
        <f>IF(ISNUMBER(BX11),BX11+BX14+BX17+BX20+BX23,"")</f>
        <v>64441</v>
      </c>
      <c r="BY26" s="260">
        <f>IF(ISNUMBER(BY11),BY11+BY14+BY17+BY20+BY23,"")</f>
        <v>67438</v>
      </c>
      <c r="BZ26" s="260">
        <f>IF(ISNUMBER(BZ11),BZ11+BZ14+BZ17+BZ20+BZ23,"")</f>
        <v>74576</v>
      </c>
      <c r="CA26" s="260">
        <f>IF(ISNUMBER(CA11),CA11+CA14+CA17+CA20+CA23,"")</f>
        <v>268127</v>
      </c>
      <c r="CB26" s="261">
        <f>IF(ISNUMBER(CB11),CB11+CB14+CB17+CB20+CB23,"")</f>
        <v>75450</v>
      </c>
      <c r="CC26" s="261">
        <f>IF(ISNUMBER(CC11),CC11+CC14+CC17+CC20+CC23,"")</f>
        <v>79066.6708231114</v>
      </c>
      <c r="CD26" s="261">
        <f>IF(ISNUMBER(CD11),CD11+CD14+CD17+CD20+CD23,"")</f>
        <v>82989.8363006534</v>
      </c>
      <c r="CE26" s="261">
        <f>IF(ISNUMBER(CE11),CE11+CE14+CE17+CE20+CE23,"")</f>
        <v>91864.8796621723</v>
      </c>
      <c r="CF26" s="261">
        <f>IF(ISNUMBER(CF11),CF11+CF14+CF17+CF20+CF23,"")</f>
        <v>329371.386785937</v>
      </c>
      <c r="CG26" s="261">
        <f>IF(ISNUMBER(CG11),CG11+CG14+CG17+CG20+CG23,"")</f>
        <v>393039.944124929</v>
      </c>
      <c r="CH26" s="261">
        <f>IF(ISNUMBER(CH11),CH11+CH14+CH17+CH20+CH23,"")</f>
        <v>461195.431377373</v>
      </c>
      <c r="CI26" s="261">
        <f>IF(ISNUMBER(CI11),CI11+CI14+CI17+CI20+CI23,"")</f>
        <v>530450.791712356</v>
      </c>
      <c r="CJ26" s="261">
        <f>IF(ISNUMBER(CJ11),CJ11+CJ14+CJ17+CJ20+CJ23,"")</f>
        <v>599366.223384366</v>
      </c>
      <c r="CK26" s="153" t="inlineStr">
        <is>
          <t>Σ product &amp; service lines.</t>
        </is>
      </c>
      <c r="CM26" s="20">
        <f>IFERROR((CJ26/CA26)^(1/5)-1,"n/m")</f>
        <v>0.174546846604011</v>
      </c>
      <c r="CN26" s="20" t="str">
        <f>IFERROR((CA26/BB26)^(1/5)-1,"n/m")</f>
        <v>n/m</v>
      </c>
      <c r="CO26" s="20" t="str">
        <f>IFERROR((CA26/AC26)^(1/10)-1,"n/m")</f>
        <v>n/m</v>
      </c>
      <c r="CP26" s="20" t="str">
        <f>IFERROR((CA26/C26)^(1/20)-1,"n/m")</f>
        <v>n/m</v>
      </c>
      <c r="CS26" s="15" t="inlineStr">
        <is>
          <t>AI_AZ (Azure y/y)</t>
        </is>
      </c>
      <c r="CT26" s="41" t="n">
        <v>0.06</v>
      </c>
      <c r="CU26" s="21" t="inlineStr">
        <is>
          <t>Δ →</t>
        </is>
      </c>
      <c r="CV26" s="41" t="n">
        <v>-0.1</v>
      </c>
      <c r="CW26" s="13" t="inlineStr">
        <is>
          <t>FY26 +40% restated (Q4 +42%); Q1 FY27 guided +44–45% cc; capacity-constrained AI demand, commercial RPO +84% to $678bn. Decelerating with scale (assumption).</t>
        </is>
      </c>
    </row>
    <row r="27" ht="15" customHeight="1" s="251">
      <c r="B27" s="22" t="inlineStr">
        <is>
          <t xml:space="preserve">  Segment revenue y/y %</t>
        </is>
      </c>
      <c r="C27" s="23" t="n"/>
      <c r="D27" s="255">
        <f>IF(AND(ISNUMBER(D26),ISNUMBER(C26)),IFERROR(D26/C26-1,""),"")</f>
      </c>
      <c r="E27" s="255">
        <f>IF(AND(ISNUMBER(E26),ISNUMBER(D26)),IFERROR(E26/D26-1,""),"")</f>
      </c>
      <c r="F27" s="255">
        <f>IF(AND(ISNUMBER(F26),ISNUMBER(E26)),IFERROR(F26/E26-1,""),"")</f>
      </c>
      <c r="G27" s="255">
        <f>IF(AND(ISNUMBER(G26),ISNUMBER(F26)),IFERROR(G26/F26-1,""),"")</f>
      </c>
      <c r="H27" s="255">
        <f>IF(AND(ISNUMBER(H26),ISNUMBER(G26)),IFERROR(H26/G26-1,""),"")</f>
      </c>
      <c r="I27" s="255">
        <f>IF(AND(ISNUMBER(I26),ISNUMBER(H26)),IFERROR(I26/H26-1,""),"")</f>
      </c>
      <c r="J27" s="23" t="n"/>
      <c r="K27" s="23" t="n"/>
      <c r="L27" s="23" t="n"/>
      <c r="M27" s="23" t="n"/>
      <c r="N27" s="255">
        <f>IF(AND(ISNUMBER(N26),ISNUMBER(I26)),IFERROR(N26/I26-1,""),"")</f>
      </c>
      <c r="O27" s="255">
        <f>IF(AND(ISNUMBER(O26),ISNUMBER(J26)),IFERROR(O26/J26-1,""),"")</f>
      </c>
      <c r="P27" s="255">
        <f>IF(AND(ISNUMBER(P26),ISNUMBER(K26)),IFERROR(P26/K26-1,""),"")</f>
      </c>
      <c r="Q27" s="255">
        <f>IF(AND(ISNUMBER(Q26),ISNUMBER(L26)),IFERROR(Q26/L26-1,""),"")</f>
      </c>
      <c r="R27" s="255">
        <f>IF(AND(ISNUMBER(R26),ISNUMBER(M26)),IFERROR(R26/M26-1,""),"")</f>
      </c>
      <c r="S27" s="255">
        <f>IF(AND(ISNUMBER(S26),ISNUMBER(N26)),IFERROR(S26/N26-1,""),"")</f>
      </c>
      <c r="T27" s="255">
        <f>IF(AND(ISNUMBER(T26),ISNUMBER(O26)),IFERROR(T26/O26-1,""),"")</f>
      </c>
      <c r="U27" s="255">
        <f>IF(AND(ISNUMBER(U26),ISNUMBER(P26)),IFERROR(U26/P26-1,""),"")</f>
      </c>
      <c r="V27" s="255">
        <f>IF(AND(ISNUMBER(V26),ISNUMBER(Q26)),IFERROR(V26/Q26-1,""),"")</f>
      </c>
      <c r="W27" s="255">
        <f>IF(AND(ISNUMBER(W26),ISNUMBER(R26)),IFERROR(W26/R26-1,""),"")</f>
      </c>
      <c r="X27" s="255">
        <f>IF(AND(ISNUMBER(X26),ISNUMBER(S26)),IFERROR(X26/S26-1,""),"")</f>
      </c>
      <c r="Y27" s="255">
        <f>IF(AND(ISNUMBER(Y26),ISNUMBER(T26)),IFERROR(Y26/T26-1,""),"")</f>
      </c>
      <c r="Z27" s="255">
        <f>IF(AND(ISNUMBER(Z26),ISNUMBER(U26)),IFERROR(Z26/U26-1,""),"")</f>
      </c>
      <c r="AA27" s="255">
        <f>IF(AND(ISNUMBER(AA26),ISNUMBER(V26)),IFERROR(AA26/V26-1,""),"")</f>
      </c>
      <c r="AB27" s="255">
        <f>IF(AND(ISNUMBER(AB26),ISNUMBER(W26)),IFERROR(AB26/W26-1,""),"")</f>
      </c>
      <c r="AC27" s="255">
        <f>IF(AND(ISNUMBER(AC26),ISNUMBER(X26)),IFERROR(AC26/X26-1,""),"")</f>
      </c>
      <c r="AD27" s="255">
        <f>IF(AND(ISNUMBER(AD26),ISNUMBER(Y26)),IFERROR(AD26/Y26-1,""),"")</f>
      </c>
      <c r="AE27" s="255">
        <f>IF(AND(ISNUMBER(AE26),ISNUMBER(Z26)),IFERROR(AE26/Z26-1,""),"")</f>
      </c>
      <c r="AF27" s="255">
        <f>IF(AND(ISNUMBER(AF26),ISNUMBER(AA26)),IFERROR(AF26/AA26-1,""),"")</f>
      </c>
      <c r="AG27" s="255">
        <f>IF(AND(ISNUMBER(AG26),ISNUMBER(AB26)),IFERROR(AG26/AB26-1,""),"")</f>
      </c>
      <c r="AH27" s="255">
        <f>IF(AND(ISNUMBER(AH26),ISNUMBER(AC26)),IFERROR(AH26/AC26-1,""),"")</f>
      </c>
      <c r="AI27" s="255">
        <f>IF(AND(ISNUMBER(AI26),ISNUMBER(AD26)),IFERROR(AI26/AD26-1,""),"")</f>
      </c>
      <c r="AJ27" s="255">
        <f>IF(AND(ISNUMBER(AJ26),ISNUMBER(AE26)),IFERROR(AJ26/AE26-1,""),"")</f>
      </c>
      <c r="AK27" s="255">
        <f>IF(AND(ISNUMBER(AK26),ISNUMBER(AF26)),IFERROR(AK26/AF26-1,""),"")</f>
      </c>
      <c r="AL27" s="255">
        <f>IF(AND(ISNUMBER(AL26),ISNUMBER(AG26)),IFERROR(AL26/AG26-1,""),"")</f>
      </c>
      <c r="AM27" s="255">
        <f>IF(AND(ISNUMBER(AM26),ISNUMBER(AH26)),IFERROR(AM26/AH26-1,""),"")</f>
      </c>
      <c r="AN27" s="255">
        <f>IF(AND(ISNUMBER(AN26),ISNUMBER(AI26)),IFERROR(AN26/AI26-1,""),"")</f>
      </c>
      <c r="AO27" s="255">
        <f>IF(AND(ISNUMBER(AO26),ISNUMBER(AJ26)),IFERROR(AO26/AJ26-1,""),"")</f>
      </c>
      <c r="AP27" s="255">
        <f>IF(AND(ISNUMBER(AP26),ISNUMBER(AK26)),IFERROR(AP26/AK26-1,""),"")</f>
      </c>
      <c r="AQ27" s="255">
        <f>IF(AND(ISNUMBER(AQ26),ISNUMBER(AL26)),IFERROR(AQ26/AL26-1,""),"")</f>
      </c>
      <c r="AR27" s="255">
        <f>IF(AND(ISNUMBER(AR26),ISNUMBER(AM26)),IFERROR(AR26/AM26-1,""),"")</f>
      </c>
      <c r="AS27" s="255">
        <f>IF(AND(ISNUMBER(AS26),ISNUMBER(AN26)),IFERROR(AS26/AN26-1,""),"")</f>
      </c>
      <c r="AT27" s="255">
        <f>IF(AND(ISNUMBER(AT26),ISNUMBER(AO26)),IFERROR(AT26/AO26-1,""),"")</f>
      </c>
      <c r="AU27" s="255">
        <f>IF(AND(ISNUMBER(AU26),ISNUMBER(AP26)),IFERROR(AU26/AP26-1,""),"")</f>
      </c>
      <c r="AV27" s="255">
        <f>IF(AND(ISNUMBER(AV26),ISNUMBER(AQ26)),IFERROR(AV26/AQ26-1,""),"")</f>
      </c>
      <c r="AW27" s="255">
        <f>IF(AND(ISNUMBER(AW26),ISNUMBER(AR26)),IFERROR(AW26/AR26-1,""),"")</f>
      </c>
      <c r="AX27" s="255">
        <f>IF(AND(ISNUMBER(AX26),ISNUMBER(AS26)),IFERROR(AX26/AS26-1,""),"")</f>
      </c>
      <c r="AY27" s="255">
        <f>IF(AND(ISNUMBER(AY26),ISNUMBER(AT26)),IFERROR(AY26/AT26-1,""),"")</f>
      </c>
      <c r="AZ27" s="255">
        <f>IF(AND(ISNUMBER(AZ26),ISNUMBER(AU26)),IFERROR(AZ26/AU26-1,""),"")</f>
      </c>
      <c r="BA27" s="255">
        <f>IF(AND(ISNUMBER(BA26),ISNUMBER(AV26)),IFERROR(BA26/AV26-1,""),"")</f>
      </c>
      <c r="BB27" s="255">
        <f>IF(AND(ISNUMBER(BB26),ISNUMBER(AW26)),IFERROR(BB26/AW26-1,""),"")</f>
      </c>
      <c r="BC27" s="255">
        <f>IF(AND(ISNUMBER(BC26),ISNUMBER(AX26)),IFERROR(BC26/AX26-1,""),"")</f>
      </c>
      <c r="BD27" s="255">
        <f>IF(AND(ISNUMBER(BD26),ISNUMBER(AY26)),IFERROR(BD26/AY26-1,""),"")</f>
      </c>
      <c r="BE27" s="255">
        <f>IF(AND(ISNUMBER(BE26),ISNUMBER(AZ26)),IFERROR(BE26/AZ26-1,""),"")</f>
      </c>
      <c r="BF27" s="255">
        <f>IF(AND(ISNUMBER(BF26),ISNUMBER(BA26)),IFERROR(BF26/BA26-1,""),"")</f>
      </c>
      <c r="BG27" s="255">
        <f>IF(AND(ISNUMBER(BG26),ISNUMBER(BB26)),IFERROR(BG26/BB26-1,""),"")</f>
      </c>
      <c r="BH27" s="255">
        <f>IF(AND(ISNUMBER(BH26),ISNUMBER(BC26)),IFERROR(BH26/BC26-1,""),"")</f>
      </c>
      <c r="BI27" s="255">
        <f>IF(AND(ISNUMBER(BI26),ISNUMBER(BD26)),IFERROR(BI26/BD26-1,""),"")</f>
      </c>
      <c r="BJ27" s="255">
        <f>IF(AND(ISNUMBER(BJ26),ISNUMBER(BE26)),IFERROR(BJ26/BE26-1,""),"")</f>
      </c>
      <c r="BK27" s="255">
        <f>IF(AND(ISNUMBER(BK26),ISNUMBER(BF26)),IFERROR(BK26/BF26-1,""),"")</f>
      </c>
      <c r="BL27" s="255">
        <f>IF(AND(ISNUMBER(BL26),ISNUMBER(BG26)),IFERROR(BL26/BG26-1,""),"")</f>
      </c>
      <c r="BM27" s="255">
        <f>IF(AND(ISNUMBER(BM26),ISNUMBER(BH26)),IFERROR(BM26/BH26-1,""),"")</f>
      </c>
      <c r="BN27" s="255">
        <f>IF(AND(ISNUMBER(BN26),ISNUMBER(BI26)),IFERROR(BN26/BI26-1,""),"")</f>
      </c>
      <c r="BO27" s="255">
        <f>IF(AND(ISNUMBER(BO26),ISNUMBER(BJ26)),IFERROR(BO26/BJ26-1,""),"")</f>
      </c>
      <c r="BP27" s="255">
        <f>IF(AND(ISNUMBER(BP26),ISNUMBER(BK26)),IFERROR(BP26/BK26-1,""),"")</f>
      </c>
      <c r="BQ27" s="255">
        <f>IF(AND(ISNUMBER(BQ26),ISNUMBER(BL26)),IFERROR(BQ26/BL26-1,""),"")</f>
      </c>
      <c r="BR27" s="255">
        <f>IF(AND(ISNUMBER(BR26),ISNUMBER(BM26)),IFERROR(BR26/BM26-1,""),"")</f>
      </c>
      <c r="BS27" s="255">
        <f>IF(AND(ISNUMBER(BS26),ISNUMBER(BN26)),IFERROR(BS26/BN26-1,""),"")</f>
      </c>
      <c r="BT27" s="255">
        <f>IF(AND(ISNUMBER(BT26),ISNUMBER(BO26)),IFERROR(BT26/BO26-1,""),"")</f>
      </c>
      <c r="BU27" s="255">
        <f>IF(AND(ISNUMBER(BU26),ISNUMBER(BP26)),IFERROR(BU26/BP26-1,""),"")</f>
      </c>
      <c r="BV27" s="255">
        <f>IF(AND(ISNUMBER(BV26),ISNUMBER(BQ26)),IFERROR(BV26/BQ26-1,""),"")</f>
      </c>
      <c r="BW27" s="255">
        <f>IF(AND(ISNUMBER(BW26),ISNUMBER(BR26)),IFERROR(BW26/BR26-1,""),"")</f>
        <v>0.221808384182582</v>
      </c>
      <c r="BX27" s="255">
        <f>IF(AND(ISNUMBER(BX26),ISNUMBER(BS26)),IFERROR(BX26/BS26-1,""),"")</f>
        <v>0.221259902209756</v>
      </c>
      <c r="BY27" s="255">
        <f>IF(AND(ISNUMBER(BY26),ISNUMBER(BT26)),IFERROR(BY26/BT26-1,""),"")</f>
        <v>0.231451892701276</v>
      </c>
      <c r="BZ27" s="255">
        <f>IF(AND(ISNUMBER(BZ26),ISNUMBER(BU26)),IFERROR(BZ26/BU26-1,""),"")</f>
        <v>0.227022935930765</v>
      </c>
      <c r="CA27" s="255">
        <f>IF(AND(ISNUMBER(CA26),ISNUMBER(BV26)),IFERROR(CA26/BV26-1,""),"")</f>
        <v>0.225538547327717</v>
      </c>
      <c r="CB27" s="256">
        <f>IF(AND(ISNUMBER(CB26),ISNUMBER(BW26)),IFERROR(CB26/BW26-1,""),"")</f>
        <v>0.223407705279543</v>
      </c>
      <c r="CC27" s="256">
        <f>IF(AND(ISNUMBER(CC26),ISNUMBER(BX26)),IFERROR(CC26/BX26-1,""),"")</f>
        <v>0.226962195234578</v>
      </c>
      <c r="CD27" s="256">
        <f>IF(AND(ISNUMBER(CD26),ISNUMBER(BY26)),IFERROR(CD26/BY26-1,""),"")</f>
        <v>0.230609393823265</v>
      </c>
      <c r="CE27" s="256">
        <f>IF(AND(ISNUMBER(CE26),ISNUMBER(BZ26)),IFERROR(CE26/BZ26-1,""),"")</f>
        <v>0.231829002120954</v>
      </c>
      <c r="CF27" s="256">
        <f>IF(AND(ISNUMBER(CF26),ISNUMBER(CA26)),IFERROR(CF26/CA26-1,""),"")</f>
        <v>0.228415589574855</v>
      </c>
      <c r="CG27" s="256">
        <f>IF(AND(ISNUMBER(CG26),ISNUMBER(CF26)),IFERROR(CG26/CF26-1,""),"")</f>
        <v>0.193303243369986</v>
      </c>
      <c r="CH27" s="256">
        <f>IF(AND(ISNUMBER(CH26),ISNUMBER(CG26)),IFERROR(CH26/CG26-1,""),"")</f>
        <v>0.173406006873389</v>
      </c>
      <c r="CI27" s="256">
        <f>IF(AND(ISNUMBER(CI26),ISNUMBER(CH26)),IFERROR(CI26/CH26-1,""),"")</f>
        <v>0.150164888078251</v>
      </c>
      <c r="CJ27" s="256">
        <f>IF(AND(ISNUMBER(CJ26),ISNUMBER(CI26)),IFERROR(CJ26/CI26-1,""),"")</f>
        <v>0.129918614033061</v>
      </c>
      <c r="CK27" s="153" t="n"/>
      <c r="CS27" s="25" t="inlineStr">
        <is>
          <t xml:space="preserve">  2028E</t>
        </is>
      </c>
      <c r="CT27" s="33">
        <f>CU27+$CT$26</f>
        <v>0.38</v>
      </c>
      <c r="CU27" s="42" t="n">
        <v>0.32</v>
      </c>
      <c r="CV27" s="33">
        <f>CU27+$CV$26</f>
        <v>0.22</v>
      </c>
    </row>
    <row r="28" ht="15" customHeight="1" s="251">
      <c r="B28" s="25" t="inlineStr">
        <is>
          <t xml:space="preserve">  % of total revenue</t>
        </is>
      </c>
      <c r="C28" s="215">
        <f>IF(AND(ISNUMBER(C26),ISNUMBER(C130)),IFERROR(C26/C130,""),"")</f>
      </c>
      <c r="D28" s="215">
        <f>IF(AND(ISNUMBER(D26),ISNUMBER(D130)),IFERROR(D26/D130,""),"")</f>
      </c>
      <c r="E28" s="215">
        <f>IF(AND(ISNUMBER(E26),ISNUMBER(E130)),IFERROR(E26/E130,""),"")</f>
      </c>
      <c r="F28" s="215">
        <f>IF(AND(ISNUMBER(F26),ISNUMBER(F130)),IFERROR(F26/F130,""),"")</f>
      </c>
      <c r="G28" s="215">
        <f>IF(AND(ISNUMBER(G26),ISNUMBER(G130)),IFERROR(G26/G130,""),"")</f>
      </c>
      <c r="H28" s="215">
        <f>IF(AND(ISNUMBER(H26),ISNUMBER(H130)),IFERROR(H26/H130,""),"")</f>
      </c>
      <c r="I28" s="215">
        <f>IF(AND(ISNUMBER(I26),ISNUMBER(I130)),IFERROR(I26/I130,""),"")</f>
      </c>
      <c r="J28" s="215">
        <f>IF(AND(ISNUMBER(J26),ISNUMBER(J130)),IFERROR(J26/J130,""),"")</f>
      </c>
      <c r="K28" s="215">
        <f>IF(AND(ISNUMBER(K26),ISNUMBER(K130)),IFERROR(K26/K130,""),"")</f>
      </c>
      <c r="L28" s="215">
        <f>IF(AND(ISNUMBER(L26),ISNUMBER(L130)),IFERROR(L26/L130,""),"")</f>
      </c>
      <c r="M28" s="215">
        <f>IF(AND(ISNUMBER(M26),ISNUMBER(M130)),IFERROR(M26/M130,""),"")</f>
      </c>
      <c r="N28" s="215">
        <f>IF(AND(ISNUMBER(N26),ISNUMBER(N130)),IFERROR(N26/N130,""),"")</f>
      </c>
      <c r="O28" s="215">
        <f>IF(AND(ISNUMBER(O26),ISNUMBER(O130)),IFERROR(O26/O130,""),"")</f>
      </c>
      <c r="P28" s="215">
        <f>IF(AND(ISNUMBER(P26),ISNUMBER(P130)),IFERROR(P26/P130,""),"")</f>
      </c>
      <c r="Q28" s="215">
        <f>IF(AND(ISNUMBER(Q26),ISNUMBER(Q130)),IFERROR(Q26/Q130,""),"")</f>
      </c>
      <c r="R28" s="215">
        <f>IF(AND(ISNUMBER(R26),ISNUMBER(R130)),IFERROR(R26/R130,""),"")</f>
      </c>
      <c r="S28" s="215">
        <f>IF(AND(ISNUMBER(S26),ISNUMBER(S130)),IFERROR(S26/S130,""),"")</f>
      </c>
      <c r="T28" s="215">
        <f>IF(AND(ISNUMBER(T26),ISNUMBER(T130)),IFERROR(T26/T130,""),"")</f>
      </c>
      <c r="U28" s="215">
        <f>IF(AND(ISNUMBER(U26),ISNUMBER(U130)),IFERROR(U26/U130,""),"")</f>
      </c>
      <c r="V28" s="215">
        <f>IF(AND(ISNUMBER(V26),ISNUMBER(V130)),IFERROR(V26/V130,""),"")</f>
      </c>
      <c r="W28" s="215">
        <f>IF(AND(ISNUMBER(W26),ISNUMBER(W130)),IFERROR(W26/W130,""),"")</f>
      </c>
      <c r="X28" s="215">
        <f>IF(AND(ISNUMBER(X26),ISNUMBER(X130)),IFERROR(X26/X130,""),"")</f>
      </c>
      <c r="Y28" s="215">
        <f>IF(AND(ISNUMBER(Y26),ISNUMBER(Y130)),IFERROR(Y26/Y130,""),"")</f>
      </c>
      <c r="Z28" s="215">
        <f>IF(AND(ISNUMBER(Z26),ISNUMBER(Z130)),IFERROR(Z26/Z130,""),"")</f>
      </c>
      <c r="AA28" s="215">
        <f>IF(AND(ISNUMBER(AA26),ISNUMBER(AA130)),IFERROR(AA26/AA130,""),"")</f>
      </c>
      <c r="AB28" s="215">
        <f>IF(AND(ISNUMBER(AB26),ISNUMBER(AB130)),IFERROR(AB26/AB130,""),"")</f>
      </c>
      <c r="AC28" s="215">
        <f>IF(AND(ISNUMBER(AC26),ISNUMBER(AC130)),IFERROR(AC26/AC130,""),"")</f>
      </c>
      <c r="AD28" s="215">
        <f>IF(AND(ISNUMBER(AD26),ISNUMBER(AD130)),IFERROR(AD26/AD130,""),"")</f>
      </c>
      <c r="AE28" s="215">
        <f>IF(AND(ISNUMBER(AE26),ISNUMBER(AE130)),IFERROR(AE26/AE130,""),"")</f>
      </c>
      <c r="AF28" s="215">
        <f>IF(AND(ISNUMBER(AF26),ISNUMBER(AF130)),IFERROR(AF26/AF130,""),"")</f>
      </c>
      <c r="AG28" s="215">
        <f>IF(AND(ISNUMBER(AG26),ISNUMBER(AG130)),IFERROR(AG26/AG130,""),"")</f>
      </c>
      <c r="AH28" s="215">
        <f>IF(AND(ISNUMBER(AH26),ISNUMBER(AH130)),IFERROR(AH26/AH130,""),"")</f>
      </c>
      <c r="AI28" s="215">
        <f>IF(AND(ISNUMBER(AI26),ISNUMBER(AI130)),IFERROR(AI26/AI130,""),"")</f>
      </c>
      <c r="AJ28" s="215">
        <f>IF(AND(ISNUMBER(AJ26),ISNUMBER(AJ130)),IFERROR(AJ26/AJ130,""),"")</f>
      </c>
      <c r="AK28" s="215">
        <f>IF(AND(ISNUMBER(AK26),ISNUMBER(AK130)),IFERROR(AK26/AK130,""),"")</f>
      </c>
      <c r="AL28" s="215">
        <f>IF(AND(ISNUMBER(AL26),ISNUMBER(AL130)),IFERROR(AL26/AL130,""),"")</f>
      </c>
      <c r="AM28" s="215">
        <f>IF(AND(ISNUMBER(AM26),ISNUMBER(AM130)),IFERROR(AM26/AM130,""),"")</f>
      </c>
      <c r="AN28" s="215">
        <f>IF(AND(ISNUMBER(AN26),ISNUMBER(AN130)),IFERROR(AN26/AN130,""),"")</f>
      </c>
      <c r="AO28" s="215">
        <f>IF(AND(ISNUMBER(AO26),ISNUMBER(AO130)),IFERROR(AO26/AO130,""),"")</f>
      </c>
      <c r="AP28" s="215">
        <f>IF(AND(ISNUMBER(AP26),ISNUMBER(AP130)),IFERROR(AP26/AP130,""),"")</f>
      </c>
      <c r="AQ28" s="215">
        <f>IF(AND(ISNUMBER(AQ26),ISNUMBER(AQ130)),IFERROR(AQ26/AQ130,""),"")</f>
      </c>
      <c r="AR28" s="215">
        <f>IF(AND(ISNUMBER(AR26),ISNUMBER(AR130)),IFERROR(AR26/AR130,""),"")</f>
      </c>
      <c r="AS28" s="215">
        <f>IF(AND(ISNUMBER(AS26),ISNUMBER(AS130)),IFERROR(AS26/AS130,""),"")</f>
      </c>
      <c r="AT28" s="215">
        <f>IF(AND(ISNUMBER(AT26),ISNUMBER(AT130)),IFERROR(AT26/AT130,""),"")</f>
      </c>
      <c r="AU28" s="215">
        <f>IF(AND(ISNUMBER(AU26),ISNUMBER(AU130)),IFERROR(AU26/AU130,""),"")</f>
      </c>
      <c r="AV28" s="215">
        <f>IF(AND(ISNUMBER(AV26),ISNUMBER(AV130)),IFERROR(AV26/AV130,""),"")</f>
      </c>
      <c r="AW28" s="215">
        <f>IF(AND(ISNUMBER(AW26),ISNUMBER(AW130)),IFERROR(AW26/AW130,""),"")</f>
      </c>
      <c r="AX28" s="215">
        <f>IF(AND(ISNUMBER(AX26),ISNUMBER(AX130)),IFERROR(AX26/AX130,""),"")</f>
      </c>
      <c r="AY28" s="215">
        <f>IF(AND(ISNUMBER(AY26),ISNUMBER(AY130)),IFERROR(AY26/AY130,""),"")</f>
      </c>
      <c r="AZ28" s="215">
        <f>IF(AND(ISNUMBER(AZ26),ISNUMBER(AZ130)),IFERROR(AZ26/AZ130,""),"")</f>
      </c>
      <c r="BA28" s="215">
        <f>IF(AND(ISNUMBER(BA26),ISNUMBER(BA130)),IFERROR(BA26/BA130,""),"")</f>
      </c>
      <c r="BB28" s="215">
        <f>IF(AND(ISNUMBER(BB26),ISNUMBER(BB130)),IFERROR(BB26/BB130,""),"")</f>
      </c>
      <c r="BC28" s="215">
        <f>IF(AND(ISNUMBER(BC26),ISNUMBER(BC130)),IFERROR(BC26/BC130,""),"")</f>
      </c>
      <c r="BD28" s="215">
        <f>IF(AND(ISNUMBER(BD26),ISNUMBER(BD130)),IFERROR(BD26/BD130,""),"")</f>
      </c>
      <c r="BE28" s="215">
        <f>IF(AND(ISNUMBER(BE26),ISNUMBER(BE130)),IFERROR(BE26/BE130,""),"")</f>
      </c>
      <c r="BF28" s="215">
        <f>IF(AND(ISNUMBER(BF26),ISNUMBER(BF130)),IFERROR(BF26/BF130,""),"")</f>
      </c>
      <c r="BG28" s="215">
        <f>IF(AND(ISNUMBER(BG26),ISNUMBER(BG130)),IFERROR(BG26/BG130,""),"")</f>
      </c>
      <c r="BH28" s="215">
        <f>IF(AND(ISNUMBER(BH26),ISNUMBER(BH130)),IFERROR(BH26/BH130,""),"")</f>
      </c>
      <c r="BI28" s="215">
        <f>IF(AND(ISNUMBER(BI26),ISNUMBER(BI130)),IFERROR(BI26/BI130,""),"")</f>
      </c>
      <c r="BJ28" s="215">
        <f>IF(AND(ISNUMBER(BJ26),ISNUMBER(BJ130)),IFERROR(BJ26/BJ130,""),"")</f>
      </c>
      <c r="BK28" s="215">
        <f>IF(AND(ISNUMBER(BK26),ISNUMBER(BK130)),IFERROR(BK26/BK130,""),"")</f>
      </c>
      <c r="BL28" s="215">
        <f>IF(AND(ISNUMBER(BL26),ISNUMBER(BL130)),IFERROR(BL26/BL130,""),"")</f>
      </c>
      <c r="BM28" s="215">
        <f>IF(AND(ISNUMBER(BM26),ISNUMBER(BM130)),IFERROR(BM26/BM130,""),"")</f>
      </c>
      <c r="BN28" s="215">
        <f>IF(AND(ISNUMBER(BN26),ISNUMBER(BN130)),IFERROR(BN26/BN130,""),"")</f>
      </c>
      <c r="BO28" s="215">
        <f>IF(AND(ISNUMBER(BO26),ISNUMBER(BO130)),IFERROR(BO26/BO130,""),"")</f>
      </c>
      <c r="BP28" s="215">
        <f>IF(AND(ISNUMBER(BP26),ISNUMBER(BP130)),IFERROR(BP26/BP130,""),"")</f>
      </c>
      <c r="BQ28" s="215">
        <f>IF(AND(ISNUMBER(BQ26),ISNUMBER(BQ130)),IFERROR(BQ26/BQ130,""),"")</f>
      </c>
      <c r="BR28" s="215">
        <f>IF(AND(ISNUMBER(BR26),ISNUMBER(BR130)),IFERROR(BR26/BR130,""),"")</f>
        <v>0.76962720134177</v>
      </c>
      <c r="BS28" s="215">
        <f>IF(AND(ISNUMBER(BS26),ISNUMBER(BS130)),IFERROR(BS26/BS130,""),"")</f>
        <v>0.757783777573529</v>
      </c>
      <c r="BT28" s="215">
        <f>IF(AND(ISNUMBER(BT26),ISNUMBER(BT130)),IFERROR(BT26/BT130,""),"")</f>
        <v>0.781591642165958</v>
      </c>
      <c r="BU28" s="215">
        <f>IF(AND(ISNUMBER(BU26),ISNUMBER(BU130)),IFERROR(BU26/BU130,""),"")</f>
        <v>0.795096872097435</v>
      </c>
      <c r="BV28" s="215">
        <f>IF(AND(ISNUMBER(BV26),ISNUMBER(BV130)),IFERROR(BV26/BV130,""),"")</f>
        <v>0.77658630432622</v>
      </c>
      <c r="BW28" s="215">
        <f>IF(AND(ISNUMBER(BW26),ISNUMBER(BW130)),IFERROR(BW26/BW130,""),"")</f>
        <v>0.79399533943584</v>
      </c>
      <c r="BX28" s="215">
        <f>IF(AND(ISNUMBER(BX26),ISNUMBER(BX130)),IFERROR(BX26/BX130,""),"")</f>
        <v>0.792895549567507</v>
      </c>
      <c r="BY28" s="215">
        <f>IF(AND(ISNUMBER(BY26),ISNUMBER(BY130)),IFERROR(BY26/BY130,""),"")</f>
        <v>0.813623531115026</v>
      </c>
      <c r="BZ28" s="215">
        <f>IF(AND(ISNUMBER(BZ26),ISNUMBER(BZ130)),IFERROR(BZ26/BZ130,""),"")</f>
        <v>0.828557778839424</v>
      </c>
      <c r="CA28" s="215">
        <f>IF(AND(ISNUMBER(CA26),ISNUMBER(CA130)),IFERROR(CA26/CA130,""),"")</f>
        <v>0.808003278698405</v>
      </c>
      <c r="CB28" s="256">
        <f>IF(AND(ISNUMBER(CB26),ISNUMBER(CB130)),IFERROR(CB26/CB130,""),"")</f>
        <v>0.83462389380531</v>
      </c>
      <c r="CC28" s="256">
        <f>IF(AND(ISNUMBER(CC26),ISNUMBER(CC130)),IFERROR(CC26/CC130,""),"")</f>
        <v>0.833907154640964</v>
      </c>
      <c r="CD28" s="256">
        <f>IF(AND(ISNUMBER(CD26),ISNUMBER(CD130)),IFERROR(CD26/CD130,""),"")</f>
        <v>0.851332018010721</v>
      </c>
      <c r="CE28" s="256">
        <f>IF(AND(ISNUMBER(CE26),ISNUMBER(CE130)),IFERROR(CE26/CE130,""),"")</f>
        <v>0.863235417728554</v>
      </c>
      <c r="CF28" s="256">
        <f>IF(AND(ISNUMBER(CF26),ISNUMBER(CF130)),IFERROR(CF26/CF130,""),"")</f>
        <v>0.846459961130477</v>
      </c>
      <c r="CG28" s="256">
        <f>IF(AND(ISNUMBER(CG26),ISNUMBER(CG130)),IFERROR(CG26/CG130,""),"")</f>
        <v>0.863052480377313</v>
      </c>
      <c r="CH28" s="256">
        <f>IF(AND(ISNUMBER(CH26),ISNUMBER(CH130)),IFERROR(CH26/CH130,""),"")</f>
        <v>0.875346035337047</v>
      </c>
      <c r="CI28" s="256">
        <f>IF(AND(ISNUMBER(CI26),ISNUMBER(CI130)),IFERROR(CI26/CI130,""),"")</f>
        <v>0.885033212975142</v>
      </c>
      <c r="CJ28" s="256">
        <f>IF(AND(ISNUMBER(CJ26),ISNUMBER(CJ130)),IFERROR(CJ26/CJ130,""),"")</f>
        <v>0.892313757116707</v>
      </c>
      <c r="CK28" s="153" t="n"/>
      <c r="CS28" s="25" t="inlineStr">
        <is>
          <t xml:space="preserve">  2029E</t>
        </is>
      </c>
      <c r="CT28" s="33">
        <f>CU28+$CT$26</f>
        <v>0.32</v>
      </c>
      <c r="CU28" s="42" t="n">
        <v>0.26</v>
      </c>
      <c r="CV28" s="33">
        <f>CU28+$CV$26</f>
        <v>0.16</v>
      </c>
    </row>
    <row r="29" ht="15" customHeight="1" s="251">
      <c r="B29" s="156" t="inlineStr">
        <is>
          <t xml:space="preserve">  Memo: Agents and Infra segment revenue as restated (8-K 2-Sep-2026)</t>
        </is>
      </c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  <c r="L29" s="34" t="n"/>
      <c r="M29" s="34" t="n"/>
      <c r="N29" s="34" t="n"/>
      <c r="O29" s="34" t="n"/>
      <c r="P29" s="34" t="n"/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  <c r="BB29" s="34" t="n"/>
      <c r="BC29" s="34" t="n"/>
      <c r="BD29" s="34" t="n"/>
      <c r="BE29" s="34" t="n"/>
      <c r="BF29" s="34" t="n"/>
      <c r="BG29" s="34" t="n"/>
      <c r="BH29" s="34" t="n"/>
      <c r="BI29" s="34" t="n"/>
      <c r="BJ29" s="34" t="n"/>
      <c r="BK29" s="34" t="n"/>
      <c r="BL29" s="34" t="n"/>
      <c r="BM29" s="34" t="n"/>
      <c r="BN29" s="34" t="n"/>
      <c r="BO29" s="34" t="n"/>
      <c r="BP29" s="34" t="n"/>
      <c r="BQ29" s="34" t="n"/>
      <c r="BR29" s="253" t="n">
        <v>50476</v>
      </c>
      <c r="BS29" s="253" t="n">
        <v>52766</v>
      </c>
      <c r="BT29" s="253" t="n">
        <v>54763</v>
      </c>
      <c r="BU29" s="253" t="n">
        <v>60778</v>
      </c>
      <c r="BV29" s="253" t="n">
        <v>218783</v>
      </c>
      <c r="BW29" s="253" t="n">
        <v>61672</v>
      </c>
      <c r="BX29" s="253" t="n">
        <v>64441</v>
      </c>
      <c r="BY29" s="253" t="n">
        <v>67438</v>
      </c>
      <c r="BZ29" s="253" t="n">
        <v>74576</v>
      </c>
      <c r="CA29" s="253" t="n">
        <v>268127</v>
      </c>
      <c r="CB29" s="153" t="n"/>
      <c r="CC29" s="153" t="n"/>
      <c r="CD29" s="153" t="n"/>
      <c r="CE29" s="153" t="n"/>
      <c r="CF29" s="153" t="n"/>
      <c r="CG29" s="153" t="n"/>
      <c r="CH29" s="153" t="n"/>
      <c r="CI29" s="153" t="n"/>
      <c r="CJ29" s="153" t="n"/>
      <c r="CK29" s="153" t="n"/>
      <c r="CS29" s="25" t="inlineStr">
        <is>
          <t xml:space="preserve">  2030E</t>
        </is>
      </c>
      <c r="CT29" s="33">
        <f>CU29+$CT$26</f>
        <v>0.27</v>
      </c>
      <c r="CU29" s="42" t="n">
        <v>0.21</v>
      </c>
      <c r="CV29" s="33">
        <f>CU29+$CV$26</f>
        <v>0.11</v>
      </c>
    </row>
    <row r="30" ht="15" customHeight="1" s="251">
      <c r="B30" s="57" t="inlineStr">
        <is>
          <t xml:space="preserve">  Check: product &amp; service lines vs segment revenue (should be 0)</t>
        </is>
      </c>
      <c r="C30" s="211">
        <f>IF(AND(ISNUMBER(C26),ISNUMBER(C29)),IF(ABS(C26-C29)&lt;=1,0,ROUND(C26-C29,0)),"")</f>
      </c>
      <c r="D30" s="211">
        <f>IF(AND(ISNUMBER(D26),ISNUMBER(D29)),IF(ABS(D26-D29)&lt;=1,0,ROUND(D26-D29,0)),"")</f>
      </c>
      <c r="E30" s="211">
        <f>IF(AND(ISNUMBER(E26),ISNUMBER(E29)),IF(ABS(E26-E29)&lt;=1,0,ROUND(E26-E29,0)),"")</f>
      </c>
      <c r="F30" s="211">
        <f>IF(AND(ISNUMBER(F26),ISNUMBER(F29)),IF(ABS(F26-F29)&lt;=1,0,ROUND(F26-F29,0)),"")</f>
      </c>
      <c r="G30" s="211">
        <f>IF(AND(ISNUMBER(G26),ISNUMBER(G29)),IF(ABS(G26-G29)&lt;=1,0,ROUND(G26-G29,0)),"")</f>
      </c>
      <c r="H30" s="211">
        <f>IF(AND(ISNUMBER(H26),ISNUMBER(H29)),IF(ABS(H26-H29)&lt;=1,0,ROUND(H26-H29,0)),"")</f>
      </c>
      <c r="I30" s="211">
        <f>IF(AND(ISNUMBER(I26),ISNUMBER(I29)),IF(ABS(I26-I29)&lt;=1,0,ROUND(I26-I29,0)),"")</f>
      </c>
      <c r="J30" s="211">
        <f>IF(AND(ISNUMBER(J26),ISNUMBER(J29)),IF(ABS(J26-J29)&lt;=1,0,ROUND(J26-J29,0)),"")</f>
      </c>
      <c r="K30" s="211">
        <f>IF(AND(ISNUMBER(K26),ISNUMBER(K29)),IF(ABS(K26-K29)&lt;=1,0,ROUND(K26-K29,0)),"")</f>
      </c>
      <c r="L30" s="211">
        <f>IF(AND(ISNUMBER(L26),ISNUMBER(L29)),IF(ABS(L26-L29)&lt;=1,0,ROUND(L26-L29,0)),"")</f>
      </c>
      <c r="M30" s="211">
        <f>IF(AND(ISNUMBER(M26),ISNUMBER(M29)),IF(ABS(M26-M29)&lt;=1,0,ROUND(M26-M29,0)),"")</f>
      </c>
      <c r="N30" s="211">
        <f>IF(AND(ISNUMBER(N26),ISNUMBER(N29)),IF(ABS(N26-N29)&lt;=1,0,ROUND(N26-N29,0)),"")</f>
      </c>
      <c r="O30" s="211">
        <f>IF(AND(ISNUMBER(O26),ISNUMBER(O29)),IF(ABS(O26-O29)&lt;=1,0,ROUND(O26-O29,0)),"")</f>
      </c>
      <c r="P30" s="211">
        <f>IF(AND(ISNUMBER(P26),ISNUMBER(P29)),IF(ABS(P26-P29)&lt;=1,0,ROUND(P26-P29,0)),"")</f>
      </c>
      <c r="Q30" s="211">
        <f>IF(AND(ISNUMBER(Q26),ISNUMBER(Q29)),IF(ABS(Q26-Q29)&lt;=1,0,ROUND(Q26-Q29,0)),"")</f>
      </c>
      <c r="R30" s="211">
        <f>IF(AND(ISNUMBER(R26),ISNUMBER(R29)),IF(ABS(R26-R29)&lt;=1,0,ROUND(R26-R29,0)),"")</f>
      </c>
      <c r="S30" s="211">
        <f>IF(AND(ISNUMBER(S26),ISNUMBER(S29)),IF(ABS(S26-S29)&lt;=1,0,ROUND(S26-S29,0)),"")</f>
      </c>
      <c r="T30" s="211">
        <f>IF(AND(ISNUMBER(T26),ISNUMBER(T29)),IF(ABS(T26-T29)&lt;=1,0,ROUND(T26-T29,0)),"")</f>
      </c>
      <c r="U30" s="211">
        <f>IF(AND(ISNUMBER(U26),ISNUMBER(U29)),IF(ABS(U26-U29)&lt;=1,0,ROUND(U26-U29,0)),"")</f>
      </c>
      <c r="V30" s="211">
        <f>IF(AND(ISNUMBER(V26),ISNUMBER(V29)),IF(ABS(V26-V29)&lt;=1,0,ROUND(V26-V29,0)),"")</f>
      </c>
      <c r="W30" s="211">
        <f>IF(AND(ISNUMBER(W26),ISNUMBER(W29)),IF(ABS(W26-W29)&lt;=1,0,ROUND(W26-W29,0)),"")</f>
      </c>
      <c r="X30" s="211">
        <f>IF(AND(ISNUMBER(X26),ISNUMBER(X29)),IF(ABS(X26-X29)&lt;=1,0,ROUND(X26-X29,0)),"")</f>
      </c>
      <c r="Y30" s="211">
        <f>IF(AND(ISNUMBER(Y26),ISNUMBER(Y29)),IF(ABS(Y26-Y29)&lt;=1,0,ROUND(Y26-Y29,0)),"")</f>
      </c>
      <c r="Z30" s="211">
        <f>IF(AND(ISNUMBER(Z26),ISNUMBER(Z29)),IF(ABS(Z26-Z29)&lt;=1,0,ROUND(Z26-Z29,0)),"")</f>
      </c>
      <c r="AA30" s="211">
        <f>IF(AND(ISNUMBER(AA26),ISNUMBER(AA29)),IF(ABS(AA26-AA29)&lt;=1,0,ROUND(AA26-AA29,0)),"")</f>
      </c>
      <c r="AB30" s="211">
        <f>IF(AND(ISNUMBER(AB26),ISNUMBER(AB29)),IF(ABS(AB26-AB29)&lt;=1,0,ROUND(AB26-AB29,0)),"")</f>
      </c>
      <c r="AC30" s="211">
        <f>IF(AND(ISNUMBER(AC26),ISNUMBER(AC29)),IF(ABS(AC26-AC29)&lt;=1,0,ROUND(AC26-AC29,0)),"")</f>
      </c>
      <c r="AD30" s="211">
        <f>IF(AND(ISNUMBER(AD26),ISNUMBER(AD29)),IF(ABS(AD26-AD29)&lt;=1,0,ROUND(AD26-AD29,0)),"")</f>
      </c>
      <c r="AE30" s="211">
        <f>IF(AND(ISNUMBER(AE26),ISNUMBER(AE29)),IF(ABS(AE26-AE29)&lt;=1,0,ROUND(AE26-AE29,0)),"")</f>
      </c>
      <c r="AF30" s="211">
        <f>IF(AND(ISNUMBER(AF26),ISNUMBER(AF29)),IF(ABS(AF26-AF29)&lt;=1,0,ROUND(AF26-AF29,0)),"")</f>
      </c>
      <c r="AG30" s="211">
        <f>IF(AND(ISNUMBER(AG26),ISNUMBER(AG29)),IF(ABS(AG26-AG29)&lt;=1,0,ROUND(AG26-AG29,0)),"")</f>
      </c>
      <c r="AH30" s="211">
        <f>IF(AND(ISNUMBER(AH26),ISNUMBER(AH29)),IF(ABS(AH26-AH29)&lt;=1,0,ROUND(AH26-AH29,0)),"")</f>
      </c>
      <c r="AI30" s="211">
        <f>IF(AND(ISNUMBER(AI26),ISNUMBER(AI29)),IF(ABS(AI26-AI29)&lt;=1,0,ROUND(AI26-AI29,0)),"")</f>
      </c>
      <c r="AJ30" s="211">
        <f>IF(AND(ISNUMBER(AJ26),ISNUMBER(AJ29)),IF(ABS(AJ26-AJ29)&lt;=1,0,ROUND(AJ26-AJ29,0)),"")</f>
      </c>
      <c r="AK30" s="211">
        <f>IF(AND(ISNUMBER(AK26),ISNUMBER(AK29)),IF(ABS(AK26-AK29)&lt;=1,0,ROUND(AK26-AK29,0)),"")</f>
      </c>
      <c r="AL30" s="211">
        <f>IF(AND(ISNUMBER(AL26),ISNUMBER(AL29)),IF(ABS(AL26-AL29)&lt;=1,0,ROUND(AL26-AL29,0)),"")</f>
      </c>
      <c r="AM30" s="211">
        <f>IF(AND(ISNUMBER(AM26),ISNUMBER(AM29)),IF(ABS(AM26-AM29)&lt;=1,0,ROUND(AM26-AM29,0)),"")</f>
      </c>
      <c r="AN30" s="211">
        <f>IF(AND(ISNUMBER(AN26),ISNUMBER(AN29)),IF(ABS(AN26-AN29)&lt;=1,0,ROUND(AN26-AN29,0)),"")</f>
      </c>
      <c r="AO30" s="211">
        <f>IF(AND(ISNUMBER(AO26),ISNUMBER(AO29)),IF(ABS(AO26-AO29)&lt;=1,0,ROUND(AO26-AO29,0)),"")</f>
      </c>
      <c r="AP30" s="211">
        <f>IF(AND(ISNUMBER(AP26),ISNUMBER(AP29)),IF(ABS(AP26-AP29)&lt;=1,0,ROUND(AP26-AP29,0)),"")</f>
      </c>
      <c r="AQ30" s="211">
        <f>IF(AND(ISNUMBER(AQ26),ISNUMBER(AQ29)),IF(ABS(AQ26-AQ29)&lt;=1,0,ROUND(AQ26-AQ29,0)),"")</f>
      </c>
      <c r="AR30" s="211">
        <f>IF(AND(ISNUMBER(AR26),ISNUMBER(AR29)),IF(ABS(AR26-AR29)&lt;=1,0,ROUND(AR26-AR29,0)),"")</f>
      </c>
      <c r="AS30" s="211">
        <f>IF(AND(ISNUMBER(AS26),ISNUMBER(AS29)),IF(ABS(AS26-AS29)&lt;=1,0,ROUND(AS26-AS29,0)),"")</f>
      </c>
      <c r="AT30" s="211">
        <f>IF(AND(ISNUMBER(AT26),ISNUMBER(AT29)),IF(ABS(AT26-AT29)&lt;=1,0,ROUND(AT26-AT29,0)),"")</f>
      </c>
      <c r="AU30" s="211">
        <f>IF(AND(ISNUMBER(AU26),ISNUMBER(AU29)),IF(ABS(AU26-AU29)&lt;=1,0,ROUND(AU26-AU29,0)),"")</f>
      </c>
      <c r="AV30" s="211">
        <f>IF(AND(ISNUMBER(AV26),ISNUMBER(AV29)),IF(ABS(AV26-AV29)&lt;=1,0,ROUND(AV26-AV29,0)),"")</f>
      </c>
      <c r="AW30" s="211">
        <f>IF(AND(ISNUMBER(AW26),ISNUMBER(AW29)),IF(ABS(AW26-AW29)&lt;=1,0,ROUND(AW26-AW29,0)),"")</f>
      </c>
      <c r="AX30" s="211">
        <f>IF(AND(ISNUMBER(AX26),ISNUMBER(AX29)),IF(ABS(AX26-AX29)&lt;=1,0,ROUND(AX26-AX29,0)),"")</f>
      </c>
      <c r="AY30" s="211">
        <f>IF(AND(ISNUMBER(AY26),ISNUMBER(AY29)),IF(ABS(AY26-AY29)&lt;=1,0,ROUND(AY26-AY29,0)),"")</f>
      </c>
      <c r="AZ30" s="211">
        <f>IF(AND(ISNUMBER(AZ26),ISNUMBER(AZ29)),IF(ABS(AZ26-AZ29)&lt;=1,0,ROUND(AZ26-AZ29,0)),"")</f>
      </c>
      <c r="BA30" s="211">
        <f>IF(AND(ISNUMBER(BA26),ISNUMBER(BA29)),IF(ABS(BA26-BA29)&lt;=1,0,ROUND(BA26-BA29,0)),"")</f>
      </c>
      <c r="BB30" s="211">
        <f>IF(AND(ISNUMBER(BB26),ISNUMBER(BB29)),IF(ABS(BB26-BB29)&lt;=1,0,ROUND(BB26-BB29,0)),"")</f>
      </c>
      <c r="BC30" s="211">
        <f>IF(AND(ISNUMBER(BC26),ISNUMBER(BC29)),IF(ABS(BC26-BC29)&lt;=1,0,ROUND(BC26-BC29,0)),"")</f>
      </c>
      <c r="BD30" s="211">
        <f>IF(AND(ISNUMBER(BD26),ISNUMBER(BD29)),IF(ABS(BD26-BD29)&lt;=1,0,ROUND(BD26-BD29,0)),"")</f>
      </c>
      <c r="BE30" s="211">
        <f>IF(AND(ISNUMBER(BE26),ISNUMBER(BE29)),IF(ABS(BE26-BE29)&lt;=1,0,ROUND(BE26-BE29,0)),"")</f>
      </c>
      <c r="BF30" s="211">
        <f>IF(AND(ISNUMBER(BF26),ISNUMBER(BF29)),IF(ABS(BF26-BF29)&lt;=1,0,ROUND(BF26-BF29,0)),"")</f>
      </c>
      <c r="BG30" s="211">
        <f>IF(AND(ISNUMBER(BG26),ISNUMBER(BG29)),IF(ABS(BG26-BG29)&lt;=1,0,ROUND(BG26-BG29,0)),"")</f>
      </c>
      <c r="BH30" s="211">
        <f>IF(AND(ISNUMBER(BH26),ISNUMBER(BH29)),IF(ABS(BH26-BH29)&lt;=1,0,ROUND(BH26-BH29,0)),"")</f>
      </c>
      <c r="BI30" s="211">
        <f>IF(AND(ISNUMBER(BI26),ISNUMBER(BI29)),IF(ABS(BI26-BI29)&lt;=1,0,ROUND(BI26-BI29,0)),"")</f>
      </c>
      <c r="BJ30" s="211">
        <f>IF(AND(ISNUMBER(BJ26),ISNUMBER(BJ29)),IF(ABS(BJ26-BJ29)&lt;=1,0,ROUND(BJ26-BJ29,0)),"")</f>
      </c>
      <c r="BK30" s="211">
        <f>IF(AND(ISNUMBER(BK26),ISNUMBER(BK29)),IF(ABS(BK26-BK29)&lt;=1,0,ROUND(BK26-BK29,0)),"")</f>
      </c>
      <c r="BL30" s="211">
        <f>IF(AND(ISNUMBER(BL26),ISNUMBER(BL29)),IF(ABS(BL26-BL29)&lt;=1,0,ROUND(BL26-BL29,0)),"")</f>
      </c>
      <c r="BM30" s="211">
        <f>IF(AND(ISNUMBER(BM26),ISNUMBER(BM29)),IF(ABS(BM26-BM29)&lt;=1,0,ROUND(BM26-BM29,0)),"")</f>
      </c>
      <c r="BN30" s="211">
        <f>IF(AND(ISNUMBER(BN26),ISNUMBER(BN29)),IF(ABS(BN26-BN29)&lt;=1,0,ROUND(BN26-BN29,0)),"")</f>
      </c>
      <c r="BO30" s="211">
        <f>IF(AND(ISNUMBER(BO26),ISNUMBER(BO29)),IF(ABS(BO26-BO29)&lt;=1,0,ROUND(BO26-BO29,0)),"")</f>
      </c>
      <c r="BP30" s="211">
        <f>IF(AND(ISNUMBER(BP26),ISNUMBER(BP29)),IF(ABS(BP26-BP29)&lt;=1,0,ROUND(BP26-BP29,0)),"")</f>
      </c>
      <c r="BQ30" s="211">
        <f>IF(AND(ISNUMBER(BQ26),ISNUMBER(BQ29)),IF(ABS(BQ26-BQ29)&lt;=1,0,ROUND(BQ26-BQ29,0)),"")</f>
      </c>
      <c r="BR30" s="211">
        <f>IF(AND(ISNUMBER(BR26),ISNUMBER(BR29)),IF(ABS(BR26-BR29)&lt;=1,0,ROUND(BR26-BR29,0)),"")</f>
        <v>0</v>
      </c>
      <c r="BS30" s="211">
        <f>IF(AND(ISNUMBER(BS26),ISNUMBER(BS29)),IF(ABS(BS26-BS29)&lt;=1,0,ROUND(BS26-BS29,0)),"")</f>
        <v>0</v>
      </c>
      <c r="BT30" s="211">
        <f>IF(AND(ISNUMBER(BT26),ISNUMBER(BT29)),IF(ABS(BT26-BT29)&lt;=1,0,ROUND(BT26-BT29,0)),"")</f>
        <v>0</v>
      </c>
      <c r="BU30" s="211">
        <f>IF(AND(ISNUMBER(BU26),ISNUMBER(BU29)),IF(ABS(BU26-BU29)&lt;=1,0,ROUND(BU26-BU29,0)),"")</f>
        <v>0</v>
      </c>
      <c r="BV30" s="211">
        <f>IF(AND(ISNUMBER(BV26),ISNUMBER(BV29)),IF(ABS(BV26-BV29)&lt;=1,0,ROUND(BV26-BV29,0)),"")</f>
        <v>0</v>
      </c>
      <c r="BW30" s="211">
        <f>IF(AND(ISNUMBER(BW26),ISNUMBER(BW29)),IF(ABS(BW26-BW29)&lt;=1,0,ROUND(BW26-BW29,0)),"")</f>
        <v>0</v>
      </c>
      <c r="BX30" s="211">
        <f>IF(AND(ISNUMBER(BX26),ISNUMBER(BX29)),IF(ABS(BX26-BX29)&lt;=1,0,ROUND(BX26-BX29,0)),"")</f>
        <v>0</v>
      </c>
      <c r="BY30" s="211">
        <f>IF(AND(ISNUMBER(BY26),ISNUMBER(BY29)),IF(ABS(BY26-BY29)&lt;=1,0,ROUND(BY26-BY29,0)),"")</f>
        <v>0</v>
      </c>
      <c r="BZ30" s="211">
        <f>IF(AND(ISNUMBER(BZ26),ISNUMBER(BZ29)),IF(ABS(BZ26-BZ29)&lt;=1,0,ROUND(BZ26-BZ29,0)),"")</f>
        <v>0</v>
      </c>
      <c r="CA30" s="211">
        <f>IF(AND(ISNUMBER(CA26),ISNUMBER(CA29)),IF(ABS(CA26-CA29)&lt;=1,0,ROUND(CA26-CA29,0)),"")</f>
        <v>0</v>
      </c>
      <c r="CB30" s="153" t="n"/>
      <c r="CC30" s="153" t="n"/>
      <c r="CD30" s="153" t="n"/>
      <c r="CE30" s="153" t="n"/>
      <c r="CF30" s="153" t="n"/>
      <c r="CG30" s="153" t="n"/>
      <c r="CH30" s="153" t="n"/>
      <c r="CI30" s="153" t="n"/>
      <c r="CJ30" s="153" t="n"/>
      <c r="CK30" s="153" t="n"/>
      <c r="CS30" s="25" t="inlineStr">
        <is>
          <t xml:space="preserve">  2031E</t>
        </is>
      </c>
      <c r="CT30" s="33">
        <f>CU30+$CT$26</f>
        <v>0.23</v>
      </c>
      <c r="CU30" s="42" t="n">
        <v>0.17</v>
      </c>
      <c r="CV30" s="33">
        <f>CU30+$CV$26</f>
        <v>0.07</v>
      </c>
    </row>
    <row r="31" ht="15" customHeight="1" s="251">
      <c r="B31" s="25" t="inlineStr">
        <is>
          <t xml:space="preserve">  Agents and Infra — segment operating income</t>
        </is>
      </c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  <c r="BB31" s="34" t="n"/>
      <c r="BC31" s="34" t="n"/>
      <c r="BD31" s="34" t="n"/>
      <c r="BE31" s="34" t="n"/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253" t="n">
        <v>26171</v>
      </c>
      <c r="BS31" s="253" t="n">
        <v>26718</v>
      </c>
      <c r="BT31" s="253" t="n">
        <v>27704</v>
      </c>
      <c r="BU31" s="253" t="n">
        <v>30221</v>
      </c>
      <c r="BV31" s="253" t="n">
        <v>110814</v>
      </c>
      <c r="BW31" s="253" t="n">
        <v>32718</v>
      </c>
      <c r="BX31" s="253" t="n">
        <v>33167</v>
      </c>
      <c r="BY31" s="253" t="n">
        <v>33748</v>
      </c>
      <c r="BZ31" s="253" t="n">
        <v>36732</v>
      </c>
      <c r="CA31" s="253" t="n">
        <v>136365</v>
      </c>
      <c r="CB31" s="254">
        <f>CB26*CB32</f>
        <v>38971.0187823226</v>
      </c>
      <c r="CC31" s="254">
        <f>CC26*CC32</f>
        <v>39587.5807706837</v>
      </c>
      <c r="CD31" s="254">
        <f>CD26*CD32</f>
        <v>40368.6001528299</v>
      </c>
      <c r="CE31" s="254">
        <f>CE26*CE32</f>
        <v>43961.2708057062</v>
      </c>
      <c r="CF31" s="254">
        <f>SUM(CB31:CE31)</f>
        <v>162888.470511542</v>
      </c>
      <c r="CG31" s="254">
        <f>CG26*CG32</f>
        <v>184728.773738717</v>
      </c>
      <c r="CH31" s="254">
        <f>CH26*CH32</f>
        <v>214455.875590478</v>
      </c>
      <c r="CI31" s="254">
        <f>CI26*CI32</f>
        <v>249311.872104808</v>
      </c>
      <c r="CJ31" s="254">
        <f>CJ26*CJ32</f>
        <v>284698.956107574</v>
      </c>
      <c r="CK31" s="19" t="inlineStr">
        <is>
          <t>Segment operating income as restated (segment revenue − cost of revenue − operating expenses; all costs are allocated, no corporate line). Forecast = revenue × margin.</t>
        </is>
      </c>
      <c r="CM31" s="20">
        <f>IFERROR((CJ31/CA31)^(1/5)-1,"n/m")</f>
        <v>0.158608183219156</v>
      </c>
      <c r="CN31" s="20" t="str">
        <f>IFERROR((CA31/BB31)^(1/5)-1,"n/m")</f>
        <v>n/m</v>
      </c>
      <c r="CO31" s="20" t="str">
        <f>IFERROR((CA31/AC31)^(1/10)-1,"n/m")</f>
        <v>n/m</v>
      </c>
      <c r="CP31" s="20" t="str">
        <f>IFERROR((CA31/C31)^(1/20)-1,"n/m")</f>
        <v>n/m</v>
      </c>
      <c r="CS31" s="15" t="inlineStr">
        <is>
          <t>AI_M365 (Microsoft 365 cloud y/y)</t>
        </is>
      </c>
      <c r="CT31" s="41" t="n">
        <v>0.03</v>
      </c>
      <c r="CU31" s="21" t="inlineStr">
        <is>
          <t>Δ →</t>
        </is>
      </c>
      <c r="CV31" s="41" t="n">
        <v>-0.05</v>
      </c>
      <c r="CW31" s="13" t="inlineStr">
        <is>
          <t>FY26 +18.5% (incl. GitHub, Security Copilot); Q1 FY27 M365 commercial cloud ~17% cc; seats +7%, ARPU from E5 / Copilot.</t>
        </is>
      </c>
    </row>
    <row r="32" ht="15" customHeight="1" s="251">
      <c r="B32" s="25" t="inlineStr">
        <is>
          <t xml:space="preserve">  Segment operating margin %</t>
        </is>
      </c>
      <c r="C32" s="215">
        <f>IF(AND(ISNUMBER(C31),ISNUMBER(C26)),IFERROR(C31/C26,""),"")</f>
      </c>
      <c r="D32" s="215">
        <f>IF(AND(ISNUMBER(D31),ISNUMBER(D26)),IFERROR(D31/D26,""),"")</f>
      </c>
      <c r="E32" s="215">
        <f>IF(AND(ISNUMBER(E31),ISNUMBER(E26)),IFERROR(E31/E26,""),"")</f>
      </c>
      <c r="F32" s="215">
        <f>IF(AND(ISNUMBER(F31),ISNUMBER(F26)),IFERROR(F31/F26,""),"")</f>
      </c>
      <c r="G32" s="215">
        <f>IF(AND(ISNUMBER(G31),ISNUMBER(G26)),IFERROR(G31/G26,""),"")</f>
      </c>
      <c r="H32" s="215">
        <f>IF(AND(ISNUMBER(H31),ISNUMBER(H26)),IFERROR(H31/H26,""),"")</f>
      </c>
      <c r="I32" s="215">
        <f>IF(AND(ISNUMBER(I31),ISNUMBER(I26)),IFERROR(I31/I26,""),"")</f>
      </c>
      <c r="J32" s="215">
        <f>IF(AND(ISNUMBER(J31),ISNUMBER(J26)),IFERROR(J31/J26,""),"")</f>
      </c>
      <c r="K32" s="215">
        <f>IF(AND(ISNUMBER(K31),ISNUMBER(K26)),IFERROR(K31/K26,""),"")</f>
      </c>
      <c r="L32" s="215">
        <f>IF(AND(ISNUMBER(L31),ISNUMBER(L26)),IFERROR(L31/L26,""),"")</f>
      </c>
      <c r="M32" s="215">
        <f>IF(AND(ISNUMBER(M31),ISNUMBER(M26)),IFERROR(M31/M26,""),"")</f>
      </c>
      <c r="N32" s="215">
        <f>IF(AND(ISNUMBER(N31),ISNUMBER(N26)),IFERROR(N31/N26,""),"")</f>
      </c>
      <c r="O32" s="215">
        <f>IF(AND(ISNUMBER(O31),ISNUMBER(O26)),IFERROR(O31/O26,""),"")</f>
      </c>
      <c r="P32" s="215">
        <f>IF(AND(ISNUMBER(P31),ISNUMBER(P26)),IFERROR(P31/P26,""),"")</f>
      </c>
      <c r="Q32" s="215">
        <f>IF(AND(ISNUMBER(Q31),ISNUMBER(Q26)),IFERROR(Q31/Q26,""),"")</f>
      </c>
      <c r="R32" s="215">
        <f>IF(AND(ISNUMBER(R31),ISNUMBER(R26)),IFERROR(R31/R26,""),"")</f>
      </c>
      <c r="S32" s="215">
        <f>IF(AND(ISNUMBER(S31),ISNUMBER(S26)),IFERROR(S31/S26,""),"")</f>
      </c>
      <c r="T32" s="215">
        <f>IF(AND(ISNUMBER(T31),ISNUMBER(T26)),IFERROR(T31/T26,""),"")</f>
      </c>
      <c r="U32" s="215">
        <f>IF(AND(ISNUMBER(U31),ISNUMBER(U26)),IFERROR(U31/U26,""),"")</f>
      </c>
      <c r="V32" s="215">
        <f>IF(AND(ISNUMBER(V31),ISNUMBER(V26)),IFERROR(V31/V26,""),"")</f>
      </c>
      <c r="W32" s="215">
        <f>IF(AND(ISNUMBER(W31),ISNUMBER(W26)),IFERROR(W31/W26,""),"")</f>
      </c>
      <c r="X32" s="215">
        <f>IF(AND(ISNUMBER(X31),ISNUMBER(X26)),IFERROR(X31/X26,""),"")</f>
      </c>
      <c r="Y32" s="215">
        <f>IF(AND(ISNUMBER(Y31),ISNUMBER(Y26)),IFERROR(Y31/Y26,""),"")</f>
      </c>
      <c r="Z32" s="215">
        <f>IF(AND(ISNUMBER(Z31),ISNUMBER(Z26)),IFERROR(Z31/Z26,""),"")</f>
      </c>
      <c r="AA32" s="215">
        <f>IF(AND(ISNUMBER(AA31),ISNUMBER(AA26)),IFERROR(AA31/AA26,""),"")</f>
      </c>
      <c r="AB32" s="215">
        <f>IF(AND(ISNUMBER(AB31),ISNUMBER(AB26)),IFERROR(AB31/AB26,""),"")</f>
      </c>
      <c r="AC32" s="215">
        <f>IF(AND(ISNUMBER(AC31),ISNUMBER(AC26)),IFERROR(AC31/AC26,""),"")</f>
      </c>
      <c r="AD32" s="215">
        <f>IF(AND(ISNUMBER(AD31),ISNUMBER(AD26)),IFERROR(AD31/AD26,""),"")</f>
      </c>
      <c r="AE32" s="215">
        <f>IF(AND(ISNUMBER(AE31),ISNUMBER(AE26)),IFERROR(AE31/AE26,""),"")</f>
      </c>
      <c r="AF32" s="215">
        <f>IF(AND(ISNUMBER(AF31),ISNUMBER(AF26)),IFERROR(AF31/AF26,""),"")</f>
      </c>
      <c r="AG32" s="215">
        <f>IF(AND(ISNUMBER(AG31),ISNUMBER(AG26)),IFERROR(AG31/AG26,""),"")</f>
      </c>
      <c r="AH32" s="215">
        <f>IF(AND(ISNUMBER(AH31),ISNUMBER(AH26)),IFERROR(AH31/AH26,""),"")</f>
      </c>
      <c r="AI32" s="215">
        <f>IF(AND(ISNUMBER(AI31),ISNUMBER(AI26)),IFERROR(AI31/AI26,""),"")</f>
      </c>
      <c r="AJ32" s="215">
        <f>IF(AND(ISNUMBER(AJ31),ISNUMBER(AJ26)),IFERROR(AJ31/AJ26,""),"")</f>
      </c>
      <c r="AK32" s="215">
        <f>IF(AND(ISNUMBER(AK31),ISNUMBER(AK26)),IFERROR(AK31/AK26,""),"")</f>
      </c>
      <c r="AL32" s="215">
        <f>IF(AND(ISNUMBER(AL31),ISNUMBER(AL26)),IFERROR(AL31/AL26,""),"")</f>
      </c>
      <c r="AM32" s="215">
        <f>IF(AND(ISNUMBER(AM31),ISNUMBER(AM26)),IFERROR(AM31/AM26,""),"")</f>
      </c>
      <c r="AN32" s="215">
        <f>IF(AND(ISNUMBER(AN31),ISNUMBER(AN26)),IFERROR(AN31/AN26,""),"")</f>
      </c>
      <c r="AO32" s="215">
        <f>IF(AND(ISNUMBER(AO31),ISNUMBER(AO26)),IFERROR(AO31/AO26,""),"")</f>
      </c>
      <c r="AP32" s="215">
        <f>IF(AND(ISNUMBER(AP31),ISNUMBER(AP26)),IFERROR(AP31/AP26,""),"")</f>
      </c>
      <c r="AQ32" s="215">
        <f>IF(AND(ISNUMBER(AQ31),ISNUMBER(AQ26)),IFERROR(AQ31/AQ26,""),"")</f>
      </c>
      <c r="AR32" s="215">
        <f>IF(AND(ISNUMBER(AR31),ISNUMBER(AR26)),IFERROR(AR31/AR26,""),"")</f>
      </c>
      <c r="AS32" s="215">
        <f>IF(AND(ISNUMBER(AS31),ISNUMBER(AS26)),IFERROR(AS31/AS26,""),"")</f>
      </c>
      <c r="AT32" s="215">
        <f>IF(AND(ISNUMBER(AT31),ISNUMBER(AT26)),IFERROR(AT31/AT26,""),"")</f>
      </c>
      <c r="AU32" s="215">
        <f>IF(AND(ISNUMBER(AU31),ISNUMBER(AU26)),IFERROR(AU31/AU26,""),"")</f>
      </c>
      <c r="AV32" s="215">
        <f>IF(AND(ISNUMBER(AV31),ISNUMBER(AV26)),IFERROR(AV31/AV26,""),"")</f>
      </c>
      <c r="AW32" s="215">
        <f>IF(AND(ISNUMBER(AW31),ISNUMBER(AW26)),IFERROR(AW31/AW26,""),"")</f>
      </c>
      <c r="AX32" s="215">
        <f>IF(AND(ISNUMBER(AX31),ISNUMBER(AX26)),IFERROR(AX31/AX26,""),"")</f>
      </c>
      <c r="AY32" s="215">
        <f>IF(AND(ISNUMBER(AY31),ISNUMBER(AY26)),IFERROR(AY31/AY26,""),"")</f>
      </c>
      <c r="AZ32" s="215">
        <f>IF(AND(ISNUMBER(AZ31),ISNUMBER(AZ26)),IFERROR(AZ31/AZ26,""),"")</f>
      </c>
      <c r="BA32" s="215">
        <f>IF(AND(ISNUMBER(BA31),ISNUMBER(BA26)),IFERROR(BA31/BA26,""),"")</f>
      </c>
      <c r="BB32" s="215">
        <f>IF(AND(ISNUMBER(BB31),ISNUMBER(BB26)),IFERROR(BB31/BB26,""),"")</f>
      </c>
      <c r="BC32" s="215">
        <f>IF(AND(ISNUMBER(BC31),ISNUMBER(BC26)),IFERROR(BC31/BC26,""),"")</f>
      </c>
      <c r="BD32" s="215">
        <f>IF(AND(ISNUMBER(BD31),ISNUMBER(BD26)),IFERROR(BD31/BD26,""),"")</f>
      </c>
      <c r="BE32" s="215">
        <f>IF(AND(ISNUMBER(BE31),ISNUMBER(BE26)),IFERROR(BE31/BE26,""),"")</f>
      </c>
      <c r="BF32" s="215">
        <f>IF(AND(ISNUMBER(BF31),ISNUMBER(BF26)),IFERROR(BF31/BF26,""),"")</f>
      </c>
      <c r="BG32" s="215">
        <f>IF(AND(ISNUMBER(BG31),ISNUMBER(BG26)),IFERROR(BG31/BG26,""),"")</f>
      </c>
      <c r="BH32" s="215">
        <f>IF(AND(ISNUMBER(BH31),ISNUMBER(BH26)),IFERROR(BH31/BH26,""),"")</f>
      </c>
      <c r="BI32" s="215">
        <f>IF(AND(ISNUMBER(BI31),ISNUMBER(BI26)),IFERROR(BI31/BI26,""),"")</f>
      </c>
      <c r="BJ32" s="215">
        <f>IF(AND(ISNUMBER(BJ31),ISNUMBER(BJ26)),IFERROR(BJ31/BJ26,""),"")</f>
      </c>
      <c r="BK32" s="215">
        <f>IF(AND(ISNUMBER(BK31),ISNUMBER(BK26)),IFERROR(BK31/BK26,""),"")</f>
      </c>
      <c r="BL32" s="215">
        <f>IF(AND(ISNUMBER(BL31),ISNUMBER(BL26)),IFERROR(BL31/BL26,""),"")</f>
      </c>
      <c r="BM32" s="215">
        <f>IF(AND(ISNUMBER(BM31),ISNUMBER(BM26)),IFERROR(BM31/BM26,""),"")</f>
      </c>
      <c r="BN32" s="215">
        <f>IF(AND(ISNUMBER(BN31),ISNUMBER(BN26)),IFERROR(BN31/BN26,""),"")</f>
      </c>
      <c r="BO32" s="215">
        <f>IF(AND(ISNUMBER(BO31),ISNUMBER(BO26)),IFERROR(BO31/BO26,""),"")</f>
      </c>
      <c r="BP32" s="215">
        <f>IF(AND(ISNUMBER(BP31),ISNUMBER(BP26)),IFERROR(BP31/BP26,""),"")</f>
      </c>
      <c r="BQ32" s="215">
        <f>IF(AND(ISNUMBER(BQ31),ISNUMBER(BQ26)),IFERROR(BQ31/BQ26,""),"")</f>
      </c>
      <c r="BR32" s="215">
        <f>IF(AND(ISNUMBER(BR31),ISNUMBER(BR26)),IFERROR(BR31/BR26,""),"")</f>
        <v>0.518484032015215</v>
      </c>
      <c r="BS32" s="215">
        <f>IF(AND(ISNUMBER(BS31),ISNUMBER(BS26)),IFERROR(BS31/BS26,""),"")</f>
        <v>0.506348785202593</v>
      </c>
      <c r="BT32" s="215">
        <f>IF(AND(ISNUMBER(BT31),ISNUMBER(BT26)),IFERROR(BT31/BT26,""),"")</f>
        <v>0.50588901265453</v>
      </c>
      <c r="BU32" s="215">
        <f>IF(AND(ISNUMBER(BU31),ISNUMBER(BU26)),IFERROR(BU31/BU26,""),"")</f>
        <v>0.497235841916483</v>
      </c>
      <c r="BV32" s="215">
        <f>IF(AND(ISNUMBER(BV31),ISNUMBER(BV26)),IFERROR(BV31/BV26,""),"")</f>
        <v>0.506501876288377</v>
      </c>
      <c r="BW32" s="215">
        <f>IF(AND(ISNUMBER(BW31),ISNUMBER(BW26)),IFERROR(BW31/BW26,""),"")</f>
        <v>0.530516279673109</v>
      </c>
      <c r="BX32" s="215">
        <f>IF(AND(ISNUMBER(BX31),ISNUMBER(BX26)),IFERROR(BX31/BX26,""),"")</f>
        <v>0.51468785400599</v>
      </c>
      <c r="BY32" s="215">
        <f>IF(AND(ISNUMBER(BY31),ISNUMBER(BY26)),IFERROR(BY31/BY26,""),"")</f>
        <v>0.500430024615202</v>
      </c>
      <c r="BZ32" s="215">
        <f>IF(AND(ISNUMBER(BZ31),ISNUMBER(BZ26)),IFERROR(BZ31/BZ26,""),"")</f>
        <v>0.492544518343703</v>
      </c>
      <c r="CA32" s="215">
        <f>IF(AND(ISNUMBER(CA31),ISNUMBER(CA26)),IFERROR(CA31/CA26,""),"")</f>
        <v>0.508583618956689</v>
      </c>
      <c r="CB32" s="256">
        <f>CB33+$CB$148</f>
        <v>0.5165144967836</v>
      </c>
      <c r="CC32" s="256">
        <f>CC33+$CB$148</f>
        <v>0.50068607111648</v>
      </c>
      <c r="CD32" s="256">
        <f>CD33+$CB$148</f>
        <v>0.486428241725693</v>
      </c>
      <c r="CE32" s="256">
        <f>CE33+$CB$148</f>
        <v>0.478542735454193</v>
      </c>
      <c r="CF32" s="256">
        <f>IF(AND(ISNUMBER(CF31),ISNUMBER(CF26)),IFERROR(CF31/CF26,""),"")</f>
        <v>0.494543475986291</v>
      </c>
      <c r="CG32" s="256">
        <f>CHOOSE(MATCH($CK$2,{"Bull","Base","Bear"},0),$CT$67,$CU$67,$CV$67)</f>
        <v>0.47</v>
      </c>
      <c r="CH32" s="256">
        <f>CHOOSE(MATCH($CK$2,{"Bull","Base","Bear"},0),$CT$68,$CU$68,$CV$68)</f>
        <v>0.465</v>
      </c>
      <c r="CI32" s="256">
        <f>CHOOSE(MATCH($CK$2,{"Bull","Base","Bear"},0),$CT$69,$CU$69,$CV$69)</f>
        <v>0.47</v>
      </c>
      <c r="CJ32" s="256">
        <f>CHOOSE(MATCH($CK$2,{"Bull","Base","Bear"},0),$CT$70,$CU$70,$CV$70)</f>
        <v>0.475</v>
      </c>
      <c r="CK32" s="153" t="inlineStr">
        <is>
          <t>Q1–Q4/27E: margin before calibration + uniform margin Δ solved in Q1/27E to the guided operating income (revenue − COGS − opex guidance), carried to Q2–Q4. 2028E+: scenario lever.</t>
        </is>
      </c>
      <c r="CM32" s="37">
        <f>IFERROR(AVERAGE(CF32,CG32,CH32,CI32,CJ32),"n/m")</f>
        <v>0.474908695197258</v>
      </c>
      <c r="CN32" s="37">
        <f>IFERROR(AVERAGE(BG32,BL32,BQ32,BV32,CA32),"n/m")</f>
        <v>0.507542747622533</v>
      </c>
      <c r="CO32" s="37">
        <f>IFERROR(AVERAGE(AH32,AM32,AR32,AW32,BB32,BG32,BL32,BQ32,BV32,CA32),"n/m")</f>
        <v>0.507542747622533</v>
      </c>
      <c r="CP32" s="37">
        <f>IFERROR(AVERAGE(C32,D32,E32,F32,G32,H32,I32,N32,S32,X32,AC32,AH32,AM32,AR32,AW32,BB32,BG32,BL32,BQ32,BV32,CA32),"n/m")</f>
        <v>0.507542747622533</v>
      </c>
      <c r="CS32" s="25" t="inlineStr">
        <is>
          <t xml:space="preserve">  2028E</t>
        </is>
      </c>
      <c r="CT32" s="33">
        <f>CU32+$CT$31</f>
        <v>0.17</v>
      </c>
      <c r="CU32" s="42" t="n">
        <v>0.14</v>
      </c>
      <c r="CV32" s="33">
        <f>CU32+$CV$31</f>
        <v>0.09</v>
      </c>
    </row>
    <row r="33" ht="15" customHeight="1" s="251">
      <c r="B33" s="25" t="inlineStr">
        <is>
          <t xml:space="preserve">  Margin before calibration (prior-year quarter + FY26 vs FY25 margin drift)</t>
        </is>
      </c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  <c r="AU33" s="36" t="n"/>
      <c r="AV33" s="36" t="n"/>
      <c r="AW33" s="36" t="n"/>
      <c r="AX33" s="36" t="n"/>
      <c r="AY33" s="36" t="n"/>
      <c r="AZ33" s="36" t="n"/>
      <c r="BA33" s="36" t="n"/>
      <c r="BB33" s="36" t="n"/>
      <c r="BC33" s="36" t="n"/>
      <c r="BD33" s="36" t="n"/>
      <c r="BE33" s="36" t="n"/>
      <c r="BF33" s="36" t="n"/>
      <c r="BG33" s="36" t="n"/>
      <c r="BH33" s="36" t="n"/>
      <c r="BI33" s="36" t="n"/>
      <c r="BJ33" s="36" t="n"/>
      <c r="BK33" s="36" t="n"/>
      <c r="BL33" s="36" t="n"/>
      <c r="BM33" s="36" t="n"/>
      <c r="BN33" s="36" t="n"/>
      <c r="BO33" s="36" t="n"/>
      <c r="BP33" s="36" t="n"/>
      <c r="BQ33" s="36" t="n"/>
      <c r="BR33" s="36" t="n"/>
      <c r="BS33" s="36" t="n"/>
      <c r="BT33" s="36" t="n"/>
      <c r="BU33" s="36" t="n"/>
      <c r="BV33" s="36" t="n"/>
      <c r="BW33" s="36" t="n"/>
      <c r="BX33" s="36" t="n"/>
      <c r="BY33" s="36" t="n"/>
      <c r="BZ33" s="36" t="n"/>
      <c r="CA33" s="36" t="n"/>
      <c r="CB33" s="256">
        <f>BW32+IFERROR(CA31/CA26-BV31/BV26,0)</f>
        <v>0.532598022341421</v>
      </c>
      <c r="CC33" s="256">
        <f>BX32+IFERROR(CA31/CA26-BV31/BV26,0)</f>
        <v>0.516769596674301</v>
      </c>
      <c r="CD33" s="256">
        <f>BY32+IFERROR(CA31/CA26-BV31/BV26,0)</f>
        <v>0.502511767283514</v>
      </c>
      <c r="CE33" s="256">
        <f>BZ32+IFERROR(CA31/CA26-BV31/BV26,0)</f>
        <v>0.494626261012014</v>
      </c>
      <c r="CF33" s="24" t="n"/>
      <c r="CG33" s="46" t="n"/>
      <c r="CH33" s="46" t="n"/>
      <c r="CI33" s="46" t="n"/>
      <c r="CJ33" s="46" t="n"/>
      <c r="CK33" s="19" t="n"/>
      <c r="CS33" s="25" t="inlineStr">
        <is>
          <t xml:space="preserve">  2029E</t>
        </is>
      </c>
      <c r="CT33" s="33">
        <f>CU33+$CT$31</f>
        <v>0.16</v>
      </c>
      <c r="CU33" s="42" t="n">
        <v>0.13</v>
      </c>
      <c r="CV33" s="33">
        <f>CU33+$CV$31</f>
        <v>0.08</v>
      </c>
    </row>
    <row r="34" ht="15" customHeight="1" s="251">
      <c r="B34" s="25" t="inlineStr">
        <is>
          <t xml:space="preserve">  Memo: segment gross margin % (revenue − cost of revenue, restated)</t>
        </is>
      </c>
      <c r="C34" s="215">
        <f>IF(AND(ISNUMBER(C29),ISNUMBER(C35)),IFERROR(1-C35/C29,""),"")</f>
      </c>
      <c r="D34" s="215">
        <f>IF(AND(ISNUMBER(D29),ISNUMBER(D35)),IFERROR(1-D35/D29,""),"")</f>
      </c>
      <c r="E34" s="215">
        <f>IF(AND(ISNUMBER(E29),ISNUMBER(E35)),IFERROR(1-E35/E29,""),"")</f>
      </c>
      <c r="F34" s="215">
        <f>IF(AND(ISNUMBER(F29),ISNUMBER(F35)),IFERROR(1-F35/F29,""),"")</f>
      </c>
      <c r="G34" s="215">
        <f>IF(AND(ISNUMBER(G29),ISNUMBER(G35)),IFERROR(1-G35/G29,""),"")</f>
      </c>
      <c r="H34" s="215">
        <f>IF(AND(ISNUMBER(H29),ISNUMBER(H35)),IFERROR(1-H35/H29,""),"")</f>
      </c>
      <c r="I34" s="215">
        <f>IF(AND(ISNUMBER(I29),ISNUMBER(I35)),IFERROR(1-I35/I29,""),"")</f>
      </c>
      <c r="J34" s="215">
        <f>IF(AND(ISNUMBER(J29),ISNUMBER(J35)),IFERROR(1-J35/J29,""),"")</f>
      </c>
      <c r="K34" s="215">
        <f>IF(AND(ISNUMBER(K29),ISNUMBER(K35)),IFERROR(1-K35/K29,""),"")</f>
      </c>
      <c r="L34" s="215">
        <f>IF(AND(ISNUMBER(L29),ISNUMBER(L35)),IFERROR(1-L35/L29,""),"")</f>
      </c>
      <c r="M34" s="215">
        <f>IF(AND(ISNUMBER(M29),ISNUMBER(M35)),IFERROR(1-M35/M29,""),"")</f>
      </c>
      <c r="N34" s="215">
        <f>IF(AND(ISNUMBER(N29),ISNUMBER(N35)),IFERROR(1-N35/N29,""),"")</f>
      </c>
      <c r="O34" s="215">
        <f>IF(AND(ISNUMBER(O29),ISNUMBER(O35)),IFERROR(1-O35/O29,""),"")</f>
      </c>
      <c r="P34" s="215">
        <f>IF(AND(ISNUMBER(P29),ISNUMBER(P35)),IFERROR(1-P35/P29,""),"")</f>
      </c>
      <c r="Q34" s="215">
        <f>IF(AND(ISNUMBER(Q29),ISNUMBER(Q35)),IFERROR(1-Q35/Q29,""),"")</f>
      </c>
      <c r="R34" s="215">
        <f>IF(AND(ISNUMBER(R29),ISNUMBER(R35)),IFERROR(1-R35/R29,""),"")</f>
      </c>
      <c r="S34" s="215">
        <f>IF(AND(ISNUMBER(S29),ISNUMBER(S35)),IFERROR(1-S35/S29,""),"")</f>
      </c>
      <c r="T34" s="215">
        <f>IF(AND(ISNUMBER(T29),ISNUMBER(T35)),IFERROR(1-T35/T29,""),"")</f>
      </c>
      <c r="U34" s="215">
        <f>IF(AND(ISNUMBER(U29),ISNUMBER(U35)),IFERROR(1-U35/U29,""),"")</f>
      </c>
      <c r="V34" s="215">
        <f>IF(AND(ISNUMBER(V29),ISNUMBER(V35)),IFERROR(1-V35/V29,""),"")</f>
      </c>
      <c r="W34" s="215">
        <f>IF(AND(ISNUMBER(W29),ISNUMBER(W35)),IFERROR(1-W35/W29,""),"")</f>
      </c>
      <c r="X34" s="215">
        <f>IF(AND(ISNUMBER(X29),ISNUMBER(X35)),IFERROR(1-X35/X29,""),"")</f>
      </c>
      <c r="Y34" s="215">
        <f>IF(AND(ISNUMBER(Y29),ISNUMBER(Y35)),IFERROR(1-Y35/Y29,""),"")</f>
      </c>
      <c r="Z34" s="215">
        <f>IF(AND(ISNUMBER(Z29),ISNUMBER(Z35)),IFERROR(1-Z35/Z29,""),"")</f>
      </c>
      <c r="AA34" s="215">
        <f>IF(AND(ISNUMBER(AA29),ISNUMBER(AA35)),IFERROR(1-AA35/AA29,""),"")</f>
      </c>
      <c r="AB34" s="215">
        <f>IF(AND(ISNUMBER(AB29),ISNUMBER(AB35)),IFERROR(1-AB35/AB29,""),"")</f>
      </c>
      <c r="AC34" s="215">
        <f>IF(AND(ISNUMBER(AC29),ISNUMBER(AC35)),IFERROR(1-AC35/AC29,""),"")</f>
      </c>
      <c r="AD34" s="215">
        <f>IF(AND(ISNUMBER(AD29),ISNUMBER(AD35)),IFERROR(1-AD35/AD29,""),"")</f>
      </c>
      <c r="AE34" s="215">
        <f>IF(AND(ISNUMBER(AE29),ISNUMBER(AE35)),IFERROR(1-AE35/AE29,""),"")</f>
      </c>
      <c r="AF34" s="215">
        <f>IF(AND(ISNUMBER(AF29),ISNUMBER(AF35)),IFERROR(1-AF35/AF29,""),"")</f>
      </c>
      <c r="AG34" s="215">
        <f>IF(AND(ISNUMBER(AG29),ISNUMBER(AG35)),IFERROR(1-AG35/AG29,""),"")</f>
      </c>
      <c r="AH34" s="215">
        <f>IF(AND(ISNUMBER(AH29),ISNUMBER(AH35)),IFERROR(1-AH35/AH29,""),"")</f>
      </c>
      <c r="AI34" s="215">
        <f>IF(AND(ISNUMBER(AI29),ISNUMBER(AI35)),IFERROR(1-AI35/AI29,""),"")</f>
      </c>
      <c r="AJ34" s="215">
        <f>IF(AND(ISNUMBER(AJ29),ISNUMBER(AJ35)),IFERROR(1-AJ35/AJ29,""),"")</f>
      </c>
      <c r="AK34" s="215">
        <f>IF(AND(ISNUMBER(AK29),ISNUMBER(AK35)),IFERROR(1-AK35/AK29,""),"")</f>
      </c>
      <c r="AL34" s="215">
        <f>IF(AND(ISNUMBER(AL29),ISNUMBER(AL35)),IFERROR(1-AL35/AL29,""),"")</f>
      </c>
      <c r="AM34" s="215">
        <f>IF(AND(ISNUMBER(AM29),ISNUMBER(AM35)),IFERROR(1-AM35/AM29,""),"")</f>
      </c>
      <c r="AN34" s="215">
        <f>IF(AND(ISNUMBER(AN29),ISNUMBER(AN35)),IFERROR(1-AN35/AN29,""),"")</f>
      </c>
      <c r="AO34" s="215">
        <f>IF(AND(ISNUMBER(AO29),ISNUMBER(AO35)),IFERROR(1-AO35/AO29,""),"")</f>
      </c>
      <c r="AP34" s="215">
        <f>IF(AND(ISNUMBER(AP29),ISNUMBER(AP35)),IFERROR(1-AP35/AP29,""),"")</f>
      </c>
      <c r="AQ34" s="215">
        <f>IF(AND(ISNUMBER(AQ29),ISNUMBER(AQ35)),IFERROR(1-AQ35/AQ29,""),"")</f>
      </c>
      <c r="AR34" s="215">
        <f>IF(AND(ISNUMBER(AR29),ISNUMBER(AR35)),IFERROR(1-AR35/AR29,""),"")</f>
      </c>
      <c r="AS34" s="215">
        <f>IF(AND(ISNUMBER(AS29),ISNUMBER(AS35)),IFERROR(1-AS35/AS29,""),"")</f>
      </c>
      <c r="AT34" s="215">
        <f>IF(AND(ISNUMBER(AT29),ISNUMBER(AT35)),IFERROR(1-AT35/AT29,""),"")</f>
      </c>
      <c r="AU34" s="215">
        <f>IF(AND(ISNUMBER(AU29),ISNUMBER(AU35)),IFERROR(1-AU35/AU29,""),"")</f>
      </c>
      <c r="AV34" s="215">
        <f>IF(AND(ISNUMBER(AV29),ISNUMBER(AV35)),IFERROR(1-AV35/AV29,""),"")</f>
      </c>
      <c r="AW34" s="215">
        <f>IF(AND(ISNUMBER(AW29),ISNUMBER(AW35)),IFERROR(1-AW35/AW29,""),"")</f>
      </c>
      <c r="AX34" s="215">
        <f>IF(AND(ISNUMBER(AX29),ISNUMBER(AX35)),IFERROR(1-AX35/AX29,""),"")</f>
      </c>
      <c r="AY34" s="215">
        <f>IF(AND(ISNUMBER(AY29),ISNUMBER(AY35)),IFERROR(1-AY35/AY29,""),"")</f>
      </c>
      <c r="AZ34" s="215">
        <f>IF(AND(ISNUMBER(AZ29),ISNUMBER(AZ35)),IFERROR(1-AZ35/AZ29,""),"")</f>
      </c>
      <c r="BA34" s="215">
        <f>IF(AND(ISNUMBER(BA29),ISNUMBER(BA35)),IFERROR(1-BA35/BA29,""),"")</f>
      </c>
      <c r="BB34" s="215">
        <f>IF(AND(ISNUMBER(BB29),ISNUMBER(BB35)),IFERROR(1-BB35/BB29,""),"")</f>
      </c>
      <c r="BC34" s="215">
        <f>IF(AND(ISNUMBER(BC29),ISNUMBER(BC35)),IFERROR(1-BC35/BC29,""),"")</f>
      </c>
      <c r="BD34" s="215">
        <f>IF(AND(ISNUMBER(BD29),ISNUMBER(BD35)),IFERROR(1-BD35/BD29,""),"")</f>
      </c>
      <c r="BE34" s="215">
        <f>IF(AND(ISNUMBER(BE29),ISNUMBER(BE35)),IFERROR(1-BE35/BE29,""),"")</f>
      </c>
      <c r="BF34" s="215">
        <f>IF(AND(ISNUMBER(BF29),ISNUMBER(BF35)),IFERROR(1-BF35/BF29,""),"")</f>
      </c>
      <c r="BG34" s="215">
        <f>IF(AND(ISNUMBER(BG29),ISNUMBER(BG35)),IFERROR(1-BG35/BG29,""),"")</f>
      </c>
      <c r="BH34" s="215">
        <f>IF(AND(ISNUMBER(BH29),ISNUMBER(BH35)),IFERROR(1-BH35/BH29,""),"")</f>
      </c>
      <c r="BI34" s="215">
        <f>IF(AND(ISNUMBER(BI29),ISNUMBER(BI35)),IFERROR(1-BI35/BI29,""),"")</f>
      </c>
      <c r="BJ34" s="215">
        <f>IF(AND(ISNUMBER(BJ29),ISNUMBER(BJ35)),IFERROR(1-BJ35/BJ29,""),"")</f>
      </c>
      <c r="BK34" s="215">
        <f>IF(AND(ISNUMBER(BK29),ISNUMBER(BK35)),IFERROR(1-BK35/BK29,""),"")</f>
      </c>
      <c r="BL34" s="215">
        <f>IF(AND(ISNUMBER(BL29),ISNUMBER(BL35)),IFERROR(1-BL35/BL29,""),"")</f>
      </c>
      <c r="BM34" s="215">
        <f>IF(AND(ISNUMBER(BM29),ISNUMBER(BM35)),IFERROR(1-BM35/BM29,""),"")</f>
      </c>
      <c r="BN34" s="215">
        <f>IF(AND(ISNUMBER(BN29),ISNUMBER(BN35)),IFERROR(1-BN35/BN29,""),"")</f>
      </c>
      <c r="BO34" s="215">
        <f>IF(AND(ISNUMBER(BO29),ISNUMBER(BO35)),IFERROR(1-BO35/BO29,""),"")</f>
      </c>
      <c r="BP34" s="215">
        <f>IF(AND(ISNUMBER(BP29),ISNUMBER(BP35)),IFERROR(1-BP35/BP29,""),"")</f>
      </c>
      <c r="BQ34" s="215">
        <f>IF(AND(ISNUMBER(BQ29),ISNUMBER(BQ35)),IFERROR(1-BQ35/BQ29,""),"")</f>
      </c>
      <c r="BR34" s="215">
        <f>IF(AND(ISNUMBER(BR29),ISNUMBER(BR35)),IFERROR(1-BR35/BR29,""),"")</f>
        <v>0.7301886044853</v>
      </c>
      <c r="BS34" s="215">
        <f>IF(AND(ISNUMBER(BS29),ISNUMBER(BS35)),IFERROR(1-BS35/BS29,""),"")</f>
        <v>0.722738126824091</v>
      </c>
      <c r="BT34" s="215">
        <f>IF(AND(ISNUMBER(BT29),ISNUMBER(BT35)),IFERROR(1-BT35/BT29,""),"")</f>
        <v>0.716779577451929</v>
      </c>
      <c r="BU34" s="215">
        <f>IF(AND(ISNUMBER(BU29),ISNUMBER(BU35)),IFERROR(1-BU35/BU29,""),"")</f>
        <v>0.711523906676758</v>
      </c>
      <c r="BV34" s="215">
        <f>IF(AND(ISNUMBER(BV29),ISNUMBER(BV35)),IFERROR(1-BV35/BV29,""),"")</f>
        <v>0.719850262588958</v>
      </c>
      <c r="BW34" s="215">
        <f>IF(AND(ISNUMBER(BW29),ISNUMBER(BW35)),IFERROR(1-BW35/BW29,""),"")</f>
        <v>0.712981579971462</v>
      </c>
      <c r="BX34" s="215">
        <f>IF(AND(ISNUMBER(BX29),ISNUMBER(BX35)),IFERROR(1-BX35/BX29,""),"")</f>
        <v>0.700392607191074</v>
      </c>
      <c r="BY34" s="215">
        <f>IF(AND(ISNUMBER(BY29),ISNUMBER(BY35)),IFERROR(1-BY35/BY29,""),"")</f>
        <v>0.689359115038999</v>
      </c>
      <c r="BZ34" s="215">
        <f>IF(AND(ISNUMBER(BZ29),ISNUMBER(BZ35)),IFERROR(1-BZ35/BZ29,""),"")</f>
        <v>0.685421583351212</v>
      </c>
      <c r="CA34" s="215">
        <f>IF(AND(ISNUMBER(CA29),ISNUMBER(CA35)),IFERROR(1-CA35/CA29,""),"")</f>
        <v>0.696349118141776</v>
      </c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153" t="n"/>
      <c r="CS34" s="25" t="inlineStr">
        <is>
          <t xml:space="preserve">  2030E</t>
        </is>
      </c>
      <c r="CT34" s="33">
        <f>CU34+$CT$31</f>
        <v>0.15</v>
      </c>
      <c r="CU34" s="42" t="n">
        <v>0.12</v>
      </c>
      <c r="CV34" s="33">
        <f>CU34+$CV$31</f>
        <v>0.07</v>
      </c>
    </row>
    <row r="35" ht="15" customHeight="1" s="251">
      <c r="B35" s="156" t="inlineStr">
        <is>
          <t xml:space="preserve">  Memo: segment cost of revenue (restated)</t>
        </is>
      </c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4" t="n"/>
      <c r="AD35" s="34" t="n"/>
      <c r="AE35" s="34" t="n"/>
      <c r="AF35" s="34" t="n"/>
      <c r="AG35" s="34" t="n"/>
      <c r="AH35" s="34" t="n"/>
      <c r="AI35" s="34" t="n"/>
      <c r="AJ35" s="34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34" t="n"/>
      <c r="BB35" s="34" t="n"/>
      <c r="BC35" s="34" t="n"/>
      <c r="BD35" s="34" t="n"/>
      <c r="BE35" s="34" t="n"/>
      <c r="BF35" s="34" t="n"/>
      <c r="BG35" s="34" t="n"/>
      <c r="BH35" s="34" t="n"/>
      <c r="BI35" s="34" t="n"/>
      <c r="BJ35" s="34" t="n"/>
      <c r="BK35" s="34" t="n"/>
      <c r="BL35" s="34" t="n"/>
      <c r="BM35" s="34" t="n"/>
      <c r="BN35" s="34" t="n"/>
      <c r="BO35" s="34" t="n"/>
      <c r="BP35" s="34" t="n"/>
      <c r="BQ35" s="34" t="n"/>
      <c r="BR35" s="253" t="n">
        <v>13619</v>
      </c>
      <c r="BS35" s="253" t="n">
        <v>14630</v>
      </c>
      <c r="BT35" s="253" t="n">
        <v>15510</v>
      </c>
      <c r="BU35" s="253" t="n">
        <v>17533</v>
      </c>
      <c r="BV35" s="253" t="n">
        <v>61292</v>
      </c>
      <c r="BW35" s="253" t="n">
        <v>17701</v>
      </c>
      <c r="BX35" s="253" t="n">
        <v>19307</v>
      </c>
      <c r="BY35" s="253" t="n">
        <v>20949</v>
      </c>
      <c r="BZ35" s="253" t="n">
        <v>23460</v>
      </c>
      <c r="CA35" s="253" t="n">
        <v>81417</v>
      </c>
      <c r="CB35" s="153" t="n"/>
      <c r="CC35" s="153" t="n"/>
      <c r="CD35" s="153" t="n"/>
      <c r="CE35" s="153" t="n"/>
      <c r="CF35" s="153" t="n"/>
      <c r="CG35" s="153" t="n"/>
      <c r="CH35" s="153" t="n"/>
      <c r="CI35" s="153" t="n"/>
      <c r="CJ35" s="153" t="n"/>
      <c r="CK35" s="153" t="n"/>
      <c r="CS35" s="25" t="inlineStr">
        <is>
          <t xml:space="preserve">  2031E</t>
        </is>
      </c>
      <c r="CT35" s="33">
        <f>CU35+$CT$31</f>
        <v>0.14</v>
      </c>
      <c r="CU35" s="42" t="n">
        <v>0.11</v>
      </c>
      <c r="CV35" s="33">
        <f>CU35+$CV$31</f>
        <v>0.06</v>
      </c>
    </row>
    <row r="36" ht="15" customHeight="1" s="251">
      <c r="B36" s="156" t="inlineStr">
        <is>
          <t xml:space="preserve">  Memo: segment operating expenses (restated)</t>
        </is>
      </c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  <c r="AA36" s="34" t="n"/>
      <c r="AB36" s="34" t="n"/>
      <c r="AC36" s="34" t="n"/>
      <c r="AD36" s="34" t="n"/>
      <c r="AE36" s="34" t="n"/>
      <c r="AF36" s="34" t="n"/>
      <c r="AG36" s="34" t="n"/>
      <c r="AH36" s="34" t="n"/>
      <c r="AI36" s="34" t="n"/>
      <c r="AJ36" s="34" t="n"/>
      <c r="AK36" s="34" t="n"/>
      <c r="AL36" s="34" t="n"/>
      <c r="AM36" s="34" t="n"/>
      <c r="AN36" s="34" t="n"/>
      <c r="AO36" s="34" t="n"/>
      <c r="AP36" s="34" t="n"/>
      <c r="AQ36" s="34" t="n"/>
      <c r="AR36" s="34" t="n"/>
      <c r="AS36" s="34" t="n"/>
      <c r="AT36" s="34" t="n"/>
      <c r="AU36" s="34" t="n"/>
      <c r="AV36" s="34" t="n"/>
      <c r="AW36" s="34" t="n"/>
      <c r="AX36" s="34" t="n"/>
      <c r="AY36" s="34" t="n"/>
      <c r="AZ36" s="34" t="n"/>
      <c r="BA36" s="34" t="n"/>
      <c r="BB36" s="34" t="n"/>
      <c r="BC36" s="34" t="n"/>
      <c r="BD36" s="34" t="n"/>
      <c r="BE36" s="34" t="n"/>
      <c r="BF36" s="34" t="n"/>
      <c r="BG36" s="34" t="n"/>
      <c r="BH36" s="34" t="n"/>
      <c r="BI36" s="34" t="n"/>
      <c r="BJ36" s="34" t="n"/>
      <c r="BK36" s="34" t="n"/>
      <c r="BL36" s="34" t="n"/>
      <c r="BM36" s="34" t="n"/>
      <c r="BN36" s="34" t="n"/>
      <c r="BO36" s="34" t="n"/>
      <c r="BP36" s="34" t="n"/>
      <c r="BQ36" s="34" t="n"/>
      <c r="BR36" s="253" t="n">
        <v>10686</v>
      </c>
      <c r="BS36" s="253" t="n">
        <v>11418</v>
      </c>
      <c r="BT36" s="253" t="n">
        <v>11549</v>
      </c>
      <c r="BU36" s="253" t="n">
        <v>13024</v>
      </c>
      <c r="BV36" s="253" t="n">
        <v>46677</v>
      </c>
      <c r="BW36" s="253" t="n">
        <v>11253</v>
      </c>
      <c r="BX36" s="253" t="n">
        <v>11967</v>
      </c>
      <c r="BY36" s="253" t="n">
        <v>12741</v>
      </c>
      <c r="BZ36" s="253" t="n">
        <v>14384</v>
      </c>
      <c r="CA36" s="253" t="n">
        <v>50345</v>
      </c>
      <c r="CB36" s="153" t="n"/>
      <c r="CC36" s="153" t="n"/>
      <c r="CD36" s="153" t="n"/>
      <c r="CE36" s="153" t="n"/>
      <c r="CF36" s="153" t="n"/>
      <c r="CG36" s="153" t="n"/>
      <c r="CH36" s="153" t="n"/>
      <c r="CI36" s="153" t="n"/>
      <c r="CJ36" s="153" t="n"/>
      <c r="CK36" s="153" t="n"/>
      <c r="CS36" s="15" t="inlineStr">
        <is>
          <t>AI_PSL (Productivity &amp; server licensing y/y)</t>
        </is>
      </c>
      <c r="CT36" s="41" t="n">
        <v>0.03</v>
      </c>
      <c r="CU36" s="21" t="inlineStr">
        <is>
          <t>Δ →</t>
        </is>
      </c>
      <c r="CV36" s="41" t="n">
        <v>-0.04</v>
      </c>
      <c r="CW36" s="13" t="inlineStr">
        <is>
          <t>FY26 +5.4% (lumpy on-premises server / Office transactional); Q1 FY27 guided to decline low-single digits; long-run cloud migration.</t>
        </is>
      </c>
    </row>
    <row r="37" ht="15" customHeight="1" s="251">
      <c r="B37" s="25" t="inlineStr">
        <is>
          <t xml:space="preserve">  Incremental segment margin (Δ operating income / Δ revenue)</t>
        </is>
      </c>
      <c r="C37" s="36" t="n"/>
      <c r="D37" s="215">
        <f>IFERROR((D31-C31)/(D26-C26),"")</f>
      </c>
      <c r="E37" s="215">
        <f>IFERROR((E31-D31)/(E26-D26),"")</f>
      </c>
      <c r="F37" s="215">
        <f>IFERROR((F31-E31)/(F26-E26),"")</f>
      </c>
      <c r="G37" s="215">
        <f>IFERROR((G31-F31)/(G26-F26),"")</f>
      </c>
      <c r="H37" s="215">
        <f>IFERROR((H31-G31)/(H26-G26),"")</f>
      </c>
      <c r="I37" s="215">
        <f>IFERROR((I31-H31)/(I26-H26),"")</f>
      </c>
      <c r="J37" s="36" t="n"/>
      <c r="K37" s="36" t="n"/>
      <c r="L37" s="36" t="n"/>
      <c r="M37" s="36" t="n"/>
      <c r="N37" s="215">
        <f>IFERROR((N31-I31)/(N26-I26),"")</f>
      </c>
      <c r="O37" s="215">
        <f>IFERROR((O31-J31)/(O26-J26),"")</f>
      </c>
      <c r="P37" s="215">
        <f>IFERROR((P31-K31)/(P26-K26),"")</f>
      </c>
      <c r="Q37" s="215">
        <f>IFERROR((Q31-L31)/(Q26-L26),"")</f>
      </c>
      <c r="R37" s="215">
        <f>IFERROR((R31-M31)/(R26-M26),"")</f>
      </c>
      <c r="S37" s="215">
        <f>IFERROR((S31-N31)/(S26-N26),"")</f>
      </c>
      <c r="T37" s="215">
        <f>IFERROR((T31-O31)/(T26-O26),"")</f>
      </c>
      <c r="U37" s="215">
        <f>IFERROR((U31-P31)/(U26-P26),"")</f>
      </c>
      <c r="V37" s="215">
        <f>IFERROR((V31-Q31)/(V26-Q26),"")</f>
      </c>
      <c r="W37" s="215">
        <f>IFERROR((W31-R31)/(W26-R26),"")</f>
      </c>
      <c r="X37" s="215">
        <f>IFERROR((X31-S31)/(X26-S26),"")</f>
      </c>
      <c r="Y37" s="215">
        <f>IFERROR((Y31-T31)/(Y26-T26),"")</f>
      </c>
      <c r="Z37" s="215">
        <f>IFERROR((Z31-U31)/(Z26-U26),"")</f>
      </c>
      <c r="AA37" s="215">
        <f>IFERROR((AA31-V31)/(AA26-V26),"")</f>
      </c>
      <c r="AB37" s="215">
        <f>IFERROR((AB31-W31)/(AB26-W26),"")</f>
      </c>
      <c r="AC37" s="215">
        <f>IFERROR((AC31-X31)/(AC26-X26),"")</f>
      </c>
      <c r="AD37" s="215">
        <f>IFERROR((AD31-Y31)/(AD26-Y26),"")</f>
      </c>
      <c r="AE37" s="215">
        <f>IFERROR((AE31-Z31)/(AE26-Z26),"")</f>
      </c>
      <c r="AF37" s="215">
        <f>IFERROR((AF31-AA31)/(AF26-AA26),"")</f>
      </c>
      <c r="AG37" s="215">
        <f>IFERROR((AG31-AB31)/(AG26-AB26),"")</f>
      </c>
      <c r="AH37" s="215">
        <f>IFERROR((AH31-AC31)/(AH26-AC26),"")</f>
      </c>
      <c r="AI37" s="215">
        <f>IFERROR((AI31-AD31)/(AI26-AD26),"")</f>
      </c>
      <c r="AJ37" s="215">
        <f>IFERROR((AJ31-AE31)/(AJ26-AE26),"")</f>
      </c>
      <c r="AK37" s="215">
        <f>IFERROR((AK31-AF31)/(AK26-AF26),"")</f>
      </c>
      <c r="AL37" s="215">
        <f>IFERROR((AL31-AG31)/(AL26-AG26),"")</f>
      </c>
      <c r="AM37" s="215">
        <f>IFERROR((AM31-AH31)/(AM26-AH26),"")</f>
      </c>
      <c r="AN37" s="215">
        <f>IFERROR((AN31-AI31)/(AN26-AI26),"")</f>
      </c>
      <c r="AO37" s="215">
        <f>IFERROR((AO31-AJ31)/(AO26-AJ26),"")</f>
      </c>
      <c r="AP37" s="215">
        <f>IFERROR((AP31-AK31)/(AP26-AK26),"")</f>
      </c>
      <c r="AQ37" s="215">
        <f>IFERROR((AQ31-AL31)/(AQ26-AL26),"")</f>
      </c>
      <c r="AR37" s="215">
        <f>IFERROR((AR31-AM31)/(AR26-AM26),"")</f>
      </c>
      <c r="AS37" s="215">
        <f>IFERROR((AS31-AN31)/(AS26-AN26),"")</f>
      </c>
      <c r="AT37" s="215">
        <f>IFERROR((AT31-AO31)/(AT26-AO26),"")</f>
      </c>
      <c r="AU37" s="215">
        <f>IFERROR((AU31-AP31)/(AU26-AP26),"")</f>
      </c>
      <c r="AV37" s="215">
        <f>IFERROR((AV31-AQ31)/(AV26-AQ26),"")</f>
      </c>
      <c r="AW37" s="215">
        <f>IFERROR((AW31-AR31)/(AW26-AR26),"")</f>
      </c>
      <c r="AX37" s="215">
        <f>IFERROR((AX31-AS31)/(AX26-AS26),"")</f>
      </c>
      <c r="AY37" s="215">
        <f>IFERROR((AY31-AT31)/(AY26-AT26),"")</f>
      </c>
      <c r="AZ37" s="215">
        <f>IFERROR((AZ31-AU31)/(AZ26-AU26),"")</f>
      </c>
      <c r="BA37" s="215">
        <f>IFERROR((BA31-AV31)/(BA26-AV26),"")</f>
      </c>
      <c r="BB37" s="215">
        <f>IFERROR((BB31-AW31)/(BB26-AW26),"")</f>
      </c>
      <c r="BC37" s="215">
        <f>IFERROR((BC31-AX31)/(BC26-AX26),"")</f>
      </c>
      <c r="BD37" s="215">
        <f>IFERROR((BD31-AY31)/(BD26-AY26),"")</f>
      </c>
      <c r="BE37" s="215">
        <f>IFERROR((BE31-AZ31)/(BE26-AZ26),"")</f>
      </c>
      <c r="BF37" s="215">
        <f>IFERROR((BF31-BA31)/(BF26-BA26),"")</f>
      </c>
      <c r="BG37" s="215">
        <f>IFERROR((BG31-BB31)/(BG26-BB26),"")</f>
      </c>
      <c r="BH37" s="215">
        <f>IFERROR((BH31-BC31)/(BH26-BC26),"")</f>
      </c>
      <c r="BI37" s="215">
        <f>IFERROR((BI31-BD31)/(BI26-BD26),"")</f>
      </c>
      <c r="BJ37" s="215">
        <f>IFERROR((BJ31-BE31)/(BJ26-BE26),"")</f>
      </c>
      <c r="BK37" s="215">
        <f>IFERROR((BK31-BF31)/(BK26-BF26),"")</f>
      </c>
      <c r="BL37" s="215">
        <f>IFERROR((BL31-BG31)/(BL26-BG26),"")</f>
      </c>
      <c r="BM37" s="215">
        <f>IFERROR((BM31-BH31)/(BM26-BH26),"")</f>
      </c>
      <c r="BN37" s="215">
        <f>IFERROR((BN31-BI31)/(BN26-BI26),"")</f>
      </c>
      <c r="BO37" s="215">
        <f>IFERROR((BO31-BJ31)/(BO26-BJ26),"")</f>
      </c>
      <c r="BP37" s="215">
        <f>IFERROR((BP31-BK31)/(BP26-BK26),"")</f>
      </c>
      <c r="BQ37" s="215">
        <f>IFERROR((BQ31-BL31)/(BQ26-BL26),"")</f>
      </c>
      <c r="BR37" s="215">
        <f>IFERROR((BR31-BM31)/(BR26-BM26),"")</f>
      </c>
      <c r="BS37" s="215">
        <f>IFERROR((BS31-BN31)/(BS26-BN26),"")</f>
      </c>
      <c r="BT37" s="215">
        <f>IFERROR((BT31-BO31)/(BT26-BO26),"")</f>
      </c>
      <c r="BU37" s="215">
        <f>IFERROR((BU31-BP31)/(BU26-BP26),"")</f>
      </c>
      <c r="BV37" s="215">
        <f>IFERROR((BV31-BQ31)/(BV26-BQ26),"")</f>
      </c>
      <c r="BW37" s="215">
        <f>IFERROR((BW31-BR31)/(BW26-BR26),"")</f>
        <v>0.584762415148267</v>
      </c>
      <c r="BX37" s="215">
        <f>IFERROR((BX31-BS31)/(BX26-BS26),"")</f>
        <v>0.55237687366167</v>
      </c>
      <c r="BY37" s="215">
        <f>IFERROR((BY31-BT31)/(BY26-BT26),"")</f>
        <v>0.476844181459566</v>
      </c>
      <c r="BZ37" s="215">
        <f>IFERROR((BZ31-BU31)/(BZ26-BU26),"")</f>
        <v>0.471879982606175</v>
      </c>
      <c r="CA37" s="215">
        <f>IFERROR((CA31-BV31)/(CA26-BV26),"")</f>
        <v>0.517813715953307</v>
      </c>
      <c r="CB37" s="256">
        <f>IFERROR((CB31-BW31)/(CB26-BW26),"")</f>
        <v>0.453840817413456</v>
      </c>
      <c r="CC37" s="256">
        <f>IFERROR((CC31-BX31)/(CC26-BX26),"")</f>
        <v>0.438993933908175</v>
      </c>
      <c r="CD37" s="256">
        <f>IFERROR((CD31-BY31)/(CD26-BY26),"")</f>
        <v>0.42571179536861</v>
      </c>
      <c r="CE37" s="256">
        <f>IFERROR((CE31-BZ31)/(CE26-BZ26),"")</f>
        <v>0.418145706776115</v>
      </c>
      <c r="CF37" s="256">
        <f>IFERROR((CF31-CA31)/(CF26-CA26),"")</f>
        <v>0.433075942196106</v>
      </c>
      <c r="CG37" s="256">
        <f>IFERROR((CG31-CF31)/(CG26-CF26),"")</f>
        <v>0.343031225144452</v>
      </c>
      <c r="CH37" s="256">
        <f>IFERROR((CH31-CG31)/(CH26-CG26),"")</f>
        <v>0.43616593542431</v>
      </c>
      <c r="CI37" s="256">
        <f>IFERROR((CI31-CH31)/(CI26-CH26),"")</f>
        <v>0.503296731772573</v>
      </c>
      <c r="CJ37" s="256">
        <f>IFERROR((CJ31-CI31)/(CJ26-CI26),"")</f>
        <v>0.513485632233789</v>
      </c>
      <c r="CK37" s="153" t="n"/>
      <c r="CS37" s="25" t="inlineStr">
        <is>
          <t xml:space="preserve">  2028E</t>
        </is>
      </c>
      <c r="CT37" s="33">
        <f>CU37+$CT$36</f>
        <v>0.01</v>
      </c>
      <c r="CU37" s="42" t="n">
        <v>-0.02</v>
      </c>
      <c r="CV37" s="33">
        <f>CU37+$CV$36</f>
        <v>-0.06</v>
      </c>
    </row>
    <row r="38" ht="15" customHeight="1" s="251">
      <c r="CS38" s="25" t="inlineStr">
        <is>
          <t xml:space="preserve">  2029E</t>
        </is>
      </c>
      <c r="CT38" s="33">
        <f>CU38+$CT$36</f>
        <v>0.01</v>
      </c>
      <c r="CU38" s="42" t="n">
        <v>-0.02</v>
      </c>
      <c r="CV38" s="33">
        <f>CU38+$CV$36</f>
        <v>-0.06</v>
      </c>
    </row>
    <row r="39" ht="15" customHeight="1" s="251">
      <c r="B39" s="14" t="inlineStr">
        <is>
          <t>Devices and Consumer (search &amp; advertising incl. LinkedIn Marketing / Premium, XBOX content, services &amp; hardware, Windows OEM &amp; devices)</t>
        </is>
      </c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  <c r="AY39" s="14" t="n"/>
      <c r="AZ39" s="14" t="n"/>
      <c r="BA39" s="14" t="n"/>
      <c r="BB39" s="14" t="n"/>
      <c r="BC39" s="14" t="n"/>
      <c r="BD39" s="14" t="n"/>
      <c r="BE39" s="14" t="n"/>
      <c r="BF39" s="14" t="n"/>
      <c r="BG39" s="14" t="n"/>
      <c r="BH39" s="14" t="n"/>
      <c r="BI39" s="14" t="n"/>
      <c r="BJ39" s="14" t="n"/>
      <c r="BK39" s="14" t="n"/>
      <c r="BL39" s="14" t="n"/>
      <c r="BM39" s="14" t="n"/>
      <c r="BN39" s="14" t="n"/>
      <c r="BO39" s="14" t="n"/>
      <c r="BP39" s="14" t="n"/>
      <c r="BQ39" s="14" t="n"/>
      <c r="BR39" s="14" t="n"/>
      <c r="BS39" s="14" t="n"/>
      <c r="BT39" s="14" t="n"/>
      <c r="BU39" s="14" t="n"/>
      <c r="BV39" s="14" t="n"/>
      <c r="BW39" s="14" t="n"/>
      <c r="BX39" s="14" t="n"/>
      <c r="BY39" s="14" t="n"/>
      <c r="BZ39" s="14" t="n"/>
      <c r="CA39" s="14" t="n"/>
      <c r="CB39" s="14" t="n"/>
      <c r="CC39" s="14" t="n"/>
      <c r="CD39" s="14" t="n"/>
      <c r="CE39" s="14" t="n"/>
      <c r="CF39" s="14" t="n"/>
      <c r="CG39" s="14" t="n"/>
      <c r="CH39" s="14" t="n"/>
      <c r="CI39" s="14" t="n"/>
      <c r="CJ39" s="14" t="n"/>
      <c r="CK39" s="15" t="inlineStr">
        <is>
          <t>DEVICES AND CONSUMER — modelling logic (history: restated FY27 basis, 8-K 2-Sep-2026, Q1/25–Q4/26 only)</t>
        </is>
      </c>
      <c r="CS39" s="25" t="inlineStr">
        <is>
          <t xml:space="preserve">  2030E</t>
        </is>
      </c>
      <c r="CT39" s="33">
        <f>CU39+$CT$36</f>
        <v>0</v>
      </c>
      <c r="CU39" s="42" t="n">
        <v>-0.03</v>
      </c>
      <c r="CV39" s="33">
        <f>CU39+$CV$36</f>
        <v>-0.07</v>
      </c>
    </row>
    <row r="40" ht="15" customHeight="1" s="251">
      <c r="B40" s="25" t="inlineStr">
        <is>
          <t xml:space="preserve">  Search and advertising revenue</t>
        </is>
      </c>
      <c r="C40" s="34" t="n"/>
      <c r="D40" s="34" t="n"/>
      <c r="E40" s="34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  <c r="AA40" s="34" t="n"/>
      <c r="AB40" s="34" t="n"/>
      <c r="AC40" s="34" t="n"/>
      <c r="AD40" s="34" t="n"/>
      <c r="AE40" s="34" t="n"/>
      <c r="AF40" s="34" t="n"/>
      <c r="AG40" s="34" t="n"/>
      <c r="AH40" s="34" t="n"/>
      <c r="AI40" s="34" t="n"/>
      <c r="AJ40" s="34" t="n"/>
      <c r="AK40" s="34" t="n"/>
      <c r="AL40" s="34" t="n"/>
      <c r="AM40" s="34" t="n"/>
      <c r="AN40" s="34" t="n"/>
      <c r="AO40" s="34" t="n"/>
      <c r="AP40" s="34" t="n"/>
      <c r="AQ40" s="34" t="n"/>
      <c r="AR40" s="34" t="n"/>
      <c r="AS40" s="34" t="n"/>
      <c r="AT40" s="34" t="n"/>
      <c r="AU40" s="34" t="n"/>
      <c r="AV40" s="34" t="n"/>
      <c r="AW40" s="34" t="n"/>
      <c r="AX40" s="34" t="n"/>
      <c r="AY40" s="34" t="n"/>
      <c r="AZ40" s="34" t="n"/>
      <c r="BA40" s="34" t="n"/>
      <c r="BB40" s="34" t="n"/>
      <c r="BC40" s="34" t="n"/>
      <c r="BD40" s="34" t="n"/>
      <c r="BE40" s="34" t="n"/>
      <c r="BF40" s="34" t="n"/>
      <c r="BG40" s="34" t="n"/>
      <c r="BH40" s="34" t="n"/>
      <c r="BI40" s="34" t="n"/>
      <c r="BJ40" s="34" t="n"/>
      <c r="BK40" s="34" t="n"/>
      <c r="BL40" s="34" t="n"/>
      <c r="BM40" s="34" t="n"/>
      <c r="BN40" s="34" t="n"/>
      <c r="BO40" s="34" t="n"/>
      <c r="BP40" s="34" t="n"/>
      <c r="BQ40" s="34" t="n"/>
      <c r="BR40" s="253" t="n">
        <v>5159</v>
      </c>
      <c r="BS40" s="253" t="n">
        <v>5773</v>
      </c>
      <c r="BT40" s="253" t="n">
        <v>5437</v>
      </c>
      <c r="BU40" s="253" t="n">
        <v>5802</v>
      </c>
      <c r="BV40" s="253" t="n">
        <v>22171</v>
      </c>
      <c r="BW40" s="253" t="n">
        <v>5942</v>
      </c>
      <c r="BX40" s="253" t="n">
        <v>6393</v>
      </c>
      <c r="BY40" s="253" t="n">
        <v>6065</v>
      </c>
      <c r="BZ40" s="253" t="n">
        <v>6435</v>
      </c>
      <c r="CA40" s="253" t="n">
        <v>24835</v>
      </c>
      <c r="CB40" s="254">
        <f>BW40*(1+CB41)</f>
        <v>6285.59820919982</v>
      </c>
      <c r="CC40" s="254">
        <f>BX40*(1+CC41)</f>
        <v>6762.67744049384</v>
      </c>
      <c r="CD40" s="254">
        <f>BY40*(1+CD41)</f>
        <v>6415.71072682546</v>
      </c>
      <c r="CE40" s="254">
        <f>BZ40*(1+CE41)</f>
        <v>6807.10610504894</v>
      </c>
      <c r="CF40" s="254">
        <f>SUM(CB40:CE40)</f>
        <v>26271.0924815681</v>
      </c>
      <c r="CG40" s="254">
        <f>CF40*(1+CG41)</f>
        <v>28372.7798800935</v>
      </c>
      <c r="CH40" s="254">
        <f>CG40*(1+CH41)</f>
        <v>30642.602270501</v>
      </c>
      <c r="CI40" s="254">
        <f>CH40*(1+CI41)</f>
        <v>32787.5844294361</v>
      </c>
      <c r="CJ40" s="254">
        <f>CI40*(1+CJ41)</f>
        <v>35082.7153394966</v>
      </c>
      <c r="CK40" s="19" t="inlineStr">
        <is>
          <t>Restated product &amp; service revenue (FY27 definitions; 8-K 2-Sep-2026, Ex. 99.1). Q1–Q4/27E: prior-year quarter × (1 + growth). 2028E+: prior year × (1 + scenario lever).</t>
        </is>
      </c>
      <c r="CM40" s="20">
        <f>IFERROR((CJ40/CA40)^(1/5)-1,"n/m")</f>
        <v>0.0715336328761738</v>
      </c>
      <c r="CN40" s="20" t="str">
        <f>IFERROR((CA40/BB40)^(1/5)-1,"n/m")</f>
        <v>n/m</v>
      </c>
      <c r="CO40" s="20" t="str">
        <f>IFERROR((CA40/AC40)^(1/10)-1,"n/m")</f>
        <v>n/m</v>
      </c>
      <c r="CP40" s="20" t="str">
        <f>IFERROR((CA40/C40)^(1/20)-1,"n/m")</f>
        <v>n/m</v>
      </c>
      <c r="CS40" s="25" t="inlineStr">
        <is>
          <t xml:space="preserve">  2031E</t>
        </is>
      </c>
      <c r="CT40" s="33">
        <f>CU40+$CT$36</f>
        <v>0</v>
      </c>
      <c r="CU40" s="42" t="n">
        <v>-0.03</v>
      </c>
      <c r="CV40" s="33">
        <f>CU40+$CV$36</f>
        <v>-0.07</v>
      </c>
    </row>
    <row r="41" ht="15" customHeight="1" s="251">
      <c r="B41" s="22" t="inlineStr">
        <is>
          <t xml:space="preserve">    y/y %</t>
        </is>
      </c>
      <c r="C41" s="23" t="n"/>
      <c r="D41" s="255">
        <f>IF(AND(ISNUMBER(D40),ISNUMBER(C40)),IFERROR(D40/C40-1,""),"")</f>
      </c>
      <c r="E41" s="255">
        <f>IF(AND(ISNUMBER(E40),ISNUMBER(D40)),IFERROR(E40/D40-1,""),"")</f>
      </c>
      <c r="F41" s="255">
        <f>IF(AND(ISNUMBER(F40),ISNUMBER(E40)),IFERROR(F40/E40-1,""),"")</f>
      </c>
      <c r="G41" s="255">
        <f>IF(AND(ISNUMBER(G40),ISNUMBER(F40)),IFERROR(G40/F40-1,""),"")</f>
      </c>
      <c r="H41" s="255">
        <f>IF(AND(ISNUMBER(H40),ISNUMBER(G40)),IFERROR(H40/G40-1,""),"")</f>
      </c>
      <c r="I41" s="255">
        <f>IF(AND(ISNUMBER(I40),ISNUMBER(H40)),IFERROR(I40/H40-1,""),"")</f>
      </c>
      <c r="J41" s="23" t="n"/>
      <c r="K41" s="23" t="n"/>
      <c r="L41" s="23" t="n"/>
      <c r="M41" s="23" t="n"/>
      <c r="N41" s="255">
        <f>IF(AND(ISNUMBER(N40),ISNUMBER(I40)),IFERROR(N40/I40-1,""),"")</f>
      </c>
      <c r="O41" s="255">
        <f>IF(AND(ISNUMBER(O40),ISNUMBER(J40)),IFERROR(O40/J40-1,""),"")</f>
      </c>
      <c r="P41" s="255">
        <f>IF(AND(ISNUMBER(P40),ISNUMBER(K40)),IFERROR(P40/K40-1,""),"")</f>
      </c>
      <c r="Q41" s="255">
        <f>IF(AND(ISNUMBER(Q40),ISNUMBER(L40)),IFERROR(Q40/L40-1,""),"")</f>
      </c>
      <c r="R41" s="255">
        <f>IF(AND(ISNUMBER(R40),ISNUMBER(M40)),IFERROR(R40/M40-1,""),"")</f>
      </c>
      <c r="S41" s="255">
        <f>IF(AND(ISNUMBER(S40),ISNUMBER(N40)),IFERROR(S40/N40-1,""),"")</f>
      </c>
      <c r="T41" s="255">
        <f>IF(AND(ISNUMBER(T40),ISNUMBER(O40)),IFERROR(T40/O40-1,""),"")</f>
      </c>
      <c r="U41" s="255">
        <f>IF(AND(ISNUMBER(U40),ISNUMBER(P40)),IFERROR(U40/P40-1,""),"")</f>
      </c>
      <c r="V41" s="255">
        <f>IF(AND(ISNUMBER(V40),ISNUMBER(Q40)),IFERROR(V40/Q40-1,""),"")</f>
      </c>
      <c r="W41" s="255">
        <f>IF(AND(ISNUMBER(W40),ISNUMBER(R40)),IFERROR(W40/R40-1,""),"")</f>
      </c>
      <c r="X41" s="255">
        <f>IF(AND(ISNUMBER(X40),ISNUMBER(S40)),IFERROR(X40/S40-1,""),"")</f>
      </c>
      <c r="Y41" s="255">
        <f>IF(AND(ISNUMBER(Y40),ISNUMBER(T40)),IFERROR(Y40/T40-1,""),"")</f>
      </c>
      <c r="Z41" s="255">
        <f>IF(AND(ISNUMBER(Z40),ISNUMBER(U40)),IFERROR(Z40/U40-1,""),"")</f>
      </c>
      <c r="AA41" s="255">
        <f>IF(AND(ISNUMBER(AA40),ISNUMBER(V40)),IFERROR(AA40/V40-1,""),"")</f>
      </c>
      <c r="AB41" s="255">
        <f>IF(AND(ISNUMBER(AB40),ISNUMBER(W40)),IFERROR(AB40/W40-1,""),"")</f>
      </c>
      <c r="AC41" s="255">
        <f>IF(AND(ISNUMBER(AC40),ISNUMBER(X40)),IFERROR(AC40/X40-1,""),"")</f>
      </c>
      <c r="AD41" s="255">
        <f>IF(AND(ISNUMBER(AD40),ISNUMBER(Y40)),IFERROR(AD40/Y40-1,""),"")</f>
      </c>
      <c r="AE41" s="255">
        <f>IF(AND(ISNUMBER(AE40),ISNUMBER(Z40)),IFERROR(AE40/Z40-1,""),"")</f>
      </c>
      <c r="AF41" s="255">
        <f>IF(AND(ISNUMBER(AF40),ISNUMBER(AA40)),IFERROR(AF40/AA40-1,""),"")</f>
      </c>
      <c r="AG41" s="255">
        <f>IF(AND(ISNUMBER(AG40),ISNUMBER(AB40)),IFERROR(AG40/AB40-1,""),"")</f>
      </c>
      <c r="AH41" s="255">
        <f>IF(AND(ISNUMBER(AH40),ISNUMBER(AC40)),IFERROR(AH40/AC40-1,""),"")</f>
      </c>
      <c r="AI41" s="255">
        <f>IF(AND(ISNUMBER(AI40),ISNUMBER(AD40)),IFERROR(AI40/AD40-1,""),"")</f>
      </c>
      <c r="AJ41" s="255">
        <f>IF(AND(ISNUMBER(AJ40),ISNUMBER(AE40)),IFERROR(AJ40/AE40-1,""),"")</f>
      </c>
      <c r="AK41" s="255">
        <f>IF(AND(ISNUMBER(AK40),ISNUMBER(AF40)),IFERROR(AK40/AF40-1,""),"")</f>
      </c>
      <c r="AL41" s="255">
        <f>IF(AND(ISNUMBER(AL40),ISNUMBER(AG40)),IFERROR(AL40/AG40-1,""),"")</f>
      </c>
      <c r="AM41" s="255">
        <f>IF(AND(ISNUMBER(AM40),ISNUMBER(AH40)),IFERROR(AM40/AH40-1,""),"")</f>
      </c>
      <c r="AN41" s="255">
        <f>IF(AND(ISNUMBER(AN40),ISNUMBER(AI40)),IFERROR(AN40/AI40-1,""),"")</f>
      </c>
      <c r="AO41" s="255">
        <f>IF(AND(ISNUMBER(AO40),ISNUMBER(AJ40)),IFERROR(AO40/AJ40-1,""),"")</f>
      </c>
      <c r="AP41" s="255">
        <f>IF(AND(ISNUMBER(AP40),ISNUMBER(AK40)),IFERROR(AP40/AK40-1,""),"")</f>
      </c>
      <c r="AQ41" s="255">
        <f>IF(AND(ISNUMBER(AQ40),ISNUMBER(AL40)),IFERROR(AQ40/AL40-1,""),"")</f>
      </c>
      <c r="AR41" s="255">
        <f>IF(AND(ISNUMBER(AR40),ISNUMBER(AM40)),IFERROR(AR40/AM40-1,""),"")</f>
      </c>
      <c r="AS41" s="255">
        <f>IF(AND(ISNUMBER(AS40),ISNUMBER(AN40)),IFERROR(AS40/AN40-1,""),"")</f>
      </c>
      <c r="AT41" s="255">
        <f>IF(AND(ISNUMBER(AT40),ISNUMBER(AO40)),IFERROR(AT40/AO40-1,""),"")</f>
      </c>
      <c r="AU41" s="255">
        <f>IF(AND(ISNUMBER(AU40),ISNUMBER(AP40)),IFERROR(AU40/AP40-1,""),"")</f>
      </c>
      <c r="AV41" s="255">
        <f>IF(AND(ISNUMBER(AV40),ISNUMBER(AQ40)),IFERROR(AV40/AQ40-1,""),"")</f>
      </c>
      <c r="AW41" s="255">
        <f>IF(AND(ISNUMBER(AW40),ISNUMBER(AR40)),IFERROR(AW40/AR40-1,""),"")</f>
      </c>
      <c r="AX41" s="255">
        <f>IF(AND(ISNUMBER(AX40),ISNUMBER(AS40)),IFERROR(AX40/AS40-1,""),"")</f>
      </c>
      <c r="AY41" s="255">
        <f>IF(AND(ISNUMBER(AY40),ISNUMBER(AT40)),IFERROR(AY40/AT40-1,""),"")</f>
      </c>
      <c r="AZ41" s="255">
        <f>IF(AND(ISNUMBER(AZ40),ISNUMBER(AU40)),IFERROR(AZ40/AU40-1,""),"")</f>
      </c>
      <c r="BA41" s="255">
        <f>IF(AND(ISNUMBER(BA40),ISNUMBER(AV40)),IFERROR(BA40/AV40-1,""),"")</f>
      </c>
      <c r="BB41" s="255">
        <f>IF(AND(ISNUMBER(BB40),ISNUMBER(AW40)),IFERROR(BB40/AW40-1,""),"")</f>
      </c>
      <c r="BC41" s="255">
        <f>IF(AND(ISNUMBER(BC40),ISNUMBER(AX40)),IFERROR(BC40/AX40-1,""),"")</f>
      </c>
      <c r="BD41" s="255">
        <f>IF(AND(ISNUMBER(BD40),ISNUMBER(AY40)),IFERROR(BD40/AY40-1,""),"")</f>
      </c>
      <c r="BE41" s="255">
        <f>IF(AND(ISNUMBER(BE40),ISNUMBER(AZ40)),IFERROR(BE40/AZ40-1,""),"")</f>
      </c>
      <c r="BF41" s="255">
        <f>IF(AND(ISNUMBER(BF40),ISNUMBER(BA40)),IFERROR(BF40/BA40-1,""),"")</f>
      </c>
      <c r="BG41" s="255">
        <f>IF(AND(ISNUMBER(BG40),ISNUMBER(BB40)),IFERROR(BG40/BB40-1,""),"")</f>
      </c>
      <c r="BH41" s="255">
        <f>IF(AND(ISNUMBER(BH40),ISNUMBER(BC40)),IFERROR(BH40/BC40-1,""),"")</f>
      </c>
      <c r="BI41" s="255">
        <f>IF(AND(ISNUMBER(BI40),ISNUMBER(BD40)),IFERROR(BI40/BD40-1,""),"")</f>
      </c>
      <c r="BJ41" s="255">
        <f>IF(AND(ISNUMBER(BJ40),ISNUMBER(BE40)),IFERROR(BJ40/BE40-1,""),"")</f>
      </c>
      <c r="BK41" s="255">
        <f>IF(AND(ISNUMBER(BK40),ISNUMBER(BF40)),IFERROR(BK40/BF40-1,""),"")</f>
      </c>
      <c r="BL41" s="255">
        <f>IF(AND(ISNUMBER(BL40),ISNUMBER(BG40)),IFERROR(BL40/BG40-1,""),"")</f>
      </c>
      <c r="BM41" s="255">
        <f>IF(AND(ISNUMBER(BM40),ISNUMBER(BH40)),IFERROR(BM40/BH40-1,""),"")</f>
      </c>
      <c r="BN41" s="255">
        <f>IF(AND(ISNUMBER(BN40),ISNUMBER(BI40)),IFERROR(BN40/BI40-1,""),"")</f>
      </c>
      <c r="BO41" s="255">
        <f>IF(AND(ISNUMBER(BO40),ISNUMBER(BJ40)),IFERROR(BO40/BJ40-1,""),"")</f>
      </c>
      <c r="BP41" s="255">
        <f>IF(AND(ISNUMBER(BP40),ISNUMBER(BK40)),IFERROR(BP40/BK40-1,""),"")</f>
      </c>
      <c r="BQ41" s="255">
        <f>IF(AND(ISNUMBER(BQ40),ISNUMBER(BL40)),IFERROR(BQ40/BL40-1,""),"")</f>
      </c>
      <c r="BR41" s="255">
        <f>IF(AND(ISNUMBER(BR40),ISNUMBER(BM40)),IFERROR(BR40/BM40-1,""),"")</f>
      </c>
      <c r="BS41" s="255">
        <f>IF(AND(ISNUMBER(BS40),ISNUMBER(BN40)),IFERROR(BS40/BN40-1,""),"")</f>
      </c>
      <c r="BT41" s="255">
        <f>IF(AND(ISNUMBER(BT40),ISNUMBER(BO40)),IFERROR(BT40/BO40-1,""),"")</f>
      </c>
      <c r="BU41" s="255">
        <f>IF(AND(ISNUMBER(BU40),ISNUMBER(BP40)),IFERROR(BU40/BP40-1,""),"")</f>
      </c>
      <c r="BV41" s="255">
        <f>IF(AND(ISNUMBER(BV40),ISNUMBER(BQ40)),IFERROR(BV40/BQ40-1,""),"")</f>
      </c>
      <c r="BW41" s="255">
        <f>IF(AND(ISNUMBER(BW40),ISNUMBER(BR40)),IFERROR(BW40/BR40-1,""),"")</f>
        <v>0.151773599534794</v>
      </c>
      <c r="BX41" s="255">
        <f>IF(AND(ISNUMBER(BX40),ISNUMBER(BS40)),IFERROR(BX40/BS40-1,""),"")</f>
        <v>0.107396500952711</v>
      </c>
      <c r="BY41" s="255">
        <f>IF(AND(ISNUMBER(BY40),ISNUMBER(BT40)),IFERROR(BY40/BT40-1,""),"")</f>
        <v>0.115504874011403</v>
      </c>
      <c r="BZ41" s="255">
        <f>IF(AND(ISNUMBER(BZ40),ISNUMBER(BU40)),IFERROR(BZ40/BU40-1,""),"")</f>
        <v>0.109100310237849</v>
      </c>
      <c r="CA41" s="255">
        <f>IF(AND(ISNUMBER(CA40),ISNUMBER(BV40)),IFERROR(CA40/BV40-1,""),"")</f>
        <v>0.120156961796942</v>
      </c>
      <c r="CB41" s="256">
        <f>CB42+$CB$144</f>
        <v>0.0578253465499521</v>
      </c>
      <c r="CC41" s="256">
        <f>CC42+$CB$144</f>
        <v>0.0578253465499521</v>
      </c>
      <c r="CD41" s="256">
        <f>CD42+$CB$144</f>
        <v>0.0578253465499521</v>
      </c>
      <c r="CE41" s="256">
        <f>CE42+$CB$144</f>
        <v>0.0578253465499521</v>
      </c>
      <c r="CF41" s="256">
        <f>IF(AND(ISNUMBER(CF40),ISNUMBER(CA40)),IFERROR(CF40/CA40-1,""),"")</f>
        <v>0.0578253465499521</v>
      </c>
      <c r="CG41" s="256">
        <f>CHOOSE(MATCH($CK$2,{"Bull","Base","Bear"},0),$CT$52,$CU$52,$CV$52)</f>
        <v>0.08</v>
      </c>
      <c r="CH41" s="256">
        <f>CHOOSE(MATCH($CK$2,{"Bull","Base","Bear"},0),$CT$53,$CU$53,$CV$53)</f>
        <v>0.08</v>
      </c>
      <c r="CI41" s="256">
        <f>CHOOSE(MATCH($CK$2,{"Bull","Base","Bear"},0),$CT$54,$CU$54,$CV$54)</f>
        <v>0.07</v>
      </c>
      <c r="CJ41" s="256">
        <f>CHOOSE(MATCH($CK$2,{"Bull","Base","Bear"},0),$CT$55,$CU$55,$CV$55)</f>
        <v>0.07</v>
      </c>
      <c r="CK41" s="153" t="inlineStr">
        <is>
          <t>Q1–Q4/27E: Q4/26 y/y growth of the line + the segment calibration Δ solved in Q1/27E to the segment revenue guidance (carried to Q2–Q4). 2028E–2031E: scenario lever (Bull/Base/Bear table →).</t>
        </is>
      </c>
      <c r="CS41" s="15" t="inlineStr">
        <is>
          <t>AI_IND (Industry solutions y/y)</t>
        </is>
      </c>
      <c r="CT41" s="41" t="n">
        <v>0.03</v>
      </c>
      <c r="CU41" s="21" t="inlineStr">
        <is>
          <t>Δ →</t>
        </is>
      </c>
      <c r="CV41" s="41" t="n">
        <v>-0.04</v>
      </c>
      <c r="CW41" s="13" t="inlineStr">
        <is>
          <t>FY26 +10.5%; Q1 FY27 cloud high-single digits (Dynamics 365, LinkedIn Talent / Sales, healthcare).</t>
        </is>
      </c>
    </row>
    <row r="42" ht="15" customHeight="1" s="251">
      <c r="B42" s="25" t="inlineStr">
        <is>
          <t xml:space="preserve">    Growth before calibration (Q4/26 y/y, latest actual quarter)</t>
        </is>
      </c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  <c r="AU42" s="36" t="n"/>
      <c r="AV42" s="36" t="n"/>
      <c r="AW42" s="36" t="n"/>
      <c r="AX42" s="36" t="n"/>
      <c r="AY42" s="36" t="n"/>
      <c r="AZ42" s="36" t="n"/>
      <c r="BA42" s="36" t="n"/>
      <c r="BB42" s="36" t="n"/>
      <c r="BC42" s="36" t="n"/>
      <c r="BD42" s="36" t="n"/>
      <c r="BE42" s="36" t="n"/>
      <c r="BF42" s="36" t="n"/>
      <c r="BG42" s="36" t="n"/>
      <c r="BH42" s="36" t="n"/>
      <c r="BI42" s="36" t="n"/>
      <c r="BJ42" s="36" t="n"/>
      <c r="BK42" s="36" t="n"/>
      <c r="BL42" s="36" t="n"/>
      <c r="BM42" s="36" t="n"/>
      <c r="BN42" s="36" t="n"/>
      <c r="BO42" s="36" t="n"/>
      <c r="BP42" s="36" t="n"/>
      <c r="BQ42" s="36" t="n"/>
      <c r="BR42" s="36" t="n"/>
      <c r="BS42" s="36" t="n"/>
      <c r="BT42" s="36" t="n"/>
      <c r="BU42" s="36" t="n"/>
      <c r="BV42" s="36" t="n"/>
      <c r="BW42" s="36" t="n"/>
      <c r="BX42" s="36" t="n"/>
      <c r="BY42" s="36" t="n"/>
      <c r="BZ42" s="36" t="n"/>
      <c r="CA42" s="36" t="n"/>
      <c r="CB42" s="256">
        <f>IFERROR(BZ40/BU40-1,0)</f>
        <v>0.109100310237849</v>
      </c>
      <c r="CC42" s="256">
        <f>IFERROR(BZ40/BU40-1,0)</f>
        <v>0.109100310237849</v>
      </c>
      <c r="CD42" s="256">
        <f>IFERROR(BZ40/BU40-1,0)</f>
        <v>0.109100310237849</v>
      </c>
      <c r="CE42" s="256">
        <f>IFERROR(BZ40/BU40-1,0)</f>
        <v>0.109100310237849</v>
      </c>
      <c r="CF42" s="24" t="n"/>
      <c r="CG42" s="46" t="n"/>
      <c r="CH42" s="46" t="n"/>
      <c r="CI42" s="46" t="n"/>
      <c r="CJ42" s="46" t="n"/>
      <c r="CK42" s="19" t="n"/>
      <c r="CS42" s="25" t="inlineStr">
        <is>
          <t xml:space="preserve">  2028E</t>
        </is>
      </c>
      <c r="CT42" s="33">
        <f>CU42+$CT$41</f>
        <v>0.12</v>
      </c>
      <c r="CU42" s="42" t="n">
        <v>0.09</v>
      </c>
      <c r="CV42" s="33">
        <f>CU42+$CV$41</f>
        <v>0.05</v>
      </c>
    </row>
    <row r="43" ht="15" customHeight="1" s="251">
      <c r="B43" s="25" t="inlineStr">
        <is>
          <t xml:space="preserve">  XBOX revenue</t>
        </is>
      </c>
      <c r="C43" s="34" t="n"/>
      <c r="D43" s="34" t="n"/>
      <c r="E43" s="34" t="n"/>
      <c r="F43" s="34" t="n"/>
      <c r="G43" s="34" t="n"/>
      <c r="H43" s="34" t="n"/>
      <c r="I43" s="34" t="n"/>
      <c r="J43" s="34" t="n"/>
      <c r="K43" s="34" t="n"/>
      <c r="L43" s="34" t="n"/>
      <c r="M43" s="34" t="n"/>
      <c r="N43" s="34" t="n"/>
      <c r="O43" s="34" t="n"/>
      <c r="P43" s="34" t="n"/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  <c r="AA43" s="34" t="n"/>
      <c r="AB43" s="34" t="n"/>
      <c r="AC43" s="34" t="n"/>
      <c r="AD43" s="34" t="n"/>
      <c r="AE43" s="34" t="n"/>
      <c r="AF43" s="34" t="n"/>
      <c r="AG43" s="34" t="n"/>
      <c r="AH43" s="34" t="n"/>
      <c r="AI43" s="34" t="n"/>
      <c r="AJ43" s="34" t="n"/>
      <c r="AK43" s="34" t="n"/>
      <c r="AL43" s="34" t="n"/>
      <c r="AM43" s="34" t="n"/>
      <c r="AN43" s="34" t="n"/>
      <c r="AO43" s="34" t="n"/>
      <c r="AP43" s="34" t="n"/>
      <c r="AQ43" s="34" t="n"/>
      <c r="AR43" s="34" t="n"/>
      <c r="AS43" s="34" t="n"/>
      <c r="AT43" s="34" t="n"/>
      <c r="AU43" s="34" t="n"/>
      <c r="AV43" s="34" t="n"/>
      <c r="AW43" s="34" t="n"/>
      <c r="AX43" s="34" t="n"/>
      <c r="AY43" s="34" t="n"/>
      <c r="AZ43" s="34" t="n"/>
      <c r="BA43" s="34" t="n"/>
      <c r="BB43" s="34" t="n"/>
      <c r="BC43" s="34" t="n"/>
      <c r="BD43" s="34" t="n"/>
      <c r="BE43" s="34" t="n"/>
      <c r="BF43" s="34" t="n"/>
      <c r="BG43" s="34" t="n"/>
      <c r="BH43" s="34" t="n"/>
      <c r="BI43" s="34" t="n"/>
      <c r="BJ43" s="34" t="n"/>
      <c r="BK43" s="34" t="n"/>
      <c r="BL43" s="34" t="n"/>
      <c r="BM43" s="34" t="n"/>
      <c r="BN43" s="34" t="n"/>
      <c r="BO43" s="34" t="n"/>
      <c r="BP43" s="34" t="n"/>
      <c r="BQ43" s="34" t="n"/>
      <c r="BR43" s="253" t="n">
        <v>5621</v>
      </c>
      <c r="BS43" s="253" t="n">
        <v>6581</v>
      </c>
      <c r="BT43" s="253" t="n">
        <v>5721</v>
      </c>
      <c r="BU43" s="253" t="n">
        <v>5532</v>
      </c>
      <c r="BV43" s="253" t="n">
        <v>23455</v>
      </c>
      <c r="BW43" s="253" t="n">
        <v>5508</v>
      </c>
      <c r="BX43" s="253" t="n">
        <v>5958</v>
      </c>
      <c r="BY43" s="253" t="n">
        <v>5341</v>
      </c>
      <c r="BZ43" s="253" t="n">
        <v>4983</v>
      </c>
      <c r="CA43" s="253" t="n">
        <v>21790</v>
      </c>
      <c r="CB43" s="254">
        <f>BW43*(1+CB44)</f>
        <v>4678.95927874893</v>
      </c>
      <c r="CC43" s="254">
        <f>BX43*(1+CC44)</f>
        <v>5061.2271936794</v>
      </c>
      <c r="CD43" s="254">
        <f>BY43*(1+CD44)</f>
        <v>4537.09540809696</v>
      </c>
      <c r="CE43" s="254">
        <f>BZ43*(1+CE44)</f>
        <v>4232.98004466338</v>
      </c>
      <c r="CF43" s="254">
        <f>SUM(CB43:CE43)</f>
        <v>18510.2619251887</v>
      </c>
      <c r="CG43" s="254">
        <f>CF43*(1+CG44)</f>
        <v>18880.4671636924</v>
      </c>
      <c r="CH43" s="254">
        <f>CG43*(1+CH44)</f>
        <v>19446.8811786032</v>
      </c>
      <c r="CI43" s="254">
        <f>CH43*(1+CI44)</f>
        <v>20030.2876139613</v>
      </c>
      <c r="CJ43" s="254">
        <f>CI43*(1+CJ44)</f>
        <v>20631.1962423802</v>
      </c>
      <c r="CK43" s="19" t="n"/>
      <c r="CM43" s="20">
        <f>IFERROR((CJ43/CA43)^(1/5)-1,"n/m")</f>
        <v>-0.0108698590524052</v>
      </c>
      <c r="CN43" s="20" t="str">
        <f>IFERROR((CA43/BB43)^(1/5)-1,"n/m")</f>
        <v>n/m</v>
      </c>
      <c r="CO43" s="20" t="str">
        <f>IFERROR((CA43/AC43)^(1/10)-1,"n/m")</f>
        <v>n/m</v>
      </c>
      <c r="CP43" s="20" t="str">
        <f>IFERROR((CA43/C43)^(1/20)-1,"n/m")</f>
        <v>n/m</v>
      </c>
      <c r="CS43" s="25" t="inlineStr">
        <is>
          <t xml:space="preserve">  2029E</t>
        </is>
      </c>
      <c r="CT43" s="33">
        <f>CU43+$CT$41</f>
        <v>0.12</v>
      </c>
      <c r="CU43" s="42" t="n">
        <v>0.09</v>
      </c>
      <c r="CV43" s="33">
        <f>CU43+$CV$41</f>
        <v>0.05</v>
      </c>
    </row>
    <row r="44" ht="15" customHeight="1" s="251">
      <c r="B44" s="22" t="inlineStr">
        <is>
          <t xml:space="preserve">    y/y %</t>
        </is>
      </c>
      <c r="C44" s="23" t="n"/>
      <c r="D44" s="255">
        <f>IF(AND(ISNUMBER(D43),ISNUMBER(C43)),IFERROR(D43/C43-1,""),"")</f>
      </c>
      <c r="E44" s="255">
        <f>IF(AND(ISNUMBER(E43),ISNUMBER(D43)),IFERROR(E43/D43-1,""),"")</f>
      </c>
      <c r="F44" s="255">
        <f>IF(AND(ISNUMBER(F43),ISNUMBER(E43)),IFERROR(F43/E43-1,""),"")</f>
      </c>
      <c r="G44" s="255">
        <f>IF(AND(ISNUMBER(G43),ISNUMBER(F43)),IFERROR(G43/F43-1,""),"")</f>
      </c>
      <c r="H44" s="255">
        <f>IF(AND(ISNUMBER(H43),ISNUMBER(G43)),IFERROR(H43/G43-1,""),"")</f>
      </c>
      <c r="I44" s="255">
        <f>IF(AND(ISNUMBER(I43),ISNUMBER(H43)),IFERROR(I43/H43-1,""),"")</f>
      </c>
      <c r="J44" s="23" t="n"/>
      <c r="K44" s="23" t="n"/>
      <c r="L44" s="23" t="n"/>
      <c r="M44" s="23" t="n"/>
      <c r="N44" s="255">
        <f>IF(AND(ISNUMBER(N43),ISNUMBER(I43)),IFERROR(N43/I43-1,""),"")</f>
      </c>
      <c r="O44" s="255">
        <f>IF(AND(ISNUMBER(O43),ISNUMBER(J43)),IFERROR(O43/J43-1,""),"")</f>
      </c>
      <c r="P44" s="255">
        <f>IF(AND(ISNUMBER(P43),ISNUMBER(K43)),IFERROR(P43/K43-1,""),"")</f>
      </c>
      <c r="Q44" s="255">
        <f>IF(AND(ISNUMBER(Q43),ISNUMBER(L43)),IFERROR(Q43/L43-1,""),"")</f>
      </c>
      <c r="R44" s="255">
        <f>IF(AND(ISNUMBER(R43),ISNUMBER(M43)),IFERROR(R43/M43-1,""),"")</f>
      </c>
      <c r="S44" s="255">
        <f>IF(AND(ISNUMBER(S43),ISNUMBER(N43)),IFERROR(S43/N43-1,""),"")</f>
      </c>
      <c r="T44" s="255">
        <f>IF(AND(ISNUMBER(T43),ISNUMBER(O43)),IFERROR(T43/O43-1,""),"")</f>
      </c>
      <c r="U44" s="255">
        <f>IF(AND(ISNUMBER(U43),ISNUMBER(P43)),IFERROR(U43/P43-1,""),"")</f>
      </c>
      <c r="V44" s="255">
        <f>IF(AND(ISNUMBER(V43),ISNUMBER(Q43)),IFERROR(V43/Q43-1,""),"")</f>
      </c>
      <c r="W44" s="255">
        <f>IF(AND(ISNUMBER(W43),ISNUMBER(R43)),IFERROR(W43/R43-1,""),"")</f>
      </c>
      <c r="X44" s="255">
        <f>IF(AND(ISNUMBER(X43),ISNUMBER(S43)),IFERROR(X43/S43-1,""),"")</f>
      </c>
      <c r="Y44" s="255">
        <f>IF(AND(ISNUMBER(Y43),ISNUMBER(T43)),IFERROR(Y43/T43-1,""),"")</f>
      </c>
      <c r="Z44" s="255">
        <f>IF(AND(ISNUMBER(Z43),ISNUMBER(U43)),IFERROR(Z43/U43-1,""),"")</f>
      </c>
      <c r="AA44" s="255">
        <f>IF(AND(ISNUMBER(AA43),ISNUMBER(V43)),IFERROR(AA43/V43-1,""),"")</f>
      </c>
      <c r="AB44" s="255">
        <f>IF(AND(ISNUMBER(AB43),ISNUMBER(W43)),IFERROR(AB43/W43-1,""),"")</f>
      </c>
      <c r="AC44" s="255">
        <f>IF(AND(ISNUMBER(AC43),ISNUMBER(X43)),IFERROR(AC43/X43-1,""),"")</f>
      </c>
      <c r="AD44" s="255">
        <f>IF(AND(ISNUMBER(AD43),ISNUMBER(Y43)),IFERROR(AD43/Y43-1,""),"")</f>
      </c>
      <c r="AE44" s="255">
        <f>IF(AND(ISNUMBER(AE43),ISNUMBER(Z43)),IFERROR(AE43/Z43-1,""),"")</f>
      </c>
      <c r="AF44" s="255">
        <f>IF(AND(ISNUMBER(AF43),ISNUMBER(AA43)),IFERROR(AF43/AA43-1,""),"")</f>
      </c>
      <c r="AG44" s="255">
        <f>IF(AND(ISNUMBER(AG43),ISNUMBER(AB43)),IFERROR(AG43/AB43-1,""),"")</f>
      </c>
      <c r="AH44" s="255">
        <f>IF(AND(ISNUMBER(AH43),ISNUMBER(AC43)),IFERROR(AH43/AC43-1,""),"")</f>
      </c>
      <c r="AI44" s="255">
        <f>IF(AND(ISNUMBER(AI43),ISNUMBER(AD43)),IFERROR(AI43/AD43-1,""),"")</f>
      </c>
      <c r="AJ44" s="255">
        <f>IF(AND(ISNUMBER(AJ43),ISNUMBER(AE43)),IFERROR(AJ43/AE43-1,""),"")</f>
      </c>
      <c r="AK44" s="255">
        <f>IF(AND(ISNUMBER(AK43),ISNUMBER(AF43)),IFERROR(AK43/AF43-1,""),"")</f>
      </c>
      <c r="AL44" s="255">
        <f>IF(AND(ISNUMBER(AL43),ISNUMBER(AG43)),IFERROR(AL43/AG43-1,""),"")</f>
      </c>
      <c r="AM44" s="255">
        <f>IF(AND(ISNUMBER(AM43),ISNUMBER(AH43)),IFERROR(AM43/AH43-1,""),"")</f>
      </c>
      <c r="AN44" s="255">
        <f>IF(AND(ISNUMBER(AN43),ISNUMBER(AI43)),IFERROR(AN43/AI43-1,""),"")</f>
      </c>
      <c r="AO44" s="255">
        <f>IF(AND(ISNUMBER(AO43),ISNUMBER(AJ43)),IFERROR(AO43/AJ43-1,""),"")</f>
      </c>
      <c r="AP44" s="255">
        <f>IF(AND(ISNUMBER(AP43),ISNUMBER(AK43)),IFERROR(AP43/AK43-1,""),"")</f>
      </c>
      <c r="AQ44" s="255">
        <f>IF(AND(ISNUMBER(AQ43),ISNUMBER(AL43)),IFERROR(AQ43/AL43-1,""),"")</f>
      </c>
      <c r="AR44" s="255">
        <f>IF(AND(ISNUMBER(AR43),ISNUMBER(AM43)),IFERROR(AR43/AM43-1,""),"")</f>
      </c>
      <c r="AS44" s="255">
        <f>IF(AND(ISNUMBER(AS43),ISNUMBER(AN43)),IFERROR(AS43/AN43-1,""),"")</f>
      </c>
      <c r="AT44" s="255">
        <f>IF(AND(ISNUMBER(AT43),ISNUMBER(AO43)),IFERROR(AT43/AO43-1,""),"")</f>
      </c>
      <c r="AU44" s="255">
        <f>IF(AND(ISNUMBER(AU43),ISNUMBER(AP43)),IFERROR(AU43/AP43-1,""),"")</f>
      </c>
      <c r="AV44" s="255">
        <f>IF(AND(ISNUMBER(AV43),ISNUMBER(AQ43)),IFERROR(AV43/AQ43-1,""),"")</f>
      </c>
      <c r="AW44" s="255">
        <f>IF(AND(ISNUMBER(AW43),ISNUMBER(AR43)),IFERROR(AW43/AR43-1,""),"")</f>
      </c>
      <c r="AX44" s="255">
        <f>IF(AND(ISNUMBER(AX43),ISNUMBER(AS43)),IFERROR(AX43/AS43-1,""),"")</f>
      </c>
      <c r="AY44" s="255">
        <f>IF(AND(ISNUMBER(AY43),ISNUMBER(AT43)),IFERROR(AY43/AT43-1,""),"")</f>
      </c>
      <c r="AZ44" s="255">
        <f>IF(AND(ISNUMBER(AZ43),ISNUMBER(AU43)),IFERROR(AZ43/AU43-1,""),"")</f>
      </c>
      <c r="BA44" s="255">
        <f>IF(AND(ISNUMBER(BA43),ISNUMBER(AV43)),IFERROR(BA43/AV43-1,""),"")</f>
      </c>
      <c r="BB44" s="255">
        <f>IF(AND(ISNUMBER(BB43),ISNUMBER(AW43)),IFERROR(BB43/AW43-1,""),"")</f>
      </c>
      <c r="BC44" s="255">
        <f>IF(AND(ISNUMBER(BC43),ISNUMBER(AX43)),IFERROR(BC43/AX43-1,""),"")</f>
      </c>
      <c r="BD44" s="255">
        <f>IF(AND(ISNUMBER(BD43),ISNUMBER(AY43)),IFERROR(BD43/AY43-1,""),"")</f>
      </c>
      <c r="BE44" s="255">
        <f>IF(AND(ISNUMBER(BE43),ISNUMBER(AZ43)),IFERROR(BE43/AZ43-1,""),"")</f>
      </c>
      <c r="BF44" s="255">
        <f>IF(AND(ISNUMBER(BF43),ISNUMBER(BA43)),IFERROR(BF43/BA43-1,""),"")</f>
      </c>
      <c r="BG44" s="255">
        <f>IF(AND(ISNUMBER(BG43),ISNUMBER(BB43)),IFERROR(BG43/BB43-1,""),"")</f>
      </c>
      <c r="BH44" s="255">
        <f>IF(AND(ISNUMBER(BH43),ISNUMBER(BC43)),IFERROR(BH43/BC43-1,""),"")</f>
      </c>
      <c r="BI44" s="255">
        <f>IF(AND(ISNUMBER(BI43),ISNUMBER(BD43)),IFERROR(BI43/BD43-1,""),"")</f>
      </c>
      <c r="BJ44" s="255">
        <f>IF(AND(ISNUMBER(BJ43),ISNUMBER(BE43)),IFERROR(BJ43/BE43-1,""),"")</f>
      </c>
      <c r="BK44" s="255">
        <f>IF(AND(ISNUMBER(BK43),ISNUMBER(BF43)),IFERROR(BK43/BF43-1,""),"")</f>
      </c>
      <c r="BL44" s="255">
        <f>IF(AND(ISNUMBER(BL43),ISNUMBER(BG43)),IFERROR(BL43/BG43-1,""),"")</f>
      </c>
      <c r="BM44" s="255">
        <f>IF(AND(ISNUMBER(BM43),ISNUMBER(BH43)),IFERROR(BM43/BH43-1,""),"")</f>
      </c>
      <c r="BN44" s="255">
        <f>IF(AND(ISNUMBER(BN43),ISNUMBER(BI43)),IFERROR(BN43/BI43-1,""),"")</f>
      </c>
      <c r="BO44" s="255">
        <f>IF(AND(ISNUMBER(BO43),ISNUMBER(BJ43)),IFERROR(BO43/BJ43-1,""),"")</f>
      </c>
      <c r="BP44" s="255">
        <f>IF(AND(ISNUMBER(BP43),ISNUMBER(BK43)),IFERROR(BP43/BK43-1,""),"")</f>
      </c>
      <c r="BQ44" s="255">
        <f>IF(AND(ISNUMBER(BQ43),ISNUMBER(BL43)),IFERROR(BQ43/BL43-1,""),"")</f>
      </c>
      <c r="BR44" s="255">
        <f>IF(AND(ISNUMBER(BR43),ISNUMBER(BM43)),IFERROR(BR43/BM43-1,""),"")</f>
      </c>
      <c r="BS44" s="255">
        <f>IF(AND(ISNUMBER(BS43),ISNUMBER(BN43)),IFERROR(BS43/BN43-1,""),"")</f>
      </c>
      <c r="BT44" s="255">
        <f>IF(AND(ISNUMBER(BT43),ISNUMBER(BO43)),IFERROR(BT43/BO43-1,""),"")</f>
      </c>
      <c r="BU44" s="255">
        <f>IF(AND(ISNUMBER(BU43),ISNUMBER(BP43)),IFERROR(BU43/BP43-1,""),"")</f>
      </c>
      <c r="BV44" s="255">
        <f>IF(AND(ISNUMBER(BV43),ISNUMBER(BQ43)),IFERROR(BV43/BQ43-1,""),"")</f>
      </c>
      <c r="BW44" s="255">
        <f>IF(AND(ISNUMBER(BW43),ISNUMBER(BR43)),IFERROR(BW43/BR43-1,""),"")</f>
        <v>-0.0201031844867461</v>
      </c>
      <c r="BX44" s="255">
        <f>IF(AND(ISNUMBER(BX43),ISNUMBER(BS43)),IFERROR(BX43/BS43-1,""),"")</f>
        <v>-0.0946664640632123</v>
      </c>
      <c r="BY44" s="255">
        <f>IF(AND(ISNUMBER(BY43),ISNUMBER(BT43)),IFERROR(BY43/BT43-1,""),"")</f>
        <v>-0.0664219542038105</v>
      </c>
      <c r="BZ44" s="255">
        <f>IF(AND(ISNUMBER(BZ43),ISNUMBER(BU43)),IFERROR(BZ43/BU43-1,""),"")</f>
        <v>-0.0992407809110629</v>
      </c>
      <c r="CA44" s="255">
        <f>IF(AND(ISNUMBER(CA43),ISNUMBER(BV43)),IFERROR(CA43/BV43-1,""),"")</f>
        <v>-0.0709869963760392</v>
      </c>
      <c r="CB44" s="256">
        <f>CB45+$CB$144</f>
        <v>-0.15051574459896</v>
      </c>
      <c r="CC44" s="256">
        <f>CC45+$CB$144</f>
        <v>-0.15051574459896</v>
      </c>
      <c r="CD44" s="256">
        <f>CD45+$CB$144</f>
        <v>-0.15051574459896</v>
      </c>
      <c r="CE44" s="256">
        <f>CE45+$CB$144</f>
        <v>-0.15051574459896</v>
      </c>
      <c r="CF44" s="256">
        <f>IF(AND(ISNUMBER(CF43),ISNUMBER(CA43)),IFERROR(CF43/CA43-1,""),"")</f>
        <v>-0.15051574459896</v>
      </c>
      <c r="CG44" s="256">
        <f>CHOOSE(MATCH($CK$2,{"Bull","Base","Bear"},0),$CT$57,$CU$57,$CV$57)</f>
        <v>0.02</v>
      </c>
      <c r="CH44" s="256">
        <f>CHOOSE(MATCH($CK$2,{"Bull","Base","Bear"},0),$CT$58,$CU$58,$CV$58)</f>
        <v>0.03</v>
      </c>
      <c r="CI44" s="256">
        <f>CHOOSE(MATCH($CK$2,{"Bull","Base","Bear"},0),$CT$59,$CU$59,$CV$59)</f>
        <v>0.03</v>
      </c>
      <c r="CJ44" s="256">
        <f>CHOOSE(MATCH($CK$2,{"Bull","Base","Bear"},0),$CT$60,$CU$60,$CV$60)</f>
        <v>0.03</v>
      </c>
      <c r="CK44" s="153" t="n"/>
      <c r="CS44" s="25" t="inlineStr">
        <is>
          <t xml:space="preserve">  2030E</t>
        </is>
      </c>
      <c r="CT44" s="33">
        <f>CU44+$CT$41</f>
        <v>0.11</v>
      </c>
      <c r="CU44" s="42" t="n">
        <v>0.08</v>
      </c>
      <c r="CV44" s="33">
        <f>CU44+$CV$41</f>
        <v>0.04</v>
      </c>
    </row>
    <row r="45" ht="15" customHeight="1" s="251">
      <c r="B45" s="25" t="inlineStr">
        <is>
          <t xml:space="preserve">    Growth before calibration (Q4/26 y/y, latest actual quarter)</t>
        </is>
      </c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  <c r="AU45" s="36" t="n"/>
      <c r="AV45" s="36" t="n"/>
      <c r="AW45" s="36" t="n"/>
      <c r="AX45" s="36" t="n"/>
      <c r="AY45" s="36" t="n"/>
      <c r="AZ45" s="36" t="n"/>
      <c r="BA45" s="36" t="n"/>
      <c r="BB45" s="36" t="n"/>
      <c r="BC45" s="36" t="n"/>
      <c r="BD45" s="36" t="n"/>
      <c r="BE45" s="36" t="n"/>
      <c r="BF45" s="36" t="n"/>
      <c r="BG45" s="36" t="n"/>
      <c r="BH45" s="36" t="n"/>
      <c r="BI45" s="36" t="n"/>
      <c r="BJ45" s="36" t="n"/>
      <c r="BK45" s="36" t="n"/>
      <c r="BL45" s="36" t="n"/>
      <c r="BM45" s="36" t="n"/>
      <c r="BN45" s="36" t="n"/>
      <c r="BO45" s="36" t="n"/>
      <c r="BP45" s="36" t="n"/>
      <c r="BQ45" s="36" t="n"/>
      <c r="BR45" s="36" t="n"/>
      <c r="BS45" s="36" t="n"/>
      <c r="BT45" s="36" t="n"/>
      <c r="BU45" s="36" t="n"/>
      <c r="BV45" s="36" t="n"/>
      <c r="BW45" s="36" t="n"/>
      <c r="BX45" s="36" t="n"/>
      <c r="BY45" s="36" t="n"/>
      <c r="BZ45" s="36" t="n"/>
      <c r="CA45" s="36" t="n"/>
      <c r="CB45" s="256">
        <f>IFERROR(BZ43/BU43-1,0)</f>
        <v>-0.0992407809110629</v>
      </c>
      <c r="CC45" s="256">
        <f>IFERROR(BZ43/BU43-1,0)</f>
        <v>-0.0992407809110629</v>
      </c>
      <c r="CD45" s="256">
        <f>IFERROR(BZ43/BU43-1,0)</f>
        <v>-0.0992407809110629</v>
      </c>
      <c r="CE45" s="256">
        <f>IFERROR(BZ43/BU43-1,0)</f>
        <v>-0.0992407809110629</v>
      </c>
      <c r="CF45" s="24" t="n"/>
      <c r="CG45" s="46" t="n"/>
      <c r="CH45" s="46" t="n"/>
      <c r="CI45" s="46" t="n"/>
      <c r="CJ45" s="46" t="n"/>
      <c r="CK45" s="19" t="n"/>
      <c r="CS45" s="25" t="inlineStr">
        <is>
          <t xml:space="preserve">  2031E</t>
        </is>
      </c>
      <c r="CT45" s="33">
        <f>CU45+$CT$41</f>
        <v>0.11</v>
      </c>
      <c r="CU45" s="42" t="n">
        <v>0.08</v>
      </c>
      <c r="CV45" s="33">
        <f>CU45+$CV$41</f>
        <v>0.04</v>
      </c>
    </row>
    <row r="46" ht="15" customHeight="1" s="251">
      <c r="B46" s="25" t="inlineStr">
        <is>
          <t xml:space="preserve">  Windows OEM and devices revenue</t>
        </is>
      </c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  <c r="AA46" s="34" t="n"/>
      <c r="AB46" s="34" t="n"/>
      <c r="AC46" s="34" t="n"/>
      <c r="AD46" s="34" t="n"/>
      <c r="AE46" s="34" t="n"/>
      <c r="AF46" s="34" t="n"/>
      <c r="AG46" s="34" t="n"/>
      <c r="AH46" s="34" t="n"/>
      <c r="AI46" s="34" t="n"/>
      <c r="AJ46" s="34" t="n"/>
      <c r="AK46" s="34" t="n"/>
      <c r="AL46" s="34" t="n"/>
      <c r="AM46" s="34" t="n"/>
      <c r="AN46" s="34" t="n"/>
      <c r="AO46" s="34" t="n"/>
      <c r="AP46" s="34" t="n"/>
      <c r="AQ46" s="34" t="n"/>
      <c r="AR46" s="34" t="n"/>
      <c r="AS46" s="34" t="n"/>
      <c r="AT46" s="34" t="n"/>
      <c r="AU46" s="34" t="n"/>
      <c r="AV46" s="34" t="n"/>
      <c r="AW46" s="34" t="n"/>
      <c r="AX46" s="34" t="n"/>
      <c r="AY46" s="34" t="n"/>
      <c r="AZ46" s="34" t="n"/>
      <c r="BA46" s="34" t="n"/>
      <c r="BB46" s="34" t="n"/>
      <c r="BC46" s="34" t="n"/>
      <c r="BD46" s="34" t="n"/>
      <c r="BE46" s="34" t="n"/>
      <c r="BF46" s="34" t="n"/>
      <c r="BG46" s="34" t="n"/>
      <c r="BH46" s="34" t="n"/>
      <c r="BI46" s="34" t="n"/>
      <c r="BJ46" s="34" t="n"/>
      <c r="BK46" s="34" t="n"/>
      <c r="BL46" s="34" t="n"/>
      <c r="BM46" s="34" t="n"/>
      <c r="BN46" s="34" t="n"/>
      <c r="BO46" s="34" t="n"/>
      <c r="BP46" s="34" t="n"/>
      <c r="BQ46" s="34" t="n"/>
      <c r="BR46" s="253" t="n">
        <v>4329</v>
      </c>
      <c r="BS46" s="253" t="n">
        <v>4512</v>
      </c>
      <c r="BT46" s="253" t="n">
        <v>4145</v>
      </c>
      <c r="BU46" s="253" t="n">
        <v>4329</v>
      </c>
      <c r="BV46" s="253" t="n">
        <v>17315</v>
      </c>
      <c r="BW46" s="253" t="n">
        <v>4551</v>
      </c>
      <c r="BX46" s="253" t="n">
        <v>4481</v>
      </c>
      <c r="BY46" s="253" t="n">
        <v>4042</v>
      </c>
      <c r="BZ46" s="253" t="n">
        <v>4013</v>
      </c>
      <c r="CA46" s="253" t="n">
        <v>17087</v>
      </c>
      <c r="CB46" s="254">
        <f>BW46*(1+CB47)</f>
        <v>3985.44251205125</v>
      </c>
      <c r="CC46" s="254">
        <f>BX46*(1+CC47)</f>
        <v>3924.14148461913</v>
      </c>
      <c r="CD46" s="254">
        <f>BY46*(1+CD47)</f>
        <v>3539.69646972339</v>
      </c>
      <c r="CE46" s="254">
        <f>BZ46*(1+CE47)</f>
        <v>3514.30032978723</v>
      </c>
      <c r="CF46" s="254">
        <f>SUM(CB46:CE46)</f>
        <v>14963.580796181</v>
      </c>
      <c r="CG46" s="254">
        <f>CF46*(1+CG47)</f>
        <v>14963.580796181</v>
      </c>
      <c r="CH46" s="254">
        <f>CG46*(1+CH47)</f>
        <v>15113.2166041428</v>
      </c>
      <c r="CI46" s="254">
        <f>CH46*(1+CI47)</f>
        <v>15264.3487701842</v>
      </c>
      <c r="CJ46" s="254">
        <f>CI46*(1+CJ47)</f>
        <v>15416.9922578861</v>
      </c>
      <c r="CK46" s="19" t="n"/>
      <c r="CM46" s="20">
        <f>IFERROR((CJ46/CA46)^(1/5)-1,"n/m")</f>
        <v>-0.0203594195131321</v>
      </c>
      <c r="CN46" s="20" t="str">
        <f>IFERROR((CA46/BB46)^(1/5)-1,"n/m")</f>
        <v>n/m</v>
      </c>
      <c r="CO46" s="20" t="str">
        <f>IFERROR((CA46/AC46)^(1/10)-1,"n/m")</f>
        <v>n/m</v>
      </c>
      <c r="CP46" s="20" t="str">
        <f>IFERROR((CA46/C46)^(1/20)-1,"n/m")</f>
        <v>n/m</v>
      </c>
      <c r="CS46" s="15" t="inlineStr">
        <is>
          <t>AI_FSS (Frontier &amp; support services y/y)</t>
        </is>
      </c>
      <c r="CT46" s="41" t="n">
        <v>0.02</v>
      </c>
      <c r="CU46" s="21" t="inlineStr">
        <is>
          <t>Δ →</t>
        </is>
      </c>
      <c r="CV46" s="41" t="n">
        <v>-0.03</v>
      </c>
      <c r="CW46" s="13" t="inlineStr">
        <is>
          <t>FY26 +6.4% (enterprise support, industry consulting).</t>
        </is>
      </c>
    </row>
    <row r="47" ht="15" customHeight="1" s="251">
      <c r="B47" s="22" t="inlineStr">
        <is>
          <t xml:space="preserve">    y/y %</t>
        </is>
      </c>
      <c r="C47" s="23" t="n"/>
      <c r="D47" s="255">
        <f>IF(AND(ISNUMBER(D46),ISNUMBER(C46)),IFERROR(D46/C46-1,""),"")</f>
      </c>
      <c r="E47" s="255">
        <f>IF(AND(ISNUMBER(E46),ISNUMBER(D46)),IFERROR(E46/D46-1,""),"")</f>
      </c>
      <c r="F47" s="255">
        <f>IF(AND(ISNUMBER(F46),ISNUMBER(E46)),IFERROR(F46/E46-1,""),"")</f>
      </c>
      <c r="G47" s="255">
        <f>IF(AND(ISNUMBER(G46),ISNUMBER(F46)),IFERROR(G46/F46-1,""),"")</f>
      </c>
      <c r="H47" s="255">
        <f>IF(AND(ISNUMBER(H46),ISNUMBER(G46)),IFERROR(H46/G46-1,""),"")</f>
      </c>
      <c r="I47" s="255">
        <f>IF(AND(ISNUMBER(I46),ISNUMBER(H46)),IFERROR(I46/H46-1,""),"")</f>
      </c>
      <c r="J47" s="23" t="n"/>
      <c r="K47" s="23" t="n"/>
      <c r="L47" s="23" t="n"/>
      <c r="M47" s="23" t="n"/>
      <c r="N47" s="255">
        <f>IF(AND(ISNUMBER(N46),ISNUMBER(I46)),IFERROR(N46/I46-1,""),"")</f>
      </c>
      <c r="O47" s="255">
        <f>IF(AND(ISNUMBER(O46),ISNUMBER(J46)),IFERROR(O46/J46-1,""),"")</f>
      </c>
      <c r="P47" s="255">
        <f>IF(AND(ISNUMBER(P46),ISNUMBER(K46)),IFERROR(P46/K46-1,""),"")</f>
      </c>
      <c r="Q47" s="255">
        <f>IF(AND(ISNUMBER(Q46),ISNUMBER(L46)),IFERROR(Q46/L46-1,""),"")</f>
      </c>
      <c r="R47" s="255">
        <f>IF(AND(ISNUMBER(R46),ISNUMBER(M46)),IFERROR(R46/M46-1,""),"")</f>
      </c>
      <c r="S47" s="255">
        <f>IF(AND(ISNUMBER(S46),ISNUMBER(N46)),IFERROR(S46/N46-1,""),"")</f>
      </c>
      <c r="T47" s="255">
        <f>IF(AND(ISNUMBER(T46),ISNUMBER(O46)),IFERROR(T46/O46-1,""),"")</f>
      </c>
      <c r="U47" s="255">
        <f>IF(AND(ISNUMBER(U46),ISNUMBER(P46)),IFERROR(U46/P46-1,""),"")</f>
      </c>
      <c r="V47" s="255">
        <f>IF(AND(ISNUMBER(V46),ISNUMBER(Q46)),IFERROR(V46/Q46-1,""),"")</f>
      </c>
      <c r="W47" s="255">
        <f>IF(AND(ISNUMBER(W46),ISNUMBER(R46)),IFERROR(W46/R46-1,""),"")</f>
      </c>
      <c r="X47" s="255">
        <f>IF(AND(ISNUMBER(X46),ISNUMBER(S46)),IFERROR(X46/S46-1,""),"")</f>
      </c>
      <c r="Y47" s="255">
        <f>IF(AND(ISNUMBER(Y46),ISNUMBER(T46)),IFERROR(Y46/T46-1,""),"")</f>
      </c>
      <c r="Z47" s="255">
        <f>IF(AND(ISNUMBER(Z46),ISNUMBER(U46)),IFERROR(Z46/U46-1,""),"")</f>
      </c>
      <c r="AA47" s="255">
        <f>IF(AND(ISNUMBER(AA46),ISNUMBER(V46)),IFERROR(AA46/V46-1,""),"")</f>
      </c>
      <c r="AB47" s="255">
        <f>IF(AND(ISNUMBER(AB46),ISNUMBER(W46)),IFERROR(AB46/W46-1,""),"")</f>
      </c>
      <c r="AC47" s="255">
        <f>IF(AND(ISNUMBER(AC46),ISNUMBER(X46)),IFERROR(AC46/X46-1,""),"")</f>
      </c>
      <c r="AD47" s="255">
        <f>IF(AND(ISNUMBER(AD46),ISNUMBER(Y46)),IFERROR(AD46/Y46-1,""),"")</f>
      </c>
      <c r="AE47" s="255">
        <f>IF(AND(ISNUMBER(AE46),ISNUMBER(Z46)),IFERROR(AE46/Z46-1,""),"")</f>
      </c>
      <c r="AF47" s="255">
        <f>IF(AND(ISNUMBER(AF46),ISNUMBER(AA46)),IFERROR(AF46/AA46-1,""),"")</f>
      </c>
      <c r="AG47" s="255">
        <f>IF(AND(ISNUMBER(AG46),ISNUMBER(AB46)),IFERROR(AG46/AB46-1,""),"")</f>
      </c>
      <c r="AH47" s="255">
        <f>IF(AND(ISNUMBER(AH46),ISNUMBER(AC46)),IFERROR(AH46/AC46-1,""),"")</f>
      </c>
      <c r="AI47" s="255">
        <f>IF(AND(ISNUMBER(AI46),ISNUMBER(AD46)),IFERROR(AI46/AD46-1,""),"")</f>
      </c>
      <c r="AJ47" s="255">
        <f>IF(AND(ISNUMBER(AJ46),ISNUMBER(AE46)),IFERROR(AJ46/AE46-1,""),"")</f>
      </c>
      <c r="AK47" s="255">
        <f>IF(AND(ISNUMBER(AK46),ISNUMBER(AF46)),IFERROR(AK46/AF46-1,""),"")</f>
      </c>
      <c r="AL47" s="255">
        <f>IF(AND(ISNUMBER(AL46),ISNUMBER(AG46)),IFERROR(AL46/AG46-1,""),"")</f>
      </c>
      <c r="AM47" s="255">
        <f>IF(AND(ISNUMBER(AM46),ISNUMBER(AH46)),IFERROR(AM46/AH46-1,""),"")</f>
      </c>
      <c r="AN47" s="255">
        <f>IF(AND(ISNUMBER(AN46),ISNUMBER(AI46)),IFERROR(AN46/AI46-1,""),"")</f>
      </c>
      <c r="AO47" s="255">
        <f>IF(AND(ISNUMBER(AO46),ISNUMBER(AJ46)),IFERROR(AO46/AJ46-1,""),"")</f>
      </c>
      <c r="AP47" s="255">
        <f>IF(AND(ISNUMBER(AP46),ISNUMBER(AK46)),IFERROR(AP46/AK46-1,""),"")</f>
      </c>
      <c r="AQ47" s="255">
        <f>IF(AND(ISNUMBER(AQ46),ISNUMBER(AL46)),IFERROR(AQ46/AL46-1,""),"")</f>
      </c>
      <c r="AR47" s="255">
        <f>IF(AND(ISNUMBER(AR46),ISNUMBER(AM46)),IFERROR(AR46/AM46-1,""),"")</f>
      </c>
      <c r="AS47" s="255">
        <f>IF(AND(ISNUMBER(AS46),ISNUMBER(AN46)),IFERROR(AS46/AN46-1,""),"")</f>
      </c>
      <c r="AT47" s="255">
        <f>IF(AND(ISNUMBER(AT46),ISNUMBER(AO46)),IFERROR(AT46/AO46-1,""),"")</f>
      </c>
      <c r="AU47" s="255">
        <f>IF(AND(ISNUMBER(AU46),ISNUMBER(AP46)),IFERROR(AU46/AP46-1,""),"")</f>
      </c>
      <c r="AV47" s="255">
        <f>IF(AND(ISNUMBER(AV46),ISNUMBER(AQ46)),IFERROR(AV46/AQ46-1,""),"")</f>
      </c>
      <c r="AW47" s="255">
        <f>IF(AND(ISNUMBER(AW46),ISNUMBER(AR46)),IFERROR(AW46/AR46-1,""),"")</f>
      </c>
      <c r="AX47" s="255">
        <f>IF(AND(ISNUMBER(AX46),ISNUMBER(AS46)),IFERROR(AX46/AS46-1,""),"")</f>
      </c>
      <c r="AY47" s="255">
        <f>IF(AND(ISNUMBER(AY46),ISNUMBER(AT46)),IFERROR(AY46/AT46-1,""),"")</f>
      </c>
      <c r="AZ47" s="255">
        <f>IF(AND(ISNUMBER(AZ46),ISNUMBER(AU46)),IFERROR(AZ46/AU46-1,""),"")</f>
      </c>
      <c r="BA47" s="255">
        <f>IF(AND(ISNUMBER(BA46),ISNUMBER(AV46)),IFERROR(BA46/AV46-1,""),"")</f>
      </c>
      <c r="BB47" s="255">
        <f>IF(AND(ISNUMBER(BB46),ISNUMBER(AW46)),IFERROR(BB46/AW46-1,""),"")</f>
      </c>
      <c r="BC47" s="255">
        <f>IF(AND(ISNUMBER(BC46),ISNUMBER(AX46)),IFERROR(BC46/AX46-1,""),"")</f>
      </c>
      <c r="BD47" s="255">
        <f>IF(AND(ISNUMBER(BD46),ISNUMBER(AY46)),IFERROR(BD46/AY46-1,""),"")</f>
      </c>
      <c r="BE47" s="255">
        <f>IF(AND(ISNUMBER(BE46),ISNUMBER(AZ46)),IFERROR(BE46/AZ46-1,""),"")</f>
      </c>
      <c r="BF47" s="255">
        <f>IF(AND(ISNUMBER(BF46),ISNUMBER(BA46)),IFERROR(BF46/BA46-1,""),"")</f>
      </c>
      <c r="BG47" s="255">
        <f>IF(AND(ISNUMBER(BG46),ISNUMBER(BB46)),IFERROR(BG46/BB46-1,""),"")</f>
      </c>
      <c r="BH47" s="255">
        <f>IF(AND(ISNUMBER(BH46),ISNUMBER(BC46)),IFERROR(BH46/BC46-1,""),"")</f>
      </c>
      <c r="BI47" s="255">
        <f>IF(AND(ISNUMBER(BI46),ISNUMBER(BD46)),IFERROR(BI46/BD46-1,""),"")</f>
      </c>
      <c r="BJ47" s="255">
        <f>IF(AND(ISNUMBER(BJ46),ISNUMBER(BE46)),IFERROR(BJ46/BE46-1,""),"")</f>
      </c>
      <c r="BK47" s="255">
        <f>IF(AND(ISNUMBER(BK46),ISNUMBER(BF46)),IFERROR(BK46/BF46-1,""),"")</f>
      </c>
      <c r="BL47" s="255">
        <f>IF(AND(ISNUMBER(BL46),ISNUMBER(BG46)),IFERROR(BL46/BG46-1,""),"")</f>
      </c>
      <c r="BM47" s="255">
        <f>IF(AND(ISNUMBER(BM46),ISNUMBER(BH46)),IFERROR(BM46/BH46-1,""),"")</f>
      </c>
      <c r="BN47" s="255">
        <f>IF(AND(ISNUMBER(BN46),ISNUMBER(BI46)),IFERROR(BN46/BI46-1,""),"")</f>
      </c>
      <c r="BO47" s="255">
        <f>IF(AND(ISNUMBER(BO46),ISNUMBER(BJ46)),IFERROR(BO46/BJ46-1,""),"")</f>
      </c>
      <c r="BP47" s="255">
        <f>IF(AND(ISNUMBER(BP46),ISNUMBER(BK46)),IFERROR(BP46/BK46-1,""),"")</f>
      </c>
      <c r="BQ47" s="255">
        <f>IF(AND(ISNUMBER(BQ46),ISNUMBER(BL46)),IFERROR(BQ46/BL46-1,""),"")</f>
      </c>
      <c r="BR47" s="255">
        <f>IF(AND(ISNUMBER(BR46),ISNUMBER(BM46)),IFERROR(BR46/BM46-1,""),"")</f>
      </c>
      <c r="BS47" s="255">
        <f>IF(AND(ISNUMBER(BS46),ISNUMBER(BN46)),IFERROR(BS46/BN46-1,""),"")</f>
      </c>
      <c r="BT47" s="255">
        <f>IF(AND(ISNUMBER(BT46),ISNUMBER(BO46)),IFERROR(BT46/BO46-1,""),"")</f>
      </c>
      <c r="BU47" s="255">
        <f>IF(AND(ISNUMBER(BU46),ISNUMBER(BP46)),IFERROR(BU46/BP46-1,""),"")</f>
      </c>
      <c r="BV47" s="255">
        <f>IF(AND(ISNUMBER(BV46),ISNUMBER(BQ46)),IFERROR(BV46/BQ46-1,""),"")</f>
      </c>
      <c r="BW47" s="255">
        <f>IF(AND(ISNUMBER(BW46),ISNUMBER(BR46)),IFERROR(BW46/BR46-1,""),"")</f>
        <v>0.0512820512820513</v>
      </c>
      <c r="BX47" s="255">
        <f>IF(AND(ISNUMBER(BX46),ISNUMBER(BS46)),IFERROR(BX46/BS46-1,""),"")</f>
        <v>-0.00687056737588654</v>
      </c>
      <c r="BY47" s="255">
        <f>IF(AND(ISNUMBER(BY46),ISNUMBER(BT46)),IFERROR(BY46/BT46-1,""),"")</f>
        <v>-0.0248492159227985</v>
      </c>
      <c r="BZ47" s="255">
        <f>IF(AND(ISNUMBER(BZ46),ISNUMBER(BU46)),IFERROR(BZ46/BU46-1,""),"")</f>
        <v>-0.072996072996073</v>
      </c>
      <c r="CA47" s="255">
        <f>IF(AND(ISNUMBER(CA46),ISNUMBER(BV46)),IFERROR(CA46/BV46-1,""),"")</f>
        <v>-0.0131677736066994</v>
      </c>
      <c r="CB47" s="256">
        <f>CB48+$CB$144</f>
        <v>-0.12427103668397</v>
      </c>
      <c r="CC47" s="256">
        <f>CC48+$CB$144</f>
        <v>-0.12427103668397</v>
      </c>
      <c r="CD47" s="256">
        <f>CD48+$CB$144</f>
        <v>-0.12427103668397</v>
      </c>
      <c r="CE47" s="256">
        <f>CE48+$CB$144</f>
        <v>-0.12427103668397</v>
      </c>
      <c r="CF47" s="256">
        <f>IF(AND(ISNUMBER(CF46),ISNUMBER(CA46)),IFERROR(CF46/CA46-1,""),"")</f>
        <v>-0.12427103668397</v>
      </c>
      <c r="CG47" s="256">
        <f>CHOOSE(MATCH($CK$2,{"Bull","Base","Bear"},0),$CT$62,$CU$62,$CV$62)</f>
        <v>0</v>
      </c>
      <c r="CH47" s="256">
        <f>CHOOSE(MATCH($CK$2,{"Bull","Base","Bear"},0),$CT$63,$CU$63,$CV$63)</f>
        <v>0.01</v>
      </c>
      <c r="CI47" s="256">
        <f>CHOOSE(MATCH($CK$2,{"Bull","Base","Bear"},0),$CT$64,$CU$64,$CV$64)</f>
        <v>0.01</v>
      </c>
      <c r="CJ47" s="256">
        <f>CHOOSE(MATCH($CK$2,{"Bull","Base","Bear"},0),$CT$65,$CU$65,$CV$65)</f>
        <v>0.01</v>
      </c>
      <c r="CK47" s="153" t="n"/>
      <c r="CS47" s="25" t="inlineStr">
        <is>
          <t xml:space="preserve">  2028E</t>
        </is>
      </c>
      <c r="CT47" s="33">
        <f>CU47+$CT$46</f>
        <v>0.06</v>
      </c>
      <c r="CU47" s="42" t="n">
        <v>0.04</v>
      </c>
      <c r="CV47" s="33">
        <f>CU47+$CV$46</f>
        <v>0.01</v>
      </c>
    </row>
    <row r="48" ht="15" customHeight="1" s="251">
      <c r="B48" s="25" t="inlineStr">
        <is>
          <t xml:space="preserve">    Growth before calibration (Q4/26 y/y, latest actual quarter)</t>
        </is>
      </c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  <c r="AU48" s="36" t="n"/>
      <c r="AV48" s="36" t="n"/>
      <c r="AW48" s="36" t="n"/>
      <c r="AX48" s="36" t="n"/>
      <c r="AY48" s="36" t="n"/>
      <c r="AZ48" s="36" t="n"/>
      <c r="BA48" s="36" t="n"/>
      <c r="BB48" s="36" t="n"/>
      <c r="BC48" s="36" t="n"/>
      <c r="BD48" s="36" t="n"/>
      <c r="BE48" s="36" t="n"/>
      <c r="BF48" s="36" t="n"/>
      <c r="BG48" s="36" t="n"/>
      <c r="BH48" s="36" t="n"/>
      <c r="BI48" s="36" t="n"/>
      <c r="BJ48" s="36" t="n"/>
      <c r="BK48" s="36" t="n"/>
      <c r="BL48" s="36" t="n"/>
      <c r="BM48" s="36" t="n"/>
      <c r="BN48" s="36" t="n"/>
      <c r="BO48" s="36" t="n"/>
      <c r="BP48" s="36" t="n"/>
      <c r="BQ48" s="36" t="n"/>
      <c r="BR48" s="36" t="n"/>
      <c r="BS48" s="36" t="n"/>
      <c r="BT48" s="36" t="n"/>
      <c r="BU48" s="36" t="n"/>
      <c r="BV48" s="36" t="n"/>
      <c r="BW48" s="36" t="n"/>
      <c r="BX48" s="36" t="n"/>
      <c r="BY48" s="36" t="n"/>
      <c r="BZ48" s="36" t="n"/>
      <c r="CA48" s="36" t="n"/>
      <c r="CB48" s="256">
        <f>IFERROR(BZ46/BU46-1,0)</f>
        <v>-0.072996072996073</v>
      </c>
      <c r="CC48" s="256">
        <f>IFERROR(BZ46/BU46-1,0)</f>
        <v>-0.072996072996073</v>
      </c>
      <c r="CD48" s="256">
        <f>IFERROR(BZ46/BU46-1,0)</f>
        <v>-0.072996072996073</v>
      </c>
      <c r="CE48" s="256">
        <f>IFERROR(BZ46/BU46-1,0)</f>
        <v>-0.072996072996073</v>
      </c>
      <c r="CF48" s="24" t="n"/>
      <c r="CG48" s="46" t="n"/>
      <c r="CH48" s="46" t="n"/>
      <c r="CI48" s="46" t="n"/>
      <c r="CJ48" s="46" t="n"/>
      <c r="CK48" s="19" t="n"/>
      <c r="CS48" s="25" t="inlineStr">
        <is>
          <t xml:space="preserve">  2029E</t>
        </is>
      </c>
      <c r="CT48" s="33">
        <f>CU48+$CT$46</f>
        <v>0.06</v>
      </c>
      <c r="CU48" s="42" t="n">
        <v>0.04</v>
      </c>
      <c r="CV48" s="33">
        <f>CU48+$CV$46</f>
        <v>0.01</v>
      </c>
    </row>
    <row r="49" ht="15" customHeight="1" s="251">
      <c r="B49" s="16" t="inlineStr">
        <is>
          <t xml:space="preserve">  Devices and Consumer — segment revenue</t>
        </is>
      </c>
      <c r="C49" s="260">
        <f>IF(ISNUMBER(C40),C40+C43+C46,"")</f>
      </c>
      <c r="D49" s="260">
        <f>IF(ISNUMBER(D40),D40+D43+D46,"")</f>
      </c>
      <c r="E49" s="260">
        <f>IF(ISNUMBER(E40),E40+E43+E46,"")</f>
      </c>
      <c r="F49" s="260">
        <f>IF(ISNUMBER(F40),F40+F43+F46,"")</f>
      </c>
      <c r="G49" s="260">
        <f>IF(ISNUMBER(G40),G40+G43+G46,"")</f>
      </c>
      <c r="H49" s="260">
        <f>IF(ISNUMBER(H40),H40+H43+H46,"")</f>
      </c>
      <c r="I49" s="260">
        <f>IF(ISNUMBER(I40),I40+I43+I46,"")</f>
      </c>
      <c r="J49" s="260">
        <f>IF(ISNUMBER(J40),J40+J43+J46,"")</f>
      </c>
      <c r="K49" s="260">
        <f>IF(ISNUMBER(K40),K40+K43+K46,"")</f>
      </c>
      <c r="L49" s="260">
        <f>IF(ISNUMBER(L40),L40+L43+L46,"")</f>
      </c>
      <c r="M49" s="260">
        <f>IF(ISNUMBER(M40),M40+M43+M46,"")</f>
      </c>
      <c r="N49" s="260">
        <f>IF(ISNUMBER(N40),N40+N43+N46,"")</f>
      </c>
      <c r="O49" s="260">
        <f>IF(ISNUMBER(O40),O40+O43+O46,"")</f>
      </c>
      <c r="P49" s="260">
        <f>IF(ISNUMBER(P40),P40+P43+P46,"")</f>
      </c>
      <c r="Q49" s="260">
        <f>IF(ISNUMBER(Q40),Q40+Q43+Q46,"")</f>
      </c>
      <c r="R49" s="260">
        <f>IF(ISNUMBER(R40),R40+R43+R46,"")</f>
      </c>
      <c r="S49" s="260">
        <f>IF(ISNUMBER(S40),S40+S43+S46,"")</f>
      </c>
      <c r="T49" s="260">
        <f>IF(ISNUMBER(T40),T40+T43+T46,"")</f>
      </c>
      <c r="U49" s="260">
        <f>IF(ISNUMBER(U40),U40+U43+U46,"")</f>
      </c>
      <c r="V49" s="260">
        <f>IF(ISNUMBER(V40),V40+V43+V46,"")</f>
      </c>
      <c r="W49" s="260">
        <f>IF(ISNUMBER(W40),W40+W43+W46,"")</f>
      </c>
      <c r="X49" s="260">
        <f>IF(ISNUMBER(X40),X40+X43+X46,"")</f>
      </c>
      <c r="Y49" s="260">
        <f>IF(ISNUMBER(Y40),Y40+Y43+Y46,"")</f>
      </c>
      <c r="Z49" s="260">
        <f>IF(ISNUMBER(Z40),Z40+Z43+Z46,"")</f>
      </c>
      <c r="AA49" s="260">
        <f>IF(ISNUMBER(AA40),AA40+AA43+AA46,"")</f>
      </c>
      <c r="AB49" s="260">
        <f>IF(ISNUMBER(AB40),AB40+AB43+AB46,"")</f>
      </c>
      <c r="AC49" s="260">
        <f>IF(ISNUMBER(AC40),AC40+AC43+AC46,"")</f>
      </c>
      <c r="AD49" s="260">
        <f>IF(ISNUMBER(AD40),AD40+AD43+AD46,"")</f>
      </c>
      <c r="AE49" s="260">
        <f>IF(ISNUMBER(AE40),AE40+AE43+AE46,"")</f>
      </c>
      <c r="AF49" s="260">
        <f>IF(ISNUMBER(AF40),AF40+AF43+AF46,"")</f>
      </c>
      <c r="AG49" s="260">
        <f>IF(ISNUMBER(AG40),AG40+AG43+AG46,"")</f>
      </c>
      <c r="AH49" s="260">
        <f>IF(ISNUMBER(AH40),AH40+AH43+AH46,"")</f>
      </c>
      <c r="AI49" s="260">
        <f>IF(ISNUMBER(AI40),AI40+AI43+AI46,"")</f>
      </c>
      <c r="AJ49" s="260">
        <f>IF(ISNUMBER(AJ40),AJ40+AJ43+AJ46,"")</f>
      </c>
      <c r="AK49" s="260">
        <f>IF(ISNUMBER(AK40),AK40+AK43+AK46,"")</f>
      </c>
      <c r="AL49" s="260">
        <f>IF(ISNUMBER(AL40),AL40+AL43+AL46,"")</f>
      </c>
      <c r="AM49" s="260">
        <f>IF(ISNUMBER(AM40),AM40+AM43+AM46,"")</f>
      </c>
      <c r="AN49" s="260">
        <f>IF(ISNUMBER(AN40),AN40+AN43+AN46,"")</f>
      </c>
      <c r="AO49" s="260">
        <f>IF(ISNUMBER(AO40),AO40+AO43+AO46,"")</f>
      </c>
      <c r="AP49" s="260">
        <f>IF(ISNUMBER(AP40),AP40+AP43+AP46,"")</f>
      </c>
      <c r="AQ49" s="260">
        <f>IF(ISNUMBER(AQ40),AQ40+AQ43+AQ46,"")</f>
      </c>
      <c r="AR49" s="260">
        <f>IF(ISNUMBER(AR40),AR40+AR43+AR46,"")</f>
      </c>
      <c r="AS49" s="260">
        <f>IF(ISNUMBER(AS40),AS40+AS43+AS46,"")</f>
      </c>
      <c r="AT49" s="260">
        <f>IF(ISNUMBER(AT40),AT40+AT43+AT46,"")</f>
      </c>
      <c r="AU49" s="260">
        <f>IF(ISNUMBER(AU40),AU40+AU43+AU46,"")</f>
      </c>
      <c r="AV49" s="260">
        <f>IF(ISNUMBER(AV40),AV40+AV43+AV46,"")</f>
      </c>
      <c r="AW49" s="260">
        <f>IF(ISNUMBER(AW40),AW40+AW43+AW46,"")</f>
      </c>
      <c r="AX49" s="260">
        <f>IF(ISNUMBER(AX40),AX40+AX43+AX46,"")</f>
      </c>
      <c r="AY49" s="260">
        <f>IF(ISNUMBER(AY40),AY40+AY43+AY46,"")</f>
      </c>
      <c r="AZ49" s="260">
        <f>IF(ISNUMBER(AZ40),AZ40+AZ43+AZ46,"")</f>
      </c>
      <c r="BA49" s="260">
        <f>IF(ISNUMBER(BA40),BA40+BA43+BA46,"")</f>
      </c>
      <c r="BB49" s="260">
        <f>IF(ISNUMBER(BB40),BB40+BB43+BB46,"")</f>
      </c>
      <c r="BC49" s="260">
        <f>IF(ISNUMBER(BC40),BC40+BC43+BC46,"")</f>
      </c>
      <c r="BD49" s="260">
        <f>IF(ISNUMBER(BD40),BD40+BD43+BD46,"")</f>
      </c>
      <c r="BE49" s="260">
        <f>IF(ISNUMBER(BE40),BE40+BE43+BE46,"")</f>
      </c>
      <c r="BF49" s="260">
        <f>IF(ISNUMBER(BF40),BF40+BF43+BF46,"")</f>
      </c>
      <c r="BG49" s="260">
        <f>IF(ISNUMBER(BG40),BG40+BG43+BG46,"")</f>
      </c>
      <c r="BH49" s="260">
        <f>IF(ISNUMBER(BH40),BH40+BH43+BH46,"")</f>
      </c>
      <c r="BI49" s="260">
        <f>IF(ISNUMBER(BI40),BI40+BI43+BI46,"")</f>
      </c>
      <c r="BJ49" s="260">
        <f>IF(ISNUMBER(BJ40),BJ40+BJ43+BJ46,"")</f>
      </c>
      <c r="BK49" s="260">
        <f>IF(ISNUMBER(BK40),BK40+BK43+BK46,"")</f>
      </c>
      <c r="BL49" s="260">
        <f>IF(ISNUMBER(BL40),BL40+BL43+BL46,"")</f>
      </c>
      <c r="BM49" s="260">
        <f>IF(ISNUMBER(BM40),BM40+BM43+BM46,"")</f>
      </c>
      <c r="BN49" s="260">
        <f>IF(ISNUMBER(BN40),BN40+BN43+BN46,"")</f>
      </c>
      <c r="BO49" s="260">
        <f>IF(ISNUMBER(BO40),BO40+BO43+BO46,"")</f>
      </c>
      <c r="BP49" s="260">
        <f>IF(ISNUMBER(BP40),BP40+BP43+BP46,"")</f>
      </c>
      <c r="BQ49" s="260">
        <f>IF(ISNUMBER(BQ40),BQ40+BQ43+BQ46,"")</f>
      </c>
      <c r="BR49" s="260">
        <f>IF(ISNUMBER(BR40),BR40+BR43+BR46,"")</f>
        <v>15109</v>
      </c>
      <c r="BS49" s="260">
        <f>IF(ISNUMBER(BS40),BS40+BS43+BS46,"")</f>
        <v>16866</v>
      </c>
      <c r="BT49" s="260">
        <f>IF(ISNUMBER(BT40),BT40+BT43+BT46,"")</f>
        <v>15303</v>
      </c>
      <c r="BU49" s="260">
        <f>IF(ISNUMBER(BU40),BU40+BU43+BU46,"")</f>
        <v>15663</v>
      </c>
      <c r="BV49" s="260">
        <f>IF(ISNUMBER(BV40),BV40+BV43+BV46,"")</f>
        <v>62941</v>
      </c>
      <c r="BW49" s="260">
        <f>IF(ISNUMBER(BW40),BW40+BW43+BW46,"")</f>
        <v>16001</v>
      </c>
      <c r="BX49" s="260">
        <f>IF(ISNUMBER(BX40),BX40+BX43+BX46,"")</f>
        <v>16832</v>
      </c>
      <c r="BY49" s="260">
        <f>IF(ISNUMBER(BY40),BY40+BY43+BY46,"")</f>
        <v>15448</v>
      </c>
      <c r="BZ49" s="260">
        <f>IF(ISNUMBER(BZ40),BZ40+BZ43+BZ46,"")</f>
        <v>15431</v>
      </c>
      <c r="CA49" s="260">
        <f>IF(ISNUMBER(CA40),CA40+CA43+CA46,"")</f>
        <v>63712</v>
      </c>
      <c r="CB49" s="261">
        <f>IF(ISNUMBER(CB40),CB40+CB43+CB46,"")</f>
        <v>14950</v>
      </c>
      <c r="CC49" s="261">
        <f>IF(ISNUMBER(CC40),CC40+CC43+CC46,"")</f>
        <v>15748.0461187924</v>
      </c>
      <c r="CD49" s="261">
        <f>IF(ISNUMBER(CD40),CD40+CD43+CD46,"")</f>
        <v>14492.5026046458</v>
      </c>
      <c r="CE49" s="261">
        <f>IF(ISNUMBER(CE40),CE40+CE43+CE46,"")</f>
        <v>14554.3864794996</v>
      </c>
      <c r="CF49" s="261">
        <f>IF(ISNUMBER(CF40),CF40+CF43+CF46,"")</f>
        <v>59744.9352029377</v>
      </c>
      <c r="CG49" s="261">
        <f>IF(ISNUMBER(CG40),CG40+CG43+CG46,"")</f>
        <v>62216.827839967</v>
      </c>
      <c r="CH49" s="261">
        <f>IF(ISNUMBER(CH40),CH40+CH43+CH46,"")</f>
        <v>65202.700053247</v>
      </c>
      <c r="CI49" s="261">
        <f>IF(ISNUMBER(CI40),CI40+CI43+CI46,"")</f>
        <v>68082.2208135816</v>
      </c>
      <c r="CJ49" s="261">
        <f>IF(ISNUMBER(CJ40),CJ40+CJ43+CJ46,"")</f>
        <v>71130.9038397628</v>
      </c>
      <c r="CK49" s="153" t="n"/>
      <c r="CM49" s="20">
        <f>IFERROR((CJ49/CA49)^(1/5)-1,"n/m")</f>
        <v>0.0222742411758832</v>
      </c>
      <c r="CN49" s="20" t="str">
        <f>IFERROR((CA49/BB49)^(1/5)-1,"n/m")</f>
        <v>n/m</v>
      </c>
      <c r="CO49" s="20" t="str">
        <f>IFERROR((CA49/AC49)^(1/10)-1,"n/m")</f>
        <v>n/m</v>
      </c>
      <c r="CP49" s="20" t="str">
        <f>IFERROR((CA49/C49)^(1/20)-1,"n/m")</f>
        <v>n/m</v>
      </c>
      <c r="CS49" s="25" t="inlineStr">
        <is>
          <t xml:space="preserve">  2030E</t>
        </is>
      </c>
      <c r="CT49" s="33">
        <f>CU49+$CT$46</f>
        <v>0.05</v>
      </c>
      <c r="CU49" s="42" t="n">
        <v>0.03</v>
      </c>
      <c r="CV49" s="33">
        <f>CU49+$CV$46</f>
        <v>0</v>
      </c>
    </row>
    <row r="50" ht="15" customHeight="1" s="251">
      <c r="B50" s="22" t="inlineStr">
        <is>
          <t xml:space="preserve">  Segment revenue y/y %</t>
        </is>
      </c>
      <c r="C50" s="23" t="n"/>
      <c r="D50" s="255">
        <f>IF(AND(ISNUMBER(D49),ISNUMBER(C49)),IFERROR(D49/C49-1,""),"")</f>
      </c>
      <c r="E50" s="255">
        <f>IF(AND(ISNUMBER(E49),ISNUMBER(D49)),IFERROR(E49/D49-1,""),"")</f>
      </c>
      <c r="F50" s="255">
        <f>IF(AND(ISNUMBER(F49),ISNUMBER(E49)),IFERROR(F49/E49-1,""),"")</f>
      </c>
      <c r="G50" s="255">
        <f>IF(AND(ISNUMBER(G49),ISNUMBER(F49)),IFERROR(G49/F49-1,""),"")</f>
      </c>
      <c r="H50" s="255">
        <f>IF(AND(ISNUMBER(H49),ISNUMBER(G49)),IFERROR(H49/G49-1,""),"")</f>
      </c>
      <c r="I50" s="255">
        <f>IF(AND(ISNUMBER(I49),ISNUMBER(H49)),IFERROR(I49/H49-1,""),"")</f>
      </c>
      <c r="J50" s="23" t="n"/>
      <c r="K50" s="23" t="n"/>
      <c r="L50" s="23" t="n"/>
      <c r="M50" s="23" t="n"/>
      <c r="N50" s="255">
        <f>IF(AND(ISNUMBER(N49),ISNUMBER(I49)),IFERROR(N49/I49-1,""),"")</f>
      </c>
      <c r="O50" s="255">
        <f>IF(AND(ISNUMBER(O49),ISNUMBER(J49)),IFERROR(O49/J49-1,""),"")</f>
      </c>
      <c r="P50" s="255">
        <f>IF(AND(ISNUMBER(P49),ISNUMBER(K49)),IFERROR(P49/K49-1,""),"")</f>
      </c>
      <c r="Q50" s="255">
        <f>IF(AND(ISNUMBER(Q49),ISNUMBER(L49)),IFERROR(Q49/L49-1,""),"")</f>
      </c>
      <c r="R50" s="255">
        <f>IF(AND(ISNUMBER(R49),ISNUMBER(M49)),IFERROR(R49/M49-1,""),"")</f>
      </c>
      <c r="S50" s="255">
        <f>IF(AND(ISNUMBER(S49),ISNUMBER(N49)),IFERROR(S49/N49-1,""),"")</f>
      </c>
      <c r="T50" s="255">
        <f>IF(AND(ISNUMBER(T49),ISNUMBER(O49)),IFERROR(T49/O49-1,""),"")</f>
      </c>
      <c r="U50" s="255">
        <f>IF(AND(ISNUMBER(U49),ISNUMBER(P49)),IFERROR(U49/P49-1,""),"")</f>
      </c>
      <c r="V50" s="255">
        <f>IF(AND(ISNUMBER(V49),ISNUMBER(Q49)),IFERROR(V49/Q49-1,""),"")</f>
      </c>
      <c r="W50" s="255">
        <f>IF(AND(ISNUMBER(W49),ISNUMBER(R49)),IFERROR(W49/R49-1,""),"")</f>
      </c>
      <c r="X50" s="255">
        <f>IF(AND(ISNUMBER(X49),ISNUMBER(S49)),IFERROR(X49/S49-1,""),"")</f>
      </c>
      <c r="Y50" s="255">
        <f>IF(AND(ISNUMBER(Y49),ISNUMBER(T49)),IFERROR(Y49/T49-1,""),"")</f>
      </c>
      <c r="Z50" s="255">
        <f>IF(AND(ISNUMBER(Z49),ISNUMBER(U49)),IFERROR(Z49/U49-1,""),"")</f>
      </c>
      <c r="AA50" s="255">
        <f>IF(AND(ISNUMBER(AA49),ISNUMBER(V49)),IFERROR(AA49/V49-1,""),"")</f>
      </c>
      <c r="AB50" s="255">
        <f>IF(AND(ISNUMBER(AB49),ISNUMBER(W49)),IFERROR(AB49/W49-1,""),"")</f>
      </c>
      <c r="AC50" s="255">
        <f>IF(AND(ISNUMBER(AC49),ISNUMBER(X49)),IFERROR(AC49/X49-1,""),"")</f>
      </c>
      <c r="AD50" s="255">
        <f>IF(AND(ISNUMBER(AD49),ISNUMBER(Y49)),IFERROR(AD49/Y49-1,""),"")</f>
      </c>
      <c r="AE50" s="255">
        <f>IF(AND(ISNUMBER(AE49),ISNUMBER(Z49)),IFERROR(AE49/Z49-1,""),"")</f>
      </c>
      <c r="AF50" s="255">
        <f>IF(AND(ISNUMBER(AF49),ISNUMBER(AA49)),IFERROR(AF49/AA49-1,""),"")</f>
      </c>
      <c r="AG50" s="255">
        <f>IF(AND(ISNUMBER(AG49),ISNUMBER(AB49)),IFERROR(AG49/AB49-1,""),"")</f>
      </c>
      <c r="AH50" s="255">
        <f>IF(AND(ISNUMBER(AH49),ISNUMBER(AC49)),IFERROR(AH49/AC49-1,""),"")</f>
      </c>
      <c r="AI50" s="255">
        <f>IF(AND(ISNUMBER(AI49),ISNUMBER(AD49)),IFERROR(AI49/AD49-1,""),"")</f>
      </c>
      <c r="AJ50" s="255">
        <f>IF(AND(ISNUMBER(AJ49),ISNUMBER(AE49)),IFERROR(AJ49/AE49-1,""),"")</f>
      </c>
      <c r="AK50" s="255">
        <f>IF(AND(ISNUMBER(AK49),ISNUMBER(AF49)),IFERROR(AK49/AF49-1,""),"")</f>
      </c>
      <c r="AL50" s="255">
        <f>IF(AND(ISNUMBER(AL49),ISNUMBER(AG49)),IFERROR(AL49/AG49-1,""),"")</f>
      </c>
      <c r="AM50" s="255">
        <f>IF(AND(ISNUMBER(AM49),ISNUMBER(AH49)),IFERROR(AM49/AH49-1,""),"")</f>
      </c>
      <c r="AN50" s="255">
        <f>IF(AND(ISNUMBER(AN49),ISNUMBER(AI49)),IFERROR(AN49/AI49-1,""),"")</f>
      </c>
      <c r="AO50" s="255">
        <f>IF(AND(ISNUMBER(AO49),ISNUMBER(AJ49)),IFERROR(AO49/AJ49-1,""),"")</f>
      </c>
      <c r="AP50" s="255">
        <f>IF(AND(ISNUMBER(AP49),ISNUMBER(AK49)),IFERROR(AP49/AK49-1,""),"")</f>
      </c>
      <c r="AQ50" s="255">
        <f>IF(AND(ISNUMBER(AQ49),ISNUMBER(AL49)),IFERROR(AQ49/AL49-1,""),"")</f>
      </c>
      <c r="AR50" s="255">
        <f>IF(AND(ISNUMBER(AR49),ISNUMBER(AM49)),IFERROR(AR49/AM49-1,""),"")</f>
      </c>
      <c r="AS50" s="255">
        <f>IF(AND(ISNUMBER(AS49),ISNUMBER(AN49)),IFERROR(AS49/AN49-1,""),"")</f>
      </c>
      <c r="AT50" s="255">
        <f>IF(AND(ISNUMBER(AT49),ISNUMBER(AO49)),IFERROR(AT49/AO49-1,""),"")</f>
      </c>
      <c r="AU50" s="255">
        <f>IF(AND(ISNUMBER(AU49),ISNUMBER(AP49)),IFERROR(AU49/AP49-1,""),"")</f>
      </c>
      <c r="AV50" s="255">
        <f>IF(AND(ISNUMBER(AV49),ISNUMBER(AQ49)),IFERROR(AV49/AQ49-1,""),"")</f>
      </c>
      <c r="AW50" s="255">
        <f>IF(AND(ISNUMBER(AW49),ISNUMBER(AR49)),IFERROR(AW49/AR49-1,""),"")</f>
      </c>
      <c r="AX50" s="255">
        <f>IF(AND(ISNUMBER(AX49),ISNUMBER(AS49)),IFERROR(AX49/AS49-1,""),"")</f>
      </c>
      <c r="AY50" s="255">
        <f>IF(AND(ISNUMBER(AY49),ISNUMBER(AT49)),IFERROR(AY49/AT49-1,""),"")</f>
      </c>
      <c r="AZ50" s="255">
        <f>IF(AND(ISNUMBER(AZ49),ISNUMBER(AU49)),IFERROR(AZ49/AU49-1,""),"")</f>
      </c>
      <c r="BA50" s="255">
        <f>IF(AND(ISNUMBER(BA49),ISNUMBER(AV49)),IFERROR(BA49/AV49-1,""),"")</f>
      </c>
      <c r="BB50" s="255">
        <f>IF(AND(ISNUMBER(BB49),ISNUMBER(AW49)),IFERROR(BB49/AW49-1,""),"")</f>
      </c>
      <c r="BC50" s="255">
        <f>IF(AND(ISNUMBER(BC49),ISNUMBER(AX49)),IFERROR(BC49/AX49-1,""),"")</f>
      </c>
      <c r="BD50" s="255">
        <f>IF(AND(ISNUMBER(BD49),ISNUMBER(AY49)),IFERROR(BD49/AY49-1,""),"")</f>
      </c>
      <c r="BE50" s="255">
        <f>IF(AND(ISNUMBER(BE49),ISNUMBER(AZ49)),IFERROR(BE49/AZ49-1,""),"")</f>
      </c>
      <c r="BF50" s="255">
        <f>IF(AND(ISNUMBER(BF49),ISNUMBER(BA49)),IFERROR(BF49/BA49-1,""),"")</f>
      </c>
      <c r="BG50" s="255">
        <f>IF(AND(ISNUMBER(BG49),ISNUMBER(BB49)),IFERROR(BG49/BB49-1,""),"")</f>
      </c>
      <c r="BH50" s="255">
        <f>IF(AND(ISNUMBER(BH49),ISNUMBER(BC49)),IFERROR(BH49/BC49-1,""),"")</f>
      </c>
      <c r="BI50" s="255">
        <f>IF(AND(ISNUMBER(BI49),ISNUMBER(BD49)),IFERROR(BI49/BD49-1,""),"")</f>
      </c>
      <c r="BJ50" s="255">
        <f>IF(AND(ISNUMBER(BJ49),ISNUMBER(BE49)),IFERROR(BJ49/BE49-1,""),"")</f>
      </c>
      <c r="BK50" s="255">
        <f>IF(AND(ISNUMBER(BK49),ISNUMBER(BF49)),IFERROR(BK49/BF49-1,""),"")</f>
      </c>
      <c r="BL50" s="255">
        <f>IF(AND(ISNUMBER(BL49),ISNUMBER(BG49)),IFERROR(BL49/BG49-1,""),"")</f>
      </c>
      <c r="BM50" s="255">
        <f>IF(AND(ISNUMBER(BM49),ISNUMBER(BH49)),IFERROR(BM49/BH49-1,""),"")</f>
      </c>
      <c r="BN50" s="255">
        <f>IF(AND(ISNUMBER(BN49),ISNUMBER(BI49)),IFERROR(BN49/BI49-1,""),"")</f>
      </c>
      <c r="BO50" s="255">
        <f>IF(AND(ISNUMBER(BO49),ISNUMBER(BJ49)),IFERROR(BO49/BJ49-1,""),"")</f>
      </c>
      <c r="BP50" s="255">
        <f>IF(AND(ISNUMBER(BP49),ISNUMBER(BK49)),IFERROR(BP49/BK49-1,""),"")</f>
      </c>
      <c r="BQ50" s="255">
        <f>IF(AND(ISNUMBER(BQ49),ISNUMBER(BL49)),IFERROR(BQ49/BL49-1,""),"")</f>
      </c>
      <c r="BR50" s="255">
        <f>IF(AND(ISNUMBER(BR49),ISNUMBER(BM49)),IFERROR(BR49/BM49-1,""),"")</f>
      </c>
      <c r="BS50" s="255">
        <f>IF(AND(ISNUMBER(BS49),ISNUMBER(BN49)),IFERROR(BS49/BN49-1,""),"")</f>
      </c>
      <c r="BT50" s="255">
        <f>IF(AND(ISNUMBER(BT49),ISNUMBER(BO49)),IFERROR(BT49/BO49-1,""),"")</f>
      </c>
      <c r="BU50" s="255">
        <f>IF(AND(ISNUMBER(BU49),ISNUMBER(BP49)),IFERROR(BU49/BP49-1,""),"")</f>
      </c>
      <c r="BV50" s="255">
        <f>IF(AND(ISNUMBER(BV49),ISNUMBER(BQ49)),IFERROR(BV49/BQ49-1,""),"")</f>
      </c>
      <c r="BW50" s="255">
        <f>IF(AND(ISNUMBER(BW49),ISNUMBER(BR49)),IFERROR(BW49/BR49-1,""),"")</f>
        <v>0.0590376596730426</v>
      </c>
      <c r="BX50" s="255">
        <f>IF(AND(ISNUMBER(BX49),ISNUMBER(BS49)),IFERROR(BX49/BS49-1,""),"")</f>
        <v>-0.00201588995612478</v>
      </c>
      <c r="BY50" s="255">
        <f>IF(AND(ISNUMBER(BY49),ISNUMBER(BT49)),IFERROR(BY49/BT49-1,""),"")</f>
        <v>0.00947526628765605</v>
      </c>
      <c r="BZ50" s="255">
        <f>IF(AND(ISNUMBER(BZ49),ISNUMBER(BU49)),IFERROR(BZ49/BU49-1,""),"")</f>
        <v>-0.0148119772712763</v>
      </c>
      <c r="CA50" s="255">
        <f>IF(AND(ISNUMBER(CA49),ISNUMBER(BV49)),IFERROR(CA49/BV49-1,""),"")</f>
        <v>0.0122495670548608</v>
      </c>
      <c r="CB50" s="256">
        <f>IF(AND(ISNUMBER(CB49),ISNUMBER(BW49)),IFERROR(CB49/BW49-1,""),"")</f>
        <v>-0.065683394787826</v>
      </c>
      <c r="CC50" s="256">
        <f>IF(AND(ISNUMBER(CC49),ISNUMBER(BX49)),IFERROR(CC49/BX49-1,""),"")</f>
        <v>-0.0643984007371452</v>
      </c>
      <c r="CD50" s="256">
        <f>IF(AND(ISNUMBER(CD49),ISNUMBER(BY49)),IFERROR(CD49/BY49-1,""),"")</f>
        <v>-0.0618524984045954</v>
      </c>
      <c r="CE50" s="256">
        <f>IF(AND(ISNUMBER(CE49),ISNUMBER(BZ49)),IFERROR(CE49/BZ49-1,""),"")</f>
        <v>-0.056808600900813</v>
      </c>
      <c r="CF50" s="256">
        <f>IF(AND(ISNUMBER(CF49),ISNUMBER(CA49)),IFERROR(CF49/CA49-1,""),"")</f>
        <v>-0.0622655825756885</v>
      </c>
      <c r="CG50" s="256">
        <f>IF(AND(ISNUMBER(CG49),ISNUMBER(CF49)),IFERROR(CG49/CF49-1,""),"")</f>
        <v>0.0413740952037667</v>
      </c>
      <c r="CH50" s="256">
        <f>IF(AND(ISNUMBER(CH49),ISNUMBER(CG49)),IFERROR(CH49/CG49-1,""),"")</f>
        <v>0.0479913926335214</v>
      </c>
      <c r="CI50" s="256">
        <f>IF(AND(ISNUMBER(CI49),ISNUMBER(CH49)),IFERROR(CI49/CH49-1,""),"")</f>
        <v>0.0441625999840967</v>
      </c>
      <c r="CJ50" s="256">
        <f>IF(AND(ISNUMBER(CJ49),ISNUMBER(CI49)),IFERROR(CJ49/CI49-1,""),"")</f>
        <v>0.0447794297798971</v>
      </c>
      <c r="CK50" s="153" t="n"/>
      <c r="CS50" s="25" t="inlineStr">
        <is>
          <t xml:space="preserve">  2031E</t>
        </is>
      </c>
      <c r="CT50" s="33">
        <f>CU50+$CT$46</f>
        <v>0.05</v>
      </c>
      <c r="CU50" s="42" t="n">
        <v>0.03</v>
      </c>
      <c r="CV50" s="33">
        <f>CU50+$CV$46</f>
        <v>0</v>
      </c>
    </row>
    <row r="51" ht="15" customHeight="1" s="251">
      <c r="B51" s="25" t="inlineStr">
        <is>
          <t xml:space="preserve">  % of total revenue</t>
        </is>
      </c>
      <c r="C51" s="215">
        <f>IF(AND(ISNUMBER(C49),ISNUMBER(C130)),IFERROR(C49/C130,""),"")</f>
      </c>
      <c r="D51" s="215">
        <f>IF(AND(ISNUMBER(D49),ISNUMBER(D130)),IFERROR(D49/D130,""),"")</f>
      </c>
      <c r="E51" s="215">
        <f>IF(AND(ISNUMBER(E49),ISNUMBER(E130)),IFERROR(E49/E130,""),"")</f>
      </c>
      <c r="F51" s="215">
        <f>IF(AND(ISNUMBER(F49),ISNUMBER(F130)),IFERROR(F49/F130,""),"")</f>
      </c>
      <c r="G51" s="215">
        <f>IF(AND(ISNUMBER(G49),ISNUMBER(G130)),IFERROR(G49/G130,""),"")</f>
      </c>
      <c r="H51" s="215">
        <f>IF(AND(ISNUMBER(H49),ISNUMBER(H130)),IFERROR(H49/H130,""),"")</f>
      </c>
      <c r="I51" s="215">
        <f>IF(AND(ISNUMBER(I49),ISNUMBER(I130)),IFERROR(I49/I130,""),"")</f>
      </c>
      <c r="J51" s="215">
        <f>IF(AND(ISNUMBER(J49),ISNUMBER(J130)),IFERROR(J49/J130,""),"")</f>
      </c>
      <c r="K51" s="215">
        <f>IF(AND(ISNUMBER(K49),ISNUMBER(K130)),IFERROR(K49/K130,""),"")</f>
      </c>
      <c r="L51" s="215">
        <f>IF(AND(ISNUMBER(L49),ISNUMBER(L130)),IFERROR(L49/L130,""),"")</f>
      </c>
      <c r="M51" s="215">
        <f>IF(AND(ISNUMBER(M49),ISNUMBER(M130)),IFERROR(M49/M130,""),"")</f>
      </c>
      <c r="N51" s="215">
        <f>IF(AND(ISNUMBER(N49),ISNUMBER(N130)),IFERROR(N49/N130,""),"")</f>
      </c>
      <c r="O51" s="215">
        <f>IF(AND(ISNUMBER(O49),ISNUMBER(O130)),IFERROR(O49/O130,""),"")</f>
      </c>
      <c r="P51" s="215">
        <f>IF(AND(ISNUMBER(P49),ISNUMBER(P130)),IFERROR(P49/P130,""),"")</f>
      </c>
      <c r="Q51" s="215">
        <f>IF(AND(ISNUMBER(Q49),ISNUMBER(Q130)),IFERROR(Q49/Q130,""),"")</f>
      </c>
      <c r="R51" s="215">
        <f>IF(AND(ISNUMBER(R49),ISNUMBER(R130)),IFERROR(R49/R130,""),"")</f>
      </c>
      <c r="S51" s="215">
        <f>IF(AND(ISNUMBER(S49),ISNUMBER(S130)),IFERROR(S49/S130,""),"")</f>
      </c>
      <c r="T51" s="215">
        <f>IF(AND(ISNUMBER(T49),ISNUMBER(T130)),IFERROR(T49/T130,""),"")</f>
      </c>
      <c r="U51" s="215">
        <f>IF(AND(ISNUMBER(U49),ISNUMBER(U130)),IFERROR(U49/U130,""),"")</f>
      </c>
      <c r="V51" s="215">
        <f>IF(AND(ISNUMBER(V49),ISNUMBER(V130)),IFERROR(V49/V130,""),"")</f>
      </c>
      <c r="W51" s="215">
        <f>IF(AND(ISNUMBER(W49),ISNUMBER(W130)),IFERROR(W49/W130,""),"")</f>
      </c>
      <c r="X51" s="215">
        <f>IF(AND(ISNUMBER(X49),ISNUMBER(X130)),IFERROR(X49/X130,""),"")</f>
      </c>
      <c r="Y51" s="215">
        <f>IF(AND(ISNUMBER(Y49),ISNUMBER(Y130)),IFERROR(Y49/Y130,""),"")</f>
      </c>
      <c r="Z51" s="215">
        <f>IF(AND(ISNUMBER(Z49),ISNUMBER(Z130)),IFERROR(Z49/Z130,""),"")</f>
      </c>
      <c r="AA51" s="215">
        <f>IF(AND(ISNUMBER(AA49),ISNUMBER(AA130)),IFERROR(AA49/AA130,""),"")</f>
      </c>
      <c r="AB51" s="215">
        <f>IF(AND(ISNUMBER(AB49),ISNUMBER(AB130)),IFERROR(AB49/AB130,""),"")</f>
      </c>
      <c r="AC51" s="215">
        <f>IF(AND(ISNUMBER(AC49),ISNUMBER(AC130)),IFERROR(AC49/AC130,""),"")</f>
      </c>
      <c r="AD51" s="215">
        <f>IF(AND(ISNUMBER(AD49),ISNUMBER(AD130)),IFERROR(AD49/AD130,""),"")</f>
      </c>
      <c r="AE51" s="215">
        <f>IF(AND(ISNUMBER(AE49),ISNUMBER(AE130)),IFERROR(AE49/AE130,""),"")</f>
      </c>
      <c r="AF51" s="215">
        <f>IF(AND(ISNUMBER(AF49),ISNUMBER(AF130)),IFERROR(AF49/AF130,""),"")</f>
      </c>
      <c r="AG51" s="215">
        <f>IF(AND(ISNUMBER(AG49),ISNUMBER(AG130)),IFERROR(AG49/AG130,""),"")</f>
      </c>
      <c r="AH51" s="215">
        <f>IF(AND(ISNUMBER(AH49),ISNUMBER(AH130)),IFERROR(AH49/AH130,""),"")</f>
      </c>
      <c r="AI51" s="215">
        <f>IF(AND(ISNUMBER(AI49),ISNUMBER(AI130)),IFERROR(AI49/AI130,""),"")</f>
      </c>
      <c r="AJ51" s="215">
        <f>IF(AND(ISNUMBER(AJ49),ISNUMBER(AJ130)),IFERROR(AJ49/AJ130,""),"")</f>
      </c>
      <c r="AK51" s="215">
        <f>IF(AND(ISNUMBER(AK49),ISNUMBER(AK130)),IFERROR(AK49/AK130,""),"")</f>
      </c>
      <c r="AL51" s="215">
        <f>IF(AND(ISNUMBER(AL49),ISNUMBER(AL130)),IFERROR(AL49/AL130,""),"")</f>
      </c>
      <c r="AM51" s="215">
        <f>IF(AND(ISNUMBER(AM49),ISNUMBER(AM130)),IFERROR(AM49/AM130,""),"")</f>
      </c>
      <c r="AN51" s="215">
        <f>IF(AND(ISNUMBER(AN49),ISNUMBER(AN130)),IFERROR(AN49/AN130,""),"")</f>
      </c>
      <c r="AO51" s="215">
        <f>IF(AND(ISNUMBER(AO49),ISNUMBER(AO130)),IFERROR(AO49/AO130,""),"")</f>
      </c>
      <c r="AP51" s="215">
        <f>IF(AND(ISNUMBER(AP49),ISNUMBER(AP130)),IFERROR(AP49/AP130,""),"")</f>
      </c>
      <c r="AQ51" s="215">
        <f>IF(AND(ISNUMBER(AQ49),ISNUMBER(AQ130)),IFERROR(AQ49/AQ130,""),"")</f>
      </c>
      <c r="AR51" s="215">
        <f>IF(AND(ISNUMBER(AR49),ISNUMBER(AR130)),IFERROR(AR49/AR130,""),"")</f>
      </c>
      <c r="AS51" s="215">
        <f>IF(AND(ISNUMBER(AS49),ISNUMBER(AS130)),IFERROR(AS49/AS130,""),"")</f>
      </c>
      <c r="AT51" s="215">
        <f>IF(AND(ISNUMBER(AT49),ISNUMBER(AT130)),IFERROR(AT49/AT130,""),"")</f>
      </c>
      <c r="AU51" s="215">
        <f>IF(AND(ISNUMBER(AU49),ISNUMBER(AU130)),IFERROR(AU49/AU130,""),"")</f>
      </c>
      <c r="AV51" s="215">
        <f>IF(AND(ISNUMBER(AV49),ISNUMBER(AV130)),IFERROR(AV49/AV130,""),"")</f>
      </c>
      <c r="AW51" s="215">
        <f>IF(AND(ISNUMBER(AW49),ISNUMBER(AW130)),IFERROR(AW49/AW130,""),"")</f>
      </c>
      <c r="AX51" s="215">
        <f>IF(AND(ISNUMBER(AX49),ISNUMBER(AX130)),IFERROR(AX49/AX130,""),"")</f>
      </c>
      <c r="AY51" s="215">
        <f>IF(AND(ISNUMBER(AY49),ISNUMBER(AY130)),IFERROR(AY49/AY130,""),"")</f>
      </c>
      <c r="AZ51" s="215">
        <f>IF(AND(ISNUMBER(AZ49),ISNUMBER(AZ130)),IFERROR(AZ49/AZ130,""),"")</f>
      </c>
      <c r="BA51" s="215">
        <f>IF(AND(ISNUMBER(BA49),ISNUMBER(BA130)),IFERROR(BA49/BA130,""),"")</f>
      </c>
      <c r="BB51" s="215">
        <f>IF(AND(ISNUMBER(BB49),ISNUMBER(BB130)),IFERROR(BB49/BB130,""),"")</f>
      </c>
      <c r="BC51" s="215">
        <f>IF(AND(ISNUMBER(BC49),ISNUMBER(BC130)),IFERROR(BC49/BC130,""),"")</f>
      </c>
      <c r="BD51" s="215">
        <f>IF(AND(ISNUMBER(BD49),ISNUMBER(BD130)),IFERROR(BD49/BD130,""),"")</f>
      </c>
      <c r="BE51" s="215">
        <f>IF(AND(ISNUMBER(BE49),ISNUMBER(BE130)),IFERROR(BE49/BE130,""),"")</f>
      </c>
      <c r="BF51" s="215">
        <f>IF(AND(ISNUMBER(BF49),ISNUMBER(BF130)),IFERROR(BF49/BF130,""),"")</f>
      </c>
      <c r="BG51" s="215">
        <f>IF(AND(ISNUMBER(BG49),ISNUMBER(BG130)),IFERROR(BG49/BG130,""),"")</f>
      </c>
      <c r="BH51" s="215">
        <f>IF(AND(ISNUMBER(BH49),ISNUMBER(BH130)),IFERROR(BH49/BH130,""),"")</f>
      </c>
      <c r="BI51" s="215">
        <f>IF(AND(ISNUMBER(BI49),ISNUMBER(BI130)),IFERROR(BI49/BI130,""),"")</f>
      </c>
      <c r="BJ51" s="215">
        <f>IF(AND(ISNUMBER(BJ49),ISNUMBER(BJ130)),IFERROR(BJ49/BJ130,""),"")</f>
      </c>
      <c r="BK51" s="215">
        <f>IF(AND(ISNUMBER(BK49),ISNUMBER(BK130)),IFERROR(BK49/BK130,""),"")</f>
      </c>
      <c r="BL51" s="215">
        <f>IF(AND(ISNUMBER(BL49),ISNUMBER(BL130)),IFERROR(BL49/BL130,""),"")</f>
      </c>
      <c r="BM51" s="215">
        <f>IF(AND(ISNUMBER(BM49),ISNUMBER(BM130)),IFERROR(BM49/BM130,""),"")</f>
      </c>
      <c r="BN51" s="215">
        <f>IF(AND(ISNUMBER(BN49),ISNUMBER(BN130)),IFERROR(BN49/BN130,""),"")</f>
      </c>
      <c r="BO51" s="215">
        <f>IF(AND(ISNUMBER(BO49),ISNUMBER(BO130)),IFERROR(BO49/BO130,""),"")</f>
      </c>
      <c r="BP51" s="215">
        <f>IF(AND(ISNUMBER(BP49),ISNUMBER(BP130)),IFERROR(BP49/BP130,""),"")</f>
      </c>
      <c r="BQ51" s="215">
        <f>IF(AND(ISNUMBER(BQ49),ISNUMBER(BQ130)),IFERROR(BQ49/BQ130,""),"")</f>
      </c>
      <c r="BR51" s="215">
        <f>IF(AND(ISNUMBER(BR49),ISNUMBER(BR130)),IFERROR(BR49/BR130,""),"")</f>
        <v>0.23037279865823</v>
      </c>
      <c r="BS51" s="215">
        <f>IF(AND(ISNUMBER(BS49),ISNUMBER(BS130)),IFERROR(BS49/BS130,""),"")</f>
        <v>0.242216222426471</v>
      </c>
      <c r="BT51" s="215">
        <f>IF(AND(ISNUMBER(BT49),ISNUMBER(BT130)),IFERROR(BT49/BT130,""),"")</f>
        <v>0.218408357834042</v>
      </c>
      <c r="BU51" s="215">
        <f>IF(AND(ISNUMBER(BU49),ISNUMBER(BU130)),IFERROR(BU49/BU130,""),"")</f>
        <v>0.204903127902565</v>
      </c>
      <c r="BV51" s="215">
        <f>IF(AND(ISNUMBER(BV49),ISNUMBER(BV130)),IFERROR(BV49/BV130,""),"")</f>
        <v>0.22341369567378</v>
      </c>
      <c r="BW51" s="215">
        <f>IF(AND(ISNUMBER(BW49),ISNUMBER(BW130)),IFERROR(BW49/BW130,""),"")</f>
        <v>0.20600466056416</v>
      </c>
      <c r="BX51" s="215">
        <f>IF(AND(ISNUMBER(BX49),ISNUMBER(BX130)),IFERROR(BX49/BX130,""),"")</f>
        <v>0.207104450432493</v>
      </c>
      <c r="BY51" s="215">
        <f>IF(AND(ISNUMBER(BY49),ISNUMBER(BY130)),IFERROR(BY49/BY130,""),"")</f>
        <v>0.186376468884975</v>
      </c>
      <c r="BZ51" s="215">
        <f>IF(AND(ISNUMBER(BZ49),ISNUMBER(BZ130)),IFERROR(BZ49/BZ130,""),"")</f>
        <v>0.171442221160576</v>
      </c>
      <c r="CA51" s="215">
        <f>IF(AND(ISNUMBER(CA49),ISNUMBER(CA130)),IFERROR(CA49/CA130,""),"")</f>
        <v>0.191996721301595</v>
      </c>
      <c r="CB51" s="256">
        <f>IF(AND(ISNUMBER(CB49),ISNUMBER(CB130)),IFERROR(CB49/CB130,""),"")</f>
        <v>0.16537610619469</v>
      </c>
      <c r="CC51" s="256">
        <f>IF(AND(ISNUMBER(CC49),ISNUMBER(CC130)),IFERROR(CC49/CC130,""),"")</f>
        <v>0.166092845359036</v>
      </c>
      <c r="CD51" s="256">
        <f>IF(AND(ISNUMBER(CD49),ISNUMBER(CD130)),IFERROR(CD49/CD130,""),"")</f>
        <v>0.148667981989279</v>
      </c>
      <c r="CE51" s="256">
        <f>IF(AND(ISNUMBER(CE49),ISNUMBER(CE130)),IFERROR(CE49/CE130,""),"")</f>
        <v>0.136764582271446</v>
      </c>
      <c r="CF51" s="256">
        <f>IF(AND(ISNUMBER(CF49),ISNUMBER(CF130)),IFERROR(CF49/CF130,""),"")</f>
        <v>0.153540038869523</v>
      </c>
      <c r="CG51" s="256">
        <f>IF(AND(ISNUMBER(CG49),ISNUMBER(CG130)),IFERROR(CG49/CG130,""),"")</f>
        <v>0.136618143756463</v>
      </c>
      <c r="CH51" s="256">
        <f>IF(AND(ISNUMBER(CH49),ISNUMBER(CH130)),IFERROR(CH49/CH130,""),"")</f>
        <v>0.123754315636702</v>
      </c>
      <c r="CI51" s="256">
        <f>IF(AND(ISNUMBER(CI49),ISNUMBER(CI130)),IFERROR(CI49/CI130,""),"")</f>
        <v>0.113592113678664</v>
      </c>
      <c r="CJ51" s="256">
        <f>IF(AND(ISNUMBER(CJ49),ISNUMBER(CJ130)),IFERROR(CJ49/CJ130,""),"")</f>
        <v>0.105896998489457</v>
      </c>
      <c r="CK51" s="153" t="n"/>
      <c r="CS51" s="15" t="inlineStr">
        <is>
          <t>DC_SA (Search &amp; advertising y/y)</t>
        </is>
      </c>
      <c r="CT51" s="41" t="n">
        <v>0.03</v>
      </c>
      <c r="CU51" s="21" t="inlineStr">
        <is>
          <t>Δ →</t>
        </is>
      </c>
      <c r="CV51" s="41" t="n">
        <v>-0.05</v>
      </c>
      <c r="CW51" s="13" t="inlineStr">
        <is>
          <t>FY26 +12% (ex-TAC +14% restated); Q1 FY27 mid- to high-single digits.</t>
        </is>
      </c>
    </row>
    <row r="52" ht="15" customHeight="1" s="251">
      <c r="B52" s="156" t="inlineStr">
        <is>
          <t xml:space="preserve">  Memo: Devices and Consumer segment revenue as restated (8-K 2-Sep-2026)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n"/>
      <c r="AI52" s="34" t="n"/>
      <c r="AJ52" s="34" t="n"/>
      <c r="AK52" s="34" t="n"/>
      <c r="AL52" s="34" t="n"/>
      <c r="AM52" s="34" t="n"/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n"/>
      <c r="BA52" s="34" t="n"/>
      <c r="BB52" s="34" t="n"/>
      <c r="BC52" s="34" t="n"/>
      <c r="BD52" s="34" t="n"/>
      <c r="BE52" s="34" t="n"/>
      <c r="BF52" s="34" t="n"/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253" t="n">
        <v>15109</v>
      </c>
      <c r="BS52" s="253" t="n">
        <v>16866</v>
      </c>
      <c r="BT52" s="253" t="n">
        <v>15303</v>
      </c>
      <c r="BU52" s="253" t="n">
        <v>15663</v>
      </c>
      <c r="BV52" s="253" t="n">
        <v>62941</v>
      </c>
      <c r="BW52" s="253" t="n">
        <v>16001</v>
      </c>
      <c r="BX52" s="253" t="n">
        <v>16832</v>
      </c>
      <c r="BY52" s="253" t="n">
        <v>15448</v>
      </c>
      <c r="BZ52" s="253" t="n">
        <v>15431</v>
      </c>
      <c r="CA52" s="253" t="n">
        <v>63712</v>
      </c>
      <c r="CB52" s="153" t="n"/>
      <c r="CC52" s="153" t="n"/>
      <c r="CD52" s="153" t="n"/>
      <c r="CE52" s="153" t="n"/>
      <c r="CF52" s="153" t="n"/>
      <c r="CG52" s="153" t="n"/>
      <c r="CH52" s="153" t="n"/>
      <c r="CI52" s="153" t="n"/>
      <c r="CJ52" s="153" t="n"/>
      <c r="CK52" s="153" t="n"/>
      <c r="CS52" s="25" t="inlineStr">
        <is>
          <t xml:space="preserve">  2028E</t>
        </is>
      </c>
      <c r="CT52" s="33">
        <f>CU52+$CT$51</f>
        <v>0.11</v>
      </c>
      <c r="CU52" s="42" t="n">
        <v>0.08</v>
      </c>
      <c r="CV52" s="33">
        <f>CU52+$CV$51</f>
        <v>0.03</v>
      </c>
    </row>
    <row r="53" ht="15" customHeight="1" s="251">
      <c r="B53" s="57" t="inlineStr">
        <is>
          <t xml:space="preserve">  Check: product &amp; service lines vs segment revenue (should be 0)</t>
        </is>
      </c>
      <c r="C53" s="211">
        <f>IF(AND(ISNUMBER(C49),ISNUMBER(C52)),IF(ABS(C49-C52)&lt;=1,0,ROUND(C49-C52,0)),"")</f>
      </c>
      <c r="D53" s="211">
        <f>IF(AND(ISNUMBER(D49),ISNUMBER(D52)),IF(ABS(D49-D52)&lt;=1,0,ROUND(D49-D52,0)),"")</f>
      </c>
      <c r="E53" s="211">
        <f>IF(AND(ISNUMBER(E49),ISNUMBER(E52)),IF(ABS(E49-E52)&lt;=1,0,ROUND(E49-E52,0)),"")</f>
      </c>
      <c r="F53" s="211">
        <f>IF(AND(ISNUMBER(F49),ISNUMBER(F52)),IF(ABS(F49-F52)&lt;=1,0,ROUND(F49-F52,0)),"")</f>
      </c>
      <c r="G53" s="211">
        <f>IF(AND(ISNUMBER(G49),ISNUMBER(G52)),IF(ABS(G49-G52)&lt;=1,0,ROUND(G49-G52,0)),"")</f>
      </c>
      <c r="H53" s="211">
        <f>IF(AND(ISNUMBER(H49),ISNUMBER(H52)),IF(ABS(H49-H52)&lt;=1,0,ROUND(H49-H52,0)),"")</f>
      </c>
      <c r="I53" s="211">
        <f>IF(AND(ISNUMBER(I49),ISNUMBER(I52)),IF(ABS(I49-I52)&lt;=1,0,ROUND(I49-I52,0)),"")</f>
      </c>
      <c r="J53" s="211">
        <f>IF(AND(ISNUMBER(J49),ISNUMBER(J52)),IF(ABS(J49-J52)&lt;=1,0,ROUND(J49-J52,0)),"")</f>
      </c>
      <c r="K53" s="211">
        <f>IF(AND(ISNUMBER(K49),ISNUMBER(K52)),IF(ABS(K49-K52)&lt;=1,0,ROUND(K49-K52,0)),"")</f>
      </c>
      <c r="L53" s="211">
        <f>IF(AND(ISNUMBER(L49),ISNUMBER(L52)),IF(ABS(L49-L52)&lt;=1,0,ROUND(L49-L52,0)),"")</f>
      </c>
      <c r="M53" s="211">
        <f>IF(AND(ISNUMBER(M49),ISNUMBER(M52)),IF(ABS(M49-M52)&lt;=1,0,ROUND(M49-M52,0)),"")</f>
      </c>
      <c r="N53" s="211">
        <f>IF(AND(ISNUMBER(N49),ISNUMBER(N52)),IF(ABS(N49-N52)&lt;=1,0,ROUND(N49-N52,0)),"")</f>
      </c>
      <c r="O53" s="211">
        <f>IF(AND(ISNUMBER(O49),ISNUMBER(O52)),IF(ABS(O49-O52)&lt;=1,0,ROUND(O49-O52,0)),"")</f>
      </c>
      <c r="P53" s="211">
        <f>IF(AND(ISNUMBER(P49),ISNUMBER(P52)),IF(ABS(P49-P52)&lt;=1,0,ROUND(P49-P52,0)),"")</f>
      </c>
      <c r="Q53" s="211">
        <f>IF(AND(ISNUMBER(Q49),ISNUMBER(Q52)),IF(ABS(Q49-Q52)&lt;=1,0,ROUND(Q49-Q52,0)),"")</f>
      </c>
      <c r="R53" s="211">
        <f>IF(AND(ISNUMBER(R49),ISNUMBER(R52)),IF(ABS(R49-R52)&lt;=1,0,ROUND(R49-R52,0)),"")</f>
      </c>
      <c r="S53" s="211">
        <f>IF(AND(ISNUMBER(S49),ISNUMBER(S52)),IF(ABS(S49-S52)&lt;=1,0,ROUND(S49-S52,0)),"")</f>
      </c>
      <c r="T53" s="211">
        <f>IF(AND(ISNUMBER(T49),ISNUMBER(T52)),IF(ABS(T49-T52)&lt;=1,0,ROUND(T49-T52,0)),"")</f>
      </c>
      <c r="U53" s="211">
        <f>IF(AND(ISNUMBER(U49),ISNUMBER(U52)),IF(ABS(U49-U52)&lt;=1,0,ROUND(U49-U52,0)),"")</f>
      </c>
      <c r="V53" s="211">
        <f>IF(AND(ISNUMBER(V49),ISNUMBER(V52)),IF(ABS(V49-V52)&lt;=1,0,ROUND(V49-V52,0)),"")</f>
      </c>
      <c r="W53" s="211">
        <f>IF(AND(ISNUMBER(W49),ISNUMBER(W52)),IF(ABS(W49-W52)&lt;=1,0,ROUND(W49-W52,0)),"")</f>
      </c>
      <c r="X53" s="211">
        <f>IF(AND(ISNUMBER(X49),ISNUMBER(X52)),IF(ABS(X49-X52)&lt;=1,0,ROUND(X49-X52,0)),"")</f>
      </c>
      <c r="Y53" s="211">
        <f>IF(AND(ISNUMBER(Y49),ISNUMBER(Y52)),IF(ABS(Y49-Y52)&lt;=1,0,ROUND(Y49-Y52,0)),"")</f>
      </c>
      <c r="Z53" s="211">
        <f>IF(AND(ISNUMBER(Z49),ISNUMBER(Z52)),IF(ABS(Z49-Z52)&lt;=1,0,ROUND(Z49-Z52,0)),"")</f>
      </c>
      <c r="AA53" s="211">
        <f>IF(AND(ISNUMBER(AA49),ISNUMBER(AA52)),IF(ABS(AA49-AA52)&lt;=1,0,ROUND(AA49-AA52,0)),"")</f>
      </c>
      <c r="AB53" s="211">
        <f>IF(AND(ISNUMBER(AB49),ISNUMBER(AB52)),IF(ABS(AB49-AB52)&lt;=1,0,ROUND(AB49-AB52,0)),"")</f>
      </c>
      <c r="AC53" s="211">
        <f>IF(AND(ISNUMBER(AC49),ISNUMBER(AC52)),IF(ABS(AC49-AC52)&lt;=1,0,ROUND(AC49-AC52,0)),"")</f>
      </c>
      <c r="AD53" s="211">
        <f>IF(AND(ISNUMBER(AD49),ISNUMBER(AD52)),IF(ABS(AD49-AD52)&lt;=1,0,ROUND(AD49-AD52,0)),"")</f>
      </c>
      <c r="AE53" s="211">
        <f>IF(AND(ISNUMBER(AE49),ISNUMBER(AE52)),IF(ABS(AE49-AE52)&lt;=1,0,ROUND(AE49-AE52,0)),"")</f>
      </c>
      <c r="AF53" s="211">
        <f>IF(AND(ISNUMBER(AF49),ISNUMBER(AF52)),IF(ABS(AF49-AF52)&lt;=1,0,ROUND(AF49-AF52,0)),"")</f>
      </c>
      <c r="AG53" s="211">
        <f>IF(AND(ISNUMBER(AG49),ISNUMBER(AG52)),IF(ABS(AG49-AG52)&lt;=1,0,ROUND(AG49-AG52,0)),"")</f>
      </c>
      <c r="AH53" s="211">
        <f>IF(AND(ISNUMBER(AH49),ISNUMBER(AH52)),IF(ABS(AH49-AH52)&lt;=1,0,ROUND(AH49-AH52,0)),"")</f>
      </c>
      <c r="AI53" s="211">
        <f>IF(AND(ISNUMBER(AI49),ISNUMBER(AI52)),IF(ABS(AI49-AI52)&lt;=1,0,ROUND(AI49-AI52,0)),"")</f>
      </c>
      <c r="AJ53" s="211">
        <f>IF(AND(ISNUMBER(AJ49),ISNUMBER(AJ52)),IF(ABS(AJ49-AJ52)&lt;=1,0,ROUND(AJ49-AJ52,0)),"")</f>
      </c>
      <c r="AK53" s="211">
        <f>IF(AND(ISNUMBER(AK49),ISNUMBER(AK52)),IF(ABS(AK49-AK52)&lt;=1,0,ROUND(AK49-AK52,0)),"")</f>
      </c>
      <c r="AL53" s="211">
        <f>IF(AND(ISNUMBER(AL49),ISNUMBER(AL52)),IF(ABS(AL49-AL52)&lt;=1,0,ROUND(AL49-AL52,0)),"")</f>
      </c>
      <c r="AM53" s="211">
        <f>IF(AND(ISNUMBER(AM49),ISNUMBER(AM52)),IF(ABS(AM49-AM52)&lt;=1,0,ROUND(AM49-AM52,0)),"")</f>
      </c>
      <c r="AN53" s="211">
        <f>IF(AND(ISNUMBER(AN49),ISNUMBER(AN52)),IF(ABS(AN49-AN52)&lt;=1,0,ROUND(AN49-AN52,0)),"")</f>
      </c>
      <c r="AO53" s="211">
        <f>IF(AND(ISNUMBER(AO49),ISNUMBER(AO52)),IF(ABS(AO49-AO52)&lt;=1,0,ROUND(AO49-AO52,0)),"")</f>
      </c>
      <c r="AP53" s="211">
        <f>IF(AND(ISNUMBER(AP49),ISNUMBER(AP52)),IF(ABS(AP49-AP52)&lt;=1,0,ROUND(AP49-AP52,0)),"")</f>
      </c>
      <c r="AQ53" s="211">
        <f>IF(AND(ISNUMBER(AQ49),ISNUMBER(AQ52)),IF(ABS(AQ49-AQ52)&lt;=1,0,ROUND(AQ49-AQ52,0)),"")</f>
      </c>
      <c r="AR53" s="211">
        <f>IF(AND(ISNUMBER(AR49),ISNUMBER(AR52)),IF(ABS(AR49-AR52)&lt;=1,0,ROUND(AR49-AR52,0)),"")</f>
      </c>
      <c r="AS53" s="211">
        <f>IF(AND(ISNUMBER(AS49),ISNUMBER(AS52)),IF(ABS(AS49-AS52)&lt;=1,0,ROUND(AS49-AS52,0)),"")</f>
      </c>
      <c r="AT53" s="211">
        <f>IF(AND(ISNUMBER(AT49),ISNUMBER(AT52)),IF(ABS(AT49-AT52)&lt;=1,0,ROUND(AT49-AT52,0)),"")</f>
      </c>
      <c r="AU53" s="211">
        <f>IF(AND(ISNUMBER(AU49),ISNUMBER(AU52)),IF(ABS(AU49-AU52)&lt;=1,0,ROUND(AU49-AU52,0)),"")</f>
      </c>
      <c r="AV53" s="211">
        <f>IF(AND(ISNUMBER(AV49),ISNUMBER(AV52)),IF(ABS(AV49-AV52)&lt;=1,0,ROUND(AV49-AV52,0)),"")</f>
      </c>
      <c r="AW53" s="211">
        <f>IF(AND(ISNUMBER(AW49),ISNUMBER(AW52)),IF(ABS(AW49-AW52)&lt;=1,0,ROUND(AW49-AW52,0)),"")</f>
      </c>
      <c r="AX53" s="211">
        <f>IF(AND(ISNUMBER(AX49),ISNUMBER(AX52)),IF(ABS(AX49-AX52)&lt;=1,0,ROUND(AX49-AX52,0)),"")</f>
      </c>
      <c r="AY53" s="211">
        <f>IF(AND(ISNUMBER(AY49),ISNUMBER(AY52)),IF(ABS(AY49-AY52)&lt;=1,0,ROUND(AY49-AY52,0)),"")</f>
      </c>
      <c r="AZ53" s="211">
        <f>IF(AND(ISNUMBER(AZ49),ISNUMBER(AZ52)),IF(ABS(AZ49-AZ52)&lt;=1,0,ROUND(AZ49-AZ52,0)),"")</f>
      </c>
      <c r="BA53" s="211">
        <f>IF(AND(ISNUMBER(BA49),ISNUMBER(BA52)),IF(ABS(BA49-BA52)&lt;=1,0,ROUND(BA49-BA52,0)),"")</f>
      </c>
      <c r="BB53" s="211">
        <f>IF(AND(ISNUMBER(BB49),ISNUMBER(BB52)),IF(ABS(BB49-BB52)&lt;=1,0,ROUND(BB49-BB52,0)),"")</f>
      </c>
      <c r="BC53" s="211">
        <f>IF(AND(ISNUMBER(BC49),ISNUMBER(BC52)),IF(ABS(BC49-BC52)&lt;=1,0,ROUND(BC49-BC52,0)),"")</f>
      </c>
      <c r="BD53" s="211">
        <f>IF(AND(ISNUMBER(BD49),ISNUMBER(BD52)),IF(ABS(BD49-BD52)&lt;=1,0,ROUND(BD49-BD52,0)),"")</f>
      </c>
      <c r="BE53" s="211">
        <f>IF(AND(ISNUMBER(BE49),ISNUMBER(BE52)),IF(ABS(BE49-BE52)&lt;=1,0,ROUND(BE49-BE52,0)),"")</f>
      </c>
      <c r="BF53" s="211">
        <f>IF(AND(ISNUMBER(BF49),ISNUMBER(BF52)),IF(ABS(BF49-BF52)&lt;=1,0,ROUND(BF49-BF52,0)),"")</f>
      </c>
      <c r="BG53" s="211">
        <f>IF(AND(ISNUMBER(BG49),ISNUMBER(BG52)),IF(ABS(BG49-BG52)&lt;=1,0,ROUND(BG49-BG52,0)),"")</f>
      </c>
      <c r="BH53" s="211">
        <f>IF(AND(ISNUMBER(BH49),ISNUMBER(BH52)),IF(ABS(BH49-BH52)&lt;=1,0,ROUND(BH49-BH52,0)),"")</f>
      </c>
      <c r="BI53" s="211">
        <f>IF(AND(ISNUMBER(BI49),ISNUMBER(BI52)),IF(ABS(BI49-BI52)&lt;=1,0,ROUND(BI49-BI52,0)),"")</f>
      </c>
      <c r="BJ53" s="211">
        <f>IF(AND(ISNUMBER(BJ49),ISNUMBER(BJ52)),IF(ABS(BJ49-BJ52)&lt;=1,0,ROUND(BJ49-BJ52,0)),"")</f>
      </c>
      <c r="BK53" s="211">
        <f>IF(AND(ISNUMBER(BK49),ISNUMBER(BK52)),IF(ABS(BK49-BK52)&lt;=1,0,ROUND(BK49-BK52,0)),"")</f>
      </c>
      <c r="BL53" s="211">
        <f>IF(AND(ISNUMBER(BL49),ISNUMBER(BL52)),IF(ABS(BL49-BL52)&lt;=1,0,ROUND(BL49-BL52,0)),"")</f>
      </c>
      <c r="BM53" s="211">
        <f>IF(AND(ISNUMBER(BM49),ISNUMBER(BM52)),IF(ABS(BM49-BM52)&lt;=1,0,ROUND(BM49-BM52,0)),"")</f>
      </c>
      <c r="BN53" s="211">
        <f>IF(AND(ISNUMBER(BN49),ISNUMBER(BN52)),IF(ABS(BN49-BN52)&lt;=1,0,ROUND(BN49-BN52,0)),"")</f>
      </c>
      <c r="BO53" s="211">
        <f>IF(AND(ISNUMBER(BO49),ISNUMBER(BO52)),IF(ABS(BO49-BO52)&lt;=1,0,ROUND(BO49-BO52,0)),"")</f>
      </c>
      <c r="BP53" s="211">
        <f>IF(AND(ISNUMBER(BP49),ISNUMBER(BP52)),IF(ABS(BP49-BP52)&lt;=1,0,ROUND(BP49-BP52,0)),"")</f>
      </c>
      <c r="BQ53" s="211">
        <f>IF(AND(ISNUMBER(BQ49),ISNUMBER(BQ52)),IF(ABS(BQ49-BQ52)&lt;=1,0,ROUND(BQ49-BQ52,0)),"")</f>
      </c>
      <c r="BR53" s="211">
        <f>IF(AND(ISNUMBER(BR49),ISNUMBER(BR52)),IF(ABS(BR49-BR52)&lt;=1,0,ROUND(BR49-BR52,0)),"")</f>
        <v>0</v>
      </c>
      <c r="BS53" s="211">
        <f>IF(AND(ISNUMBER(BS49),ISNUMBER(BS52)),IF(ABS(BS49-BS52)&lt;=1,0,ROUND(BS49-BS52,0)),"")</f>
        <v>0</v>
      </c>
      <c r="BT53" s="211">
        <f>IF(AND(ISNUMBER(BT49),ISNUMBER(BT52)),IF(ABS(BT49-BT52)&lt;=1,0,ROUND(BT49-BT52,0)),"")</f>
        <v>0</v>
      </c>
      <c r="BU53" s="211">
        <f>IF(AND(ISNUMBER(BU49),ISNUMBER(BU52)),IF(ABS(BU49-BU52)&lt;=1,0,ROUND(BU49-BU52,0)),"")</f>
        <v>0</v>
      </c>
      <c r="BV53" s="211">
        <f>IF(AND(ISNUMBER(BV49),ISNUMBER(BV52)),IF(ABS(BV49-BV52)&lt;=1,0,ROUND(BV49-BV52,0)),"")</f>
        <v>0</v>
      </c>
      <c r="BW53" s="211">
        <f>IF(AND(ISNUMBER(BW49),ISNUMBER(BW52)),IF(ABS(BW49-BW52)&lt;=1,0,ROUND(BW49-BW52,0)),"")</f>
        <v>0</v>
      </c>
      <c r="BX53" s="211">
        <f>IF(AND(ISNUMBER(BX49),ISNUMBER(BX52)),IF(ABS(BX49-BX52)&lt;=1,0,ROUND(BX49-BX52,0)),"")</f>
        <v>0</v>
      </c>
      <c r="BY53" s="211">
        <f>IF(AND(ISNUMBER(BY49),ISNUMBER(BY52)),IF(ABS(BY49-BY52)&lt;=1,0,ROUND(BY49-BY52,0)),"")</f>
        <v>0</v>
      </c>
      <c r="BZ53" s="211">
        <f>IF(AND(ISNUMBER(BZ49),ISNUMBER(BZ52)),IF(ABS(BZ49-BZ52)&lt;=1,0,ROUND(BZ49-BZ52,0)),"")</f>
        <v>0</v>
      </c>
      <c r="CA53" s="211">
        <f>IF(AND(ISNUMBER(CA49),ISNUMBER(CA52)),IF(ABS(CA49-CA52)&lt;=1,0,ROUND(CA49-CA52,0)),"")</f>
        <v>0</v>
      </c>
      <c r="CB53" s="153" t="n"/>
      <c r="CC53" s="153" t="n"/>
      <c r="CD53" s="153" t="n"/>
      <c r="CE53" s="153" t="n"/>
      <c r="CF53" s="153" t="n"/>
      <c r="CG53" s="153" t="n"/>
      <c r="CH53" s="153" t="n"/>
      <c r="CI53" s="153" t="n"/>
      <c r="CJ53" s="153" t="n"/>
      <c r="CK53" s="153" t="n"/>
      <c r="CS53" s="25" t="inlineStr">
        <is>
          <t xml:space="preserve">  2029E</t>
        </is>
      </c>
      <c r="CT53" s="33">
        <f>CU53+$CT$51</f>
        <v>0.11</v>
      </c>
      <c r="CU53" s="42" t="n">
        <v>0.08</v>
      </c>
      <c r="CV53" s="33">
        <f>CU53+$CV$51</f>
        <v>0.03</v>
      </c>
    </row>
    <row r="54" collapsed="1" ht="15" customHeight="1" s="251">
      <c r="B54" s="25" t="inlineStr">
        <is>
          <t xml:space="preserve">  Devices and Consumer — segment operating income</t>
        </is>
      </c>
      <c r="C54" s="34" t="n"/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  <c r="AA54" s="34" t="n"/>
      <c r="AB54" s="34" t="n"/>
      <c r="AC54" s="34" t="n"/>
      <c r="AD54" s="34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34" t="n"/>
      <c r="AO54" s="34" t="n"/>
      <c r="AP54" s="34" t="n"/>
      <c r="AQ54" s="34" t="n"/>
      <c r="AR54" s="34" t="n"/>
      <c r="AS54" s="34" t="n"/>
      <c r="AT54" s="34" t="n"/>
      <c r="AU54" s="34" t="n"/>
      <c r="AV54" s="34" t="n"/>
      <c r="AW54" s="34" t="n"/>
      <c r="AX54" s="34" t="n"/>
      <c r="AY54" s="34" t="n"/>
      <c r="AZ54" s="34" t="n"/>
      <c r="BA54" s="34" t="n"/>
      <c r="BB54" s="34" t="n"/>
      <c r="BC54" s="34" t="n"/>
      <c r="BD54" s="34" t="n"/>
      <c r="BE54" s="34" t="n"/>
      <c r="BF54" s="34" t="n"/>
      <c r="BG54" s="34" t="n"/>
      <c r="BH54" s="34" t="n"/>
      <c r="BI54" s="34" t="n"/>
      <c r="BJ54" s="34" t="n"/>
      <c r="BK54" s="34" t="n"/>
      <c r="BL54" s="34" t="n"/>
      <c r="BM54" s="34" t="n"/>
      <c r="BN54" s="34" t="n"/>
      <c r="BO54" s="34" t="n"/>
      <c r="BP54" s="34" t="n"/>
      <c r="BQ54" s="34" t="n"/>
      <c r="BR54" s="253" t="n">
        <v>4381</v>
      </c>
      <c r="BS54" s="253" t="n">
        <v>4935</v>
      </c>
      <c r="BT54" s="253" t="n">
        <v>4296</v>
      </c>
      <c r="BU54" s="253" t="n">
        <v>4102</v>
      </c>
      <c r="BV54" s="253" t="n">
        <v>17714</v>
      </c>
      <c r="BW54" s="253" t="n">
        <v>5243</v>
      </c>
      <c r="BX54" s="253" t="n">
        <v>5108</v>
      </c>
      <c r="BY54" s="253" t="n">
        <v>4650</v>
      </c>
      <c r="BZ54" s="253" t="n">
        <v>3871</v>
      </c>
      <c r="CA54" s="253" t="n">
        <v>18872</v>
      </c>
      <c r="CB54" s="254">
        <f>CB49*CB55</f>
        <v>4878.9812176774</v>
      </c>
      <c r="CC54" s="254">
        <f>CC49*CC55</f>
        <v>4758.36378283678</v>
      </c>
      <c r="CD54" s="254">
        <f>CD49*CD55</f>
        <v>4343.34618170916</v>
      </c>
      <c r="CE54" s="254">
        <f>CE49*CE55</f>
        <v>3631.97290451387</v>
      </c>
      <c r="CF54" s="254">
        <f>SUM(CB54:CE54)</f>
        <v>17612.6640867372</v>
      </c>
      <c r="CG54" s="254">
        <f>CG49*CG55</f>
        <v>18042.8800735904</v>
      </c>
      <c r="CH54" s="254">
        <f>CH49*CH55</f>
        <v>18908.7830154416</v>
      </c>
      <c r="CI54" s="254">
        <f>CI49*CI55</f>
        <v>20084.2551400066</v>
      </c>
      <c r="CJ54" s="254">
        <f>CJ49*CJ55</f>
        <v>21339.2711519289</v>
      </c>
      <c r="CK54" s="19" t="n"/>
      <c r="CM54" s="20">
        <f>IFERROR((CJ54/CA54)^(1/5)-1,"n/m")</f>
        <v>0.0248783778775017</v>
      </c>
      <c r="CN54" s="20" t="str">
        <f>IFERROR((CA54/BB54)^(1/5)-1,"n/m")</f>
        <v>n/m</v>
      </c>
      <c r="CO54" s="20" t="str">
        <f>IFERROR((CA54/AC54)^(1/10)-1,"n/m")</f>
        <v>n/m</v>
      </c>
      <c r="CP54" s="20" t="str">
        <f>IFERROR((CA54/C54)^(1/20)-1,"n/m")</f>
        <v>n/m</v>
      </c>
      <c r="CS54" s="25" t="inlineStr">
        <is>
          <t xml:space="preserve">  2030E</t>
        </is>
      </c>
      <c r="CT54" s="33">
        <f>CU54+$CT$51</f>
        <v>0.1</v>
      </c>
      <c r="CU54" s="42" t="n">
        <v>0.07000000000000001</v>
      </c>
      <c r="CV54" s="33">
        <f>CU54+$CV$51</f>
        <v>0.02</v>
      </c>
    </row>
    <row r="55" ht="15" customHeight="1" s="251">
      <c r="B55" s="25" t="inlineStr">
        <is>
          <t xml:space="preserve">  Segment operating margin %</t>
        </is>
      </c>
      <c r="C55" s="215">
        <f>IF(AND(ISNUMBER(C54),ISNUMBER(C49)),IFERROR(C54/C49,""),"")</f>
      </c>
      <c r="D55" s="215">
        <f>IF(AND(ISNUMBER(D54),ISNUMBER(D49)),IFERROR(D54/D49,""),"")</f>
      </c>
      <c r="E55" s="215">
        <f>IF(AND(ISNUMBER(E54),ISNUMBER(E49)),IFERROR(E54/E49,""),"")</f>
      </c>
      <c r="F55" s="215">
        <f>IF(AND(ISNUMBER(F54),ISNUMBER(F49)),IFERROR(F54/F49,""),"")</f>
      </c>
      <c r="G55" s="215">
        <f>IF(AND(ISNUMBER(G54),ISNUMBER(G49)),IFERROR(G54/G49,""),"")</f>
      </c>
      <c r="H55" s="215">
        <f>IF(AND(ISNUMBER(H54),ISNUMBER(H49)),IFERROR(H54/H49,""),"")</f>
      </c>
      <c r="I55" s="215">
        <f>IF(AND(ISNUMBER(I54),ISNUMBER(I49)),IFERROR(I54/I49,""),"")</f>
      </c>
      <c r="J55" s="215">
        <f>IF(AND(ISNUMBER(J54),ISNUMBER(J49)),IFERROR(J54/J49,""),"")</f>
      </c>
      <c r="K55" s="215">
        <f>IF(AND(ISNUMBER(K54),ISNUMBER(K49)),IFERROR(K54/K49,""),"")</f>
      </c>
      <c r="L55" s="215">
        <f>IF(AND(ISNUMBER(L54),ISNUMBER(L49)),IFERROR(L54/L49,""),"")</f>
      </c>
      <c r="M55" s="215">
        <f>IF(AND(ISNUMBER(M54),ISNUMBER(M49)),IFERROR(M54/M49,""),"")</f>
      </c>
      <c r="N55" s="215">
        <f>IF(AND(ISNUMBER(N54),ISNUMBER(N49)),IFERROR(N54/N49,""),"")</f>
      </c>
      <c r="O55" s="215">
        <f>IF(AND(ISNUMBER(O54),ISNUMBER(O49)),IFERROR(O54/O49,""),"")</f>
      </c>
      <c r="P55" s="215">
        <f>IF(AND(ISNUMBER(P54),ISNUMBER(P49)),IFERROR(P54/P49,""),"")</f>
      </c>
      <c r="Q55" s="215">
        <f>IF(AND(ISNUMBER(Q54),ISNUMBER(Q49)),IFERROR(Q54/Q49,""),"")</f>
      </c>
      <c r="R55" s="215">
        <f>IF(AND(ISNUMBER(R54),ISNUMBER(R49)),IFERROR(R54/R49,""),"")</f>
      </c>
      <c r="S55" s="215">
        <f>IF(AND(ISNUMBER(S54),ISNUMBER(S49)),IFERROR(S54/S49,""),"")</f>
      </c>
      <c r="T55" s="215">
        <f>IF(AND(ISNUMBER(T54),ISNUMBER(T49)),IFERROR(T54/T49,""),"")</f>
      </c>
      <c r="U55" s="215">
        <f>IF(AND(ISNUMBER(U54),ISNUMBER(U49)),IFERROR(U54/U49,""),"")</f>
      </c>
      <c r="V55" s="215">
        <f>IF(AND(ISNUMBER(V54),ISNUMBER(V49)),IFERROR(V54/V49,""),"")</f>
      </c>
      <c r="W55" s="215">
        <f>IF(AND(ISNUMBER(W54),ISNUMBER(W49)),IFERROR(W54/W49,""),"")</f>
      </c>
      <c r="X55" s="215">
        <f>IF(AND(ISNUMBER(X54),ISNUMBER(X49)),IFERROR(X54/X49,""),"")</f>
      </c>
      <c r="Y55" s="215">
        <f>IF(AND(ISNUMBER(Y54),ISNUMBER(Y49)),IFERROR(Y54/Y49,""),"")</f>
      </c>
      <c r="Z55" s="215">
        <f>IF(AND(ISNUMBER(Z54),ISNUMBER(Z49)),IFERROR(Z54/Z49,""),"")</f>
      </c>
      <c r="AA55" s="215">
        <f>IF(AND(ISNUMBER(AA54),ISNUMBER(AA49)),IFERROR(AA54/AA49,""),"")</f>
      </c>
      <c r="AB55" s="215">
        <f>IF(AND(ISNUMBER(AB54),ISNUMBER(AB49)),IFERROR(AB54/AB49,""),"")</f>
      </c>
      <c r="AC55" s="215">
        <f>IF(AND(ISNUMBER(AC54),ISNUMBER(AC49)),IFERROR(AC54/AC49,""),"")</f>
      </c>
      <c r="AD55" s="215">
        <f>IF(AND(ISNUMBER(AD54),ISNUMBER(AD49)),IFERROR(AD54/AD49,""),"")</f>
      </c>
      <c r="AE55" s="215">
        <f>IF(AND(ISNUMBER(AE54),ISNUMBER(AE49)),IFERROR(AE54/AE49,""),"")</f>
      </c>
      <c r="AF55" s="215">
        <f>IF(AND(ISNUMBER(AF54),ISNUMBER(AF49)),IFERROR(AF54/AF49,""),"")</f>
      </c>
      <c r="AG55" s="215">
        <f>IF(AND(ISNUMBER(AG54),ISNUMBER(AG49)),IFERROR(AG54/AG49,""),"")</f>
      </c>
      <c r="AH55" s="215">
        <f>IF(AND(ISNUMBER(AH54),ISNUMBER(AH49)),IFERROR(AH54/AH49,""),"")</f>
      </c>
      <c r="AI55" s="215">
        <f>IF(AND(ISNUMBER(AI54),ISNUMBER(AI49)),IFERROR(AI54/AI49,""),"")</f>
      </c>
      <c r="AJ55" s="215">
        <f>IF(AND(ISNUMBER(AJ54),ISNUMBER(AJ49)),IFERROR(AJ54/AJ49,""),"")</f>
      </c>
      <c r="AK55" s="215">
        <f>IF(AND(ISNUMBER(AK54),ISNUMBER(AK49)),IFERROR(AK54/AK49,""),"")</f>
      </c>
      <c r="AL55" s="215">
        <f>IF(AND(ISNUMBER(AL54),ISNUMBER(AL49)),IFERROR(AL54/AL49,""),"")</f>
      </c>
      <c r="AM55" s="215">
        <f>IF(AND(ISNUMBER(AM54),ISNUMBER(AM49)),IFERROR(AM54/AM49,""),"")</f>
      </c>
      <c r="AN55" s="215">
        <f>IF(AND(ISNUMBER(AN54),ISNUMBER(AN49)),IFERROR(AN54/AN49,""),"")</f>
      </c>
      <c r="AO55" s="215">
        <f>IF(AND(ISNUMBER(AO54),ISNUMBER(AO49)),IFERROR(AO54/AO49,""),"")</f>
      </c>
      <c r="AP55" s="215">
        <f>IF(AND(ISNUMBER(AP54),ISNUMBER(AP49)),IFERROR(AP54/AP49,""),"")</f>
      </c>
      <c r="AQ55" s="215">
        <f>IF(AND(ISNUMBER(AQ54),ISNUMBER(AQ49)),IFERROR(AQ54/AQ49,""),"")</f>
      </c>
      <c r="AR55" s="215">
        <f>IF(AND(ISNUMBER(AR54),ISNUMBER(AR49)),IFERROR(AR54/AR49,""),"")</f>
      </c>
      <c r="AS55" s="215">
        <f>IF(AND(ISNUMBER(AS54),ISNUMBER(AS49)),IFERROR(AS54/AS49,""),"")</f>
      </c>
      <c r="AT55" s="215">
        <f>IF(AND(ISNUMBER(AT54),ISNUMBER(AT49)),IFERROR(AT54/AT49,""),"")</f>
      </c>
      <c r="AU55" s="215">
        <f>IF(AND(ISNUMBER(AU54),ISNUMBER(AU49)),IFERROR(AU54/AU49,""),"")</f>
      </c>
      <c r="AV55" s="215">
        <f>IF(AND(ISNUMBER(AV54),ISNUMBER(AV49)),IFERROR(AV54/AV49,""),"")</f>
      </c>
      <c r="AW55" s="215">
        <f>IF(AND(ISNUMBER(AW54),ISNUMBER(AW49)),IFERROR(AW54/AW49,""),"")</f>
      </c>
      <c r="AX55" s="215">
        <f>IF(AND(ISNUMBER(AX54),ISNUMBER(AX49)),IFERROR(AX54/AX49,""),"")</f>
      </c>
      <c r="AY55" s="215">
        <f>IF(AND(ISNUMBER(AY54),ISNUMBER(AY49)),IFERROR(AY54/AY49,""),"")</f>
      </c>
      <c r="AZ55" s="215">
        <f>IF(AND(ISNUMBER(AZ54),ISNUMBER(AZ49)),IFERROR(AZ54/AZ49,""),"")</f>
      </c>
      <c r="BA55" s="215">
        <f>IF(AND(ISNUMBER(BA54),ISNUMBER(BA49)),IFERROR(BA54/BA49,""),"")</f>
      </c>
      <c r="BB55" s="215">
        <f>IF(AND(ISNUMBER(BB54),ISNUMBER(BB49)),IFERROR(BB54/BB49,""),"")</f>
      </c>
      <c r="BC55" s="215">
        <f>IF(AND(ISNUMBER(BC54),ISNUMBER(BC49)),IFERROR(BC54/BC49,""),"")</f>
      </c>
      <c r="BD55" s="215">
        <f>IF(AND(ISNUMBER(BD54),ISNUMBER(BD49)),IFERROR(BD54/BD49,""),"")</f>
      </c>
      <c r="BE55" s="215">
        <f>IF(AND(ISNUMBER(BE54),ISNUMBER(BE49)),IFERROR(BE54/BE49,""),"")</f>
      </c>
      <c r="BF55" s="215">
        <f>IF(AND(ISNUMBER(BF54),ISNUMBER(BF49)),IFERROR(BF54/BF49,""),"")</f>
      </c>
      <c r="BG55" s="215">
        <f>IF(AND(ISNUMBER(BG54),ISNUMBER(BG49)),IFERROR(BG54/BG49,""),"")</f>
      </c>
      <c r="BH55" s="215">
        <f>IF(AND(ISNUMBER(BH54),ISNUMBER(BH49)),IFERROR(BH54/BH49,""),"")</f>
      </c>
      <c r="BI55" s="215">
        <f>IF(AND(ISNUMBER(BI54),ISNUMBER(BI49)),IFERROR(BI54/BI49,""),"")</f>
      </c>
      <c r="BJ55" s="215">
        <f>IF(AND(ISNUMBER(BJ54),ISNUMBER(BJ49)),IFERROR(BJ54/BJ49,""),"")</f>
      </c>
      <c r="BK55" s="215">
        <f>IF(AND(ISNUMBER(BK54),ISNUMBER(BK49)),IFERROR(BK54/BK49,""),"")</f>
      </c>
      <c r="BL55" s="215">
        <f>IF(AND(ISNUMBER(BL54),ISNUMBER(BL49)),IFERROR(BL54/BL49,""),"")</f>
      </c>
      <c r="BM55" s="215">
        <f>IF(AND(ISNUMBER(BM54),ISNUMBER(BM49)),IFERROR(BM54/BM49,""),"")</f>
      </c>
      <c r="BN55" s="215">
        <f>IF(AND(ISNUMBER(BN54),ISNUMBER(BN49)),IFERROR(BN54/BN49,""),"")</f>
      </c>
      <c r="BO55" s="215">
        <f>IF(AND(ISNUMBER(BO54),ISNUMBER(BO49)),IFERROR(BO54/BO49,""),"")</f>
      </c>
      <c r="BP55" s="215">
        <f>IF(AND(ISNUMBER(BP54),ISNUMBER(BP49)),IFERROR(BP54/BP49,""),"")</f>
      </c>
      <c r="BQ55" s="215">
        <f>IF(AND(ISNUMBER(BQ54),ISNUMBER(BQ49)),IFERROR(BQ54/BQ49,""),"")</f>
      </c>
      <c r="BR55" s="215">
        <f>IF(AND(ISNUMBER(BR54),ISNUMBER(BR49)),IFERROR(BR54/BR49,""),"")</f>
        <v>0.289959626712555</v>
      </c>
      <c r="BS55" s="215">
        <f>IF(AND(ISNUMBER(BS54),ISNUMBER(BS49)),IFERROR(BS54/BS49,""),"")</f>
        <v>0.292600498043401</v>
      </c>
      <c r="BT55" s="215">
        <f>IF(AND(ISNUMBER(BT54),ISNUMBER(BT49)),IFERROR(BT54/BT49,""),"")</f>
        <v>0.280729268770829</v>
      </c>
      <c r="BU55" s="215">
        <f>IF(AND(ISNUMBER(BU54),ISNUMBER(BU49)),IFERROR(BU54/BU49,""),"")</f>
        <v>0.261891080891272</v>
      </c>
      <c r="BV55" s="215">
        <f>IF(AND(ISNUMBER(BV54),ISNUMBER(BV49)),IFERROR(BV54/BV49,""),"")</f>
        <v>0.281438172256558</v>
      </c>
      <c r="BW55" s="215">
        <f>IF(AND(ISNUMBER(BW54),ISNUMBER(BW49)),IFERROR(BW54/BW49,""),"")</f>
        <v>0.327667020811199</v>
      </c>
      <c r="BX55" s="215">
        <f>IF(AND(ISNUMBER(BX54),ISNUMBER(BX49)),IFERROR(BX54/BX49,""),"")</f>
        <v>0.303469581749049</v>
      </c>
      <c r="BY55" s="215">
        <f>IF(AND(ISNUMBER(BY54),ISNUMBER(BY49)),IFERROR(BY54/BY49,""),"")</f>
        <v>0.301009839461419</v>
      </c>
      <c r="BZ55" s="215">
        <f>IF(AND(ISNUMBER(BZ54),ISNUMBER(BZ49)),IFERROR(BZ54/BZ49,""),"")</f>
        <v>0.250858661136673</v>
      </c>
      <c r="CA55" s="215">
        <f>IF(AND(ISNUMBER(CA54),ISNUMBER(CA49)),IFERROR(CA54/CA49,""),"")</f>
        <v>0.296207935710698</v>
      </c>
      <c r="CB55" s="256">
        <f>CB56+$CB$148</f>
        <v>0.326353258707519</v>
      </c>
      <c r="CC55" s="256">
        <f>CC56+$CB$148</f>
        <v>0.302155819645369</v>
      </c>
      <c r="CD55" s="256">
        <f>CD56+$CB$148</f>
        <v>0.299696077357738</v>
      </c>
      <c r="CE55" s="256">
        <f>CE56+$CB$148</f>
        <v>0.249544899032992</v>
      </c>
      <c r="CF55" s="256">
        <f>IF(AND(ISNUMBER(CF54),ISNUMBER(CF49)),IFERROR(CF54/CF49,""),"")</f>
        <v>0.294797609653633</v>
      </c>
      <c r="CG55" s="256">
        <f>CHOOSE(MATCH($CK$2,{"Bull","Base","Bear"},0),$CT$72,$CU$72,$CV$72)</f>
        <v>0.29</v>
      </c>
      <c r="CH55" s="256">
        <f>CHOOSE(MATCH($CK$2,{"Bull","Base","Bear"},0),$CT$73,$CU$73,$CV$73)</f>
        <v>0.29</v>
      </c>
      <c r="CI55" s="256">
        <f>CHOOSE(MATCH($CK$2,{"Bull","Base","Bear"},0),$CT$74,$CU$74,$CV$74)</f>
        <v>0.295</v>
      </c>
      <c r="CJ55" s="256">
        <f>CHOOSE(MATCH($CK$2,{"Bull","Base","Bear"},0),$CT$75,$CU$75,$CV$75)</f>
        <v>0.3</v>
      </c>
      <c r="CK55" s="153" t="n"/>
      <c r="CM55" s="37">
        <f>IFERROR(AVERAGE(CF55,CG55,CH55,CI55,CJ55),"n/m")</f>
        <v>0.293959521930727</v>
      </c>
      <c r="CN55" s="37">
        <f>IFERROR(AVERAGE(BG55,BL55,BQ55,BV55,CA55),"n/m")</f>
        <v>0.288823053983628</v>
      </c>
      <c r="CO55" s="37">
        <f>IFERROR(AVERAGE(AH55,AM55,AR55,AW55,BB55,BG55,BL55,BQ55,BV55,CA55),"n/m")</f>
        <v>0.288823053983628</v>
      </c>
      <c r="CP55" s="37">
        <f>IFERROR(AVERAGE(C55,D55,E55,F55,G55,H55,I55,N55,S55,X55,AC55,AH55,AM55,AR55,AW55,BB55,BG55,BL55,BQ55,BV55,CA55),"n/m")</f>
        <v>0.288823053983628</v>
      </c>
      <c r="CS55" s="25" t="inlineStr">
        <is>
          <t xml:space="preserve">  2031E</t>
        </is>
      </c>
      <c r="CT55" s="33">
        <f>CU55+$CT$51</f>
        <v>0.1</v>
      </c>
      <c r="CU55" s="42" t="n">
        <v>0.07000000000000001</v>
      </c>
      <c r="CV55" s="33">
        <f>CU55+$CV$51</f>
        <v>0.02</v>
      </c>
    </row>
    <row r="56" ht="15" customHeight="1" s="251">
      <c r="B56" s="25" t="inlineStr">
        <is>
          <t xml:space="preserve">  Margin before calibration (prior-year quarter + FY26 vs FY25 margin drift)</t>
        </is>
      </c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  <c r="AU56" s="36" t="n"/>
      <c r="AV56" s="36" t="n"/>
      <c r="AW56" s="36" t="n"/>
      <c r="AX56" s="36" t="n"/>
      <c r="AY56" s="36" t="n"/>
      <c r="AZ56" s="36" t="n"/>
      <c r="BA56" s="36" t="n"/>
      <c r="BB56" s="36" t="n"/>
      <c r="BC56" s="36" t="n"/>
      <c r="BD56" s="36" t="n"/>
      <c r="BE56" s="36" t="n"/>
      <c r="BF56" s="36" t="n"/>
      <c r="BG56" s="36" t="n"/>
      <c r="BH56" s="36" t="n"/>
      <c r="BI56" s="36" t="n"/>
      <c r="BJ56" s="36" t="n"/>
      <c r="BK56" s="36" t="n"/>
      <c r="BL56" s="36" t="n"/>
      <c r="BM56" s="36" t="n"/>
      <c r="BN56" s="36" t="n"/>
      <c r="BO56" s="36" t="n"/>
      <c r="BP56" s="36" t="n"/>
      <c r="BQ56" s="36" t="n"/>
      <c r="BR56" s="36" t="n"/>
      <c r="BS56" s="36" t="n"/>
      <c r="BT56" s="36" t="n"/>
      <c r="BU56" s="36" t="n"/>
      <c r="BV56" s="36" t="n"/>
      <c r="BW56" s="36" t="n"/>
      <c r="BX56" s="36" t="n"/>
      <c r="BY56" s="36" t="n"/>
      <c r="BZ56" s="36" t="n"/>
      <c r="CA56" s="36" t="n"/>
      <c r="CB56" s="256">
        <f>BW55+IFERROR(CA54/CA49-BV54/BV49,0)</f>
        <v>0.34243678426534</v>
      </c>
      <c r="CC56" s="256">
        <f>BX55+IFERROR(CA54/CA49-BV54/BV49,0)</f>
        <v>0.31823934520319</v>
      </c>
      <c r="CD56" s="256">
        <f>BY55+IFERROR(CA54/CA49-BV54/BV49,0)</f>
        <v>0.315779602915559</v>
      </c>
      <c r="CE56" s="256">
        <f>BZ55+IFERROR(CA54/CA49-BV54/BV49,0)</f>
        <v>0.265628424590813</v>
      </c>
      <c r="CF56" s="24" t="n"/>
      <c r="CG56" s="46" t="n"/>
      <c r="CH56" s="46" t="n"/>
      <c r="CI56" s="46" t="n"/>
      <c r="CJ56" s="46" t="n"/>
      <c r="CK56" s="19" t="n"/>
      <c r="CS56" s="15" t="inlineStr">
        <is>
          <t>DC_XBOX (XBOX y/y)</t>
        </is>
      </c>
      <c r="CT56" s="41" t="n">
        <v>0.04</v>
      </c>
      <c r="CU56" s="21" t="inlineStr">
        <is>
          <t>Δ →</t>
        </is>
      </c>
      <c r="CV56" s="41" t="n">
        <v>-0.06</v>
      </c>
      <c r="CW56" s="13" t="inlineStr">
        <is>
          <t>FY26 −7%; Q1 FY27 content &amp; services down mid-single digits, hardware down.</t>
        </is>
      </c>
    </row>
    <row r="57" ht="15" customHeight="1" s="251">
      <c r="B57" s="25" t="inlineStr">
        <is>
          <t xml:space="preserve">  Memo: segment gross margin % (revenue − cost of revenue, restated)</t>
        </is>
      </c>
      <c r="C57" s="215">
        <f>IF(AND(ISNUMBER(C52),ISNUMBER(C58)),IFERROR(1-C58/C52,""),"")</f>
      </c>
      <c r="D57" s="215">
        <f>IF(AND(ISNUMBER(D52),ISNUMBER(D58)),IFERROR(1-D58/D52,""),"")</f>
      </c>
      <c r="E57" s="215">
        <f>IF(AND(ISNUMBER(E52),ISNUMBER(E58)),IFERROR(1-E58/E52,""),"")</f>
      </c>
      <c r="F57" s="215">
        <f>IF(AND(ISNUMBER(F52),ISNUMBER(F58)),IFERROR(1-F58/F52,""),"")</f>
      </c>
      <c r="G57" s="215">
        <f>IF(AND(ISNUMBER(G52),ISNUMBER(G58)),IFERROR(1-G58/G52,""),"")</f>
      </c>
      <c r="H57" s="215">
        <f>IF(AND(ISNUMBER(H52),ISNUMBER(H58)),IFERROR(1-H58/H52,""),"")</f>
      </c>
      <c r="I57" s="215">
        <f>IF(AND(ISNUMBER(I52),ISNUMBER(I58)),IFERROR(1-I58/I52,""),"")</f>
      </c>
      <c r="J57" s="215">
        <f>IF(AND(ISNUMBER(J52),ISNUMBER(J58)),IFERROR(1-J58/J52,""),"")</f>
      </c>
      <c r="K57" s="215">
        <f>IF(AND(ISNUMBER(K52),ISNUMBER(K58)),IFERROR(1-K58/K52,""),"")</f>
      </c>
      <c r="L57" s="215">
        <f>IF(AND(ISNUMBER(L52),ISNUMBER(L58)),IFERROR(1-L58/L52,""),"")</f>
      </c>
      <c r="M57" s="215">
        <f>IF(AND(ISNUMBER(M52),ISNUMBER(M58)),IFERROR(1-M58/M52,""),"")</f>
      </c>
      <c r="N57" s="215">
        <f>IF(AND(ISNUMBER(N52),ISNUMBER(N58)),IFERROR(1-N58/N52,""),"")</f>
      </c>
      <c r="O57" s="215">
        <f>IF(AND(ISNUMBER(O52),ISNUMBER(O58)),IFERROR(1-O58/O52,""),"")</f>
      </c>
      <c r="P57" s="215">
        <f>IF(AND(ISNUMBER(P52),ISNUMBER(P58)),IFERROR(1-P58/P52,""),"")</f>
      </c>
      <c r="Q57" s="215">
        <f>IF(AND(ISNUMBER(Q52),ISNUMBER(Q58)),IFERROR(1-Q58/Q52,""),"")</f>
      </c>
      <c r="R57" s="215">
        <f>IF(AND(ISNUMBER(R52),ISNUMBER(R58)),IFERROR(1-R58/R52,""),"")</f>
      </c>
      <c r="S57" s="215">
        <f>IF(AND(ISNUMBER(S52),ISNUMBER(S58)),IFERROR(1-S58/S52,""),"")</f>
      </c>
      <c r="T57" s="215">
        <f>IF(AND(ISNUMBER(T52),ISNUMBER(T58)),IFERROR(1-T58/T52,""),"")</f>
      </c>
      <c r="U57" s="215">
        <f>IF(AND(ISNUMBER(U52),ISNUMBER(U58)),IFERROR(1-U58/U52,""),"")</f>
      </c>
      <c r="V57" s="215">
        <f>IF(AND(ISNUMBER(V52),ISNUMBER(V58)),IFERROR(1-V58/V52,""),"")</f>
      </c>
      <c r="W57" s="215">
        <f>IF(AND(ISNUMBER(W52),ISNUMBER(W58)),IFERROR(1-W58/W52,""),"")</f>
      </c>
      <c r="X57" s="215">
        <f>IF(AND(ISNUMBER(X52),ISNUMBER(X58)),IFERROR(1-X58/X52,""),"")</f>
      </c>
      <c r="Y57" s="215">
        <f>IF(AND(ISNUMBER(Y52),ISNUMBER(Y58)),IFERROR(1-Y58/Y52,""),"")</f>
      </c>
      <c r="Z57" s="215">
        <f>IF(AND(ISNUMBER(Z52),ISNUMBER(Z58)),IFERROR(1-Z58/Z52,""),"")</f>
      </c>
      <c r="AA57" s="215">
        <f>IF(AND(ISNUMBER(AA52),ISNUMBER(AA58)),IFERROR(1-AA58/AA52,""),"")</f>
      </c>
      <c r="AB57" s="215">
        <f>IF(AND(ISNUMBER(AB52),ISNUMBER(AB58)),IFERROR(1-AB58/AB52,""),"")</f>
      </c>
      <c r="AC57" s="215">
        <f>IF(AND(ISNUMBER(AC52),ISNUMBER(AC58)),IFERROR(1-AC58/AC52,""),"")</f>
      </c>
      <c r="AD57" s="215">
        <f>IF(AND(ISNUMBER(AD52),ISNUMBER(AD58)),IFERROR(1-AD58/AD52,""),"")</f>
      </c>
      <c r="AE57" s="215">
        <f>IF(AND(ISNUMBER(AE52),ISNUMBER(AE58)),IFERROR(1-AE58/AE52,""),"")</f>
      </c>
      <c r="AF57" s="215">
        <f>IF(AND(ISNUMBER(AF52),ISNUMBER(AF58)),IFERROR(1-AF58/AF52,""),"")</f>
      </c>
      <c r="AG57" s="215">
        <f>IF(AND(ISNUMBER(AG52),ISNUMBER(AG58)),IFERROR(1-AG58/AG52,""),"")</f>
      </c>
      <c r="AH57" s="215">
        <f>IF(AND(ISNUMBER(AH52),ISNUMBER(AH58)),IFERROR(1-AH58/AH52,""),"")</f>
      </c>
      <c r="AI57" s="215">
        <f>IF(AND(ISNUMBER(AI52),ISNUMBER(AI58)),IFERROR(1-AI58/AI52,""),"")</f>
      </c>
      <c r="AJ57" s="215">
        <f>IF(AND(ISNUMBER(AJ52),ISNUMBER(AJ58)),IFERROR(1-AJ58/AJ52,""),"")</f>
      </c>
      <c r="AK57" s="215">
        <f>IF(AND(ISNUMBER(AK52),ISNUMBER(AK58)),IFERROR(1-AK58/AK52,""),"")</f>
      </c>
      <c r="AL57" s="215">
        <f>IF(AND(ISNUMBER(AL52),ISNUMBER(AL58)),IFERROR(1-AL58/AL52,""),"")</f>
      </c>
      <c r="AM57" s="215">
        <f>IF(AND(ISNUMBER(AM52),ISNUMBER(AM58)),IFERROR(1-AM58/AM52,""),"")</f>
      </c>
      <c r="AN57" s="215">
        <f>IF(AND(ISNUMBER(AN52),ISNUMBER(AN58)),IFERROR(1-AN58/AN52,""),"")</f>
      </c>
      <c r="AO57" s="215">
        <f>IF(AND(ISNUMBER(AO52),ISNUMBER(AO58)),IFERROR(1-AO58/AO52,""),"")</f>
      </c>
      <c r="AP57" s="215">
        <f>IF(AND(ISNUMBER(AP52),ISNUMBER(AP58)),IFERROR(1-AP58/AP52,""),"")</f>
      </c>
      <c r="AQ57" s="215">
        <f>IF(AND(ISNUMBER(AQ52),ISNUMBER(AQ58)),IFERROR(1-AQ58/AQ52,""),"")</f>
      </c>
      <c r="AR57" s="215">
        <f>IF(AND(ISNUMBER(AR52),ISNUMBER(AR58)),IFERROR(1-AR58/AR52,""),"")</f>
      </c>
      <c r="AS57" s="215">
        <f>IF(AND(ISNUMBER(AS52),ISNUMBER(AS58)),IFERROR(1-AS58/AS52,""),"")</f>
      </c>
      <c r="AT57" s="215">
        <f>IF(AND(ISNUMBER(AT52),ISNUMBER(AT58)),IFERROR(1-AT58/AT52,""),"")</f>
      </c>
      <c r="AU57" s="215">
        <f>IF(AND(ISNUMBER(AU52),ISNUMBER(AU58)),IFERROR(1-AU58/AU52,""),"")</f>
      </c>
      <c r="AV57" s="215">
        <f>IF(AND(ISNUMBER(AV52),ISNUMBER(AV58)),IFERROR(1-AV58/AV52,""),"")</f>
      </c>
      <c r="AW57" s="215">
        <f>IF(AND(ISNUMBER(AW52),ISNUMBER(AW58)),IFERROR(1-AW58/AW52,""),"")</f>
      </c>
      <c r="AX57" s="215">
        <f>IF(AND(ISNUMBER(AX52),ISNUMBER(AX58)),IFERROR(1-AX58/AX52,""),"")</f>
      </c>
      <c r="AY57" s="215">
        <f>IF(AND(ISNUMBER(AY52),ISNUMBER(AY58)),IFERROR(1-AY58/AY52,""),"")</f>
      </c>
      <c r="AZ57" s="215">
        <f>IF(AND(ISNUMBER(AZ52),ISNUMBER(AZ58)),IFERROR(1-AZ58/AZ52,""),"")</f>
      </c>
      <c r="BA57" s="215">
        <f>IF(AND(ISNUMBER(BA52),ISNUMBER(BA58)),IFERROR(1-BA58/BA52,""),"")</f>
      </c>
      <c r="BB57" s="215">
        <f>IF(AND(ISNUMBER(BB52),ISNUMBER(BB58)),IFERROR(1-BB58/BB52,""),"")</f>
      </c>
      <c r="BC57" s="215">
        <f>IF(AND(ISNUMBER(BC52),ISNUMBER(BC58)),IFERROR(1-BC58/BC52,""),"")</f>
      </c>
      <c r="BD57" s="215">
        <f>IF(AND(ISNUMBER(BD52),ISNUMBER(BD58)),IFERROR(1-BD58/BD52,""),"")</f>
      </c>
      <c r="BE57" s="215">
        <f>IF(AND(ISNUMBER(BE52),ISNUMBER(BE58)),IFERROR(1-BE58/BE52,""),"")</f>
      </c>
      <c r="BF57" s="215">
        <f>IF(AND(ISNUMBER(BF52),ISNUMBER(BF58)),IFERROR(1-BF58/BF52,""),"")</f>
      </c>
      <c r="BG57" s="215">
        <f>IF(AND(ISNUMBER(BG52),ISNUMBER(BG58)),IFERROR(1-BG58/BG52,""),"")</f>
      </c>
      <c r="BH57" s="215">
        <f>IF(AND(ISNUMBER(BH52),ISNUMBER(BH58)),IFERROR(1-BH58/BH52,""),"")</f>
      </c>
      <c r="BI57" s="215">
        <f>IF(AND(ISNUMBER(BI52),ISNUMBER(BI58)),IFERROR(1-BI58/BI52,""),"")</f>
      </c>
      <c r="BJ57" s="215">
        <f>IF(AND(ISNUMBER(BJ52),ISNUMBER(BJ58)),IFERROR(1-BJ58/BJ52,""),"")</f>
      </c>
      <c r="BK57" s="215">
        <f>IF(AND(ISNUMBER(BK52),ISNUMBER(BK58)),IFERROR(1-BK58/BK52,""),"")</f>
      </c>
      <c r="BL57" s="215">
        <f>IF(AND(ISNUMBER(BL52),ISNUMBER(BL58)),IFERROR(1-BL58/BL52,""),"")</f>
      </c>
      <c r="BM57" s="215">
        <f>IF(AND(ISNUMBER(BM52),ISNUMBER(BM58)),IFERROR(1-BM58/BM52,""),"")</f>
      </c>
      <c r="BN57" s="215">
        <f>IF(AND(ISNUMBER(BN52),ISNUMBER(BN58)),IFERROR(1-BN58/BN52,""),"")</f>
      </c>
      <c r="BO57" s="215">
        <f>IF(AND(ISNUMBER(BO52),ISNUMBER(BO58)),IFERROR(1-BO58/BO52,""),"")</f>
      </c>
      <c r="BP57" s="215">
        <f>IF(AND(ISNUMBER(BP52),ISNUMBER(BP58)),IFERROR(1-BP58/BP52,""),"")</f>
      </c>
      <c r="BQ57" s="215">
        <f>IF(AND(ISNUMBER(BQ52),ISNUMBER(BQ58)),IFERROR(1-BQ58/BQ52,""),"")</f>
      </c>
      <c r="BR57" s="215">
        <f>IF(AND(ISNUMBER(BR52),ISNUMBER(BR58)),IFERROR(1-BR58/BR52,""),"")</f>
        <v>0.571116553047852</v>
      </c>
      <c r="BS57" s="215">
        <f>IF(AND(ISNUMBER(BS52),ISNUMBER(BS58)),IFERROR(1-BS58/BS52,""),"")</f>
        <v>0.574943673662991</v>
      </c>
      <c r="BT57" s="215">
        <f>IF(AND(ISNUMBER(BT52),ISNUMBER(BT58)),IFERROR(1-BT58/BT52,""),"")</f>
        <v>0.581193230085604</v>
      </c>
      <c r="BU57" s="215">
        <f>IF(AND(ISNUMBER(BU52),ISNUMBER(BU58)),IFERROR(1-BU58/BU52,""),"")</f>
        <v>0.586222307348528</v>
      </c>
      <c r="BV57" s="215">
        <f>IF(AND(ISNUMBER(BV52),ISNUMBER(BV58)),IFERROR(1-BV58/BV52,""),"")</f>
        <v>0.578351154255573</v>
      </c>
      <c r="BW57" s="215">
        <f>IF(AND(ISNUMBER(BW52),ISNUMBER(BW58)),IFERROR(1-BW58/BW52,""),"")</f>
        <v>0.603649771889257</v>
      </c>
      <c r="BX57" s="215">
        <f>IF(AND(ISNUMBER(BX52),ISNUMBER(BX58)),IFERROR(1-BX58/BX52,""),"")</f>
        <v>0.603671577946768</v>
      </c>
      <c r="BY57" s="215">
        <f>IF(AND(ISNUMBER(BY52),ISNUMBER(BY58)),IFERROR(1-BY58/BY52,""),"")</f>
        <v>0.619432936302434</v>
      </c>
      <c r="BZ57" s="215">
        <f>IF(AND(ISNUMBER(BZ52),ISNUMBER(BZ58)),IFERROR(1-BZ58/BZ52,""),"")</f>
        <v>0.606960015553107</v>
      </c>
      <c r="CA57" s="215">
        <f>IF(AND(ISNUMBER(CA52),ISNUMBER(CA58)),IFERROR(1-CA58/CA52,""),"")</f>
        <v>0.608284153691612</v>
      </c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153" t="n"/>
      <c r="CS57" s="25" t="inlineStr">
        <is>
          <t xml:space="preserve">  2028E</t>
        </is>
      </c>
      <c r="CT57" s="33">
        <f>CU57+$CT$56</f>
        <v>0.06</v>
      </c>
      <c r="CU57" s="42" t="n">
        <v>0.02</v>
      </c>
      <c r="CV57" s="33">
        <f>CU57+$CV$56</f>
        <v>-0.04</v>
      </c>
    </row>
    <row r="58" ht="15" customHeight="1" s="251">
      <c r="B58" s="156" t="inlineStr">
        <is>
          <t xml:space="preserve">  Memo: segment cost of revenue (restated)</t>
        </is>
      </c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  <c r="AA58" s="34" t="n"/>
      <c r="AB58" s="34" t="n"/>
      <c r="AC58" s="34" t="n"/>
      <c r="AD58" s="34" t="n"/>
      <c r="AE58" s="34" t="n"/>
      <c r="AF58" s="34" t="n"/>
      <c r="AG58" s="34" t="n"/>
      <c r="AH58" s="34" t="n"/>
      <c r="AI58" s="34" t="n"/>
      <c r="AJ58" s="34" t="n"/>
      <c r="AK58" s="34" t="n"/>
      <c r="AL58" s="34" t="n"/>
      <c r="AM58" s="34" t="n"/>
      <c r="AN58" s="34" t="n"/>
      <c r="AO58" s="34" t="n"/>
      <c r="AP58" s="34" t="n"/>
      <c r="AQ58" s="34" t="n"/>
      <c r="AR58" s="34" t="n"/>
      <c r="AS58" s="34" t="n"/>
      <c r="AT58" s="34" t="n"/>
      <c r="AU58" s="34" t="n"/>
      <c r="AV58" s="34" t="n"/>
      <c r="AW58" s="34" t="n"/>
      <c r="AX58" s="34" t="n"/>
      <c r="AY58" s="34" t="n"/>
      <c r="AZ58" s="34" t="n"/>
      <c r="BA58" s="34" t="n"/>
      <c r="BB58" s="34" t="n"/>
      <c r="BC58" s="34" t="n"/>
      <c r="BD58" s="34" t="n"/>
      <c r="BE58" s="34" t="n"/>
      <c r="BF58" s="34" t="n"/>
      <c r="BG58" s="34" t="n"/>
      <c r="BH58" s="34" t="n"/>
      <c r="BI58" s="34" t="n"/>
      <c r="BJ58" s="34" t="n"/>
      <c r="BK58" s="34" t="n"/>
      <c r="BL58" s="34" t="n"/>
      <c r="BM58" s="34" t="n"/>
      <c r="BN58" s="34" t="n"/>
      <c r="BO58" s="34" t="n"/>
      <c r="BP58" s="34" t="n"/>
      <c r="BQ58" s="34" t="n"/>
      <c r="BR58" s="253" t="n">
        <v>6480</v>
      </c>
      <c r="BS58" s="253" t="n">
        <v>7169</v>
      </c>
      <c r="BT58" s="253" t="n">
        <v>6409</v>
      </c>
      <c r="BU58" s="253" t="n">
        <v>6481</v>
      </c>
      <c r="BV58" s="253" t="n">
        <v>26539</v>
      </c>
      <c r="BW58" s="253" t="n">
        <v>6342</v>
      </c>
      <c r="BX58" s="253" t="n">
        <v>6671</v>
      </c>
      <c r="BY58" s="253" t="n">
        <v>5879</v>
      </c>
      <c r="BZ58" s="253" t="n">
        <v>6065</v>
      </c>
      <c r="CA58" s="253" t="n">
        <v>24957</v>
      </c>
      <c r="CB58" s="153" t="n"/>
      <c r="CC58" s="153" t="n"/>
      <c r="CD58" s="153" t="n"/>
      <c r="CE58" s="153" t="n"/>
      <c r="CF58" s="153" t="n"/>
      <c r="CG58" s="153" t="n"/>
      <c r="CH58" s="153" t="n"/>
      <c r="CI58" s="153" t="n"/>
      <c r="CJ58" s="153" t="n"/>
      <c r="CK58" s="153" t="n"/>
      <c r="CS58" s="25" t="inlineStr">
        <is>
          <t xml:space="preserve">  2029E</t>
        </is>
      </c>
      <c r="CT58" s="33">
        <f>CU58+$CT$56</f>
        <v>0.07</v>
      </c>
      <c r="CU58" s="42" t="n">
        <v>0.03</v>
      </c>
      <c r="CV58" s="33">
        <f>CU58+$CV$56</f>
        <v>-0.03</v>
      </c>
    </row>
    <row r="59" ht="15" customHeight="1" s="251">
      <c r="B59" s="156" t="inlineStr">
        <is>
          <t xml:space="preserve">  Memo: segment operating expenses (restated)</t>
        </is>
      </c>
      <c r="C59" s="34" t="n"/>
      <c r="D59" s="34" t="n"/>
      <c r="E59" s="34" t="n"/>
      <c r="F59" s="34" t="n"/>
      <c r="G59" s="34" t="n"/>
      <c r="H59" s="34" t="n"/>
      <c r="I59" s="34" t="n"/>
      <c r="J59" s="34" t="n"/>
      <c r="K59" s="34" t="n"/>
      <c r="L59" s="34" t="n"/>
      <c r="M59" s="34" t="n"/>
      <c r="N59" s="34" t="n"/>
      <c r="O59" s="34" t="n"/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 t="n"/>
      <c r="AF59" s="34" t="n"/>
      <c r="AG59" s="34" t="n"/>
      <c r="AH59" s="34" t="n"/>
      <c r="AI59" s="34" t="n"/>
      <c r="AJ59" s="34" t="n"/>
      <c r="AK59" s="34" t="n"/>
      <c r="AL59" s="34" t="n"/>
      <c r="AM59" s="34" t="n"/>
      <c r="AN59" s="34" t="n"/>
      <c r="AO59" s="34" t="n"/>
      <c r="AP59" s="34" t="n"/>
      <c r="AQ59" s="34" t="n"/>
      <c r="AR59" s="34" t="n"/>
      <c r="AS59" s="34" t="n"/>
      <c r="AT59" s="34" t="n"/>
      <c r="AU59" s="34" t="n"/>
      <c r="AV59" s="34" t="n"/>
      <c r="AW59" s="34" t="n"/>
      <c r="AX59" s="34" t="n"/>
      <c r="AY59" s="34" t="n"/>
      <c r="AZ59" s="34" t="n"/>
      <c r="BA59" s="34" t="n"/>
      <c r="BB59" s="34" t="n"/>
      <c r="BC59" s="34" t="n"/>
      <c r="BD59" s="34" t="n"/>
      <c r="BE59" s="34" t="n"/>
      <c r="BF59" s="34" t="n"/>
      <c r="BG59" s="34" t="n"/>
      <c r="BH59" s="34" t="n"/>
      <c r="BI59" s="34" t="n"/>
      <c r="BJ59" s="34" t="n"/>
      <c r="BK59" s="34" t="n"/>
      <c r="BL59" s="34" t="n"/>
      <c r="BM59" s="34" t="n"/>
      <c r="BN59" s="34" t="n"/>
      <c r="BO59" s="34" t="n"/>
      <c r="BP59" s="34" t="n"/>
      <c r="BQ59" s="34" t="n"/>
      <c r="BR59" s="253" t="n">
        <v>4248</v>
      </c>
      <c r="BS59" s="253" t="n">
        <v>4762</v>
      </c>
      <c r="BT59" s="253" t="n">
        <v>4598</v>
      </c>
      <c r="BU59" s="253" t="n">
        <v>5080</v>
      </c>
      <c r="BV59" s="253" t="n">
        <v>18688</v>
      </c>
      <c r="BW59" s="253" t="n">
        <v>4416</v>
      </c>
      <c r="BX59" s="253" t="n">
        <v>5053</v>
      </c>
      <c r="BY59" s="253" t="n">
        <v>4919</v>
      </c>
      <c r="BZ59" s="253" t="n">
        <v>5495</v>
      </c>
      <c r="CA59" s="253" t="n">
        <v>19883</v>
      </c>
      <c r="CB59" s="153" t="n"/>
      <c r="CC59" s="153" t="n"/>
      <c r="CD59" s="153" t="n"/>
      <c r="CE59" s="153" t="n"/>
      <c r="CF59" s="153" t="n"/>
      <c r="CG59" s="153" t="n"/>
      <c r="CH59" s="153" t="n"/>
      <c r="CI59" s="153" t="n"/>
      <c r="CJ59" s="153" t="n"/>
      <c r="CK59" s="153" t="n"/>
      <c r="CS59" s="25" t="inlineStr">
        <is>
          <t xml:space="preserve">  2030E</t>
        </is>
      </c>
      <c r="CT59" s="33">
        <f>CU59+$CT$56</f>
        <v>0.07</v>
      </c>
      <c r="CU59" s="42" t="n">
        <v>0.03</v>
      </c>
      <c r="CV59" s="33">
        <f>CU59+$CV$56</f>
        <v>-0.03</v>
      </c>
    </row>
    <row r="60" ht="15" customHeight="1" s="251">
      <c r="B60" s="25" t="inlineStr">
        <is>
          <t xml:space="preserve">  Incremental segment margin (Δ operating income / Δ revenue)</t>
        </is>
      </c>
      <c r="C60" s="36" t="n"/>
      <c r="D60" s="215">
        <f>IFERROR((D54-C54)/(D49-C49),"")</f>
      </c>
      <c r="E60" s="215">
        <f>IFERROR((E54-D54)/(E49-D49),"")</f>
      </c>
      <c r="F60" s="215">
        <f>IFERROR((F54-E54)/(F49-E49),"")</f>
      </c>
      <c r="G60" s="215">
        <f>IFERROR((G54-F54)/(G49-F49),"")</f>
      </c>
      <c r="H60" s="215">
        <f>IFERROR((H54-G54)/(H49-G49),"")</f>
      </c>
      <c r="I60" s="215">
        <f>IFERROR((I54-H54)/(I49-H49),"")</f>
      </c>
      <c r="J60" s="36" t="n"/>
      <c r="K60" s="36" t="n"/>
      <c r="L60" s="36" t="n"/>
      <c r="M60" s="36" t="n"/>
      <c r="N60" s="215">
        <f>IFERROR((N54-I54)/(N49-I49),"")</f>
      </c>
      <c r="O60" s="215">
        <f>IFERROR((O54-J54)/(O49-J49),"")</f>
      </c>
      <c r="P60" s="215">
        <f>IFERROR((P54-K54)/(P49-K49),"")</f>
      </c>
      <c r="Q60" s="215">
        <f>IFERROR((Q54-L54)/(Q49-L49),"")</f>
      </c>
      <c r="R60" s="215">
        <f>IFERROR((R54-M54)/(R49-M49),"")</f>
      </c>
      <c r="S60" s="215">
        <f>IFERROR((S54-N54)/(S49-N49),"")</f>
      </c>
      <c r="T60" s="215">
        <f>IFERROR((T54-O54)/(T49-O49),"")</f>
      </c>
      <c r="U60" s="215">
        <f>IFERROR((U54-P54)/(U49-P49),"")</f>
      </c>
      <c r="V60" s="215">
        <f>IFERROR((V54-Q54)/(V49-Q49),"")</f>
      </c>
      <c r="W60" s="215">
        <f>IFERROR((W54-R54)/(W49-R49),"")</f>
      </c>
      <c r="X60" s="215">
        <f>IFERROR((X54-S54)/(X49-S49),"")</f>
      </c>
      <c r="Y60" s="215">
        <f>IFERROR((Y54-T54)/(Y49-T49),"")</f>
      </c>
      <c r="Z60" s="215">
        <f>IFERROR((Z54-U54)/(Z49-U49),"")</f>
      </c>
      <c r="AA60" s="215">
        <f>IFERROR((AA54-V54)/(AA49-V49),"")</f>
      </c>
      <c r="AB60" s="215">
        <f>IFERROR((AB54-W54)/(AB49-W49),"")</f>
      </c>
      <c r="AC60" s="215">
        <f>IFERROR((AC54-X54)/(AC49-X49),"")</f>
      </c>
      <c r="AD60" s="215">
        <f>IFERROR((AD54-Y54)/(AD49-Y49),"")</f>
      </c>
      <c r="AE60" s="215">
        <f>IFERROR((AE54-Z54)/(AE49-Z49),"")</f>
      </c>
      <c r="AF60" s="215">
        <f>IFERROR((AF54-AA54)/(AF49-AA49),"")</f>
      </c>
      <c r="AG60" s="215">
        <f>IFERROR((AG54-AB54)/(AG49-AB49),"")</f>
      </c>
      <c r="AH60" s="215">
        <f>IFERROR((AH54-AC54)/(AH49-AC49),"")</f>
      </c>
      <c r="AI60" s="215">
        <f>IFERROR((AI54-AD54)/(AI49-AD49),"")</f>
      </c>
      <c r="AJ60" s="215">
        <f>IFERROR((AJ54-AE54)/(AJ49-AE49),"")</f>
      </c>
      <c r="AK60" s="215">
        <f>IFERROR((AK54-AF54)/(AK49-AF49),"")</f>
      </c>
      <c r="AL60" s="215">
        <f>IFERROR((AL54-AG54)/(AL49-AG49),"")</f>
      </c>
      <c r="AM60" s="215">
        <f>IFERROR((AM54-AH54)/(AM49-AH49),"")</f>
      </c>
      <c r="AN60" s="215">
        <f>IFERROR((AN54-AI54)/(AN49-AI49),"")</f>
      </c>
      <c r="AO60" s="215">
        <f>IFERROR((AO54-AJ54)/(AO49-AJ49),"")</f>
      </c>
      <c r="AP60" s="215">
        <f>IFERROR((AP54-AK54)/(AP49-AK49),"")</f>
      </c>
      <c r="AQ60" s="215">
        <f>IFERROR((AQ54-AL54)/(AQ49-AL49),"")</f>
      </c>
      <c r="AR60" s="215">
        <f>IFERROR((AR54-AM54)/(AR49-AM49),"")</f>
      </c>
      <c r="AS60" s="215">
        <f>IFERROR((AS54-AN54)/(AS49-AN49),"")</f>
      </c>
      <c r="AT60" s="215">
        <f>IFERROR((AT54-AO54)/(AT49-AO49),"")</f>
      </c>
      <c r="AU60" s="215">
        <f>IFERROR((AU54-AP54)/(AU49-AP49),"")</f>
      </c>
      <c r="AV60" s="215">
        <f>IFERROR((AV54-AQ54)/(AV49-AQ49),"")</f>
      </c>
      <c r="AW60" s="215">
        <f>IFERROR((AW54-AR54)/(AW49-AR49),"")</f>
      </c>
      <c r="AX60" s="215">
        <f>IFERROR((AX54-AS54)/(AX49-AS49),"")</f>
      </c>
      <c r="AY60" s="215">
        <f>IFERROR((AY54-AT54)/(AY49-AT49),"")</f>
      </c>
      <c r="AZ60" s="215">
        <f>IFERROR((AZ54-AU54)/(AZ49-AU49),"")</f>
      </c>
      <c r="BA60" s="215">
        <f>IFERROR((BA54-AV54)/(BA49-AV49),"")</f>
      </c>
      <c r="BB60" s="215">
        <f>IFERROR((BB54-AW54)/(BB49-AW49),"")</f>
      </c>
      <c r="BC60" s="215">
        <f>IFERROR((BC54-AX54)/(BC49-AX49),"")</f>
      </c>
      <c r="BD60" s="215">
        <f>IFERROR((BD54-AY54)/(BD49-AY49),"")</f>
      </c>
      <c r="BE60" s="215">
        <f>IFERROR((BE54-AZ54)/(BE49-AZ49),"")</f>
      </c>
      <c r="BF60" s="215">
        <f>IFERROR((BF54-BA54)/(BF49-BA49),"")</f>
      </c>
      <c r="BG60" s="215">
        <f>IFERROR((BG54-BB54)/(BG49-BB49),"")</f>
      </c>
      <c r="BH60" s="215">
        <f>IFERROR((BH54-BC54)/(BH49-BC49),"")</f>
      </c>
      <c r="BI60" s="215">
        <f>IFERROR((BI54-BD54)/(BI49-BD49),"")</f>
      </c>
      <c r="BJ60" s="215">
        <f>IFERROR((BJ54-BE54)/(BJ49-BE49),"")</f>
      </c>
      <c r="BK60" s="215">
        <f>IFERROR((BK54-BF54)/(BK49-BF49),"")</f>
      </c>
      <c r="BL60" s="215">
        <f>IFERROR((BL54-BG54)/(BL49-BG49),"")</f>
      </c>
      <c r="BM60" s="215">
        <f>IFERROR((BM54-BH54)/(BM49-BH49),"")</f>
      </c>
      <c r="BN60" s="215">
        <f>IFERROR((BN54-BI54)/(BN49-BI49),"")</f>
      </c>
      <c r="BO60" s="215">
        <f>IFERROR((BO54-BJ54)/(BO49-BJ49),"")</f>
      </c>
      <c r="BP60" s="215">
        <f>IFERROR((BP54-BK54)/(BP49-BK49),"")</f>
      </c>
      <c r="BQ60" s="215">
        <f>IFERROR((BQ54-BL54)/(BQ49-BL49),"")</f>
      </c>
      <c r="BR60" s="215">
        <f>IFERROR((BR54-BM54)/(BR49-BM49),"")</f>
      </c>
      <c r="BS60" s="215">
        <f>IFERROR((BS54-BN54)/(BS49-BN49),"")</f>
      </c>
      <c r="BT60" s="215">
        <f>IFERROR((BT54-BO54)/(BT49-BO49),"")</f>
      </c>
      <c r="BU60" s="215">
        <f>IFERROR((BU54-BP54)/(BU49-BP49),"")</f>
      </c>
      <c r="BV60" s="215">
        <f>IFERROR((BV54-BQ54)/(BV49-BQ49),"")</f>
      </c>
      <c r="BW60" s="215">
        <f>IFERROR((BW54-BR54)/(BW49-BR49),"")</f>
        <v>0.966367713004484</v>
      </c>
      <c r="BX60" s="215">
        <f>IFERROR((BX54-BS54)/(BX49-BS49),"")</f>
        <v>-5.08823529411765</v>
      </c>
      <c r="BY60" s="215">
        <f>IFERROR((BY54-BT54)/(BY49-BT49),"")</f>
        <v>2.44137931034483</v>
      </c>
      <c r="BZ60" s="215">
        <f>IFERROR((BZ54-BU54)/(BZ49-BU49),"")</f>
        <v>0.995689655172414</v>
      </c>
      <c r="CA60" s="215">
        <f>IFERROR((CA54-BV54)/(CA49-BV49),"")</f>
        <v>1.50194552529183</v>
      </c>
      <c r="CB60" s="256">
        <f>IFERROR((CB54-BW54)/(CB49-BW49),"")</f>
        <v>0.346354692980585</v>
      </c>
      <c r="CC60" s="256">
        <f>IFERROR((CC54-BX54)/(CC49-BX49),"")</f>
        <v>0.322556358923401</v>
      </c>
      <c r="CD60" s="256">
        <f>IFERROR((CD54-BY54)/(CD49-BY49),"")</f>
        <v>0.320936320477537</v>
      </c>
      <c r="CE60" s="256">
        <f>IFERROR((CE54-BZ54)/(CE49-BZ49),"")</f>
        <v>0.272671011678758</v>
      </c>
      <c r="CF60" s="256">
        <f>IFERROR((CF54-CA54)/(CF49-CA49),"")</f>
        <v>0.31744778008047</v>
      </c>
      <c r="CG60" s="256">
        <f>IFERROR((CG54-CF54)/(CG49-CF49),"")</f>
        <v>0.174043152363711</v>
      </c>
      <c r="CH60" s="256">
        <f>IFERROR((CH54-CG54)/(CH49-CG49),"")</f>
        <v>0.29</v>
      </c>
      <c r="CI60" s="256">
        <f>IFERROR((CI54-CH54)/(CI49-CH49),"")</f>
        <v>0.408217971808737</v>
      </c>
      <c r="CJ60" s="256">
        <f>IFERROR((CJ54-CI54)/(CJ49-CI49),"")</f>
        <v>0.411658411564782</v>
      </c>
      <c r="CK60" s="153" t="n"/>
      <c r="CS60" s="25" t="inlineStr">
        <is>
          <t xml:space="preserve">  2031E</t>
        </is>
      </c>
      <c r="CT60" s="33">
        <f>CU60+$CT$56</f>
        <v>0.07</v>
      </c>
      <c r="CU60" s="42" t="n">
        <v>0.03</v>
      </c>
      <c r="CV60" s="33">
        <f>CU60+$CV$56</f>
        <v>-0.03</v>
      </c>
    </row>
    <row r="61" ht="15" customHeight="1" s="251">
      <c r="CS61" s="15" t="inlineStr">
        <is>
          <t>DC_WIN (Windows OEM &amp; devices y/y)</t>
        </is>
      </c>
      <c r="CT61" s="41" t="n">
        <v>0.03</v>
      </c>
      <c r="CU61" s="21" t="inlineStr">
        <is>
          <t>Δ →</t>
        </is>
      </c>
      <c r="CV61" s="41" t="n">
        <v>-0.04</v>
      </c>
      <c r="CW61" s="13" t="inlineStr">
        <is>
          <t>FY26 −1.3% (Windows 10 end-of-support pull-forward); Q1 FY27 guided down low-twenties on that comparison; PC-market growth thereafter.</t>
        </is>
      </c>
    </row>
    <row r="62" ht="15" customHeight="1" s="251">
      <c r="B62" s="14" t="inlineStr">
        <is>
          <t>Mix &amp; KPIs (outputs)</t>
        </is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  <c r="AH62" s="14" t="n"/>
      <c r="AI62" s="14" t="n"/>
      <c r="AJ62" s="14" t="n"/>
      <c r="AK62" s="14" t="n"/>
      <c r="AL62" s="14" t="n"/>
      <c r="AM62" s="14" t="n"/>
      <c r="AN62" s="14" t="n"/>
      <c r="AO62" s="14" t="n"/>
      <c r="AP62" s="14" t="n"/>
      <c r="AQ62" s="14" t="n"/>
      <c r="AR62" s="14" t="n"/>
      <c r="AS62" s="14" t="n"/>
      <c r="AT62" s="14" t="n"/>
      <c r="AU62" s="14" t="n"/>
      <c r="AV62" s="14" t="n"/>
      <c r="AW62" s="14" t="n"/>
      <c r="AX62" s="14" t="n"/>
      <c r="AY62" s="14" t="n"/>
      <c r="AZ62" s="14" t="n"/>
      <c r="BA62" s="14" t="n"/>
      <c r="BB62" s="14" t="n"/>
      <c r="BC62" s="14" t="n"/>
      <c r="BD62" s="14" t="n"/>
      <c r="BE62" s="14" t="n"/>
      <c r="BF62" s="14" t="n"/>
      <c r="BG62" s="14" t="n"/>
      <c r="BH62" s="14" t="n"/>
      <c r="BI62" s="14" t="n"/>
      <c r="BJ62" s="14" t="n"/>
      <c r="BK62" s="14" t="n"/>
      <c r="BL62" s="14" t="n"/>
      <c r="BM62" s="14" t="n"/>
      <c r="BN62" s="14" t="n"/>
      <c r="BO62" s="14" t="n"/>
      <c r="BP62" s="14" t="n"/>
      <c r="BQ62" s="14" t="n"/>
      <c r="BR62" s="14" t="n"/>
      <c r="BS62" s="14" t="n"/>
      <c r="BT62" s="14" t="n"/>
      <c r="BU62" s="14" t="n"/>
      <c r="BV62" s="14" t="n"/>
      <c r="BW62" s="14" t="n"/>
      <c r="BX62" s="14" t="n"/>
      <c r="BY62" s="14" t="n"/>
      <c r="BZ62" s="14" t="n"/>
      <c r="CA62" s="14" t="n"/>
      <c r="CB62" s="14" t="n"/>
      <c r="CC62" s="14" t="n"/>
      <c r="CD62" s="14" t="n"/>
      <c r="CE62" s="14" t="n"/>
      <c r="CF62" s="14" t="n"/>
      <c r="CG62" s="14" t="n"/>
      <c r="CH62" s="14" t="n"/>
      <c r="CI62" s="14" t="n"/>
      <c r="CJ62" s="14" t="n"/>
      <c r="CK62" s="15" t="inlineStr">
        <is>
          <t>MIX — outputs</t>
        </is>
      </c>
      <c r="CS62" s="25" t="inlineStr">
        <is>
          <t xml:space="preserve">  2028E</t>
        </is>
      </c>
      <c r="CT62" s="33">
        <f>CU62+$CT$61</f>
        <v>0.03</v>
      </c>
      <c r="CU62" s="42" t="n">
        <v>0</v>
      </c>
      <c r="CV62" s="33">
        <f>CU62+$CV$61</f>
        <v>-0.04</v>
      </c>
    </row>
    <row r="63" ht="15" customHeight="1" s="251">
      <c r="B63" s="25" t="inlineStr">
        <is>
          <t xml:space="preserve">  Azure % of total revenue</t>
        </is>
      </c>
      <c r="C63" s="215">
        <f>IF(ISNUMBER(C11),IFERROR(C11/C130,""),"")</f>
      </c>
      <c r="D63" s="215">
        <f>IF(ISNUMBER(D11),IFERROR(D11/D130,""),"")</f>
      </c>
      <c r="E63" s="215">
        <f>IF(ISNUMBER(E11),IFERROR(E11/E130,""),"")</f>
      </c>
      <c r="F63" s="215">
        <f>IF(ISNUMBER(F11),IFERROR(F11/F130,""),"")</f>
      </c>
      <c r="G63" s="215">
        <f>IF(ISNUMBER(G11),IFERROR(G11/G130,""),"")</f>
      </c>
      <c r="H63" s="215">
        <f>IF(ISNUMBER(H11),IFERROR(H11/H130,""),"")</f>
      </c>
      <c r="I63" s="215">
        <f>IF(ISNUMBER(I11),IFERROR(I11/I130,""),"")</f>
      </c>
      <c r="J63" s="215">
        <f>IF(ISNUMBER(J11),IFERROR(J11/J130,""),"")</f>
      </c>
      <c r="K63" s="215">
        <f>IF(ISNUMBER(K11),IFERROR(K11/K130,""),"")</f>
      </c>
      <c r="L63" s="215">
        <f>IF(ISNUMBER(L11),IFERROR(L11/L130,""),"")</f>
      </c>
      <c r="M63" s="215">
        <f>IF(ISNUMBER(M11),IFERROR(M11/M130,""),"")</f>
      </c>
      <c r="N63" s="215">
        <f>IF(ISNUMBER(N11),IFERROR(N11/N130,""),"")</f>
      </c>
      <c r="O63" s="215">
        <f>IF(ISNUMBER(O11),IFERROR(O11/O130,""),"")</f>
      </c>
      <c r="P63" s="215">
        <f>IF(ISNUMBER(P11),IFERROR(P11/P130,""),"")</f>
      </c>
      <c r="Q63" s="215">
        <f>IF(ISNUMBER(Q11),IFERROR(Q11/Q130,""),"")</f>
      </c>
      <c r="R63" s="215">
        <f>IF(ISNUMBER(R11),IFERROR(R11/R130,""),"")</f>
      </c>
      <c r="S63" s="215">
        <f>IF(ISNUMBER(S11),IFERROR(S11/S130,""),"")</f>
      </c>
      <c r="T63" s="215">
        <f>IF(ISNUMBER(T11),IFERROR(T11/T130,""),"")</f>
      </c>
      <c r="U63" s="215">
        <f>IF(ISNUMBER(U11),IFERROR(U11/U130,""),"")</f>
      </c>
      <c r="V63" s="215">
        <f>IF(ISNUMBER(V11),IFERROR(V11/V130,""),"")</f>
      </c>
      <c r="W63" s="215">
        <f>IF(ISNUMBER(W11),IFERROR(W11/W130,""),"")</f>
      </c>
      <c r="X63" s="215">
        <f>IF(ISNUMBER(X11),IFERROR(X11/X130,""),"")</f>
      </c>
      <c r="Y63" s="215">
        <f>IF(ISNUMBER(Y11),IFERROR(Y11/Y130,""),"")</f>
      </c>
      <c r="Z63" s="215">
        <f>IF(ISNUMBER(Z11),IFERROR(Z11/Z130,""),"")</f>
      </c>
      <c r="AA63" s="215">
        <f>IF(ISNUMBER(AA11),IFERROR(AA11/AA130,""),"")</f>
      </c>
      <c r="AB63" s="215">
        <f>IF(ISNUMBER(AB11),IFERROR(AB11/AB130,""),"")</f>
      </c>
      <c r="AC63" s="215">
        <f>IF(ISNUMBER(AC11),IFERROR(AC11/AC130,""),"")</f>
      </c>
      <c r="AD63" s="215">
        <f>IF(ISNUMBER(AD11),IFERROR(AD11/AD130,""),"")</f>
      </c>
      <c r="AE63" s="215">
        <f>IF(ISNUMBER(AE11),IFERROR(AE11/AE130,""),"")</f>
      </c>
      <c r="AF63" s="215">
        <f>IF(ISNUMBER(AF11),IFERROR(AF11/AF130,""),"")</f>
      </c>
      <c r="AG63" s="215">
        <f>IF(ISNUMBER(AG11),IFERROR(AG11/AG130,""),"")</f>
      </c>
      <c r="AH63" s="215">
        <f>IF(ISNUMBER(AH11),IFERROR(AH11/AH130,""),"")</f>
      </c>
      <c r="AI63" s="215">
        <f>IF(ISNUMBER(AI11),IFERROR(AI11/AI130,""),"")</f>
      </c>
      <c r="AJ63" s="215">
        <f>IF(ISNUMBER(AJ11),IFERROR(AJ11/AJ130,""),"")</f>
      </c>
      <c r="AK63" s="215">
        <f>IF(ISNUMBER(AK11),IFERROR(AK11/AK130,""),"")</f>
      </c>
      <c r="AL63" s="215">
        <f>IF(ISNUMBER(AL11),IFERROR(AL11/AL130,""),"")</f>
      </c>
      <c r="AM63" s="215">
        <f>IF(ISNUMBER(AM11),IFERROR(AM11/AM130,""),"")</f>
      </c>
      <c r="AN63" s="215">
        <f>IF(ISNUMBER(AN11),IFERROR(AN11/AN130,""),"")</f>
      </c>
      <c r="AO63" s="215">
        <f>IF(ISNUMBER(AO11),IFERROR(AO11/AO130,""),"")</f>
      </c>
      <c r="AP63" s="215">
        <f>IF(ISNUMBER(AP11),IFERROR(AP11/AP130,""),"")</f>
      </c>
      <c r="AQ63" s="215">
        <f>IF(ISNUMBER(AQ11),IFERROR(AQ11/AQ130,""),"")</f>
      </c>
      <c r="AR63" s="215">
        <f>IF(ISNUMBER(AR11),IFERROR(AR11/AR130,""),"")</f>
      </c>
      <c r="AS63" s="215">
        <f>IF(ISNUMBER(AS11),IFERROR(AS11/AS130,""),"")</f>
      </c>
      <c r="AT63" s="215">
        <f>IF(ISNUMBER(AT11),IFERROR(AT11/AT130,""),"")</f>
      </c>
      <c r="AU63" s="215">
        <f>IF(ISNUMBER(AU11),IFERROR(AU11/AU130,""),"")</f>
      </c>
      <c r="AV63" s="215">
        <f>IF(ISNUMBER(AV11),IFERROR(AV11/AV130,""),"")</f>
      </c>
      <c r="AW63" s="215">
        <f>IF(ISNUMBER(AW11),IFERROR(AW11/AW130,""),"")</f>
      </c>
      <c r="AX63" s="215">
        <f>IF(ISNUMBER(AX11),IFERROR(AX11/AX130,""),"")</f>
      </c>
      <c r="AY63" s="215">
        <f>IF(ISNUMBER(AY11),IFERROR(AY11/AY130,""),"")</f>
      </c>
      <c r="AZ63" s="215">
        <f>IF(ISNUMBER(AZ11),IFERROR(AZ11/AZ130,""),"")</f>
      </c>
      <c r="BA63" s="215">
        <f>IF(ISNUMBER(BA11),IFERROR(BA11/BA130,""),"")</f>
      </c>
      <c r="BB63" s="215">
        <f>IF(ISNUMBER(BB11),IFERROR(BB11/BB130,""),"")</f>
      </c>
      <c r="BC63" s="215">
        <f>IF(ISNUMBER(BC11),IFERROR(BC11/BC130,""),"")</f>
      </c>
      <c r="BD63" s="215">
        <f>IF(ISNUMBER(BD11),IFERROR(BD11/BD130,""),"")</f>
      </c>
      <c r="BE63" s="215">
        <f>IF(ISNUMBER(BE11),IFERROR(BE11/BE130,""),"")</f>
      </c>
      <c r="BF63" s="215">
        <f>IF(ISNUMBER(BF11),IFERROR(BF11/BF130,""),"")</f>
      </c>
      <c r="BG63" s="215">
        <f>IF(ISNUMBER(BG11),IFERROR(BG11/BG130,""),"")</f>
      </c>
      <c r="BH63" s="215">
        <f>IF(ISNUMBER(BH11),IFERROR(BH11/BH130,""),"")</f>
      </c>
      <c r="BI63" s="215">
        <f>IF(ISNUMBER(BI11),IFERROR(BI11/BI130,""),"")</f>
      </c>
      <c r="BJ63" s="215">
        <f>IF(ISNUMBER(BJ11),IFERROR(BJ11/BJ130,""),"")</f>
      </c>
      <c r="BK63" s="215">
        <f>IF(ISNUMBER(BK11),IFERROR(BK11/BK130,""),"")</f>
      </c>
      <c r="BL63" s="215">
        <f>IF(ISNUMBER(BL11),IFERROR(BL11/BL130,""),"")</f>
      </c>
      <c r="BM63" s="215">
        <f>IF(ISNUMBER(BM11),IFERROR(BM11/BM130,""),"")</f>
      </c>
      <c r="BN63" s="215">
        <f>IF(ISNUMBER(BN11),IFERROR(BN11/BN130,""),"")</f>
      </c>
      <c r="BO63" s="215">
        <f>IF(ISNUMBER(BO11),IFERROR(BO11/BO130,""),"")</f>
      </c>
      <c r="BP63" s="215">
        <f>IF(ISNUMBER(BP11),IFERROR(BP11/BP130,""),"")</f>
      </c>
      <c r="BQ63" s="215">
        <f>IF(ISNUMBER(BQ11),IFERROR(BQ11/BQ130,""),"")</f>
      </c>
      <c r="BR63" s="215">
        <f>IF(ISNUMBER(BR11),IFERROR(BR11/BR130,""),"")</f>
        <v>0.244278417321034</v>
      </c>
      <c r="BS63" s="215">
        <f>IF(ISNUMBER(BS11),IFERROR(BS11/BS130,""),"")</f>
        <v>0.248980353860294</v>
      </c>
      <c r="BT63" s="215">
        <f>IF(ISNUMBER(BT11),IFERROR(BT11/BT130,""),"")</f>
        <v>0.264607655638969</v>
      </c>
      <c r="BU63" s="215">
        <f>IF(ISNUMBER(BU11),IFERROR(BU11/BU130,""),"")</f>
        <v>0.270954069151372</v>
      </c>
      <c r="BV63" s="215">
        <f>IF(ISNUMBER(BV11),IFERROR(BV11/BV130,""),"")</f>
        <v>0.257734520310659</v>
      </c>
      <c r="BW63" s="215">
        <f>IF(ISNUMBER(BW11),IFERROR(BW11/BW130,""),"")</f>
        <v>0.288182508722465</v>
      </c>
      <c r="BX63" s="215">
        <f>IF(ISNUMBER(BX11),IFERROR(BX11/BX130,""),"")</f>
        <v>0.296888265475619</v>
      </c>
      <c r="BY63" s="215">
        <f>IF(ISNUMBER(BY11),IFERROR(BY11/BY130,""),"")</f>
        <v>0.313780373042492</v>
      </c>
      <c r="BZ63" s="215">
        <f>IF(ISNUMBER(BZ11),IFERROR(BZ11/BZ130,""),"")</f>
        <v>0.326830135433911</v>
      </c>
      <c r="CA63" s="215">
        <f>IF(ISNUMBER(CA11),IFERROR(CA11/CA130,""),"")</f>
        <v>0.307191137871076</v>
      </c>
      <c r="CB63" s="256">
        <f>IF(ISNUMBER(CB11),IFERROR(CB11/CB130,""),"")</f>
        <v>0.348707154057021</v>
      </c>
      <c r="CC63" s="256">
        <f>IF(ISNUMBER(CC11),IFERROR(CC11/CC130,""),"")</f>
        <v>0.358389404270865</v>
      </c>
      <c r="CD63" s="256">
        <f>IF(ISNUMBER(CD11),IFERROR(CD11/CD130,""),"")</f>
        <v>0.375727174451202</v>
      </c>
      <c r="CE63" s="256">
        <f>IF(ISNUMBER(CE11),IFERROR(CE11/CE130,""),"")</f>
        <v>0.38928683018284</v>
      </c>
      <c r="CF63" s="256">
        <f>IF(ISNUMBER(CF11),IFERROR(CF11/CF130,""),"")</f>
        <v>0.368933635208026</v>
      </c>
      <c r="CG63" s="256">
        <f>IF(ISNUMBER(CG11),IFERROR(CG11/CG130,""),"")</f>
        <v>0.416104244812551</v>
      </c>
      <c r="CH63" s="256">
        <f>IF(ISNUMBER(CH11),IFERROR(CH11/CH130,""),"")</f>
        <v>0.453176048474428</v>
      </c>
      <c r="CI63" s="256">
        <f>IF(ISNUMBER(CI11),IFERROR(CI11/CI130,""),"")</f>
        <v>0.482027718901643</v>
      </c>
      <c r="CJ63" s="256">
        <f>IF(ISNUMBER(CJ11),IFERROR(CJ11/CJ130,""),"")</f>
        <v>0.503232558120244</v>
      </c>
      <c r="CK63" s="153" t="n"/>
      <c r="CM63" s="37">
        <f>IFERROR(AVERAGE(CF63,CG63,CH63,CI63,CJ63),"n/m")</f>
        <v>0.444694841103378</v>
      </c>
      <c r="CN63" s="37">
        <f>IFERROR(AVERAGE(BG63,BL63,BQ63,BV63,CA63),"n/m")</f>
        <v>0.282462829090867</v>
      </c>
      <c r="CO63" s="37">
        <f>IFERROR(AVERAGE(AH63,AM63,AR63,AW63,BB63,BG63,BL63,BQ63,BV63,CA63),"n/m")</f>
        <v>0.282462829090867</v>
      </c>
      <c r="CP63" s="37">
        <f>IFERROR(AVERAGE(C63,D63,E63,F63,G63,H63,I63,N63,S63,X63,AC63,AH63,AM63,AR63,AW63,BB63,BG63,BL63,BQ63,BV63,CA63),"n/m")</f>
        <v>0.282462829090867</v>
      </c>
      <c r="CS63" s="25" t="inlineStr">
        <is>
          <t xml:space="preserve">  2029E</t>
        </is>
      </c>
      <c r="CT63" s="33">
        <f>CU63+$CT$61</f>
        <v>0.04</v>
      </c>
      <c r="CU63" s="42" t="n">
        <v>0.01</v>
      </c>
      <c r="CV63" s="33">
        <f>CU63+$CV$61</f>
        <v>-0.03</v>
      </c>
    </row>
    <row r="64" ht="15" customHeight="1" s="251">
      <c r="B64" s="25" t="inlineStr">
        <is>
          <t xml:space="preserve">  Azure + Microsoft 365 cloud + Industry solutions revenue (proxy for the Microsoft Cloud metric; not the company definition)</t>
        </is>
      </c>
      <c r="C64" s="211">
        <f>IF(ISNUMBER(C11),C11+C14+C20,"")</f>
      </c>
      <c r="D64" s="211">
        <f>IF(ISNUMBER(D11),D11+D14+D20,"")</f>
      </c>
      <c r="E64" s="211">
        <f>IF(ISNUMBER(E11),E11+E14+E20,"")</f>
      </c>
      <c r="F64" s="211">
        <f>IF(ISNUMBER(F11),F11+F14+F20,"")</f>
      </c>
      <c r="G64" s="211">
        <f>IF(ISNUMBER(G11),G11+G14+G20,"")</f>
      </c>
      <c r="H64" s="211">
        <f>IF(ISNUMBER(H11),H11+H14+H20,"")</f>
      </c>
      <c r="I64" s="211">
        <f>IF(ISNUMBER(I11),I11+I14+I20,"")</f>
      </c>
      <c r="J64" s="211">
        <f>IF(ISNUMBER(J11),J11+J14+J20,"")</f>
      </c>
      <c r="K64" s="211">
        <f>IF(ISNUMBER(K11),K11+K14+K20,"")</f>
      </c>
      <c r="L64" s="211">
        <f>IF(ISNUMBER(L11),L11+L14+L20,"")</f>
      </c>
      <c r="M64" s="211">
        <f>IF(ISNUMBER(M11),M11+M14+M20,"")</f>
      </c>
      <c r="N64" s="211">
        <f>IF(ISNUMBER(N11),N11+N14+N20,"")</f>
      </c>
      <c r="O64" s="211">
        <f>IF(ISNUMBER(O11),O11+O14+O20,"")</f>
      </c>
      <c r="P64" s="211">
        <f>IF(ISNUMBER(P11),P11+P14+P20,"")</f>
      </c>
      <c r="Q64" s="211">
        <f>IF(ISNUMBER(Q11),Q11+Q14+Q20,"")</f>
      </c>
      <c r="R64" s="211">
        <f>IF(ISNUMBER(R11),R11+R14+R20,"")</f>
      </c>
      <c r="S64" s="211">
        <f>IF(ISNUMBER(S11),S11+S14+S20,"")</f>
      </c>
      <c r="T64" s="211">
        <f>IF(ISNUMBER(T11),T11+T14+T20,"")</f>
      </c>
      <c r="U64" s="211">
        <f>IF(ISNUMBER(U11),U11+U14+U20,"")</f>
      </c>
      <c r="V64" s="211">
        <f>IF(ISNUMBER(V11),V11+V14+V20,"")</f>
      </c>
      <c r="W64" s="211">
        <f>IF(ISNUMBER(W11),W11+W14+W20,"")</f>
      </c>
      <c r="X64" s="211">
        <f>IF(ISNUMBER(X11),X11+X14+X20,"")</f>
      </c>
      <c r="Y64" s="211">
        <f>IF(ISNUMBER(Y11),Y11+Y14+Y20,"")</f>
      </c>
      <c r="Z64" s="211">
        <f>IF(ISNUMBER(Z11),Z11+Z14+Z20,"")</f>
      </c>
      <c r="AA64" s="211">
        <f>IF(ISNUMBER(AA11),AA11+AA14+AA20,"")</f>
      </c>
      <c r="AB64" s="211">
        <f>IF(ISNUMBER(AB11),AB11+AB14+AB20,"")</f>
      </c>
      <c r="AC64" s="211">
        <f>IF(ISNUMBER(AC11),AC11+AC14+AC20,"")</f>
      </c>
      <c r="AD64" s="211">
        <f>IF(ISNUMBER(AD11),AD11+AD14+AD20,"")</f>
      </c>
      <c r="AE64" s="211">
        <f>IF(ISNUMBER(AE11),AE11+AE14+AE20,"")</f>
      </c>
      <c r="AF64" s="211">
        <f>IF(ISNUMBER(AF11),AF11+AF14+AF20,"")</f>
      </c>
      <c r="AG64" s="211">
        <f>IF(ISNUMBER(AG11),AG11+AG14+AG20,"")</f>
      </c>
      <c r="AH64" s="211">
        <f>IF(ISNUMBER(AH11),AH11+AH14+AH20,"")</f>
      </c>
      <c r="AI64" s="211">
        <f>IF(ISNUMBER(AI11),AI11+AI14+AI20,"")</f>
      </c>
      <c r="AJ64" s="211">
        <f>IF(ISNUMBER(AJ11),AJ11+AJ14+AJ20,"")</f>
      </c>
      <c r="AK64" s="211">
        <f>IF(ISNUMBER(AK11),AK11+AK14+AK20,"")</f>
      </c>
      <c r="AL64" s="211">
        <f>IF(ISNUMBER(AL11),AL11+AL14+AL20,"")</f>
      </c>
      <c r="AM64" s="211">
        <f>IF(ISNUMBER(AM11),AM11+AM14+AM20,"")</f>
      </c>
      <c r="AN64" s="211">
        <f>IF(ISNUMBER(AN11),AN11+AN14+AN20,"")</f>
      </c>
      <c r="AO64" s="211">
        <f>IF(ISNUMBER(AO11),AO11+AO14+AO20,"")</f>
      </c>
      <c r="AP64" s="211">
        <f>IF(ISNUMBER(AP11),AP11+AP14+AP20,"")</f>
      </c>
      <c r="AQ64" s="211">
        <f>IF(ISNUMBER(AQ11),AQ11+AQ14+AQ20,"")</f>
      </c>
      <c r="AR64" s="211">
        <f>IF(ISNUMBER(AR11),AR11+AR14+AR20,"")</f>
      </c>
      <c r="AS64" s="211">
        <f>IF(ISNUMBER(AS11),AS11+AS14+AS20,"")</f>
      </c>
      <c r="AT64" s="211">
        <f>IF(ISNUMBER(AT11),AT11+AT14+AT20,"")</f>
      </c>
      <c r="AU64" s="211">
        <f>IF(ISNUMBER(AU11),AU11+AU14+AU20,"")</f>
      </c>
      <c r="AV64" s="211">
        <f>IF(ISNUMBER(AV11),AV11+AV14+AV20,"")</f>
      </c>
      <c r="AW64" s="211">
        <f>IF(ISNUMBER(AW11),AW11+AW14+AW20,"")</f>
      </c>
      <c r="AX64" s="211">
        <f>IF(ISNUMBER(AX11),AX11+AX14+AX20,"")</f>
      </c>
      <c r="AY64" s="211">
        <f>IF(ISNUMBER(AY11),AY11+AY14+AY20,"")</f>
      </c>
      <c r="AZ64" s="211">
        <f>IF(ISNUMBER(AZ11),AZ11+AZ14+AZ20,"")</f>
      </c>
      <c r="BA64" s="211">
        <f>IF(ISNUMBER(BA11),BA11+BA14+BA20,"")</f>
      </c>
      <c r="BB64" s="211">
        <f>IF(ISNUMBER(BB11),BB11+BB14+BB20,"")</f>
      </c>
      <c r="BC64" s="211">
        <f>IF(ISNUMBER(BC11),BC11+BC14+BC20,"")</f>
      </c>
      <c r="BD64" s="211">
        <f>IF(ISNUMBER(BD11),BD11+BD14+BD20,"")</f>
      </c>
      <c r="BE64" s="211">
        <f>IF(ISNUMBER(BE11),BE11+BE14+BE20,"")</f>
      </c>
      <c r="BF64" s="211">
        <f>IF(ISNUMBER(BF11),BF11+BF14+BF20,"")</f>
      </c>
      <c r="BG64" s="211">
        <f>IF(ISNUMBER(BG11),BG11+BG14+BG20,"")</f>
      </c>
      <c r="BH64" s="211">
        <f>IF(ISNUMBER(BH11),BH11+BH14+BH20,"")</f>
      </c>
      <c r="BI64" s="211">
        <f>IF(ISNUMBER(BI11),BI11+BI14+BI20,"")</f>
      </c>
      <c r="BJ64" s="211">
        <f>IF(ISNUMBER(BJ11),BJ11+BJ14+BJ20,"")</f>
      </c>
      <c r="BK64" s="211">
        <f>IF(ISNUMBER(BK11),BK11+BK14+BK20,"")</f>
      </c>
      <c r="BL64" s="211">
        <f>IF(ISNUMBER(BL11),BL11+BL14+BL20,"")</f>
      </c>
      <c r="BM64" s="211">
        <f>IF(ISNUMBER(BM11),BM11+BM14+BM20,"")</f>
      </c>
      <c r="BN64" s="211">
        <f>IF(ISNUMBER(BN11),BN11+BN14+BN20,"")</f>
      </c>
      <c r="BO64" s="211">
        <f>IF(ISNUMBER(BO11),BO11+BO14+BO20,"")</f>
      </c>
      <c r="BP64" s="211">
        <f>IF(ISNUMBER(BP11),BP11+BP14+BP20,"")</f>
      </c>
      <c r="BQ64" s="211">
        <f>IF(ISNUMBER(BQ11),BQ11+BQ14+BQ20,"")</f>
      </c>
      <c r="BR64" s="211">
        <f>IF(ISNUMBER(BR11),BR11+BR14+BR20,"")</f>
        <v>40497</v>
      </c>
      <c r="BS64" s="211">
        <f>IF(ISNUMBER(BS11),BS11+BS14+BS20,"")</f>
        <v>42567</v>
      </c>
      <c r="BT64" s="211">
        <f>IF(ISNUMBER(BT11),BT11+BT14+BT20,"")</f>
        <v>44086</v>
      </c>
      <c r="BU64" s="211">
        <f>IF(ISNUMBER(BU11),BU11+BU14+BU20,"")</f>
        <v>48482</v>
      </c>
      <c r="BV64" s="211">
        <f>IF(ISNUMBER(BV11),BV11+BV14+BV20,"")</f>
        <v>175632</v>
      </c>
      <c r="BW64" s="211">
        <f>IF(ISNUMBER(BW11),BW11+BW14+BW20,"")</f>
        <v>50972</v>
      </c>
      <c r="BX64" s="211">
        <f>IF(ISNUMBER(BX11),BX11+BX14+BX20,"")</f>
        <v>53589</v>
      </c>
      <c r="BY64" s="211">
        <f>IF(ISNUMBER(BY11),BY11+BY14+BY20,"")</f>
        <v>56591</v>
      </c>
      <c r="BZ64" s="211">
        <f>IF(ISNUMBER(BZ11),BZ11+BZ14+BZ20,"")</f>
        <v>61430</v>
      </c>
      <c r="CA64" s="211">
        <f>IF(ISNUMBER(CA11),CA11+CA14+CA20,"")</f>
        <v>222582</v>
      </c>
      <c r="CB64" s="254">
        <f>IF(ISNUMBER(CB11),CB11+CB14+CB20,"")</f>
        <v>64141.956809844</v>
      </c>
      <c r="CC64" s="254">
        <f>IF(ISNUMBER(CC11),CC11+CC14+CC20,"")</f>
        <v>67597.8465110008</v>
      </c>
      <c r="CD64" s="254">
        <f>IF(ISNUMBER(CD11),CD11+CD14+CD20,"")</f>
        <v>71526.8594019303</v>
      </c>
      <c r="CE64" s="254">
        <f>IF(ISNUMBER(CE11),CE11+CE14+CE20,"")</f>
        <v>77967.6522332296</v>
      </c>
      <c r="CF64" s="254">
        <f>IF(ISNUMBER(CF11),CF11+CF14+CF20,"")</f>
        <v>281234.314956005</v>
      </c>
      <c r="CG64" s="254">
        <f>IF(ISNUMBER(CG11),CG11+CG14+CG20,"")</f>
        <v>345346.383699712</v>
      </c>
      <c r="CH64" s="254">
        <f>IF(ISNUMBER(CH11),CH11+CH14+CH20,"")</f>
        <v>413915.742927501</v>
      </c>
      <c r="CI64" s="254">
        <f>IF(ISNUMBER(CI11),CI11+CI14+CI20,"")</f>
        <v>484027.894713496</v>
      </c>
      <c r="CJ64" s="254">
        <f>IF(ISNUMBER(CJ11),CJ11+CJ14+CJ20,"")</f>
        <v>553757.566116912</v>
      </c>
      <c r="CK64" s="19" t="inlineStr">
        <is>
          <t>Industry solutions includes on-premises products; Microsoft Cloud (company metric) counts only Industry solutions cloud — this row is a labelled proxy.</t>
        </is>
      </c>
      <c r="CM64" s="20">
        <f>IFERROR((CJ64/CA64)^(1/5)-1,"n/m")</f>
        <v>0.199957671388461</v>
      </c>
      <c r="CN64" s="20" t="str">
        <f>IFERROR((CA64/BB64)^(1/5)-1,"n/m")</f>
        <v>n/m</v>
      </c>
      <c r="CO64" s="20" t="str">
        <f>IFERROR((CA64/AC64)^(1/10)-1,"n/m")</f>
        <v>n/m</v>
      </c>
      <c r="CP64" s="20" t="str">
        <f>IFERROR((CA64/C64)^(1/20)-1,"n/m")</f>
        <v>n/m</v>
      </c>
      <c r="CS64" s="25" t="inlineStr">
        <is>
          <t xml:space="preserve">  2030E</t>
        </is>
      </c>
      <c r="CT64" s="33">
        <f>CU64+$CT$61</f>
        <v>0.04</v>
      </c>
      <c r="CU64" s="42" t="n">
        <v>0.01</v>
      </c>
      <c r="CV64" s="33">
        <f>CU64+$CV$61</f>
        <v>-0.03</v>
      </c>
    </row>
    <row r="65" ht="15" customHeight="1" s="251">
      <c r="B65" s="22" t="inlineStr">
        <is>
          <t xml:space="preserve">    y/y %</t>
        </is>
      </c>
      <c r="C65" s="23" t="n"/>
      <c r="D65" s="255">
        <f>IF(AND(ISNUMBER(D64),ISNUMBER(C64)),IFERROR(D64/C64-1,""),"")</f>
      </c>
      <c r="E65" s="255">
        <f>IF(AND(ISNUMBER(E64),ISNUMBER(D64)),IFERROR(E64/D64-1,""),"")</f>
      </c>
      <c r="F65" s="255">
        <f>IF(AND(ISNUMBER(F64),ISNUMBER(E64)),IFERROR(F64/E64-1,""),"")</f>
      </c>
      <c r="G65" s="255">
        <f>IF(AND(ISNUMBER(G64),ISNUMBER(F64)),IFERROR(G64/F64-1,""),"")</f>
      </c>
      <c r="H65" s="255">
        <f>IF(AND(ISNUMBER(H64),ISNUMBER(G64)),IFERROR(H64/G64-1,""),"")</f>
      </c>
      <c r="I65" s="255">
        <f>IF(AND(ISNUMBER(I64),ISNUMBER(H64)),IFERROR(I64/H64-1,""),"")</f>
      </c>
      <c r="J65" s="23" t="n"/>
      <c r="K65" s="23" t="n"/>
      <c r="L65" s="23" t="n"/>
      <c r="M65" s="23" t="n"/>
      <c r="N65" s="255">
        <f>IF(AND(ISNUMBER(N64),ISNUMBER(I64)),IFERROR(N64/I64-1,""),"")</f>
      </c>
      <c r="O65" s="255">
        <f>IF(AND(ISNUMBER(O64),ISNUMBER(J64)),IFERROR(O64/J64-1,""),"")</f>
      </c>
      <c r="P65" s="255">
        <f>IF(AND(ISNUMBER(P64),ISNUMBER(K64)),IFERROR(P64/K64-1,""),"")</f>
      </c>
      <c r="Q65" s="255">
        <f>IF(AND(ISNUMBER(Q64),ISNUMBER(L64)),IFERROR(Q64/L64-1,""),"")</f>
      </c>
      <c r="R65" s="255">
        <f>IF(AND(ISNUMBER(R64),ISNUMBER(M64)),IFERROR(R64/M64-1,""),"")</f>
      </c>
      <c r="S65" s="255">
        <f>IF(AND(ISNUMBER(S64),ISNUMBER(N64)),IFERROR(S64/N64-1,""),"")</f>
      </c>
      <c r="T65" s="255">
        <f>IF(AND(ISNUMBER(T64),ISNUMBER(O64)),IFERROR(T64/O64-1,""),"")</f>
      </c>
      <c r="U65" s="255">
        <f>IF(AND(ISNUMBER(U64),ISNUMBER(P64)),IFERROR(U64/P64-1,""),"")</f>
      </c>
      <c r="V65" s="255">
        <f>IF(AND(ISNUMBER(V64),ISNUMBER(Q64)),IFERROR(V64/Q64-1,""),"")</f>
      </c>
      <c r="W65" s="255">
        <f>IF(AND(ISNUMBER(W64),ISNUMBER(R64)),IFERROR(W64/R64-1,""),"")</f>
      </c>
      <c r="X65" s="255">
        <f>IF(AND(ISNUMBER(X64),ISNUMBER(S64)),IFERROR(X64/S64-1,""),"")</f>
      </c>
      <c r="Y65" s="255">
        <f>IF(AND(ISNUMBER(Y64),ISNUMBER(T64)),IFERROR(Y64/T64-1,""),"")</f>
      </c>
      <c r="Z65" s="255">
        <f>IF(AND(ISNUMBER(Z64),ISNUMBER(U64)),IFERROR(Z64/U64-1,""),"")</f>
      </c>
      <c r="AA65" s="255">
        <f>IF(AND(ISNUMBER(AA64),ISNUMBER(V64)),IFERROR(AA64/V64-1,""),"")</f>
      </c>
      <c r="AB65" s="255">
        <f>IF(AND(ISNUMBER(AB64),ISNUMBER(W64)),IFERROR(AB64/W64-1,""),"")</f>
      </c>
      <c r="AC65" s="255">
        <f>IF(AND(ISNUMBER(AC64),ISNUMBER(X64)),IFERROR(AC64/X64-1,""),"")</f>
      </c>
      <c r="AD65" s="255">
        <f>IF(AND(ISNUMBER(AD64),ISNUMBER(Y64)),IFERROR(AD64/Y64-1,""),"")</f>
      </c>
      <c r="AE65" s="255">
        <f>IF(AND(ISNUMBER(AE64),ISNUMBER(Z64)),IFERROR(AE64/Z64-1,""),"")</f>
      </c>
      <c r="AF65" s="255">
        <f>IF(AND(ISNUMBER(AF64),ISNUMBER(AA64)),IFERROR(AF64/AA64-1,""),"")</f>
      </c>
      <c r="AG65" s="255">
        <f>IF(AND(ISNUMBER(AG64),ISNUMBER(AB64)),IFERROR(AG64/AB64-1,""),"")</f>
      </c>
      <c r="AH65" s="255">
        <f>IF(AND(ISNUMBER(AH64),ISNUMBER(AC64)),IFERROR(AH64/AC64-1,""),"")</f>
      </c>
      <c r="AI65" s="255">
        <f>IF(AND(ISNUMBER(AI64),ISNUMBER(AD64)),IFERROR(AI64/AD64-1,""),"")</f>
      </c>
      <c r="AJ65" s="255">
        <f>IF(AND(ISNUMBER(AJ64),ISNUMBER(AE64)),IFERROR(AJ64/AE64-1,""),"")</f>
      </c>
      <c r="AK65" s="255">
        <f>IF(AND(ISNUMBER(AK64),ISNUMBER(AF64)),IFERROR(AK64/AF64-1,""),"")</f>
      </c>
      <c r="AL65" s="255">
        <f>IF(AND(ISNUMBER(AL64),ISNUMBER(AG64)),IFERROR(AL64/AG64-1,""),"")</f>
      </c>
      <c r="AM65" s="255">
        <f>IF(AND(ISNUMBER(AM64),ISNUMBER(AH64)),IFERROR(AM64/AH64-1,""),"")</f>
      </c>
      <c r="AN65" s="255">
        <f>IF(AND(ISNUMBER(AN64),ISNUMBER(AI64)),IFERROR(AN64/AI64-1,""),"")</f>
      </c>
      <c r="AO65" s="255">
        <f>IF(AND(ISNUMBER(AO64),ISNUMBER(AJ64)),IFERROR(AO64/AJ64-1,""),"")</f>
      </c>
      <c r="AP65" s="255">
        <f>IF(AND(ISNUMBER(AP64),ISNUMBER(AK64)),IFERROR(AP64/AK64-1,""),"")</f>
      </c>
      <c r="AQ65" s="255">
        <f>IF(AND(ISNUMBER(AQ64),ISNUMBER(AL64)),IFERROR(AQ64/AL64-1,""),"")</f>
      </c>
      <c r="AR65" s="255">
        <f>IF(AND(ISNUMBER(AR64),ISNUMBER(AM64)),IFERROR(AR64/AM64-1,""),"")</f>
      </c>
      <c r="AS65" s="255">
        <f>IF(AND(ISNUMBER(AS64),ISNUMBER(AN64)),IFERROR(AS64/AN64-1,""),"")</f>
      </c>
      <c r="AT65" s="255">
        <f>IF(AND(ISNUMBER(AT64),ISNUMBER(AO64)),IFERROR(AT64/AO64-1,""),"")</f>
      </c>
      <c r="AU65" s="255">
        <f>IF(AND(ISNUMBER(AU64),ISNUMBER(AP64)),IFERROR(AU64/AP64-1,""),"")</f>
      </c>
      <c r="AV65" s="255">
        <f>IF(AND(ISNUMBER(AV64),ISNUMBER(AQ64)),IFERROR(AV64/AQ64-1,""),"")</f>
      </c>
      <c r="AW65" s="255">
        <f>IF(AND(ISNUMBER(AW64),ISNUMBER(AR64)),IFERROR(AW64/AR64-1,""),"")</f>
      </c>
      <c r="AX65" s="255">
        <f>IF(AND(ISNUMBER(AX64),ISNUMBER(AS64)),IFERROR(AX64/AS64-1,""),"")</f>
      </c>
      <c r="AY65" s="255">
        <f>IF(AND(ISNUMBER(AY64),ISNUMBER(AT64)),IFERROR(AY64/AT64-1,""),"")</f>
      </c>
      <c r="AZ65" s="255">
        <f>IF(AND(ISNUMBER(AZ64),ISNUMBER(AU64)),IFERROR(AZ64/AU64-1,""),"")</f>
      </c>
      <c r="BA65" s="255">
        <f>IF(AND(ISNUMBER(BA64),ISNUMBER(AV64)),IFERROR(BA64/AV64-1,""),"")</f>
      </c>
      <c r="BB65" s="255">
        <f>IF(AND(ISNUMBER(BB64),ISNUMBER(AW64)),IFERROR(BB64/AW64-1,""),"")</f>
      </c>
      <c r="BC65" s="255">
        <f>IF(AND(ISNUMBER(BC64),ISNUMBER(AX64)),IFERROR(BC64/AX64-1,""),"")</f>
      </c>
      <c r="BD65" s="255">
        <f>IF(AND(ISNUMBER(BD64),ISNUMBER(AY64)),IFERROR(BD64/AY64-1,""),"")</f>
      </c>
      <c r="BE65" s="255">
        <f>IF(AND(ISNUMBER(BE64),ISNUMBER(AZ64)),IFERROR(BE64/AZ64-1,""),"")</f>
      </c>
      <c r="BF65" s="255">
        <f>IF(AND(ISNUMBER(BF64),ISNUMBER(BA64)),IFERROR(BF64/BA64-1,""),"")</f>
      </c>
      <c r="BG65" s="255">
        <f>IF(AND(ISNUMBER(BG64),ISNUMBER(BB64)),IFERROR(BG64/BB64-1,""),"")</f>
      </c>
      <c r="BH65" s="255">
        <f>IF(AND(ISNUMBER(BH64),ISNUMBER(BC64)),IFERROR(BH64/BC64-1,""),"")</f>
      </c>
      <c r="BI65" s="255">
        <f>IF(AND(ISNUMBER(BI64),ISNUMBER(BD64)),IFERROR(BI64/BD64-1,""),"")</f>
      </c>
      <c r="BJ65" s="255">
        <f>IF(AND(ISNUMBER(BJ64),ISNUMBER(BE64)),IFERROR(BJ64/BE64-1,""),"")</f>
      </c>
      <c r="BK65" s="255">
        <f>IF(AND(ISNUMBER(BK64),ISNUMBER(BF64)),IFERROR(BK64/BF64-1,""),"")</f>
      </c>
      <c r="BL65" s="255">
        <f>IF(AND(ISNUMBER(BL64),ISNUMBER(BG64)),IFERROR(BL64/BG64-1,""),"")</f>
      </c>
      <c r="BM65" s="255">
        <f>IF(AND(ISNUMBER(BM64),ISNUMBER(BH64)),IFERROR(BM64/BH64-1,""),"")</f>
      </c>
      <c r="BN65" s="255">
        <f>IF(AND(ISNUMBER(BN64),ISNUMBER(BI64)),IFERROR(BN64/BI64-1,""),"")</f>
      </c>
      <c r="BO65" s="255">
        <f>IF(AND(ISNUMBER(BO64),ISNUMBER(BJ64)),IFERROR(BO64/BJ64-1,""),"")</f>
      </c>
      <c r="BP65" s="255">
        <f>IF(AND(ISNUMBER(BP64),ISNUMBER(BK64)),IFERROR(BP64/BK64-1,""),"")</f>
      </c>
      <c r="BQ65" s="255">
        <f>IF(AND(ISNUMBER(BQ64),ISNUMBER(BL64)),IFERROR(BQ64/BL64-1,""),"")</f>
      </c>
      <c r="BR65" s="255">
        <f>IF(AND(ISNUMBER(BR64),ISNUMBER(BM64)),IFERROR(BR64/BM64-1,""),"")</f>
      </c>
      <c r="BS65" s="255">
        <f>IF(AND(ISNUMBER(BS64),ISNUMBER(BN64)),IFERROR(BS64/BN64-1,""),"")</f>
      </c>
      <c r="BT65" s="255">
        <f>IF(AND(ISNUMBER(BT64),ISNUMBER(BO64)),IFERROR(BT64/BO64-1,""),"")</f>
      </c>
      <c r="BU65" s="255">
        <f>IF(AND(ISNUMBER(BU64),ISNUMBER(BP64)),IFERROR(BU64/BP64-1,""),"")</f>
      </c>
      <c r="BV65" s="255">
        <f>IF(AND(ISNUMBER(BV64),ISNUMBER(BQ64)),IFERROR(BV64/BQ64-1,""),"")</f>
      </c>
      <c r="BW65" s="255">
        <f>IF(AND(ISNUMBER(BW64),ISNUMBER(BR64)),IFERROR(BW64/BR64-1,""),"")</f>
        <v>0.258661135392745</v>
      </c>
      <c r="BX65" s="255">
        <f>IF(AND(ISNUMBER(BX64),ISNUMBER(BS64)),IFERROR(BX64/BS64-1,""),"")</f>
        <v>0.258932976249207</v>
      </c>
      <c r="BY65" s="255">
        <f>IF(AND(ISNUMBER(BY64),ISNUMBER(BT64)),IFERROR(BY64/BT64-1,""),"")</f>
        <v>0.283650138365921</v>
      </c>
      <c r="BZ65" s="255">
        <f>IF(AND(ISNUMBER(BZ64),ISNUMBER(BU64)),IFERROR(BZ64/BU64-1,""),"")</f>
        <v>0.267068190256178</v>
      </c>
      <c r="CA65" s="255">
        <f>IF(AND(ISNUMBER(CA64),ISNUMBER(BV64)),IFERROR(CA64/BV64-1,""),"")</f>
        <v>0.267320306094561</v>
      </c>
      <c r="CB65" s="256">
        <f>IF(AND(ISNUMBER(CB64),ISNUMBER(BW64)),IFERROR(CB64/BW64-1,""),"")</f>
        <v>0.258376300907242</v>
      </c>
      <c r="CC65" s="256">
        <f>IF(AND(ISNUMBER(CC64),ISNUMBER(BX64)),IFERROR(CC64/BX64-1,""),"")</f>
        <v>0.261412724831604</v>
      </c>
      <c r="CD65" s="256">
        <f>IF(AND(ISNUMBER(CD64),ISNUMBER(BY64)),IFERROR(CD64/BY64-1,""),"")</f>
        <v>0.263926408827027</v>
      </c>
      <c r="CE65" s="256">
        <f>IF(AND(ISNUMBER(CE64),ISNUMBER(BZ64)),IFERROR(CE64/BZ64-1,""),"")</f>
        <v>0.269211333765744</v>
      </c>
      <c r="CF65" s="256">
        <f>IF(AND(ISNUMBER(CF64),ISNUMBER(CA64)),IFERROR(CF64/CA64-1,""),"")</f>
        <v>0.26350879656039</v>
      </c>
      <c r="CG65" s="256">
        <f>IF(AND(ISNUMBER(CG64),ISNUMBER(CF64)),IFERROR(CG64/CF64-1,""),"")</f>
        <v>0.227966735687061</v>
      </c>
      <c r="CH65" s="256">
        <f>IF(AND(ISNUMBER(CH64),ISNUMBER(CG64)),IFERROR(CH64/CG64-1,""),"")</f>
        <v>0.198552417121624</v>
      </c>
      <c r="CI65" s="256">
        <f>IF(AND(ISNUMBER(CI64),ISNUMBER(CH64)),IFERROR(CI64/CH64-1,""),"")</f>
        <v>0.16938749729622</v>
      </c>
      <c r="CJ65" s="256">
        <f>IF(AND(ISNUMBER(CJ64),ISNUMBER(CI64)),IFERROR(CJ64/CI64-1,""),"")</f>
        <v>0.144061266230719</v>
      </c>
      <c r="CK65" s="153" t="n"/>
      <c r="CS65" s="25" t="inlineStr">
        <is>
          <t xml:space="preserve">  2031E</t>
        </is>
      </c>
      <c r="CT65" s="33">
        <f>CU65+$CT$61</f>
        <v>0.04</v>
      </c>
      <c r="CU65" s="42" t="n">
        <v>0.01</v>
      </c>
      <c r="CV65" s="33">
        <f>CU65+$CV$61</f>
        <v>-0.03</v>
      </c>
    </row>
    <row r="66" ht="15" customHeight="1" s="251">
      <c r="B66" s="22" t="inlineStr">
        <is>
          <t xml:space="preserve">  Contribution to total revenue growth — Agents and Infra (pp)</t>
        </is>
      </c>
      <c r="C66" s="23" t="n"/>
      <c r="D66" s="255">
        <f>IFERROR((D26-C26)/C130,"")</f>
      </c>
      <c r="E66" s="255">
        <f>IFERROR((E26-D26)/D130,"")</f>
      </c>
      <c r="F66" s="255">
        <f>IFERROR((F26-E26)/E130,"")</f>
      </c>
      <c r="G66" s="255">
        <f>IFERROR((G26-F26)/F130,"")</f>
      </c>
      <c r="H66" s="255">
        <f>IFERROR((H26-G26)/G130,"")</f>
      </c>
      <c r="I66" s="255">
        <f>IFERROR((I26-H26)/H130,"")</f>
      </c>
      <c r="J66" s="23" t="n"/>
      <c r="K66" s="23" t="n"/>
      <c r="L66" s="23" t="n"/>
      <c r="M66" s="23" t="n"/>
      <c r="N66" s="255">
        <f>IFERROR((N26-I26)/I130,"")</f>
      </c>
      <c r="O66" s="255">
        <f>IFERROR((O26-J26)/J130,"")</f>
      </c>
      <c r="P66" s="255">
        <f>IFERROR((P26-K26)/K130,"")</f>
      </c>
      <c r="Q66" s="255">
        <f>IFERROR((Q26-L26)/L130,"")</f>
      </c>
      <c r="R66" s="255">
        <f>IFERROR((R26-M26)/M130,"")</f>
      </c>
      <c r="S66" s="255">
        <f>IFERROR((S26-N26)/N130,"")</f>
      </c>
      <c r="T66" s="255">
        <f>IFERROR((T26-O26)/O130,"")</f>
      </c>
      <c r="U66" s="255">
        <f>IFERROR((U26-P26)/P130,"")</f>
      </c>
      <c r="V66" s="255">
        <f>IFERROR((V26-Q26)/Q130,"")</f>
      </c>
      <c r="W66" s="255">
        <f>IFERROR((W26-R26)/R130,"")</f>
      </c>
      <c r="X66" s="255">
        <f>IFERROR((X26-S26)/S130,"")</f>
      </c>
      <c r="Y66" s="255">
        <f>IFERROR((Y26-T26)/T130,"")</f>
      </c>
      <c r="Z66" s="255">
        <f>IFERROR((Z26-U26)/U130,"")</f>
      </c>
      <c r="AA66" s="255">
        <f>IFERROR((AA26-V26)/V130,"")</f>
      </c>
      <c r="AB66" s="255">
        <f>IFERROR((AB26-W26)/W130,"")</f>
      </c>
      <c r="AC66" s="255">
        <f>IFERROR((AC26-X26)/X130,"")</f>
      </c>
      <c r="AD66" s="255">
        <f>IFERROR((AD26-Y26)/Y130,"")</f>
      </c>
      <c r="AE66" s="255">
        <f>IFERROR((AE26-Z26)/Z130,"")</f>
      </c>
      <c r="AF66" s="255">
        <f>IFERROR((AF26-AA26)/AA130,"")</f>
      </c>
      <c r="AG66" s="255">
        <f>IFERROR((AG26-AB26)/AB130,"")</f>
      </c>
      <c r="AH66" s="255">
        <f>IFERROR((AH26-AC26)/AC130,"")</f>
      </c>
      <c r="AI66" s="255">
        <f>IFERROR((AI26-AD26)/AD130,"")</f>
      </c>
      <c r="AJ66" s="255">
        <f>IFERROR((AJ26-AE26)/AE130,"")</f>
      </c>
      <c r="AK66" s="255">
        <f>IFERROR((AK26-AF26)/AF130,"")</f>
      </c>
      <c r="AL66" s="255">
        <f>IFERROR((AL26-AG26)/AG130,"")</f>
      </c>
      <c r="AM66" s="255">
        <f>IFERROR((AM26-AH26)/AH130,"")</f>
      </c>
      <c r="AN66" s="255">
        <f>IFERROR((AN26-AI26)/AI130,"")</f>
      </c>
      <c r="AO66" s="255">
        <f>IFERROR((AO26-AJ26)/AJ130,"")</f>
      </c>
      <c r="AP66" s="255">
        <f>IFERROR((AP26-AK26)/AK130,"")</f>
      </c>
      <c r="AQ66" s="255">
        <f>IFERROR((AQ26-AL26)/AL130,"")</f>
      </c>
      <c r="AR66" s="255">
        <f>IFERROR((AR26-AM26)/AM130,"")</f>
      </c>
      <c r="AS66" s="255">
        <f>IFERROR((AS26-AN26)/AN130,"")</f>
      </c>
      <c r="AT66" s="255">
        <f>IFERROR((AT26-AO26)/AO130,"")</f>
      </c>
      <c r="AU66" s="255">
        <f>IFERROR((AU26-AP26)/AP130,"")</f>
      </c>
      <c r="AV66" s="255">
        <f>IFERROR((AV26-AQ26)/AQ130,"")</f>
      </c>
      <c r="AW66" s="255">
        <f>IFERROR((AW26-AR26)/AR130,"")</f>
      </c>
      <c r="AX66" s="255">
        <f>IFERROR((AX26-AS26)/AS130,"")</f>
      </c>
      <c r="AY66" s="255">
        <f>IFERROR((AY26-AT26)/AT130,"")</f>
      </c>
      <c r="AZ66" s="255">
        <f>IFERROR((AZ26-AU26)/AU130,"")</f>
      </c>
      <c r="BA66" s="255">
        <f>IFERROR((BA26-AV26)/AV130,"")</f>
      </c>
      <c r="BB66" s="255">
        <f>IFERROR((BB26-AW26)/AW130,"")</f>
      </c>
      <c r="BC66" s="255">
        <f>IFERROR((BC26-AX26)/AX130,"")</f>
      </c>
      <c r="BD66" s="255">
        <f>IFERROR((BD26-AY26)/AY130,"")</f>
      </c>
      <c r="BE66" s="255">
        <f>IFERROR((BE26-AZ26)/AZ130,"")</f>
      </c>
      <c r="BF66" s="255">
        <f>IFERROR((BF26-BA26)/BA130,"")</f>
      </c>
      <c r="BG66" s="255">
        <f>IFERROR((BG26-BB26)/BB130,"")</f>
      </c>
      <c r="BH66" s="255">
        <f>IFERROR((BH26-BC26)/BC130,"")</f>
      </c>
      <c r="BI66" s="255">
        <f>IFERROR((BI26-BD26)/BD130,"")</f>
      </c>
      <c r="BJ66" s="255">
        <f>IFERROR((BJ26-BE26)/BE130,"")</f>
      </c>
      <c r="BK66" s="255">
        <f>IFERROR((BK26-BF26)/BF130,"")</f>
      </c>
      <c r="BL66" s="255">
        <f>IFERROR((BL26-BG26)/BG130,"")</f>
      </c>
      <c r="BM66" s="255">
        <f>IFERROR((BM26-BH26)/BH130,"")</f>
      </c>
      <c r="BN66" s="255">
        <f>IFERROR((BN26-BI26)/BI130,"")</f>
      </c>
      <c r="BO66" s="255">
        <f>IFERROR((BO26-BJ26)/BJ130,"")</f>
      </c>
      <c r="BP66" s="255">
        <f>IFERROR((BP26-BK26)/BK130,"")</f>
      </c>
      <c r="BQ66" s="255">
        <f>IFERROR((BQ26-BL26)/BL130,"")</f>
      </c>
      <c r="BR66" s="255">
        <f>IFERROR((BR26-BM26)/BM130,"")</f>
      </c>
      <c r="BS66" s="255">
        <f>IFERROR((BS26-BN26)/BN130,"")</f>
      </c>
      <c r="BT66" s="255">
        <f>IFERROR((BT26-BO26)/BO130,"")</f>
      </c>
      <c r="BU66" s="255">
        <f>IFERROR((BU26-BP26)/BP130,"")</f>
      </c>
      <c r="BV66" s="255">
        <f>IFERROR((BV26-BQ26)/BQ130,"")</f>
      </c>
      <c r="BW66" s="255">
        <f>IFERROR((BW26-BR26)/BR130,"")</f>
        <v>0.170709765952581</v>
      </c>
      <c r="BX66" s="255">
        <f>IFERROR((BX26-BS26)/BS130,"")</f>
        <v>0.167667164522059</v>
      </c>
      <c r="BY66" s="255">
        <f>IFERROR((BY26-BT26)/BT130,"")</f>
        <v>0.18090086489881</v>
      </c>
      <c r="BZ66" s="255">
        <f>IFERROR((BZ26-BU26)/BU130,"")</f>
        <v>0.180505226252927</v>
      </c>
      <c r="CA66" s="255">
        <f>IFERROR((CA26-BV26)/BV130,"")</f>
        <v>0.175150146952336</v>
      </c>
      <c r="CB66" s="256">
        <f>IFERROR((CB26-BW26)/BW130,"")</f>
        <v>0.177384676786013</v>
      </c>
      <c r="CC66" s="256">
        <f>IFERROR((CC26-BX26)/BX130,"")</f>
        <v>0.179957314521568</v>
      </c>
      <c r="CD66" s="256">
        <f>IFERROR((CD26-BY26)/BY130,"")</f>
        <v>0.18762922931078</v>
      </c>
      <c r="CE66" s="256">
        <f>IFERROR((CE26-BZ26)/BZ130,"")</f>
        <v>0.192083723067898</v>
      </c>
      <c r="CF66" s="256">
        <f>IFERROR((CF26-CA26)/CA130,"")</f>
        <v>0.184560545282312</v>
      </c>
      <c r="CG66" s="256">
        <f>IFERROR((CG26-CF26)/CF130,"")</f>
        <v>0.163623455869353</v>
      </c>
      <c r="CH66" s="256">
        <f>IFERROR((CH26-CG26)/CG130,"")</f>
        <v>0.149658484344404</v>
      </c>
      <c r="CI66" s="256">
        <f>IFERROR((CI26-CH26)/CH130,"")</f>
        <v>0.131446239426128</v>
      </c>
      <c r="CJ66" s="256">
        <f>IFERROR((CJ26-CI26)/CI130,"")</f>
        <v>0.114982288402957</v>
      </c>
      <c r="CK66" s="153" t="n"/>
      <c r="CS66" s="15" t="inlineStr">
        <is>
          <t>AI_M (Agents and Infra operating margin)</t>
        </is>
      </c>
      <c r="CT66" s="41" t="n">
        <v>0.02</v>
      </c>
      <c r="CU66" s="21" t="inlineStr">
        <is>
          <t>Δ →</t>
        </is>
      </c>
      <c r="CV66" s="41" t="n">
        <v>-0.04</v>
      </c>
      <c r="CW66" s="13" t="inlineStr">
        <is>
          <t>FY26 50.9% (FY25 50.6%; Q4/26 49.3%); depreciation from the FY26–27 capex wave (FY26 $34bn, +56%) compresses margins before operating leverage. Assumption.</t>
        </is>
      </c>
    </row>
    <row r="67" ht="15" customHeight="1" s="251">
      <c r="B67" s="22" t="inlineStr">
        <is>
          <t xml:space="preserve">  Contribution to total revenue growth — Devices and Consumer (pp)</t>
        </is>
      </c>
      <c r="C67" s="23" t="n"/>
      <c r="D67" s="255">
        <f>IFERROR((D49-C49)/C130,"")</f>
      </c>
      <c r="E67" s="255">
        <f>IFERROR((E49-D49)/D130,"")</f>
      </c>
      <c r="F67" s="255">
        <f>IFERROR((F49-E49)/E130,"")</f>
      </c>
      <c r="G67" s="255">
        <f>IFERROR((G49-F49)/F130,"")</f>
      </c>
      <c r="H67" s="255">
        <f>IFERROR((H49-G49)/G130,"")</f>
      </c>
      <c r="I67" s="255">
        <f>IFERROR((I49-H49)/H130,"")</f>
      </c>
      <c r="J67" s="23" t="n"/>
      <c r="K67" s="23" t="n"/>
      <c r="L67" s="23" t="n"/>
      <c r="M67" s="23" t="n"/>
      <c r="N67" s="255">
        <f>IFERROR((N49-I49)/I130,"")</f>
      </c>
      <c r="O67" s="255">
        <f>IFERROR((O49-J49)/J130,"")</f>
      </c>
      <c r="P67" s="255">
        <f>IFERROR((P49-K49)/K130,"")</f>
      </c>
      <c r="Q67" s="255">
        <f>IFERROR((Q49-L49)/L130,"")</f>
      </c>
      <c r="R67" s="255">
        <f>IFERROR((R49-M49)/M130,"")</f>
      </c>
      <c r="S67" s="255">
        <f>IFERROR((S49-N49)/N130,"")</f>
      </c>
      <c r="T67" s="255">
        <f>IFERROR((T49-O49)/O130,"")</f>
      </c>
      <c r="U67" s="255">
        <f>IFERROR((U49-P49)/P130,"")</f>
      </c>
      <c r="V67" s="255">
        <f>IFERROR((V49-Q49)/Q130,"")</f>
      </c>
      <c r="W67" s="255">
        <f>IFERROR((W49-R49)/R130,"")</f>
      </c>
      <c r="X67" s="255">
        <f>IFERROR((X49-S49)/S130,"")</f>
      </c>
      <c r="Y67" s="255">
        <f>IFERROR((Y49-T49)/T130,"")</f>
      </c>
      <c r="Z67" s="255">
        <f>IFERROR((Z49-U49)/U130,"")</f>
      </c>
      <c r="AA67" s="255">
        <f>IFERROR((AA49-V49)/V130,"")</f>
      </c>
      <c r="AB67" s="255">
        <f>IFERROR((AB49-W49)/W130,"")</f>
      </c>
      <c r="AC67" s="255">
        <f>IFERROR((AC49-X49)/X130,"")</f>
      </c>
      <c r="AD67" s="255">
        <f>IFERROR((AD49-Y49)/Y130,"")</f>
      </c>
      <c r="AE67" s="255">
        <f>IFERROR((AE49-Z49)/Z130,"")</f>
      </c>
      <c r="AF67" s="255">
        <f>IFERROR((AF49-AA49)/AA130,"")</f>
      </c>
      <c r="AG67" s="255">
        <f>IFERROR((AG49-AB49)/AB130,"")</f>
      </c>
      <c r="AH67" s="255">
        <f>IFERROR((AH49-AC49)/AC130,"")</f>
      </c>
      <c r="AI67" s="255">
        <f>IFERROR((AI49-AD49)/AD130,"")</f>
      </c>
      <c r="AJ67" s="255">
        <f>IFERROR((AJ49-AE49)/AE130,"")</f>
      </c>
      <c r="AK67" s="255">
        <f>IFERROR((AK49-AF49)/AF130,"")</f>
      </c>
      <c r="AL67" s="255">
        <f>IFERROR((AL49-AG49)/AG130,"")</f>
      </c>
      <c r="AM67" s="255">
        <f>IFERROR((AM49-AH49)/AH130,"")</f>
      </c>
      <c r="AN67" s="255">
        <f>IFERROR((AN49-AI49)/AI130,"")</f>
      </c>
      <c r="AO67" s="255">
        <f>IFERROR((AO49-AJ49)/AJ130,"")</f>
      </c>
      <c r="AP67" s="255">
        <f>IFERROR((AP49-AK49)/AK130,"")</f>
      </c>
      <c r="AQ67" s="255">
        <f>IFERROR((AQ49-AL49)/AL130,"")</f>
      </c>
      <c r="AR67" s="255">
        <f>IFERROR((AR49-AM49)/AM130,"")</f>
      </c>
      <c r="AS67" s="255">
        <f>IFERROR((AS49-AN49)/AN130,"")</f>
      </c>
      <c r="AT67" s="255">
        <f>IFERROR((AT49-AO49)/AO130,"")</f>
      </c>
      <c r="AU67" s="255">
        <f>IFERROR((AU49-AP49)/AP130,"")</f>
      </c>
      <c r="AV67" s="255">
        <f>IFERROR((AV49-AQ49)/AQ130,"")</f>
      </c>
      <c r="AW67" s="255">
        <f>IFERROR((AW49-AR49)/AR130,"")</f>
      </c>
      <c r="AX67" s="255">
        <f>IFERROR((AX49-AS49)/AS130,"")</f>
      </c>
      <c r="AY67" s="255">
        <f>IFERROR((AY49-AT49)/AT130,"")</f>
      </c>
      <c r="AZ67" s="255">
        <f>IFERROR((AZ49-AU49)/AU130,"")</f>
      </c>
      <c r="BA67" s="255">
        <f>IFERROR((BA49-AV49)/AV130,"")</f>
      </c>
      <c r="BB67" s="255">
        <f>IFERROR((BB49-AW49)/AW130,"")</f>
      </c>
      <c r="BC67" s="255">
        <f>IFERROR((BC49-AX49)/AX130,"")</f>
      </c>
      <c r="BD67" s="255">
        <f>IFERROR((BD49-AY49)/AY130,"")</f>
      </c>
      <c r="BE67" s="255">
        <f>IFERROR((BE49-AZ49)/AZ130,"")</f>
      </c>
      <c r="BF67" s="255">
        <f>IFERROR((BF49-BA49)/BA130,"")</f>
      </c>
      <c r="BG67" s="255">
        <f>IFERROR((BG49-BB49)/BB130,"")</f>
      </c>
      <c r="BH67" s="255">
        <f>IFERROR((BH49-BC49)/BC130,"")</f>
      </c>
      <c r="BI67" s="255">
        <f>IFERROR((BI49-BD49)/BD130,"")</f>
      </c>
      <c r="BJ67" s="255">
        <f>IFERROR((BJ49-BE49)/BE130,"")</f>
      </c>
      <c r="BK67" s="255">
        <f>IFERROR((BK49-BF49)/BF130,"")</f>
      </c>
      <c r="BL67" s="255">
        <f>IFERROR((BL49-BG49)/BG130,"")</f>
      </c>
      <c r="BM67" s="255">
        <f>IFERROR((BM49-BH49)/BH130,"")</f>
      </c>
      <c r="BN67" s="255">
        <f>IFERROR((BN49-BI49)/BI130,"")</f>
      </c>
      <c r="BO67" s="255">
        <f>IFERROR((BO49-BJ49)/BJ130,"")</f>
      </c>
      <c r="BP67" s="255">
        <f>IFERROR((BP49-BK49)/BK130,"")</f>
      </c>
      <c r="BQ67" s="255">
        <f>IFERROR((BQ49-BL49)/BL130,"")</f>
      </c>
      <c r="BR67" s="255">
        <f>IFERROR((BR49-BM49)/BM130,"")</f>
      </c>
      <c r="BS67" s="255">
        <f>IFERROR((BS49-BN49)/BN130,"")</f>
      </c>
      <c r="BT67" s="255">
        <f>IFERROR((BT49-BO49)/BO130,"")</f>
      </c>
      <c r="BU67" s="255">
        <f>IFERROR((BU49-BP49)/BP130,"")</f>
      </c>
      <c r="BV67" s="255">
        <f>IFERROR((BV49-BQ49)/BQ130,"")</f>
      </c>
      <c r="BW67" s="255">
        <f>IFERROR((BW49-BR49)/BR130,"")</f>
        <v>0.0136006708851109</v>
      </c>
      <c r="BX67" s="255">
        <f>IFERROR((BX49-BS49)/BS130,"")</f>
        <v>-0.00048828125</v>
      </c>
      <c r="BY67" s="255">
        <f>IFERROR((BY49-BT49)/BT130,"")</f>
        <v>0.00206947734992721</v>
      </c>
      <c r="BZ67" s="255">
        <f>IFERROR((BZ49-BU49)/BU130,"")</f>
        <v>-0.00303502047330621</v>
      </c>
      <c r="CA67" s="255">
        <f>IFERROR((CA49-BV49)/BV130,"")</f>
        <v>0.00273672104613026</v>
      </c>
      <c r="CB67" s="256">
        <f>IFERROR((CB49-BW49)/BW130,"")</f>
        <v>-0.0135310854479678</v>
      </c>
      <c r="CC67" s="256">
        <f>IFERROR((CC49-BX49)/BX130,"")</f>
        <v>-0.0133371953933979</v>
      </c>
      <c r="CD67" s="256">
        <f>IFERROR((CD49-BY49)/BY130,"")</f>
        <v>-0.011527850244362</v>
      </c>
      <c r="CE67" s="256">
        <f>IFERROR((CE49-BZ49)/BZ130,"")</f>
        <v>-0.0097393927194601</v>
      </c>
      <c r="CF67" s="256">
        <f>IFERROR((CF49-CA49)/CA130,"")</f>
        <v>-0.0119547877044659</v>
      </c>
      <c r="CG67" s="256">
        <f>IFERROR((CG49-CF49)/CF130,"")</f>
        <v>0.00635258018577769</v>
      </c>
      <c r="CH67" s="256">
        <f>IFERROR((CH49-CG49)/CG130,"")</f>
        <v>0.0065564949778793</v>
      </c>
      <c r="CI67" s="256">
        <f>IFERROR((CI49-CH49)/CH130,"")</f>
        <v>0.00546531233776934</v>
      </c>
      <c r="CJ67" s="256">
        <f>IFERROR((CJ49-CI49)/CI130,"")</f>
        <v>0.00508659007802382</v>
      </c>
      <c r="CK67" s="153" t="n"/>
      <c r="CS67" s="25" t="inlineStr">
        <is>
          <t xml:space="preserve">  2028E</t>
        </is>
      </c>
      <c r="CT67" s="33">
        <f>CU67+$CT$66</f>
        <v>0.49</v>
      </c>
      <c r="CU67" s="42" t="n">
        <v>0.47</v>
      </c>
      <c r="CV67" s="33">
        <f>CU67+$CV$66</f>
        <v>0.43</v>
      </c>
    </row>
    <row r="68" ht="15" customHeight="1" s="251">
      <c r="CS68" s="25" t="inlineStr">
        <is>
          <t xml:space="preserve">  2029E</t>
        </is>
      </c>
      <c r="CT68" s="33">
        <f>CU68+$CT$66</f>
        <v>0.485</v>
      </c>
      <c r="CU68" s="42" t="n">
        <v>0.465</v>
      </c>
      <c r="CV68" s="33">
        <f>CU68+$CV$66</f>
        <v>0.425</v>
      </c>
    </row>
    <row r="69" ht="15" customHeight="1" s="251">
      <c r="B69" s="14" t="inlineStr">
        <is>
          <t>Legacy segment structures — memo, as originally reported in each period's release / 10-K (not on the FY27 basis)</t>
        </is>
      </c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  <c r="AH69" s="14" t="n"/>
      <c r="AI69" s="14" t="n"/>
      <c r="AJ69" s="14" t="n"/>
      <c r="AK69" s="14" t="n"/>
      <c r="AL69" s="14" t="n"/>
      <c r="AM69" s="14" t="n"/>
      <c r="AN69" s="14" t="n"/>
      <c r="AO69" s="14" t="n"/>
      <c r="AP69" s="14" t="n"/>
      <c r="AQ69" s="14" t="n"/>
      <c r="AR69" s="14" t="n"/>
      <c r="AS69" s="14" t="n"/>
      <c r="AT69" s="14" t="n"/>
      <c r="AU69" s="14" t="n"/>
      <c r="AV69" s="14" t="n"/>
      <c r="AW69" s="14" t="n"/>
      <c r="AX69" s="14" t="n"/>
      <c r="AY69" s="14" t="n"/>
      <c r="AZ69" s="14" t="n"/>
      <c r="BA69" s="14" t="n"/>
      <c r="BB69" s="14" t="n"/>
      <c r="BC69" s="14" t="n"/>
      <c r="BD69" s="14" t="n"/>
      <c r="BE69" s="14" t="n"/>
      <c r="BF69" s="14" t="n"/>
      <c r="BG69" s="14" t="n"/>
      <c r="BH69" s="14" t="n"/>
      <c r="BI69" s="14" t="n"/>
      <c r="BJ69" s="14" t="n"/>
      <c r="BK69" s="14" t="n"/>
      <c r="BL69" s="14" t="n"/>
      <c r="BM69" s="14" t="n"/>
      <c r="BN69" s="14" t="n"/>
      <c r="BO69" s="14" t="n"/>
      <c r="BP69" s="14" t="n"/>
      <c r="BQ69" s="14" t="n"/>
      <c r="BR69" s="14" t="n"/>
      <c r="BS69" s="14" t="n"/>
      <c r="BT69" s="14" t="n"/>
      <c r="BU69" s="14" t="n"/>
      <c r="BV69" s="14" t="n"/>
      <c r="BW69" s="14" t="n"/>
      <c r="BX69" s="14" t="n"/>
      <c r="BY69" s="14" t="n"/>
      <c r="BZ69" s="14" t="n"/>
      <c r="CA69" s="14" t="n"/>
      <c r="CB69" s="14" t="n"/>
      <c r="CC69" s="14" t="n"/>
      <c r="CD69" s="14" t="n"/>
      <c r="CE69" s="14" t="n"/>
      <c r="CF69" s="14" t="n"/>
      <c r="CG69" s="14" t="n"/>
      <c r="CH69" s="14" t="n"/>
      <c r="CI69" s="14" t="n"/>
      <c r="CJ69" s="14" t="n"/>
      <c r="CK69" s="15" t="inlineStr">
        <is>
          <t>LEGACY SEGMENTS — memo only; each structure ties to consolidated revenue / profit in its own periods (check rows)</t>
        </is>
      </c>
      <c r="CS69" s="25" t="inlineStr">
        <is>
          <t xml:space="preserve">  2030E</t>
        </is>
      </c>
      <c r="CT69" s="33">
        <f>CU69+$CT$66</f>
        <v>0.49</v>
      </c>
      <c r="CU69" s="42" t="n">
        <v>0.47</v>
      </c>
      <c r="CV69" s="33">
        <f>CU69+$CV$66</f>
        <v>0.43</v>
      </c>
    </row>
    <row r="70" ht="15" customHeight="1" s="251">
      <c r="B70" s="25" t="inlineStr">
        <is>
          <t xml:space="preserve">  Productivity and Business Processes / Intelligent Cloud / More Personal Computing (FY2016–FY2026; recast Aug-2019, Aug-2024 not applied)</t>
        </is>
      </c>
      <c r="CK70" s="153" t="n"/>
      <c r="CS70" s="25" t="inlineStr">
        <is>
          <t xml:space="preserve">  2031E</t>
        </is>
      </c>
      <c r="CT70" s="33">
        <f>CU70+$CT$66</f>
        <v>0.495</v>
      </c>
      <c r="CU70" s="42" t="n">
        <v>0.475</v>
      </c>
      <c r="CV70" s="33">
        <f>CU70+$CV$66</f>
        <v>0.435</v>
      </c>
    </row>
    <row r="71" ht="15" customHeight="1" s="251">
      <c r="B71" s="156" t="inlineStr">
        <is>
          <t xml:space="preserve">    Productivity and Business Processes — revenue</t>
        </is>
      </c>
      <c r="C71" s="34" t="n"/>
      <c r="D71" s="34" t="n"/>
      <c r="E71" s="34" t="n"/>
      <c r="F71" s="34" t="n"/>
      <c r="G71" s="34" t="n"/>
      <c r="H71" s="34" t="n"/>
      <c r="I71" s="34" t="n"/>
      <c r="J71" s="34" t="n"/>
      <c r="K71" s="34" t="n"/>
      <c r="L71" s="34" t="n"/>
      <c r="M71" s="34" t="n"/>
      <c r="N71" s="34" t="n"/>
      <c r="O71" s="34" t="n"/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253" t="n">
        <v>6306</v>
      </c>
      <c r="Z71" s="253" t="n">
        <v>6690</v>
      </c>
      <c r="AA71" s="253" t="n">
        <v>6522</v>
      </c>
      <c r="AB71" s="253" t="n">
        <v>6969</v>
      </c>
      <c r="AC71" s="253" t="n">
        <v>26487</v>
      </c>
      <c r="AD71" s="253" t="n">
        <v>6658</v>
      </c>
      <c r="AE71" s="253" t="n">
        <v>7382</v>
      </c>
      <c r="AF71" s="253" t="n">
        <v>7958</v>
      </c>
      <c r="AG71" s="253" t="n">
        <v>8446</v>
      </c>
      <c r="AH71" s="253" t="n">
        <v>30444</v>
      </c>
      <c r="AI71" s="253" t="n">
        <v>8238</v>
      </c>
      <c r="AJ71" s="253" t="n">
        <v>8953</v>
      </c>
      <c r="AK71" s="253" t="n">
        <v>9006</v>
      </c>
      <c r="AL71" s="253" t="n">
        <v>9668</v>
      </c>
      <c r="AM71" s="253" t="n">
        <v>35865</v>
      </c>
      <c r="AN71" s="253" t="n">
        <v>9771</v>
      </c>
      <c r="AO71" s="253" t="n">
        <v>10100</v>
      </c>
      <c r="AP71" s="253" t="n">
        <v>10242</v>
      </c>
      <c r="AQ71" s="253" t="n">
        <v>11047</v>
      </c>
      <c r="AR71" s="253" t="n">
        <v>41160</v>
      </c>
      <c r="AS71" s="253" t="n">
        <v>11077</v>
      </c>
      <c r="AT71" s="253" t="n">
        <v>11826</v>
      </c>
      <c r="AU71" s="253" t="n">
        <v>11743</v>
      </c>
      <c r="AV71" s="253" t="n">
        <v>11752</v>
      </c>
      <c r="AW71" s="253" t="n">
        <v>46398</v>
      </c>
      <c r="AX71" s="253" t="n">
        <v>12319</v>
      </c>
      <c r="AY71" s="253" t="n">
        <v>13353</v>
      </c>
      <c r="AZ71" s="253" t="n">
        <v>13552</v>
      </c>
      <c r="BA71" s="253" t="n">
        <v>14691</v>
      </c>
      <c r="BB71" s="253" t="n">
        <v>53915</v>
      </c>
      <c r="BC71" s="253" t="n">
        <v>15039</v>
      </c>
      <c r="BD71" s="253" t="n">
        <v>15936</v>
      </c>
      <c r="BE71" s="253" t="n">
        <v>15789</v>
      </c>
      <c r="BF71" s="253" t="n">
        <v>16600</v>
      </c>
      <c r="BG71" s="253" t="n">
        <v>63364</v>
      </c>
      <c r="BH71" s="253" t="n">
        <v>16465</v>
      </c>
      <c r="BI71" s="253" t="n">
        <v>17002</v>
      </c>
      <c r="BJ71" s="253" t="n">
        <v>17516</v>
      </c>
      <c r="BK71" s="253" t="n">
        <v>18291</v>
      </c>
      <c r="BL71" s="253" t="n">
        <v>69274</v>
      </c>
      <c r="BM71" s="253" t="n">
        <v>18592</v>
      </c>
      <c r="BN71" s="253" t="n">
        <v>19249</v>
      </c>
      <c r="BO71" s="253" t="n">
        <v>19570</v>
      </c>
      <c r="BP71" s="253" t="n">
        <v>20317</v>
      </c>
      <c r="BQ71" s="253" t="n">
        <v>77728</v>
      </c>
      <c r="BR71" s="253" t="n">
        <v>28317</v>
      </c>
      <c r="BS71" s="253" t="n">
        <v>29437</v>
      </c>
      <c r="BT71" s="253" t="n">
        <v>29944</v>
      </c>
      <c r="BU71" s="253" t="n">
        <v>33112</v>
      </c>
      <c r="BV71" s="253" t="n">
        <v>120810</v>
      </c>
      <c r="BW71" s="253" t="n">
        <v>33020</v>
      </c>
      <c r="BX71" s="253" t="n">
        <v>34116</v>
      </c>
      <c r="BY71" s="253" t="n">
        <v>35013</v>
      </c>
      <c r="BZ71" s="253" t="n">
        <v>37847</v>
      </c>
      <c r="CA71" s="253" t="n">
        <v>139996</v>
      </c>
      <c r="CB71" s="153" t="n"/>
      <c r="CC71" s="153" t="n"/>
      <c r="CD71" s="153" t="n"/>
      <c r="CE71" s="153" t="n"/>
      <c r="CF71" s="153" t="n"/>
      <c r="CG71" s="153" t="n"/>
      <c r="CH71" s="153" t="n"/>
      <c r="CI71" s="153" t="n"/>
      <c r="CJ71" s="153" t="n"/>
      <c r="CK71" s="153" t="n"/>
      <c r="CM71" s="20">
        <f>IFERROR((CJ71/CA71)^(1/5)-1,"n/m")</f>
        <v>-1</v>
      </c>
      <c r="CN71" s="20">
        <f>IFERROR((CA71/BB71)^(1/5)-1,"n/m")</f>
        <v>0.210267032996869</v>
      </c>
      <c r="CO71" s="20">
        <f>IFERROR((CA71/AC71)^(1/10)-1,"n/m")</f>
        <v>0.181158788096819</v>
      </c>
      <c r="CP71" s="20" t="str">
        <f>IFERROR((CA71/C71)^(1/20)-1,"n/m")</f>
        <v>n/m</v>
      </c>
      <c r="CS71" s="15" t="inlineStr">
        <is>
          <t>DC_M (Devices and Consumer operating margin)</t>
        </is>
      </c>
      <c r="CT71" s="41" t="n">
        <v>0.02</v>
      </c>
      <c r="CU71" s="21" t="inlineStr">
        <is>
          <t>Δ →</t>
        </is>
      </c>
      <c r="CV71" s="41" t="n">
        <v>-0.03</v>
      </c>
      <c r="CW71" s="13" t="inlineStr">
        <is>
          <t>FY26 29.6% (FY25 28.1%); Q4/26 25.1% after XBOX charges.</t>
        </is>
      </c>
    </row>
    <row r="72" collapsed="1" ht="15" customHeight="1" s="251">
      <c r="B72" s="156" t="inlineStr">
        <is>
          <t xml:space="preserve">    Intelligent Cloud — revenue</t>
        </is>
      </c>
      <c r="C72" s="34" t="n"/>
      <c r="D72" s="34" t="n"/>
      <c r="E72" s="34" t="n"/>
      <c r="F72" s="34" t="n"/>
      <c r="G72" s="34" t="n"/>
      <c r="H72" s="34" t="n"/>
      <c r="I72" s="34" t="n"/>
      <c r="J72" s="34" t="n"/>
      <c r="K72" s="34" t="n"/>
      <c r="L72" s="34" t="n"/>
      <c r="M72" s="34" t="n"/>
      <c r="N72" s="34" t="n"/>
      <c r="O72" s="34" t="n"/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253" t="n">
        <v>5892</v>
      </c>
      <c r="Z72" s="253" t="n">
        <v>6343</v>
      </c>
      <c r="AA72" s="253" t="n">
        <v>6096</v>
      </c>
      <c r="AB72" s="253" t="n">
        <v>6711</v>
      </c>
      <c r="AC72" s="253" t="n">
        <v>25042</v>
      </c>
      <c r="AD72" s="253" t="n">
        <v>6382</v>
      </c>
      <c r="AE72" s="253" t="n">
        <v>6861</v>
      </c>
      <c r="AF72" s="253" t="n">
        <v>6763</v>
      </c>
      <c r="AG72" s="253" t="n">
        <v>7434</v>
      </c>
      <c r="AH72" s="253" t="n">
        <v>27440</v>
      </c>
      <c r="AI72" s="253" t="n">
        <v>6922</v>
      </c>
      <c r="AJ72" s="253" t="n">
        <v>7795</v>
      </c>
      <c r="AK72" s="253" t="n">
        <v>7896</v>
      </c>
      <c r="AL72" s="253" t="n">
        <v>9606</v>
      </c>
      <c r="AM72" s="253" t="n">
        <v>32219</v>
      </c>
      <c r="AN72" s="253" t="n">
        <v>8567</v>
      </c>
      <c r="AO72" s="253" t="n">
        <v>9378</v>
      </c>
      <c r="AP72" s="253" t="n">
        <v>9649</v>
      </c>
      <c r="AQ72" s="253" t="n">
        <v>11391</v>
      </c>
      <c r="AR72" s="253" t="n">
        <v>38985</v>
      </c>
      <c r="AS72" s="253" t="n">
        <v>10845</v>
      </c>
      <c r="AT72" s="253" t="n">
        <v>11869</v>
      </c>
      <c r="AU72" s="253" t="n">
        <v>12281</v>
      </c>
      <c r="AV72" s="253" t="n">
        <v>13371</v>
      </c>
      <c r="AW72" s="253" t="n">
        <v>48366</v>
      </c>
      <c r="AX72" s="253" t="n">
        <v>12986</v>
      </c>
      <c r="AY72" s="253" t="n">
        <v>14601</v>
      </c>
      <c r="AZ72" s="253" t="n">
        <v>15118</v>
      </c>
      <c r="BA72" s="253" t="n">
        <v>17375</v>
      </c>
      <c r="BB72" s="253" t="n">
        <v>60080</v>
      </c>
      <c r="BC72" s="253" t="n">
        <v>16964</v>
      </c>
      <c r="BD72" s="253" t="n">
        <v>18327</v>
      </c>
      <c r="BE72" s="253" t="n">
        <v>19051</v>
      </c>
      <c r="BF72" s="253" t="n">
        <v>20909</v>
      </c>
      <c r="BG72" s="253" t="n">
        <v>75251</v>
      </c>
      <c r="BH72" s="253" t="n">
        <v>20325</v>
      </c>
      <c r="BI72" s="253" t="n">
        <v>21508</v>
      </c>
      <c r="BJ72" s="253" t="n">
        <v>22081</v>
      </c>
      <c r="BK72" s="253" t="n">
        <v>23993</v>
      </c>
      <c r="BL72" s="253" t="n">
        <v>87907</v>
      </c>
      <c r="BM72" s="253" t="n">
        <v>24259</v>
      </c>
      <c r="BN72" s="253" t="n">
        <v>25880</v>
      </c>
      <c r="BO72" s="253" t="n">
        <v>26708</v>
      </c>
      <c r="BP72" s="253" t="n">
        <v>28515</v>
      </c>
      <c r="BQ72" s="253" t="n">
        <v>105362</v>
      </c>
      <c r="BR72" s="253" t="n">
        <v>24092</v>
      </c>
      <c r="BS72" s="253" t="n">
        <v>25544</v>
      </c>
      <c r="BT72" s="253" t="n">
        <v>26751</v>
      </c>
      <c r="BU72" s="253" t="n">
        <v>29878</v>
      </c>
      <c r="BV72" s="253" t="n">
        <v>106265</v>
      </c>
      <c r="BW72" s="253" t="n">
        <v>30897</v>
      </c>
      <c r="BX72" s="253" t="n">
        <v>32907</v>
      </c>
      <c r="BY72" s="253" t="n">
        <v>34681</v>
      </c>
      <c r="BZ72" s="253" t="n">
        <v>39306</v>
      </c>
      <c r="CA72" s="253" t="n">
        <v>137791</v>
      </c>
      <c r="CB72" s="153" t="n"/>
      <c r="CC72" s="153" t="n"/>
      <c r="CD72" s="153" t="n"/>
      <c r="CE72" s="153" t="n"/>
      <c r="CF72" s="153" t="n"/>
      <c r="CG72" s="153" t="n"/>
      <c r="CH72" s="153" t="n"/>
      <c r="CI72" s="153" t="n"/>
      <c r="CJ72" s="153" t="n"/>
      <c r="CK72" s="153" t="n"/>
      <c r="CM72" s="20">
        <f>IFERROR((CJ72/CA72)^(1/5)-1,"n/m")</f>
        <v>-1</v>
      </c>
      <c r="CN72" s="20">
        <f>IFERROR((CA72/BB72)^(1/5)-1,"n/m")</f>
        <v>0.180587513526174</v>
      </c>
      <c r="CO72" s="20">
        <f>IFERROR((CA72/AC72)^(1/10)-1,"n/m")</f>
        <v>0.185919428671959</v>
      </c>
      <c r="CP72" s="20" t="str">
        <f>IFERROR((CA72/C72)^(1/20)-1,"n/m")</f>
        <v>n/m</v>
      </c>
      <c r="CS72" s="25" t="inlineStr">
        <is>
          <t xml:space="preserve">  2028E</t>
        </is>
      </c>
      <c r="CT72" s="33">
        <f>CU72+$CT$71</f>
        <v>0.31</v>
      </c>
      <c r="CU72" s="42" t="n">
        <v>0.29</v>
      </c>
      <c r="CV72" s="33">
        <f>CU72+$CV$71</f>
        <v>0.26</v>
      </c>
    </row>
    <row r="73" ht="15" customHeight="1" s="251">
      <c r="B73" s="156" t="inlineStr">
        <is>
          <t xml:space="preserve">    More Personal Computing — revenue</t>
        </is>
      </c>
      <c r="C73" s="34" t="n"/>
      <c r="D73" s="34" t="n"/>
      <c r="E73" s="34" t="n"/>
      <c r="F73" s="34" t="n"/>
      <c r="G73" s="34" t="n"/>
      <c r="H73" s="34" t="n"/>
      <c r="I73" s="34" t="n"/>
      <c r="J73" s="34" t="n"/>
      <c r="K73" s="34" t="n"/>
      <c r="L73" s="34" t="n"/>
      <c r="M73" s="34" t="n"/>
      <c r="N73" s="34" t="n"/>
      <c r="O73" s="34" t="n"/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253" t="n">
        <v>9381</v>
      </c>
      <c r="Z73" s="253" t="n">
        <v>12660</v>
      </c>
      <c r="AA73" s="253" t="n">
        <v>9458</v>
      </c>
      <c r="AB73" s="253" t="n">
        <v>8897</v>
      </c>
      <c r="AC73" s="253" t="n">
        <v>40460</v>
      </c>
      <c r="AD73" s="253" t="n">
        <v>9294</v>
      </c>
      <c r="AE73" s="253" t="n">
        <v>11823</v>
      </c>
      <c r="AF73" s="253" t="n">
        <v>8836</v>
      </c>
      <c r="AG73" s="253" t="n">
        <v>8820</v>
      </c>
      <c r="AH73" s="253" t="n">
        <v>38773</v>
      </c>
      <c r="AI73" s="253" t="n">
        <v>9378</v>
      </c>
      <c r="AJ73" s="253" t="n">
        <v>12170</v>
      </c>
      <c r="AK73" s="253" t="n">
        <v>9917</v>
      </c>
      <c r="AL73" s="253" t="n">
        <v>10811</v>
      </c>
      <c r="AM73" s="253" t="n">
        <v>42276</v>
      </c>
      <c r="AN73" s="253" t="n">
        <v>10746</v>
      </c>
      <c r="AO73" s="253" t="n">
        <v>12993</v>
      </c>
      <c r="AP73" s="253" t="n">
        <v>10680</v>
      </c>
      <c r="AQ73" s="253" t="n">
        <v>11279</v>
      </c>
      <c r="AR73" s="253" t="n">
        <v>45698</v>
      </c>
      <c r="AS73" s="253" t="n">
        <v>11133</v>
      </c>
      <c r="AT73" s="253" t="n">
        <v>13211</v>
      </c>
      <c r="AU73" s="253" t="n">
        <v>10997</v>
      </c>
      <c r="AV73" s="253" t="n">
        <v>12910</v>
      </c>
      <c r="AW73" s="253" t="n">
        <v>48251</v>
      </c>
      <c r="AX73" s="253" t="n">
        <v>11849</v>
      </c>
      <c r="AY73" s="253" t="n">
        <v>15122</v>
      </c>
      <c r="AZ73" s="253" t="n">
        <v>13036</v>
      </c>
      <c r="BA73" s="253" t="n">
        <v>14086</v>
      </c>
      <c r="BB73" s="253" t="n">
        <v>54093</v>
      </c>
      <c r="BC73" s="253" t="n">
        <v>13314</v>
      </c>
      <c r="BD73" s="253" t="n">
        <v>17465</v>
      </c>
      <c r="BE73" s="253" t="n">
        <v>14520</v>
      </c>
      <c r="BF73" s="253" t="n">
        <v>14356</v>
      </c>
      <c r="BG73" s="253" t="n">
        <v>59655</v>
      </c>
      <c r="BH73" s="253" t="n">
        <v>13332</v>
      </c>
      <c r="BI73" s="253" t="n">
        <v>14237</v>
      </c>
      <c r="BJ73" s="253" t="n">
        <v>13260</v>
      </c>
      <c r="BK73" s="253" t="n">
        <v>13905</v>
      </c>
      <c r="BL73" s="253" t="n">
        <v>54734</v>
      </c>
      <c r="BM73" s="253" t="n">
        <v>13666</v>
      </c>
      <c r="BN73" s="253" t="n">
        <v>16891</v>
      </c>
      <c r="BO73" s="253" t="n">
        <v>15580</v>
      </c>
      <c r="BP73" s="253" t="n">
        <v>15895</v>
      </c>
      <c r="BQ73" s="253" t="n">
        <v>62032</v>
      </c>
      <c r="BR73" s="253" t="n">
        <v>13176</v>
      </c>
      <c r="BS73" s="253" t="n">
        <v>14651</v>
      </c>
      <c r="BT73" s="253" t="n">
        <v>13371</v>
      </c>
      <c r="BU73" s="253" t="n">
        <v>13451</v>
      </c>
      <c r="BV73" s="253" t="n">
        <v>54649</v>
      </c>
      <c r="BW73" s="253" t="n">
        <v>13756</v>
      </c>
      <c r="BX73" s="253" t="n">
        <v>14250</v>
      </c>
      <c r="BY73" s="253" t="n">
        <v>13192</v>
      </c>
      <c r="BZ73" s="253" t="n">
        <v>12854</v>
      </c>
      <c r="CA73" s="253" t="n">
        <v>54052</v>
      </c>
      <c r="CB73" s="153" t="n"/>
      <c r="CC73" s="153" t="n"/>
      <c r="CD73" s="153" t="n"/>
      <c r="CE73" s="153" t="n"/>
      <c r="CF73" s="153" t="n"/>
      <c r="CG73" s="153" t="n"/>
      <c r="CH73" s="153" t="n"/>
      <c r="CI73" s="153" t="n"/>
      <c r="CJ73" s="153" t="n"/>
      <c r="CK73" s="153" t="n"/>
      <c r="CM73" s="20">
        <f>IFERROR((CJ73/CA73)^(1/5)-1,"n/m")</f>
        <v>-1</v>
      </c>
      <c r="CN73" s="20">
        <f>IFERROR((CA73/BB73)^(1/5)-1,"n/m")</f>
        <v>-0.000151636759284535</v>
      </c>
      <c r="CO73" s="20">
        <f>IFERROR((CA73/AC73)^(1/10)-1,"n/m")</f>
        <v>0.0293867858902095</v>
      </c>
      <c r="CP73" s="20" t="str">
        <f>IFERROR((CA73/C73)^(1/20)-1,"n/m")</f>
        <v>n/m</v>
      </c>
      <c r="CS73" s="25" t="inlineStr">
        <is>
          <t xml:space="preserve">  2029E</t>
        </is>
      </c>
      <c r="CT73" s="33">
        <f>CU73+$CT$71</f>
        <v>0.31</v>
      </c>
      <c r="CU73" s="42" t="n">
        <v>0.29</v>
      </c>
      <c r="CV73" s="33">
        <f>CU73+$CV$71</f>
        <v>0.26</v>
      </c>
    </row>
    <row r="74" ht="15" customHeight="1" s="251">
      <c r="B74" s="156" t="inlineStr">
        <is>
          <t xml:space="preserve">    Corporate and Other (FY2016–FY2018) — revenue</t>
        </is>
      </c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253" t="n">
        <v>-1200</v>
      </c>
      <c r="Z74" s="253" t="n">
        <v>-1897</v>
      </c>
      <c r="AA74" s="253" t="n">
        <v>-1545</v>
      </c>
      <c r="AB74" s="253" t="n">
        <v>-1963</v>
      </c>
      <c r="AC74" s="253" t="n">
        <v>-6669</v>
      </c>
      <c r="AD74" s="253" t="n">
        <v>-1881</v>
      </c>
      <c r="AE74" s="253" t="n">
        <v>-1976</v>
      </c>
      <c r="AF74" s="253" t="n">
        <v>-1467</v>
      </c>
      <c r="AG74" s="253" t="n">
        <v>-1383</v>
      </c>
      <c r="AH74" s="253" t="n">
        <v>-6707</v>
      </c>
      <c r="AI74" s="34" t="n"/>
      <c r="AJ74" s="34" t="n"/>
      <c r="AK74" s="34" t="n"/>
      <c r="AL74" s="34" t="n"/>
      <c r="AM74" s="34" t="n"/>
      <c r="AN74" s="34" t="n"/>
      <c r="AO74" s="34" t="n"/>
      <c r="AP74" s="34" t="n"/>
      <c r="AQ74" s="34" t="n"/>
      <c r="AR74" s="34" t="n"/>
      <c r="AS74" s="34" t="n"/>
      <c r="AT74" s="34" t="n"/>
      <c r="AU74" s="34" t="n"/>
      <c r="AV74" s="34" t="n"/>
      <c r="AW74" s="34" t="n"/>
      <c r="AX74" s="34" t="n"/>
      <c r="AY74" s="34" t="n"/>
      <c r="AZ74" s="34" t="n"/>
      <c r="BA74" s="34" t="n"/>
      <c r="BB74" s="34" t="n"/>
      <c r="BC74" s="34" t="n"/>
      <c r="BD74" s="34" t="n"/>
      <c r="BE74" s="34" t="n"/>
      <c r="BF74" s="34" t="n"/>
      <c r="BG74" s="34" t="n"/>
      <c r="BH74" s="34" t="n"/>
      <c r="BI74" s="34" t="n"/>
      <c r="BJ74" s="34" t="n"/>
      <c r="BK74" s="34" t="n"/>
      <c r="BL74" s="34" t="n"/>
      <c r="BM74" s="34" t="n"/>
      <c r="BN74" s="34" t="n"/>
      <c r="BO74" s="34" t="n"/>
      <c r="BP74" s="34" t="n"/>
      <c r="BQ74" s="34" t="n"/>
      <c r="BR74" s="34" t="n"/>
      <c r="BS74" s="34" t="n"/>
      <c r="BT74" s="34" t="n"/>
      <c r="BU74" s="34" t="n"/>
      <c r="BV74" s="34" t="n"/>
      <c r="BW74" s="34" t="n"/>
      <c r="BX74" s="34" t="n"/>
      <c r="BY74" s="34" t="n"/>
      <c r="BZ74" s="34" t="n"/>
      <c r="CA74" s="34" t="n"/>
      <c r="CB74" s="153" t="n"/>
      <c r="CC74" s="153" t="n"/>
      <c r="CD74" s="153" t="n"/>
      <c r="CE74" s="153" t="n"/>
      <c r="CF74" s="153" t="n"/>
      <c r="CG74" s="153" t="n"/>
      <c r="CH74" s="153" t="n"/>
      <c r="CI74" s="153" t="n"/>
      <c r="CJ74" s="153" t="n"/>
      <c r="CK74" s="153" t="n"/>
      <c r="CS74" s="25" t="inlineStr">
        <is>
          <t xml:space="preserve">  2030E</t>
        </is>
      </c>
      <c r="CT74" s="33">
        <f>CU74+$CT$71</f>
        <v>0.315</v>
      </c>
      <c r="CU74" s="42" t="n">
        <v>0.295</v>
      </c>
      <c r="CV74" s="33">
        <f>CU74+$CV$71</f>
        <v>0.265</v>
      </c>
    </row>
    <row r="75" ht="15" customHeight="1" s="251">
      <c r="B75" s="57" t="inlineStr">
        <is>
          <t xml:space="preserve">    Check: Σ revenue vs consolidated (should be 0)</t>
        </is>
      </c>
      <c r="C75" s="211">
        <f>IF(ISNUMBER(C71),ROUND(N(C71)+N(C72)+N(C73)+N(C74)-C179,0),"")</f>
      </c>
      <c r="D75" s="211">
        <f>IF(ISNUMBER(D71),ROUND(N(D71)+N(D72)+N(D73)+N(D74)-D179,0),"")</f>
      </c>
      <c r="E75" s="211">
        <f>IF(ISNUMBER(E71),ROUND(N(E71)+N(E72)+N(E73)+N(E74)-E179,0),"")</f>
      </c>
      <c r="F75" s="211">
        <f>IF(ISNUMBER(F71),ROUND(N(F71)+N(F72)+N(F73)+N(F74)-F179,0),"")</f>
      </c>
      <c r="G75" s="211">
        <f>IF(ISNUMBER(G71),ROUND(N(G71)+N(G72)+N(G73)+N(G74)-G179,0),"")</f>
      </c>
      <c r="H75" s="211">
        <f>IF(ISNUMBER(H71),ROUND(N(H71)+N(H72)+N(H73)+N(H74)-H179,0),"")</f>
      </c>
      <c r="I75" s="211">
        <f>IF(ISNUMBER(I71),ROUND(N(I71)+N(I72)+N(I73)+N(I74)-I179,0),"")</f>
      </c>
      <c r="J75" s="211">
        <f>IF(ISNUMBER(J71),ROUND(N(J71)+N(J72)+N(J73)+N(J74)-J179,0),"")</f>
      </c>
      <c r="K75" s="211">
        <f>IF(ISNUMBER(K71),ROUND(N(K71)+N(K72)+N(K73)+N(K74)-K179,0),"")</f>
      </c>
      <c r="L75" s="211">
        <f>IF(ISNUMBER(L71),ROUND(N(L71)+N(L72)+N(L73)+N(L74)-L179,0),"")</f>
      </c>
      <c r="M75" s="211">
        <f>IF(ISNUMBER(M71),ROUND(N(M71)+N(M72)+N(M73)+N(M74)-M179,0),"")</f>
      </c>
      <c r="N75" s="211">
        <f>IF(ISNUMBER(N71),ROUND(N(N71)+N(N72)+N(N73)+N(N74)-N179,0),"")</f>
      </c>
      <c r="O75" s="211">
        <f>IF(ISNUMBER(O71),ROUND(N(O71)+N(O72)+N(O73)+N(O74)-O179,0),"")</f>
      </c>
      <c r="P75" s="211">
        <f>IF(ISNUMBER(P71),ROUND(N(P71)+N(P72)+N(P73)+N(P74)-P179,0),"")</f>
      </c>
      <c r="Q75" s="211">
        <f>IF(ISNUMBER(Q71),ROUND(N(Q71)+N(Q72)+N(Q73)+N(Q74)-Q179,0),"")</f>
      </c>
      <c r="R75" s="211">
        <f>IF(ISNUMBER(R71),ROUND(N(R71)+N(R72)+N(R73)+N(R74)-R179,0),"")</f>
      </c>
      <c r="S75" s="211">
        <f>IF(ISNUMBER(S71),ROUND(N(S71)+N(S72)+N(S73)+N(S74)-S179,0),"")</f>
      </c>
      <c r="T75" s="211">
        <f>IF(ISNUMBER(T71),ROUND(N(T71)+N(T72)+N(T73)+N(T74)-T179,0),"")</f>
      </c>
      <c r="U75" s="211">
        <f>IF(ISNUMBER(U71),ROUND(N(U71)+N(U72)+N(U73)+N(U74)-U179,0),"")</f>
      </c>
      <c r="V75" s="211">
        <f>IF(ISNUMBER(V71),ROUND(N(V71)+N(V72)+N(V73)+N(V74)-V179,0),"")</f>
      </c>
      <c r="W75" s="211">
        <f>IF(ISNUMBER(W71),ROUND(N(W71)+N(W72)+N(W73)+N(W74)-W179,0),"")</f>
      </c>
      <c r="X75" s="211">
        <f>IF(ISNUMBER(X71),ROUND(N(X71)+N(X72)+N(X73)+N(X74)-X179,0),"")</f>
      </c>
      <c r="Y75" s="211">
        <f>IF(ISNUMBER(Y71),ROUND(N(Y71)+N(Y72)+N(Y73)+N(Y74)-Y179,0),"")</f>
        <v>0</v>
      </c>
      <c r="Z75" s="211">
        <f>IF(ISNUMBER(Z71),ROUND(N(Z71)+N(Z72)+N(Z73)+N(Z74)-Z179,0),"")</f>
        <v>0</v>
      </c>
      <c r="AA75" s="211">
        <f>IF(ISNUMBER(AA71),ROUND(N(AA71)+N(AA72)+N(AA73)+N(AA74)-AA179,0),"")</f>
        <v>0</v>
      </c>
      <c r="AB75" s="211">
        <f>IF(ISNUMBER(AB71),ROUND(N(AB71)+N(AB72)+N(AB73)+N(AB74)-AB179,0),"")</f>
        <v>0</v>
      </c>
      <c r="AC75" s="211">
        <f>IF(ISNUMBER(AC71),ROUND(N(AC71)+N(AC72)+N(AC73)+N(AC74)-AC179,0),"")</f>
        <v>0</v>
      </c>
      <c r="AD75" s="211">
        <f>IF(ISNUMBER(AD71),ROUND(N(AD71)+N(AD72)+N(AD73)+N(AD74)-AD179,0),"")</f>
        <v>0</v>
      </c>
      <c r="AE75" s="211">
        <f>IF(ISNUMBER(AE71),ROUND(N(AE71)+N(AE72)+N(AE73)+N(AE74)-AE179,0),"")</f>
        <v>0</v>
      </c>
      <c r="AF75" s="211">
        <f>IF(ISNUMBER(AF71),ROUND(N(AF71)+N(AF72)+N(AF73)+N(AF74)-AF179,0),"")</f>
        <v>0</v>
      </c>
      <c r="AG75" s="211">
        <f>IF(ISNUMBER(AG71),ROUND(N(AG71)+N(AG72)+N(AG73)+N(AG74)-AG179,0),"")</f>
        <v>0</v>
      </c>
      <c r="AH75" s="211">
        <f>IF(ISNUMBER(AH71),ROUND(N(AH71)+N(AH72)+N(AH73)+N(AH74)-AH179,0),"")</f>
        <v>0</v>
      </c>
      <c r="AI75" s="211">
        <f>IF(ISNUMBER(AI71),ROUND(N(AI71)+N(AI72)+N(AI73)+N(AI74)-AI179,0),"")</f>
        <v>0</v>
      </c>
      <c r="AJ75" s="211">
        <f>IF(ISNUMBER(AJ71),ROUND(N(AJ71)+N(AJ72)+N(AJ73)+N(AJ74)-AJ179,0),"")</f>
        <v>0</v>
      </c>
      <c r="AK75" s="211">
        <f>IF(ISNUMBER(AK71),ROUND(N(AK71)+N(AK72)+N(AK73)+N(AK74)-AK179,0),"")</f>
        <v>0</v>
      </c>
      <c r="AL75" s="211">
        <f>IF(ISNUMBER(AL71),ROUND(N(AL71)+N(AL72)+N(AL73)+N(AL74)-AL179,0),"")</f>
        <v>0</v>
      </c>
      <c r="AM75" s="211">
        <f>IF(ISNUMBER(AM71),ROUND(N(AM71)+N(AM72)+N(AM73)+N(AM74)-AM179,0),"")</f>
        <v>0</v>
      </c>
      <c r="AN75" s="211">
        <f>IF(ISNUMBER(AN71),ROUND(N(AN71)+N(AN72)+N(AN73)+N(AN74)-AN179,0),"")</f>
        <v>0</v>
      </c>
      <c r="AO75" s="211">
        <f>IF(ISNUMBER(AO71),ROUND(N(AO71)+N(AO72)+N(AO73)+N(AO74)-AO179,0),"")</f>
        <v>0</v>
      </c>
      <c r="AP75" s="211">
        <f>IF(ISNUMBER(AP71),ROUND(N(AP71)+N(AP72)+N(AP73)+N(AP74)-AP179,0),"")</f>
        <v>0</v>
      </c>
      <c r="AQ75" s="211">
        <f>IF(ISNUMBER(AQ71),ROUND(N(AQ71)+N(AQ72)+N(AQ73)+N(AQ74)-AQ179,0),"")</f>
        <v>0</v>
      </c>
      <c r="AR75" s="211">
        <f>IF(ISNUMBER(AR71),ROUND(N(AR71)+N(AR72)+N(AR73)+N(AR74)-AR179,0),"")</f>
        <v>0</v>
      </c>
      <c r="AS75" s="211">
        <f>IF(ISNUMBER(AS71),ROUND(N(AS71)+N(AS72)+N(AS73)+N(AS74)-AS179,0),"")</f>
        <v>0</v>
      </c>
      <c r="AT75" s="211">
        <f>IF(ISNUMBER(AT71),ROUND(N(AT71)+N(AT72)+N(AT73)+N(AT74)-AT179,0),"")</f>
        <v>0</v>
      </c>
      <c r="AU75" s="211">
        <f>IF(ISNUMBER(AU71),ROUND(N(AU71)+N(AU72)+N(AU73)+N(AU74)-AU179,0),"")</f>
        <v>0</v>
      </c>
      <c r="AV75" s="211">
        <f>IF(ISNUMBER(AV71),ROUND(N(AV71)+N(AV72)+N(AV73)+N(AV74)-AV179,0),"")</f>
        <v>0</v>
      </c>
      <c r="AW75" s="211">
        <f>IF(ISNUMBER(AW71),ROUND(N(AW71)+N(AW72)+N(AW73)+N(AW74)-AW179,0),"")</f>
        <v>0</v>
      </c>
      <c r="AX75" s="211">
        <f>IF(ISNUMBER(AX71),ROUND(N(AX71)+N(AX72)+N(AX73)+N(AX74)-AX179,0),"")</f>
        <v>0</v>
      </c>
      <c r="AY75" s="211">
        <f>IF(ISNUMBER(AY71),ROUND(N(AY71)+N(AY72)+N(AY73)+N(AY74)-AY179,0),"")</f>
        <v>0</v>
      </c>
      <c r="AZ75" s="211">
        <f>IF(ISNUMBER(AZ71),ROUND(N(AZ71)+N(AZ72)+N(AZ73)+N(AZ74)-AZ179,0),"")</f>
        <v>0</v>
      </c>
      <c r="BA75" s="211">
        <f>IF(ISNUMBER(BA71),ROUND(N(BA71)+N(BA72)+N(BA73)+N(BA74)-BA179,0),"")</f>
        <v>0</v>
      </c>
      <c r="BB75" s="211">
        <f>IF(ISNUMBER(BB71),ROUND(N(BB71)+N(BB72)+N(BB73)+N(BB74)-BB179,0),"")</f>
        <v>0</v>
      </c>
      <c r="BC75" s="211">
        <f>IF(ISNUMBER(BC71),ROUND(N(BC71)+N(BC72)+N(BC73)+N(BC74)-BC179,0),"")</f>
        <v>0</v>
      </c>
      <c r="BD75" s="211">
        <f>IF(ISNUMBER(BD71),ROUND(N(BD71)+N(BD72)+N(BD73)+N(BD74)-BD179,0),"")</f>
        <v>0</v>
      </c>
      <c r="BE75" s="211">
        <f>IF(ISNUMBER(BE71),ROUND(N(BE71)+N(BE72)+N(BE73)+N(BE74)-BE179,0),"")</f>
        <v>0</v>
      </c>
      <c r="BF75" s="211">
        <f>IF(ISNUMBER(BF71),ROUND(N(BF71)+N(BF72)+N(BF73)+N(BF74)-BF179,0),"")</f>
        <v>0</v>
      </c>
      <c r="BG75" s="211">
        <f>IF(ISNUMBER(BG71),ROUND(N(BG71)+N(BG72)+N(BG73)+N(BG74)-BG179,0),"")</f>
        <v>0</v>
      </c>
      <c r="BH75" s="211">
        <f>IF(ISNUMBER(BH71),ROUND(N(BH71)+N(BH72)+N(BH73)+N(BH74)-BH179,0),"")</f>
        <v>0</v>
      </c>
      <c r="BI75" s="211">
        <f>IF(ISNUMBER(BI71),ROUND(N(BI71)+N(BI72)+N(BI73)+N(BI74)-BI179,0),"")</f>
        <v>0</v>
      </c>
      <c r="BJ75" s="211">
        <f>IF(ISNUMBER(BJ71),ROUND(N(BJ71)+N(BJ72)+N(BJ73)+N(BJ74)-BJ179,0),"")</f>
        <v>0</v>
      </c>
      <c r="BK75" s="211">
        <f>IF(ISNUMBER(BK71),ROUND(N(BK71)+N(BK72)+N(BK73)+N(BK74)-BK179,0),"")</f>
        <v>0</v>
      </c>
      <c r="BL75" s="211">
        <f>IF(ISNUMBER(BL71),ROUND(N(BL71)+N(BL72)+N(BL73)+N(BL74)-BL179,0),"")</f>
        <v>0</v>
      </c>
      <c r="BM75" s="211">
        <f>IF(ISNUMBER(BM71),ROUND(N(BM71)+N(BM72)+N(BM73)+N(BM74)-BM179,0),"")</f>
        <v>0</v>
      </c>
      <c r="BN75" s="211">
        <f>IF(ISNUMBER(BN71),ROUND(N(BN71)+N(BN72)+N(BN73)+N(BN74)-BN179,0),"")</f>
        <v>0</v>
      </c>
      <c r="BO75" s="211">
        <f>IF(ISNUMBER(BO71),ROUND(N(BO71)+N(BO72)+N(BO73)+N(BO74)-BO179,0),"")</f>
        <v>0</v>
      </c>
      <c r="BP75" s="211">
        <f>IF(ISNUMBER(BP71),ROUND(N(BP71)+N(BP72)+N(BP73)+N(BP74)-BP179,0),"")</f>
        <v>0</v>
      </c>
      <c r="BQ75" s="211">
        <f>IF(ISNUMBER(BQ71),ROUND(N(BQ71)+N(BQ72)+N(BQ73)+N(BQ74)-BQ179,0),"")</f>
        <v>0</v>
      </c>
      <c r="BR75" s="211">
        <f>IF(ISNUMBER(BR71),ROUND(N(BR71)+N(BR72)+N(BR73)+N(BR74)-BR179,0),"")</f>
        <v>0</v>
      </c>
      <c r="BS75" s="211">
        <f>IF(ISNUMBER(BS71),ROUND(N(BS71)+N(BS72)+N(BS73)+N(BS74)-BS179,0),"")</f>
        <v>0</v>
      </c>
      <c r="BT75" s="211">
        <f>IF(ISNUMBER(BT71),ROUND(N(BT71)+N(BT72)+N(BT73)+N(BT74)-BT179,0),"")</f>
        <v>0</v>
      </c>
      <c r="BU75" s="211">
        <f>IF(ISNUMBER(BU71),ROUND(N(BU71)+N(BU72)+N(BU73)+N(BU74)-BU179,0),"")</f>
        <v>0</v>
      </c>
      <c r="BV75" s="211">
        <f>IF(ISNUMBER(BV71),ROUND(N(BV71)+N(BV72)+N(BV73)+N(BV74)-BV179,0),"")</f>
        <v>0</v>
      </c>
      <c r="BW75" s="211">
        <f>IF(ISNUMBER(BW71),ROUND(N(BW71)+N(BW72)+N(BW73)+N(BW74)-BW179,0),"")</f>
        <v>0</v>
      </c>
      <c r="BX75" s="211">
        <f>IF(ISNUMBER(BX71),ROUND(N(BX71)+N(BX72)+N(BX73)+N(BX74)-BX179,0),"")</f>
        <v>0</v>
      </c>
      <c r="BY75" s="211">
        <f>IF(ISNUMBER(BY71),ROUND(N(BY71)+N(BY72)+N(BY73)+N(BY74)-BY179,0),"")</f>
        <v>0</v>
      </c>
      <c r="BZ75" s="211">
        <f>IF(ISNUMBER(BZ71),ROUND(N(BZ71)+N(BZ72)+N(BZ73)+N(BZ74)-BZ179,0),"")</f>
        <v>0</v>
      </c>
      <c r="CA75" s="211">
        <f>IF(ISNUMBER(CA71),ROUND(N(CA71)+N(CA72)+N(CA73)+N(CA74)-CA179,0),"")</f>
        <v>0</v>
      </c>
      <c r="CB75" s="153" t="n"/>
      <c r="CC75" s="153" t="n"/>
      <c r="CD75" s="153" t="n"/>
      <c r="CE75" s="153" t="n"/>
      <c r="CF75" s="153" t="n"/>
      <c r="CG75" s="153" t="n"/>
      <c r="CH75" s="153" t="n"/>
      <c r="CI75" s="153" t="n"/>
      <c r="CJ75" s="153" t="n"/>
      <c r="CK75" s="153" t="n"/>
      <c r="CS75" s="25" t="inlineStr">
        <is>
          <t xml:space="preserve">  2031E</t>
        </is>
      </c>
      <c r="CT75" s="33">
        <f>CU75+$CT$71</f>
        <v>0.32</v>
      </c>
      <c r="CU75" s="42" t="n">
        <v>0.3</v>
      </c>
      <c r="CV75" s="33">
        <f>CU75+$CV$71</f>
        <v>0.27</v>
      </c>
    </row>
    <row r="76" ht="15" customHeight="1" s="251">
      <c r="B76" s="156" t="inlineStr">
        <is>
          <t xml:space="preserve">    Productivity and Business Processes — operating income</t>
        </is>
      </c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253" t="n">
        <v>3105</v>
      </c>
      <c r="Z76" s="253" t="n">
        <v>3305</v>
      </c>
      <c r="AA76" s="253" t="n">
        <v>2994</v>
      </c>
      <c r="AB76" s="253" t="n">
        <v>3000</v>
      </c>
      <c r="AC76" s="253" t="n">
        <v>12461</v>
      </c>
      <c r="AD76" s="253" t="n">
        <v>3120</v>
      </c>
      <c r="AE76" s="253" t="n">
        <v>3256</v>
      </c>
      <c r="AF76" s="253" t="n">
        <v>2783</v>
      </c>
      <c r="AG76" s="253" t="n">
        <v>2754</v>
      </c>
      <c r="AH76" s="253" t="n">
        <v>11913</v>
      </c>
      <c r="AI76" s="253" t="n">
        <v>3006</v>
      </c>
      <c r="AJ76" s="253" t="n">
        <v>3337</v>
      </c>
      <c r="AK76" s="253" t="n">
        <v>3115</v>
      </c>
      <c r="AL76" s="253" t="n">
        <v>3466</v>
      </c>
      <c r="AM76" s="253" t="n">
        <v>12924</v>
      </c>
      <c r="AN76" s="253" t="n">
        <v>3881</v>
      </c>
      <c r="AO76" s="253" t="n">
        <v>4015</v>
      </c>
      <c r="AP76" s="253" t="n">
        <v>3979</v>
      </c>
      <c r="AQ76" s="253" t="n">
        <v>4344</v>
      </c>
      <c r="AR76" s="253" t="n">
        <v>16219</v>
      </c>
      <c r="AS76" s="253" t="n">
        <v>4782</v>
      </c>
      <c r="AT76" s="253" t="n">
        <v>5182</v>
      </c>
      <c r="AU76" s="253" t="n">
        <v>4788</v>
      </c>
      <c r="AV76" s="253" t="n">
        <v>3972</v>
      </c>
      <c r="AW76" s="253" t="n">
        <v>18724</v>
      </c>
      <c r="AX76" s="253" t="n">
        <v>5706</v>
      </c>
      <c r="AY76" s="253" t="n">
        <v>6181</v>
      </c>
      <c r="AZ76" s="253" t="n">
        <v>6029</v>
      </c>
      <c r="BA76" s="253" t="n">
        <v>6435</v>
      </c>
      <c r="BB76" s="253" t="n">
        <v>24351</v>
      </c>
      <c r="BC76" s="253" t="n">
        <v>7581</v>
      </c>
      <c r="BD76" s="253" t="n">
        <v>7688</v>
      </c>
      <c r="BE76" s="253" t="n">
        <v>7184</v>
      </c>
      <c r="BF76" s="253" t="n">
        <v>7234</v>
      </c>
      <c r="BG76" s="253" t="n">
        <v>29687</v>
      </c>
      <c r="BH76" s="253" t="n">
        <v>8323</v>
      </c>
      <c r="BI76" s="253" t="n">
        <v>8175</v>
      </c>
      <c r="BJ76" s="253" t="n">
        <v>8639</v>
      </c>
      <c r="BK76" s="253" t="n">
        <v>9052</v>
      </c>
      <c r="BL76" s="253" t="n">
        <v>34189</v>
      </c>
      <c r="BM76" s="253" t="n">
        <v>9970</v>
      </c>
      <c r="BN76" s="253" t="n">
        <v>10284</v>
      </c>
      <c r="BO76" s="253" t="n">
        <v>10143</v>
      </c>
      <c r="BP76" s="253" t="n">
        <v>10143</v>
      </c>
      <c r="BQ76" s="253" t="n">
        <v>40540</v>
      </c>
      <c r="BR76" s="253" t="n">
        <v>16516</v>
      </c>
      <c r="BS76" s="253" t="n">
        <v>16885</v>
      </c>
      <c r="BT76" s="253" t="n">
        <v>17379</v>
      </c>
      <c r="BU76" s="253" t="n">
        <v>18993</v>
      </c>
      <c r="BV76" s="253" t="n">
        <v>69773</v>
      </c>
      <c r="BW76" s="253" t="n">
        <v>20407</v>
      </c>
      <c r="BX76" s="253" t="n">
        <v>20599</v>
      </c>
      <c r="BY76" s="253" t="n">
        <v>20973</v>
      </c>
      <c r="BZ76" s="253" t="n">
        <v>21900</v>
      </c>
      <c r="CA76" s="253" t="n">
        <v>83879</v>
      </c>
      <c r="CB76" s="153" t="n"/>
      <c r="CC76" s="153" t="n"/>
      <c r="CD76" s="153" t="n"/>
      <c r="CE76" s="153" t="n"/>
      <c r="CF76" s="153" t="n"/>
      <c r="CG76" s="153" t="n"/>
      <c r="CH76" s="153" t="n"/>
      <c r="CI76" s="153" t="n"/>
      <c r="CJ76" s="153" t="n"/>
      <c r="CK76" s="153" t="n"/>
      <c r="CS76" s="15" t="inlineStr">
        <is>
          <t>M&amp;A_spend (acquisitions, $m)</t>
        </is>
      </c>
      <c r="CT76" s="50" t="n">
        <v>2000</v>
      </c>
      <c r="CU76" s="21" t="inlineStr">
        <is>
          <t>Δ →</t>
        </is>
      </c>
      <c r="CV76" s="50" t="n">
        <v>-3000</v>
      </c>
      <c r="CW76" s="13" t="inlineStr">
        <is>
          <t>Acquisition spend FY24 $69.1bn (Activision), FY25 $6.0bn, FY26 $1.7bn. Base $3bn p.a. of bolt-ons (assumption).</t>
        </is>
      </c>
    </row>
    <row r="77" ht="15" customHeight="1" s="251">
      <c r="B77" s="156" t="inlineStr">
        <is>
          <t xml:space="preserve">    Intelligent Cloud — operating income</t>
        </is>
      </c>
      <c r="C77" s="34" t="n"/>
      <c r="D77" s="34" t="n"/>
      <c r="E77" s="34" t="n"/>
      <c r="F77" s="34" t="n"/>
      <c r="G77" s="34" t="n"/>
      <c r="H77" s="34" t="n"/>
      <c r="I77" s="34" t="n"/>
      <c r="J77" s="34" t="n"/>
      <c r="K77" s="34" t="n"/>
      <c r="L77" s="34" t="n"/>
      <c r="M77" s="34" t="n"/>
      <c r="N77" s="34" t="n"/>
      <c r="O77" s="34" t="n"/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253" t="n">
        <v>2400</v>
      </c>
      <c r="Z77" s="253" t="n">
        <v>2580</v>
      </c>
      <c r="AA77" s="253" t="n">
        <v>2188</v>
      </c>
      <c r="AB77" s="253" t="n">
        <v>2190</v>
      </c>
      <c r="AC77" s="253" t="n">
        <v>9358</v>
      </c>
      <c r="AD77" s="253" t="n">
        <v>2058</v>
      </c>
      <c r="AE77" s="253" t="n">
        <v>2398</v>
      </c>
      <c r="AF77" s="253" t="n">
        <v>2181</v>
      </c>
      <c r="AG77" s="253" t="n">
        <v>2501</v>
      </c>
      <c r="AH77" s="253" t="n">
        <v>9138</v>
      </c>
      <c r="AI77" s="253" t="n">
        <v>2137</v>
      </c>
      <c r="AJ77" s="253" t="n">
        <v>2832</v>
      </c>
      <c r="AK77" s="253" t="n">
        <v>2654</v>
      </c>
      <c r="AL77" s="253" t="n">
        <v>3901</v>
      </c>
      <c r="AM77" s="253" t="n">
        <v>11524</v>
      </c>
      <c r="AN77" s="253" t="n">
        <v>2931</v>
      </c>
      <c r="AO77" s="253" t="n">
        <v>3279</v>
      </c>
      <c r="AP77" s="253" t="n">
        <v>3208</v>
      </c>
      <c r="AQ77" s="253" t="n">
        <v>4502</v>
      </c>
      <c r="AR77" s="253" t="n">
        <v>13920</v>
      </c>
      <c r="AS77" s="253" t="n">
        <v>3889</v>
      </c>
      <c r="AT77" s="253" t="n">
        <v>4531</v>
      </c>
      <c r="AU77" s="253" t="n">
        <v>4560</v>
      </c>
      <c r="AV77" s="253" t="n">
        <v>5344</v>
      </c>
      <c r="AW77" s="253" t="n">
        <v>18324</v>
      </c>
      <c r="AX77" s="253" t="n">
        <v>5422</v>
      </c>
      <c r="AY77" s="253" t="n">
        <v>6492</v>
      </c>
      <c r="AZ77" s="253" t="n">
        <v>6425</v>
      </c>
      <c r="BA77" s="253" t="n">
        <v>7787</v>
      </c>
      <c r="BB77" s="253" t="n">
        <v>26126</v>
      </c>
      <c r="BC77" s="253" t="n">
        <v>7562</v>
      </c>
      <c r="BD77" s="253" t="n">
        <v>8197</v>
      </c>
      <c r="BE77" s="253" t="n">
        <v>8281</v>
      </c>
      <c r="BF77" s="253" t="n">
        <v>8681</v>
      </c>
      <c r="BG77" s="253" t="n">
        <v>32721</v>
      </c>
      <c r="BH77" s="253" t="n">
        <v>8978</v>
      </c>
      <c r="BI77" s="253" t="n">
        <v>8904</v>
      </c>
      <c r="BJ77" s="253" t="n">
        <v>9476</v>
      </c>
      <c r="BK77" s="253" t="n">
        <v>10526</v>
      </c>
      <c r="BL77" s="253" t="n">
        <v>37884</v>
      </c>
      <c r="BM77" s="253" t="n">
        <v>11751</v>
      </c>
      <c r="BN77" s="253" t="n">
        <v>12461</v>
      </c>
      <c r="BO77" s="253" t="n">
        <v>12513</v>
      </c>
      <c r="BP77" s="253" t="n">
        <v>12859</v>
      </c>
      <c r="BQ77" s="253" t="n">
        <v>49584</v>
      </c>
      <c r="BR77" s="253" t="n">
        <v>10503</v>
      </c>
      <c r="BS77" s="253" t="n">
        <v>10851</v>
      </c>
      <c r="BT77" s="253" t="n">
        <v>11095</v>
      </c>
      <c r="BU77" s="253" t="n">
        <v>12140</v>
      </c>
      <c r="BV77" s="253" t="n">
        <v>44589</v>
      </c>
      <c r="BW77" s="253" t="n">
        <v>13391</v>
      </c>
      <c r="BX77" s="253" t="n">
        <v>13873</v>
      </c>
      <c r="BY77" s="253" t="n">
        <v>13753</v>
      </c>
      <c r="BZ77" s="253" t="n">
        <v>15955</v>
      </c>
      <c r="CA77" s="253" t="n">
        <v>56972</v>
      </c>
      <c r="CB77" s="153" t="n"/>
      <c r="CC77" s="153" t="n"/>
      <c r="CD77" s="153" t="n"/>
      <c r="CE77" s="153" t="n"/>
      <c r="CF77" s="153" t="n"/>
      <c r="CG77" s="153" t="n"/>
      <c r="CH77" s="153" t="n"/>
      <c r="CI77" s="153" t="n"/>
      <c r="CJ77" s="153" t="n"/>
      <c r="CK77" s="153" t="n"/>
      <c r="CS77" s="25" t="inlineStr">
        <is>
          <t xml:space="preserve">  2028E</t>
        </is>
      </c>
      <c r="CT77" s="51">
        <f>MAX(0,CU77+$CT$76)</f>
        <v>5000</v>
      </c>
      <c r="CU77" s="26" t="n">
        <v>3000</v>
      </c>
      <c r="CV77" s="51">
        <f>MAX(0,CU77+$CV$76)</f>
        <v>0</v>
      </c>
    </row>
    <row r="78" ht="15" customHeight="1" s="251">
      <c r="B78" s="156" t="inlineStr">
        <is>
          <t xml:space="preserve">    More Personal Computing — operating income</t>
        </is>
      </c>
      <c r="C78" s="34" t="n"/>
      <c r="D78" s="34" t="n"/>
      <c r="E78" s="34" t="n"/>
      <c r="F78" s="34" t="n"/>
      <c r="G78" s="34" t="n"/>
      <c r="H78" s="34" t="n"/>
      <c r="I78" s="34" t="n"/>
      <c r="J78" s="34" t="n"/>
      <c r="K78" s="34" t="n"/>
      <c r="L78" s="34" t="n"/>
      <c r="M78" s="34" t="n"/>
      <c r="N78" s="34" t="n"/>
      <c r="O78" s="34" t="n"/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253" t="n">
        <v>1562</v>
      </c>
      <c r="Z78" s="253" t="n">
        <v>2038</v>
      </c>
      <c r="AA78" s="253" t="n">
        <v>1645</v>
      </c>
      <c r="AB78" s="253" t="n">
        <v>964</v>
      </c>
      <c r="AC78" s="253" t="n">
        <v>6142</v>
      </c>
      <c r="AD78" s="253" t="n">
        <v>1928</v>
      </c>
      <c r="AE78" s="253" t="n">
        <v>2499</v>
      </c>
      <c r="AF78" s="253" t="n">
        <v>2097</v>
      </c>
      <c r="AG78" s="253" t="n">
        <v>1764</v>
      </c>
      <c r="AH78" s="253" t="n">
        <v>8288</v>
      </c>
      <c r="AI78" s="253" t="n">
        <v>2565</v>
      </c>
      <c r="AJ78" s="253" t="n">
        <v>2510</v>
      </c>
      <c r="AK78" s="253" t="n">
        <v>2523</v>
      </c>
      <c r="AL78" s="253" t="n">
        <v>3012</v>
      </c>
      <c r="AM78" s="253" t="n">
        <v>10610</v>
      </c>
      <c r="AN78" s="253" t="n">
        <v>3143</v>
      </c>
      <c r="AO78" s="253" t="n">
        <v>2964</v>
      </c>
      <c r="AP78" s="253" t="n">
        <v>3154</v>
      </c>
      <c r="AQ78" s="253" t="n">
        <v>3559</v>
      </c>
      <c r="AR78" s="253" t="n">
        <v>12820</v>
      </c>
      <c r="AS78" s="253" t="n">
        <v>4015</v>
      </c>
      <c r="AT78" s="253" t="n">
        <v>4178</v>
      </c>
      <c r="AU78" s="253" t="n">
        <v>3627</v>
      </c>
      <c r="AV78" s="253" t="n">
        <v>4091</v>
      </c>
      <c r="AW78" s="253" t="n">
        <v>15911</v>
      </c>
      <c r="AX78" s="253" t="n">
        <v>4748</v>
      </c>
      <c r="AY78" s="253" t="n">
        <v>5224</v>
      </c>
      <c r="AZ78" s="253" t="n">
        <v>4594</v>
      </c>
      <c r="BA78" s="253" t="n">
        <v>4873</v>
      </c>
      <c r="BB78" s="253" t="n">
        <v>19439</v>
      </c>
      <c r="BC78" s="253" t="n">
        <v>5095</v>
      </c>
      <c r="BD78" s="253" t="n">
        <v>6362</v>
      </c>
      <c r="BE78" s="253" t="n">
        <v>4899</v>
      </c>
      <c r="BF78" s="253" t="n">
        <v>4619</v>
      </c>
      <c r="BG78" s="253" t="n">
        <v>20975</v>
      </c>
      <c r="BH78" s="253" t="n">
        <v>4217</v>
      </c>
      <c r="BI78" s="253" t="n">
        <v>3320</v>
      </c>
      <c r="BJ78" s="253" t="n">
        <v>4237</v>
      </c>
      <c r="BK78" s="253" t="n">
        <v>4676</v>
      </c>
      <c r="BL78" s="253" t="n">
        <v>16450</v>
      </c>
      <c r="BM78" s="253" t="n">
        <v>5174</v>
      </c>
      <c r="BN78" s="253" t="n">
        <v>4287</v>
      </c>
      <c r="BO78" s="253" t="n">
        <v>4925</v>
      </c>
      <c r="BP78" s="253" t="n">
        <v>4923</v>
      </c>
      <c r="BQ78" s="253" t="n">
        <v>19309</v>
      </c>
      <c r="BR78" s="253" t="n">
        <v>3533</v>
      </c>
      <c r="BS78" s="253" t="n">
        <v>3917</v>
      </c>
      <c r="BT78" s="253" t="n">
        <v>3526</v>
      </c>
      <c r="BU78" s="253" t="n">
        <v>3190</v>
      </c>
      <c r="BV78" s="253" t="n">
        <v>14166</v>
      </c>
      <c r="BW78" s="253" t="n">
        <v>4163</v>
      </c>
      <c r="BX78" s="253" t="n">
        <v>3803</v>
      </c>
      <c r="BY78" s="253" t="n">
        <v>3672</v>
      </c>
      <c r="BZ78" s="253" t="n">
        <v>2748</v>
      </c>
      <c r="CA78" s="253" t="n">
        <v>14386</v>
      </c>
      <c r="CB78" s="153" t="n"/>
      <c r="CC78" s="153" t="n"/>
      <c r="CD78" s="153" t="n"/>
      <c r="CE78" s="153" t="n"/>
      <c r="CF78" s="153" t="n"/>
      <c r="CG78" s="153" t="n"/>
      <c r="CH78" s="153" t="n"/>
      <c r="CI78" s="153" t="n"/>
      <c r="CJ78" s="153" t="n"/>
      <c r="CK78" s="153" t="n"/>
      <c r="CS78" s="25" t="inlineStr">
        <is>
          <t xml:space="preserve">  2029E</t>
        </is>
      </c>
      <c r="CT78" s="51">
        <f>MAX(0,CU78+$CT$76)</f>
        <v>5000</v>
      </c>
      <c r="CU78" s="26" t="n">
        <v>3000</v>
      </c>
      <c r="CV78" s="51">
        <f>MAX(0,CU78+$CV$76)</f>
        <v>0</v>
      </c>
    </row>
    <row r="79" ht="15" customHeight="1" s="251">
      <c r="B79" s="156" t="inlineStr">
        <is>
          <t xml:space="preserve">    Corporate and Other — operating income</t>
        </is>
      </c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253" t="n">
        <v>-1274</v>
      </c>
      <c r="Z79" s="253" t="n">
        <v>-1897</v>
      </c>
      <c r="AA79" s="253" t="n">
        <v>-1544</v>
      </c>
      <c r="AB79" s="253" t="n">
        <v>-3074</v>
      </c>
      <c r="AC79" s="253" t="n">
        <v>-7779</v>
      </c>
      <c r="AD79" s="253" t="n">
        <v>-1881</v>
      </c>
      <c r="AE79" s="253" t="n">
        <v>-1976</v>
      </c>
      <c r="AF79" s="253" t="n">
        <v>-1467</v>
      </c>
      <c r="AG79" s="253" t="n">
        <v>-1689</v>
      </c>
      <c r="AH79" s="253" t="n">
        <v>-7013</v>
      </c>
      <c r="AI79" s="34" t="n"/>
      <c r="AJ79" s="34" t="n"/>
      <c r="AK79" s="34" t="n"/>
      <c r="AL79" s="253" t="n">
        <v>0</v>
      </c>
      <c r="AM79" s="253" t="n">
        <v>0</v>
      </c>
      <c r="AN79" s="34" t="n"/>
      <c r="AO79" s="34" t="n"/>
      <c r="AP79" s="34" t="n"/>
      <c r="AQ79" s="34" t="n"/>
      <c r="AR79" s="34" t="n"/>
      <c r="AS79" s="34" t="n"/>
      <c r="AT79" s="34" t="n"/>
      <c r="AU79" s="34" t="n"/>
      <c r="AV79" s="34" t="n"/>
      <c r="AW79" s="34" t="n"/>
      <c r="AX79" s="34" t="n"/>
      <c r="AY79" s="34" t="n"/>
      <c r="AZ79" s="34" t="n"/>
      <c r="BA79" s="34" t="n"/>
      <c r="BB79" s="34" t="n"/>
      <c r="BC79" s="34" t="n"/>
      <c r="BD79" s="34" t="n"/>
      <c r="BE79" s="34" t="n"/>
      <c r="BF79" s="34" t="n"/>
      <c r="BG79" s="34" t="n"/>
      <c r="BH79" s="34" t="n"/>
      <c r="BI79" s="34" t="n"/>
      <c r="BJ79" s="34" t="n"/>
      <c r="BK79" s="34" t="n"/>
      <c r="BL79" s="34" t="n"/>
      <c r="BM79" s="34" t="n"/>
      <c r="BN79" s="34" t="n"/>
      <c r="BO79" s="34" t="n"/>
      <c r="BP79" s="34" t="n"/>
      <c r="BQ79" s="34" t="n"/>
      <c r="BR79" s="34" t="n"/>
      <c r="BS79" s="34" t="n"/>
      <c r="BT79" s="34" t="n"/>
      <c r="BU79" s="34" t="n"/>
      <c r="BV79" s="34" t="n"/>
      <c r="BW79" s="34" t="n"/>
      <c r="BX79" s="34" t="n"/>
      <c r="BY79" s="34" t="n"/>
      <c r="BZ79" s="34" t="n"/>
      <c r="CA79" s="34" t="n"/>
      <c r="CB79" s="153" t="n"/>
      <c r="CC79" s="153" t="n"/>
      <c r="CD79" s="153" t="n"/>
      <c r="CE79" s="153" t="n"/>
      <c r="CF79" s="153" t="n"/>
      <c r="CG79" s="153" t="n"/>
      <c r="CH79" s="153" t="n"/>
      <c r="CI79" s="153" t="n"/>
      <c r="CJ79" s="153" t="n"/>
      <c r="CK79" s="153" t="n"/>
      <c r="CS79" s="25" t="inlineStr">
        <is>
          <t xml:space="preserve">  2030E</t>
        </is>
      </c>
      <c r="CT79" s="51">
        <f>MAX(0,CU79+$CT$76)</f>
        <v>5000</v>
      </c>
      <c r="CU79" s="26" t="n">
        <v>3000</v>
      </c>
      <c r="CV79" s="51">
        <f>MAX(0,CU79+$CV$76)</f>
        <v>0</v>
      </c>
    </row>
    <row r="80" collapsed="1" ht="15" customHeight="1" s="251">
      <c r="B80" s="57" t="inlineStr">
        <is>
          <t xml:space="preserve">    Check: Σ operating income vs consolidated (should be 0)</t>
        </is>
      </c>
      <c r="C80" s="211">
        <f>IF(ISNUMBER(C76),ROUND(N(C76)+N(C77)+N(C78)+N(C79)-C190,0),"")</f>
      </c>
      <c r="D80" s="211">
        <f>IF(ISNUMBER(D76),ROUND(N(D76)+N(D77)+N(D78)+N(D79)-D190,0),"")</f>
      </c>
      <c r="E80" s="211">
        <f>IF(ISNUMBER(E76),ROUND(N(E76)+N(E77)+N(E78)+N(E79)-E190,0),"")</f>
      </c>
      <c r="F80" s="211">
        <f>IF(ISNUMBER(F76),ROUND(N(F76)+N(F77)+N(F78)+N(F79)-F190,0),"")</f>
      </c>
      <c r="G80" s="211">
        <f>IF(ISNUMBER(G76),ROUND(N(G76)+N(G77)+N(G78)+N(G79)-G190,0),"")</f>
      </c>
      <c r="H80" s="211">
        <f>IF(ISNUMBER(H76),ROUND(N(H76)+N(H77)+N(H78)+N(H79)-H190,0),"")</f>
      </c>
      <c r="I80" s="211">
        <f>IF(ISNUMBER(I76),ROUND(N(I76)+N(I77)+N(I78)+N(I79)-I190,0),"")</f>
      </c>
      <c r="J80" s="211">
        <f>IF(ISNUMBER(J76),ROUND(N(J76)+N(J77)+N(J78)+N(J79)-J190,0),"")</f>
      </c>
      <c r="K80" s="211">
        <f>IF(ISNUMBER(K76),ROUND(N(K76)+N(K77)+N(K78)+N(K79)-K190,0),"")</f>
      </c>
      <c r="L80" s="211">
        <f>IF(ISNUMBER(L76),ROUND(N(L76)+N(L77)+N(L78)+N(L79)-L190,0),"")</f>
      </c>
      <c r="M80" s="211">
        <f>IF(ISNUMBER(M76),ROUND(N(M76)+N(M77)+N(M78)+N(M79)-M190,0),"")</f>
      </c>
      <c r="N80" s="211">
        <f>IF(ISNUMBER(N76),ROUND(N(N76)+N(N77)+N(N78)+N(N79)-N190,0),"")</f>
      </c>
      <c r="O80" s="211">
        <f>IF(ISNUMBER(O76),ROUND(N(O76)+N(O77)+N(O78)+N(O79)-O190,0),"")</f>
      </c>
      <c r="P80" s="211">
        <f>IF(ISNUMBER(P76),ROUND(N(P76)+N(P77)+N(P78)+N(P79)-P190,0),"")</f>
      </c>
      <c r="Q80" s="211">
        <f>IF(ISNUMBER(Q76),ROUND(N(Q76)+N(Q77)+N(Q78)+N(Q79)-Q190,0),"")</f>
      </c>
      <c r="R80" s="211">
        <f>IF(ISNUMBER(R76),ROUND(N(R76)+N(R77)+N(R78)+N(R79)-R190,0),"")</f>
      </c>
      <c r="S80" s="211">
        <f>IF(ISNUMBER(S76),ROUND(N(S76)+N(S77)+N(S78)+N(S79)-S190,0),"")</f>
      </c>
      <c r="T80" s="211">
        <f>IF(ISNUMBER(T76),ROUND(N(T76)+N(T77)+N(T78)+N(T79)-T190,0),"")</f>
      </c>
      <c r="U80" s="211">
        <f>IF(ISNUMBER(U76),ROUND(N(U76)+N(U77)+N(U78)+N(U79)-U190,0),"")</f>
      </c>
      <c r="V80" s="211">
        <f>IF(ISNUMBER(V76),ROUND(N(V76)+N(V77)+N(V78)+N(V79)-V190,0),"")</f>
      </c>
      <c r="W80" s="211">
        <f>IF(ISNUMBER(W76),ROUND(N(W76)+N(W77)+N(W78)+N(W79)-W190,0),"")</f>
      </c>
      <c r="X80" s="211">
        <f>IF(ISNUMBER(X76),ROUND(N(X76)+N(X77)+N(X78)+N(X79)-X190,0),"")</f>
      </c>
      <c r="Y80" s="211">
        <f>IF(ISNUMBER(Y76),ROUND(N(Y76)+N(Y77)+N(Y78)+N(Y79)-Y190,0),"")</f>
        <v>0</v>
      </c>
      <c r="Z80" s="211">
        <f>IF(ISNUMBER(Z76),ROUND(N(Z76)+N(Z77)+N(Z78)+N(Z79)-Z190,0),"")</f>
        <v>0</v>
      </c>
      <c r="AA80" s="211">
        <f>IF(ISNUMBER(AA76),ROUND(N(AA76)+N(AA77)+N(AA78)+N(AA79)-AA190,0),"")</f>
        <v>0</v>
      </c>
      <c r="AB80" s="211">
        <f>IF(ISNUMBER(AB76),ROUND(N(AB76)+N(AB77)+N(AB78)+N(AB79)-AB190,0),"")</f>
        <v>0</v>
      </c>
      <c r="AC80" s="211">
        <f>IF(ISNUMBER(AC76),ROUND(N(AC76)+N(AC77)+N(AC78)+N(AC79)-AC190,0),"")</f>
        <v>0</v>
      </c>
      <c r="AD80" s="211">
        <f>IF(ISNUMBER(AD76),ROUND(N(AD76)+N(AD77)+N(AD78)+N(AD79)-AD190,0),"")</f>
        <v>0</v>
      </c>
      <c r="AE80" s="211">
        <f>IF(ISNUMBER(AE76),ROUND(N(AE76)+N(AE77)+N(AE78)+N(AE79)-AE190,0),"")</f>
        <v>0</v>
      </c>
      <c r="AF80" s="211">
        <f>IF(ISNUMBER(AF76),ROUND(N(AF76)+N(AF77)+N(AF78)+N(AF79)-AF190,0),"")</f>
        <v>0</v>
      </c>
      <c r="AG80" s="211">
        <f>IF(ISNUMBER(AG76),ROUND(N(AG76)+N(AG77)+N(AG78)+N(AG79)-AG190,0),"")</f>
        <v>0</v>
      </c>
      <c r="AH80" s="211">
        <f>IF(ISNUMBER(AH76),ROUND(N(AH76)+N(AH77)+N(AH78)+N(AH79)-AH190,0),"")</f>
        <v>0</v>
      </c>
      <c r="AI80" s="211">
        <f>IF(ISNUMBER(AI76),ROUND(N(AI76)+N(AI77)+N(AI78)+N(AI79)-AI190,0),"")</f>
        <v>0</v>
      </c>
      <c r="AJ80" s="211">
        <f>IF(ISNUMBER(AJ76),ROUND(N(AJ76)+N(AJ77)+N(AJ78)+N(AJ79)-AJ190,0),"")</f>
        <v>0</v>
      </c>
      <c r="AK80" s="211">
        <f>IF(ISNUMBER(AK76),ROUND(N(AK76)+N(AK77)+N(AK78)+N(AK79)-AK190,0),"")</f>
        <v>0</v>
      </c>
      <c r="AL80" s="211">
        <f>IF(ISNUMBER(AL76),ROUND(N(AL76)+N(AL77)+N(AL78)+N(AL79)-AL190,0),"")</f>
        <v>0</v>
      </c>
      <c r="AM80" s="211">
        <f>IF(ISNUMBER(AM76),ROUND(N(AM76)+N(AM77)+N(AM78)+N(AM79)-AM190,0),"")</f>
        <v>0</v>
      </c>
      <c r="AN80" s="211">
        <f>IF(ISNUMBER(AN76),ROUND(N(AN76)+N(AN77)+N(AN78)+N(AN79)-AN190,0),"")</f>
        <v>0</v>
      </c>
      <c r="AO80" s="211">
        <f>IF(ISNUMBER(AO76),ROUND(N(AO76)+N(AO77)+N(AO78)+N(AO79)-AO190,0),"")</f>
        <v>0</v>
      </c>
      <c r="AP80" s="211">
        <f>IF(ISNUMBER(AP76),ROUND(N(AP76)+N(AP77)+N(AP78)+N(AP79)-AP190,0),"")</f>
        <v>0</v>
      </c>
      <c r="AQ80" s="211">
        <f>IF(ISNUMBER(AQ76),ROUND(N(AQ76)+N(AQ77)+N(AQ78)+N(AQ79)-AQ190,0),"")</f>
        <v>0</v>
      </c>
      <c r="AR80" s="211">
        <f>IF(ISNUMBER(AR76),ROUND(N(AR76)+N(AR77)+N(AR78)+N(AR79)-AR190,0),"")</f>
        <v>0</v>
      </c>
      <c r="AS80" s="211">
        <f>IF(ISNUMBER(AS76),ROUND(N(AS76)+N(AS77)+N(AS78)+N(AS79)-AS190,0),"")</f>
        <v>0</v>
      </c>
      <c r="AT80" s="211">
        <f>IF(ISNUMBER(AT76),ROUND(N(AT76)+N(AT77)+N(AT78)+N(AT79)-AT190,0),"")</f>
        <v>0</v>
      </c>
      <c r="AU80" s="211">
        <f>IF(ISNUMBER(AU76),ROUND(N(AU76)+N(AU77)+N(AU78)+N(AU79)-AU190,0),"")</f>
        <v>0</v>
      </c>
      <c r="AV80" s="211">
        <f>IF(ISNUMBER(AV76),ROUND(N(AV76)+N(AV77)+N(AV78)+N(AV79)-AV190,0),"")</f>
        <v>0</v>
      </c>
      <c r="AW80" s="211">
        <f>IF(ISNUMBER(AW76),ROUND(N(AW76)+N(AW77)+N(AW78)+N(AW79)-AW190,0),"")</f>
        <v>0</v>
      </c>
      <c r="AX80" s="211">
        <f>IF(ISNUMBER(AX76),ROUND(N(AX76)+N(AX77)+N(AX78)+N(AX79)-AX190,0),"")</f>
        <v>0</v>
      </c>
      <c r="AY80" s="211">
        <f>IF(ISNUMBER(AY76),ROUND(N(AY76)+N(AY77)+N(AY78)+N(AY79)-AY190,0),"")</f>
        <v>0</v>
      </c>
      <c r="AZ80" s="211">
        <f>IF(ISNUMBER(AZ76),ROUND(N(AZ76)+N(AZ77)+N(AZ78)+N(AZ79)-AZ190,0),"")</f>
        <v>0</v>
      </c>
      <c r="BA80" s="211">
        <f>IF(ISNUMBER(BA76),ROUND(N(BA76)+N(BA77)+N(BA78)+N(BA79)-BA190,0),"")</f>
        <v>0</v>
      </c>
      <c r="BB80" s="211">
        <f>IF(ISNUMBER(BB76),ROUND(N(BB76)+N(BB77)+N(BB78)+N(BB79)-BB190,0),"")</f>
        <v>0</v>
      </c>
      <c r="BC80" s="211">
        <f>IF(ISNUMBER(BC76),ROUND(N(BC76)+N(BC77)+N(BC78)+N(BC79)-BC190,0),"")</f>
        <v>0</v>
      </c>
      <c r="BD80" s="211">
        <f>IF(ISNUMBER(BD76),ROUND(N(BD76)+N(BD77)+N(BD78)+N(BD79)-BD190,0),"")</f>
        <v>0</v>
      </c>
      <c r="BE80" s="211">
        <f>IF(ISNUMBER(BE76),ROUND(N(BE76)+N(BE77)+N(BE78)+N(BE79)-BE190,0),"")</f>
        <v>0</v>
      </c>
      <c r="BF80" s="211">
        <f>IF(ISNUMBER(BF76),ROUND(N(BF76)+N(BF77)+N(BF78)+N(BF79)-BF190,0),"")</f>
        <v>0</v>
      </c>
      <c r="BG80" s="211">
        <f>IF(ISNUMBER(BG76),ROUND(N(BG76)+N(BG77)+N(BG78)+N(BG79)-BG190,0),"")</f>
        <v>0</v>
      </c>
      <c r="BH80" s="211">
        <f>IF(ISNUMBER(BH76),ROUND(N(BH76)+N(BH77)+N(BH78)+N(BH79)-BH190,0),"")</f>
        <v>0</v>
      </c>
      <c r="BI80" s="211">
        <f>IF(ISNUMBER(BI76),ROUND(N(BI76)+N(BI77)+N(BI78)+N(BI79)-BI190,0),"")</f>
        <v>0</v>
      </c>
      <c r="BJ80" s="211">
        <f>IF(ISNUMBER(BJ76),ROUND(N(BJ76)+N(BJ77)+N(BJ78)+N(BJ79)-BJ190,0),"")</f>
        <v>0</v>
      </c>
      <c r="BK80" s="211">
        <f>IF(ISNUMBER(BK76),ROUND(N(BK76)+N(BK77)+N(BK78)+N(BK79)-BK190,0),"")</f>
        <v>0</v>
      </c>
      <c r="BL80" s="211">
        <f>IF(ISNUMBER(BL76),ROUND(N(BL76)+N(BL77)+N(BL78)+N(BL79)-BL190,0),"")</f>
        <v>0</v>
      </c>
      <c r="BM80" s="211">
        <f>IF(ISNUMBER(BM76),ROUND(N(BM76)+N(BM77)+N(BM78)+N(BM79)-BM190,0),"")</f>
        <v>0</v>
      </c>
      <c r="BN80" s="211">
        <f>IF(ISNUMBER(BN76),ROUND(N(BN76)+N(BN77)+N(BN78)+N(BN79)-BN190,0),"")</f>
        <v>0</v>
      </c>
      <c r="BO80" s="211">
        <f>IF(ISNUMBER(BO76),ROUND(N(BO76)+N(BO77)+N(BO78)+N(BO79)-BO190,0),"")</f>
        <v>0</v>
      </c>
      <c r="BP80" s="211">
        <f>IF(ISNUMBER(BP76),ROUND(N(BP76)+N(BP77)+N(BP78)+N(BP79)-BP190,0),"")</f>
        <v>0</v>
      </c>
      <c r="BQ80" s="211">
        <f>IF(ISNUMBER(BQ76),ROUND(N(BQ76)+N(BQ77)+N(BQ78)+N(BQ79)-BQ190,0),"")</f>
        <v>0</v>
      </c>
      <c r="BR80" s="211">
        <f>IF(ISNUMBER(BR76),ROUND(N(BR76)+N(BR77)+N(BR78)+N(BR79)-BR190,0),"")</f>
        <v>0</v>
      </c>
      <c r="BS80" s="211">
        <f>IF(ISNUMBER(BS76),ROUND(N(BS76)+N(BS77)+N(BS78)+N(BS79)-BS190,0),"")</f>
        <v>0</v>
      </c>
      <c r="BT80" s="211">
        <f>IF(ISNUMBER(BT76),ROUND(N(BT76)+N(BT77)+N(BT78)+N(BT79)-BT190,0),"")</f>
        <v>0</v>
      </c>
      <c r="BU80" s="211">
        <f>IF(ISNUMBER(BU76),ROUND(N(BU76)+N(BU77)+N(BU78)+N(BU79)-BU190,0),"")</f>
        <v>0</v>
      </c>
      <c r="BV80" s="211">
        <f>IF(ISNUMBER(BV76),ROUND(N(BV76)+N(BV77)+N(BV78)+N(BV79)-BV190,0),"")</f>
        <v>0</v>
      </c>
      <c r="BW80" s="211">
        <f>IF(ISNUMBER(BW76),ROUND(N(BW76)+N(BW77)+N(BW78)+N(BW79)-BW190,0),"")</f>
        <v>0</v>
      </c>
      <c r="BX80" s="211">
        <f>IF(ISNUMBER(BX76),ROUND(N(BX76)+N(BX77)+N(BX78)+N(BX79)-BX190,0),"")</f>
        <v>0</v>
      </c>
      <c r="BY80" s="211">
        <f>IF(ISNUMBER(BY76),ROUND(N(BY76)+N(BY77)+N(BY78)+N(BY79)-BY190,0),"")</f>
        <v>0</v>
      </c>
      <c r="BZ80" s="211">
        <f>IF(ISNUMBER(BZ76),ROUND(N(BZ76)+N(BZ77)+N(BZ78)+N(BZ79)-BZ190,0),"")</f>
        <v>0</v>
      </c>
      <c r="CA80" s="211">
        <f>IF(ISNUMBER(CA76),ROUND(N(CA76)+N(CA77)+N(CA78)+N(CA79)-CA190,0),"")</f>
        <v>0</v>
      </c>
      <c r="CB80" s="153" t="n"/>
      <c r="CC80" s="153" t="n"/>
      <c r="CD80" s="153" t="n"/>
      <c r="CE80" s="153" t="n"/>
      <c r="CF80" s="153" t="n"/>
      <c r="CG80" s="153" t="n"/>
      <c r="CH80" s="153" t="n"/>
      <c r="CI80" s="153" t="n"/>
      <c r="CJ80" s="153" t="n"/>
      <c r="CK80" s="153" t="n"/>
      <c r="CS80" s="25" t="inlineStr">
        <is>
          <t xml:space="preserve">  2031E</t>
        </is>
      </c>
      <c r="CT80" s="51">
        <f>MAX(0,CU80+$CT$76)</f>
        <v>5000</v>
      </c>
      <c r="CU80" s="26" t="n">
        <v>3000</v>
      </c>
      <c r="CV80" s="51">
        <f>MAX(0,CU80+$CV$76)</f>
        <v>0</v>
      </c>
    </row>
    <row r="81" ht="15" customHeight="1" s="251">
      <c r="B81" s="25" t="inlineStr">
        <is>
          <t xml:space="preserve">  Devices &amp; Consumer / Commercial (FY2014–FY2015; revenue and gross margin only)</t>
        </is>
      </c>
      <c r="CK81" s="153" t="n"/>
    </row>
    <row r="82" ht="15" customHeight="1" s="251">
      <c r="B82" s="156" t="inlineStr">
        <is>
          <t xml:space="preserve">    D&amp;C Licensing — revenue</t>
        </is>
      </c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253" t="n">
        <v>4343</v>
      </c>
      <c r="P82" s="253" t="n">
        <v>5384</v>
      </c>
      <c r="Q82" s="253" t="n">
        <v>4382</v>
      </c>
      <c r="R82" s="253" t="n">
        <v>4694</v>
      </c>
      <c r="S82" s="253" t="n">
        <v>18803</v>
      </c>
      <c r="T82" s="253" t="n">
        <v>4093</v>
      </c>
      <c r="U82" s="253" t="n">
        <v>4167</v>
      </c>
      <c r="V82" s="253" t="n">
        <v>3476</v>
      </c>
      <c r="W82" s="253" t="n">
        <v>3233</v>
      </c>
      <c r="X82" s="253" t="n">
        <v>14969</v>
      </c>
      <c r="Y82" s="34" t="n"/>
      <c r="Z82" s="34" t="n"/>
      <c r="AA82" s="34" t="n"/>
      <c r="AB82" s="34" t="n"/>
      <c r="AC82" s="34" t="n"/>
      <c r="AD82" s="34" t="n"/>
      <c r="AE82" s="34" t="n"/>
      <c r="AF82" s="34" t="n"/>
      <c r="AG82" s="34" t="n"/>
      <c r="AH82" s="34" t="n"/>
      <c r="AI82" s="34" t="n"/>
      <c r="AJ82" s="34" t="n"/>
      <c r="AK82" s="34" t="n"/>
      <c r="AL82" s="34" t="n"/>
      <c r="AM82" s="34" t="n"/>
      <c r="AN82" s="34" t="n"/>
      <c r="AO82" s="34" t="n"/>
      <c r="AP82" s="34" t="n"/>
      <c r="AQ82" s="34" t="n"/>
      <c r="AR82" s="34" t="n"/>
      <c r="AS82" s="34" t="n"/>
      <c r="AT82" s="34" t="n"/>
      <c r="AU82" s="34" t="n"/>
      <c r="AV82" s="34" t="n"/>
      <c r="AW82" s="34" t="n"/>
      <c r="AX82" s="34" t="n"/>
      <c r="AY82" s="34" t="n"/>
      <c r="AZ82" s="34" t="n"/>
      <c r="BA82" s="34" t="n"/>
      <c r="BB82" s="34" t="n"/>
      <c r="BC82" s="34" t="n"/>
      <c r="BD82" s="34" t="n"/>
      <c r="BE82" s="34" t="n"/>
      <c r="BF82" s="34" t="n"/>
      <c r="BG82" s="34" t="n"/>
      <c r="BH82" s="34" t="n"/>
      <c r="BI82" s="34" t="n"/>
      <c r="BJ82" s="34" t="n"/>
      <c r="BK82" s="34" t="n"/>
      <c r="BL82" s="34" t="n"/>
      <c r="BM82" s="34" t="n"/>
      <c r="BN82" s="34" t="n"/>
      <c r="BO82" s="34" t="n"/>
      <c r="BP82" s="34" t="n"/>
      <c r="BQ82" s="34" t="n"/>
      <c r="BR82" s="34" t="n"/>
      <c r="BS82" s="34" t="n"/>
      <c r="BT82" s="34" t="n"/>
      <c r="BU82" s="34" t="n"/>
      <c r="BV82" s="34" t="n"/>
      <c r="BW82" s="34" t="n"/>
      <c r="BX82" s="34" t="n"/>
      <c r="BY82" s="34" t="n"/>
      <c r="BZ82" s="34" t="n"/>
      <c r="CA82" s="34" t="n"/>
      <c r="CB82" s="153" t="n"/>
      <c r="CC82" s="153" t="n"/>
      <c r="CD82" s="153" t="n"/>
      <c r="CE82" s="153" t="n"/>
      <c r="CF82" s="153" t="n"/>
      <c r="CG82" s="153" t="n"/>
      <c r="CH82" s="153" t="n"/>
      <c r="CI82" s="153" t="n"/>
      <c r="CJ82" s="153" t="n"/>
      <c r="CK82" s="153" t="n"/>
    </row>
    <row r="83" ht="15" customHeight="1" s="251">
      <c r="B83" s="156" t="inlineStr">
        <is>
          <t xml:space="preserve">    Computing and Gaming Hardware (D&amp;C Hardware to Q3/14) — revenue</t>
        </is>
      </c>
      <c r="C83" s="34" t="n"/>
      <c r="D83" s="34" t="n"/>
      <c r="E83" s="34" t="n"/>
      <c r="F83" s="34" t="n"/>
      <c r="G83" s="34" t="n"/>
      <c r="H83" s="34" t="n"/>
      <c r="I83" s="34" t="n"/>
      <c r="J83" s="34" t="n"/>
      <c r="K83" s="34" t="n"/>
      <c r="L83" s="34" t="n"/>
      <c r="M83" s="34" t="n"/>
      <c r="N83" s="34" t="n"/>
      <c r="O83" s="253" t="n">
        <v>1485</v>
      </c>
      <c r="P83" s="253" t="n">
        <v>4729</v>
      </c>
      <c r="Q83" s="253" t="n">
        <v>1973</v>
      </c>
      <c r="R83" s="253" t="n">
        <v>1441</v>
      </c>
      <c r="S83" s="253" t="n">
        <v>9628</v>
      </c>
      <c r="T83" s="253" t="n">
        <v>2453</v>
      </c>
      <c r="U83" s="253" t="n">
        <v>3997</v>
      </c>
      <c r="V83" s="253" t="n">
        <v>1800</v>
      </c>
      <c r="W83" s="253" t="n">
        <v>1933</v>
      </c>
      <c r="X83" s="253" t="n">
        <v>10183</v>
      </c>
      <c r="Y83" s="34" t="n"/>
      <c r="Z83" s="34" t="n"/>
      <c r="AA83" s="34" t="n"/>
      <c r="AB83" s="34" t="n"/>
      <c r="AC83" s="34" t="n"/>
      <c r="AD83" s="34" t="n"/>
      <c r="AE83" s="34" t="n"/>
      <c r="AF83" s="34" t="n"/>
      <c r="AG83" s="34" t="n"/>
      <c r="AH83" s="34" t="n"/>
      <c r="AI83" s="34" t="n"/>
      <c r="AJ83" s="34" t="n"/>
      <c r="AK83" s="34" t="n"/>
      <c r="AL83" s="34" t="n"/>
      <c r="AM83" s="34" t="n"/>
      <c r="AN83" s="34" t="n"/>
      <c r="AO83" s="34" t="n"/>
      <c r="AP83" s="34" t="n"/>
      <c r="AQ83" s="34" t="n"/>
      <c r="AR83" s="34" t="n"/>
      <c r="AS83" s="34" t="n"/>
      <c r="AT83" s="34" t="n"/>
      <c r="AU83" s="34" t="n"/>
      <c r="AV83" s="34" t="n"/>
      <c r="AW83" s="34" t="n"/>
      <c r="AX83" s="34" t="n"/>
      <c r="AY83" s="34" t="n"/>
      <c r="AZ83" s="34" t="n"/>
      <c r="BA83" s="34" t="n"/>
      <c r="BB83" s="34" t="n"/>
      <c r="BC83" s="34" t="n"/>
      <c r="BD83" s="34" t="n"/>
      <c r="BE83" s="34" t="n"/>
      <c r="BF83" s="34" t="n"/>
      <c r="BG83" s="34" t="n"/>
      <c r="BH83" s="34" t="n"/>
      <c r="BI83" s="34" t="n"/>
      <c r="BJ83" s="34" t="n"/>
      <c r="BK83" s="34" t="n"/>
      <c r="BL83" s="34" t="n"/>
      <c r="BM83" s="34" t="n"/>
      <c r="BN83" s="34" t="n"/>
      <c r="BO83" s="34" t="n"/>
      <c r="BP83" s="34" t="n"/>
      <c r="BQ83" s="34" t="n"/>
      <c r="BR83" s="34" t="n"/>
      <c r="BS83" s="34" t="n"/>
      <c r="BT83" s="34" t="n"/>
      <c r="BU83" s="34" t="n"/>
      <c r="BV83" s="34" t="n"/>
      <c r="BW83" s="34" t="n"/>
      <c r="BX83" s="34" t="n"/>
      <c r="BY83" s="34" t="n"/>
      <c r="BZ83" s="34" t="n"/>
      <c r="CA83" s="34" t="n"/>
      <c r="CB83" s="153" t="n"/>
      <c r="CC83" s="153" t="n"/>
      <c r="CD83" s="153" t="n"/>
      <c r="CE83" s="153" t="n"/>
      <c r="CF83" s="153" t="n"/>
      <c r="CG83" s="153" t="n"/>
      <c r="CH83" s="153" t="n"/>
      <c r="CI83" s="153" t="n"/>
      <c r="CJ83" s="153" t="n"/>
      <c r="CK83" s="153" t="n"/>
    </row>
    <row r="84" ht="15" customHeight="1" s="251">
      <c r="B84" s="156" t="inlineStr">
        <is>
          <t xml:space="preserve">    Phone Hardware (Nokia, from Apr-2014) — revenue</t>
        </is>
      </c>
      <c r="C84" s="34" t="n"/>
      <c r="D84" s="34" t="n"/>
      <c r="E84" s="34" t="n"/>
      <c r="F84" s="34" t="n"/>
      <c r="G84" s="34" t="n"/>
      <c r="H84" s="34" t="n"/>
      <c r="I84" s="34" t="n"/>
      <c r="J84" s="34" t="n"/>
      <c r="K84" s="34" t="n"/>
      <c r="L84" s="34" t="n"/>
      <c r="M84" s="34" t="n"/>
      <c r="N84" s="34" t="n"/>
      <c r="O84" s="34" t="n"/>
      <c r="P84" s="34" t="n"/>
      <c r="Q84" s="34" t="n"/>
      <c r="R84" s="253" t="n">
        <v>1985</v>
      </c>
      <c r="S84" s="253" t="n">
        <v>1985</v>
      </c>
      <c r="T84" s="253" t="n">
        <v>2609</v>
      </c>
      <c r="U84" s="253" t="n">
        <v>2284</v>
      </c>
      <c r="V84" s="253" t="n">
        <v>1397</v>
      </c>
      <c r="W84" s="253" t="n">
        <v>1234</v>
      </c>
      <c r="X84" s="253" t="n">
        <v>7524</v>
      </c>
      <c r="Y84" s="34" t="n"/>
      <c r="Z84" s="34" t="n"/>
      <c r="AA84" s="34" t="n"/>
      <c r="AB84" s="34" t="n"/>
      <c r="AC84" s="34" t="n"/>
      <c r="AD84" s="34" t="n"/>
      <c r="AE84" s="34" t="n"/>
      <c r="AF84" s="34" t="n"/>
      <c r="AG84" s="34" t="n"/>
      <c r="AH84" s="34" t="n"/>
      <c r="AI84" s="34" t="n"/>
      <c r="AJ84" s="34" t="n"/>
      <c r="AK84" s="34" t="n"/>
      <c r="AL84" s="34" t="n"/>
      <c r="AM84" s="34" t="n"/>
      <c r="AN84" s="34" t="n"/>
      <c r="AO84" s="34" t="n"/>
      <c r="AP84" s="34" t="n"/>
      <c r="AQ84" s="34" t="n"/>
      <c r="AR84" s="34" t="n"/>
      <c r="AS84" s="34" t="n"/>
      <c r="AT84" s="34" t="n"/>
      <c r="AU84" s="34" t="n"/>
      <c r="AV84" s="34" t="n"/>
      <c r="AW84" s="34" t="n"/>
      <c r="AX84" s="34" t="n"/>
      <c r="AY84" s="34" t="n"/>
      <c r="AZ84" s="34" t="n"/>
      <c r="BA84" s="34" t="n"/>
      <c r="BB84" s="34" t="n"/>
      <c r="BC84" s="34" t="n"/>
      <c r="BD84" s="34" t="n"/>
      <c r="BE84" s="34" t="n"/>
      <c r="BF84" s="34" t="n"/>
      <c r="BG84" s="34" t="n"/>
      <c r="BH84" s="34" t="n"/>
      <c r="BI84" s="34" t="n"/>
      <c r="BJ84" s="34" t="n"/>
      <c r="BK84" s="34" t="n"/>
      <c r="BL84" s="34" t="n"/>
      <c r="BM84" s="34" t="n"/>
      <c r="BN84" s="34" t="n"/>
      <c r="BO84" s="34" t="n"/>
      <c r="BP84" s="34" t="n"/>
      <c r="BQ84" s="34" t="n"/>
      <c r="BR84" s="34" t="n"/>
      <c r="BS84" s="34" t="n"/>
      <c r="BT84" s="34" t="n"/>
      <c r="BU84" s="34" t="n"/>
      <c r="BV84" s="34" t="n"/>
      <c r="BW84" s="34" t="n"/>
      <c r="BX84" s="34" t="n"/>
      <c r="BY84" s="34" t="n"/>
      <c r="BZ84" s="34" t="n"/>
      <c r="CA84" s="34" t="n"/>
      <c r="CB84" s="153" t="n"/>
      <c r="CC84" s="153" t="n"/>
      <c r="CD84" s="153" t="n"/>
      <c r="CE84" s="153" t="n"/>
      <c r="CF84" s="153" t="n"/>
      <c r="CG84" s="153" t="n"/>
      <c r="CH84" s="153" t="n"/>
      <c r="CI84" s="153" t="n"/>
      <c r="CJ84" s="153" t="n"/>
      <c r="CK84" s="153" t="n"/>
    </row>
    <row r="85" ht="15" customHeight="1" s="251">
      <c r="B85" s="156" t="inlineStr">
        <is>
          <t xml:space="preserve">    D&amp;C Other — revenue</t>
        </is>
      </c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253" t="n">
        <v>1635</v>
      </c>
      <c r="P85" s="253" t="n">
        <v>1793</v>
      </c>
      <c r="Q85" s="253" t="n">
        <v>1950</v>
      </c>
      <c r="R85" s="253" t="n">
        <v>1880</v>
      </c>
      <c r="S85" s="253" t="n">
        <v>7258</v>
      </c>
      <c r="T85" s="253" t="n">
        <v>1809</v>
      </c>
      <c r="U85" s="253" t="n">
        <v>2436</v>
      </c>
      <c r="V85" s="253" t="n">
        <v>2280</v>
      </c>
      <c r="W85" s="253" t="n">
        <v>2300</v>
      </c>
      <c r="X85" s="253" t="n">
        <v>8825</v>
      </c>
      <c r="Y85" s="34" t="n"/>
      <c r="Z85" s="34" t="n"/>
      <c r="AA85" s="34" t="n"/>
      <c r="AB85" s="34" t="n"/>
      <c r="AC85" s="34" t="n"/>
      <c r="AD85" s="34" t="n"/>
      <c r="AE85" s="34" t="n"/>
      <c r="AF85" s="34" t="n"/>
      <c r="AG85" s="34" t="n"/>
      <c r="AH85" s="34" t="n"/>
      <c r="AI85" s="34" t="n"/>
      <c r="AJ85" s="34" t="n"/>
      <c r="AK85" s="34" t="n"/>
      <c r="AL85" s="34" t="n"/>
      <c r="AM85" s="34" t="n"/>
      <c r="AN85" s="34" t="n"/>
      <c r="AO85" s="34" t="n"/>
      <c r="AP85" s="34" t="n"/>
      <c r="AQ85" s="34" t="n"/>
      <c r="AR85" s="34" t="n"/>
      <c r="AS85" s="34" t="n"/>
      <c r="AT85" s="34" t="n"/>
      <c r="AU85" s="34" t="n"/>
      <c r="AV85" s="34" t="n"/>
      <c r="AW85" s="34" t="n"/>
      <c r="AX85" s="34" t="n"/>
      <c r="AY85" s="34" t="n"/>
      <c r="AZ85" s="34" t="n"/>
      <c r="BA85" s="34" t="n"/>
      <c r="BB85" s="34" t="n"/>
      <c r="BC85" s="34" t="n"/>
      <c r="BD85" s="34" t="n"/>
      <c r="BE85" s="34" t="n"/>
      <c r="BF85" s="34" t="n"/>
      <c r="BG85" s="34" t="n"/>
      <c r="BH85" s="34" t="n"/>
      <c r="BI85" s="34" t="n"/>
      <c r="BJ85" s="34" t="n"/>
      <c r="BK85" s="34" t="n"/>
      <c r="BL85" s="34" t="n"/>
      <c r="BM85" s="34" t="n"/>
      <c r="BN85" s="34" t="n"/>
      <c r="BO85" s="34" t="n"/>
      <c r="BP85" s="34" t="n"/>
      <c r="BQ85" s="34" t="n"/>
      <c r="BR85" s="34" t="n"/>
      <c r="BS85" s="34" t="n"/>
      <c r="BT85" s="34" t="n"/>
      <c r="BU85" s="34" t="n"/>
      <c r="BV85" s="34" t="n"/>
      <c r="BW85" s="34" t="n"/>
      <c r="BX85" s="34" t="n"/>
      <c r="BY85" s="34" t="n"/>
      <c r="BZ85" s="34" t="n"/>
      <c r="CA85" s="34" t="n"/>
      <c r="CB85" s="153" t="n"/>
      <c r="CC85" s="153" t="n"/>
      <c r="CD85" s="153" t="n"/>
      <c r="CE85" s="153" t="n"/>
      <c r="CF85" s="153" t="n"/>
      <c r="CG85" s="153" t="n"/>
      <c r="CH85" s="153" t="n"/>
      <c r="CI85" s="153" t="n"/>
      <c r="CJ85" s="153" t="n"/>
      <c r="CK85" s="153" t="n"/>
    </row>
    <row r="86" ht="15" customHeight="1" s="251">
      <c r="B86" s="156" t="inlineStr">
        <is>
          <t xml:space="preserve">    Commercial Licensing — revenue</t>
        </is>
      </c>
      <c r="C86" s="34" t="n"/>
      <c r="D86" s="34" t="n"/>
      <c r="E86" s="34" t="n"/>
      <c r="F86" s="34" t="n"/>
      <c r="G86" s="34" t="n"/>
      <c r="H86" s="34" t="n"/>
      <c r="I86" s="34" t="n"/>
      <c r="J86" s="34" t="n"/>
      <c r="K86" s="34" t="n"/>
      <c r="L86" s="34" t="n"/>
      <c r="M86" s="34" t="n"/>
      <c r="N86" s="34" t="n"/>
      <c r="O86" s="253" t="n">
        <v>9594</v>
      </c>
      <c r="P86" s="253" t="n">
        <v>10888</v>
      </c>
      <c r="Q86" s="253" t="n">
        <v>10323</v>
      </c>
      <c r="R86" s="253" t="n">
        <v>11222</v>
      </c>
      <c r="S86" s="253" t="n">
        <v>42027</v>
      </c>
      <c r="T86" s="253" t="n">
        <v>9873</v>
      </c>
      <c r="U86" s="253" t="n">
        <v>10679</v>
      </c>
      <c r="V86" s="253" t="n">
        <v>10036</v>
      </c>
      <c r="W86" s="253" t="n">
        <v>10451</v>
      </c>
      <c r="X86" s="253" t="n">
        <v>41039</v>
      </c>
      <c r="Y86" s="34" t="n"/>
      <c r="Z86" s="34" t="n"/>
      <c r="AA86" s="34" t="n"/>
      <c r="AB86" s="34" t="n"/>
      <c r="AC86" s="34" t="n"/>
      <c r="AD86" s="34" t="n"/>
      <c r="AE86" s="34" t="n"/>
      <c r="AF86" s="34" t="n"/>
      <c r="AG86" s="34" t="n"/>
      <c r="AH86" s="34" t="n"/>
      <c r="AI86" s="34" t="n"/>
      <c r="AJ86" s="34" t="n"/>
      <c r="AK86" s="34" t="n"/>
      <c r="AL86" s="34" t="n"/>
      <c r="AM86" s="34" t="n"/>
      <c r="AN86" s="34" t="n"/>
      <c r="AO86" s="34" t="n"/>
      <c r="AP86" s="34" t="n"/>
      <c r="AQ86" s="34" t="n"/>
      <c r="AR86" s="34" t="n"/>
      <c r="AS86" s="34" t="n"/>
      <c r="AT86" s="34" t="n"/>
      <c r="AU86" s="34" t="n"/>
      <c r="AV86" s="34" t="n"/>
      <c r="AW86" s="34" t="n"/>
      <c r="AX86" s="34" t="n"/>
      <c r="AY86" s="34" t="n"/>
      <c r="AZ86" s="34" t="n"/>
      <c r="BA86" s="34" t="n"/>
      <c r="BB86" s="34" t="n"/>
      <c r="BC86" s="34" t="n"/>
      <c r="BD86" s="34" t="n"/>
      <c r="BE86" s="34" t="n"/>
      <c r="BF86" s="34" t="n"/>
      <c r="BG86" s="34" t="n"/>
      <c r="BH86" s="34" t="n"/>
      <c r="BI86" s="34" t="n"/>
      <c r="BJ86" s="34" t="n"/>
      <c r="BK86" s="34" t="n"/>
      <c r="BL86" s="34" t="n"/>
      <c r="BM86" s="34" t="n"/>
      <c r="BN86" s="34" t="n"/>
      <c r="BO86" s="34" t="n"/>
      <c r="BP86" s="34" t="n"/>
      <c r="BQ86" s="34" t="n"/>
      <c r="BR86" s="34" t="n"/>
      <c r="BS86" s="34" t="n"/>
      <c r="BT86" s="34" t="n"/>
      <c r="BU86" s="34" t="n"/>
      <c r="BV86" s="34" t="n"/>
      <c r="BW86" s="34" t="n"/>
      <c r="BX86" s="34" t="n"/>
      <c r="BY86" s="34" t="n"/>
      <c r="BZ86" s="34" t="n"/>
      <c r="CA86" s="34" t="n"/>
      <c r="CB86" s="153" t="n"/>
      <c r="CC86" s="153" t="n"/>
      <c r="CD86" s="153" t="n"/>
      <c r="CE86" s="153" t="n"/>
      <c r="CF86" s="153" t="n"/>
      <c r="CG86" s="153" t="n"/>
      <c r="CH86" s="153" t="n"/>
      <c r="CI86" s="153" t="n"/>
      <c r="CJ86" s="153" t="n"/>
      <c r="CK86" s="153" t="n"/>
    </row>
    <row r="87" ht="15" customHeight="1" s="251">
      <c r="B87" s="156" t="inlineStr">
        <is>
          <t xml:space="preserve">    Commercial Other — revenue</t>
        </is>
      </c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253" t="n">
        <v>1603</v>
      </c>
      <c r="P87" s="253" t="n">
        <v>1780</v>
      </c>
      <c r="Q87" s="253" t="n">
        <v>1902</v>
      </c>
      <c r="R87" s="253" t="n">
        <v>2262</v>
      </c>
      <c r="S87" s="253" t="n">
        <v>7547</v>
      </c>
      <c r="T87" s="253" t="n">
        <v>2407</v>
      </c>
      <c r="U87" s="253" t="n">
        <v>2593</v>
      </c>
      <c r="V87" s="253" t="n">
        <v>2760</v>
      </c>
      <c r="W87" s="253" t="n">
        <v>3076</v>
      </c>
      <c r="X87" s="253" t="n">
        <v>10836</v>
      </c>
      <c r="Y87" s="34" t="n"/>
      <c r="Z87" s="34" t="n"/>
      <c r="AA87" s="34" t="n"/>
      <c r="AB87" s="34" t="n"/>
      <c r="AC87" s="34" t="n"/>
      <c r="AD87" s="34" t="n"/>
      <c r="AE87" s="34" t="n"/>
      <c r="AF87" s="34" t="n"/>
      <c r="AG87" s="34" t="n"/>
      <c r="AH87" s="34" t="n"/>
      <c r="AI87" s="34" t="n"/>
      <c r="AJ87" s="34" t="n"/>
      <c r="AK87" s="34" t="n"/>
      <c r="AL87" s="34" t="n"/>
      <c r="AM87" s="34" t="n"/>
      <c r="AN87" s="34" t="n"/>
      <c r="AO87" s="34" t="n"/>
      <c r="AP87" s="34" t="n"/>
      <c r="AQ87" s="34" t="n"/>
      <c r="AR87" s="34" t="n"/>
      <c r="AS87" s="34" t="n"/>
      <c r="AT87" s="34" t="n"/>
      <c r="AU87" s="34" t="n"/>
      <c r="AV87" s="34" t="n"/>
      <c r="AW87" s="34" t="n"/>
      <c r="AX87" s="34" t="n"/>
      <c r="AY87" s="34" t="n"/>
      <c r="AZ87" s="34" t="n"/>
      <c r="BA87" s="34" t="n"/>
      <c r="BB87" s="34" t="n"/>
      <c r="BC87" s="34" t="n"/>
      <c r="BD87" s="34" t="n"/>
      <c r="BE87" s="34" t="n"/>
      <c r="BF87" s="34" t="n"/>
      <c r="BG87" s="34" t="n"/>
      <c r="BH87" s="34" t="n"/>
      <c r="BI87" s="34" t="n"/>
      <c r="BJ87" s="34" t="n"/>
      <c r="BK87" s="34" t="n"/>
      <c r="BL87" s="34" t="n"/>
      <c r="BM87" s="34" t="n"/>
      <c r="BN87" s="34" t="n"/>
      <c r="BO87" s="34" t="n"/>
      <c r="BP87" s="34" t="n"/>
      <c r="BQ87" s="34" t="n"/>
      <c r="BR87" s="34" t="n"/>
      <c r="BS87" s="34" t="n"/>
      <c r="BT87" s="34" t="n"/>
      <c r="BU87" s="34" t="n"/>
      <c r="BV87" s="34" t="n"/>
      <c r="BW87" s="34" t="n"/>
      <c r="BX87" s="34" t="n"/>
      <c r="BY87" s="34" t="n"/>
      <c r="BZ87" s="34" t="n"/>
      <c r="CA87" s="34" t="n"/>
      <c r="CB87" s="153" t="n"/>
      <c r="CC87" s="153" t="n"/>
      <c r="CD87" s="153" t="n"/>
      <c r="CE87" s="153" t="n"/>
      <c r="CF87" s="153" t="n"/>
      <c r="CG87" s="153" t="n"/>
      <c r="CH87" s="153" t="n"/>
      <c r="CI87" s="153" t="n"/>
      <c r="CJ87" s="153" t="n"/>
      <c r="CK87" s="153" t="n"/>
    </row>
    <row r="88" collapsed="1" ht="15" customHeight="1" s="251">
      <c r="B88" s="156" t="inlineStr">
        <is>
          <t xml:space="preserve">    Corporate and Other — revenue</t>
        </is>
      </c>
      <c r="C88" s="34" t="n"/>
      <c r="D88" s="34" t="n"/>
      <c r="E88" s="34" t="n"/>
      <c r="F88" s="34" t="n"/>
      <c r="G88" s="34" t="n"/>
      <c r="H88" s="34" t="n"/>
      <c r="I88" s="34" t="n"/>
      <c r="J88" s="34" t="n"/>
      <c r="K88" s="34" t="n"/>
      <c r="L88" s="34" t="n"/>
      <c r="M88" s="34" t="n"/>
      <c r="N88" s="34" t="n"/>
      <c r="O88" s="253" t="n">
        <v>-131</v>
      </c>
      <c r="P88" s="253" t="n">
        <v>-55</v>
      </c>
      <c r="Q88" s="253" t="n">
        <v>-127</v>
      </c>
      <c r="R88" s="253" t="n">
        <v>-102</v>
      </c>
      <c r="S88" s="253" t="n">
        <v>-415</v>
      </c>
      <c r="T88" s="253" t="n">
        <v>-43</v>
      </c>
      <c r="U88" s="253" t="n">
        <v>314</v>
      </c>
      <c r="V88" s="253" t="n">
        <v>-20</v>
      </c>
      <c r="W88" s="253" t="n">
        <v>-47</v>
      </c>
      <c r="X88" s="253" t="n">
        <v>204</v>
      </c>
      <c r="Y88" s="34" t="n"/>
      <c r="Z88" s="34" t="n"/>
      <c r="AA88" s="34" t="n"/>
      <c r="AB88" s="34" t="n"/>
      <c r="AC88" s="34" t="n"/>
      <c r="AD88" s="34" t="n"/>
      <c r="AE88" s="34" t="n"/>
      <c r="AF88" s="34" t="n"/>
      <c r="AG88" s="34" t="n"/>
      <c r="AH88" s="34" t="n"/>
      <c r="AI88" s="34" t="n"/>
      <c r="AJ88" s="34" t="n"/>
      <c r="AK88" s="34" t="n"/>
      <c r="AL88" s="34" t="n"/>
      <c r="AM88" s="34" t="n"/>
      <c r="AN88" s="34" t="n"/>
      <c r="AO88" s="34" t="n"/>
      <c r="AP88" s="34" t="n"/>
      <c r="AQ88" s="34" t="n"/>
      <c r="AR88" s="34" t="n"/>
      <c r="AS88" s="34" t="n"/>
      <c r="AT88" s="34" t="n"/>
      <c r="AU88" s="34" t="n"/>
      <c r="AV88" s="34" t="n"/>
      <c r="AW88" s="34" t="n"/>
      <c r="AX88" s="34" t="n"/>
      <c r="AY88" s="34" t="n"/>
      <c r="AZ88" s="34" t="n"/>
      <c r="BA88" s="34" t="n"/>
      <c r="BB88" s="34" t="n"/>
      <c r="BC88" s="34" t="n"/>
      <c r="BD88" s="34" t="n"/>
      <c r="BE88" s="34" t="n"/>
      <c r="BF88" s="34" t="n"/>
      <c r="BG88" s="34" t="n"/>
      <c r="BH88" s="34" t="n"/>
      <c r="BI88" s="34" t="n"/>
      <c r="BJ88" s="34" t="n"/>
      <c r="BK88" s="34" t="n"/>
      <c r="BL88" s="34" t="n"/>
      <c r="BM88" s="34" t="n"/>
      <c r="BN88" s="34" t="n"/>
      <c r="BO88" s="34" t="n"/>
      <c r="BP88" s="34" t="n"/>
      <c r="BQ88" s="34" t="n"/>
      <c r="BR88" s="34" t="n"/>
      <c r="BS88" s="34" t="n"/>
      <c r="BT88" s="34" t="n"/>
      <c r="BU88" s="34" t="n"/>
      <c r="BV88" s="34" t="n"/>
      <c r="BW88" s="34" t="n"/>
      <c r="BX88" s="34" t="n"/>
      <c r="BY88" s="34" t="n"/>
      <c r="BZ88" s="34" t="n"/>
      <c r="CA88" s="34" t="n"/>
      <c r="CB88" s="153" t="n"/>
      <c r="CC88" s="153" t="n"/>
      <c r="CD88" s="153" t="n"/>
      <c r="CE88" s="153" t="n"/>
      <c r="CF88" s="153" t="n"/>
      <c r="CG88" s="153" t="n"/>
      <c r="CH88" s="153" t="n"/>
      <c r="CI88" s="153" t="n"/>
      <c r="CJ88" s="153" t="n"/>
      <c r="CK88" s="153" t="n"/>
    </row>
    <row r="89" ht="15" customHeight="1" s="251">
      <c r="B89" s="57" t="inlineStr">
        <is>
          <t xml:space="preserve">    Check: Σ revenue vs consolidated (should be 0)</t>
        </is>
      </c>
      <c r="C89" s="211">
        <f>IF(ISNUMBER(C86),ROUND(N(C82)+N(C83)+N(C84)+N(C85)+N(C86)+N(C87)+N(C88)-C179,0),"")</f>
      </c>
      <c r="D89" s="211">
        <f>IF(ISNUMBER(D86),ROUND(N(D82)+N(D83)+N(D84)+N(D85)+N(D86)+N(D87)+N(D88)-D179,0),"")</f>
      </c>
      <c r="E89" s="211">
        <f>IF(ISNUMBER(E86),ROUND(N(E82)+N(E83)+N(E84)+N(E85)+N(E86)+N(E87)+N(E88)-E179,0),"")</f>
      </c>
      <c r="F89" s="211">
        <f>IF(ISNUMBER(F86),ROUND(N(F82)+N(F83)+N(F84)+N(F85)+N(F86)+N(F87)+N(F88)-F179,0),"")</f>
      </c>
      <c r="G89" s="211">
        <f>IF(ISNUMBER(G86),ROUND(N(G82)+N(G83)+N(G84)+N(G85)+N(G86)+N(G87)+N(G88)-G179,0),"")</f>
      </c>
      <c r="H89" s="211">
        <f>IF(ISNUMBER(H86),ROUND(N(H82)+N(H83)+N(H84)+N(H85)+N(H86)+N(H87)+N(H88)-H179,0),"")</f>
      </c>
      <c r="I89" s="211">
        <f>IF(ISNUMBER(I86),ROUND(N(I82)+N(I83)+N(I84)+N(I85)+N(I86)+N(I87)+N(I88)-I179,0),"")</f>
      </c>
      <c r="J89" s="211">
        <f>IF(ISNUMBER(J86),ROUND(N(J82)+N(J83)+N(J84)+N(J85)+N(J86)+N(J87)+N(J88)-J179,0),"")</f>
      </c>
      <c r="K89" s="211">
        <f>IF(ISNUMBER(K86),ROUND(N(K82)+N(K83)+N(K84)+N(K85)+N(K86)+N(K87)+N(K88)-K179,0),"")</f>
      </c>
      <c r="L89" s="211">
        <f>IF(ISNUMBER(L86),ROUND(N(L82)+N(L83)+N(L84)+N(L85)+N(L86)+N(L87)+N(L88)-L179,0),"")</f>
      </c>
      <c r="M89" s="211">
        <f>IF(ISNUMBER(M86),ROUND(N(M82)+N(M83)+N(M84)+N(M85)+N(M86)+N(M87)+N(M88)-M179,0),"")</f>
      </c>
      <c r="N89" s="211">
        <f>IF(ISNUMBER(N86),ROUND(N(N82)+N(N83)+N(N84)+N(N85)+N(N86)+N(N87)+N(N88)-N179,0),"")</f>
      </c>
      <c r="O89" s="211">
        <f>IF(ISNUMBER(O86),ROUND(N(O82)+N(O83)+N(O84)+N(O85)+N(O86)+N(O87)+N(O88)-O179,0),"")</f>
        <v>0</v>
      </c>
      <c r="P89" s="211">
        <f>IF(ISNUMBER(P86),ROUND(N(P82)+N(P83)+N(P84)+N(P85)+N(P86)+N(P87)+N(P88)-P179,0),"")</f>
        <v>0</v>
      </c>
      <c r="Q89" s="211">
        <f>IF(ISNUMBER(Q86),ROUND(N(Q82)+N(Q83)+N(Q84)+N(Q85)+N(Q86)+N(Q87)+N(Q88)-Q179,0),"")</f>
        <v>0</v>
      </c>
      <c r="R89" s="211">
        <f>IF(ISNUMBER(R86),ROUND(N(R82)+N(R83)+N(R84)+N(R85)+N(R86)+N(R87)+N(R88)-R179,0),"")</f>
        <v>0</v>
      </c>
      <c r="S89" s="211">
        <f>IF(ISNUMBER(S86),ROUND(N(S82)+N(S83)+N(S84)+N(S85)+N(S86)+N(S87)+N(S88)-S179,0),"")</f>
        <v>0</v>
      </c>
      <c r="T89" s="211">
        <f>IF(ISNUMBER(T86),ROUND(N(T82)+N(T83)+N(T84)+N(T85)+N(T86)+N(T87)+N(T88)-T179,0),"")</f>
        <v>0</v>
      </c>
      <c r="U89" s="211">
        <f>IF(ISNUMBER(U86),ROUND(N(U82)+N(U83)+N(U84)+N(U85)+N(U86)+N(U87)+N(U88)-U179,0),"")</f>
        <v>0</v>
      </c>
      <c r="V89" s="211">
        <f>IF(ISNUMBER(V86),ROUND(N(V82)+N(V83)+N(V84)+N(V85)+N(V86)+N(V87)+N(V88)-V179,0),"")</f>
        <v>0</v>
      </c>
      <c r="W89" s="211">
        <f>IF(ISNUMBER(W86),ROUND(N(W82)+N(W83)+N(W84)+N(W85)+N(W86)+N(W87)+N(W88)-W179,0),"")</f>
        <v>0</v>
      </c>
      <c r="X89" s="211">
        <f>IF(ISNUMBER(X86),ROUND(N(X82)+N(X83)+N(X84)+N(X85)+N(X86)+N(X87)+N(X88)-X179,0),"")</f>
        <v>0</v>
      </c>
      <c r="Y89" s="211">
        <f>IF(ISNUMBER(Y86),ROUND(N(Y82)+N(Y83)+N(Y84)+N(Y85)+N(Y86)+N(Y87)+N(Y88)-Y179,0),"")</f>
      </c>
      <c r="Z89" s="211">
        <f>IF(ISNUMBER(Z86),ROUND(N(Z82)+N(Z83)+N(Z84)+N(Z85)+N(Z86)+N(Z87)+N(Z88)-Z179,0),"")</f>
      </c>
      <c r="AA89" s="211">
        <f>IF(ISNUMBER(AA86),ROUND(N(AA82)+N(AA83)+N(AA84)+N(AA85)+N(AA86)+N(AA87)+N(AA88)-AA179,0),"")</f>
      </c>
      <c r="AB89" s="211">
        <f>IF(ISNUMBER(AB86),ROUND(N(AB82)+N(AB83)+N(AB84)+N(AB85)+N(AB86)+N(AB87)+N(AB88)-AB179,0),"")</f>
      </c>
      <c r="AC89" s="211">
        <f>IF(ISNUMBER(AC86),ROUND(N(AC82)+N(AC83)+N(AC84)+N(AC85)+N(AC86)+N(AC87)+N(AC88)-AC179,0),"")</f>
      </c>
      <c r="AD89" s="211">
        <f>IF(ISNUMBER(AD86),ROUND(N(AD82)+N(AD83)+N(AD84)+N(AD85)+N(AD86)+N(AD87)+N(AD88)-AD179,0),"")</f>
      </c>
      <c r="AE89" s="211">
        <f>IF(ISNUMBER(AE86),ROUND(N(AE82)+N(AE83)+N(AE84)+N(AE85)+N(AE86)+N(AE87)+N(AE88)-AE179,0),"")</f>
      </c>
      <c r="AF89" s="211">
        <f>IF(ISNUMBER(AF86),ROUND(N(AF82)+N(AF83)+N(AF84)+N(AF85)+N(AF86)+N(AF87)+N(AF88)-AF179,0),"")</f>
      </c>
      <c r="AG89" s="211">
        <f>IF(ISNUMBER(AG86),ROUND(N(AG82)+N(AG83)+N(AG84)+N(AG85)+N(AG86)+N(AG87)+N(AG88)-AG179,0),"")</f>
      </c>
      <c r="AH89" s="211">
        <f>IF(ISNUMBER(AH86),ROUND(N(AH82)+N(AH83)+N(AH84)+N(AH85)+N(AH86)+N(AH87)+N(AH88)-AH179,0),"")</f>
      </c>
      <c r="AI89" s="211">
        <f>IF(ISNUMBER(AI86),ROUND(N(AI82)+N(AI83)+N(AI84)+N(AI85)+N(AI86)+N(AI87)+N(AI88)-AI179,0),"")</f>
      </c>
      <c r="AJ89" s="211">
        <f>IF(ISNUMBER(AJ86),ROUND(N(AJ82)+N(AJ83)+N(AJ84)+N(AJ85)+N(AJ86)+N(AJ87)+N(AJ88)-AJ179,0),"")</f>
      </c>
      <c r="AK89" s="211">
        <f>IF(ISNUMBER(AK86),ROUND(N(AK82)+N(AK83)+N(AK84)+N(AK85)+N(AK86)+N(AK87)+N(AK88)-AK179,0),"")</f>
      </c>
      <c r="AL89" s="211">
        <f>IF(ISNUMBER(AL86),ROUND(N(AL82)+N(AL83)+N(AL84)+N(AL85)+N(AL86)+N(AL87)+N(AL88)-AL179,0),"")</f>
      </c>
      <c r="AM89" s="211">
        <f>IF(ISNUMBER(AM86),ROUND(N(AM82)+N(AM83)+N(AM84)+N(AM85)+N(AM86)+N(AM87)+N(AM88)-AM179,0),"")</f>
      </c>
      <c r="AN89" s="211">
        <f>IF(ISNUMBER(AN86),ROUND(N(AN82)+N(AN83)+N(AN84)+N(AN85)+N(AN86)+N(AN87)+N(AN88)-AN179,0),"")</f>
      </c>
      <c r="AO89" s="211">
        <f>IF(ISNUMBER(AO86),ROUND(N(AO82)+N(AO83)+N(AO84)+N(AO85)+N(AO86)+N(AO87)+N(AO88)-AO179,0),"")</f>
      </c>
      <c r="AP89" s="211">
        <f>IF(ISNUMBER(AP86),ROUND(N(AP82)+N(AP83)+N(AP84)+N(AP85)+N(AP86)+N(AP87)+N(AP88)-AP179,0),"")</f>
      </c>
      <c r="AQ89" s="211">
        <f>IF(ISNUMBER(AQ86),ROUND(N(AQ82)+N(AQ83)+N(AQ84)+N(AQ85)+N(AQ86)+N(AQ87)+N(AQ88)-AQ179,0),"")</f>
      </c>
      <c r="AR89" s="211">
        <f>IF(ISNUMBER(AR86),ROUND(N(AR82)+N(AR83)+N(AR84)+N(AR85)+N(AR86)+N(AR87)+N(AR88)-AR179,0),"")</f>
      </c>
      <c r="AS89" s="211">
        <f>IF(ISNUMBER(AS86),ROUND(N(AS82)+N(AS83)+N(AS84)+N(AS85)+N(AS86)+N(AS87)+N(AS88)-AS179,0),"")</f>
      </c>
      <c r="AT89" s="211">
        <f>IF(ISNUMBER(AT86),ROUND(N(AT82)+N(AT83)+N(AT84)+N(AT85)+N(AT86)+N(AT87)+N(AT88)-AT179,0),"")</f>
      </c>
      <c r="AU89" s="211">
        <f>IF(ISNUMBER(AU86),ROUND(N(AU82)+N(AU83)+N(AU84)+N(AU85)+N(AU86)+N(AU87)+N(AU88)-AU179,0),"")</f>
      </c>
      <c r="AV89" s="211">
        <f>IF(ISNUMBER(AV86),ROUND(N(AV82)+N(AV83)+N(AV84)+N(AV85)+N(AV86)+N(AV87)+N(AV88)-AV179,0),"")</f>
      </c>
      <c r="AW89" s="211">
        <f>IF(ISNUMBER(AW86),ROUND(N(AW82)+N(AW83)+N(AW84)+N(AW85)+N(AW86)+N(AW87)+N(AW88)-AW179,0),"")</f>
      </c>
      <c r="AX89" s="211">
        <f>IF(ISNUMBER(AX86),ROUND(N(AX82)+N(AX83)+N(AX84)+N(AX85)+N(AX86)+N(AX87)+N(AX88)-AX179,0),"")</f>
      </c>
      <c r="AY89" s="211">
        <f>IF(ISNUMBER(AY86),ROUND(N(AY82)+N(AY83)+N(AY84)+N(AY85)+N(AY86)+N(AY87)+N(AY88)-AY179,0),"")</f>
      </c>
      <c r="AZ89" s="211">
        <f>IF(ISNUMBER(AZ86),ROUND(N(AZ82)+N(AZ83)+N(AZ84)+N(AZ85)+N(AZ86)+N(AZ87)+N(AZ88)-AZ179,0),"")</f>
      </c>
      <c r="BA89" s="211">
        <f>IF(ISNUMBER(BA86),ROUND(N(BA82)+N(BA83)+N(BA84)+N(BA85)+N(BA86)+N(BA87)+N(BA88)-BA179,0),"")</f>
      </c>
      <c r="BB89" s="211">
        <f>IF(ISNUMBER(BB86),ROUND(N(BB82)+N(BB83)+N(BB84)+N(BB85)+N(BB86)+N(BB87)+N(BB88)-BB179,0),"")</f>
      </c>
      <c r="BC89" s="211">
        <f>IF(ISNUMBER(BC86),ROUND(N(BC82)+N(BC83)+N(BC84)+N(BC85)+N(BC86)+N(BC87)+N(BC88)-BC179,0),"")</f>
      </c>
      <c r="BD89" s="211">
        <f>IF(ISNUMBER(BD86),ROUND(N(BD82)+N(BD83)+N(BD84)+N(BD85)+N(BD86)+N(BD87)+N(BD88)-BD179,0),"")</f>
      </c>
      <c r="BE89" s="211">
        <f>IF(ISNUMBER(BE86),ROUND(N(BE82)+N(BE83)+N(BE84)+N(BE85)+N(BE86)+N(BE87)+N(BE88)-BE179,0),"")</f>
      </c>
      <c r="BF89" s="211">
        <f>IF(ISNUMBER(BF86),ROUND(N(BF82)+N(BF83)+N(BF84)+N(BF85)+N(BF86)+N(BF87)+N(BF88)-BF179,0),"")</f>
      </c>
      <c r="BG89" s="211">
        <f>IF(ISNUMBER(BG86),ROUND(N(BG82)+N(BG83)+N(BG84)+N(BG85)+N(BG86)+N(BG87)+N(BG88)-BG179,0),"")</f>
      </c>
      <c r="BH89" s="211">
        <f>IF(ISNUMBER(BH86),ROUND(N(BH82)+N(BH83)+N(BH84)+N(BH85)+N(BH86)+N(BH87)+N(BH88)-BH179,0),"")</f>
      </c>
      <c r="BI89" s="211">
        <f>IF(ISNUMBER(BI86),ROUND(N(BI82)+N(BI83)+N(BI84)+N(BI85)+N(BI86)+N(BI87)+N(BI88)-BI179,0),"")</f>
      </c>
      <c r="BJ89" s="211">
        <f>IF(ISNUMBER(BJ86),ROUND(N(BJ82)+N(BJ83)+N(BJ84)+N(BJ85)+N(BJ86)+N(BJ87)+N(BJ88)-BJ179,0),"")</f>
      </c>
      <c r="BK89" s="211">
        <f>IF(ISNUMBER(BK86),ROUND(N(BK82)+N(BK83)+N(BK84)+N(BK85)+N(BK86)+N(BK87)+N(BK88)-BK179,0),"")</f>
      </c>
      <c r="BL89" s="211">
        <f>IF(ISNUMBER(BL86),ROUND(N(BL82)+N(BL83)+N(BL84)+N(BL85)+N(BL86)+N(BL87)+N(BL88)-BL179,0),"")</f>
      </c>
      <c r="BM89" s="211">
        <f>IF(ISNUMBER(BM86),ROUND(N(BM82)+N(BM83)+N(BM84)+N(BM85)+N(BM86)+N(BM87)+N(BM88)-BM179,0),"")</f>
      </c>
      <c r="BN89" s="211">
        <f>IF(ISNUMBER(BN86),ROUND(N(BN82)+N(BN83)+N(BN84)+N(BN85)+N(BN86)+N(BN87)+N(BN88)-BN179,0),"")</f>
      </c>
      <c r="BO89" s="211">
        <f>IF(ISNUMBER(BO86),ROUND(N(BO82)+N(BO83)+N(BO84)+N(BO85)+N(BO86)+N(BO87)+N(BO88)-BO179,0),"")</f>
      </c>
      <c r="BP89" s="211">
        <f>IF(ISNUMBER(BP86),ROUND(N(BP82)+N(BP83)+N(BP84)+N(BP85)+N(BP86)+N(BP87)+N(BP88)-BP179,0),"")</f>
      </c>
      <c r="BQ89" s="211">
        <f>IF(ISNUMBER(BQ86),ROUND(N(BQ82)+N(BQ83)+N(BQ84)+N(BQ85)+N(BQ86)+N(BQ87)+N(BQ88)-BQ179,0),"")</f>
      </c>
      <c r="BR89" s="211">
        <f>IF(ISNUMBER(BR86),ROUND(N(BR82)+N(BR83)+N(BR84)+N(BR85)+N(BR86)+N(BR87)+N(BR88)-BR179,0),"")</f>
      </c>
      <c r="BS89" s="211">
        <f>IF(ISNUMBER(BS86),ROUND(N(BS82)+N(BS83)+N(BS84)+N(BS85)+N(BS86)+N(BS87)+N(BS88)-BS179,0),"")</f>
      </c>
      <c r="BT89" s="211">
        <f>IF(ISNUMBER(BT86),ROUND(N(BT82)+N(BT83)+N(BT84)+N(BT85)+N(BT86)+N(BT87)+N(BT88)-BT179,0),"")</f>
      </c>
      <c r="BU89" s="211">
        <f>IF(ISNUMBER(BU86),ROUND(N(BU82)+N(BU83)+N(BU84)+N(BU85)+N(BU86)+N(BU87)+N(BU88)-BU179,0),"")</f>
      </c>
      <c r="BV89" s="211">
        <f>IF(ISNUMBER(BV86),ROUND(N(BV82)+N(BV83)+N(BV84)+N(BV85)+N(BV86)+N(BV87)+N(BV88)-BV179,0),"")</f>
      </c>
      <c r="BW89" s="211">
        <f>IF(ISNUMBER(BW86),ROUND(N(BW82)+N(BW83)+N(BW84)+N(BW85)+N(BW86)+N(BW87)+N(BW88)-BW179,0),"")</f>
      </c>
      <c r="BX89" s="211">
        <f>IF(ISNUMBER(BX86),ROUND(N(BX82)+N(BX83)+N(BX84)+N(BX85)+N(BX86)+N(BX87)+N(BX88)-BX179,0),"")</f>
      </c>
      <c r="BY89" s="211">
        <f>IF(ISNUMBER(BY86),ROUND(N(BY82)+N(BY83)+N(BY84)+N(BY85)+N(BY86)+N(BY87)+N(BY88)-BY179,0),"")</f>
      </c>
      <c r="BZ89" s="211">
        <f>IF(ISNUMBER(BZ86),ROUND(N(BZ82)+N(BZ83)+N(BZ84)+N(BZ85)+N(BZ86)+N(BZ87)+N(BZ88)-BZ179,0),"")</f>
      </c>
      <c r="CA89" s="211">
        <f>IF(ISNUMBER(CA86),ROUND(N(CA82)+N(CA83)+N(CA84)+N(CA85)+N(CA86)+N(CA87)+N(CA88)-CA179,0),"")</f>
      </c>
      <c r="CB89" s="153" t="n"/>
      <c r="CC89" s="153" t="n"/>
      <c r="CD89" s="153" t="n"/>
      <c r="CE89" s="153" t="n"/>
      <c r="CF89" s="153" t="n"/>
      <c r="CG89" s="153" t="n"/>
      <c r="CH89" s="153" t="n"/>
      <c r="CI89" s="153" t="n"/>
      <c r="CJ89" s="153" t="n"/>
      <c r="CK89" s="153" t="n"/>
    </row>
    <row r="90" ht="15" customHeight="1" s="251">
      <c r="B90" s="156" t="inlineStr">
        <is>
          <t xml:space="preserve">    D&amp;C Licensing — gross margin</t>
        </is>
      </c>
      <c r="C90" s="34" t="n"/>
      <c r="D90" s="34" t="n"/>
      <c r="E90" s="34" t="n"/>
      <c r="F90" s="34" t="n"/>
      <c r="G90" s="34" t="n"/>
      <c r="H90" s="34" t="n"/>
      <c r="I90" s="34" t="n"/>
      <c r="J90" s="34" t="n"/>
      <c r="K90" s="34" t="n"/>
      <c r="L90" s="34" t="n"/>
      <c r="M90" s="34" t="n"/>
      <c r="N90" s="34" t="n"/>
      <c r="O90" s="253" t="n">
        <v>3925</v>
      </c>
      <c r="P90" s="253" t="n">
        <v>4978</v>
      </c>
      <c r="Q90" s="253" t="n">
        <v>3906</v>
      </c>
      <c r="R90" s="253" t="n">
        <v>4407</v>
      </c>
      <c r="S90" s="253" t="n">
        <v>17216</v>
      </c>
      <c r="T90" s="253" t="n">
        <v>3818</v>
      </c>
      <c r="U90" s="253" t="n">
        <v>3876</v>
      </c>
      <c r="V90" s="253" t="n">
        <v>3210</v>
      </c>
      <c r="W90" s="253" t="n">
        <v>2966</v>
      </c>
      <c r="X90" s="253" t="n">
        <v>13870</v>
      </c>
      <c r="Y90" s="34" t="n"/>
      <c r="Z90" s="34" t="n"/>
      <c r="AA90" s="34" t="n"/>
      <c r="AB90" s="34" t="n"/>
      <c r="AC90" s="34" t="n"/>
      <c r="AD90" s="34" t="n"/>
      <c r="AE90" s="34" t="n"/>
      <c r="AF90" s="34" t="n"/>
      <c r="AG90" s="34" t="n"/>
      <c r="AH90" s="34" t="n"/>
      <c r="AI90" s="34" t="n"/>
      <c r="AJ90" s="34" t="n"/>
      <c r="AK90" s="34" t="n"/>
      <c r="AL90" s="34" t="n"/>
      <c r="AM90" s="34" t="n"/>
      <c r="AN90" s="34" t="n"/>
      <c r="AO90" s="34" t="n"/>
      <c r="AP90" s="34" t="n"/>
      <c r="AQ90" s="34" t="n"/>
      <c r="AR90" s="34" t="n"/>
      <c r="AS90" s="34" t="n"/>
      <c r="AT90" s="34" t="n"/>
      <c r="AU90" s="34" t="n"/>
      <c r="AV90" s="34" t="n"/>
      <c r="AW90" s="34" t="n"/>
      <c r="AX90" s="34" t="n"/>
      <c r="AY90" s="34" t="n"/>
      <c r="AZ90" s="34" t="n"/>
      <c r="BA90" s="34" t="n"/>
      <c r="BB90" s="34" t="n"/>
      <c r="BC90" s="34" t="n"/>
      <c r="BD90" s="34" t="n"/>
      <c r="BE90" s="34" t="n"/>
      <c r="BF90" s="34" t="n"/>
      <c r="BG90" s="34" t="n"/>
      <c r="BH90" s="34" t="n"/>
      <c r="BI90" s="34" t="n"/>
      <c r="BJ90" s="34" t="n"/>
      <c r="BK90" s="34" t="n"/>
      <c r="BL90" s="34" t="n"/>
      <c r="BM90" s="34" t="n"/>
      <c r="BN90" s="34" t="n"/>
      <c r="BO90" s="34" t="n"/>
      <c r="BP90" s="34" t="n"/>
      <c r="BQ90" s="34" t="n"/>
      <c r="BR90" s="34" t="n"/>
      <c r="BS90" s="34" t="n"/>
      <c r="BT90" s="34" t="n"/>
      <c r="BU90" s="34" t="n"/>
      <c r="BV90" s="34" t="n"/>
      <c r="BW90" s="34" t="n"/>
      <c r="BX90" s="34" t="n"/>
      <c r="BY90" s="34" t="n"/>
      <c r="BZ90" s="34" t="n"/>
      <c r="CA90" s="34" t="n"/>
      <c r="CB90" s="153" t="n"/>
      <c r="CC90" s="153" t="n"/>
      <c r="CD90" s="153" t="n"/>
      <c r="CE90" s="153" t="n"/>
      <c r="CF90" s="153" t="n"/>
      <c r="CG90" s="153" t="n"/>
      <c r="CH90" s="153" t="n"/>
      <c r="CI90" s="153" t="n"/>
      <c r="CJ90" s="153" t="n"/>
      <c r="CK90" s="153" t="n"/>
    </row>
    <row r="91" ht="15" customHeight="1" s="251">
      <c r="B91" s="156" t="inlineStr">
        <is>
          <t xml:space="preserve">    Computing and Gaming Hardware (D&amp;C Hardware to Q3/14) — gross margin</t>
        </is>
      </c>
      <c r="C91" s="34" t="n"/>
      <c r="D91" s="34" t="n"/>
      <c r="E91" s="34" t="n"/>
      <c r="F91" s="34" t="n"/>
      <c r="G91" s="34" t="n"/>
      <c r="H91" s="34" t="n"/>
      <c r="I91" s="34" t="n"/>
      <c r="J91" s="34" t="n"/>
      <c r="K91" s="34" t="n"/>
      <c r="L91" s="34" t="n"/>
      <c r="M91" s="34" t="n"/>
      <c r="N91" s="34" t="n"/>
      <c r="O91" s="253" t="n">
        <v>206</v>
      </c>
      <c r="P91" s="253" t="n">
        <v>411</v>
      </c>
      <c r="Q91" s="253" t="n">
        <v>258</v>
      </c>
      <c r="R91" s="253" t="n">
        <v>18</v>
      </c>
      <c r="S91" s="253" t="n">
        <v>893</v>
      </c>
      <c r="T91" s="253" t="n">
        <v>479</v>
      </c>
      <c r="U91" s="253" t="n">
        <v>460</v>
      </c>
      <c r="V91" s="253" t="n">
        <v>414</v>
      </c>
      <c r="W91" s="253" t="n">
        <v>435</v>
      </c>
      <c r="X91" s="253" t="n">
        <v>1788</v>
      </c>
      <c r="Y91" s="34" t="n"/>
      <c r="Z91" s="34" t="n"/>
      <c r="AA91" s="34" t="n"/>
      <c r="AB91" s="34" t="n"/>
      <c r="AC91" s="34" t="n"/>
      <c r="AD91" s="34" t="n"/>
      <c r="AE91" s="34" t="n"/>
      <c r="AF91" s="34" t="n"/>
      <c r="AG91" s="34" t="n"/>
      <c r="AH91" s="34" t="n"/>
      <c r="AI91" s="34" t="n"/>
      <c r="AJ91" s="34" t="n"/>
      <c r="AK91" s="34" t="n"/>
      <c r="AL91" s="34" t="n"/>
      <c r="AM91" s="34" t="n"/>
      <c r="AN91" s="34" t="n"/>
      <c r="AO91" s="34" t="n"/>
      <c r="AP91" s="34" t="n"/>
      <c r="AQ91" s="34" t="n"/>
      <c r="AR91" s="34" t="n"/>
      <c r="AS91" s="34" t="n"/>
      <c r="AT91" s="34" t="n"/>
      <c r="AU91" s="34" t="n"/>
      <c r="AV91" s="34" t="n"/>
      <c r="AW91" s="34" t="n"/>
      <c r="AX91" s="34" t="n"/>
      <c r="AY91" s="34" t="n"/>
      <c r="AZ91" s="34" t="n"/>
      <c r="BA91" s="34" t="n"/>
      <c r="BB91" s="34" t="n"/>
      <c r="BC91" s="34" t="n"/>
      <c r="BD91" s="34" t="n"/>
      <c r="BE91" s="34" t="n"/>
      <c r="BF91" s="34" t="n"/>
      <c r="BG91" s="34" t="n"/>
      <c r="BH91" s="34" t="n"/>
      <c r="BI91" s="34" t="n"/>
      <c r="BJ91" s="34" t="n"/>
      <c r="BK91" s="34" t="n"/>
      <c r="BL91" s="34" t="n"/>
      <c r="BM91" s="34" t="n"/>
      <c r="BN91" s="34" t="n"/>
      <c r="BO91" s="34" t="n"/>
      <c r="BP91" s="34" t="n"/>
      <c r="BQ91" s="34" t="n"/>
      <c r="BR91" s="34" t="n"/>
      <c r="BS91" s="34" t="n"/>
      <c r="BT91" s="34" t="n"/>
      <c r="BU91" s="34" t="n"/>
      <c r="BV91" s="34" t="n"/>
      <c r="BW91" s="34" t="n"/>
      <c r="BX91" s="34" t="n"/>
      <c r="BY91" s="34" t="n"/>
      <c r="BZ91" s="34" t="n"/>
      <c r="CA91" s="34" t="n"/>
      <c r="CB91" s="153" t="n"/>
      <c r="CC91" s="153" t="n"/>
      <c r="CD91" s="153" t="n"/>
      <c r="CE91" s="153" t="n"/>
      <c r="CF91" s="153" t="n"/>
      <c r="CG91" s="153" t="n"/>
      <c r="CH91" s="153" t="n"/>
      <c r="CI91" s="153" t="n"/>
      <c r="CJ91" s="153" t="n"/>
      <c r="CK91" s="153" t="n"/>
    </row>
    <row r="92" ht="15" customHeight="1" s="251">
      <c r="B92" s="156" t="inlineStr">
        <is>
          <t xml:space="preserve">    Phone Hardware (Nokia, from Apr-2014) — gross margin</t>
        </is>
      </c>
      <c r="C92" s="34" t="n"/>
      <c r="D92" s="34" t="n"/>
      <c r="E92" s="34" t="n"/>
      <c r="F92" s="34" t="n"/>
      <c r="G92" s="34" t="n"/>
      <c r="H92" s="34" t="n"/>
      <c r="I92" s="34" t="n"/>
      <c r="J92" s="34" t="n"/>
      <c r="K92" s="34" t="n"/>
      <c r="L92" s="34" t="n"/>
      <c r="M92" s="34" t="n"/>
      <c r="N92" s="34" t="n"/>
      <c r="O92" s="34" t="n"/>
      <c r="P92" s="34" t="n"/>
      <c r="Q92" s="34" t="n"/>
      <c r="R92" s="253" t="n">
        <v>54</v>
      </c>
      <c r="S92" s="253" t="n">
        <v>54</v>
      </c>
      <c r="T92" s="253" t="n">
        <v>478</v>
      </c>
      <c r="U92" s="253" t="n">
        <v>331</v>
      </c>
      <c r="V92" s="253" t="n">
        <v>-4</v>
      </c>
      <c r="W92" s="253" t="n">
        <v>-104</v>
      </c>
      <c r="X92" s="253" t="n">
        <v>701</v>
      </c>
      <c r="Y92" s="34" t="n"/>
      <c r="Z92" s="34" t="n"/>
      <c r="AA92" s="34" t="n"/>
      <c r="AB92" s="34" t="n"/>
      <c r="AC92" s="34" t="n"/>
      <c r="AD92" s="34" t="n"/>
      <c r="AE92" s="34" t="n"/>
      <c r="AF92" s="34" t="n"/>
      <c r="AG92" s="34" t="n"/>
      <c r="AH92" s="34" t="n"/>
      <c r="AI92" s="34" t="n"/>
      <c r="AJ92" s="34" t="n"/>
      <c r="AK92" s="34" t="n"/>
      <c r="AL92" s="34" t="n"/>
      <c r="AM92" s="34" t="n"/>
      <c r="AN92" s="34" t="n"/>
      <c r="AO92" s="34" t="n"/>
      <c r="AP92" s="34" t="n"/>
      <c r="AQ92" s="34" t="n"/>
      <c r="AR92" s="34" t="n"/>
      <c r="AS92" s="34" t="n"/>
      <c r="AT92" s="34" t="n"/>
      <c r="AU92" s="34" t="n"/>
      <c r="AV92" s="34" t="n"/>
      <c r="AW92" s="34" t="n"/>
      <c r="AX92" s="34" t="n"/>
      <c r="AY92" s="34" t="n"/>
      <c r="AZ92" s="34" t="n"/>
      <c r="BA92" s="34" t="n"/>
      <c r="BB92" s="34" t="n"/>
      <c r="BC92" s="34" t="n"/>
      <c r="BD92" s="34" t="n"/>
      <c r="BE92" s="34" t="n"/>
      <c r="BF92" s="34" t="n"/>
      <c r="BG92" s="34" t="n"/>
      <c r="BH92" s="34" t="n"/>
      <c r="BI92" s="34" t="n"/>
      <c r="BJ92" s="34" t="n"/>
      <c r="BK92" s="34" t="n"/>
      <c r="BL92" s="34" t="n"/>
      <c r="BM92" s="34" t="n"/>
      <c r="BN92" s="34" t="n"/>
      <c r="BO92" s="34" t="n"/>
      <c r="BP92" s="34" t="n"/>
      <c r="BQ92" s="34" t="n"/>
      <c r="BR92" s="34" t="n"/>
      <c r="BS92" s="34" t="n"/>
      <c r="BT92" s="34" t="n"/>
      <c r="BU92" s="34" t="n"/>
      <c r="BV92" s="34" t="n"/>
      <c r="BW92" s="34" t="n"/>
      <c r="BX92" s="34" t="n"/>
      <c r="BY92" s="34" t="n"/>
      <c r="BZ92" s="34" t="n"/>
      <c r="CA92" s="34" t="n"/>
      <c r="CB92" s="153" t="n"/>
      <c r="CC92" s="153" t="n"/>
      <c r="CD92" s="153" t="n"/>
      <c r="CE92" s="153" t="n"/>
      <c r="CF92" s="153" t="n"/>
      <c r="CG92" s="153" t="n"/>
      <c r="CH92" s="153" t="n"/>
      <c r="CI92" s="153" t="n"/>
      <c r="CJ92" s="153" t="n"/>
      <c r="CK92" s="153" t="n"/>
    </row>
    <row r="93" ht="15" customHeight="1" s="251">
      <c r="B93" s="156" t="inlineStr">
        <is>
          <t xml:space="preserve">    D&amp;C Other — gross margin</t>
        </is>
      </c>
      <c r="C93" s="34" t="n"/>
      <c r="D93" s="34" t="n"/>
      <c r="E93" s="34" t="n"/>
      <c r="F93" s="34" t="n"/>
      <c r="G93" s="34" t="n"/>
      <c r="H93" s="34" t="n"/>
      <c r="I93" s="34" t="n"/>
      <c r="J93" s="34" t="n"/>
      <c r="K93" s="34" t="n"/>
      <c r="L93" s="34" t="n"/>
      <c r="M93" s="34" t="n"/>
      <c r="N93" s="34" t="n"/>
      <c r="O93" s="253" t="n">
        <v>352</v>
      </c>
      <c r="P93" s="253" t="n">
        <v>431</v>
      </c>
      <c r="Q93" s="253" t="n">
        <v>541</v>
      </c>
      <c r="R93" s="253" t="n">
        <v>446</v>
      </c>
      <c r="S93" s="253" t="n">
        <v>1770</v>
      </c>
      <c r="T93" s="253" t="n">
        <v>312</v>
      </c>
      <c r="U93" s="253" t="n">
        <v>550</v>
      </c>
      <c r="V93" s="253" t="n">
        <v>566</v>
      </c>
      <c r="W93" s="253" t="n">
        <v>594</v>
      </c>
      <c r="X93" s="253" t="n">
        <v>2022</v>
      </c>
      <c r="Y93" s="34" t="n"/>
      <c r="Z93" s="34" t="n"/>
      <c r="AA93" s="34" t="n"/>
      <c r="AB93" s="34" t="n"/>
      <c r="AC93" s="34" t="n"/>
      <c r="AD93" s="34" t="n"/>
      <c r="AE93" s="34" t="n"/>
      <c r="AF93" s="34" t="n"/>
      <c r="AG93" s="34" t="n"/>
      <c r="AH93" s="34" t="n"/>
      <c r="AI93" s="34" t="n"/>
      <c r="AJ93" s="34" t="n"/>
      <c r="AK93" s="34" t="n"/>
      <c r="AL93" s="34" t="n"/>
      <c r="AM93" s="34" t="n"/>
      <c r="AN93" s="34" t="n"/>
      <c r="AO93" s="34" t="n"/>
      <c r="AP93" s="34" t="n"/>
      <c r="AQ93" s="34" t="n"/>
      <c r="AR93" s="34" t="n"/>
      <c r="AS93" s="34" t="n"/>
      <c r="AT93" s="34" t="n"/>
      <c r="AU93" s="34" t="n"/>
      <c r="AV93" s="34" t="n"/>
      <c r="AW93" s="34" t="n"/>
      <c r="AX93" s="34" t="n"/>
      <c r="AY93" s="34" t="n"/>
      <c r="AZ93" s="34" t="n"/>
      <c r="BA93" s="34" t="n"/>
      <c r="BB93" s="34" t="n"/>
      <c r="BC93" s="34" t="n"/>
      <c r="BD93" s="34" t="n"/>
      <c r="BE93" s="34" t="n"/>
      <c r="BF93" s="34" t="n"/>
      <c r="BG93" s="34" t="n"/>
      <c r="BH93" s="34" t="n"/>
      <c r="BI93" s="34" t="n"/>
      <c r="BJ93" s="34" t="n"/>
      <c r="BK93" s="34" t="n"/>
      <c r="BL93" s="34" t="n"/>
      <c r="BM93" s="34" t="n"/>
      <c r="BN93" s="34" t="n"/>
      <c r="BO93" s="34" t="n"/>
      <c r="BP93" s="34" t="n"/>
      <c r="BQ93" s="34" t="n"/>
      <c r="BR93" s="34" t="n"/>
      <c r="BS93" s="34" t="n"/>
      <c r="BT93" s="34" t="n"/>
      <c r="BU93" s="34" t="n"/>
      <c r="BV93" s="34" t="n"/>
      <c r="BW93" s="34" t="n"/>
      <c r="BX93" s="34" t="n"/>
      <c r="BY93" s="34" t="n"/>
      <c r="BZ93" s="34" t="n"/>
      <c r="CA93" s="34" t="n"/>
      <c r="CB93" s="153" t="n"/>
      <c r="CC93" s="153" t="n"/>
      <c r="CD93" s="153" t="n"/>
      <c r="CE93" s="153" t="n"/>
      <c r="CF93" s="153" t="n"/>
      <c r="CG93" s="153" t="n"/>
      <c r="CH93" s="153" t="n"/>
      <c r="CI93" s="153" t="n"/>
      <c r="CJ93" s="153" t="n"/>
      <c r="CK93" s="153" t="n"/>
    </row>
    <row r="94" ht="15" customHeight="1" s="251">
      <c r="B94" s="156" t="inlineStr">
        <is>
          <t xml:space="preserve">    Commercial Licensing — gross margin</t>
        </is>
      </c>
      <c r="C94" s="34" t="n"/>
      <c r="D94" s="34" t="n"/>
      <c r="E94" s="34" t="n"/>
      <c r="F94" s="34" t="n"/>
      <c r="G94" s="34" t="n"/>
      <c r="H94" s="34" t="n"/>
      <c r="I94" s="34" t="n"/>
      <c r="J94" s="34" t="n"/>
      <c r="K94" s="34" t="n"/>
      <c r="L94" s="34" t="n"/>
      <c r="M94" s="34" t="n"/>
      <c r="N94" s="34" t="n"/>
      <c r="O94" s="253" t="n">
        <v>8801</v>
      </c>
      <c r="P94" s="253" t="n">
        <v>10077</v>
      </c>
      <c r="Q94" s="253" t="n">
        <v>9430</v>
      </c>
      <c r="R94" s="253" t="n">
        <v>10296</v>
      </c>
      <c r="S94" s="253" t="n">
        <v>38604</v>
      </c>
      <c r="T94" s="253" t="n">
        <v>9100</v>
      </c>
      <c r="U94" s="253" t="n">
        <v>9926</v>
      </c>
      <c r="V94" s="253" t="n">
        <v>9275</v>
      </c>
      <c r="W94" s="253" t="n">
        <v>9529</v>
      </c>
      <c r="X94" s="253" t="n">
        <v>37830</v>
      </c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34" t="n"/>
      <c r="AN94" s="34" t="n"/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 t="n"/>
      <c r="AZ94" s="34" t="n"/>
      <c r="BA94" s="34" t="n"/>
      <c r="BB94" s="34" t="n"/>
      <c r="BC94" s="34" t="n"/>
      <c r="BD94" s="34" t="n"/>
      <c r="BE94" s="34" t="n"/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153" t="n"/>
      <c r="CC94" s="153" t="n"/>
      <c r="CD94" s="153" t="n"/>
      <c r="CE94" s="153" t="n"/>
      <c r="CF94" s="153" t="n"/>
      <c r="CG94" s="153" t="n"/>
      <c r="CH94" s="153" t="n"/>
      <c r="CI94" s="153" t="n"/>
      <c r="CJ94" s="153" t="n"/>
      <c r="CK94" s="153" t="n"/>
    </row>
    <row r="95" ht="15" customHeight="1" s="251">
      <c r="B95" s="156" t="inlineStr">
        <is>
          <t xml:space="preserve">    Commercial Other — gross margin</t>
        </is>
      </c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  <c r="M95" s="34" t="n"/>
      <c r="N95" s="34" t="n"/>
      <c r="O95" s="253" t="n">
        <v>275</v>
      </c>
      <c r="P95" s="253" t="n">
        <v>415</v>
      </c>
      <c r="Q95" s="253" t="n">
        <v>475</v>
      </c>
      <c r="R95" s="253" t="n">
        <v>691</v>
      </c>
      <c r="S95" s="253" t="n">
        <v>1856</v>
      </c>
      <c r="T95" s="253" t="n">
        <v>805</v>
      </c>
      <c r="U95" s="253" t="n">
        <v>900</v>
      </c>
      <c r="V95" s="253" t="n">
        <v>1144</v>
      </c>
      <c r="W95" s="253" t="n">
        <v>1350</v>
      </c>
      <c r="X95" s="253" t="n">
        <v>4199</v>
      </c>
      <c r="Y95" s="34" t="n"/>
      <c r="Z95" s="34" t="n"/>
      <c r="AA95" s="34" t="n"/>
      <c r="AB95" s="34" t="n"/>
      <c r="AC95" s="34" t="n"/>
      <c r="AD95" s="34" t="n"/>
      <c r="AE95" s="34" t="n"/>
      <c r="AF95" s="34" t="n"/>
      <c r="AG95" s="34" t="n"/>
      <c r="AH95" s="34" t="n"/>
      <c r="AI95" s="34" t="n"/>
      <c r="AJ95" s="34" t="n"/>
      <c r="AK95" s="34" t="n"/>
      <c r="AL95" s="34" t="n"/>
      <c r="AM95" s="34" t="n"/>
      <c r="AN95" s="34" t="n"/>
      <c r="AO95" s="34" t="n"/>
      <c r="AP95" s="34" t="n"/>
      <c r="AQ95" s="34" t="n"/>
      <c r="AR95" s="34" t="n"/>
      <c r="AS95" s="34" t="n"/>
      <c r="AT95" s="34" t="n"/>
      <c r="AU95" s="34" t="n"/>
      <c r="AV95" s="34" t="n"/>
      <c r="AW95" s="34" t="n"/>
      <c r="AX95" s="34" t="n"/>
      <c r="AY95" s="34" t="n"/>
      <c r="AZ95" s="34" t="n"/>
      <c r="BA95" s="34" t="n"/>
      <c r="BB95" s="34" t="n"/>
      <c r="BC95" s="34" t="n"/>
      <c r="BD95" s="34" t="n"/>
      <c r="BE95" s="34" t="n"/>
      <c r="BF95" s="34" t="n"/>
      <c r="BG95" s="34" t="n"/>
      <c r="BH95" s="34" t="n"/>
      <c r="BI95" s="34" t="n"/>
      <c r="BJ95" s="34" t="n"/>
      <c r="BK95" s="34" t="n"/>
      <c r="BL95" s="34" t="n"/>
      <c r="BM95" s="34" t="n"/>
      <c r="BN95" s="34" t="n"/>
      <c r="BO95" s="34" t="n"/>
      <c r="BP95" s="34" t="n"/>
      <c r="BQ95" s="34" t="n"/>
      <c r="BR95" s="34" t="n"/>
      <c r="BS95" s="34" t="n"/>
      <c r="BT95" s="34" t="n"/>
      <c r="BU95" s="34" t="n"/>
      <c r="BV95" s="34" t="n"/>
      <c r="BW95" s="34" t="n"/>
      <c r="BX95" s="34" t="n"/>
      <c r="BY95" s="34" t="n"/>
      <c r="BZ95" s="34" t="n"/>
      <c r="CA95" s="34" t="n"/>
      <c r="CB95" s="153" t="n"/>
      <c r="CC95" s="153" t="n"/>
      <c r="CD95" s="153" t="n"/>
      <c r="CE95" s="153" t="n"/>
      <c r="CF95" s="153" t="n"/>
      <c r="CG95" s="153" t="n"/>
      <c r="CH95" s="153" t="n"/>
      <c r="CI95" s="153" t="n"/>
      <c r="CJ95" s="153" t="n"/>
      <c r="CK95" s="153" t="n"/>
    </row>
    <row r="96" ht="15" customHeight="1" s="251">
      <c r="B96" s="156" t="inlineStr">
        <is>
          <t xml:space="preserve">    Corporate and Other — gross margin</t>
        </is>
      </c>
      <c r="C96" s="34" t="n"/>
      <c r="D96" s="34" t="n"/>
      <c r="E96" s="34" t="n"/>
      <c r="F96" s="34" t="n"/>
      <c r="G96" s="34" t="n"/>
      <c r="H96" s="34" t="n"/>
      <c r="I96" s="34" t="n"/>
      <c r="J96" s="34" t="n"/>
      <c r="K96" s="34" t="n"/>
      <c r="L96" s="34" t="n"/>
      <c r="M96" s="34" t="n"/>
      <c r="N96" s="34" t="n"/>
      <c r="O96" s="253" t="n">
        <v>-144</v>
      </c>
      <c r="P96" s="253" t="n">
        <v>-77</v>
      </c>
      <c r="Q96" s="253" t="n">
        <v>-148</v>
      </c>
      <c r="R96" s="253" t="n">
        <v>-125</v>
      </c>
      <c r="S96" s="253" t="n">
        <v>-494</v>
      </c>
      <c r="T96" s="253" t="n">
        <v>-64</v>
      </c>
      <c r="U96" s="253" t="n">
        <v>291</v>
      </c>
      <c r="V96" s="253" t="n">
        <v>-37</v>
      </c>
      <c r="W96" s="253" t="n">
        <v>-58</v>
      </c>
      <c r="X96" s="253" t="n">
        <v>132</v>
      </c>
      <c r="Y96" s="34" t="n"/>
      <c r="Z96" s="34" t="n"/>
      <c r="AA96" s="34" t="n"/>
      <c r="AB96" s="34" t="n"/>
      <c r="AC96" s="34" t="n"/>
      <c r="AD96" s="34" t="n"/>
      <c r="AE96" s="34" t="n"/>
      <c r="AF96" s="34" t="n"/>
      <c r="AG96" s="34" t="n"/>
      <c r="AH96" s="34" t="n"/>
      <c r="AI96" s="34" t="n"/>
      <c r="AJ96" s="34" t="n"/>
      <c r="AK96" s="34" t="n"/>
      <c r="AL96" s="34" t="n"/>
      <c r="AM96" s="34" t="n"/>
      <c r="AN96" s="34" t="n"/>
      <c r="AO96" s="34" t="n"/>
      <c r="AP96" s="34" t="n"/>
      <c r="AQ96" s="34" t="n"/>
      <c r="AR96" s="34" t="n"/>
      <c r="AS96" s="34" t="n"/>
      <c r="AT96" s="34" t="n"/>
      <c r="AU96" s="34" t="n"/>
      <c r="AV96" s="34" t="n"/>
      <c r="AW96" s="34" t="n"/>
      <c r="AX96" s="34" t="n"/>
      <c r="AY96" s="34" t="n"/>
      <c r="AZ96" s="34" t="n"/>
      <c r="BA96" s="34" t="n"/>
      <c r="BB96" s="34" t="n"/>
      <c r="BC96" s="34" t="n"/>
      <c r="BD96" s="34" t="n"/>
      <c r="BE96" s="34" t="n"/>
      <c r="BF96" s="34" t="n"/>
      <c r="BG96" s="34" t="n"/>
      <c r="BH96" s="34" t="n"/>
      <c r="BI96" s="34" t="n"/>
      <c r="BJ96" s="34" t="n"/>
      <c r="BK96" s="34" t="n"/>
      <c r="BL96" s="34" t="n"/>
      <c r="BM96" s="34" t="n"/>
      <c r="BN96" s="34" t="n"/>
      <c r="BO96" s="34" t="n"/>
      <c r="BP96" s="34" t="n"/>
      <c r="BQ96" s="34" t="n"/>
      <c r="BR96" s="34" t="n"/>
      <c r="BS96" s="34" t="n"/>
      <c r="BT96" s="34" t="n"/>
      <c r="BU96" s="34" t="n"/>
      <c r="BV96" s="34" t="n"/>
      <c r="BW96" s="34" t="n"/>
      <c r="BX96" s="34" t="n"/>
      <c r="BY96" s="34" t="n"/>
      <c r="BZ96" s="34" t="n"/>
      <c r="CA96" s="34" t="n"/>
      <c r="CB96" s="153" t="n"/>
      <c r="CC96" s="153" t="n"/>
      <c r="CD96" s="153" t="n"/>
      <c r="CE96" s="153" t="n"/>
      <c r="CF96" s="153" t="n"/>
      <c r="CG96" s="153" t="n"/>
      <c r="CH96" s="153" t="n"/>
      <c r="CI96" s="153" t="n"/>
      <c r="CJ96" s="153" t="n"/>
      <c r="CK96" s="153" t="n"/>
    </row>
    <row r="97" ht="15" customHeight="1" s="251">
      <c r="B97" s="57" t="inlineStr">
        <is>
          <t xml:space="preserve">    Check: Σ gross margin vs consolidated (should be 0)</t>
        </is>
      </c>
      <c r="C97" s="211">
        <f>IF(ISNUMBER(C94),ROUND(N(C90)+N(C91)+N(C92)+N(C93)+N(C94)+N(C95)+N(C96)-C183,0),"")</f>
      </c>
      <c r="D97" s="211">
        <f>IF(ISNUMBER(D94),ROUND(N(D90)+N(D91)+N(D92)+N(D93)+N(D94)+N(D95)+N(D96)-D183,0),"")</f>
      </c>
      <c r="E97" s="211">
        <f>IF(ISNUMBER(E94),ROUND(N(E90)+N(E91)+N(E92)+N(E93)+N(E94)+N(E95)+N(E96)-E183,0),"")</f>
      </c>
      <c r="F97" s="211">
        <f>IF(ISNUMBER(F94),ROUND(N(F90)+N(F91)+N(F92)+N(F93)+N(F94)+N(F95)+N(F96)-F183,0),"")</f>
      </c>
      <c r="G97" s="211">
        <f>IF(ISNUMBER(G94),ROUND(N(G90)+N(G91)+N(G92)+N(G93)+N(G94)+N(G95)+N(G96)-G183,0),"")</f>
      </c>
      <c r="H97" s="211">
        <f>IF(ISNUMBER(H94),ROUND(N(H90)+N(H91)+N(H92)+N(H93)+N(H94)+N(H95)+N(H96)-H183,0),"")</f>
      </c>
      <c r="I97" s="211">
        <f>IF(ISNUMBER(I94),ROUND(N(I90)+N(I91)+N(I92)+N(I93)+N(I94)+N(I95)+N(I96)-I183,0),"")</f>
      </c>
      <c r="J97" s="211">
        <f>IF(ISNUMBER(J94),ROUND(N(J90)+N(J91)+N(J92)+N(J93)+N(J94)+N(J95)+N(J96)-J183,0),"")</f>
      </c>
      <c r="K97" s="211">
        <f>IF(ISNUMBER(K94),ROUND(N(K90)+N(K91)+N(K92)+N(K93)+N(K94)+N(K95)+N(K96)-K183,0),"")</f>
      </c>
      <c r="L97" s="211">
        <f>IF(ISNUMBER(L94),ROUND(N(L90)+N(L91)+N(L92)+N(L93)+N(L94)+N(L95)+N(L96)-L183,0),"")</f>
      </c>
      <c r="M97" s="211">
        <f>IF(ISNUMBER(M94),ROUND(N(M90)+N(M91)+N(M92)+N(M93)+N(M94)+N(M95)+N(M96)-M183,0),"")</f>
      </c>
      <c r="N97" s="211">
        <f>IF(ISNUMBER(N94),ROUND(N(N90)+N(N91)+N(N92)+N(N93)+N(N94)+N(N95)+N(N96)-N183,0),"")</f>
      </c>
      <c r="O97" s="211">
        <f>IF(ISNUMBER(O94),ROUND(N(O90)+N(O91)+N(O92)+N(O93)+N(O94)+N(O95)+N(O96)-O183,0),"")</f>
        <v>0</v>
      </c>
      <c r="P97" s="211">
        <f>IF(ISNUMBER(P94),ROUND(N(P90)+N(P91)+N(P92)+N(P93)+N(P94)+N(P95)+N(P96)-P183,0),"")</f>
        <v>0</v>
      </c>
      <c r="Q97" s="211">
        <f>IF(ISNUMBER(Q94),ROUND(N(Q90)+N(Q91)+N(Q92)+N(Q93)+N(Q94)+N(Q95)+N(Q96)-Q183,0),"")</f>
        <v>0</v>
      </c>
      <c r="R97" s="211">
        <f>IF(ISNUMBER(R94),ROUND(N(R90)+N(R91)+N(R92)+N(R93)+N(R94)+N(R95)+N(R96)-R183,0),"")</f>
        <v>0</v>
      </c>
      <c r="S97" s="211">
        <f>IF(ISNUMBER(S94),ROUND(N(S90)+N(S91)+N(S92)+N(S93)+N(S94)+N(S95)+N(S96)-S183,0),"")</f>
        <v>0</v>
      </c>
      <c r="T97" s="211">
        <f>IF(ISNUMBER(T94),ROUND(N(T90)+N(T91)+N(T92)+N(T93)+N(T94)+N(T95)+N(T96)-T183,0),"")</f>
        <v>0</v>
      </c>
      <c r="U97" s="211">
        <f>IF(ISNUMBER(U94),ROUND(N(U90)+N(U91)+N(U92)+N(U93)+N(U94)+N(U95)+N(U96)-U183,0),"")</f>
        <v>0</v>
      </c>
      <c r="V97" s="211">
        <f>IF(ISNUMBER(V94),ROUND(N(V90)+N(V91)+N(V92)+N(V93)+N(V94)+N(V95)+N(V96)-V183,0),"")</f>
        <v>0</v>
      </c>
      <c r="W97" s="211">
        <f>IF(ISNUMBER(W94),ROUND(N(W90)+N(W91)+N(W92)+N(W93)+N(W94)+N(W95)+N(W96)-W183,0),"")</f>
        <v>0</v>
      </c>
      <c r="X97" s="211">
        <f>IF(ISNUMBER(X94),ROUND(N(X90)+N(X91)+N(X92)+N(X93)+N(X94)+N(X95)+N(X96)-X183,0),"")</f>
        <v>0</v>
      </c>
      <c r="Y97" s="211">
        <f>IF(ISNUMBER(Y94),ROUND(N(Y90)+N(Y91)+N(Y92)+N(Y93)+N(Y94)+N(Y95)+N(Y96)-Y183,0),"")</f>
      </c>
      <c r="Z97" s="211">
        <f>IF(ISNUMBER(Z94),ROUND(N(Z90)+N(Z91)+N(Z92)+N(Z93)+N(Z94)+N(Z95)+N(Z96)-Z183,0),"")</f>
      </c>
      <c r="AA97" s="211">
        <f>IF(ISNUMBER(AA94),ROUND(N(AA90)+N(AA91)+N(AA92)+N(AA93)+N(AA94)+N(AA95)+N(AA96)-AA183,0),"")</f>
      </c>
      <c r="AB97" s="211">
        <f>IF(ISNUMBER(AB94),ROUND(N(AB90)+N(AB91)+N(AB92)+N(AB93)+N(AB94)+N(AB95)+N(AB96)-AB183,0),"")</f>
      </c>
      <c r="AC97" s="211">
        <f>IF(ISNUMBER(AC94),ROUND(N(AC90)+N(AC91)+N(AC92)+N(AC93)+N(AC94)+N(AC95)+N(AC96)-AC183,0),"")</f>
      </c>
      <c r="AD97" s="211">
        <f>IF(ISNUMBER(AD94),ROUND(N(AD90)+N(AD91)+N(AD92)+N(AD93)+N(AD94)+N(AD95)+N(AD96)-AD183,0),"")</f>
      </c>
      <c r="AE97" s="211">
        <f>IF(ISNUMBER(AE94),ROUND(N(AE90)+N(AE91)+N(AE92)+N(AE93)+N(AE94)+N(AE95)+N(AE96)-AE183,0),"")</f>
      </c>
      <c r="AF97" s="211">
        <f>IF(ISNUMBER(AF94),ROUND(N(AF90)+N(AF91)+N(AF92)+N(AF93)+N(AF94)+N(AF95)+N(AF96)-AF183,0),"")</f>
      </c>
      <c r="AG97" s="211">
        <f>IF(ISNUMBER(AG94),ROUND(N(AG90)+N(AG91)+N(AG92)+N(AG93)+N(AG94)+N(AG95)+N(AG96)-AG183,0),"")</f>
      </c>
      <c r="AH97" s="211">
        <f>IF(ISNUMBER(AH94),ROUND(N(AH90)+N(AH91)+N(AH92)+N(AH93)+N(AH94)+N(AH95)+N(AH96)-AH183,0),"")</f>
      </c>
      <c r="AI97" s="211">
        <f>IF(ISNUMBER(AI94),ROUND(N(AI90)+N(AI91)+N(AI92)+N(AI93)+N(AI94)+N(AI95)+N(AI96)-AI183,0),"")</f>
      </c>
      <c r="AJ97" s="211">
        <f>IF(ISNUMBER(AJ94),ROUND(N(AJ90)+N(AJ91)+N(AJ92)+N(AJ93)+N(AJ94)+N(AJ95)+N(AJ96)-AJ183,0),"")</f>
      </c>
      <c r="AK97" s="211">
        <f>IF(ISNUMBER(AK94),ROUND(N(AK90)+N(AK91)+N(AK92)+N(AK93)+N(AK94)+N(AK95)+N(AK96)-AK183,0),"")</f>
      </c>
      <c r="AL97" s="211">
        <f>IF(ISNUMBER(AL94),ROUND(N(AL90)+N(AL91)+N(AL92)+N(AL93)+N(AL94)+N(AL95)+N(AL96)-AL183,0),"")</f>
      </c>
      <c r="AM97" s="211">
        <f>IF(ISNUMBER(AM94),ROUND(N(AM90)+N(AM91)+N(AM92)+N(AM93)+N(AM94)+N(AM95)+N(AM96)-AM183,0),"")</f>
      </c>
      <c r="AN97" s="211">
        <f>IF(ISNUMBER(AN94),ROUND(N(AN90)+N(AN91)+N(AN92)+N(AN93)+N(AN94)+N(AN95)+N(AN96)-AN183,0),"")</f>
      </c>
      <c r="AO97" s="211">
        <f>IF(ISNUMBER(AO94),ROUND(N(AO90)+N(AO91)+N(AO92)+N(AO93)+N(AO94)+N(AO95)+N(AO96)-AO183,0),"")</f>
      </c>
      <c r="AP97" s="211">
        <f>IF(ISNUMBER(AP94),ROUND(N(AP90)+N(AP91)+N(AP92)+N(AP93)+N(AP94)+N(AP95)+N(AP96)-AP183,0),"")</f>
      </c>
      <c r="AQ97" s="211">
        <f>IF(ISNUMBER(AQ94),ROUND(N(AQ90)+N(AQ91)+N(AQ92)+N(AQ93)+N(AQ94)+N(AQ95)+N(AQ96)-AQ183,0),"")</f>
      </c>
      <c r="AR97" s="211">
        <f>IF(ISNUMBER(AR94),ROUND(N(AR90)+N(AR91)+N(AR92)+N(AR93)+N(AR94)+N(AR95)+N(AR96)-AR183,0),"")</f>
      </c>
      <c r="AS97" s="211">
        <f>IF(ISNUMBER(AS94),ROUND(N(AS90)+N(AS91)+N(AS92)+N(AS93)+N(AS94)+N(AS95)+N(AS96)-AS183,0),"")</f>
      </c>
      <c r="AT97" s="211">
        <f>IF(ISNUMBER(AT94),ROUND(N(AT90)+N(AT91)+N(AT92)+N(AT93)+N(AT94)+N(AT95)+N(AT96)-AT183,0),"")</f>
      </c>
      <c r="AU97" s="211">
        <f>IF(ISNUMBER(AU94),ROUND(N(AU90)+N(AU91)+N(AU92)+N(AU93)+N(AU94)+N(AU95)+N(AU96)-AU183,0),"")</f>
      </c>
      <c r="AV97" s="211">
        <f>IF(ISNUMBER(AV94),ROUND(N(AV90)+N(AV91)+N(AV92)+N(AV93)+N(AV94)+N(AV95)+N(AV96)-AV183,0),"")</f>
      </c>
      <c r="AW97" s="211">
        <f>IF(ISNUMBER(AW94),ROUND(N(AW90)+N(AW91)+N(AW92)+N(AW93)+N(AW94)+N(AW95)+N(AW96)-AW183,0),"")</f>
      </c>
      <c r="AX97" s="211">
        <f>IF(ISNUMBER(AX94),ROUND(N(AX90)+N(AX91)+N(AX92)+N(AX93)+N(AX94)+N(AX95)+N(AX96)-AX183,0),"")</f>
      </c>
      <c r="AY97" s="211">
        <f>IF(ISNUMBER(AY94),ROUND(N(AY90)+N(AY91)+N(AY92)+N(AY93)+N(AY94)+N(AY95)+N(AY96)-AY183,0),"")</f>
      </c>
      <c r="AZ97" s="211">
        <f>IF(ISNUMBER(AZ94),ROUND(N(AZ90)+N(AZ91)+N(AZ92)+N(AZ93)+N(AZ94)+N(AZ95)+N(AZ96)-AZ183,0),"")</f>
      </c>
      <c r="BA97" s="211">
        <f>IF(ISNUMBER(BA94),ROUND(N(BA90)+N(BA91)+N(BA92)+N(BA93)+N(BA94)+N(BA95)+N(BA96)-BA183,0),"")</f>
      </c>
      <c r="BB97" s="211">
        <f>IF(ISNUMBER(BB94),ROUND(N(BB90)+N(BB91)+N(BB92)+N(BB93)+N(BB94)+N(BB95)+N(BB96)-BB183,0),"")</f>
      </c>
      <c r="BC97" s="211">
        <f>IF(ISNUMBER(BC94),ROUND(N(BC90)+N(BC91)+N(BC92)+N(BC93)+N(BC94)+N(BC95)+N(BC96)-BC183,0),"")</f>
      </c>
      <c r="BD97" s="211">
        <f>IF(ISNUMBER(BD94),ROUND(N(BD90)+N(BD91)+N(BD92)+N(BD93)+N(BD94)+N(BD95)+N(BD96)-BD183,0),"")</f>
      </c>
      <c r="BE97" s="211">
        <f>IF(ISNUMBER(BE94),ROUND(N(BE90)+N(BE91)+N(BE92)+N(BE93)+N(BE94)+N(BE95)+N(BE96)-BE183,0),"")</f>
      </c>
      <c r="BF97" s="211">
        <f>IF(ISNUMBER(BF94),ROUND(N(BF90)+N(BF91)+N(BF92)+N(BF93)+N(BF94)+N(BF95)+N(BF96)-BF183,0),"")</f>
      </c>
      <c r="BG97" s="211">
        <f>IF(ISNUMBER(BG94),ROUND(N(BG90)+N(BG91)+N(BG92)+N(BG93)+N(BG94)+N(BG95)+N(BG96)-BG183,0),"")</f>
      </c>
      <c r="BH97" s="211">
        <f>IF(ISNUMBER(BH94),ROUND(N(BH90)+N(BH91)+N(BH92)+N(BH93)+N(BH94)+N(BH95)+N(BH96)-BH183,0),"")</f>
      </c>
      <c r="BI97" s="211">
        <f>IF(ISNUMBER(BI94),ROUND(N(BI90)+N(BI91)+N(BI92)+N(BI93)+N(BI94)+N(BI95)+N(BI96)-BI183,0),"")</f>
      </c>
      <c r="BJ97" s="211">
        <f>IF(ISNUMBER(BJ94),ROUND(N(BJ90)+N(BJ91)+N(BJ92)+N(BJ93)+N(BJ94)+N(BJ95)+N(BJ96)-BJ183,0),"")</f>
      </c>
      <c r="BK97" s="211">
        <f>IF(ISNUMBER(BK94),ROUND(N(BK90)+N(BK91)+N(BK92)+N(BK93)+N(BK94)+N(BK95)+N(BK96)-BK183,0),"")</f>
      </c>
      <c r="BL97" s="211">
        <f>IF(ISNUMBER(BL94),ROUND(N(BL90)+N(BL91)+N(BL92)+N(BL93)+N(BL94)+N(BL95)+N(BL96)-BL183,0),"")</f>
      </c>
      <c r="BM97" s="211">
        <f>IF(ISNUMBER(BM94),ROUND(N(BM90)+N(BM91)+N(BM92)+N(BM93)+N(BM94)+N(BM95)+N(BM96)-BM183,0),"")</f>
      </c>
      <c r="BN97" s="211">
        <f>IF(ISNUMBER(BN94),ROUND(N(BN90)+N(BN91)+N(BN92)+N(BN93)+N(BN94)+N(BN95)+N(BN96)-BN183,0),"")</f>
      </c>
      <c r="BO97" s="211">
        <f>IF(ISNUMBER(BO94),ROUND(N(BO90)+N(BO91)+N(BO92)+N(BO93)+N(BO94)+N(BO95)+N(BO96)-BO183,0),"")</f>
      </c>
      <c r="BP97" s="211">
        <f>IF(ISNUMBER(BP94),ROUND(N(BP90)+N(BP91)+N(BP92)+N(BP93)+N(BP94)+N(BP95)+N(BP96)-BP183,0),"")</f>
      </c>
      <c r="BQ97" s="211">
        <f>IF(ISNUMBER(BQ94),ROUND(N(BQ90)+N(BQ91)+N(BQ92)+N(BQ93)+N(BQ94)+N(BQ95)+N(BQ96)-BQ183,0),"")</f>
      </c>
      <c r="BR97" s="211">
        <f>IF(ISNUMBER(BR94),ROUND(N(BR90)+N(BR91)+N(BR92)+N(BR93)+N(BR94)+N(BR95)+N(BR96)-BR183,0),"")</f>
      </c>
      <c r="BS97" s="211">
        <f>IF(ISNUMBER(BS94),ROUND(N(BS90)+N(BS91)+N(BS92)+N(BS93)+N(BS94)+N(BS95)+N(BS96)-BS183,0),"")</f>
      </c>
      <c r="BT97" s="211">
        <f>IF(ISNUMBER(BT94),ROUND(N(BT90)+N(BT91)+N(BT92)+N(BT93)+N(BT94)+N(BT95)+N(BT96)-BT183,0),"")</f>
      </c>
      <c r="BU97" s="211">
        <f>IF(ISNUMBER(BU94),ROUND(N(BU90)+N(BU91)+N(BU92)+N(BU93)+N(BU94)+N(BU95)+N(BU96)-BU183,0),"")</f>
      </c>
      <c r="BV97" s="211">
        <f>IF(ISNUMBER(BV94),ROUND(N(BV90)+N(BV91)+N(BV92)+N(BV93)+N(BV94)+N(BV95)+N(BV96)-BV183,0),"")</f>
      </c>
      <c r="BW97" s="211">
        <f>IF(ISNUMBER(BW94),ROUND(N(BW90)+N(BW91)+N(BW92)+N(BW93)+N(BW94)+N(BW95)+N(BW96)-BW183,0),"")</f>
      </c>
      <c r="BX97" s="211">
        <f>IF(ISNUMBER(BX94),ROUND(N(BX90)+N(BX91)+N(BX92)+N(BX93)+N(BX94)+N(BX95)+N(BX96)-BX183,0),"")</f>
      </c>
      <c r="BY97" s="211">
        <f>IF(ISNUMBER(BY94),ROUND(N(BY90)+N(BY91)+N(BY92)+N(BY93)+N(BY94)+N(BY95)+N(BY96)-BY183,0),"")</f>
      </c>
      <c r="BZ97" s="211">
        <f>IF(ISNUMBER(BZ94),ROUND(N(BZ90)+N(BZ91)+N(BZ92)+N(BZ93)+N(BZ94)+N(BZ95)+N(BZ96)-BZ183,0),"")</f>
      </c>
      <c r="CA97" s="211">
        <f>IF(ISNUMBER(CA94),ROUND(N(CA90)+N(CA91)+N(CA92)+N(CA93)+N(CA94)+N(CA95)+N(CA96)-CA183,0),"")</f>
      </c>
      <c r="CB97" s="153" t="n"/>
      <c r="CC97" s="153" t="n"/>
      <c r="CD97" s="153" t="n"/>
      <c r="CE97" s="153" t="n"/>
      <c r="CF97" s="153" t="n"/>
      <c r="CG97" s="153" t="n"/>
      <c r="CH97" s="153" t="n"/>
      <c r="CI97" s="153" t="n"/>
      <c r="CJ97" s="153" t="n"/>
      <c r="CK97" s="153" t="n"/>
    </row>
    <row r="98" ht="15" customHeight="1" s="251">
      <c r="B98" s="25" t="inlineStr">
        <is>
          <t xml:space="preserve">  Divisions (FY2006–FY2013; FY2006 seven segments aggregated into the FY2007 five divisions)</t>
        </is>
      </c>
      <c r="CK98" s="153" t="n"/>
    </row>
    <row r="99" ht="15" customHeight="1" s="251">
      <c r="B99" s="156" t="inlineStr">
        <is>
          <t xml:space="preserve">    Client / Windows (&amp; Windows Live) Division — revenue</t>
        </is>
      </c>
      <c r="C99" s="253" t="n">
        <v>13001</v>
      </c>
      <c r="D99" s="253" t="n">
        <v>14812</v>
      </c>
      <c r="E99" s="253" t="n">
        <v>16472</v>
      </c>
      <c r="F99" s="253" t="n">
        <v>14414</v>
      </c>
      <c r="G99" s="253" t="n">
        <v>17788</v>
      </c>
      <c r="H99" s="253" t="n">
        <v>18778</v>
      </c>
      <c r="I99" s="253" t="n">
        <v>18818</v>
      </c>
      <c r="J99" s="253" t="n">
        <v>3244</v>
      </c>
      <c r="K99" s="253" t="n">
        <v>5881</v>
      </c>
      <c r="L99" s="253" t="n">
        <v>5703</v>
      </c>
      <c r="M99" s="253" t="n">
        <v>4411</v>
      </c>
      <c r="N99" s="253" t="n">
        <v>19239</v>
      </c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  <c r="AA99" s="34" t="n"/>
      <c r="AB99" s="34" t="n"/>
      <c r="AC99" s="34" t="n"/>
      <c r="AD99" s="34" t="n"/>
      <c r="AE99" s="34" t="n"/>
      <c r="AF99" s="34" t="n"/>
      <c r="AG99" s="34" t="n"/>
      <c r="AH99" s="34" t="n"/>
      <c r="AI99" s="34" t="n"/>
      <c r="AJ99" s="34" t="n"/>
      <c r="AK99" s="34" t="n"/>
      <c r="AL99" s="34" t="n"/>
      <c r="AM99" s="34" t="n"/>
      <c r="AN99" s="34" t="n"/>
      <c r="AO99" s="34" t="n"/>
      <c r="AP99" s="34" t="n"/>
      <c r="AQ99" s="34" t="n"/>
      <c r="AR99" s="34" t="n"/>
      <c r="AS99" s="34" t="n"/>
      <c r="AT99" s="34" t="n"/>
      <c r="AU99" s="34" t="n"/>
      <c r="AV99" s="34" t="n"/>
      <c r="AW99" s="34" t="n"/>
      <c r="AX99" s="34" t="n"/>
      <c r="AY99" s="34" t="n"/>
      <c r="AZ99" s="34" t="n"/>
      <c r="BA99" s="34" t="n"/>
      <c r="BB99" s="34" t="n"/>
      <c r="BC99" s="34" t="n"/>
      <c r="BD99" s="34" t="n"/>
      <c r="BE99" s="34" t="n"/>
      <c r="BF99" s="34" t="n"/>
      <c r="BG99" s="34" t="n"/>
      <c r="BH99" s="34" t="n"/>
      <c r="BI99" s="34" t="n"/>
      <c r="BJ99" s="34" t="n"/>
      <c r="BK99" s="34" t="n"/>
      <c r="BL99" s="34" t="n"/>
      <c r="BM99" s="34" t="n"/>
      <c r="BN99" s="34" t="n"/>
      <c r="BO99" s="34" t="n"/>
      <c r="BP99" s="34" t="n"/>
      <c r="BQ99" s="34" t="n"/>
      <c r="BR99" s="34" t="n"/>
      <c r="BS99" s="34" t="n"/>
      <c r="BT99" s="34" t="n"/>
      <c r="BU99" s="34" t="n"/>
      <c r="BV99" s="34" t="n"/>
      <c r="BW99" s="34" t="n"/>
      <c r="BX99" s="34" t="n"/>
      <c r="BY99" s="34" t="n"/>
      <c r="BZ99" s="34" t="n"/>
      <c r="CA99" s="34" t="n"/>
      <c r="CB99" s="153" t="n"/>
      <c r="CC99" s="153" t="n"/>
      <c r="CD99" s="153" t="n"/>
      <c r="CE99" s="153" t="n"/>
      <c r="CF99" s="153" t="n"/>
      <c r="CG99" s="153" t="n"/>
      <c r="CH99" s="153" t="n"/>
      <c r="CI99" s="153" t="n"/>
      <c r="CJ99" s="153" t="n"/>
      <c r="CK99" s="153" t="n"/>
    </row>
    <row r="100" ht="15" customHeight="1" s="251">
      <c r="B100" s="156" t="inlineStr">
        <is>
          <t xml:space="preserve">    Server and Tools — revenue</t>
        </is>
      </c>
      <c r="C100" s="253" t="n">
        <v>10542</v>
      </c>
      <c r="D100" s="253" t="n">
        <v>11182</v>
      </c>
      <c r="E100" s="253" t="n">
        <v>13189</v>
      </c>
      <c r="F100" s="253" t="n">
        <v>14135</v>
      </c>
      <c r="G100" s="253" t="n">
        <v>14878</v>
      </c>
      <c r="H100" s="253" t="n">
        <v>17107</v>
      </c>
      <c r="I100" s="253" t="n">
        <v>18696</v>
      </c>
      <c r="J100" s="253" t="n">
        <v>4552</v>
      </c>
      <c r="K100" s="253" t="n">
        <v>5186</v>
      </c>
      <c r="L100" s="253" t="n">
        <v>5039</v>
      </c>
      <c r="M100" s="253" t="n">
        <v>5502</v>
      </c>
      <c r="N100" s="253" t="n">
        <v>20281</v>
      </c>
      <c r="O100" s="34" t="n"/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  <c r="AA100" s="34" t="n"/>
      <c r="AB100" s="34" t="n"/>
      <c r="AC100" s="34" t="n"/>
      <c r="AD100" s="34" t="n"/>
      <c r="AE100" s="34" t="n"/>
      <c r="AF100" s="34" t="n"/>
      <c r="AG100" s="34" t="n"/>
      <c r="AH100" s="34" t="n"/>
      <c r="AI100" s="34" t="n"/>
      <c r="AJ100" s="34" t="n"/>
      <c r="AK100" s="34" t="n"/>
      <c r="AL100" s="34" t="n"/>
      <c r="AM100" s="34" t="n"/>
      <c r="AN100" s="34" t="n"/>
      <c r="AO100" s="34" t="n"/>
      <c r="AP100" s="34" t="n"/>
      <c r="AQ100" s="34" t="n"/>
      <c r="AR100" s="34" t="n"/>
      <c r="AS100" s="34" t="n"/>
      <c r="AT100" s="34" t="n"/>
      <c r="AU100" s="34" t="n"/>
      <c r="AV100" s="34" t="n"/>
      <c r="AW100" s="34" t="n"/>
      <c r="AX100" s="34" t="n"/>
      <c r="AY100" s="34" t="n"/>
      <c r="AZ100" s="34" t="n"/>
      <c r="BA100" s="34" t="n"/>
      <c r="BB100" s="34" t="n"/>
      <c r="BC100" s="34" t="n"/>
      <c r="BD100" s="34" t="n"/>
      <c r="BE100" s="34" t="n"/>
      <c r="BF100" s="34" t="n"/>
      <c r="BG100" s="34" t="n"/>
      <c r="BH100" s="34" t="n"/>
      <c r="BI100" s="34" t="n"/>
      <c r="BJ100" s="34" t="n"/>
      <c r="BK100" s="34" t="n"/>
      <c r="BL100" s="34" t="n"/>
      <c r="BM100" s="34" t="n"/>
      <c r="BN100" s="34" t="n"/>
      <c r="BO100" s="34" t="n"/>
      <c r="BP100" s="34" t="n"/>
      <c r="BQ100" s="34" t="n"/>
      <c r="BR100" s="34" t="n"/>
      <c r="BS100" s="34" t="n"/>
      <c r="BT100" s="34" t="n"/>
      <c r="BU100" s="34" t="n"/>
      <c r="BV100" s="34" t="n"/>
      <c r="BW100" s="34" t="n"/>
      <c r="BX100" s="34" t="n"/>
      <c r="BY100" s="34" t="n"/>
      <c r="BZ100" s="34" t="n"/>
      <c r="CA100" s="34" t="n"/>
      <c r="CB100" s="153" t="n"/>
      <c r="CC100" s="153" t="n"/>
      <c r="CD100" s="153" t="n"/>
      <c r="CE100" s="153" t="n"/>
      <c r="CF100" s="153" t="n"/>
      <c r="CG100" s="153" t="n"/>
      <c r="CH100" s="153" t="n"/>
      <c r="CI100" s="153" t="n"/>
      <c r="CJ100" s="153" t="n"/>
      <c r="CK100" s="153" t="n"/>
    </row>
    <row r="101" ht="15" customHeight="1" s="251">
      <c r="B101" s="156" t="inlineStr">
        <is>
          <t xml:space="preserve">    Online Services (MSN to FY2006) — revenue</t>
        </is>
      </c>
      <c r="C101" s="253" t="n">
        <v>2488</v>
      </c>
      <c r="D101" s="253" t="n">
        <v>2474</v>
      </c>
      <c r="E101" s="253" t="n">
        <v>3214</v>
      </c>
      <c r="F101" s="253" t="n">
        <v>3088</v>
      </c>
      <c r="G101" s="253" t="n">
        <v>2198</v>
      </c>
      <c r="H101" s="253" t="n">
        <v>2528</v>
      </c>
      <c r="I101" s="253" t="n">
        <v>2934</v>
      </c>
      <c r="J101" s="253" t="n">
        <v>697</v>
      </c>
      <c r="K101" s="253" t="n">
        <v>869</v>
      </c>
      <c r="L101" s="253" t="n">
        <v>832</v>
      </c>
      <c r="M101" s="253" t="n">
        <v>804</v>
      </c>
      <c r="N101" s="253" t="n">
        <v>3201</v>
      </c>
      <c r="O101" s="34" t="n"/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  <c r="AA101" s="34" t="n"/>
      <c r="AB101" s="34" t="n"/>
      <c r="AC101" s="34" t="n"/>
      <c r="AD101" s="34" t="n"/>
      <c r="AE101" s="34" t="n"/>
      <c r="AF101" s="34" t="n"/>
      <c r="AG101" s="34" t="n"/>
      <c r="AH101" s="34" t="n"/>
      <c r="AI101" s="34" t="n"/>
      <c r="AJ101" s="34" t="n"/>
      <c r="AK101" s="34" t="n"/>
      <c r="AL101" s="34" t="n"/>
      <c r="AM101" s="34" t="n"/>
      <c r="AN101" s="34" t="n"/>
      <c r="AO101" s="34" t="n"/>
      <c r="AP101" s="34" t="n"/>
      <c r="AQ101" s="34" t="n"/>
      <c r="AR101" s="34" t="n"/>
      <c r="AS101" s="34" t="n"/>
      <c r="AT101" s="34" t="n"/>
      <c r="AU101" s="34" t="n"/>
      <c r="AV101" s="34" t="n"/>
      <c r="AW101" s="34" t="n"/>
      <c r="AX101" s="34" t="n"/>
      <c r="AY101" s="34" t="n"/>
      <c r="AZ101" s="34" t="n"/>
      <c r="BA101" s="34" t="n"/>
      <c r="BB101" s="34" t="n"/>
      <c r="BC101" s="34" t="n"/>
      <c r="BD101" s="34" t="n"/>
      <c r="BE101" s="34" t="n"/>
      <c r="BF101" s="34" t="n"/>
      <c r="BG101" s="34" t="n"/>
      <c r="BH101" s="34" t="n"/>
      <c r="BI101" s="34" t="n"/>
      <c r="BJ101" s="34" t="n"/>
      <c r="BK101" s="34" t="n"/>
      <c r="BL101" s="34" t="n"/>
      <c r="BM101" s="34" t="n"/>
      <c r="BN101" s="34" t="n"/>
      <c r="BO101" s="34" t="n"/>
      <c r="BP101" s="34" t="n"/>
      <c r="BQ101" s="34" t="n"/>
      <c r="BR101" s="34" t="n"/>
      <c r="BS101" s="34" t="n"/>
      <c r="BT101" s="34" t="n"/>
      <c r="BU101" s="34" t="n"/>
      <c r="BV101" s="34" t="n"/>
      <c r="BW101" s="34" t="n"/>
      <c r="BX101" s="34" t="n"/>
      <c r="BY101" s="34" t="n"/>
      <c r="BZ101" s="34" t="n"/>
      <c r="CA101" s="34" t="n"/>
      <c r="CB101" s="153" t="n"/>
      <c r="CC101" s="153" t="n"/>
      <c r="CD101" s="153" t="n"/>
      <c r="CE101" s="153" t="n"/>
      <c r="CF101" s="153" t="n"/>
      <c r="CG101" s="153" t="n"/>
      <c r="CH101" s="153" t="n"/>
      <c r="CI101" s="153" t="n"/>
      <c r="CJ101" s="153" t="n"/>
      <c r="CK101" s="153" t="n"/>
    </row>
    <row r="102" ht="15" customHeight="1" s="251">
      <c r="B102" s="156" t="inlineStr">
        <is>
          <t xml:space="preserve">    Microsoft Business Division (FY2006: Information Worker + Business Solutions) — revenue</t>
        </is>
      </c>
      <c r="C102" s="253" t="n">
        <v>13286</v>
      </c>
      <c r="D102" s="253" t="n">
        <v>16381</v>
      </c>
      <c r="E102" s="253" t="n">
        <v>18937</v>
      </c>
      <c r="F102" s="253" t="n">
        <v>18902</v>
      </c>
      <c r="G102" s="253" t="n">
        <v>18909</v>
      </c>
      <c r="H102" s="253" t="n">
        <v>21986</v>
      </c>
      <c r="I102" s="253" t="n">
        <v>23963</v>
      </c>
      <c r="J102" s="253" t="n">
        <v>5502</v>
      </c>
      <c r="K102" s="253" t="n">
        <v>5691</v>
      </c>
      <c r="L102" s="253" t="n">
        <v>6319</v>
      </c>
      <c r="M102" s="253" t="n">
        <v>7213</v>
      </c>
      <c r="N102" s="253" t="n">
        <v>24724</v>
      </c>
      <c r="O102" s="34" t="n"/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  <c r="AA102" s="34" t="n"/>
      <c r="AB102" s="34" t="n"/>
      <c r="AC102" s="34" t="n"/>
      <c r="AD102" s="34" t="n"/>
      <c r="AE102" s="34" t="n"/>
      <c r="AF102" s="34" t="n"/>
      <c r="AG102" s="34" t="n"/>
      <c r="AH102" s="34" t="n"/>
      <c r="AI102" s="34" t="n"/>
      <c r="AJ102" s="34" t="n"/>
      <c r="AK102" s="34" t="n"/>
      <c r="AL102" s="34" t="n"/>
      <c r="AM102" s="34" t="n"/>
      <c r="AN102" s="34" t="n"/>
      <c r="AO102" s="34" t="n"/>
      <c r="AP102" s="34" t="n"/>
      <c r="AQ102" s="34" t="n"/>
      <c r="AR102" s="34" t="n"/>
      <c r="AS102" s="34" t="n"/>
      <c r="AT102" s="34" t="n"/>
      <c r="AU102" s="34" t="n"/>
      <c r="AV102" s="34" t="n"/>
      <c r="AW102" s="34" t="n"/>
      <c r="AX102" s="34" t="n"/>
      <c r="AY102" s="34" t="n"/>
      <c r="AZ102" s="34" t="n"/>
      <c r="BA102" s="34" t="n"/>
      <c r="BB102" s="34" t="n"/>
      <c r="BC102" s="34" t="n"/>
      <c r="BD102" s="34" t="n"/>
      <c r="BE102" s="34" t="n"/>
      <c r="BF102" s="34" t="n"/>
      <c r="BG102" s="34" t="n"/>
      <c r="BH102" s="34" t="n"/>
      <c r="BI102" s="34" t="n"/>
      <c r="BJ102" s="34" t="n"/>
      <c r="BK102" s="34" t="n"/>
      <c r="BL102" s="34" t="n"/>
      <c r="BM102" s="34" t="n"/>
      <c r="BN102" s="34" t="n"/>
      <c r="BO102" s="34" t="n"/>
      <c r="BP102" s="34" t="n"/>
      <c r="BQ102" s="34" t="n"/>
      <c r="BR102" s="34" t="n"/>
      <c r="BS102" s="34" t="n"/>
      <c r="BT102" s="34" t="n"/>
      <c r="BU102" s="34" t="n"/>
      <c r="BV102" s="34" t="n"/>
      <c r="BW102" s="34" t="n"/>
      <c r="BX102" s="34" t="n"/>
      <c r="BY102" s="34" t="n"/>
      <c r="BZ102" s="34" t="n"/>
      <c r="CA102" s="34" t="n"/>
      <c r="CB102" s="153" t="n"/>
      <c r="CC102" s="153" t="n"/>
      <c r="CD102" s="153" t="n"/>
      <c r="CE102" s="153" t="n"/>
      <c r="CF102" s="153" t="n"/>
      <c r="CG102" s="153" t="n"/>
      <c r="CH102" s="153" t="n"/>
      <c r="CI102" s="153" t="n"/>
      <c r="CJ102" s="153" t="n"/>
      <c r="CK102" s="153" t="n"/>
    </row>
    <row r="103" ht="15" customHeight="1" s="251">
      <c r="B103" s="156" t="inlineStr">
        <is>
          <t xml:space="preserve">    Entertainment and Devices (FY2006: Home &amp; Entertainment + Mobile &amp; Embedded) — revenue</t>
        </is>
      </c>
      <c r="C103" s="253" t="n">
        <v>4657</v>
      </c>
      <c r="D103" s="253" t="n">
        <v>6132</v>
      </c>
      <c r="E103" s="253" t="n">
        <v>8139</v>
      </c>
      <c r="F103" s="253" t="n">
        <v>7753</v>
      </c>
      <c r="G103" s="253" t="n">
        <v>8114</v>
      </c>
      <c r="H103" s="253" t="n">
        <v>8716</v>
      </c>
      <c r="I103" s="253" t="n">
        <v>9585</v>
      </c>
      <c r="J103" s="253" t="n">
        <v>1946</v>
      </c>
      <c r="K103" s="253" t="n">
        <v>3772</v>
      </c>
      <c r="L103" s="253" t="n">
        <v>2531</v>
      </c>
      <c r="M103" s="253" t="n">
        <v>1915</v>
      </c>
      <c r="N103" s="253" t="n">
        <v>10165</v>
      </c>
      <c r="O103" s="34" t="n"/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  <c r="AA103" s="34" t="n"/>
      <c r="AB103" s="34" t="n"/>
      <c r="AC103" s="34" t="n"/>
      <c r="AD103" s="34" t="n"/>
      <c r="AE103" s="34" t="n"/>
      <c r="AF103" s="34" t="n"/>
      <c r="AG103" s="34" t="n"/>
      <c r="AH103" s="34" t="n"/>
      <c r="AI103" s="34" t="n"/>
      <c r="AJ103" s="34" t="n"/>
      <c r="AK103" s="34" t="n"/>
      <c r="AL103" s="34" t="n"/>
      <c r="AM103" s="34" t="n"/>
      <c r="AN103" s="34" t="n"/>
      <c r="AO103" s="34" t="n"/>
      <c r="AP103" s="34" t="n"/>
      <c r="AQ103" s="34" t="n"/>
      <c r="AR103" s="34" t="n"/>
      <c r="AS103" s="34" t="n"/>
      <c r="AT103" s="34" t="n"/>
      <c r="AU103" s="34" t="n"/>
      <c r="AV103" s="34" t="n"/>
      <c r="AW103" s="34" t="n"/>
      <c r="AX103" s="34" t="n"/>
      <c r="AY103" s="34" t="n"/>
      <c r="AZ103" s="34" t="n"/>
      <c r="BA103" s="34" t="n"/>
      <c r="BB103" s="34" t="n"/>
      <c r="BC103" s="34" t="n"/>
      <c r="BD103" s="34" t="n"/>
      <c r="BE103" s="34" t="n"/>
      <c r="BF103" s="34" t="n"/>
      <c r="BG103" s="34" t="n"/>
      <c r="BH103" s="34" t="n"/>
      <c r="BI103" s="34" t="n"/>
      <c r="BJ103" s="34" t="n"/>
      <c r="BK103" s="34" t="n"/>
      <c r="BL103" s="34" t="n"/>
      <c r="BM103" s="34" t="n"/>
      <c r="BN103" s="34" t="n"/>
      <c r="BO103" s="34" t="n"/>
      <c r="BP103" s="34" t="n"/>
      <c r="BQ103" s="34" t="n"/>
      <c r="BR103" s="34" t="n"/>
      <c r="BS103" s="34" t="n"/>
      <c r="BT103" s="34" t="n"/>
      <c r="BU103" s="34" t="n"/>
      <c r="BV103" s="34" t="n"/>
      <c r="BW103" s="34" t="n"/>
      <c r="BX103" s="34" t="n"/>
      <c r="BY103" s="34" t="n"/>
      <c r="BZ103" s="34" t="n"/>
      <c r="CA103" s="34" t="n"/>
      <c r="CB103" s="153" t="n"/>
      <c r="CC103" s="153" t="n"/>
      <c r="CD103" s="153" t="n"/>
      <c r="CE103" s="153" t="n"/>
      <c r="CF103" s="153" t="n"/>
      <c r="CG103" s="153" t="n"/>
      <c r="CH103" s="153" t="n"/>
      <c r="CI103" s="153" t="n"/>
      <c r="CJ103" s="153" t="n"/>
      <c r="CK103" s="153" t="n"/>
    </row>
    <row r="104" ht="15" customHeight="1" s="251">
      <c r="B104" s="156" t="inlineStr">
        <is>
          <t xml:space="preserve">    Unallocated / reconciling amounts / corporate — revenue</t>
        </is>
      </c>
      <c r="C104" s="253" t="n">
        <v>308</v>
      </c>
      <c r="D104" s="253" t="n">
        <v>141</v>
      </c>
      <c r="E104" s="253" t="n">
        <v>469</v>
      </c>
      <c r="F104" s="253" t="n">
        <v>145</v>
      </c>
      <c r="G104" s="253" t="n">
        <v>597</v>
      </c>
      <c r="H104" s="253" t="n">
        <v>828</v>
      </c>
      <c r="I104" s="253" t="n">
        <v>-273</v>
      </c>
      <c r="J104" s="253" t="n">
        <v>67</v>
      </c>
      <c r="K104" s="253" t="n">
        <v>57</v>
      </c>
      <c r="L104" s="253" t="n">
        <v>65</v>
      </c>
      <c r="M104" s="253" t="n">
        <v>51</v>
      </c>
      <c r="N104" s="253" t="n">
        <v>239</v>
      </c>
      <c r="O104" s="34" t="n"/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  <c r="AA104" s="34" t="n"/>
      <c r="AB104" s="34" t="n"/>
      <c r="AC104" s="34" t="n"/>
      <c r="AD104" s="34" t="n"/>
      <c r="AE104" s="34" t="n"/>
      <c r="AF104" s="34" t="n"/>
      <c r="AG104" s="34" t="n"/>
      <c r="AH104" s="34" t="n"/>
      <c r="AI104" s="34" t="n"/>
      <c r="AJ104" s="34" t="n"/>
      <c r="AK104" s="34" t="n"/>
      <c r="AL104" s="34" t="n"/>
      <c r="AM104" s="34" t="n"/>
      <c r="AN104" s="34" t="n"/>
      <c r="AO104" s="34" t="n"/>
      <c r="AP104" s="34" t="n"/>
      <c r="AQ104" s="34" t="n"/>
      <c r="AR104" s="34" t="n"/>
      <c r="AS104" s="34" t="n"/>
      <c r="AT104" s="34" t="n"/>
      <c r="AU104" s="34" t="n"/>
      <c r="AV104" s="34" t="n"/>
      <c r="AW104" s="34" t="n"/>
      <c r="AX104" s="34" t="n"/>
      <c r="AY104" s="34" t="n"/>
      <c r="AZ104" s="34" t="n"/>
      <c r="BA104" s="34" t="n"/>
      <c r="BB104" s="34" t="n"/>
      <c r="BC104" s="34" t="n"/>
      <c r="BD104" s="34" t="n"/>
      <c r="BE104" s="34" t="n"/>
      <c r="BF104" s="34" t="n"/>
      <c r="BG104" s="34" t="n"/>
      <c r="BH104" s="34" t="n"/>
      <c r="BI104" s="34" t="n"/>
      <c r="BJ104" s="34" t="n"/>
      <c r="BK104" s="34" t="n"/>
      <c r="BL104" s="34" t="n"/>
      <c r="BM104" s="34" t="n"/>
      <c r="BN104" s="34" t="n"/>
      <c r="BO104" s="34" t="n"/>
      <c r="BP104" s="34" t="n"/>
      <c r="BQ104" s="34" t="n"/>
      <c r="BR104" s="34" t="n"/>
      <c r="BS104" s="34" t="n"/>
      <c r="BT104" s="34" t="n"/>
      <c r="BU104" s="34" t="n"/>
      <c r="BV104" s="34" t="n"/>
      <c r="BW104" s="34" t="n"/>
      <c r="BX104" s="34" t="n"/>
      <c r="BY104" s="34" t="n"/>
      <c r="BZ104" s="34" t="n"/>
      <c r="CA104" s="34" t="n"/>
      <c r="CB104" s="153" t="n"/>
      <c r="CC104" s="153" t="n"/>
      <c r="CD104" s="153" t="n"/>
      <c r="CE104" s="153" t="n"/>
      <c r="CF104" s="153" t="n"/>
      <c r="CG104" s="153" t="n"/>
      <c r="CH104" s="153" t="n"/>
      <c r="CI104" s="153" t="n"/>
      <c r="CJ104" s="153" t="n"/>
      <c r="CK104" s="153" t="n"/>
    </row>
    <row r="105" ht="15" customHeight="1" s="251">
      <c r="B105" s="57" t="inlineStr">
        <is>
          <t xml:space="preserve">    Check: Σ revenue vs consolidated (should be 0)</t>
        </is>
      </c>
      <c r="C105" s="211">
        <f>IF(ISNUMBER(C99),ROUND(N(C99)+N(C100)+N(C101)+N(C102)+N(C103)+N(C104)-C179,0),"")</f>
        <v>0</v>
      </c>
      <c r="D105" s="211">
        <f>IF(ISNUMBER(D99),ROUND(N(D99)+N(D100)+N(D101)+N(D102)+N(D103)+N(D104)-D179,0),"")</f>
        <v>0</v>
      </c>
      <c r="E105" s="211">
        <f>IF(ISNUMBER(E99),ROUND(N(E99)+N(E100)+N(E101)+N(E102)+N(E103)+N(E104)-E179,0),"")</f>
        <v>0</v>
      </c>
      <c r="F105" s="211">
        <f>IF(ISNUMBER(F99),ROUND(N(F99)+N(F100)+N(F101)+N(F102)+N(F103)+N(F104)-F179,0),"")</f>
        <v>0</v>
      </c>
      <c r="G105" s="211">
        <f>IF(ISNUMBER(G99),ROUND(N(G99)+N(G100)+N(G101)+N(G102)+N(G103)+N(G104)-G179,0),"")</f>
        <v>0</v>
      </c>
      <c r="H105" s="211">
        <f>IF(ISNUMBER(H99),ROUND(N(H99)+N(H100)+N(H101)+N(H102)+N(H103)+N(H104)-H179,0),"")</f>
        <v>0</v>
      </c>
      <c r="I105" s="211">
        <f>IF(ISNUMBER(I99),ROUND(N(I99)+N(I100)+N(I101)+N(I102)+N(I103)+N(I104)-I179,0),"")</f>
        <v>0</v>
      </c>
      <c r="J105" s="211">
        <f>IF(ISNUMBER(J99),ROUND(N(J99)+N(J100)+N(J101)+N(J102)+N(J103)+N(J104)-J179,0),"")</f>
        <v>0</v>
      </c>
      <c r="K105" s="211">
        <f>IF(ISNUMBER(K99),ROUND(N(K99)+N(K100)+N(K101)+N(K102)+N(K103)+N(K104)-K179,0),"")</f>
        <v>0</v>
      </c>
      <c r="L105" s="211">
        <f>IF(ISNUMBER(L99),ROUND(N(L99)+N(L100)+N(L101)+N(L102)+N(L103)+N(L104)-L179,0),"")</f>
        <v>0</v>
      </c>
      <c r="M105" s="211">
        <f>IF(ISNUMBER(M99),ROUND(N(M99)+N(M100)+N(M101)+N(M102)+N(M103)+N(M104)-M179,0),"")</f>
        <v>0</v>
      </c>
      <c r="N105" s="211">
        <f>IF(ISNUMBER(N99),ROUND(N(N99)+N(N100)+N(N101)+N(N102)+N(N103)+N(N104)-N179,0),"")</f>
        <v>0</v>
      </c>
      <c r="O105" s="211">
        <f>IF(ISNUMBER(O99),ROUND(N(O99)+N(O100)+N(O101)+N(O102)+N(O103)+N(O104)-O179,0),"")</f>
      </c>
      <c r="P105" s="211">
        <f>IF(ISNUMBER(P99),ROUND(N(P99)+N(P100)+N(P101)+N(P102)+N(P103)+N(P104)-P179,0),"")</f>
      </c>
      <c r="Q105" s="211">
        <f>IF(ISNUMBER(Q99),ROUND(N(Q99)+N(Q100)+N(Q101)+N(Q102)+N(Q103)+N(Q104)-Q179,0),"")</f>
      </c>
      <c r="R105" s="211">
        <f>IF(ISNUMBER(R99),ROUND(N(R99)+N(R100)+N(R101)+N(R102)+N(R103)+N(R104)-R179,0),"")</f>
      </c>
      <c r="S105" s="211">
        <f>IF(ISNUMBER(S99),ROUND(N(S99)+N(S100)+N(S101)+N(S102)+N(S103)+N(S104)-S179,0),"")</f>
      </c>
      <c r="T105" s="211">
        <f>IF(ISNUMBER(T99),ROUND(N(T99)+N(T100)+N(T101)+N(T102)+N(T103)+N(T104)-T179,0),"")</f>
      </c>
      <c r="U105" s="211">
        <f>IF(ISNUMBER(U99),ROUND(N(U99)+N(U100)+N(U101)+N(U102)+N(U103)+N(U104)-U179,0),"")</f>
      </c>
      <c r="V105" s="211">
        <f>IF(ISNUMBER(V99),ROUND(N(V99)+N(V100)+N(V101)+N(V102)+N(V103)+N(V104)-V179,0),"")</f>
      </c>
      <c r="W105" s="211">
        <f>IF(ISNUMBER(W99),ROUND(N(W99)+N(W100)+N(W101)+N(W102)+N(W103)+N(W104)-W179,0),"")</f>
      </c>
      <c r="X105" s="211">
        <f>IF(ISNUMBER(X99),ROUND(N(X99)+N(X100)+N(X101)+N(X102)+N(X103)+N(X104)-X179,0),"")</f>
      </c>
      <c r="Y105" s="211">
        <f>IF(ISNUMBER(Y99),ROUND(N(Y99)+N(Y100)+N(Y101)+N(Y102)+N(Y103)+N(Y104)-Y179,0),"")</f>
      </c>
      <c r="Z105" s="211">
        <f>IF(ISNUMBER(Z99),ROUND(N(Z99)+N(Z100)+N(Z101)+N(Z102)+N(Z103)+N(Z104)-Z179,0),"")</f>
      </c>
      <c r="AA105" s="211">
        <f>IF(ISNUMBER(AA99),ROUND(N(AA99)+N(AA100)+N(AA101)+N(AA102)+N(AA103)+N(AA104)-AA179,0),"")</f>
      </c>
      <c r="AB105" s="211">
        <f>IF(ISNUMBER(AB99),ROUND(N(AB99)+N(AB100)+N(AB101)+N(AB102)+N(AB103)+N(AB104)-AB179,0),"")</f>
      </c>
      <c r="AC105" s="211">
        <f>IF(ISNUMBER(AC99),ROUND(N(AC99)+N(AC100)+N(AC101)+N(AC102)+N(AC103)+N(AC104)-AC179,0),"")</f>
      </c>
      <c r="AD105" s="211">
        <f>IF(ISNUMBER(AD99),ROUND(N(AD99)+N(AD100)+N(AD101)+N(AD102)+N(AD103)+N(AD104)-AD179,0),"")</f>
      </c>
      <c r="AE105" s="211">
        <f>IF(ISNUMBER(AE99),ROUND(N(AE99)+N(AE100)+N(AE101)+N(AE102)+N(AE103)+N(AE104)-AE179,0),"")</f>
      </c>
      <c r="AF105" s="211">
        <f>IF(ISNUMBER(AF99),ROUND(N(AF99)+N(AF100)+N(AF101)+N(AF102)+N(AF103)+N(AF104)-AF179,0),"")</f>
      </c>
      <c r="AG105" s="211">
        <f>IF(ISNUMBER(AG99),ROUND(N(AG99)+N(AG100)+N(AG101)+N(AG102)+N(AG103)+N(AG104)-AG179,0),"")</f>
      </c>
      <c r="AH105" s="211">
        <f>IF(ISNUMBER(AH99),ROUND(N(AH99)+N(AH100)+N(AH101)+N(AH102)+N(AH103)+N(AH104)-AH179,0),"")</f>
      </c>
      <c r="AI105" s="211">
        <f>IF(ISNUMBER(AI99),ROUND(N(AI99)+N(AI100)+N(AI101)+N(AI102)+N(AI103)+N(AI104)-AI179,0),"")</f>
      </c>
      <c r="AJ105" s="211">
        <f>IF(ISNUMBER(AJ99),ROUND(N(AJ99)+N(AJ100)+N(AJ101)+N(AJ102)+N(AJ103)+N(AJ104)-AJ179,0),"")</f>
      </c>
      <c r="AK105" s="211">
        <f>IF(ISNUMBER(AK99),ROUND(N(AK99)+N(AK100)+N(AK101)+N(AK102)+N(AK103)+N(AK104)-AK179,0),"")</f>
      </c>
      <c r="AL105" s="211">
        <f>IF(ISNUMBER(AL99),ROUND(N(AL99)+N(AL100)+N(AL101)+N(AL102)+N(AL103)+N(AL104)-AL179,0),"")</f>
      </c>
      <c r="AM105" s="211">
        <f>IF(ISNUMBER(AM99),ROUND(N(AM99)+N(AM100)+N(AM101)+N(AM102)+N(AM103)+N(AM104)-AM179,0),"")</f>
      </c>
      <c r="AN105" s="211">
        <f>IF(ISNUMBER(AN99),ROUND(N(AN99)+N(AN100)+N(AN101)+N(AN102)+N(AN103)+N(AN104)-AN179,0),"")</f>
      </c>
      <c r="AO105" s="211">
        <f>IF(ISNUMBER(AO99),ROUND(N(AO99)+N(AO100)+N(AO101)+N(AO102)+N(AO103)+N(AO104)-AO179,0),"")</f>
      </c>
      <c r="AP105" s="211">
        <f>IF(ISNUMBER(AP99),ROUND(N(AP99)+N(AP100)+N(AP101)+N(AP102)+N(AP103)+N(AP104)-AP179,0),"")</f>
      </c>
      <c r="AQ105" s="211">
        <f>IF(ISNUMBER(AQ99),ROUND(N(AQ99)+N(AQ100)+N(AQ101)+N(AQ102)+N(AQ103)+N(AQ104)-AQ179,0),"")</f>
      </c>
      <c r="AR105" s="211">
        <f>IF(ISNUMBER(AR99),ROUND(N(AR99)+N(AR100)+N(AR101)+N(AR102)+N(AR103)+N(AR104)-AR179,0),"")</f>
      </c>
      <c r="AS105" s="211">
        <f>IF(ISNUMBER(AS99),ROUND(N(AS99)+N(AS100)+N(AS101)+N(AS102)+N(AS103)+N(AS104)-AS179,0),"")</f>
      </c>
      <c r="AT105" s="211">
        <f>IF(ISNUMBER(AT99),ROUND(N(AT99)+N(AT100)+N(AT101)+N(AT102)+N(AT103)+N(AT104)-AT179,0),"")</f>
      </c>
      <c r="AU105" s="211">
        <f>IF(ISNUMBER(AU99),ROUND(N(AU99)+N(AU100)+N(AU101)+N(AU102)+N(AU103)+N(AU104)-AU179,0),"")</f>
      </c>
      <c r="AV105" s="211">
        <f>IF(ISNUMBER(AV99),ROUND(N(AV99)+N(AV100)+N(AV101)+N(AV102)+N(AV103)+N(AV104)-AV179,0),"")</f>
      </c>
      <c r="AW105" s="211">
        <f>IF(ISNUMBER(AW99),ROUND(N(AW99)+N(AW100)+N(AW101)+N(AW102)+N(AW103)+N(AW104)-AW179,0),"")</f>
      </c>
      <c r="AX105" s="211">
        <f>IF(ISNUMBER(AX99),ROUND(N(AX99)+N(AX100)+N(AX101)+N(AX102)+N(AX103)+N(AX104)-AX179,0),"")</f>
      </c>
      <c r="AY105" s="211">
        <f>IF(ISNUMBER(AY99),ROUND(N(AY99)+N(AY100)+N(AY101)+N(AY102)+N(AY103)+N(AY104)-AY179,0),"")</f>
      </c>
      <c r="AZ105" s="211">
        <f>IF(ISNUMBER(AZ99),ROUND(N(AZ99)+N(AZ100)+N(AZ101)+N(AZ102)+N(AZ103)+N(AZ104)-AZ179,0),"")</f>
      </c>
      <c r="BA105" s="211">
        <f>IF(ISNUMBER(BA99),ROUND(N(BA99)+N(BA100)+N(BA101)+N(BA102)+N(BA103)+N(BA104)-BA179,0),"")</f>
      </c>
      <c r="BB105" s="211">
        <f>IF(ISNUMBER(BB99),ROUND(N(BB99)+N(BB100)+N(BB101)+N(BB102)+N(BB103)+N(BB104)-BB179,0),"")</f>
      </c>
      <c r="BC105" s="211">
        <f>IF(ISNUMBER(BC99),ROUND(N(BC99)+N(BC100)+N(BC101)+N(BC102)+N(BC103)+N(BC104)-BC179,0),"")</f>
      </c>
      <c r="BD105" s="211">
        <f>IF(ISNUMBER(BD99),ROUND(N(BD99)+N(BD100)+N(BD101)+N(BD102)+N(BD103)+N(BD104)-BD179,0),"")</f>
      </c>
      <c r="BE105" s="211">
        <f>IF(ISNUMBER(BE99),ROUND(N(BE99)+N(BE100)+N(BE101)+N(BE102)+N(BE103)+N(BE104)-BE179,0),"")</f>
      </c>
      <c r="BF105" s="211">
        <f>IF(ISNUMBER(BF99),ROUND(N(BF99)+N(BF100)+N(BF101)+N(BF102)+N(BF103)+N(BF104)-BF179,0),"")</f>
      </c>
      <c r="BG105" s="211">
        <f>IF(ISNUMBER(BG99),ROUND(N(BG99)+N(BG100)+N(BG101)+N(BG102)+N(BG103)+N(BG104)-BG179,0),"")</f>
      </c>
      <c r="BH105" s="211">
        <f>IF(ISNUMBER(BH99),ROUND(N(BH99)+N(BH100)+N(BH101)+N(BH102)+N(BH103)+N(BH104)-BH179,0),"")</f>
      </c>
      <c r="BI105" s="211">
        <f>IF(ISNUMBER(BI99),ROUND(N(BI99)+N(BI100)+N(BI101)+N(BI102)+N(BI103)+N(BI104)-BI179,0),"")</f>
      </c>
      <c r="BJ105" s="211">
        <f>IF(ISNUMBER(BJ99),ROUND(N(BJ99)+N(BJ100)+N(BJ101)+N(BJ102)+N(BJ103)+N(BJ104)-BJ179,0),"")</f>
      </c>
      <c r="BK105" s="211">
        <f>IF(ISNUMBER(BK99),ROUND(N(BK99)+N(BK100)+N(BK101)+N(BK102)+N(BK103)+N(BK104)-BK179,0),"")</f>
      </c>
      <c r="BL105" s="211">
        <f>IF(ISNUMBER(BL99),ROUND(N(BL99)+N(BL100)+N(BL101)+N(BL102)+N(BL103)+N(BL104)-BL179,0),"")</f>
      </c>
      <c r="BM105" s="211">
        <f>IF(ISNUMBER(BM99),ROUND(N(BM99)+N(BM100)+N(BM101)+N(BM102)+N(BM103)+N(BM104)-BM179,0),"")</f>
      </c>
      <c r="BN105" s="211">
        <f>IF(ISNUMBER(BN99),ROUND(N(BN99)+N(BN100)+N(BN101)+N(BN102)+N(BN103)+N(BN104)-BN179,0),"")</f>
      </c>
      <c r="BO105" s="211">
        <f>IF(ISNUMBER(BO99),ROUND(N(BO99)+N(BO100)+N(BO101)+N(BO102)+N(BO103)+N(BO104)-BO179,0),"")</f>
      </c>
      <c r="BP105" s="211">
        <f>IF(ISNUMBER(BP99),ROUND(N(BP99)+N(BP100)+N(BP101)+N(BP102)+N(BP103)+N(BP104)-BP179,0),"")</f>
      </c>
      <c r="BQ105" s="211">
        <f>IF(ISNUMBER(BQ99),ROUND(N(BQ99)+N(BQ100)+N(BQ101)+N(BQ102)+N(BQ103)+N(BQ104)-BQ179,0),"")</f>
      </c>
      <c r="BR105" s="211">
        <f>IF(ISNUMBER(BR99),ROUND(N(BR99)+N(BR100)+N(BR101)+N(BR102)+N(BR103)+N(BR104)-BR179,0),"")</f>
      </c>
      <c r="BS105" s="211">
        <f>IF(ISNUMBER(BS99),ROUND(N(BS99)+N(BS100)+N(BS101)+N(BS102)+N(BS103)+N(BS104)-BS179,0),"")</f>
      </c>
      <c r="BT105" s="211">
        <f>IF(ISNUMBER(BT99),ROUND(N(BT99)+N(BT100)+N(BT101)+N(BT102)+N(BT103)+N(BT104)-BT179,0),"")</f>
      </c>
      <c r="BU105" s="211">
        <f>IF(ISNUMBER(BU99),ROUND(N(BU99)+N(BU100)+N(BU101)+N(BU102)+N(BU103)+N(BU104)-BU179,0),"")</f>
      </c>
      <c r="BV105" s="211">
        <f>IF(ISNUMBER(BV99),ROUND(N(BV99)+N(BV100)+N(BV101)+N(BV102)+N(BV103)+N(BV104)-BV179,0),"")</f>
      </c>
      <c r="BW105" s="211">
        <f>IF(ISNUMBER(BW99),ROUND(N(BW99)+N(BW100)+N(BW101)+N(BW102)+N(BW103)+N(BW104)-BW179,0),"")</f>
      </c>
      <c r="BX105" s="211">
        <f>IF(ISNUMBER(BX99),ROUND(N(BX99)+N(BX100)+N(BX101)+N(BX102)+N(BX103)+N(BX104)-BX179,0),"")</f>
      </c>
      <c r="BY105" s="211">
        <f>IF(ISNUMBER(BY99),ROUND(N(BY99)+N(BY100)+N(BY101)+N(BY102)+N(BY103)+N(BY104)-BY179,0),"")</f>
      </c>
      <c r="BZ105" s="211">
        <f>IF(ISNUMBER(BZ99),ROUND(N(BZ99)+N(BZ100)+N(BZ101)+N(BZ102)+N(BZ103)+N(BZ104)-BZ179,0),"")</f>
      </c>
      <c r="CA105" s="211">
        <f>IF(ISNUMBER(CA99),ROUND(N(CA99)+N(CA100)+N(CA101)+N(CA102)+N(CA103)+N(CA104)-CA179,0),"")</f>
      </c>
      <c r="CB105" s="153" t="n"/>
      <c r="CC105" s="153" t="n"/>
      <c r="CD105" s="153" t="n"/>
      <c r="CE105" s="153" t="n"/>
      <c r="CF105" s="153" t="n"/>
      <c r="CG105" s="153" t="n"/>
      <c r="CH105" s="153" t="n"/>
      <c r="CI105" s="153" t="n"/>
      <c r="CJ105" s="153" t="n"/>
      <c r="CK105" s="153" t="n"/>
    </row>
    <row r="106" ht="15" customHeight="1" s="251">
      <c r="B106" s="156" t="inlineStr">
        <is>
          <t xml:space="preserve">    Client / Windows (&amp; Windows Live) Division — operating income</t>
        </is>
      </c>
      <c r="C106" s="253" t="n">
        <v>10043</v>
      </c>
      <c r="D106" s="253" t="n">
        <v>11544</v>
      </c>
      <c r="E106" s="253" t="n">
        <v>12537</v>
      </c>
      <c r="F106" s="253" t="n">
        <v>10435</v>
      </c>
      <c r="G106" s="253" t="n">
        <v>12089</v>
      </c>
      <c r="H106" s="253" t="n">
        <v>11968</v>
      </c>
      <c r="I106" s="253" t="n">
        <v>11908</v>
      </c>
      <c r="J106" s="253" t="n">
        <v>1646</v>
      </c>
      <c r="K106" s="253" t="n">
        <v>3296</v>
      </c>
      <c r="L106" s="253" t="n">
        <v>3459</v>
      </c>
      <c r="M106" s="253" t="n">
        <v>1099</v>
      </c>
      <c r="N106" s="253" t="n">
        <v>9504</v>
      </c>
      <c r="O106" s="34" t="n"/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  <c r="AA106" s="34" t="n"/>
      <c r="AB106" s="34" t="n"/>
      <c r="AC106" s="34" t="n"/>
      <c r="AD106" s="34" t="n"/>
      <c r="AE106" s="34" t="n"/>
      <c r="AF106" s="34" t="n"/>
      <c r="AG106" s="34" t="n"/>
      <c r="AH106" s="34" t="n"/>
      <c r="AI106" s="34" t="n"/>
      <c r="AJ106" s="34" t="n"/>
      <c r="AK106" s="34" t="n"/>
      <c r="AL106" s="34" t="n"/>
      <c r="AM106" s="34" t="n"/>
      <c r="AN106" s="34" t="n"/>
      <c r="AO106" s="34" t="n"/>
      <c r="AP106" s="34" t="n"/>
      <c r="AQ106" s="34" t="n"/>
      <c r="AR106" s="34" t="n"/>
      <c r="AS106" s="34" t="n"/>
      <c r="AT106" s="34" t="n"/>
      <c r="AU106" s="34" t="n"/>
      <c r="AV106" s="34" t="n"/>
      <c r="AW106" s="34" t="n"/>
      <c r="AX106" s="34" t="n"/>
      <c r="AY106" s="34" t="n"/>
      <c r="AZ106" s="34" t="n"/>
      <c r="BA106" s="34" t="n"/>
      <c r="BB106" s="34" t="n"/>
      <c r="BC106" s="34" t="n"/>
      <c r="BD106" s="34" t="n"/>
      <c r="BE106" s="34" t="n"/>
      <c r="BF106" s="34" t="n"/>
      <c r="BG106" s="34" t="n"/>
      <c r="BH106" s="34" t="n"/>
      <c r="BI106" s="34" t="n"/>
      <c r="BJ106" s="34" t="n"/>
      <c r="BK106" s="34" t="n"/>
      <c r="BL106" s="34" t="n"/>
      <c r="BM106" s="34" t="n"/>
      <c r="BN106" s="34" t="n"/>
      <c r="BO106" s="34" t="n"/>
      <c r="BP106" s="34" t="n"/>
      <c r="BQ106" s="34" t="n"/>
      <c r="BR106" s="34" t="n"/>
      <c r="BS106" s="34" t="n"/>
      <c r="BT106" s="34" t="n"/>
      <c r="BU106" s="34" t="n"/>
      <c r="BV106" s="34" t="n"/>
      <c r="BW106" s="34" t="n"/>
      <c r="BX106" s="34" t="n"/>
      <c r="BY106" s="34" t="n"/>
      <c r="BZ106" s="34" t="n"/>
      <c r="CA106" s="34" t="n"/>
      <c r="CB106" s="153" t="n"/>
      <c r="CC106" s="153" t="n"/>
      <c r="CD106" s="153" t="n"/>
      <c r="CE106" s="153" t="n"/>
      <c r="CF106" s="153" t="n"/>
      <c r="CG106" s="153" t="n"/>
      <c r="CH106" s="153" t="n"/>
      <c r="CI106" s="153" t="n"/>
      <c r="CJ106" s="153" t="n"/>
      <c r="CK106" s="153" t="n"/>
    </row>
    <row r="107" ht="15" customHeight="1" s="251">
      <c r="B107" s="156" t="inlineStr">
        <is>
          <t xml:space="preserve">    Server and Tools — operating income</t>
        </is>
      </c>
      <c r="C107" s="253" t="n">
        <v>3525</v>
      </c>
      <c r="D107" s="253" t="n">
        <v>3837</v>
      </c>
      <c r="E107" s="253" t="n">
        <v>4261</v>
      </c>
      <c r="F107" s="253" t="n">
        <v>5047</v>
      </c>
      <c r="G107" s="253" t="n">
        <v>4990</v>
      </c>
      <c r="H107" s="253" t="n">
        <v>6453</v>
      </c>
      <c r="I107" s="253" t="n">
        <v>7459</v>
      </c>
      <c r="J107" s="253" t="n">
        <v>1748</v>
      </c>
      <c r="K107" s="253" t="n">
        <v>2121</v>
      </c>
      <c r="L107" s="253" t="n">
        <v>1979</v>
      </c>
      <c r="M107" s="253" t="n">
        <v>2325</v>
      </c>
      <c r="N107" s="253" t="n">
        <v>8164</v>
      </c>
      <c r="O107" s="34" t="n"/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  <c r="AA107" s="34" t="n"/>
      <c r="AB107" s="34" t="n"/>
      <c r="AC107" s="34" t="n"/>
      <c r="AD107" s="34" t="n"/>
      <c r="AE107" s="34" t="n"/>
      <c r="AF107" s="34" t="n"/>
      <c r="AG107" s="34" t="n"/>
      <c r="AH107" s="34" t="n"/>
      <c r="AI107" s="34" t="n"/>
      <c r="AJ107" s="34" t="n"/>
      <c r="AK107" s="34" t="n"/>
      <c r="AL107" s="34" t="n"/>
      <c r="AM107" s="34" t="n"/>
      <c r="AN107" s="34" t="n"/>
      <c r="AO107" s="34" t="n"/>
      <c r="AP107" s="34" t="n"/>
      <c r="AQ107" s="34" t="n"/>
      <c r="AR107" s="34" t="n"/>
      <c r="AS107" s="34" t="n"/>
      <c r="AT107" s="34" t="n"/>
      <c r="AU107" s="34" t="n"/>
      <c r="AV107" s="34" t="n"/>
      <c r="AW107" s="34" t="n"/>
      <c r="AX107" s="34" t="n"/>
      <c r="AY107" s="34" t="n"/>
      <c r="AZ107" s="34" t="n"/>
      <c r="BA107" s="34" t="n"/>
      <c r="BB107" s="34" t="n"/>
      <c r="BC107" s="34" t="n"/>
      <c r="BD107" s="34" t="n"/>
      <c r="BE107" s="34" t="n"/>
      <c r="BF107" s="34" t="n"/>
      <c r="BG107" s="34" t="n"/>
      <c r="BH107" s="34" t="n"/>
      <c r="BI107" s="34" t="n"/>
      <c r="BJ107" s="34" t="n"/>
      <c r="BK107" s="34" t="n"/>
      <c r="BL107" s="34" t="n"/>
      <c r="BM107" s="34" t="n"/>
      <c r="BN107" s="34" t="n"/>
      <c r="BO107" s="34" t="n"/>
      <c r="BP107" s="34" t="n"/>
      <c r="BQ107" s="34" t="n"/>
      <c r="BR107" s="34" t="n"/>
      <c r="BS107" s="34" t="n"/>
      <c r="BT107" s="34" t="n"/>
      <c r="BU107" s="34" t="n"/>
      <c r="BV107" s="34" t="n"/>
      <c r="BW107" s="34" t="n"/>
      <c r="BX107" s="34" t="n"/>
      <c r="BY107" s="34" t="n"/>
      <c r="BZ107" s="34" t="n"/>
      <c r="CA107" s="34" t="n"/>
      <c r="CB107" s="153" t="n"/>
      <c r="CC107" s="153" t="n"/>
      <c r="CD107" s="153" t="n"/>
      <c r="CE107" s="153" t="n"/>
      <c r="CF107" s="153" t="n"/>
      <c r="CG107" s="153" t="n"/>
      <c r="CH107" s="153" t="n"/>
      <c r="CI107" s="153" t="n"/>
      <c r="CJ107" s="153" t="n"/>
      <c r="CK107" s="153" t="n"/>
    </row>
    <row r="108" ht="15" customHeight="1" s="251">
      <c r="B108" s="156" t="inlineStr">
        <is>
          <t xml:space="preserve">    Online Services (MSN to FY2006) — operating income</t>
        </is>
      </c>
      <c r="C108" s="253" t="n">
        <v>111</v>
      </c>
      <c r="D108" s="253" t="n">
        <v>-745</v>
      </c>
      <c r="E108" s="253" t="n">
        <v>-1309</v>
      </c>
      <c r="F108" s="253" t="n">
        <v>-2391</v>
      </c>
      <c r="G108" s="253" t="n">
        <v>-2436</v>
      </c>
      <c r="H108" s="253" t="n">
        <v>-2638</v>
      </c>
      <c r="I108" s="253" t="n">
        <v>-8122</v>
      </c>
      <c r="J108" s="253" t="n">
        <v>-364</v>
      </c>
      <c r="K108" s="253" t="n">
        <v>-283</v>
      </c>
      <c r="L108" s="253" t="n">
        <v>-262</v>
      </c>
      <c r="M108" s="253" t="n">
        <v>-372</v>
      </c>
      <c r="N108" s="253" t="n">
        <v>-1281</v>
      </c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  <c r="AA108" s="34" t="n"/>
      <c r="AB108" s="34" t="n"/>
      <c r="AC108" s="34" t="n"/>
      <c r="AD108" s="34" t="n"/>
      <c r="AE108" s="34" t="n"/>
      <c r="AF108" s="34" t="n"/>
      <c r="AG108" s="34" t="n"/>
      <c r="AH108" s="34" t="n"/>
      <c r="AI108" s="34" t="n"/>
      <c r="AJ108" s="34" t="n"/>
      <c r="AK108" s="34" t="n"/>
      <c r="AL108" s="34" t="n"/>
      <c r="AM108" s="34" t="n"/>
      <c r="AN108" s="34" t="n"/>
      <c r="AO108" s="34" t="n"/>
      <c r="AP108" s="34" t="n"/>
      <c r="AQ108" s="34" t="n"/>
      <c r="AR108" s="34" t="n"/>
      <c r="AS108" s="34" t="n"/>
      <c r="AT108" s="34" t="n"/>
      <c r="AU108" s="34" t="n"/>
      <c r="AV108" s="34" t="n"/>
      <c r="AW108" s="34" t="n"/>
      <c r="AX108" s="34" t="n"/>
      <c r="AY108" s="34" t="n"/>
      <c r="AZ108" s="34" t="n"/>
      <c r="BA108" s="34" t="n"/>
      <c r="BB108" s="34" t="n"/>
      <c r="BC108" s="34" t="n"/>
      <c r="BD108" s="34" t="n"/>
      <c r="BE108" s="34" t="n"/>
      <c r="BF108" s="34" t="n"/>
      <c r="BG108" s="34" t="n"/>
      <c r="BH108" s="34" t="n"/>
      <c r="BI108" s="34" t="n"/>
      <c r="BJ108" s="34" t="n"/>
      <c r="BK108" s="34" t="n"/>
      <c r="BL108" s="34" t="n"/>
      <c r="BM108" s="34" t="n"/>
      <c r="BN108" s="34" t="n"/>
      <c r="BO108" s="34" t="n"/>
      <c r="BP108" s="34" t="n"/>
      <c r="BQ108" s="34" t="n"/>
      <c r="BR108" s="34" t="n"/>
      <c r="BS108" s="34" t="n"/>
      <c r="BT108" s="34" t="n"/>
      <c r="BU108" s="34" t="n"/>
      <c r="BV108" s="34" t="n"/>
      <c r="BW108" s="34" t="n"/>
      <c r="BX108" s="34" t="n"/>
      <c r="BY108" s="34" t="n"/>
      <c r="BZ108" s="34" t="n"/>
      <c r="CA108" s="34" t="n"/>
      <c r="CB108" s="153" t="n"/>
      <c r="CC108" s="153" t="n"/>
      <c r="CD108" s="153" t="n"/>
      <c r="CE108" s="153" t="n"/>
      <c r="CF108" s="153" t="n"/>
      <c r="CG108" s="153" t="n"/>
      <c r="CH108" s="153" t="n"/>
      <c r="CI108" s="153" t="n"/>
      <c r="CJ108" s="153" t="n"/>
      <c r="CK108" s="153" t="n"/>
    </row>
    <row r="109" ht="15" customHeight="1" s="251">
      <c r="B109" s="156" t="inlineStr">
        <is>
          <t xml:space="preserve">    Microsoft Business Division (FY2006: Information Worker + Business Solutions) — operating income</t>
        </is>
      </c>
      <c r="C109" s="253" t="n">
        <v>8996</v>
      </c>
      <c r="D109" s="253" t="n">
        <v>10724</v>
      </c>
      <c r="E109" s="253" t="n">
        <v>12182</v>
      </c>
      <c r="F109" s="253" t="n">
        <v>11940</v>
      </c>
      <c r="G109" s="253" t="n">
        <v>11664</v>
      </c>
      <c r="H109" s="253" t="n">
        <v>13827</v>
      </c>
      <c r="I109" s="253" t="n">
        <v>15688</v>
      </c>
      <c r="J109" s="253" t="n">
        <v>3646</v>
      </c>
      <c r="K109" s="253" t="n">
        <v>3565</v>
      </c>
      <c r="L109" s="253" t="n">
        <v>4104</v>
      </c>
      <c r="M109" s="253" t="n">
        <v>4873</v>
      </c>
      <c r="N109" s="253" t="n">
        <v>16194</v>
      </c>
      <c r="O109" s="34" t="n"/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  <c r="AA109" s="34" t="n"/>
      <c r="AB109" s="34" t="n"/>
      <c r="AC109" s="34" t="n"/>
      <c r="AD109" s="34" t="n"/>
      <c r="AE109" s="34" t="n"/>
      <c r="AF109" s="34" t="n"/>
      <c r="AG109" s="34" t="n"/>
      <c r="AH109" s="34" t="n"/>
      <c r="AI109" s="34" t="n"/>
      <c r="AJ109" s="34" t="n"/>
      <c r="AK109" s="34" t="n"/>
      <c r="AL109" s="34" t="n"/>
      <c r="AM109" s="34" t="n"/>
      <c r="AN109" s="34" t="n"/>
      <c r="AO109" s="34" t="n"/>
      <c r="AP109" s="34" t="n"/>
      <c r="AQ109" s="34" t="n"/>
      <c r="AR109" s="34" t="n"/>
      <c r="AS109" s="34" t="n"/>
      <c r="AT109" s="34" t="n"/>
      <c r="AU109" s="34" t="n"/>
      <c r="AV109" s="34" t="n"/>
      <c r="AW109" s="34" t="n"/>
      <c r="AX109" s="34" t="n"/>
      <c r="AY109" s="34" t="n"/>
      <c r="AZ109" s="34" t="n"/>
      <c r="BA109" s="34" t="n"/>
      <c r="BB109" s="34" t="n"/>
      <c r="BC109" s="34" t="n"/>
      <c r="BD109" s="34" t="n"/>
      <c r="BE109" s="34" t="n"/>
      <c r="BF109" s="34" t="n"/>
      <c r="BG109" s="34" t="n"/>
      <c r="BH109" s="34" t="n"/>
      <c r="BI109" s="34" t="n"/>
      <c r="BJ109" s="34" t="n"/>
      <c r="BK109" s="34" t="n"/>
      <c r="BL109" s="34" t="n"/>
      <c r="BM109" s="34" t="n"/>
      <c r="BN109" s="34" t="n"/>
      <c r="BO109" s="34" t="n"/>
      <c r="BP109" s="34" t="n"/>
      <c r="BQ109" s="34" t="n"/>
      <c r="BR109" s="34" t="n"/>
      <c r="BS109" s="34" t="n"/>
      <c r="BT109" s="34" t="n"/>
      <c r="BU109" s="34" t="n"/>
      <c r="BV109" s="34" t="n"/>
      <c r="BW109" s="34" t="n"/>
      <c r="BX109" s="34" t="n"/>
      <c r="BY109" s="34" t="n"/>
      <c r="BZ109" s="34" t="n"/>
      <c r="CA109" s="34" t="n"/>
      <c r="CB109" s="153" t="n"/>
      <c r="CC109" s="153" t="n"/>
      <c r="CD109" s="153" t="n"/>
      <c r="CE109" s="153" t="n"/>
      <c r="CF109" s="153" t="n"/>
      <c r="CG109" s="153" t="n"/>
      <c r="CH109" s="153" t="n"/>
      <c r="CI109" s="153" t="n"/>
      <c r="CJ109" s="153" t="n"/>
      <c r="CK109" s="153" t="n"/>
    </row>
    <row r="110" ht="15" customHeight="1" s="251">
      <c r="B110" s="156" t="inlineStr">
        <is>
          <t xml:space="preserve">    Entertainment and Devices (FY2006: Home &amp; Entertainment + Mobile &amp; Embedded) — operating income</t>
        </is>
      </c>
      <c r="C110" s="253" t="n">
        <v>-1294</v>
      </c>
      <c r="D110" s="253" t="n">
        <v>-2066</v>
      </c>
      <c r="E110" s="253" t="n">
        <v>267</v>
      </c>
      <c r="F110" s="253" t="n">
        <v>5</v>
      </c>
      <c r="G110" s="253" t="n">
        <v>589</v>
      </c>
      <c r="H110" s="253" t="n">
        <v>1135</v>
      </c>
      <c r="I110" s="253" t="n">
        <v>365</v>
      </c>
      <c r="J110" s="253" t="n">
        <v>19</v>
      </c>
      <c r="K110" s="253" t="n">
        <v>596</v>
      </c>
      <c r="L110" s="253" t="n">
        <v>342</v>
      </c>
      <c r="M110" s="253" t="n">
        <v>-110</v>
      </c>
      <c r="N110" s="253" t="n">
        <v>848</v>
      </c>
      <c r="O110" s="34" t="n"/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  <c r="AA110" s="34" t="n"/>
      <c r="AB110" s="34" t="n"/>
      <c r="AC110" s="34" t="n"/>
      <c r="AD110" s="34" t="n"/>
      <c r="AE110" s="34" t="n"/>
      <c r="AF110" s="34" t="n"/>
      <c r="AG110" s="34" t="n"/>
      <c r="AH110" s="34" t="n"/>
      <c r="AI110" s="34" t="n"/>
      <c r="AJ110" s="34" t="n"/>
      <c r="AK110" s="34" t="n"/>
      <c r="AL110" s="34" t="n"/>
      <c r="AM110" s="34" t="n"/>
      <c r="AN110" s="34" t="n"/>
      <c r="AO110" s="34" t="n"/>
      <c r="AP110" s="34" t="n"/>
      <c r="AQ110" s="34" t="n"/>
      <c r="AR110" s="34" t="n"/>
      <c r="AS110" s="34" t="n"/>
      <c r="AT110" s="34" t="n"/>
      <c r="AU110" s="34" t="n"/>
      <c r="AV110" s="34" t="n"/>
      <c r="AW110" s="34" t="n"/>
      <c r="AX110" s="34" t="n"/>
      <c r="AY110" s="34" t="n"/>
      <c r="AZ110" s="34" t="n"/>
      <c r="BA110" s="34" t="n"/>
      <c r="BB110" s="34" t="n"/>
      <c r="BC110" s="34" t="n"/>
      <c r="BD110" s="34" t="n"/>
      <c r="BE110" s="34" t="n"/>
      <c r="BF110" s="34" t="n"/>
      <c r="BG110" s="34" t="n"/>
      <c r="BH110" s="34" t="n"/>
      <c r="BI110" s="34" t="n"/>
      <c r="BJ110" s="34" t="n"/>
      <c r="BK110" s="34" t="n"/>
      <c r="BL110" s="34" t="n"/>
      <c r="BM110" s="34" t="n"/>
      <c r="BN110" s="34" t="n"/>
      <c r="BO110" s="34" t="n"/>
      <c r="BP110" s="34" t="n"/>
      <c r="BQ110" s="34" t="n"/>
      <c r="BR110" s="34" t="n"/>
      <c r="BS110" s="34" t="n"/>
      <c r="BT110" s="34" t="n"/>
      <c r="BU110" s="34" t="n"/>
      <c r="BV110" s="34" t="n"/>
      <c r="BW110" s="34" t="n"/>
      <c r="BX110" s="34" t="n"/>
      <c r="BY110" s="34" t="n"/>
      <c r="BZ110" s="34" t="n"/>
      <c r="CA110" s="34" t="n"/>
      <c r="CB110" s="153" t="n"/>
      <c r="CC110" s="153" t="n"/>
      <c r="CD110" s="153" t="n"/>
      <c r="CE110" s="153" t="n"/>
      <c r="CF110" s="153" t="n"/>
      <c r="CG110" s="153" t="n"/>
      <c r="CH110" s="153" t="n"/>
      <c r="CI110" s="153" t="n"/>
      <c r="CJ110" s="153" t="n"/>
      <c r="CK110" s="153" t="n"/>
    </row>
    <row r="111" ht="15" customHeight="1" s="251">
      <c r="B111" s="156" t="inlineStr">
        <is>
          <t xml:space="preserve">    Unallocated / reconciling amounts / corporate — operating income</t>
        </is>
      </c>
      <c r="C111" s="253" t="n">
        <v>-4909</v>
      </c>
      <c r="D111" s="253" t="n">
        <v>-4770</v>
      </c>
      <c r="E111" s="253" t="n">
        <v>-5446</v>
      </c>
      <c r="F111" s="253" t="n">
        <v>-4673</v>
      </c>
      <c r="G111" s="253" t="n">
        <v>-2798</v>
      </c>
      <c r="H111" s="253" t="n">
        <v>-3584</v>
      </c>
      <c r="I111" s="253" t="n">
        <v>-5535</v>
      </c>
      <c r="J111" s="253" t="n">
        <v>-1387</v>
      </c>
      <c r="K111" s="253" t="n">
        <v>-1524</v>
      </c>
      <c r="L111" s="253" t="n">
        <v>-2010</v>
      </c>
      <c r="M111" s="253" t="n">
        <v>-1742</v>
      </c>
      <c r="N111" s="253" t="n">
        <v>-6665</v>
      </c>
      <c r="O111" s="34" t="n"/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  <c r="AA111" s="34" t="n"/>
      <c r="AB111" s="34" t="n"/>
      <c r="AC111" s="34" t="n"/>
      <c r="AD111" s="34" t="n"/>
      <c r="AE111" s="34" t="n"/>
      <c r="AF111" s="34" t="n"/>
      <c r="AG111" s="34" t="n"/>
      <c r="AH111" s="34" t="n"/>
      <c r="AI111" s="34" t="n"/>
      <c r="AJ111" s="34" t="n"/>
      <c r="AK111" s="34" t="n"/>
      <c r="AL111" s="34" t="n"/>
      <c r="AM111" s="34" t="n"/>
      <c r="AN111" s="34" t="n"/>
      <c r="AO111" s="34" t="n"/>
      <c r="AP111" s="34" t="n"/>
      <c r="AQ111" s="34" t="n"/>
      <c r="AR111" s="34" t="n"/>
      <c r="AS111" s="34" t="n"/>
      <c r="AT111" s="34" t="n"/>
      <c r="AU111" s="34" t="n"/>
      <c r="AV111" s="34" t="n"/>
      <c r="AW111" s="34" t="n"/>
      <c r="AX111" s="34" t="n"/>
      <c r="AY111" s="34" t="n"/>
      <c r="AZ111" s="34" t="n"/>
      <c r="BA111" s="34" t="n"/>
      <c r="BB111" s="34" t="n"/>
      <c r="BC111" s="34" t="n"/>
      <c r="BD111" s="34" t="n"/>
      <c r="BE111" s="34" t="n"/>
      <c r="BF111" s="34" t="n"/>
      <c r="BG111" s="34" t="n"/>
      <c r="BH111" s="34" t="n"/>
      <c r="BI111" s="34" t="n"/>
      <c r="BJ111" s="34" t="n"/>
      <c r="BK111" s="34" t="n"/>
      <c r="BL111" s="34" t="n"/>
      <c r="BM111" s="34" t="n"/>
      <c r="BN111" s="34" t="n"/>
      <c r="BO111" s="34" t="n"/>
      <c r="BP111" s="34" t="n"/>
      <c r="BQ111" s="34" t="n"/>
      <c r="BR111" s="34" t="n"/>
      <c r="BS111" s="34" t="n"/>
      <c r="BT111" s="34" t="n"/>
      <c r="BU111" s="34" t="n"/>
      <c r="BV111" s="34" t="n"/>
      <c r="BW111" s="34" t="n"/>
      <c r="BX111" s="34" t="n"/>
      <c r="BY111" s="34" t="n"/>
      <c r="BZ111" s="34" t="n"/>
      <c r="CA111" s="34" t="n"/>
      <c r="CB111" s="153" t="n"/>
      <c r="CC111" s="153" t="n"/>
      <c r="CD111" s="153" t="n"/>
      <c r="CE111" s="153" t="n"/>
      <c r="CF111" s="153" t="n"/>
      <c r="CG111" s="153" t="n"/>
      <c r="CH111" s="153" t="n"/>
      <c r="CI111" s="153" t="n"/>
      <c r="CJ111" s="153" t="n"/>
      <c r="CK111" s="153" t="n"/>
    </row>
    <row r="112" ht="15" customHeight="1" s="251">
      <c r="B112" s="57" t="inlineStr">
        <is>
          <t xml:space="preserve">    Check: Σ operating income vs consolidated (should be 0)</t>
        </is>
      </c>
      <c r="C112" s="211">
        <f>IF(ISNUMBER(C106),ROUND(N(C106)+N(C107)+N(C108)+N(C109)+N(C110)+N(C111)-C190,0),"")</f>
        <v>0</v>
      </c>
      <c r="D112" s="211">
        <f>IF(ISNUMBER(D106),ROUND(N(D106)+N(D107)+N(D108)+N(D109)+N(D110)+N(D111)-D190,0),"")</f>
        <v>0</v>
      </c>
      <c r="E112" s="211">
        <f>IF(ISNUMBER(E106),ROUND(N(E106)+N(E107)+N(E108)+N(E109)+N(E110)+N(E111)-E190,0),"")</f>
        <v>0</v>
      </c>
      <c r="F112" s="211">
        <f>IF(ISNUMBER(F106),ROUND(N(F106)+N(F107)+N(F108)+N(F109)+N(F110)+N(F111)-F190,0),"")</f>
        <v>0</v>
      </c>
      <c r="G112" s="211">
        <f>IF(ISNUMBER(G106),ROUND(N(G106)+N(G107)+N(G108)+N(G109)+N(G110)+N(G111)-G190,0),"")</f>
        <v>0</v>
      </c>
      <c r="H112" s="211">
        <f>IF(ISNUMBER(H106),ROUND(N(H106)+N(H107)+N(H108)+N(H109)+N(H110)+N(H111)-H190,0),"")</f>
        <v>0</v>
      </c>
      <c r="I112" s="211">
        <f>IF(ISNUMBER(I106),ROUND(N(I106)+N(I107)+N(I108)+N(I109)+N(I110)+N(I111)-I190,0),"")</f>
        <v>0</v>
      </c>
      <c r="J112" s="211">
        <f>IF(ISNUMBER(J106),ROUND(N(J106)+N(J107)+N(J108)+N(J109)+N(J110)+N(J111)-J190,0),"")</f>
        <v>0</v>
      </c>
      <c r="K112" s="211">
        <f>IF(ISNUMBER(K106),ROUND(N(K106)+N(K107)+N(K108)+N(K109)+N(K110)+N(K111)-K190,0),"")</f>
        <v>0</v>
      </c>
      <c r="L112" s="211">
        <f>IF(ISNUMBER(L106),ROUND(N(L106)+N(L107)+N(L108)+N(L109)+N(L110)+N(L111)-L190,0),"")</f>
        <v>0</v>
      </c>
      <c r="M112" s="211">
        <f>IF(ISNUMBER(M106),ROUND(N(M106)+N(M107)+N(M108)+N(M109)+N(M110)+N(M111)-M190,0),"")</f>
        <v>0</v>
      </c>
      <c r="N112" s="211">
        <f>IF(ISNUMBER(N106),ROUND(N(N106)+N(N107)+N(N108)+N(N109)+N(N110)+N(N111)-N190,0),"")</f>
        <v>0</v>
      </c>
      <c r="O112" s="211">
        <f>IF(ISNUMBER(O106),ROUND(N(O106)+N(O107)+N(O108)+N(O109)+N(O110)+N(O111)-O190,0),"")</f>
      </c>
      <c r="P112" s="211">
        <f>IF(ISNUMBER(P106),ROUND(N(P106)+N(P107)+N(P108)+N(P109)+N(P110)+N(P111)-P190,0),"")</f>
      </c>
      <c r="Q112" s="211">
        <f>IF(ISNUMBER(Q106),ROUND(N(Q106)+N(Q107)+N(Q108)+N(Q109)+N(Q110)+N(Q111)-Q190,0),"")</f>
      </c>
      <c r="R112" s="211">
        <f>IF(ISNUMBER(R106),ROUND(N(R106)+N(R107)+N(R108)+N(R109)+N(R110)+N(R111)-R190,0),"")</f>
      </c>
      <c r="S112" s="211">
        <f>IF(ISNUMBER(S106),ROUND(N(S106)+N(S107)+N(S108)+N(S109)+N(S110)+N(S111)-S190,0),"")</f>
      </c>
      <c r="T112" s="211">
        <f>IF(ISNUMBER(T106),ROUND(N(T106)+N(T107)+N(T108)+N(T109)+N(T110)+N(T111)-T190,0),"")</f>
      </c>
      <c r="U112" s="211">
        <f>IF(ISNUMBER(U106),ROUND(N(U106)+N(U107)+N(U108)+N(U109)+N(U110)+N(U111)-U190,0),"")</f>
      </c>
      <c r="V112" s="211">
        <f>IF(ISNUMBER(V106),ROUND(N(V106)+N(V107)+N(V108)+N(V109)+N(V110)+N(V111)-V190,0),"")</f>
      </c>
      <c r="W112" s="211">
        <f>IF(ISNUMBER(W106),ROUND(N(W106)+N(W107)+N(W108)+N(W109)+N(W110)+N(W111)-W190,0),"")</f>
      </c>
      <c r="X112" s="211">
        <f>IF(ISNUMBER(X106),ROUND(N(X106)+N(X107)+N(X108)+N(X109)+N(X110)+N(X111)-X190,0),"")</f>
      </c>
      <c r="Y112" s="211">
        <f>IF(ISNUMBER(Y106),ROUND(N(Y106)+N(Y107)+N(Y108)+N(Y109)+N(Y110)+N(Y111)-Y190,0),"")</f>
      </c>
      <c r="Z112" s="211">
        <f>IF(ISNUMBER(Z106),ROUND(N(Z106)+N(Z107)+N(Z108)+N(Z109)+N(Z110)+N(Z111)-Z190,0),"")</f>
      </c>
      <c r="AA112" s="211">
        <f>IF(ISNUMBER(AA106),ROUND(N(AA106)+N(AA107)+N(AA108)+N(AA109)+N(AA110)+N(AA111)-AA190,0),"")</f>
      </c>
      <c r="AB112" s="211">
        <f>IF(ISNUMBER(AB106),ROUND(N(AB106)+N(AB107)+N(AB108)+N(AB109)+N(AB110)+N(AB111)-AB190,0),"")</f>
      </c>
      <c r="AC112" s="211">
        <f>IF(ISNUMBER(AC106),ROUND(N(AC106)+N(AC107)+N(AC108)+N(AC109)+N(AC110)+N(AC111)-AC190,0),"")</f>
      </c>
      <c r="AD112" s="211">
        <f>IF(ISNUMBER(AD106),ROUND(N(AD106)+N(AD107)+N(AD108)+N(AD109)+N(AD110)+N(AD111)-AD190,0),"")</f>
      </c>
      <c r="AE112" s="211">
        <f>IF(ISNUMBER(AE106),ROUND(N(AE106)+N(AE107)+N(AE108)+N(AE109)+N(AE110)+N(AE111)-AE190,0),"")</f>
      </c>
      <c r="AF112" s="211">
        <f>IF(ISNUMBER(AF106),ROUND(N(AF106)+N(AF107)+N(AF108)+N(AF109)+N(AF110)+N(AF111)-AF190,0),"")</f>
      </c>
      <c r="AG112" s="211">
        <f>IF(ISNUMBER(AG106),ROUND(N(AG106)+N(AG107)+N(AG108)+N(AG109)+N(AG110)+N(AG111)-AG190,0),"")</f>
      </c>
      <c r="AH112" s="211">
        <f>IF(ISNUMBER(AH106),ROUND(N(AH106)+N(AH107)+N(AH108)+N(AH109)+N(AH110)+N(AH111)-AH190,0),"")</f>
      </c>
      <c r="AI112" s="211">
        <f>IF(ISNUMBER(AI106),ROUND(N(AI106)+N(AI107)+N(AI108)+N(AI109)+N(AI110)+N(AI111)-AI190,0),"")</f>
      </c>
      <c r="AJ112" s="211">
        <f>IF(ISNUMBER(AJ106),ROUND(N(AJ106)+N(AJ107)+N(AJ108)+N(AJ109)+N(AJ110)+N(AJ111)-AJ190,0),"")</f>
      </c>
      <c r="AK112" s="211">
        <f>IF(ISNUMBER(AK106),ROUND(N(AK106)+N(AK107)+N(AK108)+N(AK109)+N(AK110)+N(AK111)-AK190,0),"")</f>
      </c>
      <c r="AL112" s="211">
        <f>IF(ISNUMBER(AL106),ROUND(N(AL106)+N(AL107)+N(AL108)+N(AL109)+N(AL110)+N(AL111)-AL190,0),"")</f>
      </c>
      <c r="AM112" s="211">
        <f>IF(ISNUMBER(AM106),ROUND(N(AM106)+N(AM107)+N(AM108)+N(AM109)+N(AM110)+N(AM111)-AM190,0),"")</f>
      </c>
      <c r="AN112" s="211">
        <f>IF(ISNUMBER(AN106),ROUND(N(AN106)+N(AN107)+N(AN108)+N(AN109)+N(AN110)+N(AN111)-AN190,0),"")</f>
      </c>
      <c r="AO112" s="211">
        <f>IF(ISNUMBER(AO106),ROUND(N(AO106)+N(AO107)+N(AO108)+N(AO109)+N(AO110)+N(AO111)-AO190,0),"")</f>
      </c>
      <c r="AP112" s="211">
        <f>IF(ISNUMBER(AP106),ROUND(N(AP106)+N(AP107)+N(AP108)+N(AP109)+N(AP110)+N(AP111)-AP190,0),"")</f>
      </c>
      <c r="AQ112" s="211">
        <f>IF(ISNUMBER(AQ106),ROUND(N(AQ106)+N(AQ107)+N(AQ108)+N(AQ109)+N(AQ110)+N(AQ111)-AQ190,0),"")</f>
      </c>
      <c r="AR112" s="211">
        <f>IF(ISNUMBER(AR106),ROUND(N(AR106)+N(AR107)+N(AR108)+N(AR109)+N(AR110)+N(AR111)-AR190,0),"")</f>
      </c>
      <c r="AS112" s="211">
        <f>IF(ISNUMBER(AS106),ROUND(N(AS106)+N(AS107)+N(AS108)+N(AS109)+N(AS110)+N(AS111)-AS190,0),"")</f>
      </c>
      <c r="AT112" s="211">
        <f>IF(ISNUMBER(AT106),ROUND(N(AT106)+N(AT107)+N(AT108)+N(AT109)+N(AT110)+N(AT111)-AT190,0),"")</f>
      </c>
      <c r="AU112" s="211">
        <f>IF(ISNUMBER(AU106),ROUND(N(AU106)+N(AU107)+N(AU108)+N(AU109)+N(AU110)+N(AU111)-AU190,0),"")</f>
      </c>
      <c r="AV112" s="211">
        <f>IF(ISNUMBER(AV106),ROUND(N(AV106)+N(AV107)+N(AV108)+N(AV109)+N(AV110)+N(AV111)-AV190,0),"")</f>
      </c>
      <c r="AW112" s="211">
        <f>IF(ISNUMBER(AW106),ROUND(N(AW106)+N(AW107)+N(AW108)+N(AW109)+N(AW110)+N(AW111)-AW190,0),"")</f>
      </c>
      <c r="AX112" s="211">
        <f>IF(ISNUMBER(AX106),ROUND(N(AX106)+N(AX107)+N(AX108)+N(AX109)+N(AX110)+N(AX111)-AX190,0),"")</f>
      </c>
      <c r="AY112" s="211">
        <f>IF(ISNUMBER(AY106),ROUND(N(AY106)+N(AY107)+N(AY108)+N(AY109)+N(AY110)+N(AY111)-AY190,0),"")</f>
      </c>
      <c r="AZ112" s="211">
        <f>IF(ISNUMBER(AZ106),ROUND(N(AZ106)+N(AZ107)+N(AZ108)+N(AZ109)+N(AZ110)+N(AZ111)-AZ190,0),"")</f>
      </c>
      <c r="BA112" s="211">
        <f>IF(ISNUMBER(BA106),ROUND(N(BA106)+N(BA107)+N(BA108)+N(BA109)+N(BA110)+N(BA111)-BA190,0),"")</f>
      </c>
      <c r="BB112" s="211">
        <f>IF(ISNUMBER(BB106),ROUND(N(BB106)+N(BB107)+N(BB108)+N(BB109)+N(BB110)+N(BB111)-BB190,0),"")</f>
      </c>
      <c r="BC112" s="211">
        <f>IF(ISNUMBER(BC106),ROUND(N(BC106)+N(BC107)+N(BC108)+N(BC109)+N(BC110)+N(BC111)-BC190,0),"")</f>
      </c>
      <c r="BD112" s="211">
        <f>IF(ISNUMBER(BD106),ROUND(N(BD106)+N(BD107)+N(BD108)+N(BD109)+N(BD110)+N(BD111)-BD190,0),"")</f>
      </c>
      <c r="BE112" s="211">
        <f>IF(ISNUMBER(BE106),ROUND(N(BE106)+N(BE107)+N(BE108)+N(BE109)+N(BE110)+N(BE111)-BE190,0),"")</f>
      </c>
      <c r="BF112" s="211">
        <f>IF(ISNUMBER(BF106),ROUND(N(BF106)+N(BF107)+N(BF108)+N(BF109)+N(BF110)+N(BF111)-BF190,0),"")</f>
      </c>
      <c r="BG112" s="211">
        <f>IF(ISNUMBER(BG106),ROUND(N(BG106)+N(BG107)+N(BG108)+N(BG109)+N(BG110)+N(BG111)-BG190,0),"")</f>
      </c>
      <c r="BH112" s="211">
        <f>IF(ISNUMBER(BH106),ROUND(N(BH106)+N(BH107)+N(BH108)+N(BH109)+N(BH110)+N(BH111)-BH190,0),"")</f>
      </c>
      <c r="BI112" s="211">
        <f>IF(ISNUMBER(BI106),ROUND(N(BI106)+N(BI107)+N(BI108)+N(BI109)+N(BI110)+N(BI111)-BI190,0),"")</f>
      </c>
      <c r="BJ112" s="211">
        <f>IF(ISNUMBER(BJ106),ROUND(N(BJ106)+N(BJ107)+N(BJ108)+N(BJ109)+N(BJ110)+N(BJ111)-BJ190,0),"")</f>
      </c>
      <c r="BK112" s="211">
        <f>IF(ISNUMBER(BK106),ROUND(N(BK106)+N(BK107)+N(BK108)+N(BK109)+N(BK110)+N(BK111)-BK190,0),"")</f>
      </c>
      <c r="BL112" s="211">
        <f>IF(ISNUMBER(BL106),ROUND(N(BL106)+N(BL107)+N(BL108)+N(BL109)+N(BL110)+N(BL111)-BL190,0),"")</f>
      </c>
      <c r="BM112" s="211">
        <f>IF(ISNUMBER(BM106),ROUND(N(BM106)+N(BM107)+N(BM108)+N(BM109)+N(BM110)+N(BM111)-BM190,0),"")</f>
      </c>
      <c r="BN112" s="211">
        <f>IF(ISNUMBER(BN106),ROUND(N(BN106)+N(BN107)+N(BN108)+N(BN109)+N(BN110)+N(BN111)-BN190,0),"")</f>
      </c>
      <c r="BO112" s="211">
        <f>IF(ISNUMBER(BO106),ROUND(N(BO106)+N(BO107)+N(BO108)+N(BO109)+N(BO110)+N(BO111)-BO190,0),"")</f>
      </c>
      <c r="BP112" s="211">
        <f>IF(ISNUMBER(BP106),ROUND(N(BP106)+N(BP107)+N(BP108)+N(BP109)+N(BP110)+N(BP111)-BP190,0),"")</f>
      </c>
      <c r="BQ112" s="211">
        <f>IF(ISNUMBER(BQ106),ROUND(N(BQ106)+N(BQ107)+N(BQ108)+N(BQ109)+N(BQ110)+N(BQ111)-BQ190,0),"")</f>
      </c>
      <c r="BR112" s="211">
        <f>IF(ISNUMBER(BR106),ROUND(N(BR106)+N(BR107)+N(BR108)+N(BR109)+N(BR110)+N(BR111)-BR190,0),"")</f>
      </c>
      <c r="BS112" s="211">
        <f>IF(ISNUMBER(BS106),ROUND(N(BS106)+N(BS107)+N(BS108)+N(BS109)+N(BS110)+N(BS111)-BS190,0),"")</f>
      </c>
      <c r="BT112" s="211">
        <f>IF(ISNUMBER(BT106),ROUND(N(BT106)+N(BT107)+N(BT108)+N(BT109)+N(BT110)+N(BT111)-BT190,0),"")</f>
      </c>
      <c r="BU112" s="211">
        <f>IF(ISNUMBER(BU106),ROUND(N(BU106)+N(BU107)+N(BU108)+N(BU109)+N(BU110)+N(BU111)-BU190,0),"")</f>
      </c>
      <c r="BV112" s="211">
        <f>IF(ISNUMBER(BV106),ROUND(N(BV106)+N(BV107)+N(BV108)+N(BV109)+N(BV110)+N(BV111)-BV190,0),"")</f>
      </c>
      <c r="BW112" s="211">
        <f>IF(ISNUMBER(BW106),ROUND(N(BW106)+N(BW107)+N(BW108)+N(BW109)+N(BW110)+N(BW111)-BW190,0),"")</f>
      </c>
      <c r="BX112" s="211">
        <f>IF(ISNUMBER(BX106),ROUND(N(BX106)+N(BX107)+N(BX108)+N(BX109)+N(BX110)+N(BX111)-BX190,0),"")</f>
      </c>
      <c r="BY112" s="211">
        <f>IF(ISNUMBER(BY106),ROUND(N(BY106)+N(BY107)+N(BY108)+N(BY109)+N(BY110)+N(BY111)-BY190,0),"")</f>
      </c>
      <c r="BZ112" s="211">
        <f>IF(ISNUMBER(BZ106),ROUND(N(BZ106)+N(BZ107)+N(BZ108)+N(BZ109)+N(BZ110)+N(BZ111)-BZ190,0),"")</f>
      </c>
      <c r="CA112" s="211">
        <f>IF(ISNUMBER(CA106),ROUND(N(CA106)+N(CA107)+N(CA108)+N(CA109)+N(CA110)+N(CA111)-CA190,0),"")</f>
      </c>
      <c r="CB112" s="153" t="n"/>
      <c r="CC112" s="153" t="n"/>
      <c r="CD112" s="153" t="n"/>
      <c r="CE112" s="153" t="n"/>
      <c r="CF112" s="153" t="n"/>
      <c r="CG112" s="153" t="n"/>
      <c r="CH112" s="153" t="n"/>
      <c r="CI112" s="153" t="n"/>
      <c r="CJ112" s="153" t="n"/>
      <c r="CK112" s="153" t="n"/>
    </row>
    <row r="113" ht="15" customHeight="1" s="251">
      <c r="CS113" s="11" t="n"/>
      <c r="CT113" s="12" t="n"/>
      <c r="CU113" s="12" t="n"/>
      <c r="CV113" s="12" t="n"/>
      <c r="CW113" s="13" t="n"/>
    </row>
    <row r="114" ht="15" customHeight="1" s="251">
      <c r="B114" s="14" t="inlineStr">
        <is>
          <t>Future acquisitions (M&amp;A lever — unallocated; deals closed from 2028E)</t>
        </is>
      </c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  <c r="AH114" s="14" t="n"/>
      <c r="AI114" s="14" t="n"/>
      <c r="AJ114" s="14" t="n"/>
      <c r="AK114" s="14" t="n"/>
      <c r="AL114" s="14" t="n"/>
      <c r="AM114" s="14" t="n"/>
      <c r="AN114" s="14" t="n"/>
      <c r="AO114" s="14" t="n"/>
      <c r="AP114" s="14" t="n"/>
      <c r="AQ114" s="14" t="n"/>
      <c r="AR114" s="14" t="n"/>
      <c r="AS114" s="14" t="n"/>
      <c r="AT114" s="14" t="n"/>
      <c r="AU114" s="14" t="n"/>
      <c r="AV114" s="14" t="n"/>
      <c r="AW114" s="14" t="n"/>
      <c r="AX114" s="14" t="n"/>
      <c r="AY114" s="14" t="n"/>
      <c r="AZ114" s="14" t="n"/>
      <c r="BA114" s="14" t="n"/>
      <c r="BB114" s="14" t="n"/>
      <c r="BC114" s="14" t="n"/>
      <c r="BD114" s="14" t="n"/>
      <c r="BE114" s="14" t="n"/>
      <c r="BF114" s="14" t="n"/>
      <c r="BG114" s="14" t="n"/>
      <c r="BH114" s="14" t="n"/>
      <c r="BI114" s="14" t="n"/>
      <c r="BJ114" s="14" t="n"/>
      <c r="BK114" s="14" t="n"/>
      <c r="BL114" s="14" t="n"/>
      <c r="BM114" s="14" t="n"/>
      <c r="BN114" s="14" t="n"/>
      <c r="BO114" s="14" t="n"/>
      <c r="BP114" s="14" t="n"/>
      <c r="BQ114" s="14" t="n"/>
      <c r="BR114" s="14" t="n"/>
      <c r="BS114" s="14" t="n"/>
      <c r="BT114" s="14" t="n"/>
      <c r="BU114" s="14" t="n"/>
      <c r="BV114" s="14" t="n"/>
      <c r="BW114" s="14" t="n"/>
      <c r="BX114" s="14" t="n"/>
      <c r="BY114" s="14" t="n"/>
      <c r="BZ114" s="14" t="n"/>
      <c r="CA114" s="14" t="n"/>
      <c r="CB114" s="14" t="n"/>
      <c r="CC114" s="14" t="n"/>
      <c r="CD114" s="14" t="n"/>
      <c r="CE114" s="14" t="n"/>
      <c r="CF114" s="14" t="n"/>
      <c r="CG114" s="14" t="n"/>
      <c r="CH114" s="14" t="n"/>
      <c r="CI114" s="14" t="n"/>
      <c r="CJ114" s="14" t="n"/>
      <c r="CK114" s="15" t="inlineStr">
        <is>
          <t>M&amp;A LEVER — acquired revenue = spend ÷ EV/sales; mid-year convention</t>
        </is>
      </c>
    </row>
    <row r="115" ht="15" customHeight="1" s="251">
      <c r="B115" s="25" t="inlineStr">
        <is>
          <t xml:space="preserve">  Acquisition spend (USDm, scenario)</t>
        </is>
      </c>
      <c r="C115" s="34" t="n"/>
      <c r="D115" s="34" t="n"/>
      <c r="E115" s="34" t="n"/>
      <c r="F115" s="34" t="n"/>
      <c r="G115" s="34" t="n"/>
      <c r="H115" s="34" t="n"/>
      <c r="I115" s="34" t="n"/>
      <c r="J115" s="34" t="n"/>
      <c r="K115" s="34" t="n"/>
      <c r="L115" s="34" t="n"/>
      <c r="M115" s="34" t="n"/>
      <c r="N115" s="34" t="n"/>
      <c r="O115" s="34" t="n"/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  <c r="AA115" s="34" t="n"/>
      <c r="AB115" s="34" t="n"/>
      <c r="AC115" s="34" t="n"/>
      <c r="AD115" s="34" t="n"/>
      <c r="AE115" s="34" t="n"/>
      <c r="AF115" s="34" t="n"/>
      <c r="AG115" s="34" t="n"/>
      <c r="AH115" s="34" t="n"/>
      <c r="AI115" s="34" t="n"/>
      <c r="AJ115" s="34" t="n"/>
      <c r="AK115" s="34" t="n"/>
      <c r="AL115" s="34" t="n"/>
      <c r="AM115" s="34" t="n"/>
      <c r="AN115" s="34" t="n"/>
      <c r="AO115" s="34" t="n"/>
      <c r="AP115" s="34" t="n"/>
      <c r="AQ115" s="34" t="n"/>
      <c r="AR115" s="34" t="n"/>
      <c r="AS115" s="34" t="n"/>
      <c r="AT115" s="34" t="n"/>
      <c r="AU115" s="34" t="n"/>
      <c r="AV115" s="34" t="n"/>
      <c r="AW115" s="34" t="n"/>
      <c r="AX115" s="34" t="n"/>
      <c r="AY115" s="34" t="n"/>
      <c r="AZ115" s="34" t="n"/>
      <c r="BA115" s="34" t="n"/>
      <c r="BB115" s="34" t="n"/>
      <c r="BC115" s="34" t="n"/>
      <c r="BD115" s="34" t="n"/>
      <c r="BE115" s="34" t="n"/>
      <c r="BF115" s="34" t="n"/>
      <c r="BG115" s="34" t="n"/>
      <c r="BH115" s="34" t="n"/>
      <c r="BI115" s="34" t="n"/>
      <c r="BJ115" s="34" t="n"/>
      <c r="BK115" s="34" t="n"/>
      <c r="BL115" s="34" t="n"/>
      <c r="BM115" s="34" t="n"/>
      <c r="BN115" s="34" t="n"/>
      <c r="BO115" s="34" t="n"/>
      <c r="BP115" s="34" t="n"/>
      <c r="BQ115" s="34" t="n"/>
      <c r="BR115" s="34" t="n"/>
      <c r="BS115" s="34" t="n"/>
      <c r="BT115" s="34" t="n"/>
      <c r="BU115" s="34" t="n"/>
      <c r="BV115" s="34" t="n"/>
      <c r="BW115" s="34" t="n"/>
      <c r="BX115" s="34" t="n"/>
      <c r="BY115" s="34" t="n"/>
      <c r="BZ115" s="34" t="n"/>
      <c r="CA115" s="34" t="n"/>
      <c r="CB115" s="35" t="n"/>
      <c r="CC115" s="35" t="n"/>
      <c r="CD115" s="35" t="n"/>
      <c r="CE115" s="35" t="n"/>
      <c r="CF115" s="262" t="n">
        <v>0</v>
      </c>
      <c r="CG115" s="254">
        <f>MAX(0,CHOOSE(MATCH($CK$2,{"Bull","Base","Bear"},0),$CT$77,$CU$77,$CV$77))</f>
        <v>3000</v>
      </c>
      <c r="CH115" s="254">
        <f>MAX(0,CHOOSE(MATCH($CK$2,{"Bull","Base","Bear"},0),$CT$78,$CU$78,$CV$78))</f>
        <v>3000</v>
      </c>
      <c r="CI115" s="254">
        <f>MAX(0,CHOOSE(MATCH($CK$2,{"Bull","Base","Bear"},0),$CT$79,$CU$79,$CV$79))</f>
        <v>3000</v>
      </c>
      <c r="CJ115" s="254">
        <f>MAX(0,CHOOSE(MATCH($CK$2,{"Bull","Base","Bear"},0),$CT$80,$CU$80,$CV$80))</f>
        <v>3000</v>
      </c>
      <c r="CK115" s="19" t="inlineStr">
        <is>
          <t>Scenario lever M&amp;A_spend (Base $3bn p.a.). Funded from cash.</t>
        </is>
      </c>
    </row>
    <row r="116" ht="15" customHeight="1" s="251">
      <c r="B116" s="25" t="inlineStr">
        <is>
          <t xml:space="preserve">  Purchase multiple — EV / sales (x)</t>
        </is>
      </c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  <c r="AU116" s="36" t="n"/>
      <c r="AV116" s="36" t="n"/>
      <c r="AW116" s="36" t="n"/>
      <c r="AX116" s="36" t="n"/>
      <c r="AY116" s="36" t="n"/>
      <c r="AZ116" s="36" t="n"/>
      <c r="BA116" s="36" t="n"/>
      <c r="BB116" s="36" t="n"/>
      <c r="BC116" s="36" t="n"/>
      <c r="BD116" s="36" t="n"/>
      <c r="BE116" s="36" t="n"/>
      <c r="BF116" s="36" t="n"/>
      <c r="BG116" s="36" t="n"/>
      <c r="BH116" s="36" t="n"/>
      <c r="BI116" s="36" t="n"/>
      <c r="BJ116" s="36" t="n"/>
      <c r="BK116" s="36" t="n"/>
      <c r="BL116" s="36" t="n"/>
      <c r="BM116" s="36" t="n"/>
      <c r="BN116" s="36" t="n"/>
      <c r="BO116" s="36" t="n"/>
      <c r="BP116" s="36" t="n"/>
      <c r="BQ116" s="36" t="n"/>
      <c r="BR116" s="36" t="n"/>
      <c r="BS116" s="36" t="n"/>
      <c r="BT116" s="36" t="n"/>
      <c r="BU116" s="36" t="n"/>
      <c r="BV116" s="36" t="n"/>
      <c r="BW116" s="36" t="n"/>
      <c r="BX116" s="36" t="n"/>
      <c r="BY116" s="36" t="n"/>
      <c r="BZ116" s="36" t="n"/>
      <c r="CA116" s="36" t="n"/>
      <c r="CB116" s="24" t="n"/>
      <c r="CC116" s="24" t="n"/>
      <c r="CD116" s="24" t="n"/>
      <c r="CE116" s="24" t="n"/>
      <c r="CF116" s="263" t="n">
        <v>0</v>
      </c>
      <c r="CG116" s="263" t="n">
        <v>10</v>
      </c>
      <c r="CH116" s="263" t="n">
        <v>10</v>
      </c>
      <c r="CI116" s="263" t="n">
        <v>10</v>
      </c>
      <c r="CJ116" s="263" t="n">
        <v>10</v>
      </c>
      <c r="CK116" s="19" t="inlineStr">
        <is>
          <t>Activision Blizzard (Oct-2023) $75.4bn on ~$8.7bn of sales (~8.7x); Nuance (Mar-2022) $18.8bn on ~$1.4bn (~13x); LinkedIn (Dec-2016) $27.0bn on ~$3.3bn (~8x). 10x input (assumption).</t>
        </is>
      </c>
    </row>
    <row r="117" ht="15" customHeight="1" s="251">
      <c r="B117" s="25" t="inlineStr">
        <is>
          <t xml:space="preserve">  Annualised revenue acquired in the year</t>
        </is>
      </c>
      <c r="C117" s="34" t="n"/>
      <c r="D117" s="34" t="n"/>
      <c r="E117" s="34" t="n"/>
      <c r="F117" s="34" t="n"/>
      <c r="G117" s="34" t="n"/>
      <c r="H117" s="34" t="n"/>
      <c r="I117" s="34" t="n"/>
      <c r="J117" s="34" t="n"/>
      <c r="K117" s="34" t="n"/>
      <c r="L117" s="34" t="n"/>
      <c r="M117" s="34" t="n"/>
      <c r="N117" s="34" t="n"/>
      <c r="O117" s="34" t="n"/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  <c r="AA117" s="34" t="n"/>
      <c r="AB117" s="34" t="n"/>
      <c r="AC117" s="34" t="n"/>
      <c r="AD117" s="34" t="n"/>
      <c r="AE117" s="34" t="n"/>
      <c r="AF117" s="34" t="n"/>
      <c r="AG117" s="34" t="n"/>
      <c r="AH117" s="34" t="n"/>
      <c r="AI117" s="34" t="n"/>
      <c r="AJ117" s="34" t="n"/>
      <c r="AK117" s="34" t="n"/>
      <c r="AL117" s="34" t="n"/>
      <c r="AM117" s="34" t="n"/>
      <c r="AN117" s="34" t="n"/>
      <c r="AO117" s="34" t="n"/>
      <c r="AP117" s="34" t="n"/>
      <c r="AQ117" s="34" t="n"/>
      <c r="AR117" s="34" t="n"/>
      <c r="AS117" s="34" t="n"/>
      <c r="AT117" s="34" t="n"/>
      <c r="AU117" s="34" t="n"/>
      <c r="AV117" s="34" t="n"/>
      <c r="AW117" s="34" t="n"/>
      <c r="AX117" s="34" t="n"/>
      <c r="AY117" s="34" t="n"/>
      <c r="AZ117" s="34" t="n"/>
      <c r="BA117" s="34" t="n"/>
      <c r="BB117" s="34" t="n"/>
      <c r="BC117" s="34" t="n"/>
      <c r="BD117" s="34" t="n"/>
      <c r="BE117" s="34" t="n"/>
      <c r="BF117" s="34" t="n"/>
      <c r="BG117" s="34" t="n"/>
      <c r="BH117" s="34" t="n"/>
      <c r="BI117" s="34" t="n"/>
      <c r="BJ117" s="34" t="n"/>
      <c r="BK117" s="34" t="n"/>
      <c r="BL117" s="34" t="n"/>
      <c r="BM117" s="34" t="n"/>
      <c r="BN117" s="34" t="n"/>
      <c r="BO117" s="34" t="n"/>
      <c r="BP117" s="34" t="n"/>
      <c r="BQ117" s="34" t="n"/>
      <c r="BR117" s="34" t="n"/>
      <c r="BS117" s="34" t="n"/>
      <c r="BT117" s="34" t="n"/>
      <c r="BU117" s="34" t="n"/>
      <c r="BV117" s="34" t="n"/>
      <c r="BW117" s="34" t="n"/>
      <c r="BX117" s="34" t="n"/>
      <c r="BY117" s="34" t="n"/>
      <c r="BZ117" s="34" t="n"/>
      <c r="CA117" s="34" t="n"/>
      <c r="CB117" s="35" t="n"/>
      <c r="CC117" s="35" t="n"/>
      <c r="CD117" s="35" t="n"/>
      <c r="CE117" s="35" t="n"/>
      <c r="CF117" s="262" t="n">
        <v>0</v>
      </c>
      <c r="CG117" s="254">
        <f>IFERROR(CG115/CG116,0)</f>
        <v>300</v>
      </c>
      <c r="CH117" s="254">
        <f>IFERROR(CH115/CH116,0)</f>
        <v>300</v>
      </c>
      <c r="CI117" s="254">
        <f>IFERROR(CI115/CI116,0)</f>
        <v>300</v>
      </c>
      <c r="CJ117" s="254">
        <f>IFERROR(CJ115/CJ116,0)</f>
        <v>300</v>
      </c>
      <c r="CK117" s="19" t="n"/>
    </row>
    <row r="118" ht="15" customHeight="1" s="251">
      <c r="B118" s="25" t="inlineStr">
        <is>
          <t xml:space="preserve">  Growth of acquired businesses after acquisition %</t>
        </is>
      </c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  <c r="AU118" s="36" t="n"/>
      <c r="AV118" s="36" t="n"/>
      <c r="AW118" s="36" t="n"/>
      <c r="AX118" s="36" t="n"/>
      <c r="AY118" s="36" t="n"/>
      <c r="AZ118" s="36" t="n"/>
      <c r="BA118" s="36" t="n"/>
      <c r="BB118" s="36" t="n"/>
      <c r="BC118" s="36" t="n"/>
      <c r="BD118" s="36" t="n"/>
      <c r="BE118" s="36" t="n"/>
      <c r="BF118" s="36" t="n"/>
      <c r="BG118" s="36" t="n"/>
      <c r="BH118" s="36" t="n"/>
      <c r="BI118" s="36" t="n"/>
      <c r="BJ118" s="36" t="n"/>
      <c r="BK118" s="36" t="n"/>
      <c r="BL118" s="36" t="n"/>
      <c r="BM118" s="36" t="n"/>
      <c r="BN118" s="36" t="n"/>
      <c r="BO118" s="36" t="n"/>
      <c r="BP118" s="36" t="n"/>
      <c r="BQ118" s="36" t="n"/>
      <c r="BR118" s="36" t="n"/>
      <c r="BS118" s="36" t="n"/>
      <c r="BT118" s="36" t="n"/>
      <c r="BU118" s="36" t="n"/>
      <c r="BV118" s="36" t="n"/>
      <c r="BW118" s="36" t="n"/>
      <c r="BX118" s="36" t="n"/>
      <c r="BY118" s="36" t="n"/>
      <c r="BZ118" s="36" t="n"/>
      <c r="CA118" s="36" t="n"/>
      <c r="CB118" s="24" t="n"/>
      <c r="CC118" s="24" t="n"/>
      <c r="CD118" s="24" t="n"/>
      <c r="CE118" s="24" t="n"/>
      <c r="CF118" s="264" t="n">
        <v>0</v>
      </c>
      <c r="CG118" s="264" t="n">
        <v>0.08</v>
      </c>
      <c r="CH118" s="264" t="n">
        <v>0.08</v>
      </c>
      <c r="CI118" s="264" t="n">
        <v>0.08</v>
      </c>
      <c r="CJ118" s="264" t="n">
        <v>0.08</v>
      </c>
      <c r="CK118" s="19" t="n"/>
    </row>
    <row r="119" ht="15" customHeight="1" s="251">
      <c r="B119" s="25" t="inlineStr">
        <is>
          <t xml:space="preserve">  Run-rate revenue of businesses acquired (year end)</t>
        </is>
      </c>
      <c r="C119" s="34" t="n"/>
      <c r="D119" s="34" t="n"/>
      <c r="E119" s="34" t="n"/>
      <c r="F119" s="34" t="n"/>
      <c r="G119" s="34" t="n"/>
      <c r="H119" s="34" t="n"/>
      <c r="I119" s="34" t="n"/>
      <c r="J119" s="34" t="n"/>
      <c r="K119" s="34" t="n"/>
      <c r="L119" s="34" t="n"/>
      <c r="M119" s="34" t="n"/>
      <c r="N119" s="34" t="n"/>
      <c r="O119" s="34" t="n"/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  <c r="AA119" s="34" t="n"/>
      <c r="AB119" s="34" t="n"/>
      <c r="AC119" s="34" t="n"/>
      <c r="AD119" s="34" t="n"/>
      <c r="AE119" s="34" t="n"/>
      <c r="AF119" s="34" t="n"/>
      <c r="AG119" s="34" t="n"/>
      <c r="AH119" s="34" t="n"/>
      <c r="AI119" s="34" t="n"/>
      <c r="AJ119" s="34" t="n"/>
      <c r="AK119" s="34" t="n"/>
      <c r="AL119" s="34" t="n"/>
      <c r="AM119" s="34" t="n"/>
      <c r="AN119" s="34" t="n"/>
      <c r="AO119" s="34" t="n"/>
      <c r="AP119" s="34" t="n"/>
      <c r="AQ119" s="34" t="n"/>
      <c r="AR119" s="34" t="n"/>
      <c r="AS119" s="34" t="n"/>
      <c r="AT119" s="34" t="n"/>
      <c r="AU119" s="34" t="n"/>
      <c r="AV119" s="34" t="n"/>
      <c r="AW119" s="34" t="n"/>
      <c r="AX119" s="34" t="n"/>
      <c r="AY119" s="34" t="n"/>
      <c r="AZ119" s="34" t="n"/>
      <c r="BA119" s="34" t="n"/>
      <c r="BB119" s="34" t="n"/>
      <c r="BC119" s="34" t="n"/>
      <c r="BD119" s="34" t="n"/>
      <c r="BE119" s="34" t="n"/>
      <c r="BF119" s="34" t="n"/>
      <c r="BG119" s="34" t="n"/>
      <c r="BH119" s="34" t="n"/>
      <c r="BI119" s="34" t="n"/>
      <c r="BJ119" s="34" t="n"/>
      <c r="BK119" s="34" t="n"/>
      <c r="BL119" s="34" t="n"/>
      <c r="BM119" s="34" t="n"/>
      <c r="BN119" s="34" t="n"/>
      <c r="BO119" s="34" t="n"/>
      <c r="BP119" s="34" t="n"/>
      <c r="BQ119" s="34" t="n"/>
      <c r="BR119" s="34" t="n"/>
      <c r="BS119" s="34" t="n"/>
      <c r="BT119" s="34" t="n"/>
      <c r="BU119" s="34" t="n"/>
      <c r="BV119" s="34" t="n"/>
      <c r="BW119" s="34" t="n"/>
      <c r="BX119" s="34" t="n"/>
      <c r="BY119" s="34" t="n"/>
      <c r="BZ119" s="34" t="n"/>
      <c r="CA119" s="34" t="n"/>
      <c r="CB119" s="35" t="n"/>
      <c r="CC119" s="35" t="n"/>
      <c r="CD119" s="35" t="n"/>
      <c r="CE119" s="35" t="n"/>
      <c r="CF119" s="262" t="n">
        <v>0</v>
      </c>
      <c r="CG119" s="254">
        <f>CF119*(1+CG118)+CG117</f>
        <v>300</v>
      </c>
      <c r="CH119" s="254">
        <f>CG119*(1+CH118)+CH117</f>
        <v>624</v>
      </c>
      <c r="CI119" s="254">
        <f>CH119*(1+CI118)+CI117</f>
        <v>973.92</v>
      </c>
      <c r="CJ119" s="254">
        <f>CI119*(1+CJ118)+CJ117</f>
        <v>1351.8336</v>
      </c>
      <c r="CK119" s="19" t="n"/>
    </row>
    <row r="120" ht="15" customHeight="1" s="251">
      <c r="B120" s="16" t="inlineStr">
        <is>
          <t xml:space="preserve">  Revenue from future acquisitions</t>
        </is>
      </c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  <c r="AA120" s="43" t="n"/>
      <c r="AB120" s="43" t="n"/>
      <c r="AC120" s="43" t="n"/>
      <c r="AD120" s="43" t="n"/>
      <c r="AE120" s="43" t="n"/>
      <c r="AF120" s="43" t="n"/>
      <c r="AG120" s="43" t="n"/>
      <c r="AH120" s="43" t="n"/>
      <c r="AI120" s="43" t="n"/>
      <c r="AJ120" s="43" t="n"/>
      <c r="AK120" s="43" t="n"/>
      <c r="AL120" s="43" t="n"/>
      <c r="AM120" s="43" t="n"/>
      <c r="AN120" s="43" t="n"/>
      <c r="AO120" s="43" t="n"/>
      <c r="AP120" s="43" t="n"/>
      <c r="AQ120" s="43" t="n"/>
      <c r="AR120" s="43" t="n"/>
      <c r="AS120" s="43" t="n"/>
      <c r="AT120" s="43" t="n"/>
      <c r="AU120" s="43" t="n"/>
      <c r="AV120" s="43" t="n"/>
      <c r="AW120" s="43" t="n"/>
      <c r="AX120" s="43" t="n"/>
      <c r="AY120" s="43" t="n"/>
      <c r="AZ120" s="43" t="n"/>
      <c r="BA120" s="43" t="n"/>
      <c r="BB120" s="43" t="n"/>
      <c r="BC120" s="43" t="n"/>
      <c r="BD120" s="43" t="n"/>
      <c r="BE120" s="43" t="n"/>
      <c r="BF120" s="43" t="n"/>
      <c r="BG120" s="43" t="n"/>
      <c r="BH120" s="43" t="n"/>
      <c r="BI120" s="43" t="n"/>
      <c r="BJ120" s="43" t="n"/>
      <c r="BK120" s="43" t="n"/>
      <c r="BL120" s="43" t="n"/>
      <c r="BM120" s="43" t="n"/>
      <c r="BN120" s="43" t="n"/>
      <c r="BO120" s="43" t="n"/>
      <c r="BP120" s="43" t="n"/>
      <c r="BQ120" s="43" t="n"/>
      <c r="BR120" s="43" t="n"/>
      <c r="BS120" s="43" t="n"/>
      <c r="BT120" s="43" t="n"/>
      <c r="BU120" s="43" t="n"/>
      <c r="BV120" s="43" t="n"/>
      <c r="BW120" s="43" t="n"/>
      <c r="BX120" s="43" t="n"/>
      <c r="BY120" s="43" t="n"/>
      <c r="BZ120" s="43" t="n"/>
      <c r="CA120" s="43" t="n"/>
      <c r="CB120" s="32" t="n"/>
      <c r="CC120" s="32" t="n"/>
      <c r="CD120" s="32" t="n"/>
      <c r="CE120" s="32" t="n"/>
      <c r="CF120" s="265" t="n">
        <v>0</v>
      </c>
      <c r="CG120" s="261">
        <f>CF119*(1+CG118)+0.5*CG117</f>
        <v>150</v>
      </c>
      <c r="CH120" s="261">
        <f>CG119*(1+CH118)+0.5*CH117</f>
        <v>474</v>
      </c>
      <c r="CI120" s="261">
        <f>CH119*(1+CI118)+0.5*CI117</f>
        <v>823.92</v>
      </c>
      <c r="CJ120" s="261">
        <f>CI119*(1+CJ118)+0.5*CJ117</f>
        <v>1201.8336</v>
      </c>
      <c r="CK120" s="153" t="inlineStr">
        <is>
          <t>Mid-year convention.</t>
        </is>
      </c>
    </row>
    <row r="121" ht="15" customHeight="1" s="251">
      <c r="B121" s="25" t="inlineStr">
        <is>
          <t xml:space="preserve">  Operating margin of acquired businesses (after amortization) %</t>
        </is>
      </c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  <c r="AU121" s="36" t="n"/>
      <c r="AV121" s="36" t="n"/>
      <c r="AW121" s="36" t="n"/>
      <c r="AX121" s="36" t="n"/>
      <c r="AY121" s="36" t="n"/>
      <c r="AZ121" s="36" t="n"/>
      <c r="BA121" s="36" t="n"/>
      <c r="BB121" s="36" t="n"/>
      <c r="BC121" s="36" t="n"/>
      <c r="BD121" s="36" t="n"/>
      <c r="BE121" s="36" t="n"/>
      <c r="BF121" s="36" t="n"/>
      <c r="BG121" s="36" t="n"/>
      <c r="BH121" s="36" t="n"/>
      <c r="BI121" s="36" t="n"/>
      <c r="BJ121" s="36" t="n"/>
      <c r="BK121" s="36" t="n"/>
      <c r="BL121" s="36" t="n"/>
      <c r="BM121" s="36" t="n"/>
      <c r="BN121" s="36" t="n"/>
      <c r="BO121" s="36" t="n"/>
      <c r="BP121" s="36" t="n"/>
      <c r="BQ121" s="36" t="n"/>
      <c r="BR121" s="36" t="n"/>
      <c r="BS121" s="36" t="n"/>
      <c r="BT121" s="36" t="n"/>
      <c r="BU121" s="36" t="n"/>
      <c r="BV121" s="36" t="n"/>
      <c r="BW121" s="36" t="n"/>
      <c r="BX121" s="36" t="n"/>
      <c r="BY121" s="36" t="n"/>
      <c r="BZ121" s="36" t="n"/>
      <c r="CA121" s="36" t="n"/>
      <c r="CB121" s="24" t="n"/>
      <c r="CC121" s="24" t="n"/>
      <c r="CD121" s="24" t="n"/>
      <c r="CE121" s="24" t="n"/>
      <c r="CF121" s="264" t="n">
        <v>0</v>
      </c>
      <c r="CG121" s="264" t="n">
        <v>0.15</v>
      </c>
      <c r="CH121" s="264" t="n">
        <v>0.15</v>
      </c>
      <c r="CI121" s="264" t="n">
        <v>0.15</v>
      </c>
      <c r="CJ121" s="264" t="n">
        <v>0.15</v>
      </c>
      <c r="CK121" s="19" t="n"/>
    </row>
    <row r="122" ht="15" customHeight="1" s="251">
      <c r="B122" s="25" t="inlineStr">
        <is>
          <t xml:space="preserve">  Operating income from future acquisitions</t>
        </is>
      </c>
      <c r="C122" s="34" t="n"/>
      <c r="D122" s="34" t="n"/>
      <c r="E122" s="34" t="n"/>
      <c r="F122" s="34" t="n"/>
      <c r="G122" s="34" t="n"/>
      <c r="H122" s="34" t="n"/>
      <c r="I122" s="34" t="n"/>
      <c r="J122" s="34" t="n"/>
      <c r="K122" s="34" t="n"/>
      <c r="L122" s="34" t="n"/>
      <c r="M122" s="34" t="n"/>
      <c r="N122" s="34" t="n"/>
      <c r="O122" s="34" t="n"/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  <c r="AA122" s="34" t="n"/>
      <c r="AB122" s="34" t="n"/>
      <c r="AC122" s="34" t="n"/>
      <c r="AD122" s="34" t="n"/>
      <c r="AE122" s="34" t="n"/>
      <c r="AF122" s="34" t="n"/>
      <c r="AG122" s="34" t="n"/>
      <c r="AH122" s="34" t="n"/>
      <c r="AI122" s="34" t="n"/>
      <c r="AJ122" s="34" t="n"/>
      <c r="AK122" s="34" t="n"/>
      <c r="AL122" s="34" t="n"/>
      <c r="AM122" s="34" t="n"/>
      <c r="AN122" s="34" t="n"/>
      <c r="AO122" s="34" t="n"/>
      <c r="AP122" s="34" t="n"/>
      <c r="AQ122" s="34" t="n"/>
      <c r="AR122" s="34" t="n"/>
      <c r="AS122" s="34" t="n"/>
      <c r="AT122" s="34" t="n"/>
      <c r="AU122" s="34" t="n"/>
      <c r="AV122" s="34" t="n"/>
      <c r="AW122" s="34" t="n"/>
      <c r="AX122" s="34" t="n"/>
      <c r="AY122" s="34" t="n"/>
      <c r="AZ122" s="34" t="n"/>
      <c r="BA122" s="34" t="n"/>
      <c r="BB122" s="34" t="n"/>
      <c r="BC122" s="34" t="n"/>
      <c r="BD122" s="34" t="n"/>
      <c r="BE122" s="34" t="n"/>
      <c r="BF122" s="34" t="n"/>
      <c r="BG122" s="34" t="n"/>
      <c r="BH122" s="34" t="n"/>
      <c r="BI122" s="34" t="n"/>
      <c r="BJ122" s="34" t="n"/>
      <c r="BK122" s="34" t="n"/>
      <c r="BL122" s="34" t="n"/>
      <c r="BM122" s="34" t="n"/>
      <c r="BN122" s="34" t="n"/>
      <c r="BO122" s="34" t="n"/>
      <c r="BP122" s="34" t="n"/>
      <c r="BQ122" s="34" t="n"/>
      <c r="BR122" s="34" t="n"/>
      <c r="BS122" s="34" t="n"/>
      <c r="BT122" s="34" t="n"/>
      <c r="BU122" s="34" t="n"/>
      <c r="BV122" s="34" t="n"/>
      <c r="BW122" s="34" t="n"/>
      <c r="BX122" s="34" t="n"/>
      <c r="BY122" s="34" t="n"/>
      <c r="BZ122" s="34" t="n"/>
      <c r="CA122" s="34" t="n"/>
      <c r="CB122" s="35" t="n"/>
      <c r="CC122" s="35" t="n"/>
      <c r="CD122" s="35" t="n"/>
      <c r="CE122" s="35" t="n"/>
      <c r="CF122" s="262" t="n">
        <v>0</v>
      </c>
      <c r="CG122" s="254">
        <f>CG120*CG121</f>
        <v>22.5</v>
      </c>
      <c r="CH122" s="254">
        <f>CH120*CH121</f>
        <v>71.1</v>
      </c>
      <c r="CI122" s="254">
        <f>CI120*CI121</f>
        <v>123.588</v>
      </c>
      <c r="CJ122" s="254">
        <f>CJ120*CJ121</f>
        <v>180.27504</v>
      </c>
      <c r="CK122" s="19" t="n"/>
    </row>
    <row r="123" ht="15" customHeight="1" s="251">
      <c r="B123" s="25" t="inlineStr">
        <is>
          <t xml:space="preserve">  PP&amp;E % of spend</t>
        </is>
      </c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  <c r="AU123" s="36" t="n"/>
      <c r="AV123" s="36" t="n"/>
      <c r="AW123" s="36" t="n"/>
      <c r="AX123" s="36" t="n"/>
      <c r="AY123" s="36" t="n"/>
      <c r="AZ123" s="36" t="n"/>
      <c r="BA123" s="36" t="n"/>
      <c r="BB123" s="36" t="n"/>
      <c r="BC123" s="36" t="n"/>
      <c r="BD123" s="36" t="n"/>
      <c r="BE123" s="36" t="n"/>
      <c r="BF123" s="36" t="n"/>
      <c r="BG123" s="36" t="n"/>
      <c r="BH123" s="36" t="n"/>
      <c r="BI123" s="36" t="n"/>
      <c r="BJ123" s="36" t="n"/>
      <c r="BK123" s="36" t="n"/>
      <c r="BL123" s="36" t="n"/>
      <c r="BM123" s="36" t="n"/>
      <c r="BN123" s="36" t="n"/>
      <c r="BO123" s="36" t="n"/>
      <c r="BP123" s="36" t="n"/>
      <c r="BQ123" s="36" t="n"/>
      <c r="BR123" s="36" t="n"/>
      <c r="BS123" s="36" t="n"/>
      <c r="BT123" s="36" t="n"/>
      <c r="BU123" s="36" t="n"/>
      <c r="BV123" s="36" t="n"/>
      <c r="BW123" s="36" t="n"/>
      <c r="BX123" s="36" t="n"/>
      <c r="BY123" s="36" t="n"/>
      <c r="BZ123" s="36" t="n"/>
      <c r="CA123" s="36" t="n"/>
      <c r="CB123" s="24" t="n"/>
      <c r="CC123" s="24" t="n"/>
      <c r="CD123" s="24" t="n"/>
      <c r="CE123" s="24" t="n"/>
      <c r="CF123" s="264" t="n">
        <v>0</v>
      </c>
      <c r="CG123" s="264" t="n">
        <v>0.02</v>
      </c>
      <c r="CH123" s="264" t="n">
        <v>0.02</v>
      </c>
      <c r="CI123" s="264" t="n">
        <v>0.02</v>
      </c>
      <c r="CJ123" s="264" t="n">
        <v>0.02</v>
      </c>
      <c r="CK123" s="19" t="n"/>
    </row>
    <row r="124" ht="15" customHeight="1" s="251">
      <c r="B124" s="25" t="inlineStr">
        <is>
          <t xml:space="preserve">  Acquired intangibles % of spend</t>
        </is>
      </c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  <c r="AU124" s="36" t="n"/>
      <c r="AV124" s="36" t="n"/>
      <c r="AW124" s="36" t="n"/>
      <c r="AX124" s="36" t="n"/>
      <c r="AY124" s="36" t="n"/>
      <c r="AZ124" s="36" t="n"/>
      <c r="BA124" s="36" t="n"/>
      <c r="BB124" s="36" t="n"/>
      <c r="BC124" s="36" t="n"/>
      <c r="BD124" s="36" t="n"/>
      <c r="BE124" s="36" t="n"/>
      <c r="BF124" s="36" t="n"/>
      <c r="BG124" s="36" t="n"/>
      <c r="BH124" s="36" t="n"/>
      <c r="BI124" s="36" t="n"/>
      <c r="BJ124" s="36" t="n"/>
      <c r="BK124" s="36" t="n"/>
      <c r="BL124" s="36" t="n"/>
      <c r="BM124" s="36" t="n"/>
      <c r="BN124" s="36" t="n"/>
      <c r="BO124" s="36" t="n"/>
      <c r="BP124" s="36" t="n"/>
      <c r="BQ124" s="36" t="n"/>
      <c r="BR124" s="36" t="n"/>
      <c r="BS124" s="36" t="n"/>
      <c r="BT124" s="36" t="n"/>
      <c r="BU124" s="36" t="n"/>
      <c r="BV124" s="36" t="n"/>
      <c r="BW124" s="36" t="n"/>
      <c r="BX124" s="36" t="n"/>
      <c r="BY124" s="36" t="n"/>
      <c r="BZ124" s="36" t="n"/>
      <c r="CA124" s="36" t="n"/>
      <c r="CB124" s="24" t="n"/>
      <c r="CC124" s="24" t="n"/>
      <c r="CD124" s="24" t="n"/>
      <c r="CE124" s="24" t="n"/>
      <c r="CF124" s="264" t="n">
        <v>0</v>
      </c>
      <c r="CG124" s="264" t="n">
        <v>0.3</v>
      </c>
      <c r="CH124" s="264" t="n">
        <v>0.3</v>
      </c>
      <c r="CI124" s="264" t="n">
        <v>0.3</v>
      </c>
      <c r="CJ124" s="264" t="n">
        <v>0.3</v>
      </c>
      <c r="CK124" s="19" t="inlineStr">
        <is>
          <t>PPAs: Activision 29% of the purchase price in intangibles, LinkedIn 29%, Nuance 23%.</t>
        </is>
      </c>
    </row>
    <row r="125" ht="15" customHeight="1" s="251">
      <c r="B125" s="25" t="inlineStr">
        <is>
          <t xml:space="preserve">  Intangible amortization life (years)</t>
        </is>
      </c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  <c r="AV125" s="36" t="n"/>
      <c r="AW125" s="36" t="n"/>
      <c r="AX125" s="36" t="n"/>
      <c r="AY125" s="36" t="n"/>
      <c r="AZ125" s="36" t="n"/>
      <c r="BA125" s="36" t="n"/>
      <c r="BB125" s="36" t="n"/>
      <c r="BC125" s="36" t="n"/>
      <c r="BD125" s="36" t="n"/>
      <c r="BE125" s="36" t="n"/>
      <c r="BF125" s="36" t="n"/>
      <c r="BG125" s="36" t="n"/>
      <c r="BH125" s="36" t="n"/>
      <c r="BI125" s="36" t="n"/>
      <c r="BJ125" s="36" t="n"/>
      <c r="BK125" s="36" t="n"/>
      <c r="BL125" s="36" t="n"/>
      <c r="BM125" s="36" t="n"/>
      <c r="BN125" s="36" t="n"/>
      <c r="BO125" s="36" t="n"/>
      <c r="BP125" s="36" t="n"/>
      <c r="BQ125" s="36" t="n"/>
      <c r="BR125" s="36" t="n"/>
      <c r="BS125" s="36" t="n"/>
      <c r="BT125" s="36" t="n"/>
      <c r="BU125" s="36" t="n"/>
      <c r="BV125" s="36" t="n"/>
      <c r="BW125" s="36" t="n"/>
      <c r="BX125" s="36" t="n"/>
      <c r="BY125" s="36" t="n"/>
      <c r="BZ125" s="36" t="n"/>
      <c r="CA125" s="36" t="n"/>
      <c r="CB125" s="24" t="n"/>
      <c r="CC125" s="24" t="n"/>
      <c r="CD125" s="24" t="n"/>
      <c r="CE125" s="24" t="n"/>
      <c r="CF125" s="266" t="n">
        <v>0</v>
      </c>
      <c r="CG125" s="266" t="n">
        <v>7</v>
      </c>
      <c r="CH125" s="266" t="n">
        <v>7</v>
      </c>
      <c r="CI125" s="266" t="n">
        <v>7</v>
      </c>
      <c r="CJ125" s="266" t="n">
        <v>7</v>
      </c>
      <c r="CK125" s="19" t="n"/>
    </row>
    <row r="126" ht="15" customHeight="1" s="251">
      <c r="B126" s="25" t="inlineStr">
        <is>
          <t xml:space="preserve">  Cumulative acquired intangibles (gross)</t>
        </is>
      </c>
      <c r="C126" s="34" t="n"/>
      <c r="D126" s="34" t="n"/>
      <c r="E126" s="34" t="n"/>
      <c r="F126" s="34" t="n"/>
      <c r="G126" s="34" t="n"/>
      <c r="H126" s="34" t="n"/>
      <c r="I126" s="34" t="n"/>
      <c r="J126" s="34" t="n"/>
      <c r="K126" s="34" t="n"/>
      <c r="L126" s="34" t="n"/>
      <c r="M126" s="34" t="n"/>
      <c r="N126" s="34" t="n"/>
      <c r="O126" s="34" t="n"/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  <c r="AA126" s="34" t="n"/>
      <c r="AB126" s="34" t="n"/>
      <c r="AC126" s="34" t="n"/>
      <c r="AD126" s="34" t="n"/>
      <c r="AE126" s="34" t="n"/>
      <c r="AF126" s="34" t="n"/>
      <c r="AG126" s="34" t="n"/>
      <c r="AH126" s="34" t="n"/>
      <c r="AI126" s="34" t="n"/>
      <c r="AJ126" s="34" t="n"/>
      <c r="AK126" s="34" t="n"/>
      <c r="AL126" s="34" t="n"/>
      <c r="AM126" s="34" t="n"/>
      <c r="AN126" s="34" t="n"/>
      <c r="AO126" s="34" t="n"/>
      <c r="AP126" s="34" t="n"/>
      <c r="AQ126" s="34" t="n"/>
      <c r="AR126" s="34" t="n"/>
      <c r="AS126" s="34" t="n"/>
      <c r="AT126" s="34" t="n"/>
      <c r="AU126" s="34" t="n"/>
      <c r="AV126" s="34" t="n"/>
      <c r="AW126" s="34" t="n"/>
      <c r="AX126" s="34" t="n"/>
      <c r="AY126" s="34" t="n"/>
      <c r="AZ126" s="34" t="n"/>
      <c r="BA126" s="34" t="n"/>
      <c r="BB126" s="34" t="n"/>
      <c r="BC126" s="34" t="n"/>
      <c r="BD126" s="34" t="n"/>
      <c r="BE126" s="34" t="n"/>
      <c r="BF126" s="34" t="n"/>
      <c r="BG126" s="34" t="n"/>
      <c r="BH126" s="34" t="n"/>
      <c r="BI126" s="34" t="n"/>
      <c r="BJ126" s="34" t="n"/>
      <c r="BK126" s="34" t="n"/>
      <c r="BL126" s="34" t="n"/>
      <c r="BM126" s="34" t="n"/>
      <c r="BN126" s="34" t="n"/>
      <c r="BO126" s="34" t="n"/>
      <c r="BP126" s="34" t="n"/>
      <c r="BQ126" s="34" t="n"/>
      <c r="BR126" s="34" t="n"/>
      <c r="BS126" s="34" t="n"/>
      <c r="BT126" s="34" t="n"/>
      <c r="BU126" s="34" t="n"/>
      <c r="BV126" s="34" t="n"/>
      <c r="BW126" s="34" t="n"/>
      <c r="BX126" s="34" t="n"/>
      <c r="BY126" s="34" t="n"/>
      <c r="BZ126" s="34" t="n"/>
      <c r="CA126" s="34" t="n"/>
      <c r="CB126" s="35" t="n"/>
      <c r="CC126" s="35" t="n"/>
      <c r="CD126" s="35" t="n"/>
      <c r="CE126" s="35" t="n"/>
      <c r="CF126" s="262" t="n">
        <v>0</v>
      </c>
      <c r="CG126" s="254">
        <f>CF126+CG115*CG124</f>
        <v>900</v>
      </c>
      <c r="CH126" s="254">
        <f>CG126+CH115*CH124</f>
        <v>1800</v>
      </c>
      <c r="CI126" s="254">
        <f>CH126+CI115*CI124</f>
        <v>2700</v>
      </c>
      <c r="CJ126" s="254">
        <f>CI126+CJ115*CJ124</f>
        <v>3600</v>
      </c>
      <c r="CK126" s="19" t="n"/>
    </row>
    <row r="127" ht="15" customHeight="1" s="251">
      <c r="B127" s="25" t="inlineStr">
        <is>
          <t xml:space="preserve">  Amortization of future-acquisition intangibles (inside segment operating income)</t>
        </is>
      </c>
      <c r="C127" s="34" t="n"/>
      <c r="D127" s="34" t="n"/>
      <c r="E127" s="34" t="n"/>
      <c r="F127" s="34" t="n"/>
      <c r="G127" s="34" t="n"/>
      <c r="H127" s="34" t="n"/>
      <c r="I127" s="34" t="n"/>
      <c r="J127" s="34" t="n"/>
      <c r="K127" s="34" t="n"/>
      <c r="L127" s="34" t="n"/>
      <c r="M127" s="34" t="n"/>
      <c r="N127" s="34" t="n"/>
      <c r="O127" s="34" t="n"/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  <c r="AA127" s="34" t="n"/>
      <c r="AB127" s="34" t="n"/>
      <c r="AC127" s="34" t="n"/>
      <c r="AD127" s="34" t="n"/>
      <c r="AE127" s="34" t="n"/>
      <c r="AF127" s="34" t="n"/>
      <c r="AG127" s="34" t="n"/>
      <c r="AH127" s="34" t="n"/>
      <c r="AI127" s="34" t="n"/>
      <c r="AJ127" s="34" t="n"/>
      <c r="AK127" s="34" t="n"/>
      <c r="AL127" s="34" t="n"/>
      <c r="AM127" s="34" t="n"/>
      <c r="AN127" s="34" t="n"/>
      <c r="AO127" s="34" t="n"/>
      <c r="AP127" s="34" t="n"/>
      <c r="AQ127" s="34" t="n"/>
      <c r="AR127" s="34" t="n"/>
      <c r="AS127" s="34" t="n"/>
      <c r="AT127" s="34" t="n"/>
      <c r="AU127" s="34" t="n"/>
      <c r="AV127" s="34" t="n"/>
      <c r="AW127" s="34" t="n"/>
      <c r="AX127" s="34" t="n"/>
      <c r="AY127" s="34" t="n"/>
      <c r="AZ127" s="34" t="n"/>
      <c r="BA127" s="34" t="n"/>
      <c r="BB127" s="34" t="n"/>
      <c r="BC127" s="34" t="n"/>
      <c r="BD127" s="34" t="n"/>
      <c r="BE127" s="34" t="n"/>
      <c r="BF127" s="34" t="n"/>
      <c r="BG127" s="34" t="n"/>
      <c r="BH127" s="34" t="n"/>
      <c r="BI127" s="34" t="n"/>
      <c r="BJ127" s="34" t="n"/>
      <c r="BK127" s="34" t="n"/>
      <c r="BL127" s="34" t="n"/>
      <c r="BM127" s="34" t="n"/>
      <c r="BN127" s="34" t="n"/>
      <c r="BO127" s="34" t="n"/>
      <c r="BP127" s="34" t="n"/>
      <c r="BQ127" s="34" t="n"/>
      <c r="BR127" s="34" t="n"/>
      <c r="BS127" s="34" t="n"/>
      <c r="BT127" s="34" t="n"/>
      <c r="BU127" s="34" t="n"/>
      <c r="BV127" s="34" t="n"/>
      <c r="BW127" s="34" t="n"/>
      <c r="BX127" s="34" t="n"/>
      <c r="BY127" s="34" t="n"/>
      <c r="BZ127" s="34" t="n"/>
      <c r="CA127" s="34" t="n"/>
      <c r="CB127" s="35" t="n"/>
      <c r="CC127" s="35" t="n"/>
      <c r="CD127" s="35" t="n"/>
      <c r="CE127" s="35" t="n"/>
      <c r="CF127" s="262" t="n">
        <v>0</v>
      </c>
      <c r="CG127" s="254">
        <f>IFERROR((CF126+0.5*CG115*CG124)/CG125,0)</f>
        <v>64.2857142857143</v>
      </c>
      <c r="CH127" s="254">
        <f>IFERROR((CG126+0.5*CH115*CH124)/CH125,0)</f>
        <v>192.857142857143</v>
      </c>
      <c r="CI127" s="254">
        <f>IFERROR((CH126+0.5*CI115*CI124)/CI125,0)</f>
        <v>321.428571428571</v>
      </c>
      <c r="CJ127" s="254">
        <f>IFERROR((CI126+0.5*CJ115*CJ124)/CJ125,0)</f>
        <v>450</v>
      </c>
      <c r="CK127" s="19" t="inlineStr">
        <is>
          <t>Microsoft does not adjust out amortization; the acquired-business margin above is after amortization.</t>
        </is>
      </c>
    </row>
    <row r="128" ht="15" customHeight="1" s="251">
      <c r="CS128" s="11" t="n"/>
      <c r="CT128" s="12" t="n"/>
      <c r="CU128" s="12" t="n"/>
      <c r="CV128" s="12" t="n"/>
      <c r="CW128" s="13" t="n"/>
    </row>
    <row r="129" ht="15" customHeight="1" s="251">
      <c r="B129" s="14" t="inlineStr">
        <is>
          <t>Group Total — revenue &amp; operating income (segment build) → Q1 FY27 guidance calibration</t>
        </is>
      </c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O129" s="14" t="n"/>
      <c r="AP129" s="14" t="n"/>
      <c r="AQ129" s="14" t="n"/>
      <c r="AR129" s="14" t="n"/>
      <c r="AS129" s="14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  <c r="BB129" s="14" t="n"/>
      <c r="BC129" s="14" t="n"/>
      <c r="BD129" s="14" t="n"/>
      <c r="BE129" s="14" t="n"/>
      <c r="BF129" s="14" t="n"/>
      <c r="BG129" s="14" t="n"/>
      <c r="BH129" s="14" t="n"/>
      <c r="BI129" s="14" t="n"/>
      <c r="BJ129" s="14" t="n"/>
      <c r="BK129" s="14" t="n"/>
      <c r="BL129" s="14" t="n"/>
      <c r="BM129" s="14" t="n"/>
      <c r="BN129" s="14" t="n"/>
      <c r="BO129" s="14" t="n"/>
      <c r="BP129" s="14" t="n"/>
      <c r="BQ129" s="14" t="n"/>
      <c r="BR129" s="14" t="n"/>
      <c r="BS129" s="14" t="n"/>
      <c r="BT129" s="14" t="n"/>
      <c r="BU129" s="14" t="n"/>
      <c r="BV129" s="14" t="n"/>
      <c r="BW129" s="14" t="n"/>
      <c r="BX129" s="14" t="n"/>
      <c r="BY129" s="14" t="n"/>
      <c r="BZ129" s="14" t="n"/>
      <c r="CA129" s="14" t="n"/>
      <c r="CB129" s="14" t="n"/>
      <c r="CC129" s="14" t="n"/>
      <c r="CD129" s="14" t="n"/>
      <c r="CE129" s="14" t="n"/>
      <c r="CF129" s="14" t="n"/>
      <c r="CG129" s="14" t="n"/>
      <c r="CH129" s="14" t="n"/>
      <c r="CI129" s="14" t="n"/>
      <c r="CJ129" s="14" t="n"/>
      <c r="CK129" s="15" t="inlineStr">
        <is>
          <t>GROUP TOTAL (CONSOLIDATED) — modelling logic</t>
        </is>
      </c>
    </row>
    <row r="130" ht="15" customHeight="1" s="251">
      <c r="B130" s="55" t="inlineStr">
        <is>
          <t>Revenue (segment build)</t>
        </is>
      </c>
      <c r="C130" s="267">
        <f>IF(ISNUMBER(C26),C26+C49,C179)</f>
        <v>44282</v>
      </c>
      <c r="D130" s="267">
        <f>IF(ISNUMBER(D26),D26+D49,D179)</f>
        <v>51122</v>
      </c>
      <c r="E130" s="267">
        <f>IF(ISNUMBER(E26),E26+E49,E179)</f>
        <v>60420</v>
      </c>
      <c r="F130" s="267">
        <f>IF(ISNUMBER(F26),F26+F49,F179)</f>
        <v>58437</v>
      </c>
      <c r="G130" s="267">
        <f>IF(ISNUMBER(G26),G26+G49,G179)</f>
        <v>62484</v>
      </c>
      <c r="H130" s="267">
        <f>IF(ISNUMBER(H26),H26+H49,H179)</f>
        <v>69943</v>
      </c>
      <c r="I130" s="267">
        <f>IF(ISNUMBER(I26),I26+I49,I179)</f>
        <v>73723</v>
      </c>
      <c r="J130" s="267">
        <f>IF(ISNUMBER(J26),J26+J49,J179)</f>
        <v>16008</v>
      </c>
      <c r="K130" s="267">
        <f>IF(ISNUMBER(K26),K26+K49,K179)</f>
        <v>21456</v>
      </c>
      <c r="L130" s="267">
        <f>IF(ISNUMBER(L26),L26+L49,L179)</f>
        <v>20489</v>
      </c>
      <c r="M130" s="267">
        <f>IF(ISNUMBER(M26),M26+M49,M179)</f>
        <v>19896</v>
      </c>
      <c r="N130" s="267">
        <f>IF(ISNUMBER(N26),N26+N49,N179)</f>
        <v>77849</v>
      </c>
      <c r="O130" s="267">
        <f>IF(ISNUMBER(O26),O26+O49,O179)</f>
        <v>18529</v>
      </c>
      <c r="P130" s="267">
        <f>IF(ISNUMBER(P26),P26+P49,P179)</f>
        <v>24519</v>
      </c>
      <c r="Q130" s="267">
        <f>IF(ISNUMBER(Q26),Q26+Q49,Q179)</f>
        <v>20403</v>
      </c>
      <c r="R130" s="267">
        <f>IF(ISNUMBER(R26),R26+R49,R179)</f>
        <v>23382</v>
      </c>
      <c r="S130" s="267">
        <f>IF(ISNUMBER(S26),S26+S49,S179)</f>
        <v>86833</v>
      </c>
      <c r="T130" s="267">
        <f>IF(ISNUMBER(T26),T26+T49,T179)</f>
        <v>23201</v>
      </c>
      <c r="U130" s="267">
        <f>IF(ISNUMBER(U26),U26+U49,U179)</f>
        <v>26470</v>
      </c>
      <c r="V130" s="267">
        <f>IF(ISNUMBER(V26),V26+V49,V179)</f>
        <v>21729</v>
      </c>
      <c r="W130" s="267">
        <f>IF(ISNUMBER(W26),W26+W49,W179)</f>
        <v>22180</v>
      </c>
      <c r="X130" s="267">
        <f>IF(ISNUMBER(X26),X26+X49,X179)</f>
        <v>93580</v>
      </c>
      <c r="Y130" s="267">
        <f>IF(ISNUMBER(Y26),Y26+Y49,Y179)</f>
        <v>20379</v>
      </c>
      <c r="Z130" s="267">
        <f>IF(ISNUMBER(Z26),Z26+Z49,Z179)</f>
        <v>23796</v>
      </c>
      <c r="AA130" s="267">
        <f>IF(ISNUMBER(AA26),AA26+AA49,AA179)</f>
        <v>20531</v>
      </c>
      <c r="AB130" s="267">
        <f>IF(ISNUMBER(AB26),AB26+AB49,AB179)</f>
        <v>20614</v>
      </c>
      <c r="AC130" s="267">
        <f>IF(ISNUMBER(AC26),AC26+AC49,AC179)</f>
        <v>85320</v>
      </c>
      <c r="AD130" s="267">
        <f>IF(ISNUMBER(AD26),AD26+AD49,AD179)</f>
        <v>20453</v>
      </c>
      <c r="AE130" s="267">
        <f>IF(ISNUMBER(AE26),AE26+AE49,AE179)</f>
        <v>24090</v>
      </c>
      <c r="AF130" s="267">
        <f>IF(ISNUMBER(AF26),AF26+AF49,AF179)</f>
        <v>22090</v>
      </c>
      <c r="AG130" s="267">
        <f>IF(ISNUMBER(AG26),AG26+AG49,AG179)</f>
        <v>23317</v>
      </c>
      <c r="AH130" s="267">
        <f>IF(ISNUMBER(AH26),AH26+AH49,AH179)</f>
        <v>89950</v>
      </c>
      <c r="AI130" s="267">
        <f>IF(ISNUMBER(AI26),AI26+AI49,AI179)</f>
        <v>24538</v>
      </c>
      <c r="AJ130" s="267">
        <f>IF(ISNUMBER(AJ26),AJ26+AJ49,AJ179)</f>
        <v>28918</v>
      </c>
      <c r="AK130" s="267">
        <f>IF(ISNUMBER(AK26),AK26+AK49,AK179)</f>
        <v>26819</v>
      </c>
      <c r="AL130" s="267">
        <f>IF(ISNUMBER(AL26),AL26+AL49,AL179)</f>
        <v>30085</v>
      </c>
      <c r="AM130" s="267">
        <f>IF(ISNUMBER(AM26),AM26+AM49,AM179)</f>
        <v>110360</v>
      </c>
      <c r="AN130" s="267">
        <f>IF(ISNUMBER(AN26),AN26+AN49,AN179)</f>
        <v>29084</v>
      </c>
      <c r="AO130" s="267">
        <f>IF(ISNUMBER(AO26),AO26+AO49,AO179)</f>
        <v>32471</v>
      </c>
      <c r="AP130" s="267">
        <f>IF(ISNUMBER(AP26),AP26+AP49,AP179)</f>
        <v>30571</v>
      </c>
      <c r="AQ130" s="267">
        <f>IF(ISNUMBER(AQ26),AQ26+AQ49,AQ179)</f>
        <v>33717</v>
      </c>
      <c r="AR130" s="267">
        <f>IF(ISNUMBER(AR26),AR26+AR49,AR179)</f>
        <v>125843</v>
      </c>
      <c r="AS130" s="267">
        <f>IF(ISNUMBER(AS26),AS26+AS49,AS179)</f>
        <v>33055</v>
      </c>
      <c r="AT130" s="267">
        <f>IF(ISNUMBER(AT26),AT26+AT49,AT179)</f>
        <v>36906</v>
      </c>
      <c r="AU130" s="267">
        <f>IF(ISNUMBER(AU26),AU26+AU49,AU179)</f>
        <v>35021</v>
      </c>
      <c r="AV130" s="267">
        <f>IF(ISNUMBER(AV26),AV26+AV49,AV179)</f>
        <v>38033</v>
      </c>
      <c r="AW130" s="267">
        <f>IF(ISNUMBER(AW26),AW26+AW49,AW179)</f>
        <v>143015</v>
      </c>
      <c r="AX130" s="267">
        <f>IF(ISNUMBER(AX26),AX26+AX49,AX179)</f>
        <v>37154</v>
      </c>
      <c r="AY130" s="267">
        <f>IF(ISNUMBER(AY26),AY26+AY49,AY179)</f>
        <v>43076</v>
      </c>
      <c r="AZ130" s="267">
        <f>IF(ISNUMBER(AZ26),AZ26+AZ49,AZ179)</f>
        <v>41706</v>
      </c>
      <c r="BA130" s="267">
        <f>IF(ISNUMBER(BA26),BA26+BA49,BA179)</f>
        <v>46152</v>
      </c>
      <c r="BB130" s="267">
        <f>IF(ISNUMBER(BB26),BB26+BB49,BB179)</f>
        <v>168088</v>
      </c>
      <c r="BC130" s="267">
        <f>IF(ISNUMBER(BC26),BC26+BC49,BC179)</f>
        <v>45317</v>
      </c>
      <c r="BD130" s="267">
        <f>IF(ISNUMBER(BD26),BD26+BD49,BD179)</f>
        <v>51728</v>
      </c>
      <c r="BE130" s="267">
        <f>IF(ISNUMBER(BE26),BE26+BE49,BE179)</f>
        <v>49360</v>
      </c>
      <c r="BF130" s="267">
        <f>IF(ISNUMBER(BF26),BF26+BF49,BF179)</f>
        <v>51865</v>
      </c>
      <c r="BG130" s="267">
        <f>IF(ISNUMBER(BG26),BG26+BG49,BG179)</f>
        <v>198270</v>
      </c>
      <c r="BH130" s="267">
        <f>IF(ISNUMBER(BH26),BH26+BH49,BH179)</f>
        <v>50122</v>
      </c>
      <c r="BI130" s="267">
        <f>IF(ISNUMBER(BI26),BI26+BI49,BI179)</f>
        <v>52747</v>
      </c>
      <c r="BJ130" s="267">
        <f>IF(ISNUMBER(BJ26),BJ26+BJ49,BJ179)</f>
        <v>52857</v>
      </c>
      <c r="BK130" s="267">
        <f>IF(ISNUMBER(BK26),BK26+BK49,BK179)</f>
        <v>56189</v>
      </c>
      <c r="BL130" s="267">
        <f>IF(ISNUMBER(BL26),BL26+BL49,BL179)</f>
        <v>211915</v>
      </c>
      <c r="BM130" s="267">
        <f>IF(ISNUMBER(BM26),BM26+BM49,BM179)</f>
        <v>56517</v>
      </c>
      <c r="BN130" s="267">
        <f>IF(ISNUMBER(BN26),BN26+BN49,BN179)</f>
        <v>62020</v>
      </c>
      <c r="BO130" s="267">
        <f>IF(ISNUMBER(BO26),BO26+BO49,BO179)</f>
        <v>61858</v>
      </c>
      <c r="BP130" s="267">
        <f>IF(ISNUMBER(BP26),BP26+BP49,BP179)</f>
        <v>64727</v>
      </c>
      <c r="BQ130" s="267">
        <f>IF(ISNUMBER(BQ26),BQ26+BQ49,BQ179)</f>
        <v>245122</v>
      </c>
      <c r="BR130" s="267">
        <f>IF(ISNUMBER(BR26),BR26+BR49,BR179)</f>
        <v>65585</v>
      </c>
      <c r="BS130" s="267">
        <f>IF(ISNUMBER(BS26),BS26+BS49,BS179)</f>
        <v>69632</v>
      </c>
      <c r="BT130" s="267">
        <f>IF(ISNUMBER(BT26),BT26+BT49,BT179)</f>
        <v>70066</v>
      </c>
      <c r="BU130" s="267">
        <f>IF(ISNUMBER(BU26),BU26+BU49,BU179)</f>
        <v>76441</v>
      </c>
      <c r="BV130" s="267">
        <f>IF(ISNUMBER(BV26),BV26+BV49,BV179)</f>
        <v>281724</v>
      </c>
      <c r="BW130" s="267">
        <f>IF(ISNUMBER(BW26),BW26+BW49,BW179)</f>
        <v>77673</v>
      </c>
      <c r="BX130" s="267">
        <f>IF(ISNUMBER(BX26),BX26+BX49,BX179)</f>
        <v>81273</v>
      </c>
      <c r="BY130" s="267">
        <f>IF(ISNUMBER(BY26),BY26+BY49,BY179)</f>
        <v>82886</v>
      </c>
      <c r="BZ130" s="267">
        <f>IF(ISNUMBER(BZ26),BZ26+BZ49,BZ179)</f>
        <v>90007</v>
      </c>
      <c r="CA130" s="267">
        <f>IF(ISNUMBER(CA26),CA26+CA49,CA179)</f>
        <v>331839</v>
      </c>
      <c r="CB130" s="267">
        <f>CB26+CB49+N(CB120)</f>
        <v>90400</v>
      </c>
      <c r="CC130" s="267">
        <f>CC26+CC49+N(CC120)</f>
        <v>94814.7169419038</v>
      </c>
      <c r="CD130" s="267">
        <f>CD26+CD49+N(CD120)</f>
        <v>97482.3389052992</v>
      </c>
      <c r="CE130" s="267">
        <f>CE26+CE49+N(CE120)</f>
        <v>106419.266141672</v>
      </c>
      <c r="CF130" s="267">
        <f>CF26+CF49+N(CF120)</f>
        <v>389116.321988875</v>
      </c>
      <c r="CG130" s="267">
        <f>CG26+CG49+N(CG120)</f>
        <v>455406.771964896</v>
      </c>
      <c r="CH130" s="267">
        <f>CH26+CH49+N(CH120)</f>
        <v>526872.13143062</v>
      </c>
      <c r="CI130" s="267">
        <f>CI26+CI49+N(CI120)</f>
        <v>599356.932525938</v>
      </c>
      <c r="CJ130" s="267">
        <f>CJ26+CJ49+N(CJ120)</f>
        <v>671698.960824128</v>
      </c>
      <c r="CK130" s="153" t="inlineStr">
        <is>
          <t>Σ segment revenue (+ future acquisitions from 2028E). Before Q1/25 = consolidated revenue (no FY27-basis split).</t>
        </is>
      </c>
      <c r="CM130" s="20">
        <f>IFERROR((CJ130/CA130)^(1/5)-1,"n/m")</f>
        <v>0.151461575606386</v>
      </c>
      <c r="CN130" s="20">
        <f>IFERROR((CA130/BB130)^(1/5)-1,"n/m")</f>
        <v>0.145719073809531</v>
      </c>
      <c r="CO130" s="20">
        <f>IFERROR((CA130/AC130)^(1/10)-1,"n/m")</f>
        <v>0.145480387927091</v>
      </c>
      <c r="CP130" s="20">
        <f>IFERROR((CA130/C130)^(1/20)-1,"n/m")</f>
        <v>0.105948769916906</v>
      </c>
    </row>
    <row r="131" ht="15" customHeight="1" s="251">
      <c r="B131" s="22" t="inlineStr">
        <is>
          <t xml:space="preserve">  Revenue y/y %</t>
        </is>
      </c>
      <c r="C131" s="23" t="n"/>
      <c r="D131" s="255">
        <f>IF(AND(ISNUMBER(D130),ISNUMBER(C130)),IFERROR(D130/C130-1,""),"")</f>
        <v>0.154464567996025</v>
      </c>
      <c r="E131" s="255">
        <f>IF(AND(ISNUMBER(E130),ISNUMBER(D130)),IFERROR(E130/D130-1,""),"")</f>
        <v>0.181878643245569</v>
      </c>
      <c r="F131" s="255">
        <f>IF(AND(ISNUMBER(F130),ISNUMBER(E130)),IFERROR(F130/E130-1,""),"")</f>
        <v>-0.0328202581926514</v>
      </c>
      <c r="G131" s="255">
        <f>IF(AND(ISNUMBER(G130),ISNUMBER(F130)),IFERROR(G130/F130-1,""),"")</f>
        <v>0.0692540684840084</v>
      </c>
      <c r="H131" s="255">
        <f>IF(AND(ISNUMBER(H130),ISNUMBER(G130)),IFERROR(H130/G130-1,""),"")</f>
        <v>0.119374559887331</v>
      </c>
      <c r="I131" s="255">
        <f>IF(AND(ISNUMBER(I130),ISNUMBER(H130)),IFERROR(I130/H130-1,""),"")</f>
        <v>0.054044007263057</v>
      </c>
      <c r="J131" s="23" t="n"/>
      <c r="K131" s="23" t="n"/>
      <c r="L131" s="23" t="n"/>
      <c r="M131" s="23" t="n"/>
      <c r="N131" s="255">
        <f>IF(AND(ISNUMBER(N130),ISNUMBER(I130)),IFERROR(N130/I130-1,""),"")</f>
        <v>0.0559662520515984</v>
      </c>
      <c r="O131" s="255">
        <f>IF(AND(ISNUMBER(O130),ISNUMBER(J130)),IFERROR(O130/J130-1,""),"")</f>
        <v>0.15748375812094</v>
      </c>
      <c r="P131" s="255">
        <f>IF(AND(ISNUMBER(P130),ISNUMBER(K130)),IFERROR(P130/K130-1,""),"")</f>
        <v>0.142757270693512</v>
      </c>
      <c r="Q131" s="255">
        <f>IF(AND(ISNUMBER(Q130),ISNUMBER(L130)),IFERROR(Q130/L130-1,""),"")</f>
        <v>-0.00419737420079069</v>
      </c>
      <c r="R131" s="255">
        <f>IF(AND(ISNUMBER(R130),ISNUMBER(M130)),IFERROR(R130/M130-1,""),"")</f>
        <v>0.175211097708082</v>
      </c>
      <c r="S131" s="255">
        <f>IF(AND(ISNUMBER(S130),ISNUMBER(N130)),IFERROR(S130/N130-1,""),"")</f>
        <v>0.115402895348688</v>
      </c>
      <c r="T131" s="255">
        <f>IF(AND(ISNUMBER(T130),ISNUMBER(O130)),IFERROR(T130/O130-1,""),"")</f>
        <v>0.252145285768255</v>
      </c>
      <c r="U131" s="255">
        <f>IF(AND(ISNUMBER(U130),ISNUMBER(P130)),IFERROR(U130/P130-1,""),"")</f>
        <v>0.079570944981443</v>
      </c>
      <c r="V131" s="255">
        <f>IF(AND(ISNUMBER(V130),ISNUMBER(Q130)),IFERROR(V130/Q130-1,""),"")</f>
        <v>0.0649904425819732</v>
      </c>
      <c r="W131" s="255">
        <f>IF(AND(ISNUMBER(W130),ISNUMBER(R130)),IFERROR(W130/R130-1,""),"")</f>
        <v>-0.0514070652638782</v>
      </c>
      <c r="X131" s="255">
        <f>IF(AND(ISNUMBER(X130),ISNUMBER(S130)),IFERROR(X130/S130-1,""),"")</f>
        <v>0.0777008740916472</v>
      </c>
      <c r="Y131" s="255">
        <f>IF(AND(ISNUMBER(Y130),ISNUMBER(T130)),IFERROR(Y130/T130-1,""),"")</f>
        <v>-0.121632688246196</v>
      </c>
      <c r="Z131" s="255">
        <f>IF(AND(ISNUMBER(Z130),ISNUMBER(U130)),IFERROR(Z130/U130-1,""),"")</f>
        <v>-0.10102002266717</v>
      </c>
      <c r="AA131" s="255">
        <f>IF(AND(ISNUMBER(AA130),ISNUMBER(V130)),IFERROR(AA130/V130-1,""),"")</f>
        <v>-0.0551336923006121</v>
      </c>
      <c r="AB131" s="255">
        <f>IF(AND(ISNUMBER(AB130),ISNUMBER(W130)),IFERROR(AB130/W130-1,""),"")</f>
        <v>-0.0706041478809738</v>
      </c>
      <c r="AC131" s="255">
        <f>IF(AND(ISNUMBER(AC130),ISNUMBER(X130)),IFERROR(AC130/X130-1,""),"")</f>
        <v>-0.0882667236589014</v>
      </c>
      <c r="AD131" s="255">
        <f>IF(AND(ISNUMBER(AD130),ISNUMBER(Y130)),IFERROR(AD130/Y130-1,""),"")</f>
        <v>0.0036311889690368</v>
      </c>
      <c r="AE131" s="255">
        <f>IF(AND(ISNUMBER(AE130),ISNUMBER(Z130)),IFERROR(AE130/Z130-1,""),"")</f>
        <v>0.0123550176500251</v>
      </c>
      <c r="AF131" s="255">
        <f>IF(AND(ISNUMBER(AF130),ISNUMBER(AA130)),IFERROR(AF130/AA130-1,""),"")</f>
        <v>0.0759339535336807</v>
      </c>
      <c r="AG131" s="255">
        <f>IF(AND(ISNUMBER(AG130),ISNUMBER(AB130)),IFERROR(AG130/AB130-1,""),"")</f>
        <v>0.131124478509751</v>
      </c>
      <c r="AH131" s="255">
        <f>IF(AND(ISNUMBER(AH130),ISNUMBER(AC130)),IFERROR(AH130/AC130-1,""),"")</f>
        <v>0.0542662916080638</v>
      </c>
      <c r="AI131" s="255">
        <f>IF(AND(ISNUMBER(AI130),ISNUMBER(AD130)),IFERROR(AI130/AD130-1,""),"")</f>
        <v>0.199726201535227</v>
      </c>
      <c r="AJ131" s="255">
        <f>IF(AND(ISNUMBER(AJ130),ISNUMBER(AE130)),IFERROR(AJ130/AE130-1,""),"")</f>
        <v>0.200415110004151</v>
      </c>
      <c r="AK131" s="255">
        <f>IF(AND(ISNUMBER(AK130),ISNUMBER(AF130)),IFERROR(AK130/AF130-1,""),"")</f>
        <v>0.214078768673608</v>
      </c>
      <c r="AL131" s="255">
        <f>IF(AND(ISNUMBER(AL130),ISNUMBER(AG130)),IFERROR(AL130/AG130-1,""),"")</f>
        <v>0.290260325084702</v>
      </c>
      <c r="AM131" s="255">
        <f>IF(AND(ISNUMBER(AM130),ISNUMBER(AH130)),IFERROR(AM130/AH130-1,""),"")</f>
        <v>0.226903835464147</v>
      </c>
      <c r="AN131" s="255">
        <f>IF(AND(ISNUMBER(AN130),ISNUMBER(AI130)),IFERROR(AN130/AI130-1,""),"")</f>
        <v>0.185263672670959</v>
      </c>
      <c r="AO131" s="255">
        <f>IF(AND(ISNUMBER(AO130),ISNUMBER(AJ130)),IFERROR(AO130/AJ130-1,""),"")</f>
        <v>0.122864651773982</v>
      </c>
      <c r="AP131" s="255">
        <f>IF(AND(ISNUMBER(AP130),ISNUMBER(AK130)),IFERROR(AP130/AK130-1,""),"")</f>
        <v>0.139900816585257</v>
      </c>
      <c r="AQ131" s="255">
        <f>IF(AND(ISNUMBER(AQ130),ISNUMBER(AL130)),IFERROR(AQ130/AL130-1,""),"")</f>
        <v>0.120724613594815</v>
      </c>
      <c r="AR131" s="255">
        <f>IF(AND(ISNUMBER(AR130),ISNUMBER(AM130)),IFERROR(AR130/AM130-1,""),"")</f>
        <v>0.140295396882929</v>
      </c>
      <c r="AS131" s="255">
        <f>IF(AND(ISNUMBER(AS130),ISNUMBER(AN130)),IFERROR(AS130/AN130-1,""),"")</f>
        <v>0.136535552193646</v>
      </c>
      <c r="AT131" s="255">
        <f>IF(AND(ISNUMBER(AT130),ISNUMBER(AO130)),IFERROR(AT130/AO130-1,""),"")</f>
        <v>0.136583412891503</v>
      </c>
      <c r="AU131" s="255">
        <f>IF(AND(ISNUMBER(AU130),ISNUMBER(AP130)),IFERROR(AU130/AP130-1,""),"")</f>
        <v>0.145562788263387</v>
      </c>
      <c r="AV131" s="255">
        <f>IF(AND(ISNUMBER(AV130),ISNUMBER(AQ130)),IFERROR(AV130/AQ130-1,""),"")</f>
        <v>0.128006643532936</v>
      </c>
      <c r="AW131" s="255">
        <f>IF(AND(ISNUMBER(AW130),ISNUMBER(AR130)),IFERROR(AW130/AR130-1,""),"")</f>
        <v>0.136455742472764</v>
      </c>
      <c r="AX131" s="255">
        <f>IF(AND(ISNUMBER(AX130),ISNUMBER(AS130)),IFERROR(AX130/AS130-1,""),"")</f>
        <v>0.124005445469672</v>
      </c>
      <c r="AY131" s="255">
        <f>IF(AND(ISNUMBER(AY130),ISNUMBER(AT130)),IFERROR(AY130/AT130-1,""),"")</f>
        <v>0.167181488104915</v>
      </c>
      <c r="AZ131" s="255">
        <f>IF(AND(ISNUMBER(AZ130),ISNUMBER(AU130)),IFERROR(AZ130/AU130-1,""),"")</f>
        <v>0.190885468718769</v>
      </c>
      <c r="BA131" s="255">
        <f>IF(AND(ISNUMBER(BA130),ISNUMBER(AV130)),IFERROR(BA130/AV130-1,""),"")</f>
        <v>0.21347251071438</v>
      </c>
      <c r="BB131" s="255">
        <f>IF(AND(ISNUMBER(BB130),ISNUMBER(AW130)),IFERROR(BB130/AW130-1,""),"")</f>
        <v>0.175317274411775</v>
      </c>
      <c r="BC131" s="255">
        <f>IF(AND(ISNUMBER(BC130),ISNUMBER(AX130)),IFERROR(BC130/AX130-1,""),"")</f>
        <v>0.219707164773645</v>
      </c>
      <c r="BD131" s="255">
        <f>IF(AND(ISNUMBER(BD130),ISNUMBER(AY130)),IFERROR(BD130/AY130-1,""),"")</f>
        <v>0.2008543040208</v>
      </c>
      <c r="BE131" s="255">
        <f>IF(AND(ISNUMBER(BE130),ISNUMBER(AZ130)),IFERROR(BE130/AZ130-1,""),"")</f>
        <v>0.183522754519733</v>
      </c>
      <c r="BF131" s="255">
        <f>IF(AND(ISNUMBER(BF130),ISNUMBER(BA130)),IFERROR(BF130/BA130-1,""),"")</f>
        <v>0.123786618131392</v>
      </c>
      <c r="BG131" s="255">
        <f>IF(AND(ISNUMBER(BG130),ISNUMBER(BB130)),IFERROR(BG130/BB130-1,""),"")</f>
        <v>0.179560706296702</v>
      </c>
      <c r="BH131" s="255">
        <f>IF(AND(ISNUMBER(BH130),ISNUMBER(BC130)),IFERROR(BH130/BC130-1,""),"")</f>
        <v>0.106030849350133</v>
      </c>
      <c r="BI131" s="255">
        <f>IF(AND(ISNUMBER(BI130),ISNUMBER(BD130)),IFERROR(BI130/BD130-1,""),"")</f>
        <v>0.0196991957933808</v>
      </c>
      <c r="BJ131" s="255">
        <f>IF(AND(ISNUMBER(BJ130),ISNUMBER(BE130)),IFERROR(BJ130/BE130-1,""),"")</f>
        <v>0.0708468395461912</v>
      </c>
      <c r="BK131" s="255">
        <f>IF(AND(ISNUMBER(BK130),ISNUMBER(BF130)),IFERROR(BK130/BF130-1,""),"")</f>
        <v>0.0833702882483369</v>
      </c>
      <c r="BL131" s="255">
        <f>IF(AND(ISNUMBER(BL130),ISNUMBER(BG130)),IFERROR(BL130/BG130-1,""),"")</f>
        <v>0.0688202955565642</v>
      </c>
      <c r="BM131" s="255">
        <f>IF(AND(ISNUMBER(BM130),ISNUMBER(BH130)),IFERROR(BM130/BH130-1,""),"")</f>
        <v>0.127588683611987</v>
      </c>
      <c r="BN131" s="255">
        <f>IF(AND(ISNUMBER(BN130),ISNUMBER(BI130)),IFERROR(BN130/BI130-1,""),"")</f>
        <v>0.175801467382031</v>
      </c>
      <c r="BO131" s="255">
        <f>IF(AND(ISNUMBER(BO130),ISNUMBER(BJ130)),IFERROR(BO130/BJ130-1,""),"")</f>
        <v>0.170289649431485</v>
      </c>
      <c r="BP131" s="255">
        <f>IF(AND(ISNUMBER(BP130),ISNUMBER(BK130)),IFERROR(BP130/BK130-1,""),"")</f>
        <v>0.15195144957198</v>
      </c>
      <c r="BQ131" s="255">
        <f>IF(AND(ISNUMBER(BQ130),ISNUMBER(BL130)),IFERROR(BQ130/BL130-1,""),"")</f>
        <v>0.156699620130713</v>
      </c>
      <c r="BR131" s="255">
        <f>IF(AND(ISNUMBER(BR130),ISNUMBER(BM130)),IFERROR(BR130/BM130-1,""),"")</f>
        <v>0.160447299042766</v>
      </c>
      <c r="BS131" s="255">
        <f>IF(AND(ISNUMBER(BS130),ISNUMBER(BN130)),IFERROR(BS130/BN130-1,""),"")</f>
        <v>0.122734601741374</v>
      </c>
      <c r="BT131" s="255">
        <f>IF(AND(ISNUMBER(BT130),ISNUMBER(BO130)),IFERROR(BT130/BO130-1,""),"")</f>
        <v>0.132691001972259</v>
      </c>
      <c r="BU131" s="255">
        <f>IF(AND(ISNUMBER(BU130),ISNUMBER(BP130)),IFERROR(BU130/BP130-1,""),"")</f>
        <v>0.180975481638265</v>
      </c>
      <c r="BV131" s="255">
        <f>IF(AND(ISNUMBER(BV130),ISNUMBER(BQ130)),IFERROR(BV130/BQ130-1,""),"")</f>
        <v>0.149321562324067</v>
      </c>
      <c r="BW131" s="255">
        <f>IF(AND(ISNUMBER(BW130),ISNUMBER(BR130)),IFERROR(BW130/BR130-1,""),"")</f>
        <v>0.184310436837692</v>
      </c>
      <c r="BX131" s="255">
        <f>IF(AND(ISNUMBER(BX130),ISNUMBER(BS130)),IFERROR(BX130/BS130-1,""),"")</f>
        <v>0.167178883272059</v>
      </c>
      <c r="BY131" s="255">
        <f>IF(AND(ISNUMBER(BY130),ISNUMBER(BT130)),IFERROR(BY130/BT130-1,""),"")</f>
        <v>0.182970342248737</v>
      </c>
      <c r="BZ131" s="255">
        <f>IF(AND(ISNUMBER(BZ130),ISNUMBER(BU130)),IFERROR(BZ130/BU130-1,""),"")</f>
        <v>0.177470205779621</v>
      </c>
      <c r="CA131" s="255">
        <f>IF(AND(ISNUMBER(CA130),ISNUMBER(BV130)),IFERROR(CA130/BV130-1,""),"")</f>
        <v>0.177886867998467</v>
      </c>
      <c r="CB131" s="256">
        <f>IF(AND(ISNUMBER(CB130),ISNUMBER(BW130)),IFERROR(CB130/BW130-1,""),"")</f>
        <v>0.163853591338045</v>
      </c>
      <c r="CC131" s="256">
        <f>IF(AND(ISNUMBER(CC130),ISNUMBER(BX130)),IFERROR(CC130/BX130-1,""),"")</f>
        <v>0.16662011912817</v>
      </c>
      <c r="CD131" s="256">
        <f>IF(AND(ISNUMBER(CD130),ISNUMBER(BY130)),IFERROR(CD130/BY130-1,""),"")</f>
        <v>0.176101379066418</v>
      </c>
      <c r="CE131" s="256">
        <f>IF(AND(ISNUMBER(CE130),ISNUMBER(BZ130)),IFERROR(CE130/BZ130-1,""),"")</f>
        <v>0.182344330348438</v>
      </c>
      <c r="CF131" s="256">
        <f>IF(AND(ISNUMBER(CF130),ISNUMBER(CA130)),IFERROR(CF130/CA130-1,""),"")</f>
        <v>0.172605757577846</v>
      </c>
      <c r="CG131" s="256">
        <f>IF(AND(ISNUMBER(CG130),ISNUMBER(CF130)),IFERROR(CG130/CF130-1,""),"")</f>
        <v>0.170361524896188</v>
      </c>
      <c r="CH131" s="256">
        <f>IF(AND(ISNUMBER(CH130),ISNUMBER(CG130)),IFERROR(CH130/CG130-1,""),"")</f>
        <v>0.156926431193326</v>
      </c>
      <c r="CI131" s="256">
        <f>IF(AND(ISNUMBER(CI130),ISNUMBER(CH130)),IFERROR(CI130/CH130-1,""),"")</f>
        <v>0.137575697728593</v>
      </c>
      <c r="CJ131" s="256">
        <f>IF(AND(ISNUMBER(CJ130),ISNUMBER(CI130)),IFERROR(CJ130/CI130-1,""),"")</f>
        <v>0.120699410271791</v>
      </c>
      <c r="CK131" s="153" t="n"/>
    </row>
    <row r="132" ht="15" customHeight="1" s="251">
      <c r="B132" s="57" t="inlineStr">
        <is>
          <t xml:space="preserve">  Check: segment build vs consolidated revenue (should be 0)</t>
        </is>
      </c>
      <c r="C132" s="211">
        <f>IF(ISNUMBER(C130),IF(ABS(C130-C179)&lt;=1,0,ROUND(C130-C179,0)),"")</f>
        <v>0</v>
      </c>
      <c r="D132" s="211">
        <f>IF(ISNUMBER(D130),IF(ABS(D130-D179)&lt;=1,0,ROUND(D130-D179,0)),"")</f>
        <v>0</v>
      </c>
      <c r="E132" s="211">
        <f>IF(ISNUMBER(E130),IF(ABS(E130-E179)&lt;=1,0,ROUND(E130-E179,0)),"")</f>
        <v>0</v>
      </c>
      <c r="F132" s="211">
        <f>IF(ISNUMBER(F130),IF(ABS(F130-F179)&lt;=1,0,ROUND(F130-F179,0)),"")</f>
        <v>0</v>
      </c>
      <c r="G132" s="211">
        <f>IF(ISNUMBER(G130),IF(ABS(G130-G179)&lt;=1,0,ROUND(G130-G179,0)),"")</f>
        <v>0</v>
      </c>
      <c r="H132" s="211">
        <f>IF(ISNUMBER(H130),IF(ABS(H130-H179)&lt;=1,0,ROUND(H130-H179,0)),"")</f>
        <v>0</v>
      </c>
      <c r="I132" s="211">
        <f>IF(ISNUMBER(I130),IF(ABS(I130-I179)&lt;=1,0,ROUND(I130-I179,0)),"")</f>
        <v>0</v>
      </c>
      <c r="J132" s="211">
        <f>IF(ISNUMBER(J130),IF(ABS(J130-J179)&lt;=1,0,ROUND(J130-J179,0)),"")</f>
        <v>0</v>
      </c>
      <c r="K132" s="211">
        <f>IF(ISNUMBER(K130),IF(ABS(K130-K179)&lt;=1,0,ROUND(K130-K179,0)),"")</f>
        <v>0</v>
      </c>
      <c r="L132" s="211">
        <f>IF(ISNUMBER(L130),IF(ABS(L130-L179)&lt;=1,0,ROUND(L130-L179,0)),"")</f>
        <v>0</v>
      </c>
      <c r="M132" s="211">
        <f>IF(ISNUMBER(M130),IF(ABS(M130-M179)&lt;=1,0,ROUND(M130-M179,0)),"")</f>
        <v>0</v>
      </c>
      <c r="N132" s="211">
        <f>IF(ISNUMBER(N130),IF(ABS(N130-N179)&lt;=1,0,ROUND(N130-N179,0)),"")</f>
        <v>0</v>
      </c>
      <c r="O132" s="211">
        <f>IF(ISNUMBER(O130),IF(ABS(O130-O179)&lt;=1,0,ROUND(O130-O179,0)),"")</f>
        <v>0</v>
      </c>
      <c r="P132" s="211">
        <f>IF(ISNUMBER(P130),IF(ABS(P130-P179)&lt;=1,0,ROUND(P130-P179,0)),"")</f>
        <v>0</v>
      </c>
      <c r="Q132" s="211">
        <f>IF(ISNUMBER(Q130),IF(ABS(Q130-Q179)&lt;=1,0,ROUND(Q130-Q179,0)),"")</f>
        <v>0</v>
      </c>
      <c r="R132" s="211">
        <f>IF(ISNUMBER(R130),IF(ABS(R130-R179)&lt;=1,0,ROUND(R130-R179,0)),"")</f>
        <v>0</v>
      </c>
      <c r="S132" s="211">
        <f>IF(ISNUMBER(S130),IF(ABS(S130-S179)&lt;=1,0,ROUND(S130-S179,0)),"")</f>
        <v>0</v>
      </c>
      <c r="T132" s="211">
        <f>IF(ISNUMBER(T130),IF(ABS(T130-T179)&lt;=1,0,ROUND(T130-T179,0)),"")</f>
        <v>0</v>
      </c>
      <c r="U132" s="211">
        <f>IF(ISNUMBER(U130),IF(ABS(U130-U179)&lt;=1,0,ROUND(U130-U179,0)),"")</f>
        <v>0</v>
      </c>
      <c r="V132" s="211">
        <f>IF(ISNUMBER(V130),IF(ABS(V130-V179)&lt;=1,0,ROUND(V130-V179,0)),"")</f>
        <v>0</v>
      </c>
      <c r="W132" s="211">
        <f>IF(ISNUMBER(W130),IF(ABS(W130-W179)&lt;=1,0,ROUND(W130-W179,0)),"")</f>
        <v>0</v>
      </c>
      <c r="X132" s="211">
        <f>IF(ISNUMBER(X130),IF(ABS(X130-X179)&lt;=1,0,ROUND(X130-X179,0)),"")</f>
        <v>0</v>
      </c>
      <c r="Y132" s="211">
        <f>IF(ISNUMBER(Y130),IF(ABS(Y130-Y179)&lt;=1,0,ROUND(Y130-Y179,0)),"")</f>
        <v>0</v>
      </c>
      <c r="Z132" s="211">
        <f>IF(ISNUMBER(Z130),IF(ABS(Z130-Z179)&lt;=1,0,ROUND(Z130-Z179,0)),"")</f>
        <v>0</v>
      </c>
      <c r="AA132" s="211">
        <f>IF(ISNUMBER(AA130),IF(ABS(AA130-AA179)&lt;=1,0,ROUND(AA130-AA179,0)),"")</f>
        <v>0</v>
      </c>
      <c r="AB132" s="211">
        <f>IF(ISNUMBER(AB130),IF(ABS(AB130-AB179)&lt;=1,0,ROUND(AB130-AB179,0)),"")</f>
        <v>0</v>
      </c>
      <c r="AC132" s="211">
        <f>IF(ISNUMBER(AC130),IF(ABS(AC130-AC179)&lt;=1,0,ROUND(AC130-AC179,0)),"")</f>
        <v>0</v>
      </c>
      <c r="AD132" s="211">
        <f>IF(ISNUMBER(AD130),IF(ABS(AD130-AD179)&lt;=1,0,ROUND(AD130-AD179,0)),"")</f>
        <v>0</v>
      </c>
      <c r="AE132" s="211">
        <f>IF(ISNUMBER(AE130),IF(ABS(AE130-AE179)&lt;=1,0,ROUND(AE130-AE179,0)),"")</f>
        <v>0</v>
      </c>
      <c r="AF132" s="211">
        <f>IF(ISNUMBER(AF130),IF(ABS(AF130-AF179)&lt;=1,0,ROUND(AF130-AF179,0)),"")</f>
        <v>0</v>
      </c>
      <c r="AG132" s="211">
        <f>IF(ISNUMBER(AG130),IF(ABS(AG130-AG179)&lt;=1,0,ROUND(AG130-AG179,0)),"")</f>
        <v>0</v>
      </c>
      <c r="AH132" s="211">
        <f>IF(ISNUMBER(AH130),IF(ABS(AH130-AH179)&lt;=1,0,ROUND(AH130-AH179,0)),"")</f>
        <v>0</v>
      </c>
      <c r="AI132" s="211">
        <f>IF(ISNUMBER(AI130),IF(ABS(AI130-AI179)&lt;=1,0,ROUND(AI130-AI179,0)),"")</f>
        <v>0</v>
      </c>
      <c r="AJ132" s="211">
        <f>IF(ISNUMBER(AJ130),IF(ABS(AJ130-AJ179)&lt;=1,0,ROUND(AJ130-AJ179,0)),"")</f>
        <v>0</v>
      </c>
      <c r="AK132" s="211">
        <f>IF(ISNUMBER(AK130),IF(ABS(AK130-AK179)&lt;=1,0,ROUND(AK130-AK179,0)),"")</f>
        <v>0</v>
      </c>
      <c r="AL132" s="211">
        <f>IF(ISNUMBER(AL130),IF(ABS(AL130-AL179)&lt;=1,0,ROUND(AL130-AL179,0)),"")</f>
        <v>0</v>
      </c>
      <c r="AM132" s="211">
        <f>IF(ISNUMBER(AM130),IF(ABS(AM130-AM179)&lt;=1,0,ROUND(AM130-AM179,0)),"")</f>
        <v>0</v>
      </c>
      <c r="AN132" s="211">
        <f>IF(ISNUMBER(AN130),IF(ABS(AN130-AN179)&lt;=1,0,ROUND(AN130-AN179,0)),"")</f>
        <v>0</v>
      </c>
      <c r="AO132" s="211">
        <f>IF(ISNUMBER(AO130),IF(ABS(AO130-AO179)&lt;=1,0,ROUND(AO130-AO179,0)),"")</f>
        <v>0</v>
      </c>
      <c r="AP132" s="211">
        <f>IF(ISNUMBER(AP130),IF(ABS(AP130-AP179)&lt;=1,0,ROUND(AP130-AP179,0)),"")</f>
        <v>0</v>
      </c>
      <c r="AQ132" s="211">
        <f>IF(ISNUMBER(AQ130),IF(ABS(AQ130-AQ179)&lt;=1,0,ROUND(AQ130-AQ179,0)),"")</f>
        <v>0</v>
      </c>
      <c r="AR132" s="211">
        <f>IF(ISNUMBER(AR130),IF(ABS(AR130-AR179)&lt;=1,0,ROUND(AR130-AR179,0)),"")</f>
        <v>0</v>
      </c>
      <c r="AS132" s="211">
        <f>IF(ISNUMBER(AS130),IF(ABS(AS130-AS179)&lt;=1,0,ROUND(AS130-AS179,0)),"")</f>
        <v>0</v>
      </c>
      <c r="AT132" s="211">
        <f>IF(ISNUMBER(AT130),IF(ABS(AT130-AT179)&lt;=1,0,ROUND(AT130-AT179,0)),"")</f>
        <v>0</v>
      </c>
      <c r="AU132" s="211">
        <f>IF(ISNUMBER(AU130),IF(ABS(AU130-AU179)&lt;=1,0,ROUND(AU130-AU179,0)),"")</f>
        <v>0</v>
      </c>
      <c r="AV132" s="211">
        <f>IF(ISNUMBER(AV130),IF(ABS(AV130-AV179)&lt;=1,0,ROUND(AV130-AV179,0)),"")</f>
        <v>0</v>
      </c>
      <c r="AW132" s="211">
        <f>IF(ISNUMBER(AW130),IF(ABS(AW130-AW179)&lt;=1,0,ROUND(AW130-AW179,0)),"")</f>
        <v>0</v>
      </c>
      <c r="AX132" s="211">
        <f>IF(ISNUMBER(AX130),IF(ABS(AX130-AX179)&lt;=1,0,ROUND(AX130-AX179,0)),"")</f>
        <v>0</v>
      </c>
      <c r="AY132" s="211">
        <f>IF(ISNUMBER(AY130),IF(ABS(AY130-AY179)&lt;=1,0,ROUND(AY130-AY179,0)),"")</f>
        <v>0</v>
      </c>
      <c r="AZ132" s="211">
        <f>IF(ISNUMBER(AZ130),IF(ABS(AZ130-AZ179)&lt;=1,0,ROUND(AZ130-AZ179,0)),"")</f>
        <v>0</v>
      </c>
      <c r="BA132" s="211">
        <f>IF(ISNUMBER(BA130),IF(ABS(BA130-BA179)&lt;=1,0,ROUND(BA130-BA179,0)),"")</f>
        <v>0</v>
      </c>
      <c r="BB132" s="211">
        <f>IF(ISNUMBER(BB130),IF(ABS(BB130-BB179)&lt;=1,0,ROUND(BB130-BB179,0)),"")</f>
        <v>0</v>
      </c>
      <c r="BC132" s="211">
        <f>IF(ISNUMBER(BC130),IF(ABS(BC130-BC179)&lt;=1,0,ROUND(BC130-BC179,0)),"")</f>
        <v>0</v>
      </c>
      <c r="BD132" s="211">
        <f>IF(ISNUMBER(BD130),IF(ABS(BD130-BD179)&lt;=1,0,ROUND(BD130-BD179,0)),"")</f>
        <v>0</v>
      </c>
      <c r="BE132" s="211">
        <f>IF(ISNUMBER(BE130),IF(ABS(BE130-BE179)&lt;=1,0,ROUND(BE130-BE179,0)),"")</f>
        <v>0</v>
      </c>
      <c r="BF132" s="211">
        <f>IF(ISNUMBER(BF130),IF(ABS(BF130-BF179)&lt;=1,0,ROUND(BF130-BF179,0)),"")</f>
        <v>0</v>
      </c>
      <c r="BG132" s="211">
        <f>IF(ISNUMBER(BG130),IF(ABS(BG130-BG179)&lt;=1,0,ROUND(BG130-BG179,0)),"")</f>
        <v>0</v>
      </c>
      <c r="BH132" s="211">
        <f>IF(ISNUMBER(BH130),IF(ABS(BH130-BH179)&lt;=1,0,ROUND(BH130-BH179,0)),"")</f>
        <v>0</v>
      </c>
      <c r="BI132" s="211">
        <f>IF(ISNUMBER(BI130),IF(ABS(BI130-BI179)&lt;=1,0,ROUND(BI130-BI179,0)),"")</f>
        <v>0</v>
      </c>
      <c r="BJ132" s="211">
        <f>IF(ISNUMBER(BJ130),IF(ABS(BJ130-BJ179)&lt;=1,0,ROUND(BJ130-BJ179,0)),"")</f>
        <v>0</v>
      </c>
      <c r="BK132" s="211">
        <f>IF(ISNUMBER(BK130),IF(ABS(BK130-BK179)&lt;=1,0,ROUND(BK130-BK179,0)),"")</f>
        <v>0</v>
      </c>
      <c r="BL132" s="211">
        <f>IF(ISNUMBER(BL130),IF(ABS(BL130-BL179)&lt;=1,0,ROUND(BL130-BL179,0)),"")</f>
        <v>0</v>
      </c>
      <c r="BM132" s="211">
        <f>IF(ISNUMBER(BM130),IF(ABS(BM130-BM179)&lt;=1,0,ROUND(BM130-BM179,0)),"")</f>
        <v>0</v>
      </c>
      <c r="BN132" s="211">
        <f>IF(ISNUMBER(BN130),IF(ABS(BN130-BN179)&lt;=1,0,ROUND(BN130-BN179,0)),"")</f>
        <v>0</v>
      </c>
      <c r="BO132" s="211">
        <f>IF(ISNUMBER(BO130),IF(ABS(BO130-BO179)&lt;=1,0,ROUND(BO130-BO179,0)),"")</f>
        <v>0</v>
      </c>
      <c r="BP132" s="211">
        <f>IF(ISNUMBER(BP130),IF(ABS(BP130-BP179)&lt;=1,0,ROUND(BP130-BP179,0)),"")</f>
        <v>0</v>
      </c>
      <c r="BQ132" s="211">
        <f>IF(ISNUMBER(BQ130),IF(ABS(BQ130-BQ179)&lt;=1,0,ROUND(BQ130-BQ179,0)),"")</f>
        <v>0</v>
      </c>
      <c r="BR132" s="211">
        <f>IF(ISNUMBER(BR130),IF(ABS(BR130-BR179)&lt;=1,0,ROUND(BR130-BR179,0)),"")</f>
        <v>0</v>
      </c>
      <c r="BS132" s="211">
        <f>IF(ISNUMBER(BS130),IF(ABS(BS130-BS179)&lt;=1,0,ROUND(BS130-BS179,0)),"")</f>
        <v>0</v>
      </c>
      <c r="BT132" s="211">
        <f>IF(ISNUMBER(BT130),IF(ABS(BT130-BT179)&lt;=1,0,ROUND(BT130-BT179,0)),"")</f>
        <v>0</v>
      </c>
      <c r="BU132" s="211">
        <f>IF(ISNUMBER(BU130),IF(ABS(BU130-BU179)&lt;=1,0,ROUND(BU130-BU179,0)),"")</f>
        <v>0</v>
      </c>
      <c r="BV132" s="211">
        <f>IF(ISNUMBER(BV130),IF(ABS(BV130-BV179)&lt;=1,0,ROUND(BV130-BV179,0)),"")</f>
        <v>0</v>
      </c>
      <c r="BW132" s="211">
        <f>IF(ISNUMBER(BW130),IF(ABS(BW130-BW179)&lt;=1,0,ROUND(BW130-BW179,0)),"")</f>
        <v>0</v>
      </c>
      <c r="BX132" s="211">
        <f>IF(ISNUMBER(BX130),IF(ABS(BX130-BX179)&lt;=1,0,ROUND(BX130-BX179,0)),"")</f>
        <v>0</v>
      </c>
      <c r="BY132" s="211">
        <f>IF(ISNUMBER(BY130),IF(ABS(BY130-BY179)&lt;=1,0,ROUND(BY130-BY179,0)),"")</f>
        <v>0</v>
      </c>
      <c r="BZ132" s="211">
        <f>IF(ISNUMBER(BZ130),IF(ABS(BZ130-BZ179)&lt;=1,0,ROUND(BZ130-BZ179,0)),"")</f>
        <v>0</v>
      </c>
      <c r="CA132" s="211">
        <f>IF(ISNUMBER(CA130),IF(ABS(CA130-CA179)&lt;=1,0,ROUND(CA130-CA179,0)),"")</f>
        <v>0</v>
      </c>
      <c r="CB132" s="268">
        <f>IF(ISNUMBER(CB130),IF(ABS(CB130-CB179)&lt;=1,0,ROUND(CB130-CB179,0)),"")</f>
        <v>0</v>
      </c>
      <c r="CC132" s="268">
        <f>IF(ISNUMBER(CC130),IF(ABS(CC130-CC179)&lt;=1,0,ROUND(CC130-CC179,0)),"")</f>
        <v>0</v>
      </c>
      <c r="CD132" s="268">
        <f>IF(ISNUMBER(CD130),IF(ABS(CD130-CD179)&lt;=1,0,ROUND(CD130-CD179,0)),"")</f>
        <v>0</v>
      </c>
      <c r="CE132" s="268">
        <f>IF(ISNUMBER(CE130),IF(ABS(CE130-CE179)&lt;=1,0,ROUND(CE130-CE179,0)),"")</f>
        <v>0</v>
      </c>
      <c r="CF132" s="268">
        <f>IF(ISNUMBER(CF130),IF(ABS(CF130-CF179)&lt;=1,0,ROUND(CF130-CF179,0)),"")</f>
        <v>0</v>
      </c>
      <c r="CG132" s="268">
        <f>IF(ISNUMBER(CG130),IF(ABS(CG130-CG179)&lt;=1,0,ROUND(CG130-CG179,0)),"")</f>
        <v>0</v>
      </c>
      <c r="CH132" s="268">
        <f>IF(ISNUMBER(CH130),IF(ABS(CH130-CH179)&lt;=1,0,ROUND(CH130-CH179,0)),"")</f>
        <v>0</v>
      </c>
      <c r="CI132" s="268">
        <f>IF(ISNUMBER(CI130),IF(ABS(CI130-CI179)&lt;=1,0,ROUND(CI130-CI179,0)),"")</f>
        <v>0</v>
      </c>
      <c r="CJ132" s="268">
        <f>IF(ISNUMBER(CJ130),IF(ABS(CJ130-CJ179)&lt;=1,0,ROUND(CJ130-CJ179,0)),"")</f>
        <v>0</v>
      </c>
      <c r="CK132" s="153" t="n"/>
    </row>
    <row r="133" ht="15" customHeight="1" s="251">
      <c r="B133" s="55" t="inlineStr">
        <is>
          <t>Operating income (segment build)</t>
        </is>
      </c>
      <c r="C133" s="267">
        <f>IF(ISNUMBER(C31),C31+C54+N(C122),"")</f>
      </c>
      <c r="D133" s="267">
        <f>IF(ISNUMBER(D31),D31+D54+N(D122),"")</f>
      </c>
      <c r="E133" s="267">
        <f>IF(ISNUMBER(E31),E31+E54+N(E122),"")</f>
      </c>
      <c r="F133" s="267">
        <f>IF(ISNUMBER(F31),F31+F54+N(F122),"")</f>
      </c>
      <c r="G133" s="267">
        <f>IF(ISNUMBER(G31),G31+G54+N(G122),"")</f>
      </c>
      <c r="H133" s="267">
        <f>IF(ISNUMBER(H31),H31+H54+N(H122),"")</f>
      </c>
      <c r="I133" s="267">
        <f>IF(ISNUMBER(I31),I31+I54+N(I122),"")</f>
      </c>
      <c r="J133" s="267">
        <f>IF(ISNUMBER(J31),J31+J54+N(J122),"")</f>
      </c>
      <c r="K133" s="267">
        <f>IF(ISNUMBER(K31),K31+K54+N(K122),"")</f>
      </c>
      <c r="L133" s="267">
        <f>IF(ISNUMBER(L31),L31+L54+N(L122),"")</f>
      </c>
      <c r="M133" s="267">
        <f>IF(ISNUMBER(M31),M31+M54+N(M122),"")</f>
      </c>
      <c r="N133" s="267">
        <f>IF(ISNUMBER(N31),N31+N54+N(N122),"")</f>
      </c>
      <c r="O133" s="267">
        <f>IF(ISNUMBER(O31),O31+O54+N(O122),"")</f>
      </c>
      <c r="P133" s="267">
        <f>IF(ISNUMBER(P31),P31+P54+N(P122),"")</f>
      </c>
      <c r="Q133" s="267">
        <f>IF(ISNUMBER(Q31),Q31+Q54+N(Q122),"")</f>
      </c>
      <c r="R133" s="267">
        <f>IF(ISNUMBER(R31),R31+R54+N(R122),"")</f>
      </c>
      <c r="S133" s="267">
        <f>IF(ISNUMBER(S31),S31+S54+N(S122),"")</f>
      </c>
      <c r="T133" s="267">
        <f>IF(ISNUMBER(T31),T31+T54+N(T122),"")</f>
      </c>
      <c r="U133" s="267">
        <f>IF(ISNUMBER(U31),U31+U54+N(U122),"")</f>
      </c>
      <c r="V133" s="267">
        <f>IF(ISNUMBER(V31),V31+V54+N(V122),"")</f>
      </c>
      <c r="W133" s="267">
        <f>IF(ISNUMBER(W31),W31+W54+N(W122),"")</f>
      </c>
      <c r="X133" s="267">
        <f>IF(ISNUMBER(X31),X31+X54+N(X122),"")</f>
      </c>
      <c r="Y133" s="267">
        <f>IF(ISNUMBER(Y31),Y31+Y54+N(Y122),"")</f>
      </c>
      <c r="Z133" s="267">
        <f>IF(ISNUMBER(Z31),Z31+Z54+N(Z122),"")</f>
      </c>
      <c r="AA133" s="267">
        <f>IF(ISNUMBER(AA31),AA31+AA54+N(AA122),"")</f>
      </c>
      <c r="AB133" s="267">
        <f>IF(ISNUMBER(AB31),AB31+AB54+N(AB122),"")</f>
      </c>
      <c r="AC133" s="267">
        <f>IF(ISNUMBER(AC31),AC31+AC54+N(AC122),"")</f>
      </c>
      <c r="AD133" s="267">
        <f>IF(ISNUMBER(AD31),AD31+AD54+N(AD122),"")</f>
      </c>
      <c r="AE133" s="267">
        <f>IF(ISNUMBER(AE31),AE31+AE54+N(AE122),"")</f>
      </c>
      <c r="AF133" s="267">
        <f>IF(ISNUMBER(AF31),AF31+AF54+N(AF122),"")</f>
      </c>
      <c r="AG133" s="267">
        <f>IF(ISNUMBER(AG31),AG31+AG54+N(AG122),"")</f>
      </c>
      <c r="AH133" s="267">
        <f>IF(ISNUMBER(AH31),AH31+AH54+N(AH122),"")</f>
      </c>
      <c r="AI133" s="267">
        <f>IF(ISNUMBER(AI31),AI31+AI54+N(AI122),"")</f>
      </c>
      <c r="AJ133" s="267">
        <f>IF(ISNUMBER(AJ31),AJ31+AJ54+N(AJ122),"")</f>
      </c>
      <c r="AK133" s="267">
        <f>IF(ISNUMBER(AK31),AK31+AK54+N(AK122),"")</f>
      </c>
      <c r="AL133" s="267">
        <f>IF(ISNUMBER(AL31),AL31+AL54+N(AL122),"")</f>
      </c>
      <c r="AM133" s="267">
        <f>IF(ISNUMBER(AM31),AM31+AM54+N(AM122),"")</f>
      </c>
      <c r="AN133" s="267">
        <f>IF(ISNUMBER(AN31),AN31+AN54+N(AN122),"")</f>
      </c>
      <c r="AO133" s="267">
        <f>IF(ISNUMBER(AO31),AO31+AO54+N(AO122),"")</f>
      </c>
      <c r="AP133" s="267">
        <f>IF(ISNUMBER(AP31),AP31+AP54+N(AP122),"")</f>
      </c>
      <c r="AQ133" s="267">
        <f>IF(ISNUMBER(AQ31),AQ31+AQ54+N(AQ122),"")</f>
      </c>
      <c r="AR133" s="267">
        <f>IF(ISNUMBER(AR31),AR31+AR54+N(AR122),"")</f>
      </c>
      <c r="AS133" s="267">
        <f>IF(ISNUMBER(AS31),AS31+AS54+N(AS122),"")</f>
      </c>
      <c r="AT133" s="267">
        <f>IF(ISNUMBER(AT31),AT31+AT54+N(AT122),"")</f>
      </c>
      <c r="AU133" s="267">
        <f>IF(ISNUMBER(AU31),AU31+AU54+N(AU122),"")</f>
      </c>
      <c r="AV133" s="267">
        <f>IF(ISNUMBER(AV31),AV31+AV54+N(AV122),"")</f>
      </c>
      <c r="AW133" s="267">
        <f>IF(ISNUMBER(AW31),AW31+AW54+N(AW122),"")</f>
      </c>
      <c r="AX133" s="267">
        <f>IF(ISNUMBER(AX31),AX31+AX54+N(AX122),"")</f>
      </c>
      <c r="AY133" s="267">
        <f>IF(ISNUMBER(AY31),AY31+AY54+N(AY122),"")</f>
      </c>
      <c r="AZ133" s="267">
        <f>IF(ISNUMBER(AZ31),AZ31+AZ54+N(AZ122),"")</f>
      </c>
      <c r="BA133" s="267">
        <f>IF(ISNUMBER(BA31),BA31+BA54+N(BA122),"")</f>
      </c>
      <c r="BB133" s="267">
        <f>IF(ISNUMBER(BB31),BB31+BB54+N(BB122),"")</f>
      </c>
      <c r="BC133" s="267">
        <f>IF(ISNUMBER(BC31),BC31+BC54+N(BC122),"")</f>
      </c>
      <c r="BD133" s="267">
        <f>IF(ISNUMBER(BD31),BD31+BD54+N(BD122),"")</f>
      </c>
      <c r="BE133" s="267">
        <f>IF(ISNUMBER(BE31),BE31+BE54+N(BE122),"")</f>
      </c>
      <c r="BF133" s="267">
        <f>IF(ISNUMBER(BF31),BF31+BF54+N(BF122),"")</f>
      </c>
      <c r="BG133" s="267">
        <f>IF(ISNUMBER(BG31),BG31+BG54+N(BG122),"")</f>
      </c>
      <c r="BH133" s="267">
        <f>IF(ISNUMBER(BH31),BH31+BH54+N(BH122),"")</f>
      </c>
      <c r="BI133" s="267">
        <f>IF(ISNUMBER(BI31),BI31+BI54+N(BI122),"")</f>
      </c>
      <c r="BJ133" s="267">
        <f>IF(ISNUMBER(BJ31),BJ31+BJ54+N(BJ122),"")</f>
      </c>
      <c r="BK133" s="267">
        <f>IF(ISNUMBER(BK31),BK31+BK54+N(BK122),"")</f>
      </c>
      <c r="BL133" s="267">
        <f>IF(ISNUMBER(BL31),BL31+BL54+N(BL122),"")</f>
      </c>
      <c r="BM133" s="267">
        <f>IF(ISNUMBER(BM31),BM31+BM54+N(BM122),"")</f>
      </c>
      <c r="BN133" s="267">
        <f>IF(ISNUMBER(BN31),BN31+BN54+N(BN122),"")</f>
      </c>
      <c r="BO133" s="267">
        <f>IF(ISNUMBER(BO31),BO31+BO54+N(BO122),"")</f>
      </c>
      <c r="BP133" s="267">
        <f>IF(ISNUMBER(BP31),BP31+BP54+N(BP122),"")</f>
      </c>
      <c r="BQ133" s="267">
        <f>IF(ISNUMBER(BQ31),BQ31+BQ54+N(BQ122),"")</f>
      </c>
      <c r="BR133" s="267">
        <f>IF(ISNUMBER(BR31),BR31+BR54+N(BR122),"")</f>
        <v>30552</v>
      </c>
      <c r="BS133" s="267">
        <f>IF(ISNUMBER(BS31),BS31+BS54+N(BS122),"")</f>
        <v>31653</v>
      </c>
      <c r="BT133" s="267">
        <f>IF(ISNUMBER(BT31),BT31+BT54+N(BT122),"")</f>
        <v>32000</v>
      </c>
      <c r="BU133" s="267">
        <f>IF(ISNUMBER(BU31),BU31+BU54+N(BU122),"")</f>
        <v>34323</v>
      </c>
      <c r="BV133" s="267">
        <f>IF(ISNUMBER(BV31),BV31+BV54+N(BV122),"")</f>
        <v>128528</v>
      </c>
      <c r="BW133" s="267">
        <f>IF(ISNUMBER(BW31),BW31+BW54+N(BW122),"")</f>
        <v>37961</v>
      </c>
      <c r="BX133" s="267">
        <f>IF(ISNUMBER(BX31),BX31+BX54+N(BX122),"")</f>
        <v>38275</v>
      </c>
      <c r="BY133" s="267">
        <f>IF(ISNUMBER(BY31),BY31+BY54+N(BY122),"")</f>
        <v>38398</v>
      </c>
      <c r="BZ133" s="267">
        <f>IF(ISNUMBER(BZ31),BZ31+BZ54+N(BZ122),"")</f>
        <v>40603</v>
      </c>
      <c r="CA133" s="267">
        <f>IF(ISNUMBER(CA31),CA31+CA54+N(CA122),"")</f>
        <v>155237</v>
      </c>
      <c r="CB133" s="267">
        <f>IF(ISNUMBER(CB31),CB31+CB54+N(CB122),"")</f>
        <v>43850</v>
      </c>
      <c r="CC133" s="267">
        <f>IF(ISNUMBER(CC31),CC31+CC54+N(CC122),"")</f>
        <v>44345.9445535205</v>
      </c>
      <c r="CD133" s="267">
        <f>IF(ISNUMBER(CD31),CD31+CD54+N(CD122),"")</f>
        <v>44711.946334539</v>
      </c>
      <c r="CE133" s="267">
        <f>IF(ISNUMBER(CE31),CE31+CE54+N(CE122),"")</f>
        <v>47593.2437102201</v>
      </c>
      <c r="CF133" s="267">
        <f>IF(ISNUMBER(CF31),CF31+CF54+N(CF122),"")</f>
        <v>180501.13459828</v>
      </c>
      <c r="CG133" s="267">
        <f>IF(ISNUMBER(CG31),CG31+CG54+N(CG122),"")</f>
        <v>202794.153812307</v>
      </c>
      <c r="CH133" s="267">
        <f>IF(ISNUMBER(CH31),CH31+CH54+N(CH122),"")</f>
        <v>233435.75860592</v>
      </c>
      <c r="CI133" s="267">
        <f>IF(ISNUMBER(CI31),CI31+CI54+N(CI122),"")</f>
        <v>269519.715244814</v>
      </c>
      <c r="CJ133" s="267">
        <f>IF(ISNUMBER(CJ31),CJ31+CJ54+N(CJ122),"")</f>
        <v>306218.502299503</v>
      </c>
      <c r="CK133" s="153" t="inlineStr">
        <is>
          <t>Σ segment operating income (+ future acquisitions). Equals GAAP operating income (no corporate line; no forecast adjusting items); drives the GAAP P&amp;L.</t>
        </is>
      </c>
      <c r="CM133" s="20">
        <f>IFERROR((CJ133/CA133)^(1/5)-1,"n/m")</f>
        <v>0.145532031143458</v>
      </c>
      <c r="CN133" s="20" t="str">
        <f>IFERROR((CA133/BB133)^(1/5)-1,"n/m")</f>
        <v>n/m</v>
      </c>
      <c r="CO133" s="20" t="str">
        <f>IFERROR((CA133/AC133)^(1/10)-1,"n/m")</f>
        <v>n/m</v>
      </c>
      <c r="CP133" s="20" t="str">
        <f>IFERROR((CA133/C133)^(1/20)-1,"n/m")</f>
        <v>n/m</v>
      </c>
    </row>
    <row r="134" ht="15" customHeight="1" s="251">
      <c r="B134" s="25" t="inlineStr">
        <is>
          <t xml:space="preserve">  Operating margin %</t>
        </is>
      </c>
      <c r="C134" s="215">
        <f>IF(AND(ISNUMBER(C133),ISNUMBER(C179)),IFERROR(C133/C179,""),"")</f>
      </c>
      <c r="D134" s="215">
        <f>IF(AND(ISNUMBER(D133),ISNUMBER(D179)),IFERROR(D133/D179,""),"")</f>
      </c>
      <c r="E134" s="215">
        <f>IF(AND(ISNUMBER(E133),ISNUMBER(E179)),IFERROR(E133/E179,""),"")</f>
      </c>
      <c r="F134" s="215">
        <f>IF(AND(ISNUMBER(F133),ISNUMBER(F179)),IFERROR(F133/F179,""),"")</f>
      </c>
      <c r="G134" s="215">
        <f>IF(AND(ISNUMBER(G133),ISNUMBER(G179)),IFERROR(G133/G179,""),"")</f>
      </c>
      <c r="H134" s="215">
        <f>IF(AND(ISNUMBER(H133),ISNUMBER(H179)),IFERROR(H133/H179,""),"")</f>
      </c>
      <c r="I134" s="215">
        <f>IF(AND(ISNUMBER(I133),ISNUMBER(I179)),IFERROR(I133/I179,""),"")</f>
      </c>
      <c r="J134" s="215">
        <f>IF(AND(ISNUMBER(J133),ISNUMBER(J179)),IFERROR(J133/J179,""),"")</f>
      </c>
      <c r="K134" s="215">
        <f>IF(AND(ISNUMBER(K133),ISNUMBER(K179)),IFERROR(K133/K179,""),"")</f>
      </c>
      <c r="L134" s="215">
        <f>IF(AND(ISNUMBER(L133),ISNUMBER(L179)),IFERROR(L133/L179,""),"")</f>
      </c>
      <c r="M134" s="215">
        <f>IF(AND(ISNUMBER(M133),ISNUMBER(M179)),IFERROR(M133/M179,""),"")</f>
      </c>
      <c r="N134" s="215">
        <f>IF(AND(ISNUMBER(N133),ISNUMBER(N179)),IFERROR(N133/N179,""),"")</f>
      </c>
      <c r="O134" s="215">
        <f>IF(AND(ISNUMBER(O133),ISNUMBER(O179)),IFERROR(O133/O179,""),"")</f>
      </c>
      <c r="P134" s="215">
        <f>IF(AND(ISNUMBER(P133),ISNUMBER(P179)),IFERROR(P133/P179,""),"")</f>
      </c>
      <c r="Q134" s="215">
        <f>IF(AND(ISNUMBER(Q133),ISNUMBER(Q179)),IFERROR(Q133/Q179,""),"")</f>
      </c>
      <c r="R134" s="215">
        <f>IF(AND(ISNUMBER(R133),ISNUMBER(R179)),IFERROR(R133/R179,""),"")</f>
      </c>
      <c r="S134" s="215">
        <f>IF(AND(ISNUMBER(S133),ISNUMBER(S179)),IFERROR(S133/S179,""),"")</f>
      </c>
      <c r="T134" s="215">
        <f>IF(AND(ISNUMBER(T133),ISNUMBER(T179)),IFERROR(T133/T179,""),"")</f>
      </c>
      <c r="U134" s="215">
        <f>IF(AND(ISNUMBER(U133),ISNUMBER(U179)),IFERROR(U133/U179,""),"")</f>
      </c>
      <c r="V134" s="215">
        <f>IF(AND(ISNUMBER(V133),ISNUMBER(V179)),IFERROR(V133/V179,""),"")</f>
      </c>
      <c r="W134" s="215">
        <f>IF(AND(ISNUMBER(W133),ISNUMBER(W179)),IFERROR(W133/W179,""),"")</f>
      </c>
      <c r="X134" s="215">
        <f>IF(AND(ISNUMBER(X133),ISNUMBER(X179)),IFERROR(X133/X179,""),"")</f>
      </c>
      <c r="Y134" s="215">
        <f>IF(AND(ISNUMBER(Y133),ISNUMBER(Y179)),IFERROR(Y133/Y179,""),"")</f>
      </c>
      <c r="Z134" s="215">
        <f>IF(AND(ISNUMBER(Z133),ISNUMBER(Z179)),IFERROR(Z133/Z179,""),"")</f>
      </c>
      <c r="AA134" s="215">
        <f>IF(AND(ISNUMBER(AA133),ISNUMBER(AA179)),IFERROR(AA133/AA179,""),"")</f>
      </c>
      <c r="AB134" s="215">
        <f>IF(AND(ISNUMBER(AB133),ISNUMBER(AB179)),IFERROR(AB133/AB179,""),"")</f>
      </c>
      <c r="AC134" s="215">
        <f>IF(AND(ISNUMBER(AC133),ISNUMBER(AC179)),IFERROR(AC133/AC179,""),"")</f>
      </c>
      <c r="AD134" s="215">
        <f>IF(AND(ISNUMBER(AD133),ISNUMBER(AD179)),IFERROR(AD133/AD179,""),"")</f>
      </c>
      <c r="AE134" s="215">
        <f>IF(AND(ISNUMBER(AE133),ISNUMBER(AE179)),IFERROR(AE133/AE179,""),"")</f>
      </c>
      <c r="AF134" s="215">
        <f>IF(AND(ISNUMBER(AF133),ISNUMBER(AF179)),IFERROR(AF133/AF179,""),"")</f>
      </c>
      <c r="AG134" s="215">
        <f>IF(AND(ISNUMBER(AG133),ISNUMBER(AG179)),IFERROR(AG133/AG179,""),"")</f>
      </c>
      <c r="AH134" s="215">
        <f>IF(AND(ISNUMBER(AH133),ISNUMBER(AH179)),IFERROR(AH133/AH179,""),"")</f>
      </c>
      <c r="AI134" s="215">
        <f>IF(AND(ISNUMBER(AI133),ISNUMBER(AI179)),IFERROR(AI133/AI179,""),"")</f>
      </c>
      <c r="AJ134" s="215">
        <f>IF(AND(ISNUMBER(AJ133),ISNUMBER(AJ179)),IFERROR(AJ133/AJ179,""),"")</f>
      </c>
      <c r="AK134" s="215">
        <f>IF(AND(ISNUMBER(AK133),ISNUMBER(AK179)),IFERROR(AK133/AK179,""),"")</f>
      </c>
      <c r="AL134" s="215">
        <f>IF(AND(ISNUMBER(AL133),ISNUMBER(AL179)),IFERROR(AL133/AL179,""),"")</f>
      </c>
      <c r="AM134" s="215">
        <f>IF(AND(ISNUMBER(AM133),ISNUMBER(AM179)),IFERROR(AM133/AM179,""),"")</f>
      </c>
      <c r="AN134" s="215">
        <f>IF(AND(ISNUMBER(AN133),ISNUMBER(AN179)),IFERROR(AN133/AN179,""),"")</f>
      </c>
      <c r="AO134" s="215">
        <f>IF(AND(ISNUMBER(AO133),ISNUMBER(AO179)),IFERROR(AO133/AO179,""),"")</f>
      </c>
      <c r="AP134" s="215">
        <f>IF(AND(ISNUMBER(AP133),ISNUMBER(AP179)),IFERROR(AP133/AP179,""),"")</f>
      </c>
      <c r="AQ134" s="215">
        <f>IF(AND(ISNUMBER(AQ133),ISNUMBER(AQ179)),IFERROR(AQ133/AQ179,""),"")</f>
      </c>
      <c r="AR134" s="215">
        <f>IF(AND(ISNUMBER(AR133),ISNUMBER(AR179)),IFERROR(AR133/AR179,""),"")</f>
      </c>
      <c r="AS134" s="215">
        <f>IF(AND(ISNUMBER(AS133),ISNUMBER(AS179)),IFERROR(AS133/AS179,""),"")</f>
      </c>
      <c r="AT134" s="215">
        <f>IF(AND(ISNUMBER(AT133),ISNUMBER(AT179)),IFERROR(AT133/AT179,""),"")</f>
      </c>
      <c r="AU134" s="215">
        <f>IF(AND(ISNUMBER(AU133),ISNUMBER(AU179)),IFERROR(AU133/AU179,""),"")</f>
      </c>
      <c r="AV134" s="215">
        <f>IF(AND(ISNUMBER(AV133),ISNUMBER(AV179)),IFERROR(AV133/AV179,""),"")</f>
      </c>
      <c r="AW134" s="215">
        <f>IF(AND(ISNUMBER(AW133),ISNUMBER(AW179)),IFERROR(AW133/AW179,""),"")</f>
      </c>
      <c r="AX134" s="215">
        <f>IF(AND(ISNUMBER(AX133),ISNUMBER(AX179)),IFERROR(AX133/AX179,""),"")</f>
      </c>
      <c r="AY134" s="215">
        <f>IF(AND(ISNUMBER(AY133),ISNUMBER(AY179)),IFERROR(AY133/AY179,""),"")</f>
      </c>
      <c r="AZ134" s="215">
        <f>IF(AND(ISNUMBER(AZ133),ISNUMBER(AZ179)),IFERROR(AZ133/AZ179,""),"")</f>
      </c>
      <c r="BA134" s="215">
        <f>IF(AND(ISNUMBER(BA133),ISNUMBER(BA179)),IFERROR(BA133/BA179,""),"")</f>
      </c>
      <c r="BB134" s="215">
        <f>IF(AND(ISNUMBER(BB133),ISNUMBER(BB179)),IFERROR(BB133/BB179,""),"")</f>
      </c>
      <c r="BC134" s="215">
        <f>IF(AND(ISNUMBER(BC133),ISNUMBER(BC179)),IFERROR(BC133/BC179,""),"")</f>
      </c>
      <c r="BD134" s="215">
        <f>IF(AND(ISNUMBER(BD133),ISNUMBER(BD179)),IFERROR(BD133/BD179,""),"")</f>
      </c>
      <c r="BE134" s="215">
        <f>IF(AND(ISNUMBER(BE133),ISNUMBER(BE179)),IFERROR(BE133/BE179,""),"")</f>
      </c>
      <c r="BF134" s="215">
        <f>IF(AND(ISNUMBER(BF133),ISNUMBER(BF179)),IFERROR(BF133/BF179,""),"")</f>
      </c>
      <c r="BG134" s="215">
        <f>IF(AND(ISNUMBER(BG133),ISNUMBER(BG179)),IFERROR(BG133/BG179,""),"")</f>
      </c>
      <c r="BH134" s="215">
        <f>IF(AND(ISNUMBER(BH133),ISNUMBER(BH179)),IFERROR(BH133/BH179,""),"")</f>
      </c>
      <c r="BI134" s="215">
        <f>IF(AND(ISNUMBER(BI133),ISNUMBER(BI179)),IFERROR(BI133/BI179,""),"")</f>
      </c>
      <c r="BJ134" s="215">
        <f>IF(AND(ISNUMBER(BJ133),ISNUMBER(BJ179)),IFERROR(BJ133/BJ179,""),"")</f>
      </c>
      <c r="BK134" s="215">
        <f>IF(AND(ISNUMBER(BK133),ISNUMBER(BK179)),IFERROR(BK133/BK179,""),"")</f>
      </c>
      <c r="BL134" s="215">
        <f>IF(AND(ISNUMBER(BL133),ISNUMBER(BL179)),IFERROR(BL133/BL179,""),"")</f>
      </c>
      <c r="BM134" s="215">
        <f>IF(AND(ISNUMBER(BM133),ISNUMBER(BM179)),IFERROR(BM133/BM179,""),"")</f>
      </c>
      <c r="BN134" s="215">
        <f>IF(AND(ISNUMBER(BN133),ISNUMBER(BN179)),IFERROR(BN133/BN179,""),"")</f>
      </c>
      <c r="BO134" s="215">
        <f>IF(AND(ISNUMBER(BO133),ISNUMBER(BO179)),IFERROR(BO133/BO179,""),"")</f>
      </c>
      <c r="BP134" s="215">
        <f>IF(AND(ISNUMBER(BP133),ISNUMBER(BP179)),IFERROR(BP133/BP179,""),"")</f>
      </c>
      <c r="BQ134" s="215">
        <f>IF(AND(ISNUMBER(BQ133),ISNUMBER(BQ179)),IFERROR(BQ133/BQ179,""),"")</f>
      </c>
      <c r="BR134" s="215">
        <f>IF(AND(ISNUMBER(BR133),ISNUMBER(BR179)),IFERROR(BR133/BR179,""),"")</f>
        <v>0.465838225203934</v>
      </c>
      <c r="BS134" s="215">
        <f>IF(AND(ISNUMBER(BS133),ISNUMBER(BS179)),IFERROR(BS133/BS179,""),"")</f>
        <v>0.454575482536765</v>
      </c>
      <c r="BT134" s="215">
        <f>IF(AND(ISNUMBER(BT133),ISNUMBER(BT179)),IFERROR(BT133/BT179,""),"")</f>
        <v>0.456712242742557</v>
      </c>
      <c r="BU134" s="215">
        <f>IF(AND(ISNUMBER(BU133),ISNUMBER(BU179)),IFERROR(BU133/BU179,""),"")</f>
        <v>0.449012964246936</v>
      </c>
      <c r="BV134" s="215">
        <f>IF(AND(ISNUMBER(BV133),ISNUMBER(BV179)),IFERROR(BV133/BV179,""),"")</f>
        <v>0.456219562408599</v>
      </c>
      <c r="BW134" s="215">
        <f>IF(AND(ISNUMBER(BW133),ISNUMBER(BW179)),IFERROR(BW133/BW179,""),"")</f>
        <v>0.48872838695557</v>
      </c>
      <c r="BX134" s="215">
        <f>IF(AND(ISNUMBER(BX133),ISNUMBER(BX179)),IFERROR(BX133/BX179,""),"")</f>
        <v>0.470943609808916</v>
      </c>
      <c r="BY134" s="215">
        <f>IF(AND(ISNUMBER(BY133),ISNUMBER(BY179)),IFERROR(BY133/BY179,""),"")</f>
        <v>0.463262794681852</v>
      </c>
      <c r="BZ134" s="215">
        <f>IF(AND(ISNUMBER(BZ133),ISNUMBER(BZ179)),IFERROR(BZ133/BZ179,""),"")</f>
        <v>0.451109358161032</v>
      </c>
      <c r="CA134" s="215">
        <f>IF(AND(ISNUMBER(CA133),ISNUMBER(CA179)),IFERROR(CA133/CA179,""),"")</f>
        <v>0.467808184089272</v>
      </c>
      <c r="CB134" s="256">
        <f>IF(AND(ISNUMBER(CB133),ISNUMBER(CB179)),IFERROR(CB133/CB179,""),"")</f>
        <v>0.485066371681416</v>
      </c>
      <c r="CC134" s="256">
        <f>IF(AND(ISNUMBER(CC133),ISNUMBER(CC179)),IFERROR(CC133/CC179,""),"")</f>
        <v>0.467711616759799</v>
      </c>
      <c r="CD134" s="256">
        <f>IF(AND(ISNUMBER(CD133),ISNUMBER(CD179)),IFERROR(CD133/CD179,""),"")</f>
        <v>0.458667147676618</v>
      </c>
      <c r="CE134" s="256">
        <f>IF(AND(ISNUMBER(CE133),ISNUMBER(CE179)),IFERROR(CE133/CE179,""),"")</f>
        <v>0.447223942014983</v>
      </c>
      <c r="CF134" s="256">
        <f>IF(AND(ISNUMBER(CF133),ISNUMBER(CF179)),IFERROR(CF133/CF179,""),"")</f>
        <v>0.463874487905548</v>
      </c>
      <c r="CG134" s="256">
        <f>IF(AND(ISNUMBER(CG133),ISNUMBER(CG179)),IFERROR(CG133/CG179,""),"")</f>
        <v>0.445303333846645</v>
      </c>
      <c r="CH134" s="256">
        <f>IF(AND(ISNUMBER(CH133),ISNUMBER(CH179)),IFERROR(CH133/CH179,""),"")</f>
        <v>0.443059605320308</v>
      </c>
      <c r="CI134" s="256">
        <f>IF(AND(ISNUMBER(CI133),ISNUMBER(CI179)),IFERROR(CI133/CI179,""),"")</f>
        <v>0.449681484635452</v>
      </c>
      <c r="CJ134" s="256">
        <f>IF(AND(ISNUMBER(CJ133),ISNUMBER(CJ179)),IFERROR(CJ133/CJ179,""),"")</f>
        <v>0.455886520836348</v>
      </c>
      <c r="CK134" s="153" t="n"/>
      <c r="CM134" s="37">
        <f>IFERROR(AVERAGE(CF134,CG134,CH134,CI134,CJ134),"n/m")</f>
        <v>0.45156108650886</v>
      </c>
      <c r="CN134" s="37">
        <f>IFERROR(AVERAGE(BG134,BL134,BQ134,BV134,CA134),"n/m")</f>
        <v>0.462013873248935</v>
      </c>
      <c r="CO134" s="37">
        <f>IFERROR(AVERAGE(AH134,AM134,AR134,AW134,BB134,BG134,BL134,BQ134,BV134,CA134),"n/m")</f>
        <v>0.462013873248935</v>
      </c>
      <c r="CP134" s="37">
        <f>IFERROR(AVERAGE(C134,D134,E134,F134,G134,H134,I134,N134,S134,X134,AC134,AH134,AM134,AR134,AW134,BB134,BG134,BL134,BQ134,BV134,CA134),"n/m")</f>
        <v>0.462013873248935</v>
      </c>
    </row>
    <row r="135" ht="15" customHeight="1" s="251">
      <c r="B135" s="57" t="inlineStr">
        <is>
          <t xml:space="preserve">  Check: segment build vs operating income (should be 0)</t>
        </is>
      </c>
      <c r="C135" s="211">
        <f>IF(ISNUMBER(C133),IF(ABS(C133-C190-N(C221))&lt;=1,0,ROUND(C133-C190-N(C221),0)),"")</f>
      </c>
      <c r="D135" s="211">
        <f>IF(ISNUMBER(D133),IF(ABS(D133-D190-N(D221))&lt;=1,0,ROUND(D133-D190-N(D221),0)),"")</f>
      </c>
      <c r="E135" s="211">
        <f>IF(ISNUMBER(E133),IF(ABS(E133-E190-N(E221))&lt;=1,0,ROUND(E133-E190-N(E221),0)),"")</f>
      </c>
      <c r="F135" s="211">
        <f>IF(ISNUMBER(F133),IF(ABS(F133-F190-N(F221))&lt;=1,0,ROUND(F133-F190-N(F221),0)),"")</f>
      </c>
      <c r="G135" s="211">
        <f>IF(ISNUMBER(G133),IF(ABS(G133-G190-N(G221))&lt;=1,0,ROUND(G133-G190-N(G221),0)),"")</f>
      </c>
      <c r="H135" s="211">
        <f>IF(ISNUMBER(H133),IF(ABS(H133-H190-N(H221))&lt;=1,0,ROUND(H133-H190-N(H221),0)),"")</f>
      </c>
      <c r="I135" s="211">
        <f>IF(ISNUMBER(I133),IF(ABS(I133-I190-N(I221))&lt;=1,0,ROUND(I133-I190-N(I221),0)),"")</f>
      </c>
      <c r="J135" s="211">
        <f>IF(ISNUMBER(J133),IF(ABS(J133-J190-N(J221))&lt;=1,0,ROUND(J133-J190-N(J221),0)),"")</f>
      </c>
      <c r="K135" s="211">
        <f>IF(ISNUMBER(K133),IF(ABS(K133-K190-N(K221))&lt;=1,0,ROUND(K133-K190-N(K221),0)),"")</f>
      </c>
      <c r="L135" s="211">
        <f>IF(ISNUMBER(L133),IF(ABS(L133-L190-N(L221))&lt;=1,0,ROUND(L133-L190-N(L221),0)),"")</f>
      </c>
      <c r="M135" s="211">
        <f>IF(ISNUMBER(M133),IF(ABS(M133-M190-N(M221))&lt;=1,0,ROUND(M133-M190-N(M221),0)),"")</f>
      </c>
      <c r="N135" s="211">
        <f>IF(ISNUMBER(N133),IF(ABS(N133-N190-N(N221))&lt;=1,0,ROUND(N133-N190-N(N221),0)),"")</f>
      </c>
      <c r="O135" s="211">
        <f>IF(ISNUMBER(O133),IF(ABS(O133-O190-N(O221))&lt;=1,0,ROUND(O133-O190-N(O221),0)),"")</f>
      </c>
      <c r="P135" s="211">
        <f>IF(ISNUMBER(P133),IF(ABS(P133-P190-N(P221))&lt;=1,0,ROUND(P133-P190-N(P221),0)),"")</f>
      </c>
      <c r="Q135" s="211">
        <f>IF(ISNUMBER(Q133),IF(ABS(Q133-Q190-N(Q221))&lt;=1,0,ROUND(Q133-Q190-N(Q221),0)),"")</f>
      </c>
      <c r="R135" s="211">
        <f>IF(ISNUMBER(R133),IF(ABS(R133-R190-N(R221))&lt;=1,0,ROUND(R133-R190-N(R221),0)),"")</f>
      </c>
      <c r="S135" s="211">
        <f>IF(ISNUMBER(S133),IF(ABS(S133-S190-N(S221))&lt;=1,0,ROUND(S133-S190-N(S221),0)),"")</f>
      </c>
      <c r="T135" s="211">
        <f>IF(ISNUMBER(T133),IF(ABS(T133-T190-N(T221))&lt;=1,0,ROUND(T133-T190-N(T221),0)),"")</f>
      </c>
      <c r="U135" s="211">
        <f>IF(ISNUMBER(U133),IF(ABS(U133-U190-N(U221))&lt;=1,0,ROUND(U133-U190-N(U221),0)),"")</f>
      </c>
      <c r="V135" s="211">
        <f>IF(ISNUMBER(V133),IF(ABS(V133-V190-N(V221))&lt;=1,0,ROUND(V133-V190-N(V221),0)),"")</f>
      </c>
      <c r="W135" s="211">
        <f>IF(ISNUMBER(W133),IF(ABS(W133-W190-N(W221))&lt;=1,0,ROUND(W133-W190-N(W221),0)),"")</f>
      </c>
      <c r="X135" s="211">
        <f>IF(ISNUMBER(X133),IF(ABS(X133-X190-N(X221))&lt;=1,0,ROUND(X133-X190-N(X221),0)),"")</f>
      </c>
      <c r="Y135" s="211">
        <f>IF(ISNUMBER(Y133),IF(ABS(Y133-Y190-N(Y221))&lt;=1,0,ROUND(Y133-Y190-N(Y221),0)),"")</f>
      </c>
      <c r="Z135" s="211">
        <f>IF(ISNUMBER(Z133),IF(ABS(Z133-Z190-N(Z221))&lt;=1,0,ROUND(Z133-Z190-N(Z221),0)),"")</f>
      </c>
      <c r="AA135" s="211">
        <f>IF(ISNUMBER(AA133),IF(ABS(AA133-AA190-N(AA221))&lt;=1,0,ROUND(AA133-AA190-N(AA221),0)),"")</f>
      </c>
      <c r="AB135" s="211">
        <f>IF(ISNUMBER(AB133),IF(ABS(AB133-AB190-N(AB221))&lt;=1,0,ROUND(AB133-AB190-N(AB221),0)),"")</f>
      </c>
      <c r="AC135" s="211">
        <f>IF(ISNUMBER(AC133),IF(ABS(AC133-AC190-N(AC221))&lt;=1,0,ROUND(AC133-AC190-N(AC221),0)),"")</f>
      </c>
      <c r="AD135" s="211">
        <f>IF(ISNUMBER(AD133),IF(ABS(AD133-AD190-N(AD221))&lt;=1,0,ROUND(AD133-AD190-N(AD221),0)),"")</f>
      </c>
      <c r="AE135" s="211">
        <f>IF(ISNUMBER(AE133),IF(ABS(AE133-AE190-N(AE221))&lt;=1,0,ROUND(AE133-AE190-N(AE221),0)),"")</f>
      </c>
      <c r="AF135" s="211">
        <f>IF(ISNUMBER(AF133),IF(ABS(AF133-AF190-N(AF221))&lt;=1,0,ROUND(AF133-AF190-N(AF221),0)),"")</f>
      </c>
      <c r="AG135" s="211">
        <f>IF(ISNUMBER(AG133),IF(ABS(AG133-AG190-N(AG221))&lt;=1,0,ROUND(AG133-AG190-N(AG221),0)),"")</f>
      </c>
      <c r="AH135" s="211">
        <f>IF(ISNUMBER(AH133),IF(ABS(AH133-AH190-N(AH221))&lt;=1,0,ROUND(AH133-AH190-N(AH221),0)),"")</f>
      </c>
      <c r="AI135" s="211">
        <f>IF(ISNUMBER(AI133),IF(ABS(AI133-AI190-N(AI221))&lt;=1,0,ROUND(AI133-AI190-N(AI221),0)),"")</f>
      </c>
      <c r="AJ135" s="211">
        <f>IF(ISNUMBER(AJ133),IF(ABS(AJ133-AJ190-N(AJ221))&lt;=1,0,ROUND(AJ133-AJ190-N(AJ221),0)),"")</f>
      </c>
      <c r="AK135" s="211">
        <f>IF(ISNUMBER(AK133),IF(ABS(AK133-AK190-N(AK221))&lt;=1,0,ROUND(AK133-AK190-N(AK221),0)),"")</f>
      </c>
      <c r="AL135" s="211">
        <f>IF(ISNUMBER(AL133),IF(ABS(AL133-AL190-N(AL221))&lt;=1,0,ROUND(AL133-AL190-N(AL221),0)),"")</f>
      </c>
      <c r="AM135" s="211">
        <f>IF(ISNUMBER(AM133),IF(ABS(AM133-AM190-N(AM221))&lt;=1,0,ROUND(AM133-AM190-N(AM221),0)),"")</f>
      </c>
      <c r="AN135" s="211">
        <f>IF(ISNUMBER(AN133),IF(ABS(AN133-AN190-N(AN221))&lt;=1,0,ROUND(AN133-AN190-N(AN221),0)),"")</f>
      </c>
      <c r="AO135" s="211">
        <f>IF(ISNUMBER(AO133),IF(ABS(AO133-AO190-N(AO221))&lt;=1,0,ROUND(AO133-AO190-N(AO221),0)),"")</f>
      </c>
      <c r="AP135" s="211">
        <f>IF(ISNUMBER(AP133),IF(ABS(AP133-AP190-N(AP221))&lt;=1,0,ROUND(AP133-AP190-N(AP221),0)),"")</f>
      </c>
      <c r="AQ135" s="211">
        <f>IF(ISNUMBER(AQ133),IF(ABS(AQ133-AQ190-N(AQ221))&lt;=1,0,ROUND(AQ133-AQ190-N(AQ221),0)),"")</f>
      </c>
      <c r="AR135" s="211">
        <f>IF(ISNUMBER(AR133),IF(ABS(AR133-AR190-N(AR221))&lt;=1,0,ROUND(AR133-AR190-N(AR221),0)),"")</f>
      </c>
      <c r="AS135" s="211">
        <f>IF(ISNUMBER(AS133),IF(ABS(AS133-AS190-N(AS221))&lt;=1,0,ROUND(AS133-AS190-N(AS221),0)),"")</f>
      </c>
      <c r="AT135" s="211">
        <f>IF(ISNUMBER(AT133),IF(ABS(AT133-AT190-N(AT221))&lt;=1,0,ROUND(AT133-AT190-N(AT221),0)),"")</f>
      </c>
      <c r="AU135" s="211">
        <f>IF(ISNUMBER(AU133),IF(ABS(AU133-AU190-N(AU221))&lt;=1,0,ROUND(AU133-AU190-N(AU221),0)),"")</f>
      </c>
      <c r="AV135" s="211">
        <f>IF(ISNUMBER(AV133),IF(ABS(AV133-AV190-N(AV221))&lt;=1,0,ROUND(AV133-AV190-N(AV221),0)),"")</f>
      </c>
      <c r="AW135" s="211">
        <f>IF(ISNUMBER(AW133),IF(ABS(AW133-AW190-N(AW221))&lt;=1,0,ROUND(AW133-AW190-N(AW221),0)),"")</f>
      </c>
      <c r="AX135" s="211">
        <f>IF(ISNUMBER(AX133),IF(ABS(AX133-AX190-N(AX221))&lt;=1,0,ROUND(AX133-AX190-N(AX221),0)),"")</f>
      </c>
      <c r="AY135" s="211">
        <f>IF(ISNUMBER(AY133),IF(ABS(AY133-AY190-N(AY221))&lt;=1,0,ROUND(AY133-AY190-N(AY221),0)),"")</f>
      </c>
      <c r="AZ135" s="211">
        <f>IF(ISNUMBER(AZ133),IF(ABS(AZ133-AZ190-N(AZ221))&lt;=1,0,ROUND(AZ133-AZ190-N(AZ221),0)),"")</f>
      </c>
      <c r="BA135" s="211">
        <f>IF(ISNUMBER(BA133),IF(ABS(BA133-BA190-N(BA221))&lt;=1,0,ROUND(BA133-BA190-N(BA221),0)),"")</f>
      </c>
      <c r="BB135" s="211">
        <f>IF(ISNUMBER(BB133),IF(ABS(BB133-BB190-N(BB221))&lt;=1,0,ROUND(BB133-BB190-N(BB221),0)),"")</f>
      </c>
      <c r="BC135" s="211">
        <f>IF(ISNUMBER(BC133),IF(ABS(BC133-BC190-N(BC221))&lt;=1,0,ROUND(BC133-BC190-N(BC221),0)),"")</f>
      </c>
      <c r="BD135" s="211">
        <f>IF(ISNUMBER(BD133),IF(ABS(BD133-BD190-N(BD221))&lt;=1,0,ROUND(BD133-BD190-N(BD221),0)),"")</f>
      </c>
      <c r="BE135" s="211">
        <f>IF(ISNUMBER(BE133),IF(ABS(BE133-BE190-N(BE221))&lt;=1,0,ROUND(BE133-BE190-N(BE221),0)),"")</f>
      </c>
      <c r="BF135" s="211">
        <f>IF(ISNUMBER(BF133),IF(ABS(BF133-BF190-N(BF221))&lt;=1,0,ROUND(BF133-BF190-N(BF221),0)),"")</f>
      </c>
      <c r="BG135" s="211">
        <f>IF(ISNUMBER(BG133),IF(ABS(BG133-BG190-N(BG221))&lt;=1,0,ROUND(BG133-BG190-N(BG221),0)),"")</f>
      </c>
      <c r="BH135" s="211">
        <f>IF(ISNUMBER(BH133),IF(ABS(BH133-BH190-N(BH221))&lt;=1,0,ROUND(BH133-BH190-N(BH221),0)),"")</f>
      </c>
      <c r="BI135" s="211">
        <f>IF(ISNUMBER(BI133),IF(ABS(BI133-BI190-N(BI221))&lt;=1,0,ROUND(BI133-BI190-N(BI221),0)),"")</f>
      </c>
      <c r="BJ135" s="211">
        <f>IF(ISNUMBER(BJ133),IF(ABS(BJ133-BJ190-N(BJ221))&lt;=1,0,ROUND(BJ133-BJ190-N(BJ221),0)),"")</f>
      </c>
      <c r="BK135" s="211">
        <f>IF(ISNUMBER(BK133),IF(ABS(BK133-BK190-N(BK221))&lt;=1,0,ROUND(BK133-BK190-N(BK221),0)),"")</f>
      </c>
      <c r="BL135" s="211">
        <f>IF(ISNUMBER(BL133),IF(ABS(BL133-BL190-N(BL221))&lt;=1,0,ROUND(BL133-BL190-N(BL221),0)),"")</f>
      </c>
      <c r="BM135" s="211">
        <f>IF(ISNUMBER(BM133),IF(ABS(BM133-BM190-N(BM221))&lt;=1,0,ROUND(BM133-BM190-N(BM221),0)),"")</f>
      </c>
      <c r="BN135" s="211">
        <f>IF(ISNUMBER(BN133),IF(ABS(BN133-BN190-N(BN221))&lt;=1,0,ROUND(BN133-BN190-N(BN221),0)),"")</f>
      </c>
      <c r="BO135" s="211">
        <f>IF(ISNUMBER(BO133),IF(ABS(BO133-BO190-N(BO221))&lt;=1,0,ROUND(BO133-BO190-N(BO221),0)),"")</f>
      </c>
      <c r="BP135" s="211">
        <f>IF(ISNUMBER(BP133),IF(ABS(BP133-BP190-N(BP221))&lt;=1,0,ROUND(BP133-BP190-N(BP221),0)),"")</f>
      </c>
      <c r="BQ135" s="211">
        <f>IF(ISNUMBER(BQ133),IF(ABS(BQ133-BQ190-N(BQ221))&lt;=1,0,ROUND(BQ133-BQ190-N(BQ221),0)),"")</f>
      </c>
      <c r="BR135" s="211">
        <f>IF(ISNUMBER(BR133),IF(ABS(BR133-BR190-N(BR221))&lt;=1,0,ROUND(BR133-BR190-N(BR221),0)),"")</f>
        <v>0</v>
      </c>
      <c r="BS135" s="211">
        <f>IF(ISNUMBER(BS133),IF(ABS(BS133-BS190-N(BS221))&lt;=1,0,ROUND(BS133-BS190-N(BS221),0)),"")</f>
        <v>0</v>
      </c>
      <c r="BT135" s="211">
        <f>IF(ISNUMBER(BT133),IF(ABS(BT133-BT190-N(BT221))&lt;=1,0,ROUND(BT133-BT190-N(BT221),0)),"")</f>
        <v>0</v>
      </c>
      <c r="BU135" s="211">
        <f>IF(ISNUMBER(BU133),IF(ABS(BU133-BU190-N(BU221))&lt;=1,0,ROUND(BU133-BU190-N(BU221),0)),"")</f>
        <v>0</v>
      </c>
      <c r="BV135" s="211">
        <f>IF(ISNUMBER(BV133),IF(ABS(BV133-BV190-N(BV221))&lt;=1,0,ROUND(BV133-BV190-N(BV221),0)),"")</f>
        <v>0</v>
      </c>
      <c r="BW135" s="211">
        <f>IF(ISNUMBER(BW133),IF(ABS(BW133-BW190-N(BW221))&lt;=1,0,ROUND(BW133-BW190-N(BW221),0)),"")</f>
        <v>0</v>
      </c>
      <c r="BX135" s="211">
        <f>IF(ISNUMBER(BX133),IF(ABS(BX133-BX190-N(BX221))&lt;=1,0,ROUND(BX133-BX190-N(BX221),0)),"")</f>
        <v>0</v>
      </c>
      <c r="BY135" s="211">
        <f>IF(ISNUMBER(BY133),IF(ABS(BY133-BY190-N(BY221))&lt;=1,0,ROUND(BY133-BY190-N(BY221),0)),"")</f>
        <v>0</v>
      </c>
      <c r="BZ135" s="211">
        <f>IF(ISNUMBER(BZ133),IF(ABS(BZ133-BZ190-N(BZ221))&lt;=1,0,ROUND(BZ133-BZ190-N(BZ221),0)),"")</f>
        <v>0</v>
      </c>
      <c r="CA135" s="211">
        <f>IF(ISNUMBER(CA133),IF(ABS(CA133-CA190-N(CA221))&lt;=1,0,ROUND(CA133-CA190-N(CA221),0)),"")</f>
        <v>0</v>
      </c>
      <c r="CB135" s="268">
        <f>IF(ISNUMBER(CB133),IF(ABS(CB133-CB190-N(CB221))&lt;=1,0,ROUND(CB133-CB190-N(CB221),0)),"")</f>
        <v>0</v>
      </c>
      <c r="CC135" s="268">
        <f>IF(ISNUMBER(CC133),IF(ABS(CC133-CC190-N(CC221))&lt;=1,0,ROUND(CC133-CC190-N(CC221),0)),"")</f>
        <v>0</v>
      </c>
      <c r="CD135" s="268">
        <f>IF(ISNUMBER(CD133),IF(ABS(CD133-CD190-N(CD221))&lt;=1,0,ROUND(CD133-CD190-N(CD221),0)),"")</f>
        <v>0</v>
      </c>
      <c r="CE135" s="268">
        <f>IF(ISNUMBER(CE133),IF(ABS(CE133-CE190-N(CE221))&lt;=1,0,ROUND(CE133-CE190-N(CE221),0)),"")</f>
        <v>0</v>
      </c>
      <c r="CF135" s="268">
        <f>IF(ISNUMBER(CF133),IF(ABS(CF133-CF190-N(CF221))&lt;=1,0,ROUND(CF133-CF190-N(CF221),0)),"")</f>
        <v>0</v>
      </c>
      <c r="CG135" s="268">
        <f>IF(ISNUMBER(CG133),IF(ABS(CG133-CG190-N(CG221))&lt;=1,0,ROUND(CG133-CG190-N(CG221),0)),"")</f>
        <v>0</v>
      </c>
      <c r="CH135" s="268">
        <f>IF(ISNUMBER(CH133),IF(ABS(CH133-CH190-N(CH221))&lt;=1,0,ROUND(CH133-CH190-N(CH221),0)),"")</f>
        <v>0</v>
      </c>
      <c r="CI135" s="268">
        <f>IF(ISNUMBER(CI133),IF(ABS(CI133-CI190-N(CI221))&lt;=1,0,ROUND(CI133-CI190-N(CI221),0)),"")</f>
        <v>0</v>
      </c>
      <c r="CJ135" s="268">
        <f>IF(ISNUMBER(CJ133),IF(ABS(CJ133-CJ190-N(CJ221))&lt;=1,0,ROUND(CJ133-CJ190-N(CJ221),0)),"")</f>
        <v>0</v>
      </c>
      <c r="CK135" s="153" t="n"/>
    </row>
    <row r="136" ht="15" customHeight="1" s="251">
      <c r="B136" s="156" t="inlineStr">
        <is>
          <t xml:space="preserve">  Memo: Q1 FY27 Agents and Infra revenue guidance (scenario end-point)</t>
        </is>
      </c>
      <c r="C136" s="34" t="n"/>
      <c r="D136" s="34" t="n"/>
      <c r="E136" s="34" t="n"/>
      <c r="F136" s="34" t="n"/>
      <c r="G136" s="34" t="n"/>
      <c r="H136" s="34" t="n"/>
      <c r="I136" s="34" t="n"/>
      <c r="J136" s="34" t="n"/>
      <c r="K136" s="34" t="n"/>
      <c r="L136" s="34" t="n"/>
      <c r="M136" s="34" t="n"/>
      <c r="N136" s="34" t="n"/>
      <c r="O136" s="34" t="n"/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  <c r="AA136" s="34" t="n"/>
      <c r="AB136" s="34" t="n"/>
      <c r="AC136" s="34" t="n"/>
      <c r="AD136" s="34" t="n"/>
      <c r="AE136" s="34" t="n"/>
      <c r="AF136" s="34" t="n"/>
      <c r="AG136" s="34" t="n"/>
      <c r="AH136" s="34" t="n"/>
      <c r="AI136" s="34" t="n"/>
      <c r="AJ136" s="34" t="n"/>
      <c r="AK136" s="34" t="n"/>
      <c r="AL136" s="34" t="n"/>
      <c r="AM136" s="34" t="n"/>
      <c r="AN136" s="34" t="n"/>
      <c r="AO136" s="34" t="n"/>
      <c r="AP136" s="34" t="n"/>
      <c r="AQ136" s="34" t="n"/>
      <c r="AR136" s="34" t="n"/>
      <c r="AS136" s="34" t="n"/>
      <c r="AT136" s="34" t="n"/>
      <c r="AU136" s="34" t="n"/>
      <c r="AV136" s="34" t="n"/>
      <c r="AW136" s="34" t="n"/>
      <c r="AX136" s="34" t="n"/>
      <c r="AY136" s="34" t="n"/>
      <c r="AZ136" s="34" t="n"/>
      <c r="BA136" s="34" t="n"/>
      <c r="BB136" s="34" t="n"/>
      <c r="BC136" s="34" t="n"/>
      <c r="BD136" s="34" t="n"/>
      <c r="BE136" s="34" t="n"/>
      <c r="BF136" s="34" t="n"/>
      <c r="BG136" s="34" t="n"/>
      <c r="BH136" s="34" t="n"/>
      <c r="BI136" s="34" t="n"/>
      <c r="BJ136" s="34" t="n"/>
      <c r="BK136" s="34" t="n"/>
      <c r="BL136" s="34" t="n"/>
      <c r="BM136" s="34" t="n"/>
      <c r="BN136" s="34" t="n"/>
      <c r="BO136" s="34" t="n"/>
      <c r="BP136" s="34" t="n"/>
      <c r="BQ136" s="34" t="n"/>
      <c r="BR136" s="34" t="n"/>
      <c r="BS136" s="34" t="n"/>
      <c r="BT136" s="34" t="n"/>
      <c r="BU136" s="34" t="n"/>
      <c r="BV136" s="34" t="n"/>
      <c r="BW136" s="34" t="n"/>
      <c r="BX136" s="34" t="n"/>
      <c r="BY136" s="34" t="n"/>
      <c r="BZ136" s="34" t="n"/>
      <c r="CA136" s="34" t="n"/>
      <c r="CB136" s="268">
        <f>CHOOSE(MATCH($CK$2,{"Bull","Base","Bear"},0),$CT$12,$CU$12,$CV$12)</f>
        <v>75450</v>
      </c>
      <c r="CC136" s="153" t="n"/>
      <c r="CD136" s="153" t="n"/>
      <c r="CE136" s="153" t="n"/>
      <c r="CF136" s="153" t="n"/>
      <c r="CG136" s="153" t="n"/>
      <c r="CH136" s="153" t="n"/>
      <c r="CI136" s="153" t="n"/>
      <c r="CJ136" s="153" t="n"/>
      <c r="CK136" s="153" t="inlineStr">
        <is>
          <t>Q1 FY27 outlook given on the 29-Jul-2026 earnings call and re-filed (with mechanical adjustments to the FY27 two-segment structure) in the 8-K of 2-Sep-2026, Item 7.01, Ex. 99.1 "FY27 Segments and Investor Metrics" - SEC-filed, so verified on EDGAR.</t>
        </is>
      </c>
    </row>
    <row r="137" ht="15" customHeight="1" s="251">
      <c r="B137" s="25" t="inlineStr">
        <is>
          <t xml:space="preserve">  Agents and Infra revenue before calibration (Q1/27E helper)</t>
        </is>
      </c>
      <c r="C137" s="34" t="n"/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  <c r="AA137" s="34" t="n"/>
      <c r="AB137" s="34" t="n"/>
      <c r="AC137" s="34" t="n"/>
      <c r="AD137" s="34" t="n"/>
      <c r="AE137" s="34" t="n"/>
      <c r="AF137" s="34" t="n"/>
      <c r="AG137" s="34" t="n"/>
      <c r="AH137" s="34" t="n"/>
      <c r="AI137" s="34" t="n"/>
      <c r="AJ137" s="34" t="n"/>
      <c r="AK137" s="34" t="n"/>
      <c r="AL137" s="34" t="n"/>
      <c r="AM137" s="34" t="n"/>
      <c r="AN137" s="34" t="n"/>
      <c r="AO137" s="34" t="n"/>
      <c r="AP137" s="34" t="n"/>
      <c r="AQ137" s="34" t="n"/>
      <c r="AR137" s="34" t="n"/>
      <c r="AS137" s="34" t="n"/>
      <c r="AT137" s="34" t="n"/>
      <c r="AU137" s="34" t="n"/>
      <c r="AV137" s="34" t="n"/>
      <c r="AW137" s="34" t="n"/>
      <c r="AX137" s="34" t="n"/>
      <c r="AY137" s="34" t="n"/>
      <c r="AZ137" s="34" t="n"/>
      <c r="BA137" s="34" t="n"/>
      <c r="BB137" s="34" t="n"/>
      <c r="BC137" s="34" t="n"/>
      <c r="BD137" s="34" t="n"/>
      <c r="BE137" s="34" t="n"/>
      <c r="BF137" s="34" t="n"/>
      <c r="BG137" s="34" t="n"/>
      <c r="BH137" s="34" t="n"/>
      <c r="BI137" s="34" t="n"/>
      <c r="BJ137" s="34" t="n"/>
      <c r="BK137" s="34" t="n"/>
      <c r="BL137" s="34" t="n"/>
      <c r="BM137" s="34" t="n"/>
      <c r="BN137" s="34" t="n"/>
      <c r="BO137" s="34" t="n"/>
      <c r="BP137" s="34" t="n"/>
      <c r="BQ137" s="34" t="n"/>
      <c r="BR137" s="34" t="n"/>
      <c r="BS137" s="34" t="n"/>
      <c r="BT137" s="34" t="n"/>
      <c r="BU137" s="34" t="n"/>
      <c r="BV137" s="34" t="n"/>
      <c r="BW137" s="34" t="n"/>
      <c r="BX137" s="34" t="n"/>
      <c r="BY137" s="34" t="n"/>
      <c r="BZ137" s="34" t="n"/>
      <c r="CA137" s="34" t="n"/>
      <c r="CB137" s="254">
        <f>BW11*(1+CB13)+BW14*(1+CB16)+BW17*(1+CB19)+BW20*(1+CB22)+BW23*(1+CB25)</f>
        <v>76190.026532535</v>
      </c>
      <c r="CC137" s="35" t="n"/>
      <c r="CD137" s="35" t="n"/>
      <c r="CE137" s="35" t="n"/>
      <c r="CF137" s="35" t="n"/>
      <c r="CG137" s="35" t="n"/>
      <c r="CH137" s="35" t="n"/>
      <c r="CI137" s="35" t="n"/>
      <c r="CJ137" s="35" t="n"/>
      <c r="CK137" s="19" t="n"/>
    </row>
    <row r="138" ht="15" customHeight="1" s="251">
      <c r="B138" s="25" t="inlineStr">
        <is>
          <t xml:space="preserve">  Agents and Infra revenue sensitivity to +1.00 of growth (Q1/27E helper)</t>
        </is>
      </c>
      <c r="C138" s="34" t="n"/>
      <c r="D138" s="34" t="n"/>
      <c r="E138" s="34" t="n"/>
      <c r="F138" s="34" t="n"/>
      <c r="G138" s="34" t="n"/>
      <c r="H138" s="34" t="n"/>
      <c r="I138" s="34" t="n"/>
      <c r="J138" s="34" t="n"/>
      <c r="K138" s="34" t="n"/>
      <c r="L138" s="34" t="n"/>
      <c r="M138" s="34" t="n"/>
      <c r="N138" s="34" t="n"/>
      <c r="O138" s="34" t="n"/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  <c r="AA138" s="34" t="n"/>
      <c r="AB138" s="34" t="n"/>
      <c r="AC138" s="34" t="n"/>
      <c r="AD138" s="34" t="n"/>
      <c r="AE138" s="34" t="n"/>
      <c r="AF138" s="34" t="n"/>
      <c r="AG138" s="34" t="n"/>
      <c r="AH138" s="34" t="n"/>
      <c r="AI138" s="34" t="n"/>
      <c r="AJ138" s="34" t="n"/>
      <c r="AK138" s="34" t="n"/>
      <c r="AL138" s="34" t="n"/>
      <c r="AM138" s="34" t="n"/>
      <c r="AN138" s="34" t="n"/>
      <c r="AO138" s="34" t="n"/>
      <c r="AP138" s="34" t="n"/>
      <c r="AQ138" s="34" t="n"/>
      <c r="AR138" s="34" t="n"/>
      <c r="AS138" s="34" t="n"/>
      <c r="AT138" s="34" t="n"/>
      <c r="AU138" s="34" t="n"/>
      <c r="AV138" s="34" t="n"/>
      <c r="AW138" s="34" t="n"/>
      <c r="AX138" s="34" t="n"/>
      <c r="AY138" s="34" t="n"/>
      <c r="AZ138" s="34" t="n"/>
      <c r="BA138" s="34" t="n"/>
      <c r="BB138" s="34" t="n"/>
      <c r="BC138" s="34" t="n"/>
      <c r="BD138" s="34" t="n"/>
      <c r="BE138" s="34" t="n"/>
      <c r="BF138" s="34" t="n"/>
      <c r="BG138" s="34" t="n"/>
      <c r="BH138" s="34" t="n"/>
      <c r="BI138" s="34" t="n"/>
      <c r="BJ138" s="34" t="n"/>
      <c r="BK138" s="34" t="n"/>
      <c r="BL138" s="34" t="n"/>
      <c r="BM138" s="34" t="n"/>
      <c r="BN138" s="34" t="n"/>
      <c r="BO138" s="34" t="n"/>
      <c r="BP138" s="34" t="n"/>
      <c r="BQ138" s="34" t="n"/>
      <c r="BR138" s="34" t="n"/>
      <c r="BS138" s="34" t="n"/>
      <c r="BT138" s="34" t="n"/>
      <c r="BU138" s="34" t="n"/>
      <c r="BV138" s="34" t="n"/>
      <c r="BW138" s="34" t="n"/>
      <c r="BX138" s="34" t="n"/>
      <c r="BY138" s="34" t="n"/>
      <c r="BZ138" s="34" t="n"/>
      <c r="CA138" s="34" t="n"/>
      <c r="CB138" s="254">
        <f>BW11+BW14+BW17+BW20+BW23</f>
        <v>61672</v>
      </c>
      <c r="CC138" s="35" t="n"/>
      <c r="CD138" s="35" t="n"/>
      <c r="CE138" s="35" t="n"/>
      <c r="CF138" s="35" t="n"/>
      <c r="CG138" s="35" t="n"/>
      <c r="CH138" s="35" t="n"/>
      <c r="CI138" s="35" t="n"/>
      <c r="CJ138" s="35" t="n"/>
      <c r="CK138" s="19" t="n"/>
    </row>
    <row r="139" ht="15" customHeight="1" s="251">
      <c r="B139" s="25" t="inlineStr">
        <is>
          <t xml:space="preserve">  Guidance calibration: Δ y/y growth, all Agents and Infra lines (solved in Q1/27E; carried to Q2–Q4)</t>
        </is>
      </c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  <c r="AU139" s="36" t="n"/>
      <c r="AV139" s="36" t="n"/>
      <c r="AW139" s="36" t="n"/>
      <c r="AX139" s="36" t="n"/>
      <c r="AY139" s="36" t="n"/>
      <c r="AZ139" s="36" t="n"/>
      <c r="BA139" s="36" t="n"/>
      <c r="BB139" s="36" t="n"/>
      <c r="BC139" s="36" t="n"/>
      <c r="BD139" s="36" t="n"/>
      <c r="BE139" s="36" t="n"/>
      <c r="BF139" s="36" t="n"/>
      <c r="BG139" s="36" t="n"/>
      <c r="BH139" s="36" t="n"/>
      <c r="BI139" s="36" t="n"/>
      <c r="BJ139" s="36" t="n"/>
      <c r="BK139" s="36" t="n"/>
      <c r="BL139" s="36" t="n"/>
      <c r="BM139" s="36" t="n"/>
      <c r="BN139" s="36" t="n"/>
      <c r="BO139" s="36" t="n"/>
      <c r="BP139" s="36" t="n"/>
      <c r="BQ139" s="36" t="n"/>
      <c r="BR139" s="36" t="n"/>
      <c r="BS139" s="36" t="n"/>
      <c r="BT139" s="36" t="n"/>
      <c r="BU139" s="36" t="n"/>
      <c r="BV139" s="36" t="n"/>
      <c r="BW139" s="36" t="n"/>
      <c r="BX139" s="36" t="n"/>
      <c r="BY139" s="36" t="n"/>
      <c r="BZ139" s="36" t="n"/>
      <c r="CA139" s="36" t="n"/>
      <c r="CB139" s="256">
        <f>(CB136-CB137)/CB138</f>
        <v>-0.0119993924720295</v>
      </c>
      <c r="CC139" s="24" t="n"/>
      <c r="CD139" s="24" t="n"/>
      <c r="CE139" s="24" t="n"/>
      <c r="CF139" s="24" t="n"/>
      <c r="CG139" s="46" t="n"/>
      <c r="CH139" s="46" t="n"/>
      <c r="CI139" s="46" t="n"/>
      <c r="CJ139" s="46" t="n"/>
      <c r="CK139" s="19" t="n"/>
    </row>
    <row r="140" ht="15" customHeight="1" s="251">
      <c r="B140" s="57" t="inlineStr">
        <is>
          <t xml:space="preserve">  Check: Q1/27E Agents and Infra revenue vs guidance end-point (should be 0)</t>
        </is>
      </c>
      <c r="C140" s="44" t="n"/>
      <c r="D140" s="44" t="n"/>
      <c r="E140" s="44" t="n"/>
      <c r="F140" s="44" t="n"/>
      <c r="G140" s="44" t="n"/>
      <c r="H140" s="44" t="n"/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  <c r="AE140" s="44" t="n"/>
      <c r="AF140" s="44" t="n"/>
      <c r="AG140" s="44" t="n"/>
      <c r="AH140" s="44" t="n"/>
      <c r="AI140" s="44" t="n"/>
      <c r="AJ140" s="44" t="n"/>
      <c r="AK140" s="44" t="n"/>
      <c r="AL140" s="44" t="n"/>
      <c r="AM140" s="44" t="n"/>
      <c r="AN140" s="44" t="n"/>
      <c r="AO140" s="44" t="n"/>
      <c r="AP140" s="44" t="n"/>
      <c r="AQ140" s="44" t="n"/>
      <c r="AR140" s="44" t="n"/>
      <c r="AS140" s="44" t="n"/>
      <c r="AT140" s="44" t="n"/>
      <c r="AU140" s="44" t="n"/>
      <c r="AV140" s="44" t="n"/>
      <c r="AW140" s="44" t="n"/>
      <c r="AX140" s="44" t="n"/>
      <c r="AY140" s="44" t="n"/>
      <c r="AZ140" s="44" t="n"/>
      <c r="BA140" s="44" t="n"/>
      <c r="BB140" s="44" t="n"/>
      <c r="BC140" s="44" t="n"/>
      <c r="BD140" s="44" t="n"/>
      <c r="BE140" s="44" t="n"/>
      <c r="BF140" s="44" t="n"/>
      <c r="BG140" s="44" t="n"/>
      <c r="BH140" s="44" t="n"/>
      <c r="BI140" s="44" t="n"/>
      <c r="BJ140" s="44" t="n"/>
      <c r="BK140" s="44" t="n"/>
      <c r="BL140" s="44" t="n"/>
      <c r="BM140" s="44" t="n"/>
      <c r="BN140" s="44" t="n"/>
      <c r="BO140" s="44" t="n"/>
      <c r="BP140" s="44" t="n"/>
      <c r="BQ140" s="44" t="n"/>
      <c r="BR140" s="44" t="n"/>
      <c r="BS140" s="44" t="n"/>
      <c r="BT140" s="44" t="n"/>
      <c r="BU140" s="44" t="n"/>
      <c r="BV140" s="44" t="n"/>
      <c r="BW140" s="44" t="n"/>
      <c r="BX140" s="44" t="n"/>
      <c r="BY140" s="44" t="n"/>
      <c r="BZ140" s="44" t="n"/>
      <c r="CA140" s="44" t="n"/>
      <c r="CB140" s="268">
        <f>ROUND(CB26-CB136,0)</f>
        <v>0</v>
      </c>
      <c r="CC140" s="153" t="n"/>
      <c r="CD140" s="153" t="n"/>
      <c r="CE140" s="153" t="n"/>
      <c r="CF140" s="153" t="n"/>
      <c r="CG140" s="153" t="n"/>
      <c r="CH140" s="153" t="n"/>
      <c r="CI140" s="153" t="n"/>
      <c r="CJ140" s="153" t="n"/>
      <c r="CK140" s="153" t="n"/>
    </row>
    <row r="141" ht="15" customHeight="1" s="251">
      <c r="B141" s="156" t="inlineStr">
        <is>
          <t xml:space="preserve">  Memo: Q1 FY27 Devices and Consumer revenue guidance (scenario end-point)</t>
        </is>
      </c>
      <c r="C141" s="34" t="n"/>
      <c r="D141" s="34" t="n"/>
      <c r="E141" s="34" t="n"/>
      <c r="F141" s="34" t="n"/>
      <c r="G141" s="34" t="n"/>
      <c r="H141" s="34" t="n"/>
      <c r="I141" s="34" t="n"/>
      <c r="J141" s="34" t="n"/>
      <c r="K141" s="34" t="n"/>
      <c r="L141" s="34" t="n"/>
      <c r="M141" s="34" t="n"/>
      <c r="N141" s="34" t="n"/>
      <c r="O141" s="34" t="n"/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  <c r="AA141" s="34" t="n"/>
      <c r="AB141" s="34" t="n"/>
      <c r="AC141" s="34" t="n"/>
      <c r="AD141" s="34" t="n"/>
      <c r="AE141" s="34" t="n"/>
      <c r="AF141" s="34" t="n"/>
      <c r="AG141" s="34" t="n"/>
      <c r="AH141" s="34" t="n"/>
      <c r="AI141" s="34" t="n"/>
      <c r="AJ141" s="34" t="n"/>
      <c r="AK141" s="34" t="n"/>
      <c r="AL141" s="34" t="n"/>
      <c r="AM141" s="34" t="n"/>
      <c r="AN141" s="34" t="n"/>
      <c r="AO141" s="34" t="n"/>
      <c r="AP141" s="34" t="n"/>
      <c r="AQ141" s="34" t="n"/>
      <c r="AR141" s="34" t="n"/>
      <c r="AS141" s="34" t="n"/>
      <c r="AT141" s="34" t="n"/>
      <c r="AU141" s="34" t="n"/>
      <c r="AV141" s="34" t="n"/>
      <c r="AW141" s="34" t="n"/>
      <c r="AX141" s="34" t="n"/>
      <c r="AY141" s="34" t="n"/>
      <c r="AZ141" s="34" t="n"/>
      <c r="BA141" s="34" t="n"/>
      <c r="BB141" s="34" t="n"/>
      <c r="BC141" s="34" t="n"/>
      <c r="BD141" s="34" t="n"/>
      <c r="BE141" s="34" t="n"/>
      <c r="BF141" s="34" t="n"/>
      <c r="BG141" s="34" t="n"/>
      <c r="BH141" s="34" t="n"/>
      <c r="BI141" s="34" t="n"/>
      <c r="BJ141" s="34" t="n"/>
      <c r="BK141" s="34" t="n"/>
      <c r="BL141" s="34" t="n"/>
      <c r="BM141" s="34" t="n"/>
      <c r="BN141" s="34" t="n"/>
      <c r="BO141" s="34" t="n"/>
      <c r="BP141" s="34" t="n"/>
      <c r="BQ141" s="34" t="n"/>
      <c r="BR141" s="34" t="n"/>
      <c r="BS141" s="34" t="n"/>
      <c r="BT141" s="34" t="n"/>
      <c r="BU141" s="34" t="n"/>
      <c r="BV141" s="34" t="n"/>
      <c r="BW141" s="34" t="n"/>
      <c r="BX141" s="34" t="n"/>
      <c r="BY141" s="34" t="n"/>
      <c r="BZ141" s="34" t="n"/>
      <c r="CA141" s="34" t="n"/>
      <c r="CB141" s="268">
        <f>CHOOSE(MATCH($CK$2,{"Bull","Base","Bear"},0),$CT$13,$CU$13,$CV$13)</f>
        <v>14950</v>
      </c>
      <c r="CC141" s="153" t="n"/>
      <c r="CD141" s="153" t="n"/>
      <c r="CE141" s="153" t="n"/>
      <c r="CF141" s="153" t="n"/>
      <c r="CG141" s="153" t="n"/>
      <c r="CH141" s="153" t="n"/>
      <c r="CI141" s="153" t="n"/>
      <c r="CJ141" s="153" t="n"/>
      <c r="CK141" s="153" t="n"/>
    </row>
    <row r="142" ht="15" customHeight="1" s="251">
      <c r="B142" s="25" t="inlineStr">
        <is>
          <t xml:space="preserve">  Devices and Consumer revenue before calibration (Q1/27E helper)</t>
        </is>
      </c>
      <c r="C142" s="34" t="n"/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  <c r="AA142" s="34" t="n"/>
      <c r="AB142" s="34" t="n"/>
      <c r="AC142" s="34" t="n"/>
      <c r="AD142" s="34" t="n"/>
      <c r="AE142" s="34" t="n"/>
      <c r="AF142" s="34" t="n"/>
      <c r="AG142" s="34" t="n"/>
      <c r="AH142" s="34" t="n"/>
      <c r="AI142" s="34" t="n"/>
      <c r="AJ142" s="34" t="n"/>
      <c r="AK142" s="34" t="n"/>
      <c r="AL142" s="34" t="n"/>
      <c r="AM142" s="34" t="n"/>
      <c r="AN142" s="34" t="n"/>
      <c r="AO142" s="34" t="n"/>
      <c r="AP142" s="34" t="n"/>
      <c r="AQ142" s="34" t="n"/>
      <c r="AR142" s="34" t="n"/>
      <c r="AS142" s="34" t="n"/>
      <c r="AT142" s="34" t="n"/>
      <c r="AU142" s="34" t="n"/>
      <c r="AV142" s="34" t="n"/>
      <c r="AW142" s="34" t="n"/>
      <c r="AX142" s="34" t="n"/>
      <c r="AY142" s="34" t="n"/>
      <c r="AZ142" s="34" t="n"/>
      <c r="BA142" s="34" t="n"/>
      <c r="BB142" s="34" t="n"/>
      <c r="BC142" s="34" t="n"/>
      <c r="BD142" s="34" t="n"/>
      <c r="BE142" s="34" t="n"/>
      <c r="BF142" s="34" t="n"/>
      <c r="BG142" s="34" t="n"/>
      <c r="BH142" s="34" t="n"/>
      <c r="BI142" s="34" t="n"/>
      <c r="BJ142" s="34" t="n"/>
      <c r="BK142" s="34" t="n"/>
      <c r="BL142" s="34" t="n"/>
      <c r="BM142" s="34" t="n"/>
      <c r="BN142" s="34" t="n"/>
      <c r="BO142" s="34" t="n"/>
      <c r="BP142" s="34" t="n"/>
      <c r="BQ142" s="34" t="n"/>
      <c r="BR142" s="34" t="n"/>
      <c r="BS142" s="34" t="n"/>
      <c r="BT142" s="34" t="n"/>
      <c r="BU142" s="34" t="n"/>
      <c r="BV142" s="34" t="n"/>
      <c r="BW142" s="34" t="n"/>
      <c r="BX142" s="34" t="n"/>
      <c r="BY142" s="34" t="n"/>
      <c r="BZ142" s="34" t="n"/>
      <c r="CA142" s="34" t="n"/>
      <c r="CB142" s="254">
        <f>BW40*(1+CB42)+BW43*(1+CB45)+BW46*(1+CB48)</f>
        <v>15770.45069397</v>
      </c>
      <c r="CC142" s="35" t="n"/>
      <c r="CD142" s="35" t="n"/>
      <c r="CE142" s="35" t="n"/>
      <c r="CF142" s="35" t="n"/>
      <c r="CG142" s="35" t="n"/>
      <c r="CH142" s="35" t="n"/>
      <c r="CI142" s="35" t="n"/>
      <c r="CJ142" s="35" t="n"/>
      <c r="CK142" s="19" t="n"/>
    </row>
    <row r="143" ht="15" customHeight="1" s="251">
      <c r="B143" s="25" t="inlineStr">
        <is>
          <t xml:space="preserve">  Devices and Consumer revenue sensitivity to +1.00 of growth (Q1/27E helper)</t>
        </is>
      </c>
      <c r="C143" s="34" t="n"/>
      <c r="D143" s="34" t="n"/>
      <c r="E143" s="34" t="n"/>
      <c r="F143" s="34" t="n"/>
      <c r="G143" s="34" t="n"/>
      <c r="H143" s="34" t="n"/>
      <c r="I143" s="34" t="n"/>
      <c r="J143" s="34" t="n"/>
      <c r="K143" s="34" t="n"/>
      <c r="L143" s="34" t="n"/>
      <c r="M143" s="34" t="n"/>
      <c r="N143" s="34" t="n"/>
      <c r="O143" s="34" t="n"/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  <c r="AA143" s="34" t="n"/>
      <c r="AB143" s="34" t="n"/>
      <c r="AC143" s="34" t="n"/>
      <c r="AD143" s="34" t="n"/>
      <c r="AE143" s="34" t="n"/>
      <c r="AF143" s="34" t="n"/>
      <c r="AG143" s="34" t="n"/>
      <c r="AH143" s="34" t="n"/>
      <c r="AI143" s="34" t="n"/>
      <c r="AJ143" s="34" t="n"/>
      <c r="AK143" s="34" t="n"/>
      <c r="AL143" s="34" t="n"/>
      <c r="AM143" s="34" t="n"/>
      <c r="AN143" s="34" t="n"/>
      <c r="AO143" s="34" t="n"/>
      <c r="AP143" s="34" t="n"/>
      <c r="AQ143" s="34" t="n"/>
      <c r="AR143" s="34" t="n"/>
      <c r="AS143" s="34" t="n"/>
      <c r="AT143" s="34" t="n"/>
      <c r="AU143" s="34" t="n"/>
      <c r="AV143" s="34" t="n"/>
      <c r="AW143" s="34" t="n"/>
      <c r="AX143" s="34" t="n"/>
      <c r="AY143" s="34" t="n"/>
      <c r="AZ143" s="34" t="n"/>
      <c r="BA143" s="34" t="n"/>
      <c r="BB143" s="34" t="n"/>
      <c r="BC143" s="34" t="n"/>
      <c r="BD143" s="34" t="n"/>
      <c r="BE143" s="34" t="n"/>
      <c r="BF143" s="34" t="n"/>
      <c r="BG143" s="34" t="n"/>
      <c r="BH143" s="34" t="n"/>
      <c r="BI143" s="34" t="n"/>
      <c r="BJ143" s="34" t="n"/>
      <c r="BK143" s="34" t="n"/>
      <c r="BL143" s="34" t="n"/>
      <c r="BM143" s="34" t="n"/>
      <c r="BN143" s="34" t="n"/>
      <c r="BO143" s="34" t="n"/>
      <c r="BP143" s="34" t="n"/>
      <c r="BQ143" s="34" t="n"/>
      <c r="BR143" s="34" t="n"/>
      <c r="BS143" s="34" t="n"/>
      <c r="BT143" s="34" t="n"/>
      <c r="BU143" s="34" t="n"/>
      <c r="BV143" s="34" t="n"/>
      <c r="BW143" s="34" t="n"/>
      <c r="BX143" s="34" t="n"/>
      <c r="BY143" s="34" t="n"/>
      <c r="BZ143" s="34" t="n"/>
      <c r="CA143" s="34" t="n"/>
      <c r="CB143" s="254">
        <f>BW40+BW43+BW46</f>
        <v>16001</v>
      </c>
      <c r="CC143" s="35" t="n"/>
      <c r="CD143" s="35" t="n"/>
      <c r="CE143" s="35" t="n"/>
      <c r="CF143" s="35" t="n"/>
      <c r="CG143" s="35" t="n"/>
      <c r="CH143" s="35" t="n"/>
      <c r="CI143" s="35" t="n"/>
      <c r="CJ143" s="35" t="n"/>
      <c r="CK143" s="19" t="n"/>
    </row>
    <row r="144" ht="15" customHeight="1" s="251">
      <c r="B144" s="25" t="inlineStr">
        <is>
          <t xml:space="preserve">  Guidance calibration: Δ y/y growth, all Devices and Consumer lines (solved in Q1/27E; carried to Q2–Q4)</t>
        </is>
      </c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  <c r="AU144" s="36" t="n"/>
      <c r="AV144" s="36" t="n"/>
      <c r="AW144" s="36" t="n"/>
      <c r="AX144" s="36" t="n"/>
      <c r="AY144" s="36" t="n"/>
      <c r="AZ144" s="36" t="n"/>
      <c r="BA144" s="36" t="n"/>
      <c r="BB144" s="36" t="n"/>
      <c r="BC144" s="36" t="n"/>
      <c r="BD144" s="36" t="n"/>
      <c r="BE144" s="36" t="n"/>
      <c r="BF144" s="36" t="n"/>
      <c r="BG144" s="36" t="n"/>
      <c r="BH144" s="36" t="n"/>
      <c r="BI144" s="36" t="n"/>
      <c r="BJ144" s="36" t="n"/>
      <c r="BK144" s="36" t="n"/>
      <c r="BL144" s="36" t="n"/>
      <c r="BM144" s="36" t="n"/>
      <c r="BN144" s="36" t="n"/>
      <c r="BO144" s="36" t="n"/>
      <c r="BP144" s="36" t="n"/>
      <c r="BQ144" s="36" t="n"/>
      <c r="BR144" s="36" t="n"/>
      <c r="BS144" s="36" t="n"/>
      <c r="BT144" s="36" t="n"/>
      <c r="BU144" s="36" t="n"/>
      <c r="BV144" s="36" t="n"/>
      <c r="BW144" s="36" t="n"/>
      <c r="BX144" s="36" t="n"/>
      <c r="BY144" s="36" t="n"/>
      <c r="BZ144" s="36" t="n"/>
      <c r="CA144" s="36" t="n"/>
      <c r="CB144" s="256">
        <f>(CB141-CB142)/CB143</f>
        <v>-0.0512749636878968</v>
      </c>
      <c r="CC144" s="24" t="n"/>
      <c r="CD144" s="24" t="n"/>
      <c r="CE144" s="24" t="n"/>
      <c r="CF144" s="24" t="n"/>
      <c r="CG144" s="46" t="n"/>
      <c r="CH144" s="46" t="n"/>
      <c r="CI144" s="46" t="n"/>
      <c r="CJ144" s="46" t="n"/>
      <c r="CK144" s="19" t="n"/>
    </row>
    <row r="145" ht="15" customHeight="1" s="251">
      <c r="B145" s="57" t="inlineStr">
        <is>
          <t xml:space="preserve">  Check: Q1/27E Devices and Consumer revenue vs guidance end-point (should be 0)</t>
        </is>
      </c>
      <c r="C145" s="44" t="n"/>
      <c r="D145" s="44" t="n"/>
      <c r="E145" s="44" t="n"/>
      <c r="F145" s="44" t="n"/>
      <c r="G145" s="44" t="n"/>
      <c r="H145" s="44" t="n"/>
      <c r="I145" s="44" t="n"/>
      <c r="J145" s="44" t="n"/>
      <c r="K145" s="44" t="n"/>
      <c r="L145" s="44" t="n"/>
      <c r="M145" s="44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  <c r="AE145" s="44" t="n"/>
      <c r="AF145" s="44" t="n"/>
      <c r="AG145" s="44" t="n"/>
      <c r="AH145" s="44" t="n"/>
      <c r="AI145" s="44" t="n"/>
      <c r="AJ145" s="44" t="n"/>
      <c r="AK145" s="44" t="n"/>
      <c r="AL145" s="44" t="n"/>
      <c r="AM145" s="44" t="n"/>
      <c r="AN145" s="44" t="n"/>
      <c r="AO145" s="44" t="n"/>
      <c r="AP145" s="44" t="n"/>
      <c r="AQ145" s="44" t="n"/>
      <c r="AR145" s="44" t="n"/>
      <c r="AS145" s="44" t="n"/>
      <c r="AT145" s="44" t="n"/>
      <c r="AU145" s="44" t="n"/>
      <c r="AV145" s="44" t="n"/>
      <c r="AW145" s="44" t="n"/>
      <c r="AX145" s="44" t="n"/>
      <c r="AY145" s="44" t="n"/>
      <c r="AZ145" s="44" t="n"/>
      <c r="BA145" s="44" t="n"/>
      <c r="BB145" s="44" t="n"/>
      <c r="BC145" s="44" t="n"/>
      <c r="BD145" s="44" t="n"/>
      <c r="BE145" s="44" t="n"/>
      <c r="BF145" s="44" t="n"/>
      <c r="BG145" s="44" t="n"/>
      <c r="BH145" s="44" t="n"/>
      <c r="BI145" s="44" t="n"/>
      <c r="BJ145" s="44" t="n"/>
      <c r="BK145" s="44" t="n"/>
      <c r="BL145" s="44" t="n"/>
      <c r="BM145" s="44" t="n"/>
      <c r="BN145" s="44" t="n"/>
      <c r="BO145" s="44" t="n"/>
      <c r="BP145" s="44" t="n"/>
      <c r="BQ145" s="44" t="n"/>
      <c r="BR145" s="44" t="n"/>
      <c r="BS145" s="44" t="n"/>
      <c r="BT145" s="44" t="n"/>
      <c r="BU145" s="44" t="n"/>
      <c r="BV145" s="44" t="n"/>
      <c r="BW145" s="44" t="n"/>
      <c r="BX145" s="44" t="n"/>
      <c r="BY145" s="44" t="n"/>
      <c r="BZ145" s="44" t="n"/>
      <c r="CA145" s="44" t="n"/>
      <c r="CB145" s="268">
        <f>ROUND(CB49-CB141,0)</f>
        <v>0</v>
      </c>
      <c r="CC145" s="153" t="n"/>
      <c r="CD145" s="153" t="n"/>
      <c r="CE145" s="153" t="n"/>
      <c r="CF145" s="153" t="n"/>
      <c r="CG145" s="153" t="n"/>
      <c r="CH145" s="153" t="n"/>
      <c r="CI145" s="153" t="n"/>
      <c r="CJ145" s="153" t="n"/>
      <c r="CK145" s="153" t="n"/>
    </row>
    <row r="146" ht="15" customHeight="1" s="251">
      <c r="B146" s="156" t="inlineStr">
        <is>
          <t xml:space="preserve">  Memo: Q1 FY27 operating income implied by guidance (revenue − COGS − operating expenses end-points)</t>
        </is>
      </c>
      <c r="C146" s="44" t="n"/>
      <c r="D146" s="44" t="n"/>
      <c r="E146" s="44" t="n"/>
      <c r="F146" s="44" t="n"/>
      <c r="G146" s="44" t="n"/>
      <c r="H146" s="44" t="n"/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  <c r="AE146" s="44" t="n"/>
      <c r="AF146" s="44" t="n"/>
      <c r="AG146" s="44" t="n"/>
      <c r="AH146" s="44" t="n"/>
      <c r="AI146" s="44" t="n"/>
      <c r="AJ146" s="44" t="n"/>
      <c r="AK146" s="44" t="n"/>
      <c r="AL146" s="44" t="n"/>
      <c r="AM146" s="44" t="n"/>
      <c r="AN146" s="44" t="n"/>
      <c r="AO146" s="44" t="n"/>
      <c r="AP146" s="44" t="n"/>
      <c r="AQ146" s="44" t="n"/>
      <c r="AR146" s="44" t="n"/>
      <c r="AS146" s="44" t="n"/>
      <c r="AT146" s="44" t="n"/>
      <c r="AU146" s="44" t="n"/>
      <c r="AV146" s="44" t="n"/>
      <c r="AW146" s="44" t="n"/>
      <c r="AX146" s="44" t="n"/>
      <c r="AY146" s="44" t="n"/>
      <c r="AZ146" s="44" t="n"/>
      <c r="BA146" s="44" t="n"/>
      <c r="BB146" s="44" t="n"/>
      <c r="BC146" s="44" t="n"/>
      <c r="BD146" s="44" t="n"/>
      <c r="BE146" s="44" t="n"/>
      <c r="BF146" s="44" t="n"/>
      <c r="BG146" s="44" t="n"/>
      <c r="BH146" s="44" t="n"/>
      <c r="BI146" s="44" t="n"/>
      <c r="BJ146" s="44" t="n"/>
      <c r="BK146" s="44" t="n"/>
      <c r="BL146" s="44" t="n"/>
      <c r="BM146" s="44" t="n"/>
      <c r="BN146" s="44" t="n"/>
      <c r="BO146" s="44" t="n"/>
      <c r="BP146" s="44" t="n"/>
      <c r="BQ146" s="44" t="n"/>
      <c r="BR146" s="44" t="n"/>
      <c r="BS146" s="44" t="n"/>
      <c r="BT146" s="44" t="n"/>
      <c r="BU146" s="44" t="n"/>
      <c r="BV146" s="44" t="n"/>
      <c r="BW146" s="44" t="n"/>
      <c r="BX146" s="44" t="n"/>
      <c r="BY146" s="44" t="n"/>
      <c r="BZ146" s="44" t="n"/>
      <c r="CA146" s="44" t="n"/>
      <c r="CB146" s="254">
        <f>CB136+CB141-CHOOSE(MATCH($CK$2,{"Bull","Base","Bear"},0),$CT$14,$CU$14,$CV$14)-CHOOSE(MATCH($CK$2,{"Bull","Base","Bear"},0),$CT$15,$CU$15,$CV$15)</f>
        <v>43850</v>
      </c>
      <c r="CC146" s="35" t="n"/>
      <c r="CD146" s="35" t="n"/>
      <c r="CE146" s="35" t="n"/>
      <c r="CF146" s="35" t="n"/>
      <c r="CG146" s="35" t="n"/>
      <c r="CH146" s="35" t="n"/>
      <c r="CI146" s="35" t="n"/>
      <c r="CJ146" s="35" t="n"/>
      <c r="CK146" s="153" t="inlineStr">
        <is>
          <t>Bull = high revenue / low costs; Bear = low revenue / high costs. Guidance also says Q1 operating margin "relatively flat year-over-year".</t>
        </is>
      </c>
    </row>
    <row r="147" ht="15" customHeight="1" s="251">
      <c r="B147" s="25" t="inlineStr">
        <is>
          <t xml:space="preserve">  Operating income before margin calibration (Q1/27E helper)</t>
        </is>
      </c>
      <c r="C147" s="34" t="n"/>
      <c r="D147" s="34" t="n"/>
      <c r="E147" s="34" t="n"/>
      <c r="F147" s="34" t="n"/>
      <c r="G147" s="34" t="n"/>
      <c r="H147" s="34" t="n"/>
      <c r="I147" s="34" t="n"/>
      <c r="J147" s="34" t="n"/>
      <c r="K147" s="34" t="n"/>
      <c r="L147" s="34" t="n"/>
      <c r="M147" s="34" t="n"/>
      <c r="N147" s="34" t="n"/>
      <c r="O147" s="34" t="n"/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  <c r="AA147" s="34" t="n"/>
      <c r="AB147" s="34" t="n"/>
      <c r="AC147" s="34" t="n"/>
      <c r="AD147" s="34" t="n"/>
      <c r="AE147" s="34" t="n"/>
      <c r="AF147" s="34" t="n"/>
      <c r="AG147" s="34" t="n"/>
      <c r="AH147" s="34" t="n"/>
      <c r="AI147" s="34" t="n"/>
      <c r="AJ147" s="34" t="n"/>
      <c r="AK147" s="34" t="n"/>
      <c r="AL147" s="34" t="n"/>
      <c r="AM147" s="34" t="n"/>
      <c r="AN147" s="34" t="n"/>
      <c r="AO147" s="34" t="n"/>
      <c r="AP147" s="34" t="n"/>
      <c r="AQ147" s="34" t="n"/>
      <c r="AR147" s="34" t="n"/>
      <c r="AS147" s="34" t="n"/>
      <c r="AT147" s="34" t="n"/>
      <c r="AU147" s="34" t="n"/>
      <c r="AV147" s="34" t="n"/>
      <c r="AW147" s="34" t="n"/>
      <c r="AX147" s="34" t="n"/>
      <c r="AY147" s="34" t="n"/>
      <c r="AZ147" s="34" t="n"/>
      <c r="BA147" s="34" t="n"/>
      <c r="BB147" s="34" t="n"/>
      <c r="BC147" s="34" t="n"/>
      <c r="BD147" s="34" t="n"/>
      <c r="BE147" s="34" t="n"/>
      <c r="BF147" s="34" t="n"/>
      <c r="BG147" s="34" t="n"/>
      <c r="BH147" s="34" t="n"/>
      <c r="BI147" s="34" t="n"/>
      <c r="BJ147" s="34" t="n"/>
      <c r="BK147" s="34" t="n"/>
      <c r="BL147" s="34" t="n"/>
      <c r="BM147" s="34" t="n"/>
      <c r="BN147" s="34" t="n"/>
      <c r="BO147" s="34" t="n"/>
      <c r="BP147" s="34" t="n"/>
      <c r="BQ147" s="34" t="n"/>
      <c r="BR147" s="34" t="n"/>
      <c r="BS147" s="34" t="n"/>
      <c r="BT147" s="34" t="n"/>
      <c r="BU147" s="34" t="n"/>
      <c r="BV147" s="34" t="n"/>
      <c r="BW147" s="34" t="n"/>
      <c r="BX147" s="34" t="n"/>
      <c r="BY147" s="34" t="n"/>
      <c r="BZ147" s="34" t="n"/>
      <c r="CA147" s="34" t="n"/>
      <c r="CB147" s="254">
        <f>CB26*CB33+CB49*CB56</f>
        <v>45303.950710427</v>
      </c>
      <c r="CC147" s="35" t="n"/>
      <c r="CD147" s="35" t="n"/>
      <c r="CE147" s="35" t="n"/>
      <c r="CF147" s="35" t="n"/>
      <c r="CG147" s="35" t="n"/>
      <c r="CH147" s="35" t="n"/>
      <c r="CI147" s="35" t="n"/>
      <c r="CJ147" s="35" t="n"/>
      <c r="CK147" s="19" t="n"/>
    </row>
    <row r="148" ht="15" customHeight="1" s="251">
      <c r="B148" s="25" t="inlineStr">
        <is>
          <t xml:space="preserve">  Guidance calibration: Δ segment operating margin (solved in Q1/27E; carried to Q2–Q4)</t>
        </is>
      </c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  <c r="AU148" s="36" t="n"/>
      <c r="AV148" s="36" t="n"/>
      <c r="AW148" s="36" t="n"/>
      <c r="AX148" s="36" t="n"/>
      <c r="AY148" s="36" t="n"/>
      <c r="AZ148" s="36" t="n"/>
      <c r="BA148" s="36" t="n"/>
      <c r="BB148" s="36" t="n"/>
      <c r="BC148" s="36" t="n"/>
      <c r="BD148" s="36" t="n"/>
      <c r="BE148" s="36" t="n"/>
      <c r="BF148" s="36" t="n"/>
      <c r="BG148" s="36" t="n"/>
      <c r="BH148" s="36" t="n"/>
      <c r="BI148" s="36" t="n"/>
      <c r="BJ148" s="36" t="n"/>
      <c r="BK148" s="36" t="n"/>
      <c r="BL148" s="36" t="n"/>
      <c r="BM148" s="36" t="n"/>
      <c r="BN148" s="36" t="n"/>
      <c r="BO148" s="36" t="n"/>
      <c r="BP148" s="36" t="n"/>
      <c r="BQ148" s="36" t="n"/>
      <c r="BR148" s="36" t="n"/>
      <c r="BS148" s="36" t="n"/>
      <c r="BT148" s="36" t="n"/>
      <c r="BU148" s="36" t="n"/>
      <c r="BV148" s="36" t="n"/>
      <c r="BW148" s="36" t="n"/>
      <c r="BX148" s="36" t="n"/>
      <c r="BY148" s="36" t="n"/>
      <c r="BZ148" s="36" t="n"/>
      <c r="CA148" s="36" t="n"/>
      <c r="CB148" s="256">
        <f>(CB146-CB147)/(CB26+CB49)</f>
        <v>-0.016083525557821</v>
      </c>
      <c r="CC148" s="24" t="n"/>
      <c r="CD148" s="24" t="n"/>
      <c r="CE148" s="24" t="n"/>
      <c r="CF148" s="24" t="n"/>
      <c r="CG148" s="46" t="n"/>
      <c r="CH148" s="46" t="n"/>
      <c r="CI148" s="46" t="n"/>
      <c r="CJ148" s="46" t="n"/>
      <c r="CK148" s="19" t="inlineStr">
        <is>
          <t>Uniform shift on both segment margins so that Q1/27E operating income = guided revenue − guided COGS − guided operating expenses.</t>
        </is>
      </c>
    </row>
    <row r="149" collapsed="1" ht="15" customHeight="1" s="251">
      <c r="B149" s="57" t="inlineStr">
        <is>
          <t xml:space="preserve">  Check: Q1/27E operating income vs guidance-implied (should be 0)</t>
        </is>
      </c>
      <c r="C149" s="44" t="n"/>
      <c r="D149" s="44" t="n"/>
      <c r="E149" s="44" t="n"/>
      <c r="F149" s="44" t="n"/>
      <c r="G149" s="44" t="n"/>
      <c r="H149" s="44" t="n"/>
      <c r="I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  <c r="AE149" s="44" t="n"/>
      <c r="AF149" s="44" t="n"/>
      <c r="AG149" s="44" t="n"/>
      <c r="AH149" s="44" t="n"/>
      <c r="AI149" s="44" t="n"/>
      <c r="AJ149" s="44" t="n"/>
      <c r="AK149" s="44" t="n"/>
      <c r="AL149" s="44" t="n"/>
      <c r="AM149" s="44" t="n"/>
      <c r="AN149" s="44" t="n"/>
      <c r="AO149" s="44" t="n"/>
      <c r="AP149" s="44" t="n"/>
      <c r="AQ149" s="44" t="n"/>
      <c r="AR149" s="44" t="n"/>
      <c r="AS149" s="44" t="n"/>
      <c r="AT149" s="44" t="n"/>
      <c r="AU149" s="44" t="n"/>
      <c r="AV149" s="44" t="n"/>
      <c r="AW149" s="44" t="n"/>
      <c r="AX149" s="44" t="n"/>
      <c r="AY149" s="44" t="n"/>
      <c r="AZ149" s="44" t="n"/>
      <c r="BA149" s="44" t="n"/>
      <c r="BB149" s="44" t="n"/>
      <c r="BC149" s="44" t="n"/>
      <c r="BD149" s="44" t="n"/>
      <c r="BE149" s="44" t="n"/>
      <c r="BF149" s="44" t="n"/>
      <c r="BG149" s="44" t="n"/>
      <c r="BH149" s="44" t="n"/>
      <c r="BI149" s="44" t="n"/>
      <c r="BJ149" s="44" t="n"/>
      <c r="BK149" s="44" t="n"/>
      <c r="BL149" s="44" t="n"/>
      <c r="BM149" s="44" t="n"/>
      <c r="BN149" s="44" t="n"/>
      <c r="BO149" s="44" t="n"/>
      <c r="BP149" s="44" t="n"/>
      <c r="BQ149" s="44" t="n"/>
      <c r="BR149" s="44" t="n"/>
      <c r="BS149" s="44" t="n"/>
      <c r="BT149" s="44" t="n"/>
      <c r="BU149" s="44" t="n"/>
      <c r="BV149" s="44" t="n"/>
      <c r="BW149" s="44" t="n"/>
      <c r="BX149" s="44" t="n"/>
      <c r="BY149" s="44" t="n"/>
      <c r="BZ149" s="44" t="n"/>
      <c r="CA149" s="44" t="n"/>
      <c r="CB149" s="268">
        <f>ROUND(CB133-CB146,0)</f>
        <v>0</v>
      </c>
      <c r="CC149" s="153" t="n"/>
      <c r="CD149" s="153" t="n"/>
      <c r="CE149" s="153" t="n"/>
      <c r="CF149" s="153" t="n"/>
      <c r="CG149" s="153" t="n"/>
      <c r="CH149" s="153" t="n"/>
      <c r="CI149" s="153" t="n"/>
      <c r="CJ149" s="153" t="n"/>
      <c r="CK149" s="153" t="n"/>
    </row>
    <row r="150" ht="15" customHeight="1" s="251">
      <c r="B150" s="57" t="inlineStr">
        <is>
          <t xml:space="preserve">  Check: Q1/27E cost of revenue vs COGS guidance end-point (should be 0)</t>
        </is>
      </c>
      <c r="C150" s="44" t="n"/>
      <c r="D150" s="44" t="n"/>
      <c r="E150" s="44" t="n"/>
      <c r="F150" s="44" t="n"/>
      <c r="G150" s="44" t="n"/>
      <c r="H150" s="44" t="n"/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  <c r="AE150" s="44" t="n"/>
      <c r="AF150" s="44" t="n"/>
      <c r="AG150" s="44" t="n"/>
      <c r="AH150" s="44" t="n"/>
      <c r="AI150" s="44" t="n"/>
      <c r="AJ150" s="44" t="n"/>
      <c r="AK150" s="44" t="n"/>
      <c r="AL150" s="44" t="n"/>
      <c r="AM150" s="44" t="n"/>
      <c r="AN150" s="44" t="n"/>
      <c r="AO150" s="44" t="n"/>
      <c r="AP150" s="44" t="n"/>
      <c r="AQ150" s="44" t="n"/>
      <c r="AR150" s="44" t="n"/>
      <c r="AS150" s="44" t="n"/>
      <c r="AT150" s="44" t="n"/>
      <c r="AU150" s="44" t="n"/>
      <c r="AV150" s="44" t="n"/>
      <c r="AW150" s="44" t="n"/>
      <c r="AX150" s="44" t="n"/>
      <c r="AY150" s="44" t="n"/>
      <c r="AZ150" s="44" t="n"/>
      <c r="BA150" s="44" t="n"/>
      <c r="BB150" s="44" t="n"/>
      <c r="BC150" s="44" t="n"/>
      <c r="BD150" s="44" t="n"/>
      <c r="BE150" s="44" t="n"/>
      <c r="BF150" s="44" t="n"/>
      <c r="BG150" s="44" t="n"/>
      <c r="BH150" s="44" t="n"/>
      <c r="BI150" s="44" t="n"/>
      <c r="BJ150" s="44" t="n"/>
      <c r="BK150" s="44" t="n"/>
      <c r="BL150" s="44" t="n"/>
      <c r="BM150" s="44" t="n"/>
      <c r="BN150" s="44" t="n"/>
      <c r="BO150" s="44" t="n"/>
      <c r="BP150" s="44" t="n"/>
      <c r="BQ150" s="44" t="n"/>
      <c r="BR150" s="44" t="n"/>
      <c r="BS150" s="44" t="n"/>
      <c r="BT150" s="44" t="n"/>
      <c r="BU150" s="44" t="n"/>
      <c r="BV150" s="44" t="n"/>
      <c r="BW150" s="44" t="n"/>
      <c r="BX150" s="44" t="n"/>
      <c r="BY150" s="44" t="n"/>
      <c r="BZ150" s="44" t="n"/>
      <c r="CA150" s="44" t="n"/>
      <c r="CB150" s="268">
        <f>ROUND(CB182-CHOOSE(MATCH($CK$2,{"Bull","Base","Bear"},0),$CT$14,$CU$14,$CV$14),0)</f>
        <v>0</v>
      </c>
      <c r="CC150" s="153" t="n"/>
      <c r="CD150" s="153" t="n"/>
      <c r="CE150" s="153" t="n"/>
      <c r="CF150" s="153" t="n"/>
      <c r="CG150" s="153" t="n"/>
      <c r="CH150" s="153" t="n"/>
      <c r="CI150" s="153" t="n"/>
      <c r="CJ150" s="153" t="n"/>
      <c r="CK150" s="153" t="n"/>
    </row>
    <row r="151" ht="15" customHeight="1" s="251">
      <c r="B151" s="156" t="inlineStr">
        <is>
          <t xml:space="preserve">  Memo: FY27 revenue growth "double-digit" — UNVERIFIED (call commentary, not filed on EDGAR); information only</t>
        </is>
      </c>
      <c r="C151" s="34" t="n"/>
      <c r="D151" s="34" t="n"/>
      <c r="E151" s="34" t="n"/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  <c r="AA151" s="34" t="n"/>
      <c r="AB151" s="34" t="n"/>
      <c r="AC151" s="34" t="n"/>
      <c r="AD151" s="34" t="n"/>
      <c r="AE151" s="34" t="n"/>
      <c r="AF151" s="34" t="n"/>
      <c r="AG151" s="34" t="n"/>
      <c r="AH151" s="34" t="n"/>
      <c r="AI151" s="34" t="n"/>
      <c r="AJ151" s="34" t="n"/>
      <c r="AK151" s="34" t="n"/>
      <c r="AL151" s="34" t="n"/>
      <c r="AM151" s="34" t="n"/>
      <c r="AN151" s="34" t="n"/>
      <c r="AO151" s="34" t="n"/>
      <c r="AP151" s="34" t="n"/>
      <c r="AQ151" s="34" t="n"/>
      <c r="AR151" s="34" t="n"/>
      <c r="AS151" s="34" t="n"/>
      <c r="AT151" s="34" t="n"/>
      <c r="AU151" s="34" t="n"/>
      <c r="AV151" s="34" t="n"/>
      <c r="AW151" s="34" t="n"/>
      <c r="AX151" s="34" t="n"/>
      <c r="AY151" s="34" t="n"/>
      <c r="AZ151" s="34" t="n"/>
      <c r="BA151" s="34" t="n"/>
      <c r="BB151" s="34" t="n"/>
      <c r="BC151" s="34" t="n"/>
      <c r="BD151" s="34" t="n"/>
      <c r="BE151" s="34" t="n"/>
      <c r="BF151" s="34" t="n"/>
      <c r="BG151" s="34" t="n"/>
      <c r="BH151" s="34" t="n"/>
      <c r="BI151" s="34" t="n"/>
      <c r="BJ151" s="34" t="n"/>
      <c r="BK151" s="34" t="n"/>
      <c r="BL151" s="34" t="n"/>
      <c r="BM151" s="34" t="n"/>
      <c r="BN151" s="34" t="n"/>
      <c r="BO151" s="34" t="n"/>
      <c r="BP151" s="34" t="n"/>
      <c r="BQ151" s="34" t="n"/>
      <c r="BR151" s="34" t="n"/>
      <c r="BS151" s="34" t="n"/>
      <c r="BT151" s="34" t="n"/>
      <c r="BU151" s="34" t="n"/>
      <c r="BV151" s="34" t="n"/>
      <c r="BW151" s="34" t="n"/>
      <c r="BX151" s="34" t="n"/>
      <c r="BY151" s="34" t="n"/>
      <c r="BZ151" s="34" t="n"/>
      <c r="CA151" s="34" t="n"/>
      <c r="CB151" s="153" t="n"/>
      <c r="CC151" s="153" t="n"/>
      <c r="CD151" s="153" t="n"/>
      <c r="CE151" s="153" t="n"/>
      <c r="CF151" s="269">
        <f>$CU$21</f>
        <v>0.1</v>
      </c>
      <c r="CG151" s="153" t="n"/>
      <c r="CH151" s="153" t="n"/>
      <c r="CI151" s="153" t="n"/>
      <c r="CJ151" s="153" t="n"/>
      <c r="CK151" s="153" t="inlineStr">
        <is>
          <t>UNVERIFIED - not filed on EDGAR (earnings-call commentary, 29-Jul-2026, as reported by third parties): FY27: double-digit revenue and operating income growth; continued growth in capital expenditures. Sources: https://www.marketbeat.com/instant-alerts/microsoft-q4-earnings-call-highlights-2026-07-29/; https://www.nasdaq.com/articles/microsoft-q4-earnings-call-highlights; https://www.fool.com/earnings/call-transcripts/2026/08/07/microsoft-msft-q4-2026-earnings-call-transcript/</t>
        </is>
      </c>
    </row>
    <row r="152" ht="15" customHeight="1" s="251">
      <c r="B152" s="156" t="inlineStr">
        <is>
          <t xml:space="preserve">    Model FY27E revenue growth − 10% (information)</t>
        </is>
      </c>
      <c r="C152" s="44" t="n"/>
      <c r="D152" s="44" t="n"/>
      <c r="E152" s="44" t="n"/>
      <c r="F152" s="44" t="n"/>
      <c r="G152" s="44" t="n"/>
      <c r="H152" s="44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  <c r="AE152" s="44" t="n"/>
      <c r="AF152" s="44" t="n"/>
      <c r="AG152" s="44" t="n"/>
      <c r="AH152" s="44" t="n"/>
      <c r="AI152" s="44" t="n"/>
      <c r="AJ152" s="44" t="n"/>
      <c r="AK152" s="44" t="n"/>
      <c r="AL152" s="44" t="n"/>
      <c r="AM152" s="44" t="n"/>
      <c r="AN152" s="44" t="n"/>
      <c r="AO152" s="44" t="n"/>
      <c r="AP152" s="44" t="n"/>
      <c r="AQ152" s="44" t="n"/>
      <c r="AR152" s="44" t="n"/>
      <c r="AS152" s="44" t="n"/>
      <c r="AT152" s="44" t="n"/>
      <c r="AU152" s="44" t="n"/>
      <c r="AV152" s="44" t="n"/>
      <c r="AW152" s="44" t="n"/>
      <c r="AX152" s="44" t="n"/>
      <c r="AY152" s="44" t="n"/>
      <c r="AZ152" s="44" t="n"/>
      <c r="BA152" s="44" t="n"/>
      <c r="BB152" s="44" t="n"/>
      <c r="BC152" s="44" t="n"/>
      <c r="BD152" s="44" t="n"/>
      <c r="BE152" s="44" t="n"/>
      <c r="BF152" s="44" t="n"/>
      <c r="BG152" s="44" t="n"/>
      <c r="BH152" s="44" t="n"/>
      <c r="BI152" s="44" t="n"/>
      <c r="BJ152" s="44" t="n"/>
      <c r="BK152" s="44" t="n"/>
      <c r="BL152" s="44" t="n"/>
      <c r="BM152" s="44" t="n"/>
      <c r="BN152" s="44" t="n"/>
      <c r="BO152" s="44" t="n"/>
      <c r="BP152" s="44" t="n"/>
      <c r="BQ152" s="44" t="n"/>
      <c r="BR152" s="44" t="n"/>
      <c r="BS152" s="44" t="n"/>
      <c r="BT152" s="44" t="n"/>
      <c r="BU152" s="44" t="n"/>
      <c r="BV152" s="44" t="n"/>
      <c r="BW152" s="44" t="n"/>
      <c r="BX152" s="44" t="n"/>
      <c r="BY152" s="44" t="n"/>
      <c r="BZ152" s="44" t="n"/>
      <c r="CA152" s="44" t="n"/>
      <c r="CB152" s="35" t="n"/>
      <c r="CC152" s="35" t="n"/>
      <c r="CD152" s="35" t="n"/>
      <c r="CE152" s="35" t="n"/>
      <c r="CF152" s="256">
        <f>CF131-CF151</f>
        <v>0.0726057575778457</v>
      </c>
      <c r="CG152" s="35" t="n"/>
      <c r="CH152" s="35" t="n"/>
      <c r="CI152" s="35" t="n"/>
      <c r="CJ152" s="35" t="n"/>
      <c r="CK152" s="153" t="n"/>
    </row>
    <row r="153" ht="15" customHeight="1" s="251">
      <c r="B153" s="156" t="inlineStr">
        <is>
          <t xml:space="preserve">    Model FY27E operating income growth − 10% (information; also UNVERIFIED "double-digit")</t>
        </is>
      </c>
      <c r="C153" s="44" t="n"/>
      <c r="D153" s="44" t="n"/>
      <c r="E153" s="44" t="n"/>
      <c r="F153" s="44" t="n"/>
      <c r="G153" s="44" t="n"/>
      <c r="H153" s="44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  <c r="AE153" s="44" t="n"/>
      <c r="AF153" s="44" t="n"/>
      <c r="AG153" s="44" t="n"/>
      <c r="AH153" s="44" t="n"/>
      <c r="AI153" s="44" t="n"/>
      <c r="AJ153" s="44" t="n"/>
      <c r="AK153" s="44" t="n"/>
      <c r="AL153" s="44" t="n"/>
      <c r="AM153" s="44" t="n"/>
      <c r="AN153" s="44" t="n"/>
      <c r="AO153" s="44" t="n"/>
      <c r="AP153" s="44" t="n"/>
      <c r="AQ153" s="44" t="n"/>
      <c r="AR153" s="44" t="n"/>
      <c r="AS153" s="44" t="n"/>
      <c r="AT153" s="44" t="n"/>
      <c r="AU153" s="44" t="n"/>
      <c r="AV153" s="44" t="n"/>
      <c r="AW153" s="44" t="n"/>
      <c r="AX153" s="44" t="n"/>
      <c r="AY153" s="44" t="n"/>
      <c r="AZ153" s="44" t="n"/>
      <c r="BA153" s="44" t="n"/>
      <c r="BB153" s="44" t="n"/>
      <c r="BC153" s="44" t="n"/>
      <c r="BD153" s="44" t="n"/>
      <c r="BE153" s="44" t="n"/>
      <c r="BF153" s="44" t="n"/>
      <c r="BG153" s="44" t="n"/>
      <c r="BH153" s="44" t="n"/>
      <c r="BI153" s="44" t="n"/>
      <c r="BJ153" s="44" t="n"/>
      <c r="BK153" s="44" t="n"/>
      <c r="BL153" s="44" t="n"/>
      <c r="BM153" s="44" t="n"/>
      <c r="BN153" s="44" t="n"/>
      <c r="BO153" s="44" t="n"/>
      <c r="BP153" s="44" t="n"/>
      <c r="BQ153" s="44" t="n"/>
      <c r="BR153" s="44" t="n"/>
      <c r="BS153" s="44" t="n"/>
      <c r="BT153" s="44" t="n"/>
      <c r="BU153" s="44" t="n"/>
      <c r="BV153" s="44" t="n"/>
      <c r="BW153" s="44" t="n"/>
      <c r="BX153" s="44" t="n"/>
      <c r="BY153" s="44" t="n"/>
      <c r="BZ153" s="44" t="n"/>
      <c r="CA153" s="44" t="n"/>
      <c r="CB153" s="35" t="n"/>
      <c r="CC153" s="35" t="n"/>
      <c r="CD153" s="35" t="n"/>
      <c r="CE153" s="35" t="n"/>
      <c r="CF153" s="256">
        <f>CF276-CF151</f>
        <v>0.0627455735313077</v>
      </c>
      <c r="CG153" s="35" t="n"/>
      <c r="CH153" s="35" t="n"/>
      <c r="CI153" s="35" t="n"/>
      <c r="CJ153" s="35" t="n"/>
      <c r="CK153" s="153" t="n"/>
    </row>
    <row r="154" ht="15" customHeight="1" s="251">
      <c r="CS154" s="11" t="n"/>
      <c r="CT154" s="12" t="n"/>
      <c r="CU154" s="12" t="n"/>
      <c r="CV154" s="12" t="n"/>
      <c r="CW154" s="13" t="n"/>
    </row>
    <row r="155" ht="15" customHeight="1" s="251">
      <c r="B155" s="14" t="inlineStr">
        <is>
          <t>Cost drivers, D&amp;A, capex intensity &amp; adjusting items</t>
        </is>
      </c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  <c r="AH155" s="14" t="n"/>
      <c r="AI155" s="14" t="n"/>
      <c r="AJ155" s="14" t="n"/>
      <c r="AK155" s="14" t="n"/>
      <c r="AL155" s="14" t="n"/>
      <c r="AM155" s="14" t="n"/>
      <c r="AN155" s="14" t="n"/>
      <c r="AO155" s="14" t="n"/>
      <c r="AP155" s="14" t="n"/>
      <c r="AQ155" s="14" t="n"/>
      <c r="AR155" s="14" t="n"/>
      <c r="AS155" s="14" t="n"/>
      <c r="AT155" s="14" t="n"/>
      <c r="AU155" s="14" t="n"/>
      <c r="AV155" s="14" t="n"/>
      <c r="AW155" s="14" t="n"/>
      <c r="AX155" s="14" t="n"/>
      <c r="AY155" s="14" t="n"/>
      <c r="AZ155" s="14" t="n"/>
      <c r="BA155" s="14" t="n"/>
      <c r="BB155" s="14" t="n"/>
      <c r="BC155" s="14" t="n"/>
      <c r="BD155" s="14" t="n"/>
      <c r="BE155" s="14" t="n"/>
      <c r="BF155" s="14" t="n"/>
      <c r="BG155" s="14" t="n"/>
      <c r="BH155" s="14" t="n"/>
      <c r="BI155" s="14" t="n"/>
      <c r="BJ155" s="14" t="n"/>
      <c r="BK155" s="14" t="n"/>
      <c r="BL155" s="14" t="n"/>
      <c r="BM155" s="14" t="n"/>
      <c r="BN155" s="14" t="n"/>
      <c r="BO155" s="14" t="n"/>
      <c r="BP155" s="14" t="n"/>
      <c r="BQ155" s="14" t="n"/>
      <c r="BR155" s="14" t="n"/>
      <c r="BS155" s="14" t="n"/>
      <c r="BT155" s="14" t="n"/>
      <c r="BU155" s="14" t="n"/>
      <c r="BV155" s="14" t="n"/>
      <c r="BW155" s="14" t="n"/>
      <c r="BX155" s="14" t="n"/>
      <c r="BY155" s="14" t="n"/>
      <c r="BZ155" s="14" t="n"/>
      <c r="CA155" s="14" t="n"/>
      <c r="CB155" s="14" t="n"/>
      <c r="CC155" s="14" t="n"/>
      <c r="CD155" s="14" t="n"/>
      <c r="CE155" s="14" t="n"/>
      <c r="CF155" s="14" t="n"/>
      <c r="CG155" s="14" t="n"/>
      <c r="CH155" s="14" t="n"/>
      <c r="CI155" s="14" t="n"/>
      <c r="CJ155" s="14" t="n"/>
      <c r="CK155" s="15" t="inlineStr">
        <is>
          <t>COST DRIVERS — inputs that drive forecast cost lines (Q1/27E: guidance; Q2–Q4/27E: prior-year quarter × Q1 trend; 2028E+: % of revenue or schedules)</t>
        </is>
      </c>
    </row>
    <row r="156" collapsed="1" ht="15" customHeight="1" s="251">
      <c r="B156" s="25" t="inlineStr">
        <is>
          <t xml:space="preserve">  Depreciation, amortization &amp; other (cash-flow statement)</t>
        </is>
      </c>
      <c r="C156" s="253" t="n">
        <v>903</v>
      </c>
      <c r="D156" s="253" t="n">
        <v>1440</v>
      </c>
      <c r="E156" s="253" t="n">
        <v>2056</v>
      </c>
      <c r="F156" s="253" t="n">
        <v>2562</v>
      </c>
      <c r="G156" s="253" t="n">
        <v>2673</v>
      </c>
      <c r="H156" s="253" t="n">
        <v>2766</v>
      </c>
      <c r="I156" s="253" t="n">
        <v>2967</v>
      </c>
      <c r="J156" s="253" t="n">
        <v>710</v>
      </c>
      <c r="K156" s="253" t="n">
        <v>1009</v>
      </c>
      <c r="L156" s="253" t="n">
        <v>1053</v>
      </c>
      <c r="M156" s="253" t="n">
        <v>983</v>
      </c>
      <c r="N156" s="253" t="n">
        <v>3755</v>
      </c>
      <c r="O156" s="253" t="n">
        <v>954</v>
      </c>
      <c r="P156" s="253" t="n">
        <v>1261</v>
      </c>
      <c r="Q156" s="253" t="n">
        <v>1255</v>
      </c>
      <c r="R156" s="253" t="n">
        <v>1742</v>
      </c>
      <c r="S156" s="253" t="n">
        <v>5212</v>
      </c>
      <c r="T156" s="253" t="n">
        <v>1428</v>
      </c>
      <c r="U156" s="253" t="n">
        <v>1521</v>
      </c>
      <c r="V156" s="253" t="n">
        <v>1515</v>
      </c>
      <c r="W156" s="253" t="n">
        <v>1493</v>
      </c>
      <c r="X156" s="253" t="n">
        <v>5957</v>
      </c>
      <c r="Y156" s="253" t="n">
        <v>1461</v>
      </c>
      <c r="Z156" s="253" t="n">
        <v>1544</v>
      </c>
      <c r="AA156" s="253" t="n">
        <v>1707</v>
      </c>
      <c r="AB156" s="253" t="n">
        <v>1910</v>
      </c>
      <c r="AC156" s="253" t="n">
        <v>6622</v>
      </c>
      <c r="AD156" s="253" t="n">
        <v>1816</v>
      </c>
      <c r="AE156" s="253" t="n">
        <v>2166</v>
      </c>
      <c r="AF156" s="253" t="n">
        <v>2453</v>
      </c>
      <c r="AG156" s="253" t="n">
        <v>2343</v>
      </c>
      <c r="AH156" s="253" t="n">
        <v>8778</v>
      </c>
      <c r="AI156" s="253" t="n">
        <v>2499</v>
      </c>
      <c r="AJ156" s="253" t="n">
        <v>2536</v>
      </c>
      <c r="AK156" s="253" t="n">
        <v>2710</v>
      </c>
      <c r="AL156" s="253" t="n">
        <v>2516</v>
      </c>
      <c r="AM156" s="253" t="n">
        <v>10261</v>
      </c>
      <c r="AN156" s="253" t="n">
        <v>2837</v>
      </c>
      <c r="AO156" s="253" t="n">
        <v>2995</v>
      </c>
      <c r="AP156" s="253" t="n">
        <v>2926</v>
      </c>
      <c r="AQ156" s="253" t="n">
        <v>2924</v>
      </c>
      <c r="AR156" s="253" t="n">
        <v>11682</v>
      </c>
      <c r="AS156" s="253" t="n">
        <v>2971</v>
      </c>
      <c r="AT156" s="253" t="n">
        <v>3203</v>
      </c>
      <c r="AU156" s="253" t="n">
        <v>3118</v>
      </c>
      <c r="AV156" s="253" t="n">
        <v>3504</v>
      </c>
      <c r="AW156" s="253" t="n">
        <v>12796</v>
      </c>
      <c r="AX156" s="253" t="n">
        <v>2645</v>
      </c>
      <c r="AY156" s="253" t="n">
        <v>2761</v>
      </c>
      <c r="AZ156" s="253" t="n">
        <v>2936</v>
      </c>
      <c r="BA156" s="253" t="n">
        <v>3344</v>
      </c>
      <c r="BB156" s="253" t="n">
        <v>11686</v>
      </c>
      <c r="BC156" s="253" t="n">
        <v>3212</v>
      </c>
      <c r="BD156" s="253" t="n">
        <v>3496</v>
      </c>
      <c r="BE156" s="253" t="n">
        <v>3773</v>
      </c>
      <c r="BF156" s="253" t="n">
        <v>3979</v>
      </c>
      <c r="BG156" s="253" t="n">
        <v>14460</v>
      </c>
      <c r="BH156" s="253" t="n">
        <v>2790</v>
      </c>
      <c r="BI156" s="253" t="n">
        <v>3648</v>
      </c>
      <c r="BJ156" s="253" t="n">
        <v>3549</v>
      </c>
      <c r="BK156" s="253" t="n">
        <v>3874</v>
      </c>
      <c r="BL156" s="253" t="n">
        <v>13861</v>
      </c>
      <c r="BM156" s="253" t="n">
        <v>3921</v>
      </c>
      <c r="BN156" s="253" t="n">
        <v>5959</v>
      </c>
      <c r="BO156" s="253" t="n">
        <v>6027</v>
      </c>
      <c r="BP156" s="253" t="n">
        <v>6380</v>
      </c>
      <c r="BQ156" s="253" t="n">
        <v>22287</v>
      </c>
      <c r="BR156" s="253" t="n">
        <v>7383</v>
      </c>
      <c r="BS156" s="253" t="n">
        <v>6827</v>
      </c>
      <c r="BT156" s="253" t="n">
        <v>8740</v>
      </c>
      <c r="BU156" s="253" t="n">
        <v>11203</v>
      </c>
      <c r="BV156" s="253" t="n">
        <v>34153</v>
      </c>
      <c r="BW156" s="253" t="n">
        <v>8147</v>
      </c>
      <c r="BX156" s="253" t="n">
        <v>9198</v>
      </c>
      <c r="BY156" s="253" t="n">
        <v>10167</v>
      </c>
      <c r="BZ156" s="253" t="n">
        <v>11022</v>
      </c>
      <c r="CA156" s="253" t="n">
        <v>38534</v>
      </c>
      <c r="CB156" s="254">
        <f>CF156/4</f>
        <v>14079.98</v>
      </c>
      <c r="CC156" s="254">
        <f>CF156/4</f>
        <v>14079.98</v>
      </c>
      <c r="CD156" s="254">
        <f>CF156/4</f>
        <v>14079.98</v>
      </c>
      <c r="CE156" s="254">
        <f>CF156/4</f>
        <v>14079.98</v>
      </c>
      <c r="CF156" s="254">
        <f>CF157+CF159</f>
        <v>56319.92</v>
      </c>
      <c r="CG156" s="254">
        <f>CG157+CG159</f>
        <v>80380.3093142857</v>
      </c>
      <c r="CH156" s="254">
        <f>CH157+CH159</f>
        <v>101870.944786172</v>
      </c>
      <c r="CI156" s="254">
        <f>CI157+CI159</f>
        <v>120415.226252662</v>
      </c>
      <c r="CJ156" s="254">
        <f>CJ157+CJ159</f>
        <v>135701.879560717</v>
      </c>
      <c r="CK156" s="19" t="inlineStr">
        <is>
          <t>Cash-flow line "Depreciation, amortization, and other" (includes other non-cash items). Forecast = depreciation + amortization of intangibles; quarters = FY ÷ 4.</t>
        </is>
      </c>
      <c r="CM156" s="20">
        <f>IFERROR((CJ156/CA156)^(1/5)-1,"n/m")</f>
        <v>0.286318020835863</v>
      </c>
      <c r="CN156" s="20">
        <f>IFERROR((CA156/BB156)^(1/5)-1,"n/m")</f>
        <v>0.269508585280068</v>
      </c>
      <c r="CO156" s="20">
        <f>IFERROR((CA156/AC156)^(1/10)-1,"n/m")</f>
        <v>0.192574425237327</v>
      </c>
      <c r="CP156" s="20">
        <f>IFERROR((CA156/C156)^(1/20)-1,"n/m")</f>
        <v>0.206445803570201</v>
      </c>
    </row>
    <row r="157" ht="15" customHeight="1" s="251">
      <c r="B157" s="25" t="inlineStr">
        <is>
          <t xml:space="preserve">  Depreciation expense (10-K, annual)</t>
        </is>
      </c>
      <c r="C157" s="34" t="n"/>
      <c r="D157" s="34" t="n"/>
      <c r="E157" s="253" t="n">
        <v>1400</v>
      </c>
      <c r="F157" s="253" t="n">
        <v>1700</v>
      </c>
      <c r="G157" s="253" t="n">
        <v>1800</v>
      </c>
      <c r="H157" s="253" t="n">
        <v>2000</v>
      </c>
      <c r="I157" s="253" t="n">
        <v>2200</v>
      </c>
      <c r="J157" s="34" t="n"/>
      <c r="K157" s="34" t="n"/>
      <c r="L157" s="34" t="n"/>
      <c r="M157" s="34" t="n"/>
      <c r="N157" s="253" t="n">
        <v>2600</v>
      </c>
      <c r="O157" s="34" t="n"/>
      <c r="P157" s="34" t="n"/>
      <c r="Q157" s="34" t="n"/>
      <c r="R157" s="34" t="n"/>
      <c r="S157" s="253" t="n">
        <v>3400</v>
      </c>
      <c r="T157" s="34" t="n"/>
      <c r="U157" s="34" t="n"/>
      <c r="V157" s="34" t="n"/>
      <c r="W157" s="34" t="n"/>
      <c r="X157" s="253" t="n">
        <v>4100</v>
      </c>
      <c r="Y157" s="34" t="n"/>
      <c r="Z157" s="34" t="n"/>
      <c r="AA157" s="34" t="n"/>
      <c r="AB157" s="34" t="n"/>
      <c r="AC157" s="253" t="n">
        <v>4900</v>
      </c>
      <c r="AD157" s="34" t="n"/>
      <c r="AE157" s="34" t="n"/>
      <c r="AF157" s="34" t="n"/>
      <c r="AG157" s="34" t="n"/>
      <c r="AH157" s="253" t="n">
        <v>6100</v>
      </c>
      <c r="AI157" s="34" t="n"/>
      <c r="AJ157" s="34" t="n"/>
      <c r="AK157" s="34" t="n"/>
      <c r="AL157" s="34" t="n"/>
      <c r="AM157" s="253" t="n">
        <v>7700</v>
      </c>
      <c r="AN157" s="34" t="n"/>
      <c r="AO157" s="34" t="n"/>
      <c r="AP157" s="34" t="n"/>
      <c r="AQ157" s="34" t="n"/>
      <c r="AR157" s="253" t="n">
        <v>9700</v>
      </c>
      <c r="AS157" s="34" t="n"/>
      <c r="AT157" s="34" t="n"/>
      <c r="AU157" s="34" t="n"/>
      <c r="AV157" s="34" t="n"/>
      <c r="AW157" s="253" t="n">
        <v>10700</v>
      </c>
      <c r="AX157" s="34" t="n"/>
      <c r="AY157" s="34" t="n"/>
      <c r="AZ157" s="34" t="n"/>
      <c r="BA157" s="34" t="n"/>
      <c r="BB157" s="253" t="n">
        <v>9300</v>
      </c>
      <c r="BC157" s="34" t="n"/>
      <c r="BD157" s="34" t="n"/>
      <c r="BE157" s="34" t="n"/>
      <c r="BF157" s="34" t="n"/>
      <c r="BG157" s="253" t="n">
        <v>12600</v>
      </c>
      <c r="BH157" s="34" t="n"/>
      <c r="BI157" s="34" t="n"/>
      <c r="BJ157" s="34" t="n"/>
      <c r="BK157" s="34" t="n"/>
      <c r="BL157" s="253" t="n">
        <v>11000</v>
      </c>
      <c r="BM157" s="34" t="n"/>
      <c r="BN157" s="34" t="n"/>
      <c r="BO157" s="34" t="n"/>
      <c r="BP157" s="34" t="n"/>
      <c r="BQ157" s="253" t="n">
        <v>15200</v>
      </c>
      <c r="BR157" s="34" t="n"/>
      <c r="BS157" s="34" t="n"/>
      <c r="BT157" s="34" t="n"/>
      <c r="BU157" s="34" t="n"/>
      <c r="BV157" s="253" t="n">
        <v>22000</v>
      </c>
      <c r="BW157" s="34" t="n"/>
      <c r="BX157" s="34" t="n"/>
      <c r="BY157" s="34" t="n"/>
      <c r="BZ157" s="34" t="n"/>
      <c r="CA157" s="253" t="n">
        <v>34300</v>
      </c>
      <c r="CB157" s="35" t="n"/>
      <c r="CC157" s="35" t="n"/>
      <c r="CD157" s="35" t="n"/>
      <c r="CE157" s="35" t="n"/>
      <c r="CF157" s="254">
        <f>CA344*CF158</f>
        <v>53222.92</v>
      </c>
      <c r="CG157" s="254">
        <f>CF344*CG158</f>
        <v>78175.0236</v>
      </c>
      <c r="CH157" s="254">
        <f>CG344*CH158</f>
        <v>99734.0876433145</v>
      </c>
      <c r="CI157" s="254">
        <f>CH344*CI158</f>
        <v>118616.797681233</v>
      </c>
      <c r="CJ157" s="254">
        <f>CI344*CJ158</f>
        <v>134123.879560717</v>
      </c>
      <c r="CK157" s="19" t="inlineStr">
        <is>
          <t>10-K Note (Property and equipment): FY26 $34.3bn. Forecast = opening net PP&amp;E × depreciation rate.</t>
        </is>
      </c>
      <c r="CM157" s="20">
        <f>IFERROR((CJ157/CA157)^(1/5)-1,"n/m")</f>
        <v>0.313537262509213</v>
      </c>
      <c r="CN157" s="20">
        <f>IFERROR((CA157/BB157)^(1/5)-1,"n/m")</f>
        <v>0.298261667503392</v>
      </c>
      <c r="CO157" s="20">
        <f>IFERROR((CA157/AC157)^(1/10)-1,"n/m")</f>
        <v>0.214814044039067</v>
      </c>
      <c r="CP157" s="20" t="str">
        <f>IFERROR((CA157/C157)^(1/20)-1,"n/m")</f>
        <v>n/m</v>
      </c>
    </row>
    <row r="158" ht="15" customHeight="1" s="251">
      <c r="B158" s="25" t="inlineStr">
        <is>
          <t xml:space="preserve">  Depreciation ÷ opening net PP&amp;E %</t>
        </is>
      </c>
      <c r="C158" s="36" t="n"/>
      <c r="D158" s="215">
        <f>IF(AND(ISNUMBER(D157),ISNUMBER(C344)),IFERROR(D157/C344,""),"")</f>
      </c>
      <c r="E158" s="215">
        <f>IF(AND(ISNUMBER(E157),ISNUMBER(D344)),IFERROR(E157/D344,""),"")</f>
        <v>0.32183908045977</v>
      </c>
      <c r="F158" s="215">
        <f>IF(AND(ISNUMBER(F157),ISNUMBER(E344)),IFERROR(F157/E344,""),"")</f>
        <v>0.272348606215956</v>
      </c>
      <c r="G158" s="215">
        <f>IF(AND(ISNUMBER(G157),ISNUMBER(F344)),IFERROR(G157/F344,""),"")</f>
        <v>0.238885202388852</v>
      </c>
      <c r="H158" s="215">
        <f>IF(AND(ISNUMBER(H157),ISNUMBER(G344)),IFERROR(H157/G344,""),"")</f>
        <v>0.262123197903014</v>
      </c>
      <c r="I158" s="215">
        <f>IF(AND(ISNUMBER(I157),ISNUMBER(H344)),IFERROR(I157/H344,""),"")</f>
        <v>0.269541778975741</v>
      </c>
      <c r="J158" s="36" t="n"/>
      <c r="K158" s="36" t="n"/>
      <c r="L158" s="36" t="n"/>
      <c r="M158" s="36" t="n"/>
      <c r="N158" s="215">
        <f>IF(AND(ISNUMBER(N157),ISNUMBER(I344)),IFERROR(N157/I344,""),"")</f>
        <v>0.314427379368727</v>
      </c>
      <c r="O158" s="36" t="n"/>
      <c r="P158" s="36" t="n"/>
      <c r="Q158" s="36" t="n"/>
      <c r="R158" s="36" t="n"/>
      <c r="S158" s="215">
        <f>IF(AND(ISNUMBER(S157),ISNUMBER(N344)),IFERROR(S157/N344,""),"")</f>
        <v>0.340306275648083</v>
      </c>
      <c r="T158" s="36" t="n"/>
      <c r="U158" s="36" t="n"/>
      <c r="V158" s="36" t="n"/>
      <c r="W158" s="36" t="n"/>
      <c r="X158" s="215">
        <f>IF(AND(ISNUMBER(X157),ISNUMBER(S344)),IFERROR(X157/S344,""),"")</f>
        <v>0.315117977096303</v>
      </c>
      <c r="Y158" s="36" t="n"/>
      <c r="Z158" s="36" t="n"/>
      <c r="AA158" s="36" t="n"/>
      <c r="AB158" s="36" t="n"/>
      <c r="AC158" s="215">
        <f>IF(AND(ISNUMBER(AC157),ISNUMBER(X344)),IFERROR(AC157/X344,""),"")</f>
        <v>0.332631864774964</v>
      </c>
      <c r="AD158" s="36" t="n"/>
      <c r="AE158" s="36" t="n"/>
      <c r="AF158" s="36" t="n"/>
      <c r="AG158" s="36" t="n"/>
      <c r="AH158" s="215">
        <f>IF(AND(ISNUMBER(AH157),ISNUMBER(AC344)),IFERROR(AH157/AC344,""),"")</f>
        <v>0.332316408803661</v>
      </c>
      <c r="AI158" s="36" t="n"/>
      <c r="AJ158" s="36" t="n"/>
      <c r="AK158" s="36" t="n"/>
      <c r="AL158" s="36" t="n"/>
      <c r="AM158" s="215">
        <f>IF(AND(ISNUMBER(AM157),ISNUMBER(AH344)),IFERROR(AM157/AH344,""),"")</f>
        <v>0.324429089070532</v>
      </c>
      <c r="AN158" s="36" t="n"/>
      <c r="AO158" s="36" t="n"/>
      <c r="AP158" s="36" t="n"/>
      <c r="AQ158" s="36" t="n"/>
      <c r="AR158" s="215">
        <f>IF(AND(ISNUMBER(AR157),ISNUMBER(AM344)),IFERROR(AR157/AM344,""),"")</f>
        <v>0.329260013577733</v>
      </c>
      <c r="AS158" s="36" t="n"/>
      <c r="AT158" s="36" t="n"/>
      <c r="AU158" s="36" t="n"/>
      <c r="AV158" s="36" t="n"/>
      <c r="AW158" s="215">
        <f>IF(AND(ISNUMBER(AW157),ISNUMBER(AR344)),IFERROR(AW157/AR344,""),"")</f>
        <v>0.293335526496148</v>
      </c>
      <c r="AX158" s="36" t="n"/>
      <c r="AY158" s="36" t="n"/>
      <c r="AZ158" s="36" t="n"/>
      <c r="BA158" s="36" t="n"/>
      <c r="BB158" s="215">
        <f>IF(AND(ISNUMBER(BB157),ISNUMBER(AW344)),IFERROR(BB157/AW344,""),"")</f>
        <v>0.210640755588775</v>
      </c>
      <c r="BC158" s="36" t="n"/>
      <c r="BD158" s="36" t="n"/>
      <c r="BE158" s="36" t="n"/>
      <c r="BF158" s="36" t="n"/>
      <c r="BG158" s="215">
        <f>IF(AND(ISNUMBER(BG157),ISNUMBER(BB344)),IFERROR(BG157/BB344,""),"")</f>
        <v>0.211002260738508</v>
      </c>
      <c r="BH158" s="36" t="n"/>
      <c r="BI158" s="36" t="n"/>
      <c r="BJ158" s="36" t="n"/>
      <c r="BK158" s="36" t="n"/>
      <c r="BL158" s="215">
        <f>IF(AND(ISNUMBER(BL157),ISNUMBER(BG344)),IFERROR(BL157/BG344,""),"")</f>
        <v>0.147853436920347</v>
      </c>
      <c r="BM158" s="36" t="n"/>
      <c r="BN158" s="36" t="n"/>
      <c r="BO158" s="36" t="n"/>
      <c r="BP158" s="36" t="n"/>
      <c r="BQ158" s="215">
        <f>IF(AND(ISNUMBER(BQ157),ISNUMBER(BL344)),IFERROR(BQ157/BL344,""),"")</f>
        <v>0.15892765654897</v>
      </c>
      <c r="BR158" s="36" t="n"/>
      <c r="BS158" s="36" t="n"/>
      <c r="BT158" s="36" t="n"/>
      <c r="BU158" s="36" t="n"/>
      <c r="BV158" s="215">
        <f>IF(AND(ISNUMBER(BV157),ISNUMBER(BQ344)),IFERROR(BV157/BQ344,""),"")</f>
        <v>0.162252656887257</v>
      </c>
      <c r="BW158" s="36" t="n"/>
      <c r="BX158" s="36" t="n"/>
      <c r="BY158" s="36" t="n"/>
      <c r="BZ158" s="36" t="n"/>
      <c r="CA158" s="215">
        <f>IF(AND(ISNUMBER(CA157),ISNUMBER(BV344)),IFERROR(CA157/BV344,""),"")</f>
        <v>0.16734482792268</v>
      </c>
      <c r="CB158" s="24" t="n"/>
      <c r="CC158" s="24" t="n"/>
      <c r="CD158" s="24" t="n"/>
      <c r="CE158" s="24" t="n"/>
      <c r="CF158" s="264" t="n">
        <v>0.17</v>
      </c>
      <c r="CG158" s="264" t="n">
        <v>0.17</v>
      </c>
      <c r="CH158" s="264" t="n">
        <v>0.17</v>
      </c>
      <c r="CI158" s="264" t="n">
        <v>0.17</v>
      </c>
      <c r="CJ158" s="264" t="n">
        <v>0.17</v>
      </c>
      <c r="CK158" s="153" t="inlineStr">
        <is>
          <t>FY2026: $34.3bn ÷ opening net PP&amp;E $205.0bn = 16.7%; FY2025 16.2%. Held at 17% (assumption): server lives 2–6 years; the Q1 FY27 outlook mentions a "useful life update" that is not quantified in the filings.</t>
        </is>
      </c>
      <c r="CM158" s="37">
        <f>IFERROR(AVERAGE(CF158,CG158,CH158,CI158,CJ158),"n/m")</f>
        <v>0.17</v>
      </c>
      <c r="CN158" s="37">
        <f>IFERROR(AVERAGE(BG158,BL158,BQ158,BV158,CA158),"n/m")</f>
        <v>0.169476167803552</v>
      </c>
      <c r="CO158" s="37">
        <f>IFERROR(AVERAGE(AH158,AM158,AR158,AW158,BB158,BG158,BL158,BQ158,BV158,CA158),"n/m")</f>
        <v>0.233736263255461</v>
      </c>
      <c r="CP158" s="37">
        <f>IFERROR(AVERAGE(C158,D158,E158,F158,G158,H158,I158,N158,S158,X158,AC158,AH158,AM158,AR158,AW158,BB158,BG158,BL158,BQ158,BV158,CA158),"n/m")</f>
        <v>0.263399157651896</v>
      </c>
    </row>
    <row r="159" ht="15" customHeight="1" s="251">
      <c r="B159" s="25" t="inlineStr">
        <is>
          <t xml:space="preserve">  Amortization of intangible assets (10-K, annual; inside cost of revenue / opex, not adjusted out)</t>
        </is>
      </c>
      <c r="C159" s="34" t="n"/>
      <c r="D159" s="34" t="n"/>
      <c r="E159" s="253" t="n">
        <v>472</v>
      </c>
      <c r="F159" s="253" t="n">
        <v>591</v>
      </c>
      <c r="G159" s="253" t="n">
        <v>707</v>
      </c>
      <c r="H159" s="253" t="n">
        <v>537</v>
      </c>
      <c r="I159" s="253" t="n">
        <v>558</v>
      </c>
      <c r="J159" s="34" t="n"/>
      <c r="K159" s="34" t="n"/>
      <c r="L159" s="34" t="n"/>
      <c r="M159" s="34" t="n"/>
      <c r="N159" s="253" t="n">
        <v>739</v>
      </c>
      <c r="O159" s="34" t="n"/>
      <c r="P159" s="34" t="n"/>
      <c r="Q159" s="34" t="n"/>
      <c r="R159" s="34" t="n"/>
      <c r="S159" s="253" t="n">
        <v>845</v>
      </c>
      <c r="T159" s="34" t="n"/>
      <c r="U159" s="34" t="n"/>
      <c r="V159" s="34" t="n"/>
      <c r="W159" s="34" t="n"/>
      <c r="X159" s="253" t="n">
        <v>1300</v>
      </c>
      <c r="Y159" s="34" t="n"/>
      <c r="Z159" s="34" t="n"/>
      <c r="AA159" s="34" t="n"/>
      <c r="AB159" s="34" t="n"/>
      <c r="AC159" s="253" t="n">
        <v>978</v>
      </c>
      <c r="AD159" s="34" t="n"/>
      <c r="AE159" s="34" t="n"/>
      <c r="AF159" s="34" t="n"/>
      <c r="AG159" s="34" t="n"/>
      <c r="AH159" s="253" t="n">
        <v>1700</v>
      </c>
      <c r="AI159" s="34" t="n"/>
      <c r="AJ159" s="34" t="n"/>
      <c r="AK159" s="34" t="n"/>
      <c r="AL159" s="34" t="n"/>
      <c r="AM159" s="253" t="n">
        <v>2200</v>
      </c>
      <c r="AN159" s="34" t="n"/>
      <c r="AO159" s="34" t="n"/>
      <c r="AP159" s="34" t="n"/>
      <c r="AQ159" s="34" t="n"/>
      <c r="AR159" s="253" t="n">
        <v>1900</v>
      </c>
      <c r="AS159" s="34" t="n"/>
      <c r="AT159" s="34" t="n"/>
      <c r="AU159" s="34" t="n"/>
      <c r="AV159" s="34" t="n"/>
      <c r="AW159" s="253" t="n">
        <v>1600</v>
      </c>
      <c r="AX159" s="34" t="n"/>
      <c r="AY159" s="34" t="n"/>
      <c r="AZ159" s="34" t="n"/>
      <c r="BA159" s="34" t="n"/>
      <c r="BB159" s="253" t="n">
        <v>1600</v>
      </c>
      <c r="BC159" s="34" t="n"/>
      <c r="BD159" s="34" t="n"/>
      <c r="BE159" s="34" t="n"/>
      <c r="BF159" s="34" t="n"/>
      <c r="BG159" s="253" t="n">
        <v>2000</v>
      </c>
      <c r="BH159" s="34" t="n"/>
      <c r="BI159" s="34" t="n"/>
      <c r="BJ159" s="34" t="n"/>
      <c r="BK159" s="34" t="n"/>
      <c r="BL159" s="253" t="n">
        <v>2500</v>
      </c>
      <c r="BM159" s="34" t="n"/>
      <c r="BN159" s="34" t="n"/>
      <c r="BO159" s="34" t="n"/>
      <c r="BP159" s="34" t="n"/>
      <c r="BQ159" s="253" t="n">
        <v>4800</v>
      </c>
      <c r="BR159" s="34" t="n"/>
      <c r="BS159" s="34" t="n"/>
      <c r="BT159" s="34" t="n"/>
      <c r="BU159" s="34" t="n"/>
      <c r="BV159" s="253" t="n">
        <v>6000</v>
      </c>
      <c r="BW159" s="34" t="n"/>
      <c r="BX159" s="34" t="n"/>
      <c r="BY159" s="34" t="n"/>
      <c r="BZ159" s="34" t="n"/>
      <c r="CA159" s="253" t="n">
        <v>4700</v>
      </c>
      <c r="CB159" s="35" t="n"/>
      <c r="CC159" s="35" t="n"/>
      <c r="CD159" s="35" t="n"/>
      <c r="CE159" s="35" t="n"/>
      <c r="CF159" s="254">
        <f>CF160</f>
        <v>3097</v>
      </c>
      <c r="CG159" s="254">
        <f>CG160+N(CG127)</f>
        <v>2205.28571428571</v>
      </c>
      <c r="CH159" s="254">
        <f>CH160+N(CH127)</f>
        <v>2136.85714285714</v>
      </c>
      <c r="CI159" s="254">
        <f>CI160+N(CI127)</f>
        <v>1798.42857142857</v>
      </c>
      <c r="CJ159" s="254">
        <f>CJ160+N(CJ127)</f>
        <v>1578</v>
      </c>
      <c r="CK159" s="19" t="n"/>
      <c r="CM159" s="20">
        <f>IFERROR((CJ159/CA159)^(1/5)-1,"n/m")</f>
        <v>-0.19610037108839</v>
      </c>
      <c r="CN159" s="20">
        <f>IFERROR((CA159/BB159)^(1/5)-1,"n/m")</f>
        <v>0.240496590793535</v>
      </c>
      <c r="CO159" s="20">
        <f>IFERROR((CA159/AC159)^(1/10)-1,"n/m")</f>
        <v>0.169973163967073</v>
      </c>
      <c r="CP159" s="20" t="str">
        <f>IFERROR((CA159/C159)^(1/20)-1,"n/m")</f>
        <v>n/m</v>
      </c>
    </row>
    <row r="160" ht="15" customHeight="1" s="251">
      <c r="B160" s="25" t="inlineStr">
        <is>
          <t xml:space="preserve">  Amortization schedule — intangibles held at 30-Jun-2026 (10-K, input)</t>
        </is>
      </c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  <c r="AU160" s="36" t="n"/>
      <c r="AV160" s="36" t="n"/>
      <c r="AW160" s="36" t="n"/>
      <c r="AX160" s="36" t="n"/>
      <c r="AY160" s="36" t="n"/>
      <c r="AZ160" s="36" t="n"/>
      <c r="BA160" s="36" t="n"/>
      <c r="BB160" s="36" t="n"/>
      <c r="BC160" s="36" t="n"/>
      <c r="BD160" s="36" t="n"/>
      <c r="BE160" s="36" t="n"/>
      <c r="BF160" s="36" t="n"/>
      <c r="BG160" s="36" t="n"/>
      <c r="BH160" s="36" t="n"/>
      <c r="BI160" s="36" t="n"/>
      <c r="BJ160" s="36" t="n"/>
      <c r="BK160" s="36" t="n"/>
      <c r="BL160" s="36" t="n"/>
      <c r="BM160" s="36" t="n"/>
      <c r="BN160" s="36" t="n"/>
      <c r="BO160" s="36" t="n"/>
      <c r="BP160" s="36" t="n"/>
      <c r="BQ160" s="36" t="n"/>
      <c r="BR160" s="36" t="n"/>
      <c r="BS160" s="36" t="n"/>
      <c r="BT160" s="36" t="n"/>
      <c r="BU160" s="36" t="n"/>
      <c r="BV160" s="36" t="n"/>
      <c r="BW160" s="36" t="n"/>
      <c r="BX160" s="36" t="n"/>
      <c r="BY160" s="36" t="n"/>
      <c r="BZ160" s="36" t="n"/>
      <c r="CA160" s="36" t="n"/>
      <c r="CB160" s="24" t="n"/>
      <c r="CC160" s="24" t="n"/>
      <c r="CD160" s="24" t="n"/>
      <c r="CE160" s="24" t="n"/>
      <c r="CF160" s="262" t="n">
        <v>3097</v>
      </c>
      <c r="CG160" s="262" t="n">
        <v>2141</v>
      </c>
      <c r="CH160" s="262" t="n">
        <v>1944</v>
      </c>
      <c r="CI160" s="262" t="n">
        <v>1477</v>
      </c>
      <c r="CJ160" s="262" t="n">
        <v>1128</v>
      </c>
      <c r="CK160" s="19" t="inlineStr">
        <is>
          <t>FY2026 10-K schedule of intangibles held at 30-Jun-2026: FY27 $3,097m, FY28 $2,141m, FY29 $1,944m, FY30 $1,477m, FY31 $1,128m, thereafter $8,822m.</t>
        </is>
      </c>
    </row>
    <row r="161" ht="15" customHeight="1" s="251">
      <c r="B161" s="25" t="inlineStr">
        <is>
          <t xml:space="preserve">  Stock-based compensation expense (cash-flow statement)</t>
        </is>
      </c>
      <c r="C161" s="253" t="n">
        <v>1715</v>
      </c>
      <c r="D161" s="253" t="n">
        <v>1550</v>
      </c>
      <c r="E161" s="253" t="n">
        <v>1479</v>
      </c>
      <c r="F161" s="253" t="n">
        <v>1708</v>
      </c>
      <c r="G161" s="253" t="n">
        <v>1891</v>
      </c>
      <c r="H161" s="253" t="n">
        <v>2166</v>
      </c>
      <c r="I161" s="253" t="n">
        <v>2244</v>
      </c>
      <c r="J161" s="253" t="n">
        <v>603</v>
      </c>
      <c r="K161" s="253" t="n">
        <v>603</v>
      </c>
      <c r="L161" s="253" t="n">
        <v>599</v>
      </c>
      <c r="M161" s="253" t="n">
        <v>601</v>
      </c>
      <c r="N161" s="253" t="n">
        <v>2406</v>
      </c>
      <c r="O161" s="253" t="n">
        <v>635</v>
      </c>
      <c r="P161" s="253" t="n">
        <v>591</v>
      </c>
      <c r="Q161" s="253" t="n">
        <v>602</v>
      </c>
      <c r="R161" s="253" t="n">
        <v>618</v>
      </c>
      <c r="S161" s="253" t="n">
        <v>2446</v>
      </c>
      <c r="T161" s="253" t="n">
        <v>646</v>
      </c>
      <c r="U161" s="253" t="n">
        <v>633</v>
      </c>
      <c r="V161" s="253" t="n">
        <v>641</v>
      </c>
      <c r="W161" s="253" t="n">
        <v>654</v>
      </c>
      <c r="X161" s="253" t="n">
        <v>2574</v>
      </c>
      <c r="Y161" s="253" t="n">
        <v>674</v>
      </c>
      <c r="Z161" s="253" t="n">
        <v>658</v>
      </c>
      <c r="AA161" s="253" t="n">
        <v>672</v>
      </c>
      <c r="AB161" s="253" t="n">
        <v>664</v>
      </c>
      <c r="AC161" s="253" t="n">
        <v>2668</v>
      </c>
      <c r="AD161" s="253" t="n">
        <v>703</v>
      </c>
      <c r="AE161" s="253" t="n">
        <v>767</v>
      </c>
      <c r="AF161" s="253" t="n">
        <v>883</v>
      </c>
      <c r="AG161" s="253" t="n">
        <v>913</v>
      </c>
      <c r="AH161" s="253" t="n">
        <v>3266</v>
      </c>
      <c r="AI161" s="253" t="n">
        <v>973</v>
      </c>
      <c r="AJ161" s="253" t="n">
        <v>986</v>
      </c>
      <c r="AK161" s="253" t="n">
        <v>969</v>
      </c>
      <c r="AL161" s="253" t="n">
        <v>1012</v>
      </c>
      <c r="AM161" s="253" t="n">
        <v>3940</v>
      </c>
      <c r="AN161" s="253" t="n">
        <v>1107</v>
      </c>
      <c r="AO161" s="253" t="n">
        <v>1183</v>
      </c>
      <c r="AP161" s="253" t="n">
        <v>1172</v>
      </c>
      <c r="AQ161" s="253" t="n">
        <v>1190</v>
      </c>
      <c r="AR161" s="253" t="n">
        <v>4652</v>
      </c>
      <c r="AS161" s="253" t="n">
        <v>1262</v>
      </c>
      <c r="AT161" s="253" t="n">
        <v>1340</v>
      </c>
      <c r="AU161" s="253" t="n">
        <v>1338</v>
      </c>
      <c r="AV161" s="253" t="n">
        <v>1349</v>
      </c>
      <c r="AW161" s="253" t="n">
        <v>5289</v>
      </c>
      <c r="AX161" s="253" t="n">
        <v>1456</v>
      </c>
      <c r="AY161" s="253" t="n">
        <v>1566</v>
      </c>
      <c r="AZ161" s="253" t="n">
        <v>1525</v>
      </c>
      <c r="BA161" s="253" t="n">
        <v>1571</v>
      </c>
      <c r="BB161" s="253" t="n">
        <v>6118</v>
      </c>
      <c r="BC161" s="253" t="n">
        <v>1702</v>
      </c>
      <c r="BD161" s="253" t="n">
        <v>1897</v>
      </c>
      <c r="BE161" s="253" t="n">
        <v>1906</v>
      </c>
      <c r="BF161" s="253" t="n">
        <v>1997</v>
      </c>
      <c r="BG161" s="253" t="n">
        <v>7502</v>
      </c>
      <c r="BH161" s="253" t="n">
        <v>2192</v>
      </c>
      <c r="BI161" s="253" t="n">
        <v>2538</v>
      </c>
      <c r="BJ161" s="253" t="n">
        <v>2465</v>
      </c>
      <c r="BK161" s="253" t="n">
        <v>2416</v>
      </c>
      <c r="BL161" s="253" t="n">
        <v>9611</v>
      </c>
      <c r="BM161" s="253" t="n">
        <v>2507</v>
      </c>
      <c r="BN161" s="253" t="n">
        <v>2828</v>
      </c>
      <c r="BO161" s="253" t="n">
        <v>2703</v>
      </c>
      <c r="BP161" s="253" t="n">
        <v>2696</v>
      </c>
      <c r="BQ161" s="253" t="n">
        <v>10734</v>
      </c>
      <c r="BR161" s="253" t="n">
        <v>2832</v>
      </c>
      <c r="BS161" s="253" t="n">
        <v>3089</v>
      </c>
      <c r="BT161" s="253" t="n">
        <v>2980</v>
      </c>
      <c r="BU161" s="253" t="n">
        <v>3073</v>
      </c>
      <c r="BV161" s="253" t="n">
        <v>11974</v>
      </c>
      <c r="BW161" s="253" t="n">
        <v>2983</v>
      </c>
      <c r="BX161" s="253" t="n">
        <v>3219</v>
      </c>
      <c r="BY161" s="253" t="n">
        <v>3081</v>
      </c>
      <c r="BZ161" s="253" t="n">
        <v>3122</v>
      </c>
      <c r="CA161" s="253" t="n">
        <v>12405</v>
      </c>
      <c r="CB161" s="254">
        <f>BW161*(1+CB131)</f>
        <v>3471.77526296139</v>
      </c>
      <c r="CC161" s="254">
        <f>BX161*(1+CC131)</f>
        <v>3755.35016347358</v>
      </c>
      <c r="CD161" s="254">
        <f>BY161*(1+CD131)</f>
        <v>3623.56834890363</v>
      </c>
      <c r="CE161" s="254">
        <f>BZ161*(1+CE131)</f>
        <v>3691.27899934782</v>
      </c>
      <c r="CF161" s="254">
        <f>SUM(CB161:CE161)</f>
        <v>14541.9727746864</v>
      </c>
      <c r="CG161" s="254">
        <f>CG179*CG162</f>
        <v>16850.0505627011</v>
      </c>
      <c r="CH161" s="254">
        <f>CH179*CH162</f>
        <v>19494.2688629329</v>
      </c>
      <c r="CI161" s="254">
        <f>CI179*CI162</f>
        <v>22176.2065034597</v>
      </c>
      <c r="CJ161" s="254">
        <f>CJ179*CJ162</f>
        <v>24852.8615504927</v>
      </c>
      <c r="CK161" s="19" t="inlineStr">
        <is>
          <t>Q1–Q4/27E: prior-year quarter × (1 + revenue growth); 2028E+: % of revenue. Microsoft does not adjust out stock-based compensation.</t>
        </is>
      </c>
    </row>
    <row r="162" ht="15" customHeight="1" s="251">
      <c r="B162" s="25" t="inlineStr">
        <is>
          <t xml:space="preserve">  Stock-based compensation % of revenue</t>
        </is>
      </c>
      <c r="C162" s="215">
        <f>IF(AND(ISNUMBER(C161),ISNUMBER(C179)),IFERROR(C161/C179,""),"")</f>
        <v>0.0387290546949099</v>
      </c>
      <c r="D162" s="215">
        <f>IF(AND(ISNUMBER(D161),ISNUMBER(D179)),IFERROR(D161/D179,""),"")</f>
        <v>0.0303196275576073</v>
      </c>
      <c r="E162" s="215">
        <f>IF(AND(ISNUMBER(E161),ISNUMBER(E179)),IFERROR(E161/E179,""),"")</f>
        <v>0.0244786494538232</v>
      </c>
      <c r="F162" s="215">
        <f>IF(AND(ISNUMBER(F161),ISNUMBER(F179)),IFERROR(F161/F179,""),"")</f>
        <v>0.0292280575662679</v>
      </c>
      <c r="G162" s="215">
        <f>IF(AND(ISNUMBER(G161),ISNUMBER(G179)),IFERROR(G161/G179,""),"")</f>
        <v>0.030263747519365</v>
      </c>
      <c r="H162" s="215">
        <f>IF(AND(ISNUMBER(H161),ISNUMBER(H179)),IFERROR(H161/H179,""),"")</f>
        <v>0.0309680740031168</v>
      </c>
      <c r="I162" s="215">
        <f>IF(AND(ISNUMBER(I161),ISNUMBER(I179)),IFERROR(I161/I179,""),"")</f>
        <v>0.0304382621434288</v>
      </c>
      <c r="J162" s="215">
        <f>IF(AND(ISNUMBER(J161),ISNUMBER(J179)),IFERROR(J161/J179,""),"")</f>
        <v>0.0376686656671664</v>
      </c>
      <c r="K162" s="215">
        <f>IF(AND(ISNUMBER(K161),ISNUMBER(K179)),IFERROR(K161/K179,""),"")</f>
        <v>0.0281040268456376</v>
      </c>
      <c r="L162" s="215">
        <f>IF(AND(ISNUMBER(L161),ISNUMBER(L179)),IFERROR(L161/L179,""),"")</f>
        <v>0.0292351993752745</v>
      </c>
      <c r="M162" s="215">
        <f>IF(AND(ISNUMBER(M161),ISNUMBER(M179)),IFERROR(M161/M179,""),"")</f>
        <v>0.0302070767993567</v>
      </c>
      <c r="N162" s="215">
        <f>IF(AND(ISNUMBER(N161),ISNUMBER(N179)),IFERROR(N161/N179,""),"")</f>
        <v>0.0309059846626161</v>
      </c>
      <c r="O162" s="215">
        <f>IF(AND(ISNUMBER(O161),ISNUMBER(O179)),IFERROR(O161/O179,""),"")</f>
        <v>0.0342706028387932</v>
      </c>
      <c r="P162" s="215">
        <f>IF(AND(ISNUMBER(P161),ISNUMBER(P179)),IFERROR(P161/P179,""),"")</f>
        <v>0.0241037562706473</v>
      </c>
      <c r="Q162" s="215">
        <f>IF(AND(ISNUMBER(Q161),ISNUMBER(Q179)),IFERROR(Q161/Q179,""),"")</f>
        <v>0.0295054648826153</v>
      </c>
      <c r="R162" s="215">
        <f>IF(AND(ISNUMBER(R161),ISNUMBER(R179)),IFERROR(R161/R179,""),"")</f>
        <v>0.0264305876315114</v>
      </c>
      <c r="S162" s="215">
        <f>IF(AND(ISNUMBER(S161),ISNUMBER(S179)),IFERROR(S161/S179,""),"")</f>
        <v>0.028169014084507</v>
      </c>
      <c r="T162" s="215">
        <f>IF(AND(ISNUMBER(T161),ISNUMBER(T179)),IFERROR(T161/T179,""),"")</f>
        <v>0.0278436274298522</v>
      </c>
      <c r="U162" s="215">
        <f>IF(AND(ISNUMBER(U161),ISNUMBER(U179)),IFERROR(U161/U179,""),"")</f>
        <v>0.0239138647525501</v>
      </c>
      <c r="V162" s="215">
        <f>IF(AND(ISNUMBER(V161),ISNUMBER(V179)),IFERROR(V161/V179,""),"")</f>
        <v>0.029499746882047</v>
      </c>
      <c r="W162" s="215">
        <f>IF(AND(ISNUMBER(W161),ISNUMBER(W179)),IFERROR(W161/W179,""),"")</f>
        <v>0.0294860234445446</v>
      </c>
      <c r="X162" s="215">
        <f>IF(AND(ISNUMBER(X161),ISNUMBER(X179)),IFERROR(X161/X179,""),"")</f>
        <v>0.0275058773242146</v>
      </c>
      <c r="Y162" s="215">
        <f>IF(AND(ISNUMBER(Y161),ISNUMBER(Y179)),IFERROR(Y161/Y179,""),"")</f>
        <v>0.0330732616909564</v>
      </c>
      <c r="Z162" s="215">
        <f>IF(AND(ISNUMBER(Z161),ISNUMBER(Z179)),IFERROR(Z161/Z179,""),"")</f>
        <v>0.0276517061691041</v>
      </c>
      <c r="AA162" s="215">
        <f>IF(AND(ISNUMBER(AA161),ISNUMBER(AA179)),IFERROR(AA161/AA179,""),"")</f>
        <v>0.0327309921581998</v>
      </c>
      <c r="AB162" s="215">
        <f>IF(AND(ISNUMBER(AB161),ISNUMBER(AB179)),IFERROR(AB161/AB179,""),"")</f>
        <v>0.0322111186572232</v>
      </c>
      <c r="AC162" s="215">
        <f>IF(AND(ISNUMBER(AC161),ISNUMBER(AC179)),IFERROR(AC161/AC179,""),"")</f>
        <v>0.0312705110173465</v>
      </c>
      <c r="AD162" s="215">
        <f>IF(AND(ISNUMBER(AD161),ISNUMBER(AD179)),IFERROR(AD161/AD179,""),"")</f>
        <v>0.0343714858455972</v>
      </c>
      <c r="AE162" s="215">
        <f>IF(AND(ISNUMBER(AE161),ISNUMBER(AE179)),IFERROR(AE161/AE179,""),"")</f>
        <v>0.0318389373183894</v>
      </c>
      <c r="AF162" s="215">
        <f>IF(AND(ISNUMBER(AF161),ISNUMBER(AF179)),IFERROR(AF161/AF179,""),"")</f>
        <v>0.039972838388411</v>
      </c>
      <c r="AG162" s="215">
        <f>IF(AND(ISNUMBER(AG161),ISNUMBER(AG179)),IFERROR(AG161/AG179,""),"")</f>
        <v>0.0391559806150019</v>
      </c>
      <c r="AH162" s="215">
        <f>IF(AND(ISNUMBER(AH161),ISNUMBER(AH179)),IFERROR(AH161/AH179,""),"")</f>
        <v>0.0363090605892162</v>
      </c>
      <c r="AI162" s="215">
        <f>IF(AND(ISNUMBER(AI161),ISNUMBER(AI179)),IFERROR(AI161/AI179,""),"")</f>
        <v>0.039652783437933</v>
      </c>
      <c r="AJ162" s="215">
        <f>IF(AND(ISNUMBER(AJ161),ISNUMBER(AJ179)),IFERROR(AJ161/AJ179,""),"")</f>
        <v>0.034096410540148</v>
      </c>
      <c r="AK162" s="215">
        <f>IF(AND(ISNUMBER(AK161),ISNUMBER(AK179)),IFERROR(AK161/AK179,""),"")</f>
        <v>0.0361311010850516</v>
      </c>
      <c r="AL162" s="215">
        <f>IF(AND(ISNUMBER(AL161),ISNUMBER(AL179)),IFERROR(AL161/AL179,""),"")</f>
        <v>0.0336380255941499</v>
      </c>
      <c r="AM162" s="215">
        <f>IF(AND(ISNUMBER(AM161),ISNUMBER(AM179)),IFERROR(AM161/AM179,""),"")</f>
        <v>0.0357013410656035</v>
      </c>
      <c r="AN162" s="215">
        <f>IF(AND(ISNUMBER(AN161),ISNUMBER(AN179)),IFERROR(AN161/AN179,""),"")</f>
        <v>0.0380621647641315</v>
      </c>
      <c r="AO162" s="215">
        <f>IF(AND(ISNUMBER(AO161),ISNUMBER(AO179)),IFERROR(AO161/AO179,""),"")</f>
        <v>0.0364325090080379</v>
      </c>
      <c r="AP162" s="215">
        <f>IF(AND(ISNUMBER(AP161),ISNUMBER(AP179)),IFERROR(AP161/AP179,""),"")</f>
        <v>0.0383369860325145</v>
      </c>
      <c r="AQ162" s="215">
        <f>IF(AND(ISNUMBER(AQ161),ISNUMBER(AQ179)),IFERROR(AQ161/AQ179,""),"")</f>
        <v>0.0352937687220097</v>
      </c>
      <c r="AR162" s="215">
        <f>IF(AND(ISNUMBER(AR161),ISNUMBER(AR179)),IFERROR(AR161/AR179,""),"")</f>
        <v>0.0369666965981421</v>
      </c>
      <c r="AS162" s="215">
        <f>IF(AND(ISNUMBER(AS161),ISNUMBER(AS179)),IFERROR(AS161/AS179,""),"")</f>
        <v>0.0381787929208894</v>
      </c>
      <c r="AT162" s="215">
        <f>IF(AND(ISNUMBER(AT161),ISNUMBER(AT179)),IFERROR(AT161/AT179,""),"")</f>
        <v>0.0363084593291064</v>
      </c>
      <c r="AU162" s="215">
        <f>IF(AND(ISNUMBER(AU161),ISNUMBER(AU179)),IFERROR(AU161/AU179,""),"")</f>
        <v>0.0382056480397476</v>
      </c>
      <c r="AV162" s="215">
        <f>IF(AND(ISNUMBER(AV161),ISNUMBER(AV179)),IFERROR(AV161/AV179,""),"")</f>
        <v>0.0354691978019089</v>
      </c>
      <c r="AW162" s="215">
        <f>IF(AND(ISNUMBER(AW161),ISNUMBER(AW179)),IFERROR(AW161/AW179,""),"")</f>
        <v>0.0369821347411111</v>
      </c>
      <c r="AX162" s="215">
        <f>IF(AND(ISNUMBER(AX161),ISNUMBER(AX179)),IFERROR(AX161/AX179,""),"")</f>
        <v>0.0391882435269419</v>
      </c>
      <c r="AY162" s="215">
        <f>IF(AND(ISNUMBER(AY161),ISNUMBER(AY179)),IFERROR(AY161/AY179,""),"")</f>
        <v>0.0363543504503668</v>
      </c>
      <c r="AZ162" s="215">
        <f>IF(AND(ISNUMBER(AZ161),ISNUMBER(AZ179)),IFERROR(AZ161/AZ179,""),"")</f>
        <v>0.0365654821848175</v>
      </c>
      <c r="BA162" s="215">
        <f>IF(AND(ISNUMBER(BA161),ISNUMBER(BA179)),IFERROR(BA161/BA179,""),"")</f>
        <v>0.0340396949211302</v>
      </c>
      <c r="BB162" s="215">
        <f>IF(AND(ISNUMBER(BB161),ISNUMBER(BB179)),IFERROR(BB161/BB179,""),"")</f>
        <v>0.0363976012564847</v>
      </c>
      <c r="BC162" s="215">
        <f>IF(AND(ISNUMBER(BC161),ISNUMBER(BC179)),IFERROR(BC161/BC179,""),"")</f>
        <v>0.0375576494472273</v>
      </c>
      <c r="BD162" s="215">
        <f>IF(AND(ISNUMBER(BD161),ISNUMBER(BD179)),IFERROR(BD161/BD179,""),"")</f>
        <v>0.0366725951128982</v>
      </c>
      <c r="BE162" s="215">
        <f>IF(AND(ISNUMBER(BE161),ISNUMBER(BE179)),IFERROR(BE161/BE179,""),"")</f>
        <v>0.038614262560778</v>
      </c>
      <c r="BF162" s="215">
        <f>IF(AND(ISNUMBER(BF161),ISNUMBER(BF179)),IFERROR(BF161/BF179,""),"")</f>
        <v>0.0385038079629808</v>
      </c>
      <c r="BG162" s="215">
        <f>IF(AND(ISNUMBER(BG161),ISNUMBER(BG179)),IFERROR(BG161/BG179,""),"")</f>
        <v>0.0378372925808241</v>
      </c>
      <c r="BH162" s="215">
        <f>IF(AND(ISNUMBER(BH161),ISNUMBER(BH179)),IFERROR(BH161/BH179,""),"")</f>
        <v>0.0437332907705199</v>
      </c>
      <c r="BI162" s="215">
        <f>IF(AND(ISNUMBER(BI161),ISNUMBER(BI179)),IFERROR(BI161/BI179,""),"")</f>
        <v>0.048116480558136</v>
      </c>
      <c r="BJ162" s="215">
        <f>IF(AND(ISNUMBER(BJ161),ISNUMBER(BJ179)),IFERROR(BJ161/BJ179,""),"")</f>
        <v>0.0466352611763816</v>
      </c>
      <c r="BK162" s="215">
        <f>IF(AND(ISNUMBER(BK161),ISNUMBER(BK179)),IFERROR(BK161/BK179,""),"")</f>
        <v>0.0429977397711296</v>
      </c>
      <c r="BL162" s="215">
        <f>IF(AND(ISNUMBER(BL161),ISNUMBER(BL179)),IFERROR(BL161/BL179,""),"")</f>
        <v>0.0453530896821839</v>
      </c>
      <c r="BM162" s="215">
        <f>IF(AND(ISNUMBER(BM161),ISNUMBER(BM179)),IFERROR(BM161/BM179,""),"")</f>
        <v>0.0443583346603677</v>
      </c>
      <c r="BN162" s="215">
        <f>IF(AND(ISNUMBER(BN161),ISNUMBER(BN179)),IFERROR(BN161/BN179,""),"")</f>
        <v>0.0455981941309255</v>
      </c>
      <c r="BO162" s="215">
        <f>IF(AND(ISNUMBER(BO161),ISNUMBER(BO179)),IFERROR(BO161/BO179,""),"")</f>
        <v>0.0436968540851628</v>
      </c>
      <c r="BP162" s="215">
        <f>IF(AND(ISNUMBER(BP161),ISNUMBER(BP179)),IFERROR(BP161/BP179,""),"")</f>
        <v>0.0416518608926723</v>
      </c>
      <c r="BQ162" s="215">
        <f>IF(AND(ISNUMBER(BQ161),ISNUMBER(BQ179)),IFERROR(BQ161/BQ179,""),"")</f>
        <v>0.0437904390466788</v>
      </c>
      <c r="BR162" s="215">
        <f>IF(AND(ISNUMBER(BR161),ISNUMBER(BR179)),IFERROR(BR161/BR179,""),"")</f>
        <v>0.0431806053213387</v>
      </c>
      <c r="BS162" s="215">
        <f>IF(AND(ISNUMBER(BS161),ISNUMBER(BS179)),IFERROR(BS161/BS179,""),"")</f>
        <v>0.0443617876838235</v>
      </c>
      <c r="BT162" s="215">
        <f>IF(AND(ISNUMBER(BT161),ISNUMBER(BT179)),IFERROR(BT161/BT179,""),"")</f>
        <v>0.0425313276054006</v>
      </c>
      <c r="BU162" s="215">
        <f>IF(AND(ISNUMBER(BU161),ISNUMBER(BU179)),IFERROR(BU161/BU179,""),"")</f>
        <v>0.0402009392865086</v>
      </c>
      <c r="BV162" s="215">
        <f>IF(AND(ISNUMBER(BV161),ISNUMBER(BV179)),IFERROR(BV161/BV179,""),"")</f>
        <v>0.0425025911885391</v>
      </c>
      <c r="BW162" s="215">
        <f>IF(AND(ISNUMBER(BW161),ISNUMBER(BW179)),IFERROR(BW161/BW179,""),"")</f>
        <v>0.0384045936168295</v>
      </c>
      <c r="BX162" s="215">
        <f>IF(AND(ISNUMBER(BX161),ISNUMBER(BX179)),IFERROR(BX161/BX179,""),"")</f>
        <v>0.0396072496401019</v>
      </c>
      <c r="BY162" s="215">
        <f>IF(AND(ISNUMBER(BY161),ISNUMBER(BY179)),IFERROR(BY161/BY179,""),"")</f>
        <v>0.0371715368095939</v>
      </c>
      <c r="BZ162" s="215">
        <f>IF(AND(ISNUMBER(BZ161),ISNUMBER(BZ179)),IFERROR(BZ161/BZ179,""),"")</f>
        <v>0.0346861910740276</v>
      </c>
      <c r="CA162" s="215">
        <f>IF(AND(ISNUMBER(CA161),ISNUMBER(CA179)),IFERROR(CA161/CA179,""),"")</f>
        <v>0.0373825861336371</v>
      </c>
      <c r="CB162" s="256">
        <f>IF(AND(ISNUMBER(CB161),ISNUMBER(CB179)),IFERROR(CB161/CB179,""),"")</f>
        <v>0.0384045936168295</v>
      </c>
      <c r="CC162" s="256">
        <f>IF(AND(ISNUMBER(CC161),ISNUMBER(CC179)),IFERROR(CC161/CC179,""),"")</f>
        <v>0.0396072496401019</v>
      </c>
      <c r="CD162" s="256">
        <f>IF(AND(ISNUMBER(CD161),ISNUMBER(CD179)),IFERROR(CD161/CD179,""),"")</f>
        <v>0.0371715368095939</v>
      </c>
      <c r="CE162" s="256">
        <f>IF(AND(ISNUMBER(CE161),ISNUMBER(CE179)),IFERROR(CE161/CE179,""),"")</f>
        <v>0.0346861910740276</v>
      </c>
      <c r="CF162" s="256">
        <f>IF(AND(ISNUMBER(CF161),ISNUMBER(CF179)),IFERROR(CF161/CF179,""),"")</f>
        <v>0.0373717882106785</v>
      </c>
      <c r="CG162" s="264" t="n">
        <v>0.037</v>
      </c>
      <c r="CH162" s="264" t="n">
        <v>0.037</v>
      </c>
      <c r="CI162" s="264" t="n">
        <v>0.037</v>
      </c>
      <c r="CJ162" s="264" t="n">
        <v>0.037</v>
      </c>
      <c r="CK162" s="153" t="n"/>
      <c r="CM162" s="37">
        <f>IFERROR(AVERAGE(CF162,CG162,CH162,CI162,CJ162),"n/m")</f>
        <v>0.0370743576421357</v>
      </c>
      <c r="CN162" s="37">
        <f>IFERROR(AVERAGE(BG162,BL162,BQ162,BV162,CA162),"n/m")</f>
        <v>0.0413731997263726</v>
      </c>
      <c r="CO162" s="37">
        <f>IFERROR(AVERAGE(AH162,AM162,AR162,AW162,BB162,BG162,BL162,BQ162,BV162,CA162),"n/m")</f>
        <v>0.0389222832882421</v>
      </c>
      <c r="CP162" s="37">
        <f>IFERROR(AVERAGE(C162,D162,E162,F162,G162,H162,I162,N162,S162,X162,AC162,AH162,AM162,AR162,AW162,BB162,BG162,BL162,BQ162,BV162,CA162),"n/m")</f>
        <v>0.0343571282337916</v>
      </c>
    </row>
    <row r="163" ht="15" customHeight="1" s="251">
      <c r="B163" s="25" t="inlineStr">
        <is>
          <t xml:space="preserve">  Operating expenses (R&amp;D + S&amp;M + G&amp;A) y/y % — Q1/27E from guidance, Q2–Q4 carried</t>
        </is>
      </c>
      <c r="C163" s="36" t="n"/>
      <c r="D163" s="215">
        <f>IF(AND(ISNUMBER(D188),ISNUMBER(C188)),IFERROR(D188/C188-1,""),"")</f>
        <v>0.0865575396825398</v>
      </c>
      <c r="E163" s="215">
        <f>IF(AND(ISNUMBER(E188),ISNUMBER(D188)),IFERROR(E188/D188-1,""),"")</f>
        <v>0.202008673818763</v>
      </c>
      <c r="F163" s="215">
        <f>IF(AND(ISNUMBER(F188),ISNUMBER(E188)),IFERROR(F188/E188-1,""),"")</f>
        <v>-0.0281428028864413</v>
      </c>
      <c r="G163" s="215">
        <f>IF(AND(ISNUMBER(G188),ISNUMBER(F188)),IFERROR(G188/F188-1,""),"")</f>
        <v>0.0134041971159482</v>
      </c>
      <c r="H163" s="215">
        <f>IF(AND(ISNUMBER(H188),ISNUMBER(G188)),IFERROR(H188/G188-1,""),"")</f>
        <v>0.0490899275026995</v>
      </c>
      <c r="I163" s="215">
        <f>IF(AND(ISNUMBER(I188),ISNUMBER(H188)),IFERROR(I188/H188-1,""),"")</f>
        <v>0.0379342032714574</v>
      </c>
      <c r="J163" s="36" t="n"/>
      <c r="K163" s="36" t="n"/>
      <c r="L163" s="36" t="n"/>
      <c r="M163" s="36" t="n"/>
      <c r="N163" s="215">
        <f>IF(AND(ISNUMBER(N188),ISNUMBER(I188)),IFERROR(N188/I188-1,""),"")</f>
        <v>0.0920423557743386</v>
      </c>
      <c r="O163" s="215">
        <f>IF(AND(ISNUMBER(O188),ISNUMBER(J188)),IFERROR(O188/J188-1,""),"")</f>
        <v>0.0840477648499693</v>
      </c>
      <c r="P163" s="215">
        <f>IF(AND(ISNUMBER(P188),ISNUMBER(K188)),IFERROR(P188/K188-1,""),"")</f>
        <v>0.0341548855248341</v>
      </c>
      <c r="Q163" s="215">
        <f>IF(AND(ISNUMBER(Q188),ISNUMBER(L188)),IFERROR(Q188/L188-1,""),"")</f>
        <v>-0.0744128553770087</v>
      </c>
      <c r="R163" s="215">
        <f>IF(AND(ISNUMBER(R188),ISNUMBER(M188)),IFERROR(R188/M188-1,""),"")</f>
        <v>0.116409195961562</v>
      </c>
      <c r="S163" s="215">
        <f>IF(AND(ISNUMBER(S188),ISNUMBER(N188)),IFERROR(S188/N188-1,""),"")</f>
        <v>0.0381696718121676</v>
      </c>
      <c r="T163" s="215">
        <f>IF(AND(ISNUMBER(T188),ISNUMBER(O188)),IFERROR(T188/O188-1,""),"")</f>
        <v>0.121875441321847</v>
      </c>
      <c r="U163" s="215">
        <f>IF(AND(ISNUMBER(U188),ISNUMBER(P188)),IFERROR(U188/P188-1,""),"")</f>
        <v>0.00592789741108146</v>
      </c>
      <c r="V163" s="215">
        <f>IF(AND(ISNUMBER(V188),ISNUMBER(Q188)),IFERROR(V188/Q188-1,""),"")</f>
        <v>0.0395299145299146</v>
      </c>
      <c r="W163" s="215">
        <f>IF(AND(ISNUMBER(W188),ISNUMBER(R188)),IFERROR(W188/R188-1,""),"")</f>
        <v>-0.0927217258662018</v>
      </c>
      <c r="X163" s="215">
        <f>IF(AND(ISNUMBER(X188),ISNUMBER(S188)),IFERROR(X188/S188-1,""),"")</f>
        <v>0.0111517196139068</v>
      </c>
      <c r="Y163" s="215">
        <f>IF(AND(ISNUMBER(Y188),ISNUMBER(T188)),IFERROR(Y188/T188-1,""),"")</f>
        <v>-0.071122860020141</v>
      </c>
      <c r="Z163" s="215">
        <f>IF(AND(ISNUMBER(Z188),ISNUMBER(U188)),IFERROR(Z188/U188-1,""),"")</f>
        <v>-0.0501503307276007</v>
      </c>
      <c r="AA163" s="215">
        <f>IF(AND(ISNUMBER(AA188),ISNUMBER(V188)),IFERROR(AA188/V188-1,""),"")</f>
        <v>-0.0331449126413155</v>
      </c>
      <c r="AB163" s="215">
        <f>IF(AND(ISNUMBER(AB188),ISNUMBER(W188)),IFERROR(AB188/W188-1,""),"")</f>
        <v>0.0141707697850366</v>
      </c>
      <c r="AC163" s="215">
        <f>IF(AND(ISNUMBER(AC188),ISNUMBER(X188)),IFERROR(AC188/X188-1,""),"")</f>
        <v>-0.0346617238183503</v>
      </c>
      <c r="AD163" s="215">
        <f>IF(AND(ISNUMBER(AD188),ISNUMBER(Y188)),IFERROR(AD188/Y188-1,""),"")</f>
        <v>0.000677598590594908</v>
      </c>
      <c r="AE163" s="215">
        <f>IF(AND(ISNUMBER(AE188),ISNUMBER(Z188)),IFERROR(AE188/Z188-1,""),"")</f>
        <v>0.0144340339326412</v>
      </c>
      <c r="AF163" s="215">
        <f>IF(AND(ISNUMBER(AF188),ISNUMBER(AA188)),IFERROR(AF188/AA188-1,""),"")</f>
        <v>0.120914164230667</v>
      </c>
      <c r="AG163" s="215">
        <f>IF(AND(ISNUMBER(AG188),ISNUMBER(AB188)),IFERROR(AG188/AB188-1,""),"")</f>
        <v>0.0923623445825932</v>
      </c>
      <c r="AH163" s="215">
        <f>IF(AND(ISNUMBER(AH188),ISNUMBER(AC188)),IFERROR(AH188/AC188-1,""),"")</f>
        <v>0.0578917050691243</v>
      </c>
      <c r="AI163" s="215">
        <f>IF(AND(ISNUMBER(AI188),ISNUMBER(AD188)),IFERROR(AI188/AD188-1,""),"")</f>
        <v>0.158179848320693</v>
      </c>
      <c r="AJ163" s="215">
        <f>IF(AND(ISNUMBER(AJ188),ISNUMBER(AE188)),IFERROR(AJ188/AE188-1,""),"")</f>
        <v>0.145157264103844</v>
      </c>
      <c r="AK163" s="215">
        <f>IF(AND(ISNUMBER(AK188),ISNUMBER(AF188)),IFERROR(AK188/AF188-1,""),"")</f>
        <v>0.0974395448079659</v>
      </c>
      <c r="AL163" s="215">
        <f>IF(AND(ISNUMBER(AL188),ISNUMBER(AG188)),IFERROR(AL188/AG188-1,""),"")</f>
        <v>0.0801084010840107</v>
      </c>
      <c r="AM163" s="215">
        <f>IF(AND(ISNUMBER(AM188),ISNUMBER(AH188)),IFERROR(AM188/AH188-1,""),"")</f>
        <v>0.117736031702816</v>
      </c>
      <c r="AN163" s="215">
        <f>IF(AND(ISNUMBER(AN188),ISNUMBER(AI188)),IFERROR(AN188/AI188-1,""),"")</f>
        <v>0.0785781103835359</v>
      </c>
      <c r="AO163" s="215">
        <f>IF(AND(ISNUMBER(AO188),ISNUMBER(AJ188)),IFERROR(AO188/AJ188-1,""),"")</f>
        <v>0.0670299727520436</v>
      </c>
      <c r="AP163" s="215">
        <f>IF(AND(ISNUMBER(AP188),ISNUMBER(AK188)),IFERROR(AP188/AK188-1,""),"")</f>
        <v>0.0866277813782674</v>
      </c>
      <c r="AQ163" s="215">
        <f>IF(AND(ISNUMBER(AQ188),ISNUMBER(AL188)),IFERROR(AQ188/AL188-1,""),"")</f>
        <v>0.0939381774387795</v>
      </c>
      <c r="AR163" s="215">
        <f>IF(AND(ISNUMBER(AR188),ISNUMBER(AM188)),IFERROR(AR188/AM188-1,""),"")</f>
        <v>0.081869604048824</v>
      </c>
      <c r="AS163" s="215">
        <f>IF(AND(ISNUMBER(AS188),ISNUMBER(AN188)),IFERROR(AS188/AN188-1,""),"")</f>
        <v>0.0801170858629661</v>
      </c>
      <c r="AT163" s="215">
        <f>IF(AND(ISNUMBER(AT188),ISNUMBER(AO188)),IFERROR(AT188/AO188-1,""),"")</f>
        <v>0.0885597548518897</v>
      </c>
      <c r="AU163" s="215">
        <f>IF(AND(ISNUMBER(AU188),ISNUMBER(AP188)),IFERROR(AU188/AP188-1,""),"")</f>
        <v>0.100497017892644</v>
      </c>
      <c r="AV163" s="215">
        <f>IF(AND(ISNUMBER(AV188),ISNUMBER(AQ188)),IFERROR(AV188/AQ188-1,""),"")</f>
        <v>0.127247706422018</v>
      </c>
      <c r="AW163" s="215">
        <f>IF(AND(ISNUMBER(AW188),ISNUMBER(AR188)),IFERROR(AW188/AR188-1,""),"")</f>
        <v>0.100165107319758</v>
      </c>
      <c r="AX163" s="215">
        <f>IF(AND(ISNUMBER(AX188),ISNUMBER(AS188)),IFERROR(AX188/AS188-1,""),"")</f>
        <v>0.0314162400883269</v>
      </c>
      <c r="AY163" s="215">
        <f>IF(AND(ISNUMBER(AY188),ISNUMBER(AT188)),IFERROR(AY188/AT188-1,""),"")</f>
        <v>0.0307778924650464</v>
      </c>
      <c r="AZ163" s="215">
        <f>IF(AND(ISNUMBER(AZ188),ISNUMBER(AU188)),IFERROR(AZ188/AU188-1,""),"")</f>
        <v>0.0489567338090506</v>
      </c>
      <c r="BA163" s="215">
        <f>IF(AND(ISNUMBER(BA188),ISNUMBER(AV188)),IFERROR(BA188/AV188-1,""),"")</f>
        <v>0.0634003418246927</v>
      </c>
      <c r="BB163" s="215">
        <f>IF(AND(ISNUMBER(BB188),ISNUMBER(AW188)),IFERROR(BB188/AW188-1,""),"")</f>
        <v>0.0446132156987584</v>
      </c>
      <c r="BC163" s="215">
        <f>IF(AND(ISNUMBER(BC188),ISNUMBER(AX188)),IFERROR(BC188/AX188-1,""),"")</f>
        <v>0.112592448423511</v>
      </c>
      <c r="BD163" s="215">
        <f>IF(AND(ISNUMBER(BD188),ISNUMBER(AY188)),IFERROR(BD188/AY188-1,""),"")</f>
        <v>0.139827036868457</v>
      </c>
      <c r="BE163" s="215">
        <f>IF(AND(ISNUMBER(BE188),ISNUMBER(AZ188)),IFERROR(BE188/AZ188-1,""),"")</f>
        <v>0.152243175751313</v>
      </c>
      <c r="BF163" s="215">
        <f>IF(AND(ISNUMBER(BF188),ISNUMBER(BA188)),IFERROR(BF188/BA188-1,""),"")</f>
        <v>0.140517373335374</v>
      </c>
      <c r="BG163" s="215">
        <f>IF(AND(ISNUMBER(BG188),ISNUMBER(BB188)),IFERROR(BG188/BB188-1,""),"")</f>
        <v>0.137070091423596</v>
      </c>
      <c r="BH163" s="215">
        <f>IF(AND(ISNUMBER(BH188),ISNUMBER(BC188)),IFERROR(BH188/BC188-1,""),"")</f>
        <v>0.150354237732879</v>
      </c>
      <c r="BI163" s="215">
        <f>IF(AND(ISNUMBER(BI188),ISNUMBER(BD188)),IFERROR(BI188/BD188-1,""),"")</f>
        <v>0.186806165641722</v>
      </c>
      <c r="BJ163" s="215">
        <f>IF(AND(ISNUMBER(BJ188),ISNUMBER(BE188)),IFERROR(BJ188/BE188-1,""),"")</f>
        <v>0.0744338988117481</v>
      </c>
      <c r="BK163" s="215">
        <f>IF(AND(ISNUMBER(BK188),ISNUMBER(BF188)),IFERROR(BK188/BF188-1,""),"")</f>
        <v>0.0159710106026036</v>
      </c>
      <c r="BL163" s="215">
        <f>IF(AND(ISNUMBER(BL188),ISNUMBER(BG188)),IFERROR(BL188/BG188-1,""),"")</f>
        <v>0.101307502345081</v>
      </c>
      <c r="BM163" s="215">
        <f>IF(AND(ISNUMBER(BM188),ISNUMBER(BH188)),IFERROR(BM188/BH188-1,""),"")</f>
        <v>0.0127737226277371</v>
      </c>
      <c r="BN163" s="215">
        <f>IF(AND(ISNUMBER(BN188),ISNUMBER(BI188)),IFERROR(BN188/BI188-1,""),"")</f>
        <v>0.0339838492597577</v>
      </c>
      <c r="BO163" s="215">
        <f>IF(AND(ISNUMBER(BO188),ISNUMBER(BJ188)),IFERROR(BO188/BJ188-1,""),"")</f>
        <v>0.0970299784377826</v>
      </c>
      <c r="BP163" s="215">
        <f>IF(AND(ISNUMBER(BP188),ISNUMBER(BK188)),IFERROR(BP188/BK188-1,""),"")</f>
        <v>0.130647291941876</v>
      </c>
      <c r="BQ163" s="215">
        <f>IF(AND(ISNUMBER(BQ188),ISNUMBER(BL188)),IFERROR(BQ188/BL188-1,""),"")</f>
        <v>0.0703297467364286</v>
      </c>
      <c r="BR163" s="215">
        <f>IF(AND(ISNUMBER(BR188),ISNUMBER(BM188)),IFERROR(BR188/BM188-1,""),"")</f>
        <v>0.121171171171171</v>
      </c>
      <c r="BS163" s="215">
        <f>IF(AND(ISNUMBER(BS188),ISNUMBER(BN188)),IFERROR(BS188/BN188-1,""),"")</f>
        <v>0.0530426293524244</v>
      </c>
      <c r="BT163" s="215">
        <f>IF(AND(ISNUMBER(BT188),ISNUMBER(BO188)),IFERROR(BT188/BO188-1,""),"")</f>
        <v>0.0237763124524473</v>
      </c>
      <c r="BU163" s="215">
        <f>IF(AND(ISNUMBER(BU188),ISNUMBER(BP188)),IFERROR(BU188/BP188-1,""),"")</f>
        <v>0.0576001869377263</v>
      </c>
      <c r="BV163" s="215">
        <f>IF(AND(ISNUMBER(BV188),ISNUMBER(BQ188)),IFERROR(BV188/BQ188-1,""),"")</f>
        <v>0.0615509541209907</v>
      </c>
      <c r="BW163" s="215">
        <f>IF(AND(ISNUMBER(BW188),ISNUMBER(BR188)),IFERROR(BW188/BR188-1,""),"")</f>
        <v>0.0492165528324628</v>
      </c>
      <c r="BX163" s="215">
        <f>IF(AND(ISNUMBER(BX188),ISNUMBER(BS188)),IFERROR(BX188/BS188-1,""),"")</f>
        <v>0.0519159456118665</v>
      </c>
      <c r="BY163" s="215">
        <f>IF(AND(ISNUMBER(BY188),ISNUMBER(BT188)),IFERROR(BY188/BT188-1,""),"")</f>
        <v>0.0937016163993312</v>
      </c>
      <c r="BZ163" s="215">
        <f>IF(AND(ISNUMBER(BZ188),ISNUMBER(BU188)),IFERROR(BZ188/BU188-1,""),"")</f>
        <v>0.098044631020769</v>
      </c>
      <c r="CA163" s="215">
        <f>IF(AND(ISNUMBER(CA188),ISNUMBER(BV188)),IFERROR(CA188/BV188-1,""),"")</f>
        <v>0.0743976134016675</v>
      </c>
      <c r="CB163" s="256">
        <f>CHOOSE(MATCH($CK$2,{"Bull","Base","Bear"},0),$CT$15,$CU$15,$CV$15)/BW188-1</f>
        <v>0.0753717531431488</v>
      </c>
      <c r="CC163" s="256">
        <f>$CB$163</f>
        <v>0.0753717531431488</v>
      </c>
      <c r="CD163" s="256">
        <f>$CB$163</f>
        <v>0.0753717531431488</v>
      </c>
      <c r="CE163" s="256">
        <f>$CB$163</f>
        <v>0.0753717531431488</v>
      </c>
      <c r="CF163" s="256">
        <f>IF(AND(ISNUMBER(CF188),ISNUMBER(CA188)),IFERROR(CF188/CA188-1,""),"")</f>
        <v>0.0753717531431488</v>
      </c>
      <c r="CG163" s="270">
        <f>IF(AND(ISNUMBER(CG188),ISNUMBER(CF188)),IFERROR(CG188/CF188-1,""),"")</f>
        <v>0.218097154519029</v>
      </c>
      <c r="CH163" s="270">
        <f>IF(AND(ISNUMBER(CH188),ISNUMBER(CG188)),IFERROR(CH188/CG188-1,""),"")</f>
        <v>0.156926431193326</v>
      </c>
      <c r="CI163" s="270">
        <f>IF(AND(ISNUMBER(CI188),ISNUMBER(CH188)),IFERROR(CI188/CH188-1,""),"")</f>
        <v>0.137575697728593</v>
      </c>
      <c r="CJ163" s="270">
        <f>IF(AND(ISNUMBER(CJ188),ISNUMBER(CI188)),IFERROR(CJ188/CI188-1,""),"")</f>
        <v>0.120699410271791</v>
      </c>
      <c r="CK163" s="19" t="n"/>
    </row>
    <row r="164" ht="15" customHeight="1" s="251">
      <c r="B164" s="25" t="inlineStr">
        <is>
          <t xml:space="preserve">  R&amp;D % of revenue</t>
        </is>
      </c>
      <c r="C164" s="215">
        <f>IF(AND(ISNUMBER(C185),ISNUMBER(C179)),IFERROR(C185/C179,""),"")</f>
        <v>0.148683437965765</v>
      </c>
      <c r="D164" s="215">
        <f>IF(AND(ISNUMBER(D185),ISNUMBER(D179)),IFERROR(D185/D179,""),"")</f>
        <v>0.139294237314659</v>
      </c>
      <c r="E164" s="215">
        <f>IF(AND(ISNUMBER(E185),ISNUMBER(E179)),IFERROR(E185/E179,""),"")</f>
        <v>0.135120820920225</v>
      </c>
      <c r="F164" s="215">
        <f>IF(AND(ISNUMBER(F185),ISNUMBER(F179)),IFERROR(F185/F179,""),"")</f>
        <v>0.154183137395828</v>
      </c>
      <c r="G164" s="215">
        <f>IF(AND(ISNUMBER(G185),ISNUMBER(G179)),IFERROR(G185/G179,""),"")</f>
        <v>0.139459701683631</v>
      </c>
      <c r="H164" s="215">
        <f>IF(AND(ISNUMBER(H185),ISNUMBER(H179)),IFERROR(H185/H179,""),"")</f>
        <v>0.129290994095192</v>
      </c>
      <c r="I164" s="215">
        <f>IF(AND(ISNUMBER(I185),ISNUMBER(I179)),IFERROR(I185/I179,""),"")</f>
        <v>0.133079229005873</v>
      </c>
      <c r="J164" s="215">
        <f>IF(AND(ISNUMBER(J185),ISNUMBER(J179)),IFERROR(J185/J179,""),"")</f>
        <v>0.153673163418291</v>
      </c>
      <c r="K164" s="215">
        <f>IF(AND(ISNUMBER(K185),ISNUMBER(K179)),IFERROR(K185/K179,""),"")</f>
        <v>0.117822520507084</v>
      </c>
      <c r="L164" s="215">
        <f>IF(AND(ISNUMBER(L185),ISNUMBER(L179)),IFERROR(L185/L179,""),"")</f>
        <v>0.128849626628923</v>
      </c>
      <c r="M164" s="215">
        <f>IF(AND(ISNUMBER(M185),ISNUMBER(M179)),IFERROR(M185/M179,""),"")</f>
        <v>0.139877362283876</v>
      </c>
      <c r="N164" s="215">
        <f>IF(AND(ISNUMBER(N185),ISNUMBER(N179)),IFERROR(N185/N179,""),"")</f>
        <v>0.133733252835618</v>
      </c>
      <c r="O164" s="215">
        <f>IF(AND(ISNUMBER(O185),ISNUMBER(O179)),IFERROR(O185/O179,""),"")</f>
        <v>0.149333477251875</v>
      </c>
      <c r="P164" s="215">
        <f>IF(AND(ISNUMBER(P185),ISNUMBER(P179)),IFERROR(P185/P179,""),"")</f>
        <v>0.112076348953873</v>
      </c>
      <c r="Q164" s="215">
        <f>IF(AND(ISNUMBER(Q185),ISNUMBER(Q179)),IFERROR(Q185/Q179,""),"")</f>
        <v>0.134441013576435</v>
      </c>
      <c r="R164" s="215">
        <f>IF(AND(ISNUMBER(R185),ISNUMBER(R179)),IFERROR(R185/R179,""),"")</f>
        <v>0.13356428021555</v>
      </c>
      <c r="S164" s="215">
        <f>IF(AND(ISNUMBER(S185),ISNUMBER(S179)),IFERROR(S185/S179,""),"")</f>
        <v>0.131067681641772</v>
      </c>
      <c r="T164" s="215">
        <f>IF(AND(ISNUMBER(T185),ISNUMBER(T179)),IFERROR(T185/T179,""),"")</f>
        <v>0.132106374725227</v>
      </c>
      <c r="U164" s="215">
        <f>IF(AND(ISNUMBER(U185),ISNUMBER(U179)),IFERROR(U185/U179,""),"")</f>
        <v>0.109671326029467</v>
      </c>
      <c r="V164" s="215">
        <f>IF(AND(ISNUMBER(V185),ISNUMBER(V179)),IFERROR(V185/V179,""),"")</f>
        <v>0.137327994845598</v>
      </c>
      <c r="W164" s="215">
        <f>IF(AND(ISNUMBER(W185),ISNUMBER(W179)),IFERROR(W185/W179,""),"")</f>
        <v>0.139495040577097</v>
      </c>
      <c r="X164" s="215">
        <f>IF(AND(ISNUMBER(X185),ISNUMBER(X179)),IFERROR(X185/X179,""),"")</f>
        <v>0.128724086343236</v>
      </c>
      <c r="Y164" s="215">
        <f>IF(AND(ISNUMBER(Y185),ISNUMBER(Y179)),IFERROR(Y185/Y179,""),"")</f>
        <v>0.145345699003877</v>
      </c>
      <c r="Z164" s="215">
        <f>IF(AND(ISNUMBER(Z185),ISNUMBER(Z179)),IFERROR(Z185/Z179,""),"")</f>
        <v>0.121869221717936</v>
      </c>
      <c r="AA164" s="215">
        <f>IF(AND(ISNUMBER(AA185),ISNUMBER(AA179)),IFERROR(AA185/AA179,""),"")</f>
        <v>0.145146364034874</v>
      </c>
      <c r="AB164" s="215">
        <f>IF(AND(ISNUMBER(AB185),ISNUMBER(AB179)),IFERROR(AB185/AB179,""),"")</f>
        <v>0.152614727854856</v>
      </c>
      <c r="AC164" s="215">
        <f>IF(AND(ISNUMBER(AC185),ISNUMBER(AC179)),IFERROR(AC185/AC179,""),"")</f>
        <v>0.140506329113924</v>
      </c>
      <c r="AD164" s="215">
        <f>IF(AND(ISNUMBER(AD185),ISNUMBER(AD179)),IFERROR(AD185/AD179,""),"")</f>
        <v>0.151860362782966</v>
      </c>
      <c r="AE164" s="215">
        <f>IF(AND(ISNUMBER(AE185),ISNUMBER(AE179)),IFERROR(AE185/AE179,""),"")</f>
        <v>0.127106683271067</v>
      </c>
      <c r="AF164" s="215">
        <f>IF(AND(ISNUMBER(AF185),ISNUMBER(AF179)),IFERROR(AF185/AF179,""),"")</f>
        <v>0.151878678134903</v>
      </c>
      <c r="AG164" s="215">
        <f>IF(AND(ISNUMBER(AG185),ISNUMBER(AG179)),IFERROR(AG185/AG179,""),"")</f>
        <v>0.150705493845692</v>
      </c>
      <c r="AH164" s="215">
        <f>IF(AND(ISNUMBER(AH185),ISNUMBER(AH179)),IFERROR(AH185/AH179,""),"")</f>
        <v>0.144936075597554</v>
      </c>
      <c r="AI164" s="215">
        <f>IF(AND(ISNUMBER(AI185),ISNUMBER(AI179)),IFERROR(AI185/AI179,""),"")</f>
        <v>0.14565164235064</v>
      </c>
      <c r="AJ164" s="215">
        <f>IF(AND(ISNUMBER(AJ185),ISNUMBER(AJ179)),IFERROR(AJ185/AJ179,""),"")</f>
        <v>0.121170205408396</v>
      </c>
      <c r="AK164" s="215">
        <f>IF(AND(ISNUMBER(AK185),ISNUMBER(AK179)),IFERROR(AK185/AK179,""),"")</f>
        <v>0.138521197658377</v>
      </c>
      <c r="AL164" s="215">
        <f>IF(AND(ISNUMBER(AL185),ISNUMBER(AL179)),IFERROR(AL185/AL179,""),"")</f>
        <v>0.130729599468174</v>
      </c>
      <c r="AM164" s="215">
        <f>IF(AND(ISNUMBER(AM185),ISNUMBER(AM179)),IFERROR(AM185/AM179,""),"")</f>
        <v>0.133436027546212</v>
      </c>
      <c r="AN164" s="215">
        <f>IF(AND(ISNUMBER(AN185),ISNUMBER(AN179)),IFERROR(AN185/AN179,""),"")</f>
        <v>0.136741851189658</v>
      </c>
      <c r="AO164" s="215">
        <f>IF(AND(ISNUMBER(AO185),ISNUMBER(AO179)),IFERROR(AO185/AO179,""),"")</f>
        <v>0.125342613408888</v>
      </c>
      <c r="AP164" s="215">
        <f>IF(AND(ISNUMBER(AP185),ISNUMBER(AP179)),IFERROR(AP185/AP179,""),"")</f>
        <v>0.141179549246017</v>
      </c>
      <c r="AQ164" s="215">
        <f>IF(AND(ISNUMBER(AQ185),ISNUMBER(AQ179)),IFERROR(AQ185/AQ179,""),"")</f>
        <v>0.133849393481033</v>
      </c>
      <c r="AR164" s="215">
        <f>IF(AND(ISNUMBER(AR185),ISNUMBER(AR179)),IFERROR(AR185/AR179,""),"")</f>
        <v>0.134103605285952</v>
      </c>
      <c r="AS164" s="215">
        <f>IF(AND(ISNUMBER(AS185),ISNUMBER(AS179)),IFERROR(AS185/AS179,""),"")</f>
        <v>0.138103161397671</v>
      </c>
      <c r="AT164" s="215">
        <f>IF(AND(ISNUMBER(AT185),ISNUMBER(AT179)),IFERROR(AT185/AT179,""),"")</f>
        <v>0.124722267381998</v>
      </c>
      <c r="AU164" s="215">
        <f>IF(AND(ISNUMBER(AU185),ISNUMBER(AU179)),IFERROR(AU185/AU179,""),"")</f>
        <v>0.139544844521858</v>
      </c>
      <c r="AV164" s="215">
        <f>IF(AND(ISNUMBER(AV185),ISNUMBER(AV179)),IFERROR(AV185/AV179,""),"")</f>
        <v>0.137091473194331</v>
      </c>
      <c r="AW164" s="215">
        <f>IF(AND(ISNUMBER(AW185),ISNUMBER(AW179)),IFERROR(AW185/AW179,""),"")</f>
        <v>0.134734118798727</v>
      </c>
      <c r="AX164" s="215">
        <f>IF(AND(ISNUMBER(AX185),ISNUMBER(AX179)),IFERROR(AX185/AX179,""),"")</f>
        <v>0.132583301932497</v>
      </c>
      <c r="AY164" s="215">
        <f>IF(AND(ISNUMBER(AY185),ISNUMBER(AY179)),IFERROR(AY185/AY179,""),"")</f>
        <v>0.113729222769059</v>
      </c>
      <c r="AZ164" s="215">
        <f>IF(AND(ISNUMBER(AZ185),ISNUMBER(AZ179)),IFERROR(AZ185/AZ179,""),"")</f>
        <v>0.124778209370354</v>
      </c>
      <c r="BA164" s="215">
        <f>IF(AND(ISNUMBER(BA185),ISNUMBER(BA179)),IFERROR(BA185/BA179,""),"")</f>
        <v>0.123223262263824</v>
      </c>
      <c r="BB164" s="215">
        <f>IF(AND(ISNUMBER(BB185),ISNUMBER(BB179)),IFERROR(BB185/BB179,""),"")</f>
        <v>0.123244966922088</v>
      </c>
      <c r="BC164" s="215">
        <f>IF(AND(ISNUMBER(BC185),ISNUMBER(BC179)),IFERROR(BC185/BC179,""),"")</f>
        <v>0.123551867952424</v>
      </c>
      <c r="BD164" s="215">
        <f>IF(AND(ISNUMBER(BD185),ISNUMBER(BD179)),IFERROR(BD185/BD179,""),"")</f>
        <v>0.111313021961027</v>
      </c>
      <c r="BE164" s="215">
        <f>IF(AND(ISNUMBER(BE185),ISNUMBER(BE179)),IFERROR(BE185/BE179,""),"")</f>
        <v>0.127755267423015</v>
      </c>
      <c r="BF164" s="215">
        <f>IF(AND(ISNUMBER(BF185),ISNUMBER(BF179)),IFERROR(BF185/BF179,""),"")</f>
        <v>0.132054371927118</v>
      </c>
      <c r="BG164" s="215">
        <f>IF(AND(ISNUMBER(BG185),ISNUMBER(BG179)),IFERROR(BG185/BG179,""),"")</f>
        <v>0.123629394260352</v>
      </c>
      <c r="BH164" s="215">
        <f>IF(AND(ISNUMBER(BH185),ISNUMBER(BH179)),IFERROR(BH185/BH179,""),"")</f>
        <v>0.132237340888233</v>
      </c>
      <c r="BI164" s="215">
        <f>IF(AND(ISNUMBER(BI185),ISNUMBER(BI179)),IFERROR(BI185/BI179,""),"")</f>
        <v>0.129751455059056</v>
      </c>
      <c r="BJ164" s="215">
        <f>IF(AND(ISNUMBER(BJ185),ISNUMBER(BJ179)),IFERROR(BJ185/BJ179,""),"")</f>
        <v>0.132130086838073</v>
      </c>
      <c r="BK164" s="215">
        <f>IF(AND(ISNUMBER(BK185),ISNUMBER(BK179)),IFERROR(BK185/BK179,""),"")</f>
        <v>0.119934506753991</v>
      </c>
      <c r="BL164" s="215">
        <f>IF(AND(ISNUMBER(BL185),ISNUMBER(BL179)),IFERROR(BL185/BL179,""),"")</f>
        <v>0.128329754854541</v>
      </c>
      <c r="BM164" s="215">
        <f>IF(AND(ISNUMBER(BM185),ISNUMBER(BM179)),IFERROR(BM185/BM179,""),"")</f>
        <v>0.117822955924766</v>
      </c>
      <c r="BN164" s="215">
        <f>IF(AND(ISNUMBER(BN185),ISNUMBER(BN179)),IFERROR(BN185/BN179,""),"")</f>
        <v>0.115156401160916</v>
      </c>
      <c r="BO164" s="215">
        <f>IF(AND(ISNUMBER(BO185),ISNUMBER(BO179)),IFERROR(BO185/BO179,""),"")</f>
        <v>0.123718839923696</v>
      </c>
      <c r="BP164" s="215">
        <f>IF(AND(ISNUMBER(BP185),ISNUMBER(BP179)),IFERROR(BP185/BP179,""),"")</f>
        <v>0.124461198572466</v>
      </c>
      <c r="BQ164" s="215">
        <f>IF(AND(ISNUMBER(BQ185),ISNUMBER(BQ179)),IFERROR(BQ185/BQ179,""),"")</f>
        <v>0.120389030768352</v>
      </c>
      <c r="BR164" s="215">
        <f>IF(AND(ISNUMBER(BR185),ISNUMBER(BR179)),IFERROR(BR185/BR179,""),"")</f>
        <v>0.115026301745826</v>
      </c>
      <c r="BS164" s="215">
        <f>IF(AND(ISNUMBER(BS185),ISNUMBER(BS179)),IFERROR(BS185/BS179,""),"")</f>
        <v>0.113697725183824</v>
      </c>
      <c r="BT164" s="215">
        <f>IF(AND(ISNUMBER(BT185),ISNUMBER(BT179)),IFERROR(BT185/BT179,""),"")</f>
        <v>0.117003967687609</v>
      </c>
      <c r="BU164" s="215">
        <f>IF(AND(ISNUMBER(BU185),ISNUMBER(BU179)),IFERROR(BU185/BU179,""),"")</f>
        <v>0.11550084378802</v>
      </c>
      <c r="BV164" s="215">
        <f>IF(AND(ISNUMBER(BV185),ISNUMBER(BV179)),IFERROR(BV185/BV179,""),"")</f>
        <v>0.115318538711647</v>
      </c>
      <c r="BW164" s="215">
        <f>IF(AND(ISNUMBER(BW185),ISNUMBER(BW179)),IFERROR(BW185/BW179,""),"")</f>
        <v>0.104875568086723</v>
      </c>
      <c r="BX164" s="215">
        <f>IF(AND(ISNUMBER(BX185),ISNUMBER(BX179)),IFERROR(BX185/BX179,""),"")</f>
        <v>0.104634995632006</v>
      </c>
      <c r="BY164" s="215">
        <f>IF(AND(ISNUMBER(BY185),ISNUMBER(BY179)),IFERROR(BY185/BY179,""),"")</f>
        <v>0.107557367951162</v>
      </c>
      <c r="BZ164" s="215">
        <f>IF(AND(ISNUMBER(BZ185),ISNUMBER(BZ179)),IFERROR(BZ185/BZ179,""),"")</f>
        <v>0.111069139066961</v>
      </c>
      <c r="CA164" s="215">
        <f>IF(AND(ISNUMBER(CA185),ISNUMBER(CA179)),IFERROR(CA185/CA179,""),"")</f>
        <v>0.107166427092656</v>
      </c>
      <c r="CB164" s="256">
        <f>IF(AND(ISNUMBER(CB185),ISNUMBER(CB179)),IFERROR(CB185/CB179,""),"")</f>
        <v>0.0969024148352222</v>
      </c>
      <c r="CC164" s="256">
        <f>IF(AND(ISNUMBER(CC185),ISNUMBER(CC179)),IFERROR(CC185/CC179,""),"")</f>
        <v>0.0964508642084833</v>
      </c>
      <c r="CD164" s="256">
        <f>IF(AND(ISNUMBER(CD185),ISNUMBER(CD179)),IFERROR(CD185/CD179,""),"")</f>
        <v>0.0983453955550304</v>
      </c>
      <c r="CE164" s="256">
        <f>IF(AND(ISNUMBER(CE185),ISNUMBER(CE179)),IFERROR(CE185/CE179,""),"")</f>
        <v>0.101020161160107</v>
      </c>
      <c r="CF164" s="256">
        <f>IF(AND(ISNUMBER(CF185),ISNUMBER(CF179)),IFERROR(CF185/CF179,""),"")</f>
        <v>0.0982800466703888</v>
      </c>
      <c r="CG164" s="264" t="n">
        <v>0.105</v>
      </c>
      <c r="CH164" s="264" t="n">
        <v>0.105</v>
      </c>
      <c r="CI164" s="264" t="n">
        <v>0.105</v>
      </c>
      <c r="CJ164" s="264" t="n">
        <v>0.105</v>
      </c>
      <c r="CK164" s="153" t="n"/>
      <c r="CM164" s="37">
        <f>IFERROR(AVERAGE(CF164,CG164,CH164,CI164,CJ164),"n/m")</f>
        <v>0.103656009334078</v>
      </c>
      <c r="CN164" s="37">
        <f>IFERROR(AVERAGE(BG164,BL164,BQ164,BV164,CA164),"n/m")</f>
        <v>0.11896662913751</v>
      </c>
      <c r="CO164" s="37">
        <f>IFERROR(AVERAGE(AH164,AM164,AR164,AW164,BB164,BG164,BL164,BQ164,BV164,CA164),"n/m")</f>
        <v>0.126528793983808</v>
      </c>
      <c r="CP164" s="37">
        <f>IFERROR(AVERAGE(C164,D164,E164,F164,G164,H164,I164,N164,S164,X164,AC164,AH164,AM164,AR164,AW164,BB164,BG164,BL164,BQ164,BV164,CA164),"n/m")</f>
        <v>0.132306230864467</v>
      </c>
    </row>
    <row r="165" ht="15" customHeight="1" s="251">
      <c r="B165" s="25" t="inlineStr">
        <is>
          <t xml:space="preserve">  Sales &amp; marketing % of revenue</t>
        </is>
      </c>
      <c r="C165" s="215">
        <f>IF(AND(ISNUMBER(C186),ISNUMBER(C179)),IFERROR(C186/C179,""),"")</f>
        <v>0.221715369676166</v>
      </c>
      <c r="D165" s="215">
        <f>IF(AND(ISNUMBER(D186),ISNUMBER(D179)),IFERROR(D186/D179,""),"")</f>
        <v>0.224071828175736</v>
      </c>
      <c r="E165" s="215">
        <f>IF(AND(ISNUMBER(E186),ISNUMBER(E179)),IFERROR(E186/E179,""),"")</f>
        <v>0.2158060244952</v>
      </c>
      <c r="F165" s="215">
        <f>IF(AND(ISNUMBER(F186),ISNUMBER(F179)),IFERROR(F186/F179,""),"")</f>
        <v>0.22039119051286</v>
      </c>
      <c r="G165" s="215">
        <f>IF(AND(ISNUMBER(G186),ISNUMBER(G179)),IFERROR(G186/G179,""),"")</f>
        <v>0.211478138403431</v>
      </c>
      <c r="H165" s="215">
        <f>IF(AND(ISNUMBER(H186),ISNUMBER(H179)),IFERROR(H186/H179,""),"")</f>
        <v>0.199305148478046</v>
      </c>
      <c r="I165" s="215">
        <f>IF(AND(ISNUMBER(I186),ISNUMBER(I179)),IFERROR(I186/I179,""),"")</f>
        <v>0.187960338022056</v>
      </c>
      <c r="J165" s="215">
        <f>IF(AND(ISNUMBER(J186),ISNUMBER(J179)),IFERROR(J186/J179,""),"")</f>
        <v>0.183970514742629</v>
      </c>
      <c r="K165" s="215">
        <f>IF(AND(ISNUMBER(K186),ISNUMBER(K179)),IFERROR(K186/K179,""),"")</f>
        <v>0.200829604772558</v>
      </c>
      <c r="L165" s="215">
        <f>IF(AND(ISNUMBER(L186),ISNUMBER(L179)),IFERROR(L186/L179,""),"")</f>
        <v>0.185172531602323</v>
      </c>
      <c r="M165" s="215">
        <f>IF(AND(ISNUMBER(M186),ISNUMBER(M179)),IFERROR(M186/M179,""),"")</f>
        <v>0.212505026135907</v>
      </c>
      <c r="N165" s="215">
        <f>IF(AND(ISNUMBER(N186),ISNUMBER(N179)),IFERROR(N186/N179,""),"")</f>
        <v>0.196226027309278</v>
      </c>
      <c r="O165" s="215">
        <f>IF(AND(ISNUMBER(O186),ISNUMBER(O179)),IFERROR(O186/O179,""),"")</f>
        <v>0.178315073668304</v>
      </c>
      <c r="P165" s="215">
        <f>IF(AND(ISNUMBER(P186),ISNUMBER(P179)),IFERROR(P186/P179,""),"")</f>
        <v>0.174680859741425</v>
      </c>
      <c r="Q165" s="215">
        <f>IF(AND(ISNUMBER(Q186),ISNUMBER(Q179)),IFERROR(Q186/Q179,""),"")</f>
        <v>0.173601921286085</v>
      </c>
      <c r="R165" s="215">
        <f>IF(AND(ISNUMBER(R186),ISNUMBER(R179)),IFERROR(R186/R179,""),"")</f>
        <v>0.200239500470447</v>
      </c>
      <c r="S165" s="215">
        <f>IF(AND(ISNUMBER(S186),ISNUMBER(S179)),IFERROR(S186/S179,""),"")</f>
        <v>0.182085151958357</v>
      </c>
      <c r="T165" s="215">
        <f>IF(AND(ISNUMBER(T186),ISNUMBER(T179)),IFERROR(T186/T179,""),"")</f>
        <v>0.160682729192707</v>
      </c>
      <c r="U165" s="215">
        <f>IF(AND(ISNUMBER(U186),ISNUMBER(U179)),IFERROR(U186/U179,""),"")</f>
        <v>0.163014733660748</v>
      </c>
      <c r="V165" s="215">
        <f>IF(AND(ISNUMBER(V186),ISNUMBER(V179)),IFERROR(V186/V179,""),"")</f>
        <v>0.170693543191127</v>
      </c>
      <c r="W165" s="215">
        <f>IF(AND(ISNUMBER(W186),ISNUMBER(W179)),IFERROR(W186/W179,""),"")</f>
        <v>0.17858431018936</v>
      </c>
      <c r="X165" s="215">
        <f>IF(AND(ISNUMBER(X186),ISNUMBER(X179)),IFERROR(X186/X179,""),"")</f>
        <v>0.167909809788416</v>
      </c>
      <c r="Y165" s="215">
        <f>IF(AND(ISNUMBER(Y186),ISNUMBER(Y179)),IFERROR(Y186/Y179,""),"")</f>
        <v>0.163550713970264</v>
      </c>
      <c r="Z165" s="215">
        <f>IF(AND(ISNUMBER(Z186),ISNUMBER(Z179)),IFERROR(Z186/Z179,""),"")</f>
        <v>0.166414523449319</v>
      </c>
      <c r="AA165" s="215">
        <f>IF(AND(ISNUMBER(AA186),ISNUMBER(AA179)),IFERROR(AA186/AA179,""),"")</f>
        <v>0.165895475135161</v>
      </c>
      <c r="AB165" s="215">
        <f>IF(AND(ISNUMBER(AB186),ISNUMBER(AB179)),IFERROR(AB186/AB179,""),"")</f>
        <v>0.19394586203551</v>
      </c>
      <c r="AC165" s="215">
        <f>IF(AND(ISNUMBER(AC186),ISNUMBER(AC179)),IFERROR(AC186/AC179,""),"")</f>
        <v>0.172257383966245</v>
      </c>
      <c r="AD165" s="215">
        <f>IF(AND(ISNUMBER(AD186),ISNUMBER(AD179)),IFERROR(AD186/AD179,""),"")</f>
        <v>0.158069720823351</v>
      </c>
      <c r="AE165" s="215">
        <f>IF(AND(ISNUMBER(AE186),ISNUMBER(AE179)),IFERROR(AE186/AE179,""),"")</f>
        <v>0.168991282689913</v>
      </c>
      <c r="AF165" s="215">
        <f>IF(AND(ISNUMBER(AF186),ISNUMBER(AF179)),IFERROR(AF186/AF179,""),"")</f>
        <v>0.175599818922589</v>
      </c>
      <c r="AG165" s="215">
        <f>IF(AND(ISNUMBER(AG186),ISNUMBER(AG179)),IFERROR(AG186/AG179,""),"")</f>
        <v>0.186816485825792</v>
      </c>
      <c r="AH165" s="215">
        <f>IF(AND(ISNUMBER(AH186),ISNUMBER(AH179)),IFERROR(AH186/AH179,""),"")</f>
        <v>0.172751528627015</v>
      </c>
      <c r="AI165" s="215">
        <f>IF(AND(ISNUMBER(AI186),ISNUMBER(AI179)),IFERROR(AI186/AI179,""),"")</f>
        <v>0.155350884342652</v>
      </c>
      <c r="AJ165" s="215">
        <f>IF(AND(ISNUMBER(AJ186),ISNUMBER(AJ179)),IFERROR(AJ186/AJ179,""),"")</f>
        <v>0.157756414689813</v>
      </c>
      <c r="AK165" s="215">
        <f>IF(AND(ISNUMBER(AK186),ISNUMBER(AK179)),IFERROR(AK186/AK179,""),"")</f>
        <v>0.161639136433126</v>
      </c>
      <c r="AL165" s="215">
        <f>IF(AND(ISNUMBER(AL186),ISNUMBER(AL179)),IFERROR(AL186/AL179,""),"")</f>
        <v>0.158218381253116</v>
      </c>
      <c r="AM165" s="215">
        <f>IF(AND(ISNUMBER(AM186),ISNUMBER(AM179)),IFERROR(AM186/AM179,""),"")</f>
        <v>0.158291047480971</v>
      </c>
      <c r="AN165" s="215">
        <f>IF(AND(ISNUMBER(AN186),ISNUMBER(AN179)),IFERROR(AN186/AN179,""),"")</f>
        <v>0.140902214275891</v>
      </c>
      <c r="AO165" s="215">
        <f>IF(AND(ISNUMBER(AO186),ISNUMBER(AO179)),IFERROR(AO186/AO179,""),"")</f>
        <v>0.141295309660928</v>
      </c>
      <c r="AP165" s="215">
        <f>IF(AND(ISNUMBER(AP186),ISNUMBER(AP179)),IFERROR(AP186/AP179,""),"")</f>
        <v>0.14932452324098</v>
      </c>
      <c r="AQ165" s="215">
        <f>IF(AND(ISNUMBER(AQ186),ISNUMBER(AQ179)),IFERROR(AQ186/AQ179,""),"")</f>
        <v>0.147166117982027</v>
      </c>
      <c r="AR165" s="215">
        <f>IF(AND(ISNUMBER(AR186),ISNUMBER(AR179)),IFERROR(AR186/AR179,""),"")</f>
        <v>0.144727954673681</v>
      </c>
      <c r="AS165" s="215">
        <f>IF(AND(ISNUMBER(AS186),ISNUMBER(AS179)),IFERROR(AS186/AS179,""),"")</f>
        <v>0.131205566480109</v>
      </c>
      <c r="AT165" s="215">
        <f>IF(AND(ISNUMBER(AT186),ISNUMBER(AT179)),IFERROR(AT186/AT179,""),"")</f>
        <v>0.133663902888419</v>
      </c>
      <c r="AU165" s="215">
        <f>IF(AND(ISNUMBER(AU186),ISNUMBER(AU179)),IFERROR(AU186/AU179,""),"")</f>
        <v>0.14023014762571</v>
      </c>
      <c r="AV165" s="215">
        <f>IF(AND(ISNUMBER(AV186),ISNUMBER(AV179)),IFERROR(AV186/AV179,""),"")</f>
        <v>0.142428943286094</v>
      </c>
      <c r="AW165" s="215">
        <f>IF(AND(ISNUMBER(AW186),ISNUMBER(AW179)),IFERROR(AW186/AW179,""),"")</f>
        <v>0.137034576792644</v>
      </c>
      <c r="AX165" s="215">
        <f>IF(AND(ISNUMBER(AX186),ISNUMBER(AX179)),IFERROR(AX186/AX179,""),"")</f>
        <v>0.113877375248964</v>
      </c>
      <c r="AY165" s="215">
        <f>IF(AND(ISNUMBER(AY186),ISNUMBER(AY179)),IFERROR(AY186/AY179,""),"")</f>
        <v>0.114843532361408</v>
      </c>
      <c r="AZ165" s="215">
        <f>IF(AND(ISNUMBER(AZ186),ISNUMBER(AZ179)),IFERROR(AZ186/AZ179,""),"")</f>
        <v>0.121852970795569</v>
      </c>
      <c r="BA165" s="215">
        <f>IF(AND(ISNUMBER(BA186),ISNUMBER(BA179)),IFERROR(BA186/BA179,""),"")</f>
        <v>0.126906742936384</v>
      </c>
      <c r="BB165" s="215">
        <f>IF(AND(ISNUMBER(BB186),ISNUMBER(BB179)),IFERROR(BB186/BB179,""),"")</f>
        <v>0.119681357384227</v>
      </c>
      <c r="BC165" s="215">
        <f>IF(AND(ISNUMBER(BC186),ISNUMBER(BC179)),IFERROR(BC186/BC179,""),"")</f>
        <v>0.100337621643092</v>
      </c>
      <c r="BD165" s="215">
        <f>IF(AND(ISNUMBER(BD186),ISNUMBER(BD179)),IFERROR(BD186/BD179,""),"")</f>
        <v>0.103986235694401</v>
      </c>
      <c r="BE165" s="215">
        <f>IF(AND(ISNUMBER(BE186),ISNUMBER(BE179)),IFERROR(BE186/BE179,""),"")</f>
        <v>0.113350891410049</v>
      </c>
      <c r="BF165" s="215">
        <f>IF(AND(ISNUMBER(BF186),ISNUMBER(BF179)),IFERROR(BF186/BF179,""),"")</f>
        <v>0.121546322182589</v>
      </c>
      <c r="BG165" s="215">
        <f>IF(AND(ISNUMBER(BG186),ISNUMBER(BG179)),IFERROR(BG186/BG179,""),"")</f>
        <v>0.110077167498865</v>
      </c>
      <c r="BH165" s="215">
        <f>IF(AND(ISNUMBER(BH186),ISNUMBER(BH179)),IFERROR(BH186/BH179,""),"")</f>
        <v>0.102270460077411</v>
      </c>
      <c r="BI165" s="215">
        <f>IF(AND(ISNUMBER(BI186),ISNUMBER(BI179)),IFERROR(BI186/BI179,""),"")</f>
        <v>0.107664890894269</v>
      </c>
      <c r="BJ165" s="215">
        <f>IF(AND(ISNUMBER(BJ186),ISNUMBER(BJ179)),IFERROR(BJ186/BJ179,""),"")</f>
        <v>0.108784077794805</v>
      </c>
      <c r="BK165" s="215">
        <f>IF(AND(ISNUMBER(BK186),ISNUMBER(BK179)),IFERROR(BK186/BK179,""),"")</f>
        <v>0.110413070173877</v>
      </c>
      <c r="BL165" s="215">
        <f>IF(AND(ISNUMBER(BL186),ISNUMBER(BL179)),IFERROR(BL186/BL179,""),"")</f>
        <v>0.107396833636128</v>
      </c>
      <c r="BM165" s="215">
        <f>IF(AND(ISNUMBER(BM186),ISNUMBER(BM179)),IFERROR(BM186/BM179,""),"")</f>
        <v>0.091777695206752</v>
      </c>
      <c r="BN165" s="215">
        <f>IF(AND(ISNUMBER(BN186),ISNUMBER(BN179)),IFERROR(BN186/BN179,""),"")</f>
        <v>0.100709448564979</v>
      </c>
      <c r="BO165" s="215">
        <f>IF(AND(ISNUMBER(BO186),ISNUMBER(BO179)),IFERROR(BO186/BO179,""),"")</f>
        <v>0.100342720424197</v>
      </c>
      <c r="BP165" s="215">
        <f>IF(AND(ISNUMBER(BP186),ISNUMBER(BP179)),IFERROR(BP186/BP179,""),"")</f>
        <v>0.105303814482364</v>
      </c>
      <c r="BQ165" s="215">
        <f>IF(AND(ISNUMBER(BQ186),ISNUMBER(BQ179)),IFERROR(BQ186/BQ179,""),"")</f>
        <v>0.0997707264137858</v>
      </c>
      <c r="BR165" s="215">
        <f>IF(AND(ISNUMBER(BR186),ISNUMBER(BR179)),IFERROR(BR186/BR179,""),"")</f>
        <v>0.0871693222535641</v>
      </c>
      <c r="BS165" s="215">
        <f>IF(AND(ISNUMBER(BS186),ISNUMBER(BS179)),IFERROR(BS186/BS179,""),"")</f>
        <v>0.0924862132352941</v>
      </c>
      <c r="BT165" s="215">
        <f>IF(AND(ISNUMBER(BT186),ISNUMBER(BT179)),IFERROR(BT186/BT179,""),"")</f>
        <v>0.0886592641223989</v>
      </c>
      <c r="BU165" s="215">
        <f>IF(AND(ISNUMBER(BU186),ISNUMBER(BU179)),IFERROR(BU186/BU179,""),"")</f>
        <v>0.0953022592587747</v>
      </c>
      <c r="BV165" s="215">
        <f>IF(AND(ISNUMBER(BV186),ISNUMBER(BV179)),IFERROR(BV186/BV179,""),"")</f>
        <v>0.0910607544973094</v>
      </c>
      <c r="BW165" s="215">
        <f>IF(AND(ISNUMBER(BW186),ISNUMBER(BW179)),IFERROR(BW186/BW179,""),"")</f>
        <v>0.0736034400628275</v>
      </c>
      <c r="BX165" s="215">
        <f>IF(AND(ISNUMBER(BX186),ISNUMBER(BX179)),IFERROR(BX186/BX179,""),"")</f>
        <v>0.0810109138336225</v>
      </c>
      <c r="BY165" s="215">
        <f>IF(AND(ISNUMBER(BY186),ISNUMBER(BY179)),IFERROR(BY186/BY179,""),"")</f>
        <v>0.0822092995198224</v>
      </c>
      <c r="BZ165" s="215">
        <f>IF(AND(ISNUMBER(BZ186),ISNUMBER(BZ179)),IFERROR(BZ186/BZ179,""),"")</f>
        <v>0.084382325819103</v>
      </c>
      <c r="CA165" s="215">
        <f>IF(AND(ISNUMBER(CA186),ISNUMBER(CA179)),IFERROR(CA186/CA179,""),"")</f>
        <v>0.0804908404376821</v>
      </c>
      <c r="CB165" s="256">
        <f>IF(AND(ISNUMBER(CB186),ISNUMBER(CB179)),IFERROR(CB186/CB179,""),"")</f>
        <v>0.0680077468221171</v>
      </c>
      <c r="CC165" s="256">
        <f>IF(AND(ISNUMBER(CC186),ISNUMBER(CC179)),IFERROR(CC186/CC179,""),"")</f>
        <v>0.0746745637286752</v>
      </c>
      <c r="CD165" s="256">
        <f>IF(AND(ISNUMBER(CD186),ISNUMBER(CD179)),IFERROR(CD186/CD179,""),"")</f>
        <v>0.0751683146732448</v>
      </c>
      <c r="CE165" s="256">
        <f>IF(AND(ISNUMBER(CE186),ISNUMBER(CE179)),IFERROR(CE186/CE179,""),"")</f>
        <v>0.0767478367521273</v>
      </c>
      <c r="CF165" s="256">
        <f>IF(AND(ISNUMBER(CF186),ISNUMBER(CF179)),IFERROR(CF186/CF179,""),"")</f>
        <v>0.0738164345809034</v>
      </c>
      <c r="CG165" s="264" t="n">
        <v>0.075</v>
      </c>
      <c r="CH165" s="264" t="n">
        <v>0.075</v>
      </c>
      <c r="CI165" s="264" t="n">
        <v>0.075</v>
      </c>
      <c r="CJ165" s="264" t="n">
        <v>0.075</v>
      </c>
      <c r="CK165" s="153" t="n"/>
      <c r="CM165" s="37">
        <f>IFERROR(AVERAGE(CF165,CG165,CH165,CI165,CJ165),"n/m")</f>
        <v>0.0747632869161807</v>
      </c>
      <c r="CN165" s="37">
        <f>IFERROR(AVERAGE(BG165,BL165,BQ165,BV165,CA165),"n/m")</f>
        <v>0.0977592644967541</v>
      </c>
      <c r="CO165" s="37">
        <f>IFERROR(AVERAGE(AH165,AM165,AR165,AW165,BB165,BG165,BL165,BQ165,BV165,CA165),"n/m")</f>
        <v>0.122128278744231</v>
      </c>
      <c r="CP165" s="37">
        <f>IFERROR(AVERAGE(C165,D165,E165,F165,G165,H165,I165,N165,S165,X165,AC165,AH165,AM165,AR165,AW165,BB165,BG165,BL165,BQ165,BV165,CA165),"n/m")</f>
        <v>0.162880438010862</v>
      </c>
    </row>
    <row r="166" ht="15" customHeight="1" s="251">
      <c r="B166" s="25" t="inlineStr">
        <is>
          <t xml:space="preserve">  General &amp; administrative % of revenue</t>
        </is>
      </c>
      <c r="C166" s="215">
        <f>IF(AND(ISNUMBER(C187),ISNUMBER(C179)),IFERROR(C187/C179,""),"")</f>
        <v>0.0848651822410912</v>
      </c>
      <c r="D166" s="215">
        <f>IF(AND(ISNUMBER(D187),ISNUMBER(D179)),IFERROR(D187/D179,""),"")</f>
        <v>0.0651187355737256</v>
      </c>
      <c r="E166" s="215">
        <f>IF(AND(ISNUMBER(E187),ISNUMBER(E179)),IFERROR(E187/E179,""),"")</f>
        <v>0.0848560079443893</v>
      </c>
      <c r="F166" s="215">
        <f>IF(AND(ISNUMBER(F187),ISNUMBER(F179)),IFERROR(F187/F179,""),"")</f>
        <v>0.0633160497629926</v>
      </c>
      <c r="G166" s="215">
        <f>IF(AND(ISNUMBER(G187),ISNUMBER(G179)),IFERROR(G187/G179,""),"")</f>
        <v>0.0640804045835734</v>
      </c>
      <c r="H166" s="215">
        <f>IF(AND(ISNUMBER(H187),ISNUMBER(H179)),IFERROR(H187/H179,""),"")</f>
        <v>0.0603634388001659</v>
      </c>
      <c r="I166" s="215">
        <f>IF(AND(ISNUMBER(I187),ISNUMBER(I179)),IFERROR(I187/I179,""),"")</f>
        <v>0.0619752316102166</v>
      </c>
      <c r="J166" s="215">
        <f>IF(AND(ISNUMBER(J187),ISNUMBER(J179)),IFERROR(J187/J179,""),"")</f>
        <v>0.0704022988505747</v>
      </c>
      <c r="K166" s="215">
        <f>IF(AND(ISNUMBER(K187),ISNUMBER(K179)),IFERROR(K187/K179,""),"")</f>
        <v>0.0538777032065623</v>
      </c>
      <c r="L166" s="215">
        <f>IF(AND(ISNUMBER(L187),ISNUMBER(L179)),IFERROR(L187/L179,""),"")</f>
        <v>0.0808238567035971</v>
      </c>
      <c r="M166" s="215">
        <f>IF(AND(ISNUMBER(M187),ISNUMBER(M179)),IFERROR(M187/M179,""),"")</f>
        <v>0.0608162444712505</v>
      </c>
      <c r="N166" s="215">
        <f>IF(AND(ISNUMBER(N187),ISNUMBER(N179)),IFERROR(N187/N179,""),"")</f>
        <v>0.0661408624388239</v>
      </c>
      <c r="O166" s="215">
        <f>IF(AND(ISNUMBER(O187),ISNUMBER(O179)),IFERROR(O187/O179,""),"")</f>
        <v>0.0545091478223326</v>
      </c>
      <c r="P166" s="215">
        <f>IF(AND(ISNUMBER(P187),ISNUMBER(P179)),IFERROR(P187/P179,""),"")</f>
        <v>0.0503691015131123</v>
      </c>
      <c r="Q166" s="215">
        <f>IF(AND(ISNUMBER(Q187),ISNUMBER(Q179)),IFERROR(Q187/Q179,""),"")</f>
        <v>0.0589619173650934</v>
      </c>
      <c r="R166" s="215">
        <f>IF(AND(ISNUMBER(R187),ISNUMBER(R179)),IFERROR(R187/R179,""),"")</f>
        <v>0.0587203832007527</v>
      </c>
      <c r="S166" s="215">
        <f>IF(AND(ISNUMBER(S187),ISNUMBER(S179)),IFERROR(S187/S179,""),"")</f>
        <v>0.0555203666808702</v>
      </c>
      <c r="T166" s="215">
        <f>IF(AND(ISNUMBER(T187),ISNUMBER(T179)),IFERROR(T187/T179,""),"")</f>
        <v>0.0496099306064394</v>
      </c>
      <c r="U166" s="215">
        <f>IF(AND(ISNUMBER(U187),ISNUMBER(U179)),IFERROR(U187/U179,""),"")</f>
        <v>0.0414431431809596</v>
      </c>
      <c r="V166" s="215">
        <f>IF(AND(ISNUMBER(V187),ISNUMBER(V179)),IFERROR(V187/V179,""),"")</f>
        <v>0.0502093975792719</v>
      </c>
      <c r="W166" s="215">
        <f>IF(AND(ISNUMBER(W187),ISNUMBER(W179)),IFERROR(W187/W179,""),"")</f>
        <v>0.0573489630297565</v>
      </c>
      <c r="X166" s="215">
        <f>IF(AND(ISNUMBER(X187),ISNUMBER(X179)),IFERROR(X187/X179,""),"")</f>
        <v>0.0492733490061979</v>
      </c>
      <c r="Y166" s="215">
        <f>IF(AND(ISNUMBER(Y187),ISNUMBER(Y179)),IFERROR(Y187/Y179,""),"")</f>
        <v>0.0531920113842681</v>
      </c>
      <c r="Z166" s="215">
        <f>IF(AND(ISNUMBER(Z187),ISNUMBER(Z179)),IFERROR(Z187/Z179,""),"")</f>
        <v>0.0436207766011094</v>
      </c>
      <c r="AA166" s="215">
        <f>IF(AND(ISNUMBER(AA187),ISNUMBER(AA179)),IFERROR(AA187/AA179,""),"")</f>
        <v>0.0555257902683747</v>
      </c>
      <c r="AB166" s="215">
        <f>IF(AND(ISNUMBER(AB187),ISNUMBER(AB179)),IFERROR(AB187/AB179,""),"")</f>
        <v>0.0631124478509751</v>
      </c>
      <c r="AC166" s="215">
        <f>IF(AND(ISNUMBER(AC187),ISNUMBER(AC179)),IFERROR(AC187/AC179,""),"")</f>
        <v>0.0534810126582279</v>
      </c>
      <c r="AD166" s="215">
        <f>IF(AND(ISNUMBER(AD187),ISNUMBER(AD179)),IFERROR(AD187/AD179,""),"")</f>
        <v>0.0510927492299418</v>
      </c>
      <c r="AE166" s="215">
        <f>IF(AND(ISNUMBER(AE187),ISNUMBER(AE179)),IFERROR(AE187/AE179,""),"")</f>
        <v>0.0364881693648817</v>
      </c>
      <c r="AF166" s="215">
        <f>IF(AND(ISNUMBER(AF187),ISNUMBER(AF179)),IFERROR(AF187/AF179,""),"")</f>
        <v>0.0544137618832051</v>
      </c>
      <c r="AG166" s="215">
        <f>IF(AND(ISNUMBER(AG187),ISNUMBER(AG179)),IFERROR(AG187/AG179,""),"")</f>
        <v>0.058112107046361</v>
      </c>
      <c r="AH166" s="215">
        <f>IF(AND(ISNUMBER(AH187),ISNUMBER(AH179)),IFERROR(AH187/AH179,""),"")</f>
        <v>0.049816564758199</v>
      </c>
      <c r="AI166" s="215">
        <f>IF(AND(ISNUMBER(AI187),ISNUMBER(AI179)),IFERROR(AI187/AI179,""),"")</f>
        <v>0.047518135137338</v>
      </c>
      <c r="AJ166" s="215">
        <f>IF(AND(ISNUMBER(AJ187),ISNUMBER(AJ179)),IFERROR(AJ187/AJ179,""),"")</f>
        <v>0.0383498167231482</v>
      </c>
      <c r="AK166" s="215">
        <f>IF(AND(ISNUMBER(AK187),ISNUMBER(AK179)),IFERROR(AK187/AK179,""),"")</f>
        <v>0.0450426936127372</v>
      </c>
      <c r="AL166" s="215">
        <f>IF(AND(ISNUMBER(AL187),ISNUMBER(AL179)),IFERROR(AL187/AL179,""),"")</f>
        <v>0.0422469669270401</v>
      </c>
      <c r="AM166" s="215">
        <f>IF(AND(ISNUMBER(AM187),ISNUMBER(AM179)),IFERROR(AM187/AM179,""),"")</f>
        <v>0.0430772018847408</v>
      </c>
      <c r="AN166" s="215">
        <f>IF(AND(ISNUMBER(AN187),ISNUMBER(AN179)),IFERROR(AN187/AN179,""),"")</f>
        <v>0.0395062577362124</v>
      </c>
      <c r="AO166" s="215">
        <f>IF(AND(ISNUMBER(AO187),ISNUMBER(AO179)),IFERROR(AO187/AO179,""),"")</f>
        <v>0.0348618767515629</v>
      </c>
      <c r="AP166" s="215">
        <f>IF(AND(ISNUMBER(AP187),ISNUMBER(AP179)),IFERROR(AP187/AP179,""),"")</f>
        <v>0.0385659612050636</v>
      </c>
      <c r="AQ166" s="215">
        <f>IF(AND(ISNUMBER(AQ187),ISNUMBER(AQ179)),IFERROR(AQ187/AQ179,""),"")</f>
        <v>0.0422635465788771</v>
      </c>
      <c r="AR166" s="215">
        <f>IF(AND(ISNUMBER(AR187),ISNUMBER(AR179)),IFERROR(AR187/AR179,""),"")</f>
        <v>0.0388182099918152</v>
      </c>
      <c r="AS166" s="215">
        <f>IF(AND(ISNUMBER(AS187),ISNUMBER(AS179)),IFERROR(AS187/AS179,""),"")</f>
        <v>0.0320980184540917</v>
      </c>
      <c r="AT166" s="215">
        <f>IF(AND(ISNUMBER(AT187),ISNUMBER(AT179)),IFERROR(AT187/AT179,""),"")</f>
        <v>0.0303744648566629</v>
      </c>
      <c r="AU166" s="215">
        <f>IF(AND(ISNUMBER(AU187),ISNUMBER(AU179)),IFERROR(AU187/AU179,""),"")</f>
        <v>0.0363496188001485</v>
      </c>
      <c r="AV166" s="215">
        <f>IF(AND(ISNUMBER(AV187),ISNUMBER(AV179)),IFERROR(AV187/AV179,""),"")</f>
        <v>0.0435411353298451</v>
      </c>
      <c r="AW166" s="215">
        <f>IF(AND(ISNUMBER(AW187),ISNUMBER(AW179)),IFERROR(AW187/AW179,""),"")</f>
        <v>0.0357375100513932</v>
      </c>
      <c r="AX166" s="215">
        <f>IF(AND(ISNUMBER(AX187),ISNUMBER(AX179)),IFERROR(AX187/AX179,""),"")</f>
        <v>0.0301178877106099</v>
      </c>
      <c r="AY166" s="215">
        <f>IF(AND(ISNUMBER(AY187),ISNUMBER(AY179)),IFERROR(AY187/AY179,""),"")</f>
        <v>0.0264416380351008</v>
      </c>
      <c r="AZ166" s="215">
        <f>IF(AND(ISNUMBER(AZ187),ISNUMBER(AZ179)),IFERROR(AZ187/AZ179,""),"")</f>
        <v>0.031817963842133</v>
      </c>
      <c r="BA166" s="215">
        <f>IF(AND(ISNUMBER(BA187),ISNUMBER(BA179)),IFERROR(BA187/BA179,""),"")</f>
        <v>0.0329779857860981</v>
      </c>
      <c r="BB166" s="215">
        <f>IF(AND(ISNUMBER(BB187),ISNUMBER(BB179)),IFERROR(BB187/BB179,""),"")</f>
        <v>0.0303828946742183</v>
      </c>
      <c r="BC166" s="215">
        <f>IF(AND(ISNUMBER(BC187),ISNUMBER(BC179)),IFERROR(BC187/BC179,""),"")</f>
        <v>0.0283999382130326</v>
      </c>
      <c r="BD166" s="215">
        <f>IF(AND(ISNUMBER(BD187),ISNUMBER(BD179)),IFERROR(BD187/BD179,""),"")</f>
        <v>0.0267553356016084</v>
      </c>
      <c r="BE166" s="215">
        <f>IF(AND(ISNUMBER(BE187),ISNUMBER(BE179)),IFERROR(BE187/BE179,""),"")</f>
        <v>0.0299837925445705</v>
      </c>
      <c r="BF166" s="215">
        <f>IF(AND(ISNUMBER(BF187),ISNUMBER(BF179)),IFERROR(BF187/BF179,""),"")</f>
        <v>0.0337221633085896</v>
      </c>
      <c r="BG166" s="215">
        <f>IF(AND(ISNUMBER(BG187),ISNUMBER(BG179)),IFERROR(BG187/BG179,""),"")</f>
        <v>0.0297574015231755</v>
      </c>
      <c r="BH166" s="215">
        <f>IF(AND(ISNUMBER(BH187),ISNUMBER(BH179)),IFERROR(BH187/BH179,""),"")</f>
        <v>0.0278919436574758</v>
      </c>
      <c r="BI166" s="215">
        <f>IF(AND(ISNUMBER(BI187),ISNUMBER(BI179)),IFERROR(BI187/BI179,""),"")</f>
        <v>0.0443058372988037</v>
      </c>
      <c r="BJ166" s="215">
        <f>IF(AND(ISNUMBER(BJ187),ISNUMBER(BJ179)),IFERROR(BJ187/BJ179,""),"")</f>
        <v>0.0310838677942373</v>
      </c>
      <c r="BK166" s="215">
        <f>IF(AND(ISNUMBER(BK187),ISNUMBER(BK179)),IFERROR(BK187/BK179,""),"")</f>
        <v>0.039100179750485</v>
      </c>
      <c r="BL166" s="215">
        <f>IF(AND(ISNUMBER(BL187),ISNUMBER(BL179)),IFERROR(BL187/BL179,""),"")</f>
        <v>0.0357454639832008</v>
      </c>
      <c r="BM166" s="215">
        <f>IF(AND(ISNUMBER(BM187),ISNUMBER(BM179)),IFERROR(BM187/BM179,""),"")</f>
        <v>0.0260806483005114</v>
      </c>
      <c r="BN166" s="215">
        <f>IF(AND(ISNUMBER(BN187),ISNUMBER(BN179)),IFERROR(BN187/BN179,""),"")</f>
        <v>0.03187681393099</v>
      </c>
      <c r="BO166" s="215">
        <f>IF(AND(ISNUMBER(BO187),ISNUMBER(BO179)),IFERROR(BO187/BO179,""),"")</f>
        <v>0.0309095024087426</v>
      </c>
      <c r="BP166" s="215">
        <f>IF(AND(ISNUMBER(BP187),ISNUMBER(BP179)),IFERROR(BP187/BP179,""),"")</f>
        <v>0.0346995844083613</v>
      </c>
      <c r="BQ166" s="215">
        <f>IF(AND(ISNUMBER(BQ187),ISNUMBER(BQ179)),IFERROR(BQ187/BQ179,""),"")</f>
        <v>0.0310416853648387</v>
      </c>
      <c r="BR166" s="215">
        <f>IF(AND(ISNUMBER(BR187),ISNUMBER(BR179)),IFERROR(BR187/BR179,""),"")</f>
        <v>0.0255088816040253</v>
      </c>
      <c r="BS166" s="215">
        <f>IF(AND(ISNUMBER(BS187),ISNUMBER(BS179)),IFERROR(BS187/BS179,""),"")</f>
        <v>0.0261804917279412</v>
      </c>
      <c r="BT166" s="215">
        <f>IF(AND(ISNUMBER(BT187),ISNUMBER(BT179)),IFERROR(BT187/BT179,""),"")</f>
        <v>0.0247909114263694</v>
      </c>
      <c r="BU166" s="215">
        <f>IF(AND(ISNUMBER(BU187),ISNUMBER(BU179)),IFERROR(BU187/BU179,""),"")</f>
        <v>0.02603314974948</v>
      </c>
      <c r="BV166" s="215">
        <f>IF(AND(ISNUMBER(BV187),ISNUMBER(BV179)),IFERROR(BV187/BV179,""),"")</f>
        <v>0.0256385682440971</v>
      </c>
      <c r="BW166" s="215">
        <f>IF(AND(ISNUMBER(BW187),ISNUMBER(BW179)),IFERROR(BW187/BW179,""),"")</f>
        <v>0.0232513228535012</v>
      </c>
      <c r="BX166" s="215">
        <f>IF(AND(ISNUMBER(BX187),ISNUMBER(BX179)),IFERROR(BX187/BX179,""),"")</f>
        <v>0.0237717323096231</v>
      </c>
      <c r="BY166" s="215">
        <f>IF(AND(ISNUMBER(BY187),ISNUMBER(BY179)),IFERROR(BY187/BY179,""),"")</f>
        <v>0.0232970586106218</v>
      </c>
      <c r="BZ166" s="215">
        <f>IF(AND(ISNUMBER(BZ187),ISNUMBER(BZ179)),IFERROR(BZ187/BZ179,""),"")</f>
        <v>0.0254091348450676</v>
      </c>
      <c r="CA166" s="215">
        <f>IF(AND(ISNUMBER(CA187),ISNUMBER(CA179)),IFERROR(CA187/CA179,""),"")</f>
        <v>0.0239754820861924</v>
      </c>
      <c r="CB166" s="256">
        <f>IF(AND(ISNUMBER(CB187),ISNUMBER(CB179)),IFERROR(CB187/CB179,""),"")</f>
        <v>0.0214836436523952</v>
      </c>
      <c r="CC166" s="256">
        <f>IF(AND(ISNUMBER(CC187),ISNUMBER(CC179)),IFERROR(CC187/CC179,""),"")</f>
        <v>0.0219124023578069</v>
      </c>
      <c r="CD166" s="256">
        <f>IF(AND(ISNUMBER(CD187),ISNUMBER(CD179)),IFERROR(CD187/CD179,""),"")</f>
        <v>0.0213017340231928</v>
      </c>
      <c r="CE166" s="256">
        <f>IF(AND(ISNUMBER(CE187),ISNUMBER(CE179)),IFERROR(CE187/CE179,""),"")</f>
        <v>0.0231102439304957</v>
      </c>
      <c r="CF166" s="256">
        <f>IF(AND(ISNUMBER(CF187),ISNUMBER(CF179)),IFERROR(CF187/CF179,""),"")</f>
        <v>0.0219874037261575</v>
      </c>
      <c r="CG166" s="264" t="n">
        <v>0.022</v>
      </c>
      <c r="CH166" s="264" t="n">
        <v>0.022</v>
      </c>
      <c r="CI166" s="264" t="n">
        <v>0.022</v>
      </c>
      <c r="CJ166" s="264" t="n">
        <v>0.022</v>
      </c>
      <c r="CK166" s="153" t="inlineStr">
        <is>
          <t>2028E+ inputs; gross profit (cost of revenue) is the balancing line between segment operating income and operating expenses.</t>
        </is>
      </c>
      <c r="CM166" s="37">
        <f>IFERROR(AVERAGE(CF166,CG166,CH166,CI166,CJ166),"n/m")</f>
        <v>0.0219974807452315</v>
      </c>
      <c r="CN166" s="37">
        <f>IFERROR(AVERAGE(BG166,BL166,BQ166,BV166,CA166),"n/m")</f>
        <v>0.0292317202403009</v>
      </c>
      <c r="CO166" s="37">
        <f>IFERROR(AVERAGE(AH166,AM166,AR166,AW166,BB166,BG166,BL166,BQ166,BV166,CA166),"n/m")</f>
        <v>0.0343990982561871</v>
      </c>
      <c r="CP166" s="37">
        <f>IFERROR(AVERAGE(C166,D166,E166,F166,G166,H166,I166,N166,S166,X166,AC166,AH166,AM166,AR166,AW166,BB166,BG166,BL166,BQ166,BV166,CA166),"n/m")</f>
        <v>0.0501419820886736</v>
      </c>
    </row>
    <row r="167" ht="15" customHeight="1" s="251">
      <c r="B167" s="25" t="inlineStr">
        <is>
          <t xml:space="preserve">  Capital expenditures incl. finance leases (USDm; company capex metric = additions to PP&amp;E + finance-lease assets)</t>
        </is>
      </c>
      <c r="C167" s="211">
        <f>IF(ISNUMBER(C168),-C297+C168,"")</f>
      </c>
      <c r="D167" s="211">
        <f>IF(ISNUMBER(D168),-D297+D168,"")</f>
      </c>
      <c r="E167" s="211">
        <f>IF(ISNUMBER(E168),-E297+E168,"")</f>
      </c>
      <c r="F167" s="211">
        <f>IF(ISNUMBER(F168),-F297+F168,"")</f>
      </c>
      <c r="G167" s="211">
        <f>IF(ISNUMBER(G168),-G297+G168,"")</f>
      </c>
      <c r="H167" s="211">
        <f>IF(ISNUMBER(H168),-H297+H168,"")</f>
      </c>
      <c r="I167" s="211">
        <f>IF(ISNUMBER(I168),-I297+I168,"")</f>
      </c>
      <c r="J167" s="34" t="n"/>
      <c r="K167" s="34" t="n"/>
      <c r="L167" s="34" t="n"/>
      <c r="M167" s="34" t="n"/>
      <c r="N167" s="211">
        <f>IF(ISNUMBER(N168),-N297+N168,"")</f>
      </c>
      <c r="O167" s="34" t="n"/>
      <c r="P167" s="34" t="n"/>
      <c r="Q167" s="34" t="n"/>
      <c r="R167" s="34" t="n"/>
      <c r="S167" s="211">
        <f>IF(ISNUMBER(S168),-S297+S168,"")</f>
      </c>
      <c r="T167" s="34" t="n"/>
      <c r="U167" s="34" t="n"/>
      <c r="V167" s="34" t="n"/>
      <c r="W167" s="34" t="n"/>
      <c r="X167" s="211">
        <f>IF(ISNUMBER(X168),-X297+X168,"")</f>
      </c>
      <c r="Y167" s="34" t="n"/>
      <c r="Z167" s="34" t="n"/>
      <c r="AA167" s="34" t="n"/>
      <c r="AB167" s="34" t="n"/>
      <c r="AC167" s="211">
        <f>IF(ISNUMBER(AC168),-AC297+AC168,"")</f>
        <v>8756</v>
      </c>
      <c r="AD167" s="34" t="n"/>
      <c r="AE167" s="34" t="n"/>
      <c r="AF167" s="34" t="n"/>
      <c r="AG167" s="34" t="n"/>
      <c r="AH167" s="211">
        <f>IF(ISNUMBER(AH168),-AH297+AH168,"")</f>
        <v>9902</v>
      </c>
      <c r="AI167" s="34" t="n"/>
      <c r="AJ167" s="34" t="n"/>
      <c r="AK167" s="34" t="n"/>
      <c r="AL167" s="34" t="n"/>
      <c r="AM167" s="211">
        <f>IF(ISNUMBER(AM168),-AM297+AM168,"")</f>
        <v>13565</v>
      </c>
      <c r="AN167" s="34" t="n"/>
      <c r="AO167" s="34" t="n"/>
      <c r="AP167" s="34" t="n"/>
      <c r="AQ167" s="34" t="n"/>
      <c r="AR167" s="211">
        <f>IF(ISNUMBER(AR168),-AR297+AR168,"")</f>
        <v>16457</v>
      </c>
      <c r="AS167" s="34" t="n"/>
      <c r="AT167" s="34" t="n"/>
      <c r="AU167" s="34" t="n"/>
      <c r="AV167" s="34" t="n"/>
      <c r="AW167" s="211">
        <f>IF(ISNUMBER(AW168),-AW297+AW168,"")</f>
        <v>18908</v>
      </c>
      <c r="AX167" s="34" t="n"/>
      <c r="AY167" s="34" t="n"/>
      <c r="AZ167" s="34" t="n"/>
      <c r="BA167" s="34" t="n"/>
      <c r="BB167" s="211">
        <f>IF(ISNUMBER(BB168),-BB297+BB168,"")</f>
        <v>23912</v>
      </c>
      <c r="BC167" s="34" t="n"/>
      <c r="BD167" s="34" t="n"/>
      <c r="BE167" s="34" t="n"/>
      <c r="BF167" s="34" t="n"/>
      <c r="BG167" s="211">
        <f>IF(ISNUMBER(BG168),-BG297+BG168,"")</f>
        <v>28120</v>
      </c>
      <c r="BH167" s="34" t="n"/>
      <c r="BI167" s="34" t="n"/>
      <c r="BJ167" s="34" t="n"/>
      <c r="BK167" s="34" t="n"/>
      <c r="BL167" s="211">
        <f>IF(ISNUMBER(BL168),-BL297+BL168,"")</f>
        <v>31235</v>
      </c>
      <c r="BM167" s="34" t="n"/>
      <c r="BN167" s="34" t="n"/>
      <c r="BO167" s="34" t="n"/>
      <c r="BP167" s="34" t="n"/>
      <c r="BQ167" s="211">
        <f>IF(ISNUMBER(BQ168),-BQ297+BQ168,"")</f>
        <v>56110</v>
      </c>
      <c r="BR167" s="34" t="n"/>
      <c r="BS167" s="34" t="n"/>
      <c r="BT167" s="34" t="n"/>
      <c r="BU167" s="34" t="n"/>
      <c r="BV167" s="211">
        <f>IF(ISNUMBER(BV168),-BV297+BV168,"")</f>
        <v>85062</v>
      </c>
      <c r="BW167" s="34" t="n"/>
      <c r="BX167" s="34" t="n"/>
      <c r="BY167" s="34" t="n"/>
      <c r="BZ167" s="34" t="n"/>
      <c r="CA167" s="211">
        <f>IF(ISNUMBER(CA168),-CA297+CA168,"")</f>
        <v>140556</v>
      </c>
      <c r="CB167" s="35" t="n"/>
      <c r="CC167" s="35" t="n"/>
      <c r="CD167" s="35" t="n"/>
      <c r="CE167" s="35" t="n"/>
      <c r="CF167" s="262" t="n">
        <v>200000</v>
      </c>
      <c r="CG167" s="254">
        <f>CG179*CG170</f>
        <v>204933.047384203</v>
      </c>
      <c r="CH167" s="254">
        <f>CH179*CH170</f>
        <v>210748.852572248</v>
      </c>
      <c r="CI167" s="254">
        <f>CI179*CI170</f>
        <v>209774.926384078</v>
      </c>
      <c r="CJ167" s="254">
        <f>CJ179*CJ170</f>
        <v>214943.667463721</v>
      </c>
      <c r="CK167" s="19" t="inlineStr">
        <is>
          <t>Capital expenditures including finance leases (Microsoft's capex metric): FY2026 $140.6bn ($115.9bn cash + $24.6bn finance-lease assets), FY2025 $85.1bn. FY2027E $200bn = Q1 guidance "over $50 billion" × 4 (assumption). 2028E+: % of revenue.</t>
        </is>
      </c>
      <c r="CM167" s="20">
        <f>IFERROR((CJ167/CA167)^(1/5)-1,"n/m")</f>
        <v>0.0886669860212825</v>
      </c>
      <c r="CN167" s="20">
        <f>IFERROR((CA167/BB167)^(1/5)-1,"n/m")</f>
        <v>0.425104454131061</v>
      </c>
      <c r="CO167" s="20">
        <f>IFERROR((CA167/AC167)^(1/10)-1,"n/m")</f>
        <v>0.319940527450474</v>
      </c>
      <c r="CP167" s="20" t="str">
        <f>IFERROR((CA167/C167)^(1/20)-1,"n/m")</f>
        <v>n/m</v>
      </c>
    </row>
    <row r="168" ht="15" customHeight="1" s="251">
      <c r="B168" s="25" t="inlineStr">
        <is>
          <t xml:space="preserve">  of which: finance-lease right-of-use assets obtained (10-K, non-cash)</t>
        </is>
      </c>
      <c r="C168" s="34" t="n"/>
      <c r="D168" s="34" t="n"/>
      <c r="E168" s="34" t="n"/>
      <c r="F168" s="34" t="n"/>
      <c r="G168" s="34" t="n"/>
      <c r="H168" s="34" t="n"/>
      <c r="I168" s="34" t="n"/>
      <c r="J168" s="34" t="n"/>
      <c r="K168" s="34" t="n"/>
      <c r="L168" s="34" t="n"/>
      <c r="M168" s="34" t="n"/>
      <c r="N168" s="34" t="n"/>
      <c r="O168" s="34" t="n"/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  <c r="AA168" s="34" t="n"/>
      <c r="AB168" s="34" t="n"/>
      <c r="AC168" s="253" t="n">
        <v>413</v>
      </c>
      <c r="AD168" s="34" t="n"/>
      <c r="AE168" s="34" t="n"/>
      <c r="AF168" s="34" t="n"/>
      <c r="AG168" s="34" t="n"/>
      <c r="AH168" s="253" t="n">
        <v>1773</v>
      </c>
      <c r="AI168" s="34" t="n"/>
      <c r="AJ168" s="34" t="n"/>
      <c r="AK168" s="34" t="n"/>
      <c r="AL168" s="34" t="n"/>
      <c r="AM168" s="253" t="n">
        <v>1933</v>
      </c>
      <c r="AN168" s="34" t="n"/>
      <c r="AO168" s="34" t="n"/>
      <c r="AP168" s="34" t="n"/>
      <c r="AQ168" s="34" t="n"/>
      <c r="AR168" s="253" t="n">
        <v>2532</v>
      </c>
      <c r="AS168" s="34" t="n"/>
      <c r="AT168" s="34" t="n"/>
      <c r="AU168" s="34" t="n"/>
      <c r="AV168" s="34" t="n"/>
      <c r="AW168" s="253" t="n">
        <v>3467</v>
      </c>
      <c r="AX168" s="34" t="n"/>
      <c r="AY168" s="34" t="n"/>
      <c r="AZ168" s="34" t="n"/>
      <c r="BA168" s="34" t="n"/>
      <c r="BB168" s="253" t="n">
        <v>3290</v>
      </c>
      <c r="BC168" s="34" t="n"/>
      <c r="BD168" s="34" t="n"/>
      <c r="BE168" s="34" t="n"/>
      <c r="BF168" s="34" t="n"/>
      <c r="BG168" s="253" t="n">
        <v>4234</v>
      </c>
      <c r="BH168" s="34" t="n"/>
      <c r="BI168" s="34" t="n"/>
      <c r="BJ168" s="34" t="n"/>
      <c r="BK168" s="34" t="n"/>
      <c r="BL168" s="253" t="n">
        <v>3128</v>
      </c>
      <c r="BM168" s="34" t="n"/>
      <c r="BN168" s="34" t="n"/>
      <c r="BO168" s="34" t="n"/>
      <c r="BP168" s="34" t="n"/>
      <c r="BQ168" s="253" t="n">
        <v>11633</v>
      </c>
      <c r="BR168" s="34" t="n"/>
      <c r="BS168" s="34" t="n"/>
      <c r="BT168" s="34" t="n"/>
      <c r="BU168" s="34" t="n"/>
      <c r="BV168" s="253" t="n">
        <v>20511</v>
      </c>
      <c r="BW168" s="34" t="n"/>
      <c r="BX168" s="34" t="n"/>
      <c r="BY168" s="34" t="n"/>
      <c r="BZ168" s="34" t="n"/>
      <c r="CA168" s="253" t="n">
        <v>24608</v>
      </c>
      <c r="CB168" s="35" t="n"/>
      <c r="CC168" s="35" t="n"/>
      <c r="CD168" s="35" t="n"/>
      <c r="CE168" s="35" t="n"/>
      <c r="CF168" s="254">
        <f>CF167*CF169</f>
        <v>35000</v>
      </c>
      <c r="CG168" s="254">
        <f>CG167*CG169</f>
        <v>35863.2832922355</v>
      </c>
      <c r="CH168" s="254">
        <f>CH167*CH169</f>
        <v>36881.0492001434</v>
      </c>
      <c r="CI168" s="254">
        <f>CI167*CI169</f>
        <v>36710.6121172137</v>
      </c>
      <c r="CJ168" s="254">
        <f>CJ167*CJ169</f>
        <v>37615.1418061512</v>
      </c>
      <c r="CK168" s="19" t="n"/>
    </row>
    <row r="169" ht="15" customHeight="1" s="251">
      <c r="B169" s="25" t="inlineStr">
        <is>
          <t xml:space="preserve">  Finance-lease share of capital expenditures %</t>
        </is>
      </c>
      <c r="C169" s="215">
        <f>IF(ISNUMBER(C168),IFERROR(C168/C167,""),"")</f>
      </c>
      <c r="D169" s="215">
        <f>IF(ISNUMBER(D168),IFERROR(D168/D167,""),"")</f>
      </c>
      <c r="E169" s="215">
        <f>IF(ISNUMBER(E168),IFERROR(E168/E167,""),"")</f>
      </c>
      <c r="F169" s="215">
        <f>IF(ISNUMBER(F168),IFERROR(F168/F167,""),"")</f>
      </c>
      <c r="G169" s="215">
        <f>IF(ISNUMBER(G168),IFERROR(G168/G167,""),"")</f>
      </c>
      <c r="H169" s="215">
        <f>IF(ISNUMBER(H168),IFERROR(H168/H167,""),"")</f>
      </c>
      <c r="I169" s="215">
        <f>IF(ISNUMBER(I168),IFERROR(I168/I167,""),"")</f>
      </c>
      <c r="J169" s="36" t="n"/>
      <c r="K169" s="36" t="n"/>
      <c r="L169" s="36" t="n"/>
      <c r="M169" s="36" t="n"/>
      <c r="N169" s="215">
        <f>IF(ISNUMBER(N168),IFERROR(N168/N167,""),"")</f>
      </c>
      <c r="O169" s="36" t="n"/>
      <c r="P169" s="36" t="n"/>
      <c r="Q169" s="36" t="n"/>
      <c r="R169" s="36" t="n"/>
      <c r="S169" s="215">
        <f>IF(ISNUMBER(S168),IFERROR(S168/S167,""),"")</f>
      </c>
      <c r="T169" s="36" t="n"/>
      <c r="U169" s="36" t="n"/>
      <c r="V169" s="36" t="n"/>
      <c r="W169" s="36" t="n"/>
      <c r="X169" s="215">
        <f>IF(ISNUMBER(X168),IFERROR(X168/X167,""),"")</f>
      </c>
      <c r="Y169" s="36" t="n"/>
      <c r="Z169" s="36" t="n"/>
      <c r="AA169" s="36" t="n"/>
      <c r="AB169" s="36" t="n"/>
      <c r="AC169" s="215">
        <f>IF(ISNUMBER(AC168),IFERROR(AC168/AC167,""),"")</f>
        <v>0.0471676564641389</v>
      </c>
      <c r="AD169" s="36" t="n"/>
      <c r="AE169" s="36" t="n"/>
      <c r="AF169" s="36" t="n"/>
      <c r="AG169" s="36" t="n"/>
      <c r="AH169" s="215">
        <f>IF(ISNUMBER(AH168),IFERROR(AH168/AH167,""),"")</f>
        <v>0.179054736416886</v>
      </c>
      <c r="AI169" s="36" t="n"/>
      <c r="AJ169" s="36" t="n"/>
      <c r="AK169" s="36" t="n"/>
      <c r="AL169" s="36" t="n"/>
      <c r="AM169" s="215">
        <f>IF(ISNUMBER(AM168),IFERROR(AM168/AM167,""),"")</f>
        <v>0.142499078510874</v>
      </c>
      <c r="AN169" s="36" t="n"/>
      <c r="AO169" s="36" t="n"/>
      <c r="AP169" s="36" t="n"/>
      <c r="AQ169" s="36" t="n"/>
      <c r="AR169" s="215">
        <f>IF(ISNUMBER(AR168),IFERROR(AR168/AR167,""),"")</f>
        <v>0.153855502217901</v>
      </c>
      <c r="AS169" s="36" t="n"/>
      <c r="AT169" s="36" t="n"/>
      <c r="AU169" s="36" t="n"/>
      <c r="AV169" s="36" t="n"/>
      <c r="AW169" s="215">
        <f>IF(ISNUMBER(AW168),IFERROR(AW168/AW167,""),"")</f>
        <v>0.183361540088851</v>
      </c>
      <c r="AX169" s="36" t="n"/>
      <c r="AY169" s="36" t="n"/>
      <c r="AZ169" s="36" t="n"/>
      <c r="BA169" s="36" t="n"/>
      <c r="BB169" s="215">
        <f>IF(ISNUMBER(BB168),IFERROR(BB168/BB167,""),"")</f>
        <v>0.137587822014052</v>
      </c>
      <c r="BC169" s="36" t="n"/>
      <c r="BD169" s="36" t="n"/>
      <c r="BE169" s="36" t="n"/>
      <c r="BF169" s="36" t="n"/>
      <c r="BG169" s="215">
        <f>IF(ISNUMBER(BG168),IFERROR(BG168/BG167,""),"")</f>
        <v>0.150568990042674</v>
      </c>
      <c r="BH169" s="36" t="n"/>
      <c r="BI169" s="36" t="n"/>
      <c r="BJ169" s="36" t="n"/>
      <c r="BK169" s="36" t="n"/>
      <c r="BL169" s="215">
        <f>IF(ISNUMBER(BL168),IFERROR(BL168/BL167,""),"")</f>
        <v>0.100144069153194</v>
      </c>
      <c r="BM169" s="36" t="n"/>
      <c r="BN169" s="36" t="n"/>
      <c r="BO169" s="36" t="n"/>
      <c r="BP169" s="36" t="n"/>
      <c r="BQ169" s="215">
        <f>IF(ISNUMBER(BQ168),IFERROR(BQ168/BQ167,""),"")</f>
        <v>0.207324897522723</v>
      </c>
      <c r="BR169" s="36" t="n"/>
      <c r="BS169" s="36" t="n"/>
      <c r="BT169" s="36" t="n"/>
      <c r="BU169" s="36" t="n"/>
      <c r="BV169" s="215">
        <f>IF(ISNUMBER(BV168),IFERROR(BV168/BV167,""),"")</f>
        <v>0.241129999294632</v>
      </c>
      <c r="BW169" s="36" t="n"/>
      <c r="BX169" s="36" t="n"/>
      <c r="BY169" s="36" t="n"/>
      <c r="BZ169" s="36" t="n"/>
      <c r="CA169" s="215">
        <f>IF(ISNUMBER(CA168),IFERROR(CA168/CA167,""),"")</f>
        <v>0.175076126241498</v>
      </c>
      <c r="CB169" s="24" t="n"/>
      <c r="CC169" s="24" t="n"/>
      <c r="CD169" s="24" t="n"/>
      <c r="CE169" s="24" t="n"/>
      <c r="CF169" s="264" t="n">
        <v>0.175</v>
      </c>
      <c r="CG169" s="264" t="n">
        <v>0.175</v>
      </c>
      <c r="CH169" s="264" t="n">
        <v>0.175</v>
      </c>
      <c r="CI169" s="264" t="n">
        <v>0.175</v>
      </c>
      <c r="CJ169" s="264" t="n">
        <v>0.175</v>
      </c>
      <c r="CK169" s="153" t="inlineStr">
        <is>
          <t>FY26: $24.6bn of $140.6bn (17.5%); FY25 $20.5bn of $85.1bn (24%). Input (assumption).</t>
        </is>
      </c>
    </row>
    <row r="170" ht="15" customHeight="1" s="251">
      <c r="B170" s="25" t="inlineStr">
        <is>
          <t xml:space="preserve">  Capital expenditures incl. finance leases % of revenue</t>
        </is>
      </c>
      <c r="C170" s="215">
        <f>IF(AND(ISNUMBER(C167),ISNUMBER(C179)),IFERROR(C167/C179,""),"")</f>
      </c>
      <c r="D170" s="215">
        <f>IF(AND(ISNUMBER(D167),ISNUMBER(D179)),IFERROR(D167/D179,""),"")</f>
      </c>
      <c r="E170" s="215">
        <f>IF(AND(ISNUMBER(E167),ISNUMBER(E179)),IFERROR(E167/E179,""),"")</f>
      </c>
      <c r="F170" s="215">
        <f>IF(AND(ISNUMBER(F167),ISNUMBER(F179)),IFERROR(F167/F179,""),"")</f>
      </c>
      <c r="G170" s="215">
        <f>IF(AND(ISNUMBER(G167),ISNUMBER(G179)),IFERROR(G167/G179,""),"")</f>
      </c>
      <c r="H170" s="215">
        <f>IF(AND(ISNUMBER(H167),ISNUMBER(H179)),IFERROR(H167/H179,""),"")</f>
      </c>
      <c r="I170" s="215">
        <f>IF(AND(ISNUMBER(I167),ISNUMBER(I179)),IFERROR(I167/I179,""),"")</f>
      </c>
      <c r="J170" s="36" t="n"/>
      <c r="K170" s="36" t="n"/>
      <c r="L170" s="36" t="n"/>
      <c r="M170" s="36" t="n"/>
      <c r="N170" s="215">
        <f>IF(AND(ISNUMBER(N167),ISNUMBER(N179)),IFERROR(N167/N179,""),"")</f>
      </c>
      <c r="O170" s="36" t="n"/>
      <c r="P170" s="36" t="n"/>
      <c r="Q170" s="36" t="n"/>
      <c r="R170" s="36" t="n"/>
      <c r="S170" s="215">
        <f>IF(AND(ISNUMBER(S167),ISNUMBER(S179)),IFERROR(S167/S179,""),"")</f>
      </c>
      <c r="T170" s="36" t="n"/>
      <c r="U170" s="36" t="n"/>
      <c r="V170" s="36" t="n"/>
      <c r="W170" s="36" t="n"/>
      <c r="X170" s="215">
        <f>IF(AND(ISNUMBER(X167),ISNUMBER(X179)),IFERROR(X167/X179,""),"")</f>
      </c>
      <c r="Y170" s="36" t="n"/>
      <c r="Z170" s="36" t="n"/>
      <c r="AA170" s="36" t="n"/>
      <c r="AB170" s="36" t="n"/>
      <c r="AC170" s="215">
        <f>IF(AND(ISNUMBER(AC167),ISNUMBER(AC179)),IFERROR(AC167/AC179,""),"")</f>
        <v>0.102625410220347</v>
      </c>
      <c r="AD170" s="36" t="n"/>
      <c r="AE170" s="36" t="n"/>
      <c r="AF170" s="36" t="n"/>
      <c r="AG170" s="36" t="n"/>
      <c r="AH170" s="215">
        <f>IF(AND(ISNUMBER(AH167),ISNUMBER(AH179)),IFERROR(AH167/AH179,""),"")</f>
        <v>0.110083379655364</v>
      </c>
      <c r="AI170" s="36" t="n"/>
      <c r="AJ170" s="36" t="n"/>
      <c r="AK170" s="36" t="n"/>
      <c r="AL170" s="36" t="n"/>
      <c r="AM170" s="215">
        <f>IF(AND(ISNUMBER(AM167),ISNUMBER(AM179)),IFERROR(AM167/AM179,""),"")</f>
        <v>0.12291591156216</v>
      </c>
      <c r="AN170" s="36" t="n"/>
      <c r="AO170" s="36" t="n"/>
      <c r="AP170" s="36" t="n"/>
      <c r="AQ170" s="36" t="n"/>
      <c r="AR170" s="215">
        <f>IF(AND(ISNUMBER(AR167),ISNUMBER(AR179)),IFERROR(AR167/AR179,""),"")</f>
        <v>0.130774059741106</v>
      </c>
      <c r="AS170" s="36" t="n"/>
      <c r="AT170" s="36" t="n"/>
      <c r="AU170" s="36" t="n"/>
      <c r="AV170" s="36" t="n"/>
      <c r="AW170" s="215">
        <f>IF(AND(ISNUMBER(AW167),ISNUMBER(AW179)),IFERROR(AW167/AW179,""),"")</f>
        <v>0.132209908051603</v>
      </c>
      <c r="AX170" s="36" t="n"/>
      <c r="AY170" s="36" t="n"/>
      <c r="AZ170" s="36" t="n"/>
      <c r="BA170" s="36" t="n"/>
      <c r="BB170" s="215">
        <f>IF(AND(ISNUMBER(BB167),ISNUMBER(BB179)),IFERROR(BB167/BB179,""),"")</f>
        <v>0.142258816810242</v>
      </c>
      <c r="BC170" s="36" t="n"/>
      <c r="BD170" s="36" t="n"/>
      <c r="BE170" s="36" t="n"/>
      <c r="BF170" s="36" t="n"/>
      <c r="BG170" s="215">
        <f>IF(AND(ISNUMBER(BG167),ISNUMBER(BG179)),IFERROR(BG167/BG179,""),"")</f>
        <v>0.14182680183588</v>
      </c>
      <c r="BH170" s="36" t="n"/>
      <c r="BI170" s="36" t="n"/>
      <c r="BJ170" s="36" t="n"/>
      <c r="BK170" s="36" t="n"/>
      <c r="BL170" s="215">
        <f>IF(AND(ISNUMBER(BL167),ISNUMBER(BL179)),IFERROR(BL167/BL179,""),"")</f>
        <v>0.147394002312248</v>
      </c>
      <c r="BM170" s="36" t="n"/>
      <c r="BN170" s="36" t="n"/>
      <c r="BO170" s="36" t="n"/>
      <c r="BP170" s="36" t="n"/>
      <c r="BQ170" s="215">
        <f>IF(AND(ISNUMBER(BQ167),ISNUMBER(BQ179)),IFERROR(BQ167/BQ179,""),"")</f>
        <v>0.228906422108175</v>
      </c>
      <c r="BR170" s="36" t="n"/>
      <c r="BS170" s="36" t="n"/>
      <c r="BT170" s="36" t="n"/>
      <c r="BU170" s="36" t="n"/>
      <c r="BV170" s="215">
        <f>IF(AND(ISNUMBER(BV167),ISNUMBER(BV179)),IFERROR(BV167/BV179,""),"")</f>
        <v>0.301933807556332</v>
      </c>
      <c r="BW170" s="36" t="n"/>
      <c r="BX170" s="36" t="n"/>
      <c r="BY170" s="36" t="n"/>
      <c r="BZ170" s="36" t="n"/>
      <c r="CA170" s="215">
        <f>IF(AND(ISNUMBER(CA167),ISNUMBER(CA179)),IFERROR(CA167/CA179,""),"")</f>
        <v>0.423566850189399</v>
      </c>
      <c r="CB170" s="24" t="n"/>
      <c r="CC170" s="24" t="n"/>
      <c r="CD170" s="24" t="n"/>
      <c r="CE170" s="24" t="n"/>
      <c r="CF170" s="256">
        <f>IF(AND(ISNUMBER(CF167),ISNUMBER(CF179)),IFERROR(CF167/CF179,""),"")</f>
        <v>0.513985121409834</v>
      </c>
      <c r="CG170" s="264" t="n">
        <v>0.45</v>
      </c>
      <c r="CH170" s="264" t="n">
        <v>0.4</v>
      </c>
      <c r="CI170" s="264" t="n">
        <v>0.35</v>
      </c>
      <c r="CJ170" s="264" t="n">
        <v>0.32</v>
      </c>
      <c r="CK170" s="153" t="inlineStr">
        <is>
          <t>2028E+ input (assumption): capex intensity normalises from the FY27E AI build-out peak.</t>
        </is>
      </c>
      <c r="CM170" s="37">
        <f>IFERROR(AVERAGE(CF170,CG170,CH170,CI170,CJ170),"n/m")</f>
        <v>0.406797024281967</v>
      </c>
      <c r="CN170" s="37">
        <f>IFERROR(AVERAGE(BG170,BL170,BQ170,BV170,CA170),"n/m")</f>
        <v>0.248725576800407</v>
      </c>
      <c r="CO170" s="37">
        <f>IFERROR(AVERAGE(AH170,AM170,AR170,AW170,BB170,BG170,BL170,BQ170,BV170,CA170),"n/m")</f>
        <v>0.188186995982251</v>
      </c>
      <c r="CP170" s="37">
        <f>IFERROR(AVERAGE(C170,D170,E170,F170,G170,H170,I170,N170,S170,X170,AC170,AH170,AM170,AR170,AW170,BB170,BG170,BL170,BQ170,BV170,CA170),"n/m")</f>
        <v>0.180408670003896</v>
      </c>
    </row>
    <row r="171" ht="15" customHeight="1" s="251">
      <c r="B171" s="25" t="inlineStr">
        <is>
          <t xml:space="preserve">  Adjusting items (company non-GAAP; forecast inputs nil — not forecastable):</t>
        </is>
      </c>
      <c r="CK171" s="153" t="n"/>
    </row>
    <row r="172" ht="15" customHeight="1" s="251">
      <c r="B172" s="25" t="inlineStr">
        <is>
          <t xml:space="preserve">  Revenue deferrals / recognition (Windows upgrade offers, Windows 10; FY2012–FY2017)</t>
        </is>
      </c>
      <c r="C172" s="253" t="n">
        <v>0</v>
      </c>
      <c r="D172" s="253" t="n">
        <v>0</v>
      </c>
      <c r="E172" s="253" t="n">
        <v>0</v>
      </c>
      <c r="F172" s="253" t="n">
        <v>0</v>
      </c>
      <c r="G172" s="253" t="n">
        <v>0</v>
      </c>
      <c r="H172" s="253" t="n">
        <v>0</v>
      </c>
      <c r="I172" s="253" t="n">
        <v>540</v>
      </c>
      <c r="J172" s="253" t="n">
        <v>1356</v>
      </c>
      <c r="K172" s="253" t="n">
        <v>546</v>
      </c>
      <c r="L172" s="253" t="n">
        <v>-1658</v>
      </c>
      <c r="M172" s="253" t="n">
        <v>-782</v>
      </c>
      <c r="N172" s="253" t="n">
        <v>-540</v>
      </c>
      <c r="O172" s="253" t="n">
        <v>113</v>
      </c>
      <c r="P172" s="253" t="n">
        <v>0</v>
      </c>
      <c r="Q172" s="253" t="n">
        <v>0</v>
      </c>
      <c r="R172" s="253" t="n">
        <v>0</v>
      </c>
      <c r="S172" s="253" t="n">
        <v>0</v>
      </c>
      <c r="T172" s="253" t="n">
        <v>0</v>
      </c>
      <c r="U172" s="253" t="n">
        <v>-326</v>
      </c>
      <c r="V172" s="253" t="n">
        <v>0</v>
      </c>
      <c r="W172" s="253" t="n">
        <v>0</v>
      </c>
      <c r="X172" s="253" t="n">
        <v>0</v>
      </c>
      <c r="Y172" s="253" t="n">
        <v>1281</v>
      </c>
      <c r="Z172" s="253" t="n">
        <v>1897</v>
      </c>
      <c r="AA172" s="253" t="n">
        <v>1545</v>
      </c>
      <c r="AB172" s="253" t="n">
        <v>2028</v>
      </c>
      <c r="AC172" s="253" t="n">
        <v>6643</v>
      </c>
      <c r="AD172" s="253" t="n">
        <v>1881</v>
      </c>
      <c r="AE172" s="253" t="n">
        <v>1976</v>
      </c>
      <c r="AF172" s="253" t="n">
        <v>1467</v>
      </c>
      <c r="AG172" s="253" t="n">
        <v>1383</v>
      </c>
      <c r="AH172" s="253" t="n">
        <v>6707</v>
      </c>
      <c r="AI172" s="253" t="n">
        <v>0</v>
      </c>
      <c r="AJ172" s="253" t="n">
        <v>0</v>
      </c>
      <c r="AK172" s="253" t="n">
        <v>0</v>
      </c>
      <c r="AL172" s="253" t="n">
        <v>0</v>
      </c>
      <c r="AM172" s="253" t="n">
        <v>0</v>
      </c>
      <c r="AN172" s="253" t="n">
        <v>0</v>
      </c>
      <c r="AO172" s="253" t="n">
        <v>0</v>
      </c>
      <c r="AP172" s="253" t="n">
        <v>0</v>
      </c>
      <c r="AQ172" s="253" t="n">
        <v>0</v>
      </c>
      <c r="AR172" s="253" t="n">
        <v>0</v>
      </c>
      <c r="AS172" s="253" t="n">
        <v>0</v>
      </c>
      <c r="AT172" s="253" t="n">
        <v>0</v>
      </c>
      <c r="AU172" s="253" t="n">
        <v>0</v>
      </c>
      <c r="AV172" s="253" t="n">
        <v>0</v>
      </c>
      <c r="AW172" s="253" t="n">
        <v>0</v>
      </c>
      <c r="AX172" s="253" t="n">
        <v>0</v>
      </c>
      <c r="AY172" s="253" t="n">
        <v>0</v>
      </c>
      <c r="AZ172" s="253" t="n">
        <v>0</v>
      </c>
      <c r="BA172" s="253" t="n">
        <v>0</v>
      </c>
      <c r="BB172" s="253" t="n">
        <v>0</v>
      </c>
      <c r="BC172" s="253" t="n">
        <v>0</v>
      </c>
      <c r="BD172" s="253" t="n">
        <v>0</v>
      </c>
      <c r="BE172" s="253" t="n">
        <v>0</v>
      </c>
      <c r="BF172" s="253" t="n">
        <v>0</v>
      </c>
      <c r="BG172" s="253" t="n">
        <v>0</v>
      </c>
      <c r="BH172" s="253" t="n">
        <v>0</v>
      </c>
      <c r="BI172" s="253" t="n">
        <v>0</v>
      </c>
      <c r="BJ172" s="253" t="n">
        <v>0</v>
      </c>
      <c r="BK172" s="253" t="n">
        <v>0</v>
      </c>
      <c r="BL172" s="253" t="n">
        <v>0</v>
      </c>
      <c r="BM172" s="253" t="n">
        <v>0</v>
      </c>
      <c r="BN172" s="253" t="n">
        <v>0</v>
      </c>
      <c r="BO172" s="253" t="n">
        <v>0</v>
      </c>
      <c r="BP172" s="253" t="n">
        <v>0</v>
      </c>
      <c r="BQ172" s="253" t="n">
        <v>0</v>
      </c>
      <c r="BR172" s="253" t="n">
        <v>0</v>
      </c>
      <c r="BS172" s="253" t="n">
        <v>0</v>
      </c>
      <c r="BT172" s="253" t="n">
        <v>0</v>
      </c>
      <c r="BU172" s="253" t="n">
        <v>0</v>
      </c>
      <c r="BV172" s="253" t="n">
        <v>0</v>
      </c>
      <c r="BW172" s="253" t="n">
        <v>0</v>
      </c>
      <c r="BX172" s="253" t="n">
        <v>0</v>
      </c>
      <c r="BY172" s="253" t="n">
        <v>0</v>
      </c>
      <c r="BZ172" s="253" t="n">
        <v>0</v>
      </c>
      <c r="CA172" s="253" t="n">
        <v>0</v>
      </c>
      <c r="CB172" s="254">
        <f>0</f>
        <v>0</v>
      </c>
      <c r="CC172" s="254">
        <f>0</f>
        <v>0</v>
      </c>
      <c r="CD172" s="254">
        <f>0</f>
        <v>0</v>
      </c>
      <c r="CE172" s="254">
        <f>0</f>
        <v>0</v>
      </c>
      <c r="CF172" s="254">
        <f>SUM(CB172:CE172)</f>
        <v>0</v>
      </c>
      <c r="CG172" s="254">
        <f>0</f>
        <v>0</v>
      </c>
      <c r="CH172" s="254">
        <f>0</f>
        <v>0</v>
      </c>
      <c r="CI172" s="254">
        <f>0</f>
        <v>0</v>
      </c>
      <c r="CJ172" s="254">
        <f>0</f>
        <v>0</v>
      </c>
      <c r="CK172" s="19" t="n"/>
    </row>
    <row r="173" ht="15" customHeight="1" s="251">
      <c r="B173" s="25" t="inlineStr">
        <is>
          <t xml:space="preserve">  Impairment, integration, restructuring &amp; severance (FY2012–FY2023)</t>
        </is>
      </c>
      <c r="C173" s="253" t="n">
        <v>0</v>
      </c>
      <c r="D173" s="253" t="n">
        <v>0</v>
      </c>
      <c r="E173" s="253" t="n">
        <v>0</v>
      </c>
      <c r="F173" s="253" t="n">
        <v>0</v>
      </c>
      <c r="G173" s="253" t="n">
        <v>0</v>
      </c>
      <c r="H173" s="253" t="n">
        <v>0</v>
      </c>
      <c r="I173" s="253" t="n">
        <v>6193</v>
      </c>
      <c r="J173" s="253" t="n">
        <v>0</v>
      </c>
      <c r="K173" s="253" t="n">
        <v>0</v>
      </c>
      <c r="L173" s="253" t="n">
        <v>0</v>
      </c>
      <c r="M173" s="253" t="n">
        <v>0</v>
      </c>
      <c r="N173" s="253" t="n">
        <v>0</v>
      </c>
      <c r="O173" s="253" t="n">
        <v>0</v>
      </c>
      <c r="P173" s="253" t="n">
        <v>0</v>
      </c>
      <c r="Q173" s="253" t="n">
        <v>0</v>
      </c>
      <c r="R173" s="253" t="n">
        <v>0</v>
      </c>
      <c r="S173" s="253" t="n">
        <v>0</v>
      </c>
      <c r="T173" s="253" t="n">
        <v>1140</v>
      </c>
      <c r="U173" s="253" t="n">
        <v>243</v>
      </c>
      <c r="V173" s="253" t="n">
        <v>190</v>
      </c>
      <c r="W173" s="253" t="n">
        <v>8438</v>
      </c>
      <c r="X173" s="253" t="n">
        <v>10011</v>
      </c>
      <c r="Y173" s="253" t="n">
        <v>0</v>
      </c>
      <c r="Z173" s="253" t="n">
        <v>0</v>
      </c>
      <c r="AA173" s="253" t="n">
        <v>0</v>
      </c>
      <c r="AB173" s="253" t="n">
        <v>1110</v>
      </c>
      <c r="AC173" s="253" t="n">
        <v>1110</v>
      </c>
      <c r="AD173" s="253" t="n">
        <v>0</v>
      </c>
      <c r="AE173" s="253" t="n">
        <v>0</v>
      </c>
      <c r="AF173" s="253" t="n">
        <v>0</v>
      </c>
      <c r="AG173" s="253" t="n">
        <v>306</v>
      </c>
      <c r="AH173" s="253" t="n">
        <v>306</v>
      </c>
      <c r="AI173" s="253" t="n">
        <v>0</v>
      </c>
      <c r="AJ173" s="253" t="n">
        <v>0</v>
      </c>
      <c r="AK173" s="253" t="n">
        <v>0</v>
      </c>
      <c r="AL173" s="253" t="n">
        <v>0</v>
      </c>
      <c r="AM173" s="253" t="n">
        <v>0</v>
      </c>
      <c r="AN173" s="253" t="n">
        <v>0</v>
      </c>
      <c r="AO173" s="253" t="n">
        <v>0</v>
      </c>
      <c r="AP173" s="253" t="n">
        <v>0</v>
      </c>
      <c r="AQ173" s="253" t="n">
        <v>0</v>
      </c>
      <c r="AR173" s="253" t="n">
        <v>0</v>
      </c>
      <c r="AS173" s="253" t="n">
        <v>0</v>
      </c>
      <c r="AT173" s="253" t="n">
        <v>0</v>
      </c>
      <c r="AU173" s="253" t="n">
        <v>0</v>
      </c>
      <c r="AV173" s="253" t="n">
        <v>0</v>
      </c>
      <c r="AW173" s="253" t="n">
        <v>0</v>
      </c>
      <c r="AX173" s="253" t="n">
        <v>0</v>
      </c>
      <c r="AY173" s="253" t="n">
        <v>0</v>
      </c>
      <c r="AZ173" s="253" t="n">
        <v>0</v>
      </c>
      <c r="BA173" s="253" t="n">
        <v>0</v>
      </c>
      <c r="BB173" s="253" t="n">
        <v>0</v>
      </c>
      <c r="BC173" s="253" t="n">
        <v>0</v>
      </c>
      <c r="BD173" s="253" t="n">
        <v>0</v>
      </c>
      <c r="BE173" s="253" t="n">
        <v>0</v>
      </c>
      <c r="BF173" s="253" t="n">
        <v>0</v>
      </c>
      <c r="BG173" s="253" t="n">
        <v>0</v>
      </c>
      <c r="BH173" s="253" t="n">
        <v>0</v>
      </c>
      <c r="BI173" s="253" t="n">
        <v>1171</v>
      </c>
      <c r="BJ173" s="253" t="n">
        <v>0</v>
      </c>
      <c r="BK173" s="253" t="n">
        <v>0</v>
      </c>
      <c r="BL173" s="253" t="n">
        <v>1171</v>
      </c>
      <c r="BM173" s="253" t="n">
        <v>0</v>
      </c>
      <c r="BN173" s="253" t="n">
        <v>0</v>
      </c>
      <c r="BO173" s="253" t="n">
        <v>0</v>
      </c>
      <c r="BP173" s="253" t="n">
        <v>0</v>
      </c>
      <c r="BQ173" s="253" t="n">
        <v>0</v>
      </c>
      <c r="BR173" s="253" t="n">
        <v>0</v>
      </c>
      <c r="BS173" s="253" t="n">
        <v>0</v>
      </c>
      <c r="BT173" s="253" t="n">
        <v>0</v>
      </c>
      <c r="BU173" s="253" t="n">
        <v>0</v>
      </c>
      <c r="BV173" s="253" t="n">
        <v>0</v>
      </c>
      <c r="BW173" s="253" t="n">
        <v>0</v>
      </c>
      <c r="BX173" s="253" t="n">
        <v>0</v>
      </c>
      <c r="BY173" s="253" t="n">
        <v>0</v>
      </c>
      <c r="BZ173" s="253" t="n">
        <v>0</v>
      </c>
      <c r="CA173" s="253" t="n">
        <v>0</v>
      </c>
      <c r="CB173" s="254">
        <f>0</f>
        <v>0</v>
      </c>
      <c r="CC173" s="254">
        <f>0</f>
        <v>0</v>
      </c>
      <c r="CD173" s="254">
        <f>0</f>
        <v>0</v>
      </c>
      <c r="CE173" s="254">
        <f>0</f>
        <v>0</v>
      </c>
      <c r="CF173" s="254">
        <f>SUM(CB173:CE173)</f>
        <v>0</v>
      </c>
      <c r="CG173" s="254">
        <f>0</f>
        <v>0</v>
      </c>
      <c r="CH173" s="254">
        <f>0</f>
        <v>0</v>
      </c>
      <c r="CI173" s="254">
        <f>0</f>
        <v>0</v>
      </c>
      <c r="CJ173" s="254">
        <f>0</f>
        <v>0</v>
      </c>
      <c r="CK173" s="19" t="n"/>
    </row>
    <row r="174" ht="15" customHeight="1" s="251">
      <c r="B174" s="25" t="inlineStr">
        <is>
          <t xml:space="preserve">  European Commission fine (Q3 FY13)</t>
        </is>
      </c>
      <c r="C174" s="253" t="n">
        <v>0</v>
      </c>
      <c r="D174" s="253" t="n">
        <v>0</v>
      </c>
      <c r="E174" s="253" t="n">
        <v>0</v>
      </c>
      <c r="F174" s="253" t="n">
        <v>0</v>
      </c>
      <c r="G174" s="253" t="n">
        <v>0</v>
      </c>
      <c r="H174" s="253" t="n">
        <v>0</v>
      </c>
      <c r="I174" s="253" t="n">
        <v>0</v>
      </c>
      <c r="J174" s="253" t="n">
        <v>0</v>
      </c>
      <c r="K174" s="253" t="n">
        <v>0</v>
      </c>
      <c r="L174" s="253" t="n">
        <v>733</v>
      </c>
      <c r="M174" s="253" t="n">
        <v>0</v>
      </c>
      <c r="N174" s="253" t="n">
        <v>733</v>
      </c>
      <c r="O174" s="253" t="n">
        <v>0</v>
      </c>
      <c r="P174" s="253" t="n">
        <v>0</v>
      </c>
      <c r="Q174" s="253" t="n">
        <v>0</v>
      </c>
      <c r="R174" s="253" t="n">
        <v>0</v>
      </c>
      <c r="S174" s="253" t="n">
        <v>0</v>
      </c>
      <c r="T174" s="253" t="n">
        <v>0</v>
      </c>
      <c r="U174" s="253" t="n">
        <v>0</v>
      </c>
      <c r="V174" s="253" t="n">
        <v>0</v>
      </c>
      <c r="W174" s="253" t="n">
        <v>0</v>
      </c>
      <c r="X174" s="253" t="n">
        <v>0</v>
      </c>
      <c r="Y174" s="253" t="n">
        <v>0</v>
      </c>
      <c r="Z174" s="253" t="n">
        <v>0</v>
      </c>
      <c r="AA174" s="253" t="n">
        <v>0</v>
      </c>
      <c r="AB174" s="253" t="n">
        <v>0</v>
      </c>
      <c r="AC174" s="253" t="n">
        <v>0</v>
      </c>
      <c r="AD174" s="253" t="n">
        <v>0</v>
      </c>
      <c r="AE174" s="253" t="n">
        <v>0</v>
      </c>
      <c r="AF174" s="253" t="n">
        <v>0</v>
      </c>
      <c r="AG174" s="253" t="n">
        <v>0</v>
      </c>
      <c r="AH174" s="253" t="n">
        <v>0</v>
      </c>
      <c r="AI174" s="253" t="n">
        <v>0</v>
      </c>
      <c r="AJ174" s="253" t="n">
        <v>0</v>
      </c>
      <c r="AK174" s="253" t="n">
        <v>0</v>
      </c>
      <c r="AL174" s="253" t="n">
        <v>0</v>
      </c>
      <c r="AM174" s="253" t="n">
        <v>0</v>
      </c>
      <c r="AN174" s="253" t="n">
        <v>0</v>
      </c>
      <c r="AO174" s="253" t="n">
        <v>0</v>
      </c>
      <c r="AP174" s="253" t="n">
        <v>0</v>
      </c>
      <c r="AQ174" s="253" t="n">
        <v>0</v>
      </c>
      <c r="AR174" s="253" t="n">
        <v>0</v>
      </c>
      <c r="AS174" s="253" t="n">
        <v>0</v>
      </c>
      <c r="AT174" s="253" t="n">
        <v>0</v>
      </c>
      <c r="AU174" s="253" t="n">
        <v>0</v>
      </c>
      <c r="AV174" s="253" t="n">
        <v>0</v>
      </c>
      <c r="AW174" s="253" t="n">
        <v>0</v>
      </c>
      <c r="AX174" s="253" t="n">
        <v>0</v>
      </c>
      <c r="AY174" s="253" t="n">
        <v>0</v>
      </c>
      <c r="AZ174" s="253" t="n">
        <v>0</v>
      </c>
      <c r="BA174" s="253" t="n">
        <v>0</v>
      </c>
      <c r="BB174" s="253" t="n">
        <v>0</v>
      </c>
      <c r="BC174" s="253" t="n">
        <v>0</v>
      </c>
      <c r="BD174" s="253" t="n">
        <v>0</v>
      </c>
      <c r="BE174" s="253" t="n">
        <v>0</v>
      </c>
      <c r="BF174" s="253" t="n">
        <v>0</v>
      </c>
      <c r="BG174" s="253" t="n">
        <v>0</v>
      </c>
      <c r="BH174" s="253" t="n">
        <v>0</v>
      </c>
      <c r="BI174" s="253" t="n">
        <v>0</v>
      </c>
      <c r="BJ174" s="253" t="n">
        <v>0</v>
      </c>
      <c r="BK174" s="253" t="n">
        <v>0</v>
      </c>
      <c r="BL174" s="253" t="n">
        <v>0</v>
      </c>
      <c r="BM174" s="253" t="n">
        <v>0</v>
      </c>
      <c r="BN174" s="253" t="n">
        <v>0</v>
      </c>
      <c r="BO174" s="253" t="n">
        <v>0</v>
      </c>
      <c r="BP174" s="253" t="n">
        <v>0</v>
      </c>
      <c r="BQ174" s="253" t="n">
        <v>0</v>
      </c>
      <c r="BR174" s="253" t="n">
        <v>0</v>
      </c>
      <c r="BS174" s="253" t="n">
        <v>0</v>
      </c>
      <c r="BT174" s="253" t="n">
        <v>0</v>
      </c>
      <c r="BU174" s="253" t="n">
        <v>0</v>
      </c>
      <c r="BV174" s="253" t="n">
        <v>0</v>
      </c>
      <c r="BW174" s="253" t="n">
        <v>0</v>
      </c>
      <c r="BX174" s="253" t="n">
        <v>0</v>
      </c>
      <c r="BY174" s="253" t="n">
        <v>0</v>
      </c>
      <c r="BZ174" s="253" t="n">
        <v>0</v>
      </c>
      <c r="CA174" s="253" t="n">
        <v>0</v>
      </c>
      <c r="CB174" s="254">
        <f>0</f>
        <v>0</v>
      </c>
      <c r="CC174" s="254">
        <f>0</f>
        <v>0</v>
      </c>
      <c r="CD174" s="254">
        <f>0</f>
        <v>0</v>
      </c>
      <c r="CE174" s="254">
        <f>0</f>
        <v>0</v>
      </c>
      <c r="CF174" s="254">
        <f>SUM(CB174:CE174)</f>
        <v>0</v>
      </c>
      <c r="CG174" s="254">
        <f>0</f>
        <v>0</v>
      </c>
      <c r="CH174" s="254">
        <f>0</f>
        <v>0</v>
      </c>
      <c r="CI174" s="254">
        <f>0</f>
        <v>0</v>
      </c>
      <c r="CJ174" s="254">
        <f>0</f>
        <v>0</v>
      </c>
      <c r="CK174" s="19" t="n"/>
    </row>
    <row r="175" ht="15" customHeight="1" s="251">
      <c r="B175" s="25" t="inlineStr">
        <is>
          <t xml:space="preserve">  Discrete tax items, after tax (TCJA; intangible-property transfers; India withholding-tax decision)</t>
        </is>
      </c>
      <c r="C175" s="253" t="n">
        <v>0</v>
      </c>
      <c r="D175" s="253" t="n">
        <v>0</v>
      </c>
      <c r="E175" s="253" t="n">
        <v>0</v>
      </c>
      <c r="F175" s="253" t="n">
        <v>0</v>
      </c>
      <c r="G175" s="253" t="n">
        <v>0</v>
      </c>
      <c r="H175" s="253" t="n">
        <v>0</v>
      </c>
      <c r="I175" s="253" t="n">
        <v>0</v>
      </c>
      <c r="J175" s="253" t="n">
        <v>0</v>
      </c>
      <c r="K175" s="253" t="n">
        <v>0</v>
      </c>
      <c r="L175" s="253" t="n">
        <v>0</v>
      </c>
      <c r="M175" s="253" t="n">
        <v>0</v>
      </c>
      <c r="N175" s="253" t="n">
        <v>0</v>
      </c>
      <c r="O175" s="253" t="n">
        <v>0</v>
      </c>
      <c r="P175" s="253" t="n">
        <v>0</v>
      </c>
      <c r="Q175" s="253" t="n">
        <v>0</v>
      </c>
      <c r="R175" s="253" t="n">
        <v>0</v>
      </c>
      <c r="S175" s="253" t="n">
        <v>0</v>
      </c>
      <c r="T175" s="253" t="n">
        <v>0</v>
      </c>
      <c r="U175" s="253" t="n">
        <v>0</v>
      </c>
      <c r="V175" s="253" t="n">
        <v>0</v>
      </c>
      <c r="W175" s="253" t="n">
        <v>0</v>
      </c>
      <c r="X175" s="253" t="n">
        <v>0</v>
      </c>
      <c r="Y175" s="253" t="n">
        <v>0</v>
      </c>
      <c r="Z175" s="253" t="n">
        <v>0</v>
      </c>
      <c r="AA175" s="253" t="n">
        <v>0</v>
      </c>
      <c r="AB175" s="253" t="n">
        <v>0</v>
      </c>
      <c r="AC175" s="253" t="n">
        <v>0</v>
      </c>
      <c r="AD175" s="253" t="n">
        <v>0</v>
      </c>
      <c r="AE175" s="253" t="n">
        <v>0</v>
      </c>
      <c r="AF175" s="253" t="n">
        <v>0</v>
      </c>
      <c r="AG175" s="253" t="n">
        <v>0</v>
      </c>
      <c r="AH175" s="253" t="n">
        <v>0</v>
      </c>
      <c r="AI175" s="253" t="n">
        <v>0</v>
      </c>
      <c r="AJ175" s="253" t="n">
        <v>13800</v>
      </c>
      <c r="AK175" s="253" t="n">
        <v>0</v>
      </c>
      <c r="AL175" s="253" t="n">
        <v>-104</v>
      </c>
      <c r="AM175" s="253" t="n">
        <v>13696</v>
      </c>
      <c r="AN175" s="253" t="n">
        <v>0</v>
      </c>
      <c r="AO175" s="253" t="n">
        <v>157</v>
      </c>
      <c r="AP175" s="253" t="n">
        <v>0</v>
      </c>
      <c r="AQ175" s="253" t="n">
        <v>-2567</v>
      </c>
      <c r="AR175" s="253" t="n">
        <v>-2410</v>
      </c>
      <c r="AS175" s="253" t="n">
        <v>0</v>
      </c>
      <c r="AT175" s="253" t="n">
        <v>0</v>
      </c>
      <c r="AU175" s="253" t="n">
        <v>0</v>
      </c>
      <c r="AV175" s="253" t="n">
        <v>0</v>
      </c>
      <c r="AW175" s="253" t="n">
        <v>0</v>
      </c>
      <c r="AX175" s="253" t="n">
        <v>0</v>
      </c>
      <c r="AY175" s="253" t="n">
        <v>0</v>
      </c>
      <c r="AZ175" s="253" t="n">
        <v>-620</v>
      </c>
      <c r="BA175" s="253" t="n">
        <v>0</v>
      </c>
      <c r="BB175" s="253" t="n">
        <v>-620</v>
      </c>
      <c r="BC175" s="253" t="n">
        <v>-3291</v>
      </c>
      <c r="BD175" s="253" t="n">
        <v>0</v>
      </c>
      <c r="BE175" s="253" t="n">
        <v>0</v>
      </c>
      <c r="BF175" s="253" t="n">
        <v>0</v>
      </c>
      <c r="BG175" s="253" t="n">
        <v>-3291</v>
      </c>
      <c r="BH175" s="253" t="n">
        <v>0</v>
      </c>
      <c r="BI175" s="253" t="n">
        <v>0</v>
      </c>
      <c r="BJ175" s="253" t="n">
        <v>0</v>
      </c>
      <c r="BK175" s="253" t="n">
        <v>0</v>
      </c>
      <c r="BL175" s="253" t="n">
        <v>0</v>
      </c>
      <c r="BM175" s="253" t="n">
        <v>0</v>
      </c>
      <c r="BN175" s="253" t="n">
        <v>0</v>
      </c>
      <c r="BO175" s="253" t="n">
        <v>0</v>
      </c>
      <c r="BP175" s="253" t="n">
        <v>0</v>
      </c>
      <c r="BQ175" s="253" t="n">
        <v>0</v>
      </c>
      <c r="BR175" s="253" t="n">
        <v>0</v>
      </c>
      <c r="BS175" s="253" t="n">
        <v>0</v>
      </c>
      <c r="BT175" s="253" t="n">
        <v>0</v>
      </c>
      <c r="BU175" s="253" t="n">
        <v>0</v>
      </c>
      <c r="BV175" s="253" t="n">
        <v>0</v>
      </c>
      <c r="BW175" s="253" t="n">
        <v>0</v>
      </c>
      <c r="BX175" s="253" t="n">
        <v>0</v>
      </c>
      <c r="BY175" s="253" t="n">
        <v>0</v>
      </c>
      <c r="BZ175" s="253" t="n">
        <v>0</v>
      </c>
      <c r="CA175" s="253" t="n">
        <v>0</v>
      </c>
      <c r="CB175" s="254">
        <f>0</f>
        <v>0</v>
      </c>
      <c r="CC175" s="254">
        <f>0</f>
        <v>0</v>
      </c>
      <c r="CD175" s="254">
        <f>0</f>
        <v>0</v>
      </c>
      <c r="CE175" s="254">
        <f>0</f>
        <v>0</v>
      </c>
      <c r="CF175" s="254">
        <f>SUM(CB175:CE175)</f>
        <v>0</v>
      </c>
      <c r="CG175" s="254">
        <f>0</f>
        <v>0</v>
      </c>
      <c r="CH175" s="254">
        <f>0</f>
        <v>0</v>
      </c>
      <c r="CI175" s="254">
        <f>0</f>
        <v>0</v>
      </c>
      <c r="CJ175" s="254">
        <f>0</f>
        <v>0</v>
      </c>
      <c r="CK175" s="19" t="n"/>
    </row>
    <row r="176" ht="15" customHeight="1" s="251">
      <c r="B176" s="25" t="inlineStr">
        <is>
          <t xml:space="preserve">  Impact from investments in OpenAI, after tax (other income; FY2025 re-presented, FY2026)</t>
        </is>
      </c>
      <c r="C176" s="253" t="n">
        <v>0</v>
      </c>
      <c r="D176" s="253" t="n">
        <v>0</v>
      </c>
      <c r="E176" s="253" t="n">
        <v>0</v>
      </c>
      <c r="F176" s="253" t="n">
        <v>0</v>
      </c>
      <c r="G176" s="253" t="n">
        <v>0</v>
      </c>
      <c r="H176" s="253" t="n">
        <v>0</v>
      </c>
      <c r="I176" s="253" t="n">
        <v>0</v>
      </c>
      <c r="J176" s="253" t="n">
        <v>0</v>
      </c>
      <c r="K176" s="253" t="n">
        <v>0</v>
      </c>
      <c r="L176" s="253" t="n">
        <v>0</v>
      </c>
      <c r="M176" s="253" t="n">
        <v>0</v>
      </c>
      <c r="N176" s="253" t="n">
        <v>0</v>
      </c>
      <c r="O176" s="253" t="n">
        <v>0</v>
      </c>
      <c r="P176" s="253" t="n">
        <v>0</v>
      </c>
      <c r="Q176" s="253" t="n">
        <v>0</v>
      </c>
      <c r="R176" s="253" t="n">
        <v>0</v>
      </c>
      <c r="S176" s="253" t="n">
        <v>0</v>
      </c>
      <c r="T176" s="253" t="n">
        <v>0</v>
      </c>
      <c r="U176" s="253" t="n">
        <v>0</v>
      </c>
      <c r="V176" s="253" t="n">
        <v>0</v>
      </c>
      <c r="W176" s="253" t="n">
        <v>0</v>
      </c>
      <c r="X176" s="253" t="n">
        <v>0</v>
      </c>
      <c r="Y176" s="253" t="n">
        <v>0</v>
      </c>
      <c r="Z176" s="253" t="n">
        <v>0</v>
      </c>
      <c r="AA176" s="253" t="n">
        <v>0</v>
      </c>
      <c r="AB176" s="253" t="n">
        <v>0</v>
      </c>
      <c r="AC176" s="253" t="n">
        <v>0</v>
      </c>
      <c r="AD176" s="253" t="n">
        <v>0</v>
      </c>
      <c r="AE176" s="253" t="n">
        <v>0</v>
      </c>
      <c r="AF176" s="253" t="n">
        <v>0</v>
      </c>
      <c r="AG176" s="253" t="n">
        <v>0</v>
      </c>
      <c r="AH176" s="253" t="n">
        <v>0</v>
      </c>
      <c r="AI176" s="253" t="n">
        <v>0</v>
      </c>
      <c r="AJ176" s="253" t="n">
        <v>0</v>
      </c>
      <c r="AK176" s="253" t="n">
        <v>0</v>
      </c>
      <c r="AL176" s="253" t="n">
        <v>0</v>
      </c>
      <c r="AM176" s="253" t="n">
        <v>0</v>
      </c>
      <c r="AN176" s="253" t="n">
        <v>0</v>
      </c>
      <c r="AO176" s="253" t="n">
        <v>0</v>
      </c>
      <c r="AP176" s="253" t="n">
        <v>0</v>
      </c>
      <c r="AQ176" s="253" t="n">
        <v>0</v>
      </c>
      <c r="AR176" s="253" t="n">
        <v>0</v>
      </c>
      <c r="AS176" s="253" t="n">
        <v>0</v>
      </c>
      <c r="AT176" s="253" t="n">
        <v>0</v>
      </c>
      <c r="AU176" s="253" t="n">
        <v>0</v>
      </c>
      <c r="AV176" s="253" t="n">
        <v>0</v>
      </c>
      <c r="AW176" s="253" t="n">
        <v>0</v>
      </c>
      <c r="AX176" s="253" t="n">
        <v>0</v>
      </c>
      <c r="AY176" s="253" t="n">
        <v>0</v>
      </c>
      <c r="AZ176" s="253" t="n">
        <v>0</v>
      </c>
      <c r="BA176" s="253" t="n">
        <v>0</v>
      </c>
      <c r="BB176" s="253" t="n">
        <v>0</v>
      </c>
      <c r="BC176" s="253" t="n">
        <v>0</v>
      </c>
      <c r="BD176" s="253" t="n">
        <v>0</v>
      </c>
      <c r="BE176" s="253" t="n">
        <v>0</v>
      </c>
      <c r="BF176" s="253" t="n">
        <v>0</v>
      </c>
      <c r="BG176" s="253" t="n">
        <v>0</v>
      </c>
      <c r="BH176" s="253" t="n">
        <v>0</v>
      </c>
      <c r="BI176" s="253" t="n">
        <v>0</v>
      </c>
      <c r="BJ176" s="253" t="n">
        <v>0</v>
      </c>
      <c r="BK176" s="253" t="n">
        <v>0</v>
      </c>
      <c r="BL176" s="253" t="n">
        <v>0</v>
      </c>
      <c r="BM176" s="253" t="n">
        <v>0</v>
      </c>
      <c r="BN176" s="253" t="n">
        <v>0</v>
      </c>
      <c r="BO176" s="253" t="n">
        <v>0</v>
      </c>
      <c r="BP176" s="253" t="n">
        <v>0</v>
      </c>
      <c r="BQ176" s="253" t="n">
        <v>0</v>
      </c>
      <c r="BR176" s="253" t="n">
        <v>523</v>
      </c>
      <c r="BS176" s="253" t="n">
        <v>939</v>
      </c>
      <c r="BT176" s="253" t="n">
        <v>583</v>
      </c>
      <c r="BU176" s="253" t="n">
        <v>1575</v>
      </c>
      <c r="BV176" s="253" t="n">
        <v>3620</v>
      </c>
      <c r="BW176" s="253" t="n">
        <v>3086</v>
      </c>
      <c r="BX176" s="253" t="n">
        <v>-7583</v>
      </c>
      <c r="BY176" s="253" t="n">
        <v>14</v>
      </c>
      <c r="BZ176" s="253" t="n">
        <v>-480</v>
      </c>
      <c r="CA176" s="253" t="n">
        <v>-4963</v>
      </c>
      <c r="CB176" s="254">
        <f>0</f>
        <v>0</v>
      </c>
      <c r="CC176" s="254">
        <f>0</f>
        <v>0</v>
      </c>
      <c r="CD176" s="254">
        <f>0</f>
        <v>0</v>
      </c>
      <c r="CE176" s="254">
        <f>0</f>
        <v>0</v>
      </c>
      <c r="CF176" s="254">
        <f>SUM(CB176:CE176)</f>
        <v>0</v>
      </c>
      <c r="CG176" s="254">
        <f>0</f>
        <v>0</v>
      </c>
      <c r="CH176" s="254">
        <f>0</f>
        <v>0</v>
      </c>
      <c r="CI176" s="254">
        <f>0</f>
        <v>0</v>
      </c>
      <c r="CJ176" s="254">
        <f>0</f>
        <v>0</v>
      </c>
      <c r="CK176" s="19" t="inlineStr">
        <is>
          <t>Not forecast (equity-method results / remeasurement gains of the OpenAI stake depend on OpenAI's results and capital events). Forecast other income excludes them (as guided).</t>
        </is>
      </c>
    </row>
    <row r="177" ht="15" customHeight="1" s="251">
      <c r="CS177" s="11" t="n"/>
      <c r="CT177" s="12" t="n"/>
      <c r="CU177" s="12" t="n"/>
      <c r="CV177" s="12" t="n"/>
      <c r="CW177" s="13" t="n"/>
    </row>
    <row r="178" ht="15" customHeight="1" s="251">
      <c r="B178" s="10" t="inlineStr">
        <is>
          <t>INCOME STATEMENTS (US GAAP)</t>
        </is>
      </c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n"/>
      <c r="AN178" s="10" t="n"/>
      <c r="AO178" s="10" t="n"/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0" t="n"/>
      <c r="BC178" s="10" t="n"/>
      <c r="BD178" s="10" t="n"/>
      <c r="BE178" s="10" t="n"/>
      <c r="BF178" s="10" t="n"/>
      <c r="BG178" s="10" t="n"/>
      <c r="BH178" s="10" t="n"/>
      <c r="BI178" s="10" t="n"/>
      <c r="BJ178" s="10" t="n"/>
      <c r="BK178" s="10" t="n"/>
      <c r="BL178" s="10" t="n"/>
      <c r="BM178" s="10" t="n"/>
      <c r="BN178" s="10" t="n"/>
      <c r="BO178" s="10" t="n"/>
      <c r="BP178" s="10" t="n"/>
      <c r="BQ178" s="10" t="n"/>
      <c r="BR178" s="10" t="n"/>
      <c r="BS178" s="10" t="n"/>
      <c r="BT178" s="10" t="n"/>
      <c r="BU178" s="10" t="n"/>
      <c r="BV178" s="10" t="n"/>
      <c r="BW178" s="10" t="n"/>
      <c r="BX178" s="10" t="n"/>
      <c r="BY178" s="10" t="n"/>
      <c r="BZ178" s="10" t="n"/>
      <c r="CA178" s="10" t="n"/>
      <c r="CB178" s="10" t="n"/>
      <c r="CC178" s="10" t="n"/>
      <c r="CD178" s="10" t="n"/>
      <c r="CE178" s="10" t="n"/>
      <c r="CF178" s="10" t="n"/>
      <c r="CG178" s="10" t="n"/>
      <c r="CH178" s="10" t="n"/>
      <c r="CI178" s="10" t="n"/>
      <c r="CJ178" s="10" t="n"/>
      <c r="CK178" s="10" t="inlineStr">
        <is>
          <t>CONSOLIDATED IS — forecast logic (operating income = segment build; cost of revenue implied)</t>
        </is>
      </c>
    </row>
    <row r="179" ht="15" customHeight="1" s="251">
      <c r="B179" s="55" t="inlineStr">
        <is>
          <t>Total revenue</t>
        </is>
      </c>
      <c r="C179" s="271" t="n">
        <v>44282</v>
      </c>
      <c r="D179" s="271" t="n">
        <v>51122</v>
      </c>
      <c r="E179" s="271" t="n">
        <v>60420</v>
      </c>
      <c r="F179" s="271" t="n">
        <v>58437</v>
      </c>
      <c r="G179" s="271" t="n">
        <v>62484</v>
      </c>
      <c r="H179" s="271" t="n">
        <v>69943</v>
      </c>
      <c r="I179" s="271" t="n">
        <v>73723</v>
      </c>
      <c r="J179" s="271" t="n">
        <v>16008</v>
      </c>
      <c r="K179" s="271" t="n">
        <v>21456</v>
      </c>
      <c r="L179" s="271" t="n">
        <v>20489</v>
      </c>
      <c r="M179" s="271" t="n">
        <v>19896</v>
      </c>
      <c r="N179" s="271" t="n">
        <v>77849</v>
      </c>
      <c r="O179" s="271" t="n">
        <v>18529</v>
      </c>
      <c r="P179" s="271" t="n">
        <v>24519</v>
      </c>
      <c r="Q179" s="271" t="n">
        <v>20403</v>
      </c>
      <c r="R179" s="271" t="n">
        <v>23382</v>
      </c>
      <c r="S179" s="271" t="n">
        <v>86833</v>
      </c>
      <c r="T179" s="271" t="n">
        <v>23201</v>
      </c>
      <c r="U179" s="271" t="n">
        <v>26470</v>
      </c>
      <c r="V179" s="271" t="n">
        <v>21729</v>
      </c>
      <c r="W179" s="271" t="n">
        <v>22180</v>
      </c>
      <c r="X179" s="271" t="n">
        <v>93580</v>
      </c>
      <c r="Y179" s="271" t="n">
        <v>20379</v>
      </c>
      <c r="Z179" s="271" t="n">
        <v>23796</v>
      </c>
      <c r="AA179" s="271" t="n">
        <v>20531</v>
      </c>
      <c r="AB179" s="271" t="n">
        <v>20614</v>
      </c>
      <c r="AC179" s="271" t="n">
        <v>85320</v>
      </c>
      <c r="AD179" s="271" t="n">
        <v>20453</v>
      </c>
      <c r="AE179" s="271" t="n">
        <v>24090</v>
      </c>
      <c r="AF179" s="271" t="n">
        <v>22090</v>
      </c>
      <c r="AG179" s="271" t="n">
        <v>23317</v>
      </c>
      <c r="AH179" s="271" t="n">
        <v>89950</v>
      </c>
      <c r="AI179" s="271" t="n">
        <v>24538</v>
      </c>
      <c r="AJ179" s="271" t="n">
        <v>28918</v>
      </c>
      <c r="AK179" s="271" t="n">
        <v>26819</v>
      </c>
      <c r="AL179" s="271" t="n">
        <v>30085</v>
      </c>
      <c r="AM179" s="271" t="n">
        <v>110360</v>
      </c>
      <c r="AN179" s="271" t="n">
        <v>29084</v>
      </c>
      <c r="AO179" s="271" t="n">
        <v>32471</v>
      </c>
      <c r="AP179" s="271" t="n">
        <v>30571</v>
      </c>
      <c r="AQ179" s="271" t="n">
        <v>33717</v>
      </c>
      <c r="AR179" s="271" t="n">
        <v>125843</v>
      </c>
      <c r="AS179" s="271" t="n">
        <v>33055</v>
      </c>
      <c r="AT179" s="271" t="n">
        <v>36906</v>
      </c>
      <c r="AU179" s="271" t="n">
        <v>35021</v>
      </c>
      <c r="AV179" s="271" t="n">
        <v>38033</v>
      </c>
      <c r="AW179" s="271" t="n">
        <v>143015</v>
      </c>
      <c r="AX179" s="271" t="n">
        <v>37154</v>
      </c>
      <c r="AY179" s="271" t="n">
        <v>43076</v>
      </c>
      <c r="AZ179" s="271" t="n">
        <v>41706</v>
      </c>
      <c r="BA179" s="271" t="n">
        <v>46152</v>
      </c>
      <c r="BB179" s="271" t="n">
        <v>168088</v>
      </c>
      <c r="BC179" s="271" t="n">
        <v>45317</v>
      </c>
      <c r="BD179" s="271" t="n">
        <v>51728</v>
      </c>
      <c r="BE179" s="271" t="n">
        <v>49360</v>
      </c>
      <c r="BF179" s="271" t="n">
        <v>51865</v>
      </c>
      <c r="BG179" s="271" t="n">
        <v>198270</v>
      </c>
      <c r="BH179" s="271" t="n">
        <v>50122</v>
      </c>
      <c r="BI179" s="271" t="n">
        <v>52747</v>
      </c>
      <c r="BJ179" s="271" t="n">
        <v>52857</v>
      </c>
      <c r="BK179" s="271" t="n">
        <v>56189</v>
      </c>
      <c r="BL179" s="271" t="n">
        <v>211915</v>
      </c>
      <c r="BM179" s="271" t="n">
        <v>56517</v>
      </c>
      <c r="BN179" s="271" t="n">
        <v>62020</v>
      </c>
      <c r="BO179" s="271" t="n">
        <v>61858</v>
      </c>
      <c r="BP179" s="271" t="n">
        <v>64727</v>
      </c>
      <c r="BQ179" s="271" t="n">
        <v>245122</v>
      </c>
      <c r="BR179" s="271" t="n">
        <v>65585</v>
      </c>
      <c r="BS179" s="271" t="n">
        <v>69632</v>
      </c>
      <c r="BT179" s="271" t="n">
        <v>70066</v>
      </c>
      <c r="BU179" s="271" t="n">
        <v>76441</v>
      </c>
      <c r="BV179" s="271" t="n">
        <v>281724</v>
      </c>
      <c r="BW179" s="271" t="n">
        <v>77673</v>
      </c>
      <c r="BX179" s="271" t="n">
        <v>81273</v>
      </c>
      <c r="BY179" s="271" t="n">
        <v>82886</v>
      </c>
      <c r="BZ179" s="271" t="n">
        <v>90007</v>
      </c>
      <c r="CA179" s="271" t="n">
        <v>331839</v>
      </c>
      <c r="CB179" s="267">
        <f>CB130</f>
        <v>90400</v>
      </c>
      <c r="CC179" s="267">
        <f>CC130</f>
        <v>94814.7169419038</v>
      </c>
      <c r="CD179" s="267">
        <f>CD130</f>
        <v>97482.3389052992</v>
      </c>
      <c r="CE179" s="267">
        <f>CE130</f>
        <v>106419.266141672</v>
      </c>
      <c r="CF179" s="267">
        <f>SUM(CB179:CE179)</f>
        <v>389116.321988875</v>
      </c>
      <c r="CG179" s="267">
        <f>CG130</f>
        <v>455406.771964896</v>
      </c>
      <c r="CH179" s="267">
        <f>CH130</f>
        <v>526872.13143062</v>
      </c>
      <c r="CI179" s="267">
        <f>CI130</f>
        <v>599356.932525938</v>
      </c>
      <c r="CJ179" s="267">
        <f>CJ130</f>
        <v>671698.960824128</v>
      </c>
      <c r="CK179" s="153" t="inlineStr">
        <is>
          <t>Forecast linked to the segment build.</t>
        </is>
      </c>
      <c r="CM179" s="20">
        <f>IFERROR((CJ179/CA179)^(1/5)-1,"n/m")</f>
        <v>0.151461575606386</v>
      </c>
      <c r="CN179" s="20">
        <f>IFERROR((CA179/BB179)^(1/5)-1,"n/m")</f>
        <v>0.145719073809531</v>
      </c>
      <c r="CO179" s="20">
        <f>IFERROR((CA179/AC179)^(1/10)-1,"n/m")</f>
        <v>0.145480387927091</v>
      </c>
      <c r="CP179" s="20">
        <f>IFERROR((CA179/C179)^(1/20)-1,"n/m")</f>
        <v>0.105948769916906</v>
      </c>
    </row>
    <row r="180" ht="15" customHeight="1" s="251">
      <c r="B180" s="156" t="inlineStr">
        <is>
          <t xml:space="preserve">  Memo: product revenue</t>
        </is>
      </c>
      <c r="C180" s="34" t="n"/>
      <c r="D180" s="34" t="n"/>
      <c r="E180" s="34" t="n"/>
      <c r="F180" s="34" t="n"/>
      <c r="G180" s="34" t="n"/>
      <c r="H180" s="34" t="n"/>
      <c r="I180" s="34" t="n"/>
      <c r="J180" s="34" t="n"/>
      <c r="K180" s="34" t="n"/>
      <c r="L180" s="34" t="n"/>
      <c r="M180" s="34" t="n"/>
      <c r="N180" s="34" t="n"/>
      <c r="O180" s="34" t="n"/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  <c r="AA180" s="34" t="n"/>
      <c r="AB180" s="253" t="n">
        <v>13988</v>
      </c>
      <c r="AC180" s="253" t="n">
        <v>61502</v>
      </c>
      <c r="AD180" s="253" t="n">
        <v>13493</v>
      </c>
      <c r="AE180" s="253" t="n">
        <v>16537</v>
      </c>
      <c r="AF180" s="253" t="n">
        <v>13391</v>
      </c>
      <c r="AG180" s="253" t="n">
        <v>13769</v>
      </c>
      <c r="AH180" s="253" t="n">
        <v>57190</v>
      </c>
      <c r="AI180" s="253" t="n">
        <v>14298</v>
      </c>
      <c r="AJ180" s="253" t="n">
        <v>17926</v>
      </c>
      <c r="AK180" s="253" t="n">
        <v>15114</v>
      </c>
      <c r="AL180" s="253" t="n">
        <v>17159</v>
      </c>
      <c r="AM180" s="253" t="n">
        <v>64497</v>
      </c>
      <c r="AN180" s="253" t="n">
        <v>17299</v>
      </c>
      <c r="AO180" s="253" t="n">
        <v>16219</v>
      </c>
      <c r="AP180" s="253" t="n">
        <v>15448</v>
      </c>
      <c r="AQ180" s="253" t="n">
        <v>17103</v>
      </c>
      <c r="AR180" s="253" t="n">
        <v>66069</v>
      </c>
      <c r="AS180" s="253" t="n">
        <v>15768</v>
      </c>
      <c r="AT180" s="253" t="n">
        <v>18255</v>
      </c>
      <c r="AU180" s="253" t="n">
        <v>15871</v>
      </c>
      <c r="AV180" s="253" t="n">
        <v>18147</v>
      </c>
      <c r="AW180" s="253" t="n">
        <v>68041</v>
      </c>
      <c r="AX180" s="253" t="n">
        <v>15803</v>
      </c>
      <c r="AY180" s="253" t="n">
        <v>19460</v>
      </c>
      <c r="AZ180" s="253" t="n">
        <v>16873</v>
      </c>
      <c r="BA180" s="253" t="n">
        <v>18938</v>
      </c>
      <c r="BB180" s="253" t="n">
        <v>71074</v>
      </c>
      <c r="BC180" s="253" t="n">
        <v>16631</v>
      </c>
      <c r="BD180" s="253" t="n">
        <v>20779</v>
      </c>
      <c r="BE180" s="253" t="n">
        <v>17366</v>
      </c>
      <c r="BF180" s="253" t="n">
        <v>17956</v>
      </c>
      <c r="BG180" s="253" t="n">
        <v>72732</v>
      </c>
      <c r="BH180" s="253" t="n">
        <v>15741</v>
      </c>
      <c r="BI180" s="253" t="n">
        <v>16517</v>
      </c>
      <c r="BJ180" s="253" t="n">
        <v>15588</v>
      </c>
      <c r="BK180" s="253" t="n">
        <v>16853</v>
      </c>
      <c r="BL180" s="253" t="n">
        <v>64699</v>
      </c>
      <c r="BM180" s="253" t="n">
        <v>15535</v>
      </c>
      <c r="BN180" s="253" t="n">
        <v>18941</v>
      </c>
      <c r="BO180" s="253" t="n">
        <v>17080</v>
      </c>
      <c r="BP180" s="253" t="n">
        <v>13217</v>
      </c>
      <c r="BQ180" s="253" t="n">
        <v>64773</v>
      </c>
      <c r="BR180" s="253" t="n">
        <v>15272</v>
      </c>
      <c r="BS180" s="253" t="n">
        <v>16219</v>
      </c>
      <c r="BT180" s="253" t="n">
        <v>15319</v>
      </c>
      <c r="BU180" s="253" t="n">
        <v>17136</v>
      </c>
      <c r="BV180" s="253" t="n">
        <v>63946</v>
      </c>
      <c r="BW180" s="253" t="n">
        <v>15922</v>
      </c>
      <c r="BX180" s="253" t="n">
        <v>16451</v>
      </c>
      <c r="BY180" s="253" t="n">
        <v>15089</v>
      </c>
      <c r="BZ180" s="253" t="n">
        <v>17234</v>
      </c>
      <c r="CA180" s="253" t="n">
        <v>64696</v>
      </c>
      <c r="CB180" s="153" t="n"/>
      <c r="CC180" s="153" t="n"/>
      <c r="CD180" s="153" t="n"/>
      <c r="CE180" s="153" t="n"/>
      <c r="CF180" s="153" t="n"/>
      <c r="CG180" s="153" t="n"/>
      <c r="CH180" s="153" t="n"/>
      <c r="CI180" s="153" t="n"/>
      <c r="CJ180" s="153" t="n"/>
      <c r="CK180" s="153" t="n"/>
    </row>
    <row r="181" ht="15" customHeight="1" s="251">
      <c r="B181" s="156" t="inlineStr">
        <is>
          <t xml:space="preserve">  Memo: service and other revenue</t>
        </is>
      </c>
      <c r="C181" s="34" t="n"/>
      <c r="D181" s="34" t="n"/>
      <c r="E181" s="34" t="n"/>
      <c r="F181" s="34" t="n"/>
      <c r="G181" s="34" t="n"/>
      <c r="H181" s="34" t="n"/>
      <c r="I181" s="34" t="n"/>
      <c r="J181" s="34" t="n"/>
      <c r="K181" s="34" t="n"/>
      <c r="L181" s="34" t="n"/>
      <c r="M181" s="34" t="n"/>
      <c r="N181" s="34" t="n"/>
      <c r="O181" s="34" t="n"/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  <c r="AA181" s="34" t="n"/>
      <c r="AB181" s="253" t="n">
        <v>6626</v>
      </c>
      <c r="AC181" s="253" t="n">
        <v>23818</v>
      </c>
      <c r="AD181" s="253" t="n">
        <v>6960</v>
      </c>
      <c r="AE181" s="253" t="n">
        <v>7553</v>
      </c>
      <c r="AF181" s="253" t="n">
        <v>8699</v>
      </c>
      <c r="AG181" s="253" t="n">
        <v>9548</v>
      </c>
      <c r="AH181" s="253" t="n">
        <v>32760</v>
      </c>
      <c r="AI181" s="253" t="n">
        <v>10240</v>
      </c>
      <c r="AJ181" s="253" t="n">
        <v>10992</v>
      </c>
      <c r="AK181" s="253" t="n">
        <v>11705</v>
      </c>
      <c r="AL181" s="253" t="n">
        <v>12926</v>
      </c>
      <c r="AM181" s="253" t="n">
        <v>45863</v>
      </c>
      <c r="AN181" s="253" t="n">
        <v>11785</v>
      </c>
      <c r="AO181" s="253" t="n">
        <v>16252</v>
      </c>
      <c r="AP181" s="253" t="n">
        <v>15123</v>
      </c>
      <c r="AQ181" s="253" t="n">
        <v>16614</v>
      </c>
      <c r="AR181" s="253" t="n">
        <v>59774</v>
      </c>
      <c r="AS181" s="253" t="n">
        <v>17287</v>
      </c>
      <c r="AT181" s="253" t="n">
        <v>18651</v>
      </c>
      <c r="AU181" s="253" t="n">
        <v>19150</v>
      </c>
      <c r="AV181" s="253" t="n">
        <v>19886</v>
      </c>
      <c r="AW181" s="253" t="n">
        <v>74974</v>
      </c>
      <c r="AX181" s="253" t="n">
        <v>21351</v>
      </c>
      <c r="AY181" s="253" t="n">
        <v>23616</v>
      </c>
      <c r="AZ181" s="253" t="n">
        <v>24833</v>
      </c>
      <c r="BA181" s="253" t="n">
        <v>27214</v>
      </c>
      <c r="BB181" s="253" t="n">
        <v>97014</v>
      </c>
      <c r="BC181" s="253" t="n">
        <v>28686</v>
      </c>
      <c r="BD181" s="253" t="n">
        <v>30949</v>
      </c>
      <c r="BE181" s="253" t="n">
        <v>31994</v>
      </c>
      <c r="BF181" s="253" t="n">
        <v>33909</v>
      </c>
      <c r="BG181" s="253" t="n">
        <v>125538</v>
      </c>
      <c r="BH181" s="253" t="n">
        <v>34381</v>
      </c>
      <c r="BI181" s="253" t="n">
        <v>36230</v>
      </c>
      <c r="BJ181" s="253" t="n">
        <v>37269</v>
      </c>
      <c r="BK181" s="253" t="n">
        <v>39336</v>
      </c>
      <c r="BL181" s="253" t="n">
        <v>147216</v>
      </c>
      <c r="BM181" s="253" t="n">
        <v>40982</v>
      </c>
      <c r="BN181" s="253" t="n">
        <v>43079</v>
      </c>
      <c r="BO181" s="253" t="n">
        <v>44778</v>
      </c>
      <c r="BP181" s="253" t="n">
        <v>51510</v>
      </c>
      <c r="BQ181" s="253" t="n">
        <v>180349</v>
      </c>
      <c r="BR181" s="253" t="n">
        <v>50313</v>
      </c>
      <c r="BS181" s="253" t="n">
        <v>53413</v>
      </c>
      <c r="BT181" s="253" t="n">
        <v>54747</v>
      </c>
      <c r="BU181" s="253" t="n">
        <v>59305</v>
      </c>
      <c r="BV181" s="253" t="n">
        <v>217778</v>
      </c>
      <c r="BW181" s="253" t="n">
        <v>61751</v>
      </c>
      <c r="BX181" s="253" t="n">
        <v>64822</v>
      </c>
      <c r="BY181" s="253" t="n">
        <v>67797</v>
      </c>
      <c r="BZ181" s="253" t="n">
        <v>72773</v>
      </c>
      <c r="CA181" s="253" t="n">
        <v>267143</v>
      </c>
      <c r="CB181" s="153" t="n"/>
      <c r="CC181" s="153" t="n"/>
      <c r="CD181" s="153" t="n"/>
      <c r="CE181" s="153" t="n"/>
      <c r="CF181" s="153" t="n"/>
      <c r="CG181" s="153" t="n"/>
      <c r="CH181" s="153" t="n"/>
      <c r="CI181" s="153" t="n"/>
      <c r="CJ181" s="153" t="n"/>
      <c r="CK181" s="153" t="n"/>
    </row>
    <row r="182" ht="15" customHeight="1" s="251">
      <c r="B182" s="25" t="inlineStr">
        <is>
          <t>Total cost of revenue</t>
        </is>
      </c>
      <c r="C182" s="253" t="n">
        <v>7650</v>
      </c>
      <c r="D182" s="253" t="n">
        <v>10693</v>
      </c>
      <c r="E182" s="253" t="n">
        <v>11598</v>
      </c>
      <c r="F182" s="253" t="n">
        <v>12155</v>
      </c>
      <c r="G182" s="253" t="n">
        <v>12395</v>
      </c>
      <c r="H182" s="253" t="n">
        <v>15577</v>
      </c>
      <c r="I182" s="253" t="n">
        <v>17530</v>
      </c>
      <c r="J182" s="253" t="n">
        <v>4168</v>
      </c>
      <c r="K182" s="253" t="n">
        <v>5692</v>
      </c>
      <c r="L182" s="253" t="n">
        <v>4787</v>
      </c>
      <c r="M182" s="253" t="n">
        <v>5602</v>
      </c>
      <c r="N182" s="253" t="n">
        <v>20249</v>
      </c>
      <c r="O182" s="253" t="n">
        <v>5114</v>
      </c>
      <c r="P182" s="253" t="n">
        <v>8284</v>
      </c>
      <c r="Q182" s="253" t="n">
        <v>5941</v>
      </c>
      <c r="R182" s="253" t="n">
        <v>7595</v>
      </c>
      <c r="S182" s="253" t="n">
        <v>26934</v>
      </c>
      <c r="T182" s="253" t="n">
        <v>8273</v>
      </c>
      <c r="U182" s="253" t="n">
        <v>10136</v>
      </c>
      <c r="V182" s="253" t="n">
        <v>7161</v>
      </c>
      <c r="W182" s="253" t="n">
        <v>7468</v>
      </c>
      <c r="X182" s="253" t="n">
        <v>33038</v>
      </c>
      <c r="Y182" s="253" t="n">
        <v>7207</v>
      </c>
      <c r="Z182" s="253" t="n">
        <v>9872</v>
      </c>
      <c r="AA182" s="253" t="n">
        <v>7722</v>
      </c>
      <c r="AB182" s="253" t="n">
        <v>7979</v>
      </c>
      <c r="AC182" s="253" t="n">
        <v>32780</v>
      </c>
      <c r="AD182" s="253" t="n">
        <v>7844</v>
      </c>
      <c r="AE182" s="253" t="n">
        <v>9901</v>
      </c>
      <c r="AF182" s="253" t="n">
        <v>8060</v>
      </c>
      <c r="AG182" s="253" t="n">
        <v>8456</v>
      </c>
      <c r="AH182" s="253" t="n">
        <v>34261</v>
      </c>
      <c r="AI182" s="253" t="n">
        <v>8278</v>
      </c>
      <c r="AJ182" s="253" t="n">
        <v>11064</v>
      </c>
      <c r="AK182" s="253" t="n">
        <v>9269</v>
      </c>
      <c r="AL182" s="253" t="n">
        <v>9742</v>
      </c>
      <c r="AM182" s="253" t="n">
        <v>38353</v>
      </c>
      <c r="AN182" s="253" t="n">
        <v>9905</v>
      </c>
      <c r="AO182" s="253" t="n">
        <v>12423</v>
      </c>
      <c r="AP182" s="253" t="n">
        <v>10170</v>
      </c>
      <c r="AQ182" s="253" t="n">
        <v>10412</v>
      </c>
      <c r="AR182" s="253" t="n">
        <v>42910</v>
      </c>
      <c r="AS182" s="253" t="n">
        <v>10406</v>
      </c>
      <c r="AT182" s="253" t="n">
        <v>12358</v>
      </c>
      <c r="AU182" s="253" t="n">
        <v>10975</v>
      </c>
      <c r="AV182" s="253" t="n">
        <v>12339</v>
      </c>
      <c r="AW182" s="253" t="n">
        <v>46078</v>
      </c>
      <c r="AX182" s="253" t="n">
        <v>11002</v>
      </c>
      <c r="AY182" s="253" t="n">
        <v>14194</v>
      </c>
      <c r="AZ182" s="253" t="n">
        <v>13045</v>
      </c>
      <c r="BA182" s="253" t="n">
        <v>13991</v>
      </c>
      <c r="BB182" s="253" t="n">
        <v>52232</v>
      </c>
      <c r="BC182" s="253" t="n">
        <v>13646</v>
      </c>
      <c r="BD182" s="253" t="n">
        <v>16960</v>
      </c>
      <c r="BE182" s="253" t="n">
        <v>15615</v>
      </c>
      <c r="BF182" s="253" t="n">
        <v>16429</v>
      </c>
      <c r="BG182" s="253" t="n">
        <v>62650</v>
      </c>
      <c r="BH182" s="253" t="n">
        <v>15452</v>
      </c>
      <c r="BI182" s="253" t="n">
        <v>17488</v>
      </c>
      <c r="BJ182" s="253" t="n">
        <v>16128</v>
      </c>
      <c r="BK182" s="253" t="n">
        <v>16795</v>
      </c>
      <c r="BL182" s="253" t="n">
        <v>65863</v>
      </c>
      <c r="BM182" s="253" t="n">
        <v>16302</v>
      </c>
      <c r="BN182" s="253" t="n">
        <v>19623</v>
      </c>
      <c r="BO182" s="253" t="n">
        <v>18505</v>
      </c>
      <c r="BP182" s="253" t="n">
        <v>19684</v>
      </c>
      <c r="BQ182" s="253" t="n">
        <v>74114</v>
      </c>
      <c r="BR182" s="253" t="n">
        <v>20099</v>
      </c>
      <c r="BS182" s="253" t="n">
        <v>21799</v>
      </c>
      <c r="BT182" s="253" t="n">
        <v>21919</v>
      </c>
      <c r="BU182" s="253" t="n">
        <v>24014</v>
      </c>
      <c r="BV182" s="253" t="n">
        <v>87831</v>
      </c>
      <c r="BW182" s="253" t="n">
        <v>24043</v>
      </c>
      <c r="BX182" s="253" t="n">
        <v>25978</v>
      </c>
      <c r="BY182" s="253" t="n">
        <v>26828</v>
      </c>
      <c r="BZ182" s="253" t="n">
        <v>29525</v>
      </c>
      <c r="CA182" s="253" t="n">
        <v>106374</v>
      </c>
      <c r="CB182" s="254">
        <f>CB179-CB183</f>
        <v>29700</v>
      </c>
      <c r="CC182" s="254">
        <f>CC179-CC183</f>
        <v>32165.9451498869</v>
      </c>
      <c r="CD182" s="254">
        <f>CD179-CD183</f>
        <v>33779.3274102521</v>
      </c>
      <c r="CE182" s="254">
        <f>CE179-CE183</f>
        <v>37448.7073507191</v>
      </c>
      <c r="CF182" s="254">
        <f>SUM(CB182:CE182)</f>
        <v>133093.979910858</v>
      </c>
      <c r="CG182" s="254">
        <f>CG179-CG183</f>
        <v>160620.45021568</v>
      </c>
      <c r="CH182" s="254">
        <f>CH179-CH183</f>
        <v>187008.202275715</v>
      </c>
      <c r="CI182" s="254">
        <f>CI179-CI183</f>
        <v>208767.116910885</v>
      </c>
      <c r="CJ182" s="254">
        <f>CJ179-CJ183</f>
        <v>229797.268438152</v>
      </c>
      <c r="CK182" s="19" t="n"/>
    </row>
    <row r="183" ht="15" customHeight="1" s="251">
      <c r="B183" s="16" t="inlineStr">
        <is>
          <t>Gross margin</t>
        </is>
      </c>
      <c r="C183" s="260">
        <f>C179-C182</f>
        <v>36632</v>
      </c>
      <c r="D183" s="260">
        <f>D179-D182</f>
        <v>40429</v>
      </c>
      <c r="E183" s="260">
        <f>E179-E182</f>
        <v>48822</v>
      </c>
      <c r="F183" s="260">
        <f>F179-F182</f>
        <v>46282</v>
      </c>
      <c r="G183" s="260">
        <f>G179-G182</f>
        <v>50089</v>
      </c>
      <c r="H183" s="260">
        <f>H179-H182</f>
        <v>54366</v>
      </c>
      <c r="I183" s="260">
        <f>I179-I182</f>
        <v>56193</v>
      </c>
      <c r="J183" s="260">
        <f>J179-J182</f>
        <v>11840</v>
      </c>
      <c r="K183" s="260">
        <f>K179-K182</f>
        <v>15764</v>
      </c>
      <c r="L183" s="260">
        <f>L179-L182</f>
        <v>15702</v>
      </c>
      <c r="M183" s="260">
        <f>M179-M182</f>
        <v>14294</v>
      </c>
      <c r="N183" s="260">
        <f>N179-N182</f>
        <v>57600</v>
      </c>
      <c r="O183" s="260">
        <f>O179-O182</f>
        <v>13415</v>
      </c>
      <c r="P183" s="260">
        <f>P179-P182</f>
        <v>16235</v>
      </c>
      <c r="Q183" s="260">
        <f>Q179-Q182</f>
        <v>14462</v>
      </c>
      <c r="R183" s="260">
        <f>R179-R182</f>
        <v>15787</v>
      </c>
      <c r="S183" s="260">
        <f>S179-S182</f>
        <v>59899</v>
      </c>
      <c r="T183" s="260">
        <f>T179-T182</f>
        <v>14928</v>
      </c>
      <c r="U183" s="260">
        <f>U179-U182</f>
        <v>16334</v>
      </c>
      <c r="V183" s="260">
        <f>V179-V182</f>
        <v>14568</v>
      </c>
      <c r="W183" s="260">
        <f>W179-W182</f>
        <v>14712</v>
      </c>
      <c r="X183" s="260">
        <f>X179-X182</f>
        <v>60542</v>
      </c>
      <c r="Y183" s="260">
        <f>Y179-Y182</f>
        <v>13172</v>
      </c>
      <c r="Z183" s="260">
        <f>Z179-Z182</f>
        <v>13924</v>
      </c>
      <c r="AA183" s="260">
        <f>AA179-AA182</f>
        <v>12809</v>
      </c>
      <c r="AB183" s="260">
        <f>AB179-AB182</f>
        <v>12635</v>
      </c>
      <c r="AC183" s="260">
        <f>AC179-AC182</f>
        <v>52540</v>
      </c>
      <c r="AD183" s="260">
        <f>AD179-AD182</f>
        <v>12609</v>
      </c>
      <c r="AE183" s="260">
        <f>AE179-AE182</f>
        <v>14189</v>
      </c>
      <c r="AF183" s="260">
        <f>AF179-AF182</f>
        <v>14030</v>
      </c>
      <c r="AG183" s="260">
        <f>AG179-AG182</f>
        <v>14861</v>
      </c>
      <c r="AH183" s="260">
        <f>AH179-AH182</f>
        <v>55689</v>
      </c>
      <c r="AI183" s="260">
        <f>AI179-AI182</f>
        <v>16260</v>
      </c>
      <c r="AJ183" s="260">
        <f>AJ179-AJ182</f>
        <v>17854</v>
      </c>
      <c r="AK183" s="260">
        <f>AK179-AK182</f>
        <v>17550</v>
      </c>
      <c r="AL183" s="260">
        <f>AL179-AL182</f>
        <v>20343</v>
      </c>
      <c r="AM183" s="260">
        <f>AM179-AM182</f>
        <v>72007</v>
      </c>
      <c r="AN183" s="260">
        <f>AN179-AN182</f>
        <v>19179</v>
      </c>
      <c r="AO183" s="260">
        <f>AO179-AO182</f>
        <v>20048</v>
      </c>
      <c r="AP183" s="260">
        <f>AP179-AP182</f>
        <v>20401</v>
      </c>
      <c r="AQ183" s="260">
        <f>AQ179-AQ182</f>
        <v>23305</v>
      </c>
      <c r="AR183" s="260">
        <f>AR179-AR182</f>
        <v>82933</v>
      </c>
      <c r="AS183" s="260">
        <f>AS179-AS182</f>
        <v>22649</v>
      </c>
      <c r="AT183" s="260">
        <f>AT179-AT182</f>
        <v>24548</v>
      </c>
      <c r="AU183" s="260">
        <f>AU179-AU182</f>
        <v>24046</v>
      </c>
      <c r="AV183" s="260">
        <f>AV179-AV182</f>
        <v>25694</v>
      </c>
      <c r="AW183" s="260">
        <f>AW179-AW182</f>
        <v>96937</v>
      </c>
      <c r="AX183" s="260">
        <f>AX179-AX182</f>
        <v>26152</v>
      </c>
      <c r="AY183" s="260">
        <f>AY179-AY182</f>
        <v>28882</v>
      </c>
      <c r="AZ183" s="260">
        <f>AZ179-AZ182</f>
        <v>28661</v>
      </c>
      <c r="BA183" s="260">
        <f>BA179-BA182</f>
        <v>32161</v>
      </c>
      <c r="BB183" s="260">
        <f>BB179-BB182</f>
        <v>115856</v>
      </c>
      <c r="BC183" s="260">
        <f>BC179-BC182</f>
        <v>31671</v>
      </c>
      <c r="BD183" s="260">
        <f>BD179-BD182</f>
        <v>34768</v>
      </c>
      <c r="BE183" s="260">
        <f>BE179-BE182</f>
        <v>33745</v>
      </c>
      <c r="BF183" s="260">
        <f>BF179-BF182</f>
        <v>35436</v>
      </c>
      <c r="BG183" s="260">
        <f>BG179-BG182</f>
        <v>135620</v>
      </c>
      <c r="BH183" s="260">
        <f>BH179-BH182</f>
        <v>34670</v>
      </c>
      <c r="BI183" s="260">
        <f>BI179-BI182</f>
        <v>35259</v>
      </c>
      <c r="BJ183" s="260">
        <f>BJ179-BJ182</f>
        <v>36729</v>
      </c>
      <c r="BK183" s="260">
        <f>BK179-BK182</f>
        <v>39394</v>
      </c>
      <c r="BL183" s="260">
        <f>BL179-BL182</f>
        <v>146052</v>
      </c>
      <c r="BM183" s="260">
        <f>BM179-BM182</f>
        <v>40215</v>
      </c>
      <c r="BN183" s="260">
        <f>BN179-BN182</f>
        <v>42397</v>
      </c>
      <c r="BO183" s="260">
        <f>BO179-BO182</f>
        <v>43353</v>
      </c>
      <c r="BP183" s="260">
        <f>BP179-BP182</f>
        <v>45043</v>
      </c>
      <c r="BQ183" s="260">
        <f>BQ179-BQ182</f>
        <v>171008</v>
      </c>
      <c r="BR183" s="260">
        <f>BR179-BR182</f>
        <v>45486</v>
      </c>
      <c r="BS183" s="260">
        <f>BS179-BS182</f>
        <v>47833</v>
      </c>
      <c r="BT183" s="260">
        <f>BT179-BT182</f>
        <v>48147</v>
      </c>
      <c r="BU183" s="260">
        <f>BU179-BU182</f>
        <v>52427</v>
      </c>
      <c r="BV183" s="260">
        <f>BV179-BV182</f>
        <v>193893</v>
      </c>
      <c r="BW183" s="260">
        <f>BW179-BW182</f>
        <v>53630</v>
      </c>
      <c r="BX183" s="260">
        <f>BX179-BX182</f>
        <v>55295</v>
      </c>
      <c r="BY183" s="260">
        <f>BY179-BY182</f>
        <v>56058</v>
      </c>
      <c r="BZ183" s="260">
        <f>BZ179-BZ182</f>
        <v>60482</v>
      </c>
      <c r="CA183" s="260">
        <f>CA179-CA182</f>
        <v>225465</v>
      </c>
      <c r="CB183" s="261">
        <f>CB190+CB188+CB189</f>
        <v>60700</v>
      </c>
      <c r="CC183" s="261">
        <f>CC190+CC188+CC189</f>
        <v>62648.7717920169</v>
      </c>
      <c r="CD183" s="261">
        <f>CD190+CD188+CD189</f>
        <v>63703.011495047</v>
      </c>
      <c r="CE183" s="261">
        <f>CE190+CE188+CE189</f>
        <v>68970.5587909528</v>
      </c>
      <c r="CF183" s="261">
        <f>CF190+CF188+CF189</f>
        <v>256022.342078017</v>
      </c>
      <c r="CG183" s="261">
        <f>CG190+CG188+CG189</f>
        <v>294786.321749216</v>
      </c>
      <c r="CH183" s="261">
        <f>CH190+CH188+CH189</f>
        <v>339863.929154905</v>
      </c>
      <c r="CI183" s="261">
        <f>CI190+CI188+CI189</f>
        <v>390589.815615054</v>
      </c>
      <c r="CJ183" s="261">
        <f>CJ190+CJ188+CJ189</f>
        <v>441901.692385976</v>
      </c>
      <c r="CK183" s="153" t="inlineStr">
        <is>
          <t>Forecast = operating income + operating expenses (implied by the segment build).</t>
        </is>
      </c>
      <c r="CM183" s="20">
        <f>IFERROR((CJ183/CA183)^(1/5)-1,"n/m")</f>
        <v>0.144061329397677</v>
      </c>
      <c r="CN183" s="20">
        <f>IFERROR((CA183/BB183)^(1/5)-1,"n/m")</f>
        <v>0.142436633377723</v>
      </c>
      <c r="CO183" s="20">
        <f>IFERROR((CA183/AC183)^(1/10)-1,"n/m")</f>
        <v>0.156801669005901</v>
      </c>
      <c r="CP183" s="20">
        <f>IFERROR((CA183/C183)^(1/20)-1,"n/m")</f>
        <v>0.0951180197398862</v>
      </c>
    </row>
    <row r="184" ht="15" customHeight="1" s="251">
      <c r="B184" s="25" t="inlineStr">
        <is>
          <t xml:space="preserve">  Gross margin %</t>
        </is>
      </c>
      <c r="C184" s="215">
        <f>IF(AND(ISNUMBER(C183),ISNUMBER(C179)),IFERROR(C183/C179,""),"")</f>
        <v>0.827243575267603</v>
      </c>
      <c r="D184" s="215">
        <f>IF(AND(ISNUMBER(D183),ISNUMBER(D179)),IFERROR(D183/D179,""),"")</f>
        <v>0.790833691952584</v>
      </c>
      <c r="E184" s="215">
        <f>IF(AND(ISNUMBER(E183),ISNUMBER(E179)),IFERROR(E183/E179,""),"")</f>
        <v>0.808043694141013</v>
      </c>
      <c r="F184" s="215">
        <f>IF(AND(ISNUMBER(F183),ISNUMBER(F179)),IFERROR(F183/F179,""),"")</f>
        <v>0.791998220305628</v>
      </c>
      <c r="G184" s="215">
        <f>IF(AND(ISNUMBER(G183),ISNUMBER(G179)),IFERROR(G183/G179,""),"")</f>
        <v>0.801629217079572</v>
      </c>
      <c r="H184" s="215">
        <f>IF(AND(ISNUMBER(H183),ISNUMBER(H179)),IFERROR(H183/H179,""),"")</f>
        <v>0.777290079064381</v>
      </c>
      <c r="I184" s="215">
        <f>IF(AND(ISNUMBER(I183),ISNUMBER(I179)),IFERROR(I183/I179,""),"")</f>
        <v>0.762218032364391</v>
      </c>
      <c r="J184" s="215">
        <f>IF(AND(ISNUMBER(J183),ISNUMBER(J179)),IFERROR(J183/J179,""),"")</f>
        <v>0.739630184907546</v>
      </c>
      <c r="K184" s="215">
        <f>IF(AND(ISNUMBER(K183),ISNUMBER(K179)),IFERROR(K183/K179,""),"")</f>
        <v>0.734712900820283</v>
      </c>
      <c r="L184" s="215">
        <f>IF(AND(ISNUMBER(L183),ISNUMBER(L179)),IFERROR(L183/L179,""),"")</f>
        <v>0.766362438381571</v>
      </c>
      <c r="M184" s="215">
        <f>IF(AND(ISNUMBER(M183),ISNUMBER(M179)),IFERROR(M183/M179,""),"")</f>
        <v>0.71843586650583</v>
      </c>
      <c r="N184" s="215">
        <f>IF(AND(ISNUMBER(N183),ISNUMBER(N179)),IFERROR(N183/N179,""),"")</f>
        <v>0.739893897159886</v>
      </c>
      <c r="O184" s="215">
        <f>IF(AND(ISNUMBER(O183),ISNUMBER(O179)),IFERROR(O183/O179,""),"")</f>
        <v>0.724000215877813</v>
      </c>
      <c r="P184" s="215">
        <f>IF(AND(ISNUMBER(P183),ISNUMBER(P179)),IFERROR(P183/P179,""),"")</f>
        <v>0.662139565235124</v>
      </c>
      <c r="Q184" s="215">
        <f>IF(AND(ISNUMBER(Q183),ISNUMBER(Q179)),IFERROR(Q183/Q179,""),"")</f>
        <v>0.708817330784689</v>
      </c>
      <c r="R184" s="215">
        <f>IF(AND(ISNUMBER(R183),ISNUMBER(R179)),IFERROR(R183/R179,""),"")</f>
        <v>0.675177486955778</v>
      </c>
      <c r="S184" s="215">
        <f>IF(AND(ISNUMBER(S183),ISNUMBER(S179)),IFERROR(S183/S179,""),"")</f>
        <v>0.68981838701876</v>
      </c>
      <c r="T184" s="215">
        <f>IF(AND(ISNUMBER(T183),ISNUMBER(T179)),IFERROR(T183/T179,""),"")</f>
        <v>0.643420542218008</v>
      </c>
      <c r="U184" s="215">
        <f>IF(AND(ISNUMBER(U183),ISNUMBER(U179)),IFERROR(U183/U179,""),"")</f>
        <v>0.617075935020778</v>
      </c>
      <c r="V184" s="215">
        <f>IF(AND(ISNUMBER(V183),ISNUMBER(V179)),IFERROR(V183/V179,""),"")</f>
        <v>0.670440425238161</v>
      </c>
      <c r="W184" s="215">
        <f>IF(AND(ISNUMBER(W183),ISNUMBER(W179)),IFERROR(W183/W179,""),"")</f>
        <v>0.663300270513977</v>
      </c>
      <c r="X184" s="215">
        <f>IF(AND(ISNUMBER(X183),ISNUMBER(X179)),IFERROR(X183/X179,""),"")</f>
        <v>0.646954477452447</v>
      </c>
      <c r="Y184" s="215">
        <f>IF(AND(ISNUMBER(Y183),ISNUMBER(Y179)),IFERROR(Y183/Y179,""),"")</f>
        <v>0.646351636488542</v>
      </c>
      <c r="Z184" s="215">
        <f>IF(AND(ISNUMBER(Z183),ISNUMBER(Z179)),IFERROR(Z183/Z179,""),"")</f>
        <v>0.585140359724323</v>
      </c>
      <c r="AA184" s="215">
        <f>IF(AND(ISNUMBER(AA183),ISNUMBER(AA179)),IFERROR(AA183/AA179,""),"")</f>
        <v>0.623885831182115</v>
      </c>
      <c r="AB184" s="215">
        <f>IF(AND(ISNUMBER(AB183),ISNUMBER(AB179)),IFERROR(AB183/AB179,""),"")</f>
        <v>0.612932958183759</v>
      </c>
      <c r="AC184" s="215">
        <f>IF(AND(ISNUMBER(AC183),ISNUMBER(AC179)),IFERROR(AC183/AC179,""),"")</f>
        <v>0.615799343647445</v>
      </c>
      <c r="AD184" s="215">
        <f>IF(AND(ISNUMBER(AD183),ISNUMBER(AD179)),IFERROR(AD183/AD179,""),"")</f>
        <v>0.616486578985968</v>
      </c>
      <c r="AE184" s="215">
        <f>IF(AND(ISNUMBER(AE183),ISNUMBER(AE179)),IFERROR(AE183/AE179,""),"")</f>
        <v>0.588999584889996</v>
      </c>
      <c r="AF184" s="215">
        <f>IF(AND(ISNUMBER(AF183),ISNUMBER(AF179)),IFERROR(AF183/AF179,""),"")</f>
        <v>0.635129017655048</v>
      </c>
      <c r="AG184" s="215">
        <f>IF(AND(ISNUMBER(AG183),ISNUMBER(AG179)),IFERROR(AG183/AG179,""),"")</f>
        <v>0.63734614229961</v>
      </c>
      <c r="AH184" s="215">
        <f>IF(AND(ISNUMBER(AH183),ISNUMBER(AH179)),IFERROR(AH183/AH179,""),"")</f>
        <v>0.61911061700945</v>
      </c>
      <c r="AI184" s="215">
        <f>IF(AND(ISNUMBER(AI183),ISNUMBER(AI179)),IFERROR(AI183/AI179,""),"")</f>
        <v>0.662645692395468</v>
      </c>
      <c r="AJ184" s="215">
        <f>IF(AND(ISNUMBER(AJ183),ISNUMBER(AJ179)),IFERROR(AJ183/AJ179,""),"")</f>
        <v>0.61740092675842</v>
      </c>
      <c r="AK184" s="215">
        <f>IF(AND(ISNUMBER(AK183),ISNUMBER(AK179)),IFERROR(AK183/AK179,""),"")</f>
        <v>0.654386815317499</v>
      </c>
      <c r="AL184" s="215">
        <f>IF(AND(ISNUMBER(AL183),ISNUMBER(AL179)),IFERROR(AL183/AL179,""),"")</f>
        <v>0.676184144922719</v>
      </c>
      <c r="AM184" s="215">
        <f>IF(AND(ISNUMBER(AM183),ISNUMBER(AM179)),IFERROR(AM183/AM179,""),"")</f>
        <v>0.652473722363175</v>
      </c>
      <c r="AN184" s="215">
        <f>IF(AND(ISNUMBER(AN183),ISNUMBER(AN179)),IFERROR(AN183/AN179,""),"")</f>
        <v>0.659434740750928</v>
      </c>
      <c r="AO184" s="215">
        <f>IF(AND(ISNUMBER(AO183),ISNUMBER(AO179)),IFERROR(AO183/AO179,""),"")</f>
        <v>0.617412460349235</v>
      </c>
      <c r="AP184" s="215">
        <f>IF(AND(ISNUMBER(AP183),ISNUMBER(AP179)),IFERROR(AP183/AP179,""),"")</f>
        <v>0.667331785025024</v>
      </c>
      <c r="AQ184" s="215">
        <f>IF(AND(ISNUMBER(AQ183),ISNUMBER(AQ179)),IFERROR(AQ183/AQ179,""),"")</f>
        <v>0.691194352997005</v>
      </c>
      <c r="AR184" s="215">
        <f>IF(AND(ISNUMBER(AR183),ISNUMBER(AR179)),IFERROR(AR183/AR179,""),"")</f>
        <v>0.659019572006389</v>
      </c>
      <c r="AS184" s="215">
        <f>IF(AND(ISNUMBER(AS183),ISNUMBER(AS179)),IFERROR(AS183/AS179,""),"")</f>
        <v>0.685191347753744</v>
      </c>
      <c r="AT184" s="215">
        <f>IF(AND(ISNUMBER(AT183),ISNUMBER(AT179)),IFERROR(AT183/AT179,""),"")</f>
        <v>0.665149298217092</v>
      </c>
      <c r="AU184" s="215">
        <f>IF(AND(ISNUMBER(AU183),ISNUMBER(AU179)),IFERROR(AU183/AU179,""),"")</f>
        <v>0.686616601467691</v>
      </c>
      <c r="AV184" s="215">
        <f>IF(AND(ISNUMBER(AV183),ISNUMBER(AV179)),IFERROR(AV183/AV179,""),"")</f>
        <v>0.675571214471643</v>
      </c>
      <c r="AW184" s="215">
        <f>IF(AND(ISNUMBER(AW183),ISNUMBER(AW179)),IFERROR(AW183/AW179,""),"")</f>
        <v>0.67781001992798</v>
      </c>
      <c r="AX184" s="215">
        <f>IF(AND(ISNUMBER(AX183),ISNUMBER(AX179)),IFERROR(AX183/AX179,""),"")</f>
        <v>0.703881143349303</v>
      </c>
      <c r="AY184" s="215">
        <f>IF(AND(ISNUMBER(AY183),ISNUMBER(AY179)),IFERROR(AY183/AY179,""),"")</f>
        <v>0.670489367629306</v>
      </c>
      <c r="AZ184" s="215">
        <f>IF(AND(ISNUMBER(AZ183),ISNUMBER(AZ179)),IFERROR(AZ183/AZ179,""),"")</f>
        <v>0.687215268786266</v>
      </c>
      <c r="BA184" s="215">
        <f>IF(AND(ISNUMBER(BA183),ISNUMBER(BA179)),IFERROR(BA183/BA179,""),"")</f>
        <v>0.696849540648293</v>
      </c>
      <c r="BB184" s="215">
        <f>IF(AND(ISNUMBER(BB183),ISNUMBER(BB179)),IFERROR(BB183/BB179,""),"")</f>
        <v>0.689258007710247</v>
      </c>
      <c r="BC184" s="215">
        <f>IF(AND(ISNUMBER(BC183),ISNUMBER(BC179)),IFERROR(BC183/BC179,""),"")</f>
        <v>0.698876801200433</v>
      </c>
      <c r="BD184" s="215">
        <f>IF(AND(ISNUMBER(BD183),ISNUMBER(BD179)),IFERROR(BD183/BD179,""),"")</f>
        <v>0.672131147540984</v>
      </c>
      <c r="BE184" s="215">
        <f>IF(AND(ISNUMBER(BE183),ISNUMBER(BE179)),IFERROR(BE183/BE179,""),"")</f>
        <v>0.683650729335494</v>
      </c>
      <c r="BF184" s="215">
        <f>IF(AND(ISNUMBER(BF183),ISNUMBER(BF179)),IFERROR(BF183/BF179,""),"")</f>
        <v>0.683235322471802</v>
      </c>
      <c r="BG184" s="215">
        <f>IF(AND(ISNUMBER(BG183),ISNUMBER(BG179)),IFERROR(BG183/BG179,""),"")</f>
        <v>0.684016744842891</v>
      </c>
      <c r="BH184" s="215">
        <f>IF(AND(ISNUMBER(BH183),ISNUMBER(BH179)),IFERROR(BH183/BH179,""),"")</f>
        <v>0.691712222177886</v>
      </c>
      <c r="BI184" s="215">
        <f>IF(AND(ISNUMBER(BI183),ISNUMBER(BI179)),IFERROR(BI183/BI179,""),"")</f>
        <v>0.668455078013916</v>
      </c>
      <c r="BJ184" s="215">
        <f>IF(AND(ISNUMBER(BJ183),ISNUMBER(BJ179)),IFERROR(BJ183/BJ179,""),"")</f>
        <v>0.694874851013111</v>
      </c>
      <c r="BK184" s="215">
        <f>IF(AND(ISNUMBER(BK183),ISNUMBER(BK179)),IFERROR(BK183/BK179,""),"")</f>
        <v>0.701098079695314</v>
      </c>
      <c r="BL184" s="215">
        <f>IF(AND(ISNUMBER(BL183),ISNUMBER(BL179)),IFERROR(BL183/BL179,""),"")</f>
        <v>0.68920085883491</v>
      </c>
      <c r="BM184" s="215">
        <f>IF(AND(ISNUMBER(BM183),ISNUMBER(BM179)),IFERROR(BM183/BM179,""),"")</f>
        <v>0.711555815064494</v>
      </c>
      <c r="BN184" s="215">
        <f>IF(AND(ISNUMBER(BN183),ISNUMBER(BN179)),IFERROR(BN183/BN179,""),"")</f>
        <v>0.683602063850371</v>
      </c>
      <c r="BO184" s="215">
        <f>IF(AND(ISNUMBER(BO183),ISNUMBER(BO179)),IFERROR(BO183/BO179,""),"")</f>
        <v>0.700847101425846</v>
      </c>
      <c r="BP184" s="215">
        <f>IF(AND(ISNUMBER(BP183),ISNUMBER(BP179)),IFERROR(BP183/BP179,""),"")</f>
        <v>0.695891977072937</v>
      </c>
      <c r="BQ184" s="215">
        <f>IF(AND(ISNUMBER(BQ183),ISNUMBER(BQ179)),IFERROR(BQ183/BQ179,""),"")</f>
        <v>0.697644438279714</v>
      </c>
      <c r="BR184" s="215">
        <f>IF(AND(ISNUMBER(BR183),ISNUMBER(BR179)),IFERROR(BR183/BR179,""),"")</f>
        <v>0.693542730807349</v>
      </c>
      <c r="BS184" s="215">
        <f>IF(AND(ISNUMBER(BS183),ISNUMBER(BS179)),IFERROR(BS183/BS179,""),"")</f>
        <v>0.686939912683824</v>
      </c>
      <c r="BT184" s="215">
        <f>IF(AND(ISNUMBER(BT183),ISNUMBER(BT179)),IFERROR(BT183/BT179,""),"")</f>
        <v>0.687166385978934</v>
      </c>
      <c r="BU184" s="215">
        <f>IF(AND(ISNUMBER(BU183),ISNUMBER(BU179)),IFERROR(BU183/BU179,""),"")</f>
        <v>0.68584921704321</v>
      </c>
      <c r="BV184" s="215">
        <f>IF(AND(ISNUMBER(BV183),ISNUMBER(BV179)),IFERROR(BV183/BV179,""),"")</f>
        <v>0.688237423861652</v>
      </c>
      <c r="BW184" s="215">
        <f>IF(AND(ISNUMBER(BW183),ISNUMBER(BW179)),IFERROR(BW183/BW179,""),"")</f>
        <v>0.690458717958621</v>
      </c>
      <c r="BX184" s="215">
        <f>IF(AND(ISNUMBER(BX183),ISNUMBER(BX179)),IFERROR(BX183/BX179,""),"")</f>
        <v>0.680361251584167</v>
      </c>
      <c r="BY184" s="215">
        <f>IF(AND(ISNUMBER(BY183),ISNUMBER(BY179)),IFERROR(BY183/BY179,""),"")</f>
        <v>0.676326520763458</v>
      </c>
      <c r="BZ184" s="215">
        <f>IF(AND(ISNUMBER(BZ183),ISNUMBER(BZ179)),IFERROR(BZ183/BZ179,""),"")</f>
        <v>0.671969957892164</v>
      </c>
      <c r="CA184" s="215">
        <f>IF(AND(ISNUMBER(CA183),ISNUMBER(CA179)),IFERROR(CA183/CA179,""),"")</f>
        <v>0.679440933705803</v>
      </c>
      <c r="CB184" s="256">
        <f>IF(AND(ISNUMBER(CB183),ISNUMBER(CB179)),IFERROR(CB183/CB179,""),"")</f>
        <v>0.671460176991151</v>
      </c>
      <c r="CC184" s="256">
        <f>IF(AND(ISNUMBER(CC183),ISNUMBER(CC179)),IFERROR(CC183/CC179,""),"")</f>
        <v>0.660749447054764</v>
      </c>
      <c r="CD184" s="256">
        <f>IF(AND(ISNUMBER(CD183),ISNUMBER(CD179)),IFERROR(CD183/CD179,""),"")</f>
        <v>0.653482591928086</v>
      </c>
      <c r="CE184" s="256">
        <f>IF(AND(ISNUMBER(CE183),ISNUMBER(CE179)),IFERROR(CE183/CE179,""),"")</f>
        <v>0.648102183857714</v>
      </c>
      <c r="CF184" s="256">
        <f>IF(AND(ISNUMBER(CF183),ISNUMBER(CF179)),IFERROR(CF183/CF179,""),"")</f>
        <v>0.657958372882998</v>
      </c>
      <c r="CG184" s="256">
        <f>IF(AND(ISNUMBER(CG183),ISNUMBER(CG179)),IFERROR(CG183/CG179,""),"")</f>
        <v>0.647303333846645</v>
      </c>
      <c r="CH184" s="256">
        <f>IF(AND(ISNUMBER(CH183),ISNUMBER(CH179)),IFERROR(CH183/CH179,""),"")</f>
        <v>0.645059605320308</v>
      </c>
      <c r="CI184" s="256">
        <f>IF(AND(ISNUMBER(CI183),ISNUMBER(CI179)),IFERROR(CI183/CI179,""),"")</f>
        <v>0.651681484635452</v>
      </c>
      <c r="CJ184" s="256">
        <f>IF(AND(ISNUMBER(CJ183),ISNUMBER(CJ179)),IFERROR(CJ183/CJ179,""),"")</f>
        <v>0.657886520836348</v>
      </c>
      <c r="CK184" s="153" t="n"/>
      <c r="CM184" s="37">
        <f>IFERROR(AVERAGE(CF184,CG184,CH184,CI184,CJ184),"n/m")</f>
        <v>0.65197786350435</v>
      </c>
      <c r="CN184" s="37">
        <f>IFERROR(AVERAGE(BG184,BL184,BQ184,BV184,CA184),"n/m")</f>
        <v>0.687708079904994</v>
      </c>
      <c r="CO184" s="37">
        <f>IFERROR(AVERAGE(AH184,AM184,AR184,AW184,BB184,BG184,BL184,BQ184,BV184,CA184),"n/m")</f>
        <v>0.673621233854221</v>
      </c>
      <c r="CP184" s="37">
        <f>IFERROR(AVERAGE(C184,D184,E184,F184,G184,H184,I184,N184,S184,X184,AC184,AH184,AM184,AR184,AW184,BB184,BG184,BL184,BQ184,BV184,CA184),"n/m")</f>
        <v>0.71371118828552</v>
      </c>
    </row>
    <row r="185" ht="15" customHeight="1" s="251">
      <c r="B185" s="25" t="inlineStr">
        <is>
          <t>Research and development</t>
        </is>
      </c>
      <c r="C185" s="253" t="n">
        <v>6584</v>
      </c>
      <c r="D185" s="253" t="n">
        <v>7121</v>
      </c>
      <c r="E185" s="253" t="n">
        <v>8164</v>
      </c>
      <c r="F185" s="253" t="n">
        <v>9010</v>
      </c>
      <c r="G185" s="253" t="n">
        <v>8714</v>
      </c>
      <c r="H185" s="253" t="n">
        <v>9043</v>
      </c>
      <c r="I185" s="253" t="n">
        <v>9811</v>
      </c>
      <c r="J185" s="253" t="n">
        <v>2460</v>
      </c>
      <c r="K185" s="253" t="n">
        <v>2528</v>
      </c>
      <c r="L185" s="253" t="n">
        <v>2640</v>
      </c>
      <c r="M185" s="253" t="n">
        <v>2783</v>
      </c>
      <c r="N185" s="253" t="n">
        <v>10411</v>
      </c>
      <c r="O185" s="253" t="n">
        <v>2767</v>
      </c>
      <c r="P185" s="253" t="n">
        <v>2748</v>
      </c>
      <c r="Q185" s="253" t="n">
        <v>2743</v>
      </c>
      <c r="R185" s="253" t="n">
        <v>3123</v>
      </c>
      <c r="S185" s="253" t="n">
        <v>11381</v>
      </c>
      <c r="T185" s="253" t="n">
        <v>3065</v>
      </c>
      <c r="U185" s="253" t="n">
        <v>2903</v>
      </c>
      <c r="V185" s="253" t="n">
        <v>2984</v>
      </c>
      <c r="W185" s="253" t="n">
        <v>3094</v>
      </c>
      <c r="X185" s="253" t="n">
        <v>12046</v>
      </c>
      <c r="Y185" s="253" t="n">
        <v>2962</v>
      </c>
      <c r="Z185" s="253" t="n">
        <v>2900</v>
      </c>
      <c r="AA185" s="253" t="n">
        <v>2980</v>
      </c>
      <c r="AB185" s="253" t="n">
        <v>3146</v>
      </c>
      <c r="AC185" s="253" t="n">
        <v>11988</v>
      </c>
      <c r="AD185" s="253" t="n">
        <v>3106</v>
      </c>
      <c r="AE185" s="253" t="n">
        <v>3062</v>
      </c>
      <c r="AF185" s="253" t="n">
        <v>3355</v>
      </c>
      <c r="AG185" s="253" t="n">
        <v>3514</v>
      </c>
      <c r="AH185" s="253" t="n">
        <v>13037</v>
      </c>
      <c r="AI185" s="253" t="n">
        <v>3574</v>
      </c>
      <c r="AJ185" s="253" t="n">
        <v>3504</v>
      </c>
      <c r="AK185" s="253" t="n">
        <v>3715</v>
      </c>
      <c r="AL185" s="253" t="n">
        <v>3933</v>
      </c>
      <c r="AM185" s="253" t="n">
        <v>14726</v>
      </c>
      <c r="AN185" s="253" t="n">
        <v>3977</v>
      </c>
      <c r="AO185" s="253" t="n">
        <v>4070</v>
      </c>
      <c r="AP185" s="253" t="n">
        <v>4316</v>
      </c>
      <c r="AQ185" s="253" t="n">
        <v>4513</v>
      </c>
      <c r="AR185" s="253" t="n">
        <v>16876</v>
      </c>
      <c r="AS185" s="253" t="n">
        <v>4565</v>
      </c>
      <c r="AT185" s="253" t="n">
        <v>4603</v>
      </c>
      <c r="AU185" s="253" t="n">
        <v>4887</v>
      </c>
      <c r="AV185" s="253" t="n">
        <v>5214</v>
      </c>
      <c r="AW185" s="253" t="n">
        <v>19269</v>
      </c>
      <c r="AX185" s="253" t="n">
        <v>4926</v>
      </c>
      <c r="AY185" s="253" t="n">
        <v>4899</v>
      </c>
      <c r="AZ185" s="253" t="n">
        <v>5204</v>
      </c>
      <c r="BA185" s="253" t="n">
        <v>5687</v>
      </c>
      <c r="BB185" s="253" t="n">
        <v>20716</v>
      </c>
      <c r="BC185" s="253" t="n">
        <v>5599</v>
      </c>
      <c r="BD185" s="253" t="n">
        <v>5758</v>
      </c>
      <c r="BE185" s="253" t="n">
        <v>6306</v>
      </c>
      <c r="BF185" s="253" t="n">
        <v>6849</v>
      </c>
      <c r="BG185" s="253" t="n">
        <v>24512</v>
      </c>
      <c r="BH185" s="253" t="n">
        <v>6628</v>
      </c>
      <c r="BI185" s="253" t="n">
        <v>6844</v>
      </c>
      <c r="BJ185" s="253" t="n">
        <v>6984</v>
      </c>
      <c r="BK185" s="253" t="n">
        <v>6739</v>
      </c>
      <c r="BL185" s="253" t="n">
        <v>27195</v>
      </c>
      <c r="BM185" s="253" t="n">
        <v>6659</v>
      </c>
      <c r="BN185" s="253" t="n">
        <v>7142</v>
      </c>
      <c r="BO185" s="253" t="n">
        <v>7653</v>
      </c>
      <c r="BP185" s="253" t="n">
        <v>8056</v>
      </c>
      <c r="BQ185" s="253" t="n">
        <v>29510</v>
      </c>
      <c r="BR185" s="253" t="n">
        <v>7544</v>
      </c>
      <c r="BS185" s="253" t="n">
        <v>7917</v>
      </c>
      <c r="BT185" s="253" t="n">
        <v>8198</v>
      </c>
      <c r="BU185" s="253" t="n">
        <v>8829</v>
      </c>
      <c r="BV185" s="253" t="n">
        <v>32488</v>
      </c>
      <c r="BW185" s="253" t="n">
        <v>8146</v>
      </c>
      <c r="BX185" s="253" t="n">
        <v>8504</v>
      </c>
      <c r="BY185" s="253" t="n">
        <v>8915</v>
      </c>
      <c r="BZ185" s="253" t="n">
        <v>9997</v>
      </c>
      <c r="CA185" s="253" t="n">
        <v>35562</v>
      </c>
      <c r="CB185" s="254">
        <f>BW185*(1+CB163)</f>
        <v>8759.97830110409</v>
      </c>
      <c r="CC185" s="254">
        <f>BX185*(1+CC163)</f>
        <v>9144.96138872934</v>
      </c>
      <c r="CD185" s="254">
        <f>BY185*(1+CD163)</f>
        <v>9586.93917927117</v>
      </c>
      <c r="CE185" s="254">
        <f>BZ185*(1+CE163)</f>
        <v>10750.4914161721</v>
      </c>
      <c r="CF185" s="254">
        <f>SUM(CB185:CE185)</f>
        <v>38242.3702852767</v>
      </c>
      <c r="CG185" s="254">
        <f>CG179*CG164</f>
        <v>47817.711056314</v>
      </c>
      <c r="CH185" s="254">
        <f>CH179*CH164</f>
        <v>55321.5738002151</v>
      </c>
      <c r="CI185" s="254">
        <f>CI179*CI164</f>
        <v>62932.4779152235</v>
      </c>
      <c r="CJ185" s="254">
        <f>CJ179*CJ164</f>
        <v>70528.3908865335</v>
      </c>
      <c r="CK185" s="19" t="n"/>
      <c r="CM185" s="20">
        <f>IFERROR((CJ185/CA185)^(1/5)-1,"n/m")</f>
        <v>0.146767983899776</v>
      </c>
      <c r="CN185" s="20">
        <f>IFERROR((CA185/BB185)^(1/5)-1,"n/m")</f>
        <v>0.114130478417528</v>
      </c>
      <c r="CO185" s="20">
        <f>IFERROR((CA185/AC185)^(1/10)-1,"n/m")</f>
        <v>0.1148692687252</v>
      </c>
      <c r="CP185" s="20">
        <f>IFERROR((CA185/C185)^(1/20)-1,"n/m")</f>
        <v>0.0879897848150832</v>
      </c>
    </row>
    <row r="186" ht="15" customHeight="1" s="251">
      <c r="B186" s="25" t="inlineStr">
        <is>
          <t>Sales and marketing</t>
        </is>
      </c>
      <c r="C186" s="253" t="n">
        <v>9818</v>
      </c>
      <c r="D186" s="253" t="n">
        <v>11455</v>
      </c>
      <c r="E186" s="253" t="n">
        <v>13039</v>
      </c>
      <c r="F186" s="253" t="n">
        <v>12879</v>
      </c>
      <c r="G186" s="253" t="n">
        <v>13214</v>
      </c>
      <c r="H186" s="253" t="n">
        <v>13940</v>
      </c>
      <c r="I186" s="253" t="n">
        <v>13857</v>
      </c>
      <c r="J186" s="253" t="n">
        <v>2945</v>
      </c>
      <c r="K186" s="253" t="n">
        <v>4309</v>
      </c>
      <c r="L186" s="253" t="n">
        <v>3794</v>
      </c>
      <c r="M186" s="253" t="n">
        <v>4228</v>
      </c>
      <c r="N186" s="253" t="n">
        <v>15276</v>
      </c>
      <c r="O186" s="253" t="n">
        <v>3304</v>
      </c>
      <c r="P186" s="253" t="n">
        <v>4283</v>
      </c>
      <c r="Q186" s="253" t="n">
        <v>3542</v>
      </c>
      <c r="R186" s="253" t="n">
        <v>4682</v>
      </c>
      <c r="S186" s="253" t="n">
        <v>15811</v>
      </c>
      <c r="T186" s="253" t="n">
        <v>3728</v>
      </c>
      <c r="U186" s="253" t="n">
        <v>4315</v>
      </c>
      <c r="V186" s="253" t="n">
        <v>3709</v>
      </c>
      <c r="W186" s="253" t="n">
        <v>3961</v>
      </c>
      <c r="X186" s="253" t="n">
        <v>15713</v>
      </c>
      <c r="Y186" s="253" t="n">
        <v>3333</v>
      </c>
      <c r="Z186" s="253" t="n">
        <v>3960</v>
      </c>
      <c r="AA186" s="253" t="n">
        <v>3406</v>
      </c>
      <c r="AB186" s="253" t="n">
        <v>3998</v>
      </c>
      <c r="AC186" s="253" t="n">
        <v>14697</v>
      </c>
      <c r="AD186" s="253" t="n">
        <v>3233</v>
      </c>
      <c r="AE186" s="253" t="n">
        <v>4071</v>
      </c>
      <c r="AF186" s="253" t="n">
        <v>3879</v>
      </c>
      <c r="AG186" s="253" t="n">
        <v>4356</v>
      </c>
      <c r="AH186" s="253" t="n">
        <v>15539</v>
      </c>
      <c r="AI186" s="253" t="n">
        <v>3812</v>
      </c>
      <c r="AJ186" s="253" t="n">
        <v>4562</v>
      </c>
      <c r="AK186" s="253" t="n">
        <v>4335</v>
      </c>
      <c r="AL186" s="253" t="n">
        <v>4760</v>
      </c>
      <c r="AM186" s="253" t="n">
        <v>17469</v>
      </c>
      <c r="AN186" s="253" t="n">
        <v>4098</v>
      </c>
      <c r="AO186" s="253" t="n">
        <v>4588</v>
      </c>
      <c r="AP186" s="253" t="n">
        <v>4565</v>
      </c>
      <c r="AQ186" s="253" t="n">
        <v>4962</v>
      </c>
      <c r="AR186" s="253" t="n">
        <v>18213</v>
      </c>
      <c r="AS186" s="253" t="n">
        <v>4337</v>
      </c>
      <c r="AT186" s="253" t="n">
        <v>4933</v>
      </c>
      <c r="AU186" s="253" t="n">
        <v>4911</v>
      </c>
      <c r="AV186" s="253" t="n">
        <v>5417</v>
      </c>
      <c r="AW186" s="253" t="n">
        <v>19598</v>
      </c>
      <c r="AX186" s="253" t="n">
        <v>4231</v>
      </c>
      <c r="AY186" s="253" t="n">
        <v>4947</v>
      </c>
      <c r="AZ186" s="253" t="n">
        <v>5082</v>
      </c>
      <c r="BA186" s="253" t="n">
        <v>5857</v>
      </c>
      <c r="BB186" s="253" t="n">
        <v>20117</v>
      </c>
      <c r="BC186" s="253" t="n">
        <v>4547</v>
      </c>
      <c r="BD186" s="253" t="n">
        <v>5379</v>
      </c>
      <c r="BE186" s="253" t="n">
        <v>5595</v>
      </c>
      <c r="BF186" s="253" t="n">
        <v>6304</v>
      </c>
      <c r="BG186" s="253" t="n">
        <v>21825</v>
      </c>
      <c r="BH186" s="253" t="n">
        <v>5126</v>
      </c>
      <c r="BI186" s="253" t="n">
        <v>5679</v>
      </c>
      <c r="BJ186" s="253" t="n">
        <v>5750</v>
      </c>
      <c r="BK186" s="253" t="n">
        <v>6204</v>
      </c>
      <c r="BL186" s="253" t="n">
        <v>22759</v>
      </c>
      <c r="BM186" s="253" t="n">
        <v>5187</v>
      </c>
      <c r="BN186" s="253" t="n">
        <v>6246</v>
      </c>
      <c r="BO186" s="253" t="n">
        <v>6207</v>
      </c>
      <c r="BP186" s="253" t="n">
        <v>6816</v>
      </c>
      <c r="BQ186" s="253" t="n">
        <v>24456</v>
      </c>
      <c r="BR186" s="253" t="n">
        <v>5717</v>
      </c>
      <c r="BS186" s="253" t="n">
        <v>6440</v>
      </c>
      <c r="BT186" s="253" t="n">
        <v>6212</v>
      </c>
      <c r="BU186" s="253" t="n">
        <v>7285</v>
      </c>
      <c r="BV186" s="253" t="n">
        <v>25654</v>
      </c>
      <c r="BW186" s="253" t="n">
        <v>5717</v>
      </c>
      <c r="BX186" s="253" t="n">
        <v>6584</v>
      </c>
      <c r="BY186" s="253" t="n">
        <v>6814</v>
      </c>
      <c r="BZ186" s="253" t="n">
        <v>7595</v>
      </c>
      <c r="CA186" s="253" t="n">
        <v>26710</v>
      </c>
      <c r="CB186" s="254">
        <f>BW186*(1+CB163)</f>
        <v>6147.90031271938</v>
      </c>
      <c r="CC186" s="254">
        <f>BX186*(1+CC163)</f>
        <v>7080.24762269449</v>
      </c>
      <c r="CD186" s="254">
        <f>BY186*(1+CD163)</f>
        <v>7327.58312591742</v>
      </c>
      <c r="CE186" s="254">
        <f>BZ186*(1+CE163)</f>
        <v>8167.44846512222</v>
      </c>
      <c r="CF186" s="254">
        <f>SUM(CB186:CE186)</f>
        <v>28723.1795264535</v>
      </c>
      <c r="CG186" s="254">
        <f>CG179*CG165</f>
        <v>34155.5078973672</v>
      </c>
      <c r="CH186" s="254">
        <f>CH179*CH165</f>
        <v>39515.4098572965</v>
      </c>
      <c r="CI186" s="254">
        <f>CI179*CI165</f>
        <v>44951.7699394454</v>
      </c>
      <c r="CJ186" s="254">
        <f>CJ179*CJ165</f>
        <v>50377.4220618096</v>
      </c>
      <c r="CK186" s="19" t="n"/>
      <c r="CM186" s="20">
        <f>IFERROR((CJ186/CA186)^(1/5)-1,"n/m")</f>
        <v>0.135304633549954</v>
      </c>
      <c r="CN186" s="20">
        <f>IFERROR((CA186/BB186)^(1/5)-1,"n/m")</f>
        <v>0.0583325035987818</v>
      </c>
      <c r="CO186" s="20">
        <f>IFERROR((CA186/AC186)^(1/10)-1,"n/m")</f>
        <v>0.0615599354878051</v>
      </c>
      <c r="CP186" s="20">
        <f>IFERROR((CA186/C186)^(1/20)-1,"n/m")</f>
        <v>0.0513142304664633</v>
      </c>
    </row>
    <row r="187" ht="15" customHeight="1" s="251">
      <c r="B187" s="25" t="inlineStr">
        <is>
          <t>General and administrative</t>
        </is>
      </c>
      <c r="C187" s="253" t="n">
        <v>3758</v>
      </c>
      <c r="D187" s="253" t="n">
        <v>3329</v>
      </c>
      <c r="E187" s="253" t="n">
        <v>5127</v>
      </c>
      <c r="F187" s="253" t="n">
        <v>3700</v>
      </c>
      <c r="G187" s="253" t="n">
        <v>4004</v>
      </c>
      <c r="H187" s="253" t="n">
        <v>4222</v>
      </c>
      <c r="I187" s="253" t="n">
        <v>4569</v>
      </c>
      <c r="J187" s="253" t="n">
        <v>1127</v>
      </c>
      <c r="K187" s="253" t="n">
        <v>1156</v>
      </c>
      <c r="L187" s="253" t="n">
        <v>1656</v>
      </c>
      <c r="M187" s="253" t="n">
        <v>1210</v>
      </c>
      <c r="N187" s="253" t="n">
        <v>5149</v>
      </c>
      <c r="O187" s="253" t="n">
        <v>1010</v>
      </c>
      <c r="P187" s="253" t="n">
        <v>1235</v>
      </c>
      <c r="Q187" s="253" t="n">
        <v>1203</v>
      </c>
      <c r="R187" s="253" t="n">
        <v>1373</v>
      </c>
      <c r="S187" s="253" t="n">
        <v>4821</v>
      </c>
      <c r="T187" s="253" t="n">
        <v>1151</v>
      </c>
      <c r="U187" s="253" t="n">
        <v>1097</v>
      </c>
      <c r="V187" s="253" t="n">
        <v>1091</v>
      </c>
      <c r="W187" s="253" t="n">
        <v>1272</v>
      </c>
      <c r="X187" s="253" t="n">
        <v>4611</v>
      </c>
      <c r="Y187" s="253" t="n">
        <v>1084</v>
      </c>
      <c r="Z187" s="253" t="n">
        <v>1038</v>
      </c>
      <c r="AA187" s="253" t="n">
        <v>1140</v>
      </c>
      <c r="AB187" s="253" t="n">
        <v>1301</v>
      </c>
      <c r="AC187" s="253" t="n">
        <v>4563</v>
      </c>
      <c r="AD187" s="253" t="n">
        <v>1045</v>
      </c>
      <c r="AE187" s="253" t="n">
        <v>879</v>
      </c>
      <c r="AF187" s="253" t="n">
        <v>1202</v>
      </c>
      <c r="AG187" s="253" t="n">
        <v>1355</v>
      </c>
      <c r="AH187" s="253" t="n">
        <v>4481</v>
      </c>
      <c r="AI187" s="253" t="n">
        <v>1166</v>
      </c>
      <c r="AJ187" s="253" t="n">
        <v>1109</v>
      </c>
      <c r="AK187" s="253" t="n">
        <v>1208</v>
      </c>
      <c r="AL187" s="253" t="n">
        <v>1271</v>
      </c>
      <c r="AM187" s="253" t="n">
        <v>4754</v>
      </c>
      <c r="AN187" s="253" t="n">
        <v>1149</v>
      </c>
      <c r="AO187" s="253" t="n">
        <v>1132</v>
      </c>
      <c r="AP187" s="253" t="n">
        <v>1179</v>
      </c>
      <c r="AQ187" s="253" t="n">
        <v>1425</v>
      </c>
      <c r="AR187" s="253" t="n">
        <v>4885</v>
      </c>
      <c r="AS187" s="253" t="n">
        <v>1061</v>
      </c>
      <c r="AT187" s="253" t="n">
        <v>1121</v>
      </c>
      <c r="AU187" s="253" t="n">
        <v>1273</v>
      </c>
      <c r="AV187" s="253" t="n">
        <v>1656</v>
      </c>
      <c r="AW187" s="253" t="n">
        <v>5111</v>
      </c>
      <c r="AX187" s="253" t="n">
        <v>1119</v>
      </c>
      <c r="AY187" s="253" t="n">
        <v>1139</v>
      </c>
      <c r="AZ187" s="253" t="n">
        <v>1327</v>
      </c>
      <c r="BA187" s="253" t="n">
        <v>1522</v>
      </c>
      <c r="BB187" s="253" t="n">
        <v>5107</v>
      </c>
      <c r="BC187" s="253" t="n">
        <v>1287</v>
      </c>
      <c r="BD187" s="253" t="n">
        <v>1384</v>
      </c>
      <c r="BE187" s="253" t="n">
        <v>1480</v>
      </c>
      <c r="BF187" s="253" t="n">
        <v>1749</v>
      </c>
      <c r="BG187" s="253" t="n">
        <v>5900</v>
      </c>
      <c r="BH187" s="253" t="n">
        <v>1398</v>
      </c>
      <c r="BI187" s="253" t="n">
        <v>2337</v>
      </c>
      <c r="BJ187" s="253" t="n">
        <v>1643</v>
      </c>
      <c r="BK187" s="253" t="n">
        <v>2197</v>
      </c>
      <c r="BL187" s="253" t="n">
        <v>7575</v>
      </c>
      <c r="BM187" s="253" t="n">
        <v>1474</v>
      </c>
      <c r="BN187" s="253" t="n">
        <v>1977</v>
      </c>
      <c r="BO187" s="253" t="n">
        <v>1912</v>
      </c>
      <c r="BP187" s="253" t="n">
        <v>2246</v>
      </c>
      <c r="BQ187" s="253" t="n">
        <v>7609</v>
      </c>
      <c r="BR187" s="253" t="n">
        <v>1673</v>
      </c>
      <c r="BS187" s="253" t="n">
        <v>1823</v>
      </c>
      <c r="BT187" s="253" t="n">
        <v>1737</v>
      </c>
      <c r="BU187" s="253" t="n">
        <v>1990</v>
      </c>
      <c r="BV187" s="253" t="n">
        <v>7223</v>
      </c>
      <c r="BW187" s="253" t="n">
        <v>1806</v>
      </c>
      <c r="BX187" s="253" t="n">
        <v>1932</v>
      </c>
      <c r="BY187" s="253" t="n">
        <v>1931</v>
      </c>
      <c r="BZ187" s="253" t="n">
        <v>2287</v>
      </c>
      <c r="CA187" s="253" t="n">
        <v>7956</v>
      </c>
      <c r="CB187" s="254">
        <f>BW187*(1+CB163)</f>
        <v>1942.12138617653</v>
      </c>
      <c r="CC187" s="254">
        <f>BX187*(1+CC163)</f>
        <v>2077.61822707256</v>
      </c>
      <c r="CD187" s="254">
        <f>BY187*(1+CD163)</f>
        <v>2076.54285531942</v>
      </c>
      <c r="CE187" s="254">
        <f>BZ187*(1+CE163)</f>
        <v>2459.37519943838</v>
      </c>
      <c r="CF187" s="254">
        <f>SUM(CB187:CE187)</f>
        <v>8555.65766800689</v>
      </c>
      <c r="CG187" s="254">
        <f>CG179*CG166</f>
        <v>10018.9489832277</v>
      </c>
      <c r="CH187" s="254">
        <f>CH179*CH166</f>
        <v>11591.1868914736</v>
      </c>
      <c r="CI187" s="254">
        <f>CI179*CI166</f>
        <v>13185.8525155706</v>
      </c>
      <c r="CJ187" s="254">
        <f>CJ179*CJ166</f>
        <v>14777.3771381308</v>
      </c>
      <c r="CK187" s="19" t="inlineStr">
        <is>
          <t>Q1/27E: each line = prior-year quarter × (guided operating expenses ÷ prior-year operating expenses); Q2–Q4 carry the Q1 growth; 2028E+: % of revenue.</t>
        </is>
      </c>
      <c r="CM187" s="20">
        <f>IFERROR((CJ187/CA187)^(1/5)-1,"n/m")</f>
        <v>0.131828216112428</v>
      </c>
      <c r="CN187" s="20">
        <f>IFERROR((CA187/BB187)^(1/5)-1,"n/m")</f>
        <v>0.0927121782865972</v>
      </c>
      <c r="CO187" s="20">
        <f>IFERROR((CA187/AC187)^(1/10)-1,"n/m")</f>
        <v>0.0571690267737359</v>
      </c>
      <c r="CP187" s="20">
        <f>IFERROR((CA187/C187)^(1/20)-1,"n/m")</f>
        <v>0.0382140454761395</v>
      </c>
    </row>
    <row r="188" ht="15" customHeight="1" s="251">
      <c r="B188" s="156" t="inlineStr">
        <is>
          <t xml:space="preserve">  Memo: operating expenses (R&amp;D + S&amp;M + G&amp;A)</t>
        </is>
      </c>
      <c r="C188" s="211">
        <f>C185+C186+C187</f>
        <v>20160</v>
      </c>
      <c r="D188" s="211">
        <f>D185+D186+D187</f>
        <v>21905</v>
      </c>
      <c r="E188" s="211">
        <f>E185+E186+E187</f>
        <v>26330</v>
      </c>
      <c r="F188" s="211">
        <f>F185+F186+F187</f>
        <v>25589</v>
      </c>
      <c r="G188" s="211">
        <f>G185+G186+G187</f>
        <v>25932</v>
      </c>
      <c r="H188" s="211">
        <f>H185+H186+H187</f>
        <v>27205</v>
      </c>
      <c r="I188" s="211">
        <f>I185+I186+I187</f>
        <v>28237</v>
      </c>
      <c r="J188" s="211">
        <f>J185+J186+J187</f>
        <v>6532</v>
      </c>
      <c r="K188" s="211">
        <f>K185+K186+K187</f>
        <v>7993</v>
      </c>
      <c r="L188" s="211">
        <f>L185+L186+L187</f>
        <v>8090</v>
      </c>
      <c r="M188" s="211">
        <f>M185+M186+M187</f>
        <v>8221</v>
      </c>
      <c r="N188" s="211">
        <f>N185+N186+N187</f>
        <v>30836</v>
      </c>
      <c r="O188" s="211">
        <f>O185+O186+O187</f>
        <v>7081</v>
      </c>
      <c r="P188" s="211">
        <f>P185+P186+P187</f>
        <v>8266</v>
      </c>
      <c r="Q188" s="211">
        <f>Q185+Q186+Q187</f>
        <v>7488</v>
      </c>
      <c r="R188" s="211">
        <f>R185+R186+R187</f>
        <v>9178</v>
      </c>
      <c r="S188" s="211">
        <f>S185+S186+S187</f>
        <v>32013</v>
      </c>
      <c r="T188" s="211">
        <f>T185+T186+T187</f>
        <v>7944</v>
      </c>
      <c r="U188" s="211">
        <f>U185+U186+U187</f>
        <v>8315</v>
      </c>
      <c r="V188" s="211">
        <f>V185+V186+V187</f>
        <v>7784</v>
      </c>
      <c r="W188" s="211">
        <f>W185+W186+W187</f>
        <v>8327</v>
      </c>
      <c r="X188" s="211">
        <f>X185+X186+X187</f>
        <v>32370</v>
      </c>
      <c r="Y188" s="211">
        <f>Y185+Y186+Y187</f>
        <v>7379</v>
      </c>
      <c r="Z188" s="211">
        <f>Z185+Z186+Z187</f>
        <v>7898</v>
      </c>
      <c r="AA188" s="211">
        <f>AA185+AA186+AA187</f>
        <v>7526</v>
      </c>
      <c r="AB188" s="211">
        <f>AB185+AB186+AB187</f>
        <v>8445</v>
      </c>
      <c r="AC188" s="211">
        <f>AC185+AC186+AC187</f>
        <v>31248</v>
      </c>
      <c r="AD188" s="211">
        <f>AD185+AD186+AD187</f>
        <v>7384</v>
      </c>
      <c r="AE188" s="211">
        <f>AE185+AE186+AE187</f>
        <v>8012</v>
      </c>
      <c r="AF188" s="211">
        <f>AF185+AF186+AF187</f>
        <v>8436</v>
      </c>
      <c r="AG188" s="211">
        <f>AG185+AG186+AG187</f>
        <v>9225</v>
      </c>
      <c r="AH188" s="211">
        <f>AH185+AH186+AH187</f>
        <v>33057</v>
      </c>
      <c r="AI188" s="211">
        <f>AI185+AI186+AI187</f>
        <v>8552</v>
      </c>
      <c r="AJ188" s="211">
        <f>AJ185+AJ186+AJ187</f>
        <v>9175</v>
      </c>
      <c r="AK188" s="211">
        <f>AK185+AK186+AK187</f>
        <v>9258</v>
      </c>
      <c r="AL188" s="211">
        <f>AL185+AL186+AL187</f>
        <v>9964</v>
      </c>
      <c r="AM188" s="211">
        <f>AM185+AM186+AM187</f>
        <v>36949</v>
      </c>
      <c r="AN188" s="211">
        <f>AN185+AN186+AN187</f>
        <v>9224</v>
      </c>
      <c r="AO188" s="211">
        <f>AO185+AO186+AO187</f>
        <v>9790</v>
      </c>
      <c r="AP188" s="211">
        <f>AP185+AP186+AP187</f>
        <v>10060</v>
      </c>
      <c r="AQ188" s="211">
        <f>AQ185+AQ186+AQ187</f>
        <v>10900</v>
      </c>
      <c r="AR188" s="211">
        <f>AR185+AR186+AR187</f>
        <v>39974</v>
      </c>
      <c r="AS188" s="211">
        <f>AS185+AS186+AS187</f>
        <v>9963</v>
      </c>
      <c r="AT188" s="211">
        <f>AT185+AT186+AT187</f>
        <v>10657</v>
      </c>
      <c r="AU188" s="211">
        <f>AU185+AU186+AU187</f>
        <v>11071</v>
      </c>
      <c r="AV188" s="211">
        <f>AV185+AV186+AV187</f>
        <v>12287</v>
      </c>
      <c r="AW188" s="211">
        <f>AW185+AW186+AW187</f>
        <v>43978</v>
      </c>
      <c r="AX188" s="211">
        <f>AX185+AX186+AX187</f>
        <v>10276</v>
      </c>
      <c r="AY188" s="211">
        <f>AY185+AY186+AY187</f>
        <v>10985</v>
      </c>
      <c r="AZ188" s="211">
        <f>AZ185+AZ186+AZ187</f>
        <v>11613</v>
      </c>
      <c r="BA188" s="211">
        <f>BA185+BA186+BA187</f>
        <v>13066</v>
      </c>
      <c r="BB188" s="211">
        <f>BB185+BB186+BB187</f>
        <v>45940</v>
      </c>
      <c r="BC188" s="211">
        <f>BC185+BC186+BC187</f>
        <v>11433</v>
      </c>
      <c r="BD188" s="211">
        <f>BD185+BD186+BD187</f>
        <v>12521</v>
      </c>
      <c r="BE188" s="211">
        <f>BE185+BE186+BE187</f>
        <v>13381</v>
      </c>
      <c r="BF188" s="211">
        <f>BF185+BF186+BF187</f>
        <v>14902</v>
      </c>
      <c r="BG188" s="211">
        <f>BG185+BG186+BG187</f>
        <v>52237</v>
      </c>
      <c r="BH188" s="211">
        <f>BH185+BH186+BH187</f>
        <v>13152</v>
      </c>
      <c r="BI188" s="211">
        <f>BI185+BI186+BI187</f>
        <v>14860</v>
      </c>
      <c r="BJ188" s="211">
        <f>BJ185+BJ186+BJ187</f>
        <v>14377</v>
      </c>
      <c r="BK188" s="211">
        <f>BK185+BK186+BK187</f>
        <v>15140</v>
      </c>
      <c r="BL188" s="211">
        <f>BL185+BL186+BL187</f>
        <v>57529</v>
      </c>
      <c r="BM188" s="211">
        <f>BM185+BM186+BM187</f>
        <v>13320</v>
      </c>
      <c r="BN188" s="211">
        <f>BN185+BN186+BN187</f>
        <v>15365</v>
      </c>
      <c r="BO188" s="211">
        <f>BO185+BO186+BO187</f>
        <v>15772</v>
      </c>
      <c r="BP188" s="211">
        <f>BP185+BP186+BP187</f>
        <v>17118</v>
      </c>
      <c r="BQ188" s="211">
        <f>BQ185+BQ186+BQ187</f>
        <v>61575</v>
      </c>
      <c r="BR188" s="211">
        <f>BR185+BR186+BR187</f>
        <v>14934</v>
      </c>
      <c r="BS188" s="211">
        <f>BS185+BS186+BS187</f>
        <v>16180</v>
      </c>
      <c r="BT188" s="211">
        <f>BT185+BT186+BT187</f>
        <v>16147</v>
      </c>
      <c r="BU188" s="211">
        <f>BU185+BU186+BU187</f>
        <v>18104</v>
      </c>
      <c r="BV188" s="211">
        <f>BV185+BV186+BV187</f>
        <v>65365</v>
      </c>
      <c r="BW188" s="211">
        <f>BW185+BW186+BW187</f>
        <v>15669</v>
      </c>
      <c r="BX188" s="211">
        <f>BX185+BX186+BX187</f>
        <v>17020</v>
      </c>
      <c r="BY188" s="211">
        <f>BY185+BY186+BY187</f>
        <v>17660</v>
      </c>
      <c r="BZ188" s="211">
        <f>BZ185+BZ186+BZ187</f>
        <v>19879</v>
      </c>
      <c r="CA188" s="211">
        <f>CA185+CA186+CA187</f>
        <v>70228</v>
      </c>
      <c r="CB188" s="254">
        <f>CB185+CB186+CB187</f>
        <v>16850</v>
      </c>
      <c r="CC188" s="254">
        <f>CC185+CC186+CC187</f>
        <v>18302.8272384964</v>
      </c>
      <c r="CD188" s="254">
        <f>CD185+CD186+CD187</f>
        <v>18991.065160508</v>
      </c>
      <c r="CE188" s="254">
        <f>CE185+CE186+CE187</f>
        <v>21377.3150807327</v>
      </c>
      <c r="CF188" s="254">
        <f>CF185+CF186+CF187</f>
        <v>75521.2074797371</v>
      </c>
      <c r="CG188" s="254">
        <f>CG185+CG186+CG187</f>
        <v>91992.1679369089</v>
      </c>
      <c r="CH188" s="254">
        <f>CH185+CH186+CH187</f>
        <v>106428.170548985</v>
      </c>
      <c r="CI188" s="254">
        <f>CI185+CI186+CI187</f>
        <v>121070.100370239</v>
      </c>
      <c r="CJ188" s="254">
        <f>CJ185+CJ186+CJ187</f>
        <v>135683.190086474</v>
      </c>
      <c r="CK188" s="153" t="n"/>
    </row>
    <row r="189" ht="15" customHeight="1" s="251">
      <c r="B189" s="25" t="inlineStr">
        <is>
          <t>Impairment, integration and restructuring; employee severance; goodwill impairment</t>
        </is>
      </c>
      <c r="C189" s="253" t="n">
        <v>0</v>
      </c>
      <c r="D189" s="253" t="n">
        <v>0</v>
      </c>
      <c r="E189" s="253" t="n">
        <v>0</v>
      </c>
      <c r="F189" s="253" t="n">
        <v>330</v>
      </c>
      <c r="G189" s="253" t="n">
        <v>59</v>
      </c>
      <c r="H189" s="253" t="n">
        <v>0</v>
      </c>
      <c r="I189" s="253" t="n">
        <v>6193</v>
      </c>
      <c r="J189" s="253" t="n">
        <v>0</v>
      </c>
      <c r="K189" s="253" t="n">
        <v>0</v>
      </c>
      <c r="L189" s="253" t="n">
        <v>0</v>
      </c>
      <c r="M189" s="253" t="n">
        <v>0</v>
      </c>
      <c r="N189" s="253" t="n">
        <v>0</v>
      </c>
      <c r="O189" s="253" t="n">
        <v>0</v>
      </c>
      <c r="P189" s="253" t="n">
        <v>0</v>
      </c>
      <c r="Q189" s="253" t="n">
        <v>0</v>
      </c>
      <c r="R189" s="253" t="n">
        <v>127</v>
      </c>
      <c r="S189" s="253" t="n">
        <v>127</v>
      </c>
      <c r="T189" s="253" t="n">
        <v>1140</v>
      </c>
      <c r="U189" s="253" t="n">
        <v>243</v>
      </c>
      <c r="V189" s="253" t="n">
        <v>190</v>
      </c>
      <c r="W189" s="253" t="n">
        <v>8438</v>
      </c>
      <c r="X189" s="253" t="n">
        <v>10011</v>
      </c>
      <c r="Y189" s="253" t="n">
        <v>0</v>
      </c>
      <c r="Z189" s="253" t="n">
        <v>0</v>
      </c>
      <c r="AA189" s="253" t="n">
        <v>0</v>
      </c>
      <c r="AB189" s="253" t="n">
        <v>1110</v>
      </c>
      <c r="AC189" s="253" t="n">
        <v>1110</v>
      </c>
      <c r="AD189" s="253" t="n">
        <v>0</v>
      </c>
      <c r="AE189" s="253" t="n">
        <v>0</v>
      </c>
      <c r="AF189" s="253" t="n">
        <v>0</v>
      </c>
      <c r="AG189" s="253" t="n">
        <v>306</v>
      </c>
      <c r="AH189" s="253" t="n">
        <v>306</v>
      </c>
      <c r="AI189" s="253" t="n">
        <v>0</v>
      </c>
      <c r="AJ189" s="253" t="n">
        <v>0</v>
      </c>
      <c r="AK189" s="253" t="n">
        <v>0</v>
      </c>
      <c r="AL189" s="253" t="n">
        <v>0</v>
      </c>
      <c r="AM189" s="253" t="n">
        <v>0</v>
      </c>
      <c r="AN189" s="253" t="n">
        <v>0</v>
      </c>
      <c r="AO189" s="253" t="n">
        <v>0</v>
      </c>
      <c r="AP189" s="253" t="n">
        <v>0</v>
      </c>
      <c r="AQ189" s="253" t="n">
        <v>0</v>
      </c>
      <c r="AR189" s="253" t="n">
        <v>0</v>
      </c>
      <c r="AS189" s="253" t="n">
        <v>0</v>
      </c>
      <c r="AT189" s="253" t="n">
        <v>0</v>
      </c>
      <c r="AU189" s="253" t="n">
        <v>0</v>
      </c>
      <c r="AV189" s="253" t="n">
        <v>0</v>
      </c>
      <c r="AW189" s="253" t="n">
        <v>0</v>
      </c>
      <c r="AX189" s="253" t="n">
        <v>0</v>
      </c>
      <c r="AY189" s="253" t="n">
        <v>0</v>
      </c>
      <c r="AZ189" s="253" t="n">
        <v>0</v>
      </c>
      <c r="BA189" s="253" t="n">
        <v>0</v>
      </c>
      <c r="BB189" s="253" t="n">
        <v>0</v>
      </c>
      <c r="BC189" s="253" t="n">
        <v>0</v>
      </c>
      <c r="BD189" s="253" t="n">
        <v>0</v>
      </c>
      <c r="BE189" s="253" t="n">
        <v>0</v>
      </c>
      <c r="BF189" s="253" t="n">
        <v>0</v>
      </c>
      <c r="BG189" s="253" t="n">
        <v>0</v>
      </c>
      <c r="BH189" s="253" t="n">
        <v>0</v>
      </c>
      <c r="BI189" s="253" t="n">
        <v>0</v>
      </c>
      <c r="BJ189" s="253" t="n">
        <v>0</v>
      </c>
      <c r="BK189" s="253" t="n">
        <v>0</v>
      </c>
      <c r="BL189" s="253" t="n">
        <v>0</v>
      </c>
      <c r="BM189" s="253" t="n">
        <v>0</v>
      </c>
      <c r="BN189" s="253" t="n">
        <v>0</v>
      </c>
      <c r="BO189" s="253" t="n">
        <v>0</v>
      </c>
      <c r="BP189" s="253" t="n">
        <v>0</v>
      </c>
      <c r="BQ189" s="253" t="n">
        <v>0</v>
      </c>
      <c r="BR189" s="253" t="n">
        <v>0</v>
      </c>
      <c r="BS189" s="253" t="n">
        <v>0</v>
      </c>
      <c r="BT189" s="253" t="n">
        <v>0</v>
      </c>
      <c r="BU189" s="253" t="n">
        <v>0</v>
      </c>
      <c r="BV189" s="253" t="n">
        <v>0</v>
      </c>
      <c r="BW189" s="253" t="n">
        <v>0</v>
      </c>
      <c r="BX189" s="253" t="n">
        <v>0</v>
      </c>
      <c r="BY189" s="253" t="n">
        <v>0</v>
      </c>
      <c r="BZ189" s="253" t="n">
        <v>0</v>
      </c>
      <c r="CA189" s="253" t="n">
        <v>0</v>
      </c>
      <c r="CB189" s="254">
        <f>0</f>
        <v>0</v>
      </c>
      <c r="CC189" s="254">
        <f>0</f>
        <v>0</v>
      </c>
      <c r="CD189" s="254">
        <f>0</f>
        <v>0</v>
      </c>
      <c r="CE189" s="254">
        <f>0</f>
        <v>0</v>
      </c>
      <c r="CF189" s="254">
        <f>SUM(CB189:CE189)</f>
        <v>0</v>
      </c>
      <c r="CG189" s="254">
        <f>0</f>
        <v>0</v>
      </c>
      <c r="CH189" s="254">
        <f>0</f>
        <v>0</v>
      </c>
      <c r="CI189" s="254">
        <f>0</f>
        <v>0</v>
      </c>
      <c r="CJ189" s="254">
        <f>0</f>
        <v>0</v>
      </c>
      <c r="CK189" s="19" t="n"/>
    </row>
    <row r="190" ht="15" customHeight="1" s="251">
      <c r="B190" s="55" t="inlineStr">
        <is>
          <t>Operating income</t>
        </is>
      </c>
      <c r="C190" s="271" t="n">
        <v>16472</v>
      </c>
      <c r="D190" s="271" t="n">
        <v>18524</v>
      </c>
      <c r="E190" s="271" t="n">
        <v>22492</v>
      </c>
      <c r="F190" s="271" t="n">
        <v>20363</v>
      </c>
      <c r="G190" s="271" t="n">
        <v>24098</v>
      </c>
      <c r="H190" s="271" t="n">
        <v>27161</v>
      </c>
      <c r="I190" s="271" t="n">
        <v>21763</v>
      </c>
      <c r="J190" s="271" t="n">
        <v>5308</v>
      </c>
      <c r="K190" s="271" t="n">
        <v>7771</v>
      </c>
      <c r="L190" s="271" t="n">
        <v>7612</v>
      </c>
      <c r="M190" s="271" t="n">
        <v>6073</v>
      </c>
      <c r="N190" s="271" t="n">
        <v>26764</v>
      </c>
      <c r="O190" s="271" t="n">
        <v>6334</v>
      </c>
      <c r="P190" s="271" t="n">
        <v>7969</v>
      </c>
      <c r="Q190" s="271" t="n">
        <v>6974</v>
      </c>
      <c r="R190" s="271" t="n">
        <v>6482</v>
      </c>
      <c r="S190" s="271" t="n">
        <v>27759</v>
      </c>
      <c r="T190" s="271" t="n">
        <v>5844</v>
      </c>
      <c r="U190" s="271" t="n">
        <v>7776</v>
      </c>
      <c r="V190" s="271" t="n">
        <v>6594</v>
      </c>
      <c r="W190" s="271" t="n">
        <v>-2053</v>
      </c>
      <c r="X190" s="271" t="n">
        <v>18161</v>
      </c>
      <c r="Y190" s="271" t="n">
        <v>5793</v>
      </c>
      <c r="Z190" s="271" t="n">
        <v>6026</v>
      </c>
      <c r="AA190" s="271" t="n">
        <v>5283</v>
      </c>
      <c r="AB190" s="271" t="n">
        <v>3080</v>
      </c>
      <c r="AC190" s="271" t="n">
        <v>20182</v>
      </c>
      <c r="AD190" s="271" t="n">
        <v>5225</v>
      </c>
      <c r="AE190" s="271" t="n">
        <v>6177</v>
      </c>
      <c r="AF190" s="271" t="n">
        <v>5594</v>
      </c>
      <c r="AG190" s="271" t="n">
        <v>5330</v>
      </c>
      <c r="AH190" s="271" t="n">
        <v>22326</v>
      </c>
      <c r="AI190" s="271" t="n">
        <v>7708</v>
      </c>
      <c r="AJ190" s="271" t="n">
        <v>8679</v>
      </c>
      <c r="AK190" s="271" t="n">
        <v>8292</v>
      </c>
      <c r="AL190" s="271" t="n">
        <v>10379</v>
      </c>
      <c r="AM190" s="271" t="n">
        <v>35058</v>
      </c>
      <c r="AN190" s="271" t="n">
        <v>9955</v>
      </c>
      <c r="AO190" s="271" t="n">
        <v>10258</v>
      </c>
      <c r="AP190" s="271" t="n">
        <v>10341</v>
      </c>
      <c r="AQ190" s="271" t="n">
        <v>12405</v>
      </c>
      <c r="AR190" s="271" t="n">
        <v>42959</v>
      </c>
      <c r="AS190" s="271" t="n">
        <v>12686</v>
      </c>
      <c r="AT190" s="271" t="n">
        <v>13891</v>
      </c>
      <c r="AU190" s="271" t="n">
        <v>12975</v>
      </c>
      <c r="AV190" s="271" t="n">
        <v>13407</v>
      </c>
      <c r="AW190" s="271" t="n">
        <v>52959</v>
      </c>
      <c r="AX190" s="271" t="n">
        <v>15876</v>
      </c>
      <c r="AY190" s="271" t="n">
        <v>17897</v>
      </c>
      <c r="AZ190" s="271" t="n">
        <v>17048</v>
      </c>
      <c r="BA190" s="271" t="n">
        <v>19095</v>
      </c>
      <c r="BB190" s="271" t="n">
        <v>69916</v>
      </c>
      <c r="BC190" s="271" t="n">
        <v>20238</v>
      </c>
      <c r="BD190" s="271" t="n">
        <v>22247</v>
      </c>
      <c r="BE190" s="271" t="n">
        <v>20364</v>
      </c>
      <c r="BF190" s="271" t="n">
        <v>20534</v>
      </c>
      <c r="BG190" s="271" t="n">
        <v>83383</v>
      </c>
      <c r="BH190" s="271" t="n">
        <v>21518</v>
      </c>
      <c r="BI190" s="271" t="n">
        <v>20399</v>
      </c>
      <c r="BJ190" s="271" t="n">
        <v>22352</v>
      </c>
      <c r="BK190" s="271" t="n">
        <v>24254</v>
      </c>
      <c r="BL190" s="271" t="n">
        <v>88523</v>
      </c>
      <c r="BM190" s="271" t="n">
        <v>26895</v>
      </c>
      <c r="BN190" s="271" t="n">
        <v>27032</v>
      </c>
      <c r="BO190" s="271" t="n">
        <v>27581</v>
      </c>
      <c r="BP190" s="271" t="n">
        <v>27925</v>
      </c>
      <c r="BQ190" s="271" t="n">
        <v>109433</v>
      </c>
      <c r="BR190" s="271" t="n">
        <v>30552</v>
      </c>
      <c r="BS190" s="271" t="n">
        <v>31653</v>
      </c>
      <c r="BT190" s="271" t="n">
        <v>32000</v>
      </c>
      <c r="BU190" s="271" t="n">
        <v>34323</v>
      </c>
      <c r="BV190" s="271" t="n">
        <v>128528</v>
      </c>
      <c r="BW190" s="271" t="n">
        <v>37961</v>
      </c>
      <c r="BX190" s="271" t="n">
        <v>38275</v>
      </c>
      <c r="BY190" s="271" t="n">
        <v>38398</v>
      </c>
      <c r="BZ190" s="271" t="n">
        <v>40603</v>
      </c>
      <c r="CA190" s="271" t="n">
        <v>155237</v>
      </c>
      <c r="CB190" s="267">
        <f>CB133-CB221</f>
        <v>43850</v>
      </c>
      <c r="CC190" s="267">
        <f>CC133-CC221</f>
        <v>44345.9445535205</v>
      </c>
      <c r="CD190" s="267">
        <f>CD133-CD221</f>
        <v>44711.946334539</v>
      </c>
      <c r="CE190" s="267">
        <f>CE133-CE221</f>
        <v>47593.2437102201</v>
      </c>
      <c r="CF190" s="267">
        <f>SUM(CB190:CE190)</f>
        <v>180501.13459828</v>
      </c>
      <c r="CG190" s="267">
        <f>CG133-CG221</f>
        <v>202794.153812307</v>
      </c>
      <c r="CH190" s="267">
        <f>CH133-CH221</f>
        <v>233435.75860592</v>
      </c>
      <c r="CI190" s="267">
        <f>CI133-CI221</f>
        <v>269519.715244814</v>
      </c>
      <c r="CJ190" s="267">
        <f>CJ133-CJ221</f>
        <v>306218.502299503</v>
      </c>
      <c r="CK190" s="153" t="inlineStr">
        <is>
          <t>Forecast = segment build operating income − adjusting items (nil).</t>
        </is>
      </c>
      <c r="CM190" s="20">
        <f>IFERROR((CJ190/CA190)^(1/5)-1,"n/m")</f>
        <v>0.145532031143458</v>
      </c>
      <c r="CN190" s="20">
        <f>IFERROR((CA190/BB190)^(1/5)-1,"n/m")</f>
        <v>0.172961435107862</v>
      </c>
      <c r="CO190" s="20">
        <f>IFERROR((CA190/AC190)^(1/10)-1,"n/m")</f>
        <v>0.226318002890237</v>
      </c>
      <c r="CP190" s="20">
        <f>IFERROR((CA190/C190)^(1/20)-1,"n/m")</f>
        <v>0.118696927732799</v>
      </c>
    </row>
    <row r="191" ht="15" customHeight="1" s="251">
      <c r="B191" s="25" t="inlineStr">
        <is>
          <t xml:space="preserve">  Operating margin %</t>
        </is>
      </c>
      <c r="C191" s="215">
        <f>IF(AND(ISNUMBER(C190),ISNUMBER(C179)),IFERROR(C190/C179,""),"")</f>
        <v>0.371979585384581</v>
      </c>
      <c r="D191" s="215">
        <f>IF(AND(ISNUMBER(D190),ISNUMBER(D179)),IFERROR(D190/D179,""),"")</f>
        <v>0.362348890888463</v>
      </c>
      <c r="E191" s="215">
        <f>IF(AND(ISNUMBER(E190),ISNUMBER(E179)),IFERROR(E190/E179,""),"")</f>
        <v>0.372260840781198</v>
      </c>
      <c r="F191" s="215">
        <f>IF(AND(ISNUMBER(F190),ISNUMBER(F179)),IFERROR(F190/F179,""),"")</f>
        <v>0.348460735492924</v>
      </c>
      <c r="G191" s="215">
        <f>IF(AND(ISNUMBER(G190),ISNUMBER(G179)),IFERROR(G190/G179,""),"")</f>
        <v>0.385666730683055</v>
      </c>
      <c r="H191" s="215">
        <f>IF(AND(ISNUMBER(H190),ISNUMBER(H179)),IFERROR(H190/H179,""),"")</f>
        <v>0.388330497690977</v>
      </c>
      <c r="I191" s="215">
        <f>IF(AND(ISNUMBER(I190),ISNUMBER(I179)),IFERROR(I190/I179,""),"")</f>
        <v>0.295199598497077</v>
      </c>
      <c r="J191" s="215">
        <f>IF(AND(ISNUMBER(J190),ISNUMBER(J179)),IFERROR(J190/J179,""),"")</f>
        <v>0.331584207896052</v>
      </c>
      <c r="K191" s="215">
        <f>IF(AND(ISNUMBER(K190),ISNUMBER(K179)),IFERROR(K190/K179,""),"")</f>
        <v>0.362183072334079</v>
      </c>
      <c r="L191" s="215">
        <f>IF(AND(ISNUMBER(L190),ISNUMBER(L179)),IFERROR(L190/L179,""),"")</f>
        <v>0.371516423446728</v>
      </c>
      <c r="M191" s="215">
        <f>IF(AND(ISNUMBER(M190),ISNUMBER(M179)),IFERROR(M190/M179,""),"")</f>
        <v>0.305237233614797</v>
      </c>
      <c r="N191" s="215">
        <f>IF(AND(ISNUMBER(N190),ISNUMBER(N179)),IFERROR(N190/N179,""),"")</f>
        <v>0.343793754576167</v>
      </c>
      <c r="O191" s="215">
        <f>IF(AND(ISNUMBER(O190),ISNUMBER(O179)),IFERROR(O190/O179,""),"")</f>
        <v>0.341842517135301</v>
      </c>
      <c r="P191" s="215">
        <f>IF(AND(ISNUMBER(P190),ISNUMBER(P179)),IFERROR(P190/P179,""),"")</f>
        <v>0.325013255026714</v>
      </c>
      <c r="Q191" s="215">
        <f>IF(AND(ISNUMBER(Q190),ISNUMBER(Q179)),IFERROR(Q190/Q179,""),"")</f>
        <v>0.341812478557075</v>
      </c>
      <c r="R191" s="215">
        <f>IF(AND(ISNUMBER(R190),ISNUMBER(R179)),IFERROR(R190/R179,""),"")</f>
        <v>0.277221794542811</v>
      </c>
      <c r="S191" s="215">
        <f>IF(AND(ISNUMBER(S190),ISNUMBER(S179)),IFERROR(S190/S179,""),"")</f>
        <v>0.319682609146292</v>
      </c>
      <c r="T191" s="215">
        <f>IF(AND(ISNUMBER(T190),ISNUMBER(T179)),IFERROR(T190/T179,""),"")</f>
        <v>0.25188569458213</v>
      </c>
      <c r="U191" s="215">
        <f>IF(AND(ISNUMBER(U190),ISNUMBER(U179)),IFERROR(U190/U179,""),"")</f>
        <v>0.29376652814507</v>
      </c>
      <c r="V191" s="215">
        <f>IF(AND(ISNUMBER(V190),ISNUMBER(V179)),IFERROR(V190/V179,""),"")</f>
        <v>0.303465414883336</v>
      </c>
      <c r="W191" s="215">
        <f>IF(AND(ISNUMBER(W190),ISNUMBER(W179)),IFERROR(W190/W179,""),"")</f>
        <v>-0.092560865644725</v>
      </c>
      <c r="X191" s="215">
        <f>IF(AND(ISNUMBER(X190),ISNUMBER(X179)),IFERROR(X190/X179,""),"")</f>
        <v>0.194069245565292</v>
      </c>
      <c r="Y191" s="215">
        <f>IF(AND(ISNUMBER(Y190),ISNUMBER(Y179)),IFERROR(Y190/Y179,""),"")</f>
        <v>0.284263212130134</v>
      </c>
      <c r="Z191" s="215">
        <f>IF(AND(ISNUMBER(Z190),ISNUMBER(Z179)),IFERROR(Z190/Z179,""),"")</f>
        <v>0.253235837955959</v>
      </c>
      <c r="AA191" s="215">
        <f>IF(AND(ISNUMBER(AA190),ISNUMBER(AA179)),IFERROR(AA190/AA179,""),"")</f>
        <v>0.257318201743705</v>
      </c>
      <c r="AB191" s="215">
        <f>IF(AND(ISNUMBER(AB190),ISNUMBER(AB179)),IFERROR(AB190/AB179,""),"")</f>
        <v>0.149413020277481</v>
      </c>
      <c r="AC191" s="215">
        <f>IF(AND(ISNUMBER(AC190),ISNUMBER(AC179)),IFERROR(AC190/AC179,""),"")</f>
        <v>0.236544772620722</v>
      </c>
      <c r="AD191" s="215">
        <f>IF(AND(ISNUMBER(AD190),ISNUMBER(AD179)),IFERROR(AD190/AD179,""),"")</f>
        <v>0.255463746149709</v>
      </c>
      <c r="AE191" s="215">
        <f>IF(AND(ISNUMBER(AE190),ISNUMBER(AE179)),IFERROR(AE190/AE179,""),"")</f>
        <v>0.256413449564135</v>
      </c>
      <c r="AF191" s="215">
        <f>IF(AND(ISNUMBER(AF190),ISNUMBER(AF179)),IFERROR(AF190/AF179,""),"")</f>
        <v>0.25323675871435</v>
      </c>
      <c r="AG191" s="215">
        <f>IF(AND(ISNUMBER(AG190),ISNUMBER(AG179)),IFERROR(AG190/AG179,""),"")</f>
        <v>0.228588583436977</v>
      </c>
      <c r="AH191" s="215">
        <f>IF(AND(ISNUMBER(AH190),ISNUMBER(AH179)),IFERROR(AH190/AH179,""),"")</f>
        <v>0.248204558087827</v>
      </c>
      <c r="AI191" s="215">
        <f>IF(AND(ISNUMBER(AI190),ISNUMBER(AI179)),IFERROR(AI190/AI179,""),"")</f>
        <v>0.314125030564838</v>
      </c>
      <c r="AJ191" s="215">
        <f>IF(AND(ISNUMBER(AJ190),ISNUMBER(AJ179)),IFERROR(AJ190/AJ179,""),"")</f>
        <v>0.300124489937063</v>
      </c>
      <c r="AK191" s="215">
        <f>IF(AND(ISNUMBER(AK190),ISNUMBER(AK179)),IFERROR(AK190/AK179,""),"")</f>
        <v>0.309183787613259</v>
      </c>
      <c r="AL191" s="215">
        <f>IF(AND(ISNUMBER(AL190),ISNUMBER(AL179)),IFERROR(AL190/AL179,""),"")</f>
        <v>0.344989197274389</v>
      </c>
      <c r="AM191" s="215">
        <f>IF(AND(ISNUMBER(AM190),ISNUMBER(AM179)),IFERROR(AM190/AM179,""),"")</f>
        <v>0.317669445451251</v>
      </c>
      <c r="AN191" s="215">
        <f>IF(AND(ISNUMBER(AN190),ISNUMBER(AN179)),IFERROR(AN190/AN179,""),"")</f>
        <v>0.342284417549168</v>
      </c>
      <c r="AO191" s="215">
        <f>IF(AND(ISNUMBER(AO190),ISNUMBER(AO179)),IFERROR(AO190/AO179,""),"")</f>
        <v>0.315912660527856</v>
      </c>
      <c r="AP191" s="215">
        <f>IF(AND(ISNUMBER(AP190),ISNUMBER(AP179)),IFERROR(AP190/AP179,""),"")</f>
        <v>0.338261751332963</v>
      </c>
      <c r="AQ191" s="215">
        <f>IF(AND(ISNUMBER(AQ190),ISNUMBER(AQ179)),IFERROR(AQ190/AQ179,""),"")</f>
        <v>0.367915294955067</v>
      </c>
      <c r="AR191" s="215">
        <f>IF(AND(ISNUMBER(AR190),ISNUMBER(AR179)),IFERROR(AR190/AR179,""),"")</f>
        <v>0.341369802054942</v>
      </c>
      <c r="AS191" s="215">
        <f>IF(AND(ISNUMBER(AS190),ISNUMBER(AS179)),IFERROR(AS190/AS179,""),"")</f>
        <v>0.383784601421873</v>
      </c>
      <c r="AT191" s="215">
        <f>IF(AND(ISNUMBER(AT190),ISNUMBER(AT179)),IFERROR(AT190/AT179,""),"")</f>
        <v>0.376388663090012</v>
      </c>
      <c r="AU191" s="215">
        <f>IF(AND(ISNUMBER(AU190),ISNUMBER(AU179)),IFERROR(AU190/AU179,""),"")</f>
        <v>0.370491990519974</v>
      </c>
      <c r="AV191" s="215">
        <f>IF(AND(ISNUMBER(AV190),ISNUMBER(AV179)),IFERROR(AV190/AV179,""),"")</f>
        <v>0.352509662661373</v>
      </c>
      <c r="AW191" s="215">
        <f>IF(AND(ISNUMBER(AW190),ISNUMBER(AW179)),IFERROR(AW190/AW179,""),"")</f>
        <v>0.370303814285215</v>
      </c>
      <c r="AX191" s="215">
        <f>IF(AND(ISNUMBER(AX190),ISNUMBER(AX179)),IFERROR(AX190/AX179,""),"")</f>
        <v>0.427302578457232</v>
      </c>
      <c r="AY191" s="215">
        <f>IF(AND(ISNUMBER(AY190),ISNUMBER(AY179)),IFERROR(AY190/AY179,""),"")</f>
        <v>0.415474974463739</v>
      </c>
      <c r="AZ191" s="215">
        <f>IF(AND(ISNUMBER(AZ190),ISNUMBER(AZ179)),IFERROR(AZ190/AZ179,""),"")</f>
        <v>0.408766124778209</v>
      </c>
      <c r="BA191" s="215">
        <f>IF(AND(ISNUMBER(BA190),ISNUMBER(BA179)),IFERROR(BA190/BA179,""),"")</f>
        <v>0.413741549661986</v>
      </c>
      <c r="BB191" s="215">
        <f>IF(AND(ISNUMBER(BB190),ISNUMBER(BB179)),IFERROR(BB190/BB179,""),"")</f>
        <v>0.415948788729713</v>
      </c>
      <c r="BC191" s="215">
        <f>IF(AND(ISNUMBER(BC190),ISNUMBER(BC179)),IFERROR(BC190/BC179,""),"")</f>
        <v>0.446587373391884</v>
      </c>
      <c r="BD191" s="215">
        <f>IF(AND(ISNUMBER(BD190),ISNUMBER(BD179)),IFERROR(BD190/BD179,""),"")</f>
        <v>0.430076554283947</v>
      </c>
      <c r="BE191" s="215">
        <f>IF(AND(ISNUMBER(BE190),ISNUMBER(BE179)),IFERROR(BE190/BE179,""),"")</f>
        <v>0.412560777957861</v>
      </c>
      <c r="BF191" s="215">
        <f>IF(AND(ISNUMBER(BF190),ISNUMBER(BF179)),IFERROR(BF190/BF179,""),"")</f>
        <v>0.395912465053504</v>
      </c>
      <c r="BG191" s="215">
        <f>IF(AND(ISNUMBER(BG190),ISNUMBER(BG179)),IFERROR(BG190/BG179,""),"")</f>
        <v>0.420552781560498</v>
      </c>
      <c r="BH191" s="215">
        <f>IF(AND(ISNUMBER(BH190),ISNUMBER(BH179)),IFERROR(BH190/BH179,""),"")</f>
        <v>0.429312477554766</v>
      </c>
      <c r="BI191" s="215">
        <f>IF(AND(ISNUMBER(BI190),ISNUMBER(BI179)),IFERROR(BI190/BI179,""),"")</f>
        <v>0.386732894761787</v>
      </c>
      <c r="BJ191" s="215">
        <f>IF(AND(ISNUMBER(BJ190),ISNUMBER(BJ179)),IFERROR(BJ190/BJ179,""),"")</f>
        <v>0.422876818585996</v>
      </c>
      <c r="BK191" s="215">
        <f>IF(AND(ISNUMBER(BK190),ISNUMBER(BK179)),IFERROR(BK190/BK179,""),"")</f>
        <v>0.431650323016961</v>
      </c>
      <c r="BL191" s="215">
        <f>IF(AND(ISNUMBER(BL190),ISNUMBER(BL179)),IFERROR(BL190/BL179,""),"")</f>
        <v>0.417728806361041</v>
      </c>
      <c r="BM191" s="215">
        <f>IF(AND(ISNUMBER(BM190),ISNUMBER(BM179)),IFERROR(BM190/BM179,""),"")</f>
        <v>0.475874515632465</v>
      </c>
      <c r="BN191" s="215">
        <f>IF(AND(ISNUMBER(BN190),ISNUMBER(BN179)),IFERROR(BN190/BN179,""),"")</f>
        <v>0.435859400193486</v>
      </c>
      <c r="BO191" s="215">
        <f>IF(AND(ISNUMBER(BO190),ISNUMBER(BO179)),IFERROR(BO190/BO179,""),"")</f>
        <v>0.44587603866921</v>
      </c>
      <c r="BP191" s="215">
        <f>IF(AND(ISNUMBER(BP190),ISNUMBER(BP179)),IFERROR(BP190/BP179,""),"")</f>
        <v>0.431427379609746</v>
      </c>
      <c r="BQ191" s="215">
        <f>IF(AND(ISNUMBER(BQ190),ISNUMBER(BQ179)),IFERROR(BQ190/BQ179,""),"")</f>
        <v>0.446442995732737</v>
      </c>
      <c r="BR191" s="215">
        <f>IF(AND(ISNUMBER(BR190),ISNUMBER(BR179)),IFERROR(BR190/BR179,""),"")</f>
        <v>0.465838225203934</v>
      </c>
      <c r="BS191" s="215">
        <f>IF(AND(ISNUMBER(BS190),ISNUMBER(BS179)),IFERROR(BS190/BS179,""),"")</f>
        <v>0.454575482536765</v>
      </c>
      <c r="BT191" s="215">
        <f>IF(AND(ISNUMBER(BT190),ISNUMBER(BT179)),IFERROR(BT190/BT179,""),"")</f>
        <v>0.456712242742557</v>
      </c>
      <c r="BU191" s="215">
        <f>IF(AND(ISNUMBER(BU190),ISNUMBER(BU179)),IFERROR(BU190/BU179,""),"")</f>
        <v>0.449012964246936</v>
      </c>
      <c r="BV191" s="215">
        <f>IF(AND(ISNUMBER(BV190),ISNUMBER(BV179)),IFERROR(BV190/BV179,""),"")</f>
        <v>0.456219562408599</v>
      </c>
      <c r="BW191" s="215">
        <f>IF(AND(ISNUMBER(BW190),ISNUMBER(BW179)),IFERROR(BW190/BW179,""),"")</f>
        <v>0.48872838695557</v>
      </c>
      <c r="BX191" s="215">
        <f>IF(AND(ISNUMBER(BX190),ISNUMBER(BX179)),IFERROR(BX190/BX179,""),"")</f>
        <v>0.470943609808916</v>
      </c>
      <c r="BY191" s="215">
        <f>IF(AND(ISNUMBER(BY190),ISNUMBER(BY179)),IFERROR(BY190/BY179,""),"")</f>
        <v>0.463262794681852</v>
      </c>
      <c r="BZ191" s="215">
        <f>IF(AND(ISNUMBER(BZ190),ISNUMBER(BZ179)),IFERROR(BZ190/BZ179,""),"")</f>
        <v>0.451109358161032</v>
      </c>
      <c r="CA191" s="215">
        <f>IF(AND(ISNUMBER(CA190),ISNUMBER(CA179)),IFERROR(CA190/CA179,""),"")</f>
        <v>0.467808184089272</v>
      </c>
      <c r="CB191" s="256">
        <f>IF(AND(ISNUMBER(CB190),ISNUMBER(CB179)),IFERROR(CB190/CB179,""),"")</f>
        <v>0.485066371681416</v>
      </c>
      <c r="CC191" s="256">
        <f>IF(AND(ISNUMBER(CC190),ISNUMBER(CC179)),IFERROR(CC190/CC179,""),"")</f>
        <v>0.467711616759799</v>
      </c>
      <c r="CD191" s="256">
        <f>IF(AND(ISNUMBER(CD190),ISNUMBER(CD179)),IFERROR(CD190/CD179,""),"")</f>
        <v>0.458667147676618</v>
      </c>
      <c r="CE191" s="256">
        <f>IF(AND(ISNUMBER(CE190),ISNUMBER(CE179)),IFERROR(CE190/CE179,""),"")</f>
        <v>0.447223942014983</v>
      </c>
      <c r="CF191" s="256">
        <f>IF(AND(ISNUMBER(CF190),ISNUMBER(CF179)),IFERROR(CF190/CF179,""),"")</f>
        <v>0.463874487905548</v>
      </c>
      <c r="CG191" s="256">
        <f>IF(AND(ISNUMBER(CG190),ISNUMBER(CG179)),IFERROR(CG190/CG179,""),"")</f>
        <v>0.445303333846645</v>
      </c>
      <c r="CH191" s="256">
        <f>IF(AND(ISNUMBER(CH190),ISNUMBER(CH179)),IFERROR(CH190/CH179,""),"")</f>
        <v>0.443059605320308</v>
      </c>
      <c r="CI191" s="256">
        <f>IF(AND(ISNUMBER(CI190),ISNUMBER(CI179)),IFERROR(CI190/CI179,""),"")</f>
        <v>0.449681484635452</v>
      </c>
      <c r="CJ191" s="256">
        <f>IF(AND(ISNUMBER(CJ190),ISNUMBER(CJ179)),IFERROR(CJ190/CJ179,""),"")</f>
        <v>0.455886520836348</v>
      </c>
      <c r="CK191" s="153" t="n"/>
      <c r="CM191" s="37">
        <f>IFERROR(AVERAGE(CF191,CG191,CH191,CI191,CJ191),"n/m")</f>
        <v>0.45156108650886</v>
      </c>
      <c r="CN191" s="37">
        <f>IFERROR(AVERAGE(BG191,BL191,BQ191,BV191,CA191),"n/m")</f>
        <v>0.441750466030429</v>
      </c>
      <c r="CO191" s="37">
        <f>IFERROR(AVERAGE(AH191,AM191,AR191,AW191,BB191,BG191,BL191,BQ191,BV191,CA191),"n/m")</f>
        <v>0.390224873876109</v>
      </c>
      <c r="CP191" s="37">
        <f>IFERROR(AVERAGE(C191,D191,E191,F191,G191,H191,I191,N191,S191,X191,AC191,AH191,AM191,AR191,AW191,BB191,BG191,BL191,BQ191,BV191,CA191),"n/m")</f>
        <v>0.358123142861326</v>
      </c>
    </row>
    <row r="192" ht="15" customHeight="1" s="251">
      <c r="B192" s="57" t="inlineStr">
        <is>
          <t xml:space="preserve">  Check: gross margin − operating expenses − impairment = operating income (should be 0)</t>
        </is>
      </c>
      <c r="C192" s="211">
        <f>ROUND(C183-C188-C189-C190,0)</f>
        <v>0</v>
      </c>
      <c r="D192" s="211">
        <f>ROUND(D183-D188-D189-D190,0)</f>
        <v>0</v>
      </c>
      <c r="E192" s="211">
        <f>ROUND(E183-E188-E189-E190,0)</f>
        <v>0</v>
      </c>
      <c r="F192" s="211">
        <f>ROUND(F183-F188-F189-F190,0)</f>
        <v>0</v>
      </c>
      <c r="G192" s="211">
        <f>ROUND(G183-G188-G189-G190,0)</f>
        <v>0</v>
      </c>
      <c r="H192" s="211">
        <f>ROUND(H183-H188-H189-H190,0)</f>
        <v>0</v>
      </c>
      <c r="I192" s="211">
        <f>ROUND(I183-I188-I189-I190,0)</f>
        <v>0</v>
      </c>
      <c r="J192" s="211">
        <f>ROUND(J183-J188-J189-J190,0)</f>
        <v>0</v>
      </c>
      <c r="K192" s="211">
        <f>ROUND(K183-K188-K189-K190,0)</f>
        <v>0</v>
      </c>
      <c r="L192" s="211">
        <f>ROUND(L183-L188-L189-L190,0)</f>
        <v>0</v>
      </c>
      <c r="M192" s="211">
        <f>ROUND(M183-M188-M189-M190,0)</f>
        <v>0</v>
      </c>
      <c r="N192" s="211">
        <f>ROUND(N183-N188-N189-N190,0)</f>
        <v>0</v>
      </c>
      <c r="O192" s="211">
        <f>ROUND(O183-O188-O189-O190,0)</f>
        <v>0</v>
      </c>
      <c r="P192" s="211">
        <f>ROUND(P183-P188-P189-P190,0)</f>
        <v>0</v>
      </c>
      <c r="Q192" s="211">
        <f>ROUND(Q183-Q188-Q189-Q190,0)</f>
        <v>0</v>
      </c>
      <c r="R192" s="211">
        <f>ROUND(R183-R188-R189-R190,0)</f>
        <v>0</v>
      </c>
      <c r="S192" s="211">
        <f>ROUND(S183-S188-S189-S190,0)</f>
        <v>0</v>
      </c>
      <c r="T192" s="211">
        <f>ROUND(T183-T188-T189-T190,0)</f>
        <v>0</v>
      </c>
      <c r="U192" s="211">
        <f>ROUND(U183-U188-U189-U190,0)</f>
        <v>0</v>
      </c>
      <c r="V192" s="211">
        <f>ROUND(V183-V188-V189-V190,0)</f>
        <v>0</v>
      </c>
      <c r="W192" s="211">
        <f>ROUND(W183-W188-W189-W190,0)</f>
        <v>0</v>
      </c>
      <c r="X192" s="211">
        <f>ROUND(X183-X188-X189-X190,0)</f>
        <v>0</v>
      </c>
      <c r="Y192" s="211">
        <f>ROUND(Y183-Y188-Y189-Y190,0)</f>
        <v>0</v>
      </c>
      <c r="Z192" s="211">
        <f>ROUND(Z183-Z188-Z189-Z190,0)</f>
        <v>0</v>
      </c>
      <c r="AA192" s="211">
        <f>ROUND(AA183-AA188-AA189-AA190,0)</f>
        <v>0</v>
      </c>
      <c r="AB192" s="211">
        <f>ROUND(AB183-AB188-AB189-AB190,0)</f>
        <v>0</v>
      </c>
      <c r="AC192" s="211">
        <f>ROUND(AC183-AC188-AC189-AC190,0)</f>
        <v>0</v>
      </c>
      <c r="AD192" s="211">
        <f>ROUND(AD183-AD188-AD189-AD190,0)</f>
        <v>0</v>
      </c>
      <c r="AE192" s="211">
        <f>ROUND(AE183-AE188-AE189-AE190,0)</f>
        <v>0</v>
      </c>
      <c r="AF192" s="211">
        <f>ROUND(AF183-AF188-AF189-AF190,0)</f>
        <v>0</v>
      </c>
      <c r="AG192" s="211">
        <f>ROUND(AG183-AG188-AG189-AG190,0)</f>
        <v>0</v>
      </c>
      <c r="AH192" s="211">
        <f>ROUND(AH183-AH188-AH189-AH190,0)</f>
        <v>0</v>
      </c>
      <c r="AI192" s="211">
        <f>ROUND(AI183-AI188-AI189-AI190,0)</f>
        <v>0</v>
      </c>
      <c r="AJ192" s="211">
        <f>ROUND(AJ183-AJ188-AJ189-AJ190,0)</f>
        <v>0</v>
      </c>
      <c r="AK192" s="211">
        <f>ROUND(AK183-AK188-AK189-AK190,0)</f>
        <v>0</v>
      </c>
      <c r="AL192" s="211">
        <f>ROUND(AL183-AL188-AL189-AL190,0)</f>
        <v>0</v>
      </c>
      <c r="AM192" s="211">
        <f>ROUND(AM183-AM188-AM189-AM190,0)</f>
        <v>0</v>
      </c>
      <c r="AN192" s="211">
        <f>ROUND(AN183-AN188-AN189-AN190,0)</f>
        <v>0</v>
      </c>
      <c r="AO192" s="211">
        <f>ROUND(AO183-AO188-AO189-AO190,0)</f>
        <v>0</v>
      </c>
      <c r="AP192" s="211">
        <f>ROUND(AP183-AP188-AP189-AP190,0)</f>
        <v>0</v>
      </c>
      <c r="AQ192" s="211">
        <f>ROUND(AQ183-AQ188-AQ189-AQ190,0)</f>
        <v>0</v>
      </c>
      <c r="AR192" s="211">
        <f>ROUND(AR183-AR188-AR189-AR190,0)</f>
        <v>0</v>
      </c>
      <c r="AS192" s="211">
        <f>ROUND(AS183-AS188-AS189-AS190,0)</f>
        <v>0</v>
      </c>
      <c r="AT192" s="211">
        <f>ROUND(AT183-AT188-AT189-AT190,0)</f>
        <v>0</v>
      </c>
      <c r="AU192" s="211">
        <f>ROUND(AU183-AU188-AU189-AU190,0)</f>
        <v>0</v>
      </c>
      <c r="AV192" s="211">
        <f>ROUND(AV183-AV188-AV189-AV190,0)</f>
        <v>0</v>
      </c>
      <c r="AW192" s="211">
        <f>ROUND(AW183-AW188-AW189-AW190,0)</f>
        <v>0</v>
      </c>
      <c r="AX192" s="211">
        <f>ROUND(AX183-AX188-AX189-AX190,0)</f>
        <v>0</v>
      </c>
      <c r="AY192" s="211">
        <f>ROUND(AY183-AY188-AY189-AY190,0)</f>
        <v>0</v>
      </c>
      <c r="AZ192" s="211">
        <f>ROUND(AZ183-AZ188-AZ189-AZ190,0)</f>
        <v>0</v>
      </c>
      <c r="BA192" s="211">
        <f>ROUND(BA183-BA188-BA189-BA190,0)</f>
        <v>0</v>
      </c>
      <c r="BB192" s="211">
        <f>ROUND(BB183-BB188-BB189-BB190,0)</f>
        <v>0</v>
      </c>
      <c r="BC192" s="211">
        <f>ROUND(BC183-BC188-BC189-BC190,0)</f>
        <v>0</v>
      </c>
      <c r="BD192" s="211">
        <f>ROUND(BD183-BD188-BD189-BD190,0)</f>
        <v>0</v>
      </c>
      <c r="BE192" s="211">
        <f>ROUND(BE183-BE188-BE189-BE190,0)</f>
        <v>0</v>
      </c>
      <c r="BF192" s="211">
        <f>ROUND(BF183-BF188-BF189-BF190,0)</f>
        <v>0</v>
      </c>
      <c r="BG192" s="211">
        <f>ROUND(BG183-BG188-BG189-BG190,0)</f>
        <v>0</v>
      </c>
      <c r="BH192" s="211">
        <f>ROUND(BH183-BH188-BH189-BH190,0)</f>
        <v>0</v>
      </c>
      <c r="BI192" s="211">
        <f>ROUND(BI183-BI188-BI189-BI190,0)</f>
        <v>0</v>
      </c>
      <c r="BJ192" s="211">
        <f>ROUND(BJ183-BJ188-BJ189-BJ190,0)</f>
        <v>0</v>
      </c>
      <c r="BK192" s="211">
        <f>ROUND(BK183-BK188-BK189-BK190,0)</f>
        <v>0</v>
      </c>
      <c r="BL192" s="211">
        <f>ROUND(BL183-BL188-BL189-BL190,0)</f>
        <v>0</v>
      </c>
      <c r="BM192" s="211">
        <f>ROUND(BM183-BM188-BM189-BM190,0)</f>
        <v>0</v>
      </c>
      <c r="BN192" s="211">
        <f>ROUND(BN183-BN188-BN189-BN190,0)</f>
        <v>0</v>
      </c>
      <c r="BO192" s="211">
        <f>ROUND(BO183-BO188-BO189-BO190,0)</f>
        <v>0</v>
      </c>
      <c r="BP192" s="211">
        <f>ROUND(BP183-BP188-BP189-BP190,0)</f>
        <v>0</v>
      </c>
      <c r="BQ192" s="211">
        <f>ROUND(BQ183-BQ188-BQ189-BQ190,0)</f>
        <v>0</v>
      </c>
      <c r="BR192" s="211">
        <f>ROUND(BR183-BR188-BR189-BR190,0)</f>
        <v>0</v>
      </c>
      <c r="BS192" s="211">
        <f>ROUND(BS183-BS188-BS189-BS190,0)</f>
        <v>0</v>
      </c>
      <c r="BT192" s="211">
        <f>ROUND(BT183-BT188-BT189-BT190,0)</f>
        <v>0</v>
      </c>
      <c r="BU192" s="211">
        <f>ROUND(BU183-BU188-BU189-BU190,0)</f>
        <v>0</v>
      </c>
      <c r="BV192" s="211">
        <f>ROUND(BV183-BV188-BV189-BV190,0)</f>
        <v>0</v>
      </c>
      <c r="BW192" s="211">
        <f>ROUND(BW183-BW188-BW189-BW190,0)</f>
        <v>0</v>
      </c>
      <c r="BX192" s="211">
        <f>ROUND(BX183-BX188-BX189-BX190,0)</f>
        <v>0</v>
      </c>
      <c r="BY192" s="211">
        <f>ROUND(BY183-BY188-BY189-BY190,0)</f>
        <v>0</v>
      </c>
      <c r="BZ192" s="211">
        <f>ROUND(BZ183-BZ188-BZ189-BZ190,0)</f>
        <v>0</v>
      </c>
      <c r="CA192" s="211">
        <f>ROUND(CA183-CA188-CA189-CA190,0)</f>
        <v>0</v>
      </c>
      <c r="CB192" s="153" t="n"/>
      <c r="CC192" s="153" t="n"/>
      <c r="CD192" s="153" t="n"/>
      <c r="CE192" s="153" t="n"/>
      <c r="CF192" s="153" t="n"/>
      <c r="CG192" s="153" t="n"/>
      <c r="CH192" s="153" t="n"/>
      <c r="CI192" s="153" t="n"/>
      <c r="CJ192" s="153" t="n"/>
      <c r="CK192" s="153" t="n"/>
    </row>
    <row r="193" ht="15" customHeight="1" s="251">
      <c r="B193" s="25" t="inlineStr">
        <is>
          <t>Other income (expense), net</t>
        </is>
      </c>
      <c r="C193" s="253" t="n">
        <v>1790</v>
      </c>
      <c r="D193" s="253" t="n">
        <v>1577</v>
      </c>
      <c r="E193" s="253" t="n">
        <v>1322</v>
      </c>
      <c r="F193" s="253" t="n">
        <v>-542</v>
      </c>
      <c r="G193" s="253" t="n">
        <v>915</v>
      </c>
      <c r="H193" s="253" t="n">
        <v>910</v>
      </c>
      <c r="I193" s="253" t="n">
        <v>504</v>
      </c>
      <c r="J193" s="253" t="n">
        <v>226</v>
      </c>
      <c r="K193" s="253" t="n">
        <v>-1</v>
      </c>
      <c r="L193" s="253" t="n">
        <v>-9</v>
      </c>
      <c r="M193" s="253" t="n">
        <v>72</v>
      </c>
      <c r="N193" s="253" t="n">
        <v>288</v>
      </c>
      <c r="O193" s="253" t="n">
        <v>74</v>
      </c>
      <c r="P193" s="253" t="n">
        <v>-91</v>
      </c>
      <c r="Q193" s="253" t="n">
        <v>-17</v>
      </c>
      <c r="R193" s="253" t="n">
        <v>95</v>
      </c>
      <c r="S193" s="253" t="n">
        <v>61</v>
      </c>
      <c r="T193" s="253" t="n">
        <v>52</v>
      </c>
      <c r="U193" s="253" t="n">
        <v>74</v>
      </c>
      <c r="V193" s="253" t="n">
        <v>-77</v>
      </c>
      <c r="W193" s="253" t="n">
        <v>297</v>
      </c>
      <c r="X193" s="253" t="n">
        <v>346</v>
      </c>
      <c r="Y193" s="253" t="n">
        <v>-280</v>
      </c>
      <c r="Z193" s="253" t="n">
        <v>-171</v>
      </c>
      <c r="AA193" s="253" t="n">
        <v>-247</v>
      </c>
      <c r="AB193" s="253" t="n">
        <v>267</v>
      </c>
      <c r="AC193" s="253" t="n">
        <v>-431</v>
      </c>
      <c r="AD193" s="253" t="n">
        <v>100</v>
      </c>
      <c r="AE193" s="253" t="n">
        <v>186</v>
      </c>
      <c r="AF193" s="253" t="n">
        <v>322</v>
      </c>
      <c r="AG193" s="253" t="n">
        <v>215</v>
      </c>
      <c r="AH193" s="253" t="n">
        <v>823</v>
      </c>
      <c r="AI193" s="253" t="n">
        <v>276</v>
      </c>
      <c r="AJ193" s="253" t="n">
        <v>490</v>
      </c>
      <c r="AK193" s="253" t="n">
        <v>349</v>
      </c>
      <c r="AL193" s="253" t="n">
        <v>301</v>
      </c>
      <c r="AM193" s="253" t="n">
        <v>1416</v>
      </c>
      <c r="AN193" s="253" t="n">
        <v>266</v>
      </c>
      <c r="AO193" s="253" t="n">
        <v>127</v>
      </c>
      <c r="AP193" s="253" t="n">
        <v>145</v>
      </c>
      <c r="AQ193" s="253" t="n">
        <v>191</v>
      </c>
      <c r="AR193" s="253" t="n">
        <v>729</v>
      </c>
      <c r="AS193" s="253" t="n">
        <v>0</v>
      </c>
      <c r="AT193" s="253" t="n">
        <v>194</v>
      </c>
      <c r="AU193" s="253" t="n">
        <v>-132</v>
      </c>
      <c r="AV193" s="253" t="n">
        <v>15</v>
      </c>
      <c r="AW193" s="253" t="n">
        <v>77</v>
      </c>
      <c r="AX193" s="253" t="n">
        <v>248</v>
      </c>
      <c r="AY193" s="253" t="n">
        <v>440</v>
      </c>
      <c r="AZ193" s="253" t="n">
        <v>188</v>
      </c>
      <c r="BA193" s="253" t="n">
        <v>310</v>
      </c>
      <c r="BB193" s="253" t="n">
        <v>1186</v>
      </c>
      <c r="BC193" s="253" t="n">
        <v>286</v>
      </c>
      <c r="BD193" s="253" t="n">
        <v>268</v>
      </c>
      <c r="BE193" s="253" t="n">
        <v>-174</v>
      </c>
      <c r="BF193" s="253" t="n">
        <v>-47</v>
      </c>
      <c r="BG193" s="253" t="n">
        <v>333</v>
      </c>
      <c r="BH193" s="253" t="n">
        <v>54</v>
      </c>
      <c r="BI193" s="253" t="n">
        <v>-60</v>
      </c>
      <c r="BJ193" s="253" t="n">
        <v>321</v>
      </c>
      <c r="BK193" s="253" t="n">
        <v>473</v>
      </c>
      <c r="BL193" s="253" t="n">
        <v>788</v>
      </c>
      <c r="BM193" s="253" t="n">
        <v>389</v>
      </c>
      <c r="BN193" s="253" t="n">
        <v>-506</v>
      </c>
      <c r="BO193" s="253" t="n">
        <v>-854</v>
      </c>
      <c r="BP193" s="253" t="n">
        <v>-675</v>
      </c>
      <c r="BQ193" s="253" t="n">
        <v>-1646</v>
      </c>
      <c r="BR193" s="253" t="n">
        <v>-283</v>
      </c>
      <c r="BS193" s="253" t="n">
        <v>-2288</v>
      </c>
      <c r="BT193" s="253" t="n">
        <v>-623</v>
      </c>
      <c r="BU193" s="253" t="n">
        <v>-1707</v>
      </c>
      <c r="BV193" s="253" t="n">
        <v>-4901</v>
      </c>
      <c r="BW193" s="253" t="n">
        <v>-3660</v>
      </c>
      <c r="BX193" s="253" t="n">
        <v>9971</v>
      </c>
      <c r="BY193" s="253" t="n">
        <v>942</v>
      </c>
      <c r="BZ193" s="253" t="n">
        <v>3444</v>
      </c>
      <c r="CA193" s="253" t="n">
        <v>10697</v>
      </c>
      <c r="CB193" s="254">
        <f>$CU$18</f>
        <v>-100</v>
      </c>
      <c r="CC193" s="254">
        <f>$CU$18</f>
        <v>-100</v>
      </c>
      <c r="CD193" s="254">
        <f>$CU$18</f>
        <v>-100</v>
      </c>
      <c r="CE193" s="254">
        <f>$CU$18</f>
        <v>-100</v>
      </c>
      <c r="CF193" s="254">
        <f>SUM(CB193:CE193)</f>
        <v>-400</v>
      </c>
      <c r="CG193" s="254">
        <f>CG194-CG195-CG196+CG197</f>
        <v>-2386.60909</v>
      </c>
      <c r="CH193" s="254">
        <f>CH194-CH195-CH196+CH197</f>
        <v>-3707.6032491206</v>
      </c>
      <c r="CI193" s="254">
        <f>CI194-CI195-CI196+CI197</f>
        <v>-4955.87526543597</v>
      </c>
      <c r="CJ193" s="254">
        <f>CJ194-CJ195-CJ196+CJ197</f>
        <v>-6140.84738292638</v>
      </c>
      <c r="CK193" s="19" t="inlineStr">
        <is>
          <t>Q1–Q4/27E: guided ~$(100)m a quarter excluding any OpenAI impact (Q1 guidance; Q2–Q4 held, assumption). 2028E+: interest income − interest expense on debt − finance-lease interest + other.</t>
        </is>
      </c>
    </row>
    <row r="194" ht="15" customHeight="1" s="251">
      <c r="B194" s="25" t="inlineStr">
        <is>
          <t xml:space="preserve">  Interest &amp; dividend income (yield × opening cash &amp; short-term investments)</t>
        </is>
      </c>
      <c r="C194" s="34" t="n"/>
      <c r="D194" s="34" t="n"/>
      <c r="E194" s="34" t="n"/>
      <c r="F194" s="34" t="n"/>
      <c r="G194" s="34" t="n"/>
      <c r="H194" s="34" t="n"/>
      <c r="I194" s="34" t="n"/>
      <c r="J194" s="34" t="n"/>
      <c r="K194" s="34" t="n"/>
      <c r="L194" s="34" t="n"/>
      <c r="M194" s="34" t="n"/>
      <c r="N194" s="34" t="n"/>
      <c r="O194" s="34" t="n"/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  <c r="AA194" s="34" t="n"/>
      <c r="AB194" s="34" t="n"/>
      <c r="AC194" s="34" t="n"/>
      <c r="AD194" s="34" t="n"/>
      <c r="AE194" s="34" t="n"/>
      <c r="AF194" s="34" t="n"/>
      <c r="AG194" s="34" t="n"/>
      <c r="AH194" s="34" t="n"/>
      <c r="AI194" s="34" t="n"/>
      <c r="AJ194" s="34" t="n"/>
      <c r="AK194" s="34" t="n"/>
      <c r="AL194" s="34" t="n"/>
      <c r="AM194" s="34" t="n"/>
      <c r="AN194" s="34" t="n"/>
      <c r="AO194" s="34" t="n"/>
      <c r="AP194" s="34" t="n"/>
      <c r="AQ194" s="34" t="n"/>
      <c r="AR194" s="34" t="n"/>
      <c r="AS194" s="34" t="n"/>
      <c r="AT194" s="34" t="n"/>
      <c r="AU194" s="34" t="n"/>
      <c r="AV194" s="34" t="n"/>
      <c r="AW194" s="34" t="n"/>
      <c r="AX194" s="34" t="n"/>
      <c r="AY194" s="34" t="n"/>
      <c r="AZ194" s="34" t="n"/>
      <c r="BA194" s="34" t="n"/>
      <c r="BB194" s="34" t="n"/>
      <c r="BC194" s="34" t="n"/>
      <c r="BD194" s="34" t="n"/>
      <c r="BE194" s="34" t="n"/>
      <c r="BF194" s="34" t="n"/>
      <c r="BG194" s="34" t="n"/>
      <c r="BH194" s="34" t="n"/>
      <c r="BI194" s="34" t="n"/>
      <c r="BJ194" s="34" t="n"/>
      <c r="BK194" s="34" t="n"/>
      <c r="BL194" s="34" t="n"/>
      <c r="BM194" s="34" t="n"/>
      <c r="BN194" s="34" t="n"/>
      <c r="BO194" s="34" t="n"/>
      <c r="BP194" s="34" t="n"/>
      <c r="BQ194" s="34" t="n"/>
      <c r="BR194" s="34" t="n"/>
      <c r="BS194" s="34" t="n"/>
      <c r="BT194" s="34" t="n"/>
      <c r="BU194" s="34" t="n"/>
      <c r="BV194" s="34" t="n"/>
      <c r="BW194" s="34" t="n"/>
      <c r="BX194" s="34" t="n"/>
      <c r="BY194" s="34" t="n"/>
      <c r="BZ194" s="34" t="n"/>
      <c r="CA194" s="34" t="n"/>
      <c r="CB194" s="35" t="n"/>
      <c r="CC194" s="35" t="n"/>
      <c r="CD194" s="35" t="n"/>
      <c r="CE194" s="35" t="n"/>
      <c r="CF194" s="35" t="n"/>
      <c r="CG194" s="254">
        <f>(CF338+CF339)*CG400</f>
        <v>2450</v>
      </c>
      <c r="CH194" s="254">
        <f>(CG338+CG339)*CH400</f>
        <v>2450</v>
      </c>
      <c r="CI194" s="254">
        <f>(CH338+CH339)*CI400</f>
        <v>2450</v>
      </c>
      <c r="CJ194" s="254">
        <f>(CI338+CI339)*CJ400</f>
        <v>2450</v>
      </c>
      <c r="CK194" s="19" t="n"/>
    </row>
    <row r="195" ht="15" customHeight="1" s="251">
      <c r="B195" s="25" t="inlineStr">
        <is>
          <t xml:space="preserve">  Interest expense on debt, net of capitalised interest (rate × opening debt)</t>
        </is>
      </c>
      <c r="C195" s="34" t="n"/>
      <c r="D195" s="34" t="n"/>
      <c r="E195" s="34" t="n"/>
      <c r="F195" s="34" t="n"/>
      <c r="G195" s="34" t="n"/>
      <c r="H195" s="34" t="n"/>
      <c r="I195" s="34" t="n"/>
      <c r="J195" s="34" t="n"/>
      <c r="K195" s="34" t="n"/>
      <c r="L195" s="34" t="n"/>
      <c r="M195" s="34" t="n"/>
      <c r="N195" s="34" t="n"/>
      <c r="O195" s="34" t="n"/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  <c r="AA195" s="34" t="n"/>
      <c r="AB195" s="34" t="n"/>
      <c r="AC195" s="34" t="n"/>
      <c r="AD195" s="34" t="n"/>
      <c r="AE195" s="34" t="n"/>
      <c r="AF195" s="34" t="n"/>
      <c r="AG195" s="34" t="n"/>
      <c r="AH195" s="34" t="n"/>
      <c r="AI195" s="34" t="n"/>
      <c r="AJ195" s="34" t="n"/>
      <c r="AK195" s="34" t="n"/>
      <c r="AL195" s="34" t="n"/>
      <c r="AM195" s="34" t="n"/>
      <c r="AN195" s="34" t="n"/>
      <c r="AO195" s="34" t="n"/>
      <c r="AP195" s="34" t="n"/>
      <c r="AQ195" s="34" t="n"/>
      <c r="AR195" s="34" t="n"/>
      <c r="AS195" s="34" t="n"/>
      <c r="AT195" s="34" t="n"/>
      <c r="AU195" s="34" t="n"/>
      <c r="AV195" s="34" t="n"/>
      <c r="AW195" s="34" t="n"/>
      <c r="AX195" s="34" t="n"/>
      <c r="AY195" s="34" t="n"/>
      <c r="AZ195" s="34" t="n"/>
      <c r="BA195" s="34" t="n"/>
      <c r="BB195" s="34" t="n"/>
      <c r="BC195" s="34" t="n"/>
      <c r="BD195" s="34" t="n"/>
      <c r="BE195" s="34" t="n"/>
      <c r="BF195" s="34" t="n"/>
      <c r="BG195" s="34" t="n"/>
      <c r="BH195" s="34" t="n"/>
      <c r="BI195" s="34" t="n"/>
      <c r="BJ195" s="34" t="n"/>
      <c r="BK195" s="34" t="n"/>
      <c r="BL195" s="34" t="n"/>
      <c r="BM195" s="34" t="n"/>
      <c r="BN195" s="34" t="n"/>
      <c r="BO195" s="34" t="n"/>
      <c r="BP195" s="34" t="n"/>
      <c r="BQ195" s="34" t="n"/>
      <c r="BR195" s="34" t="n"/>
      <c r="BS195" s="34" t="n"/>
      <c r="BT195" s="34" t="n"/>
      <c r="BU195" s="34" t="n"/>
      <c r="BV195" s="34" t="n"/>
      <c r="BW195" s="34" t="n"/>
      <c r="BX195" s="34" t="n"/>
      <c r="BY195" s="34" t="n"/>
      <c r="BZ195" s="34" t="n"/>
      <c r="CA195" s="34" t="n"/>
      <c r="CB195" s="35" t="n"/>
      <c r="CC195" s="35" t="n"/>
      <c r="CD195" s="35" t="n"/>
      <c r="CE195" s="35" t="n"/>
      <c r="CF195" s="35" t="n"/>
      <c r="CG195" s="254">
        <f>CF394*CG399</f>
        <v>465.66</v>
      </c>
      <c r="CH195" s="254">
        <f>CG394*CH399</f>
        <v>465.66</v>
      </c>
      <c r="CI195" s="254">
        <f>CH394*CI399</f>
        <v>435.645</v>
      </c>
      <c r="CJ195" s="254">
        <f>CI394*CJ399</f>
        <v>435.645</v>
      </c>
      <c r="CK195" s="19" t="n"/>
    </row>
    <row r="196" ht="15" customHeight="1" s="251">
      <c r="B196" s="25" t="inlineStr">
        <is>
          <t xml:space="preserve">  Finance-lease interest (rate × opening finance-lease liabilities)</t>
        </is>
      </c>
      <c r="C196" s="34" t="n"/>
      <c r="D196" s="34" t="n"/>
      <c r="E196" s="34" t="n"/>
      <c r="F196" s="34" t="n"/>
      <c r="G196" s="34" t="n"/>
      <c r="H196" s="34" t="n"/>
      <c r="I196" s="34" t="n"/>
      <c r="J196" s="34" t="n"/>
      <c r="K196" s="34" t="n"/>
      <c r="L196" s="34" t="n"/>
      <c r="M196" s="34" t="n"/>
      <c r="N196" s="34" t="n"/>
      <c r="O196" s="34" t="n"/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  <c r="AA196" s="34" t="n"/>
      <c r="AB196" s="34" t="n"/>
      <c r="AC196" s="34" t="n"/>
      <c r="AD196" s="34" t="n"/>
      <c r="AE196" s="34" t="n"/>
      <c r="AF196" s="34" t="n"/>
      <c r="AG196" s="34" t="n"/>
      <c r="AH196" s="34" t="n"/>
      <c r="AI196" s="34" t="n"/>
      <c r="AJ196" s="34" t="n"/>
      <c r="AK196" s="34" t="n"/>
      <c r="AL196" s="34" t="n"/>
      <c r="AM196" s="34" t="n"/>
      <c r="AN196" s="34" t="n"/>
      <c r="AO196" s="34" t="n"/>
      <c r="AP196" s="34" t="n"/>
      <c r="AQ196" s="34" t="n"/>
      <c r="AR196" s="34" t="n"/>
      <c r="AS196" s="34" t="n"/>
      <c r="AT196" s="34" t="n"/>
      <c r="AU196" s="34" t="n"/>
      <c r="AV196" s="34" t="n"/>
      <c r="AW196" s="34" t="n"/>
      <c r="AX196" s="34" t="n"/>
      <c r="AY196" s="34" t="n"/>
      <c r="AZ196" s="34" t="n"/>
      <c r="BA196" s="34" t="n"/>
      <c r="BB196" s="34" t="n"/>
      <c r="BC196" s="34" t="n"/>
      <c r="BD196" s="34" t="n"/>
      <c r="BE196" s="34" t="n"/>
      <c r="BF196" s="34" t="n"/>
      <c r="BG196" s="34" t="n"/>
      <c r="BH196" s="34" t="n"/>
      <c r="BI196" s="34" t="n"/>
      <c r="BJ196" s="34" t="n"/>
      <c r="BK196" s="34" t="n"/>
      <c r="BL196" s="34" t="n"/>
      <c r="BM196" s="34" t="n"/>
      <c r="BN196" s="34" t="n"/>
      <c r="BO196" s="34" t="n"/>
      <c r="BP196" s="34" t="n"/>
      <c r="BQ196" s="34" t="n"/>
      <c r="BR196" s="34" t="n"/>
      <c r="BS196" s="34" t="n"/>
      <c r="BT196" s="34" t="n"/>
      <c r="BU196" s="34" t="n"/>
      <c r="BV196" s="34" t="n"/>
      <c r="BW196" s="34" t="n"/>
      <c r="BX196" s="34" t="n"/>
      <c r="BY196" s="34" t="n"/>
      <c r="BZ196" s="34" t="n"/>
      <c r="CA196" s="34" t="n"/>
      <c r="CB196" s="35" t="n"/>
      <c r="CC196" s="35" t="n"/>
      <c r="CD196" s="35" t="n"/>
      <c r="CE196" s="35" t="n"/>
      <c r="CF196" s="35" t="n"/>
      <c r="CG196" s="254">
        <f>CF402*CG405</f>
        <v>4370.94909</v>
      </c>
      <c r="CH196" s="254">
        <f>CG402*CH405</f>
        <v>5691.9432491206</v>
      </c>
      <c r="CI196" s="254">
        <f>CH402*CI405</f>
        <v>6970.23026543597</v>
      </c>
      <c r="CJ196" s="254">
        <f>CI402*CJ405</f>
        <v>8155.20238292638</v>
      </c>
      <c r="CK196" s="19" t="n"/>
    </row>
    <row r="197" ht="15" customHeight="1" s="251">
      <c r="B197" s="25" t="inlineStr">
        <is>
          <t xml:space="preserve">  Other (investment gains / losses, FX, equity-method results excl. OpenAI): input</t>
        </is>
      </c>
      <c r="C197" s="34" t="n"/>
      <c r="D197" s="34" t="n"/>
      <c r="E197" s="34" t="n"/>
      <c r="F197" s="34" t="n"/>
      <c r="G197" s="34" t="n"/>
      <c r="H197" s="34" t="n"/>
      <c r="I197" s="34" t="n"/>
      <c r="J197" s="34" t="n"/>
      <c r="K197" s="34" t="n"/>
      <c r="L197" s="34" t="n"/>
      <c r="M197" s="34" t="n"/>
      <c r="N197" s="34" t="n"/>
      <c r="O197" s="34" t="n"/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  <c r="AA197" s="34" t="n"/>
      <c r="AB197" s="34" t="n"/>
      <c r="AC197" s="34" t="n"/>
      <c r="AD197" s="34" t="n"/>
      <c r="AE197" s="34" t="n"/>
      <c r="AF197" s="34" t="n"/>
      <c r="AG197" s="34" t="n"/>
      <c r="AH197" s="34" t="n"/>
      <c r="AI197" s="34" t="n"/>
      <c r="AJ197" s="34" t="n"/>
      <c r="AK197" s="34" t="n"/>
      <c r="AL197" s="34" t="n"/>
      <c r="AM197" s="34" t="n"/>
      <c r="AN197" s="34" t="n"/>
      <c r="AO197" s="34" t="n"/>
      <c r="AP197" s="34" t="n"/>
      <c r="AQ197" s="34" t="n"/>
      <c r="AR197" s="34" t="n"/>
      <c r="AS197" s="34" t="n"/>
      <c r="AT197" s="34" t="n"/>
      <c r="AU197" s="34" t="n"/>
      <c r="AV197" s="34" t="n"/>
      <c r="AW197" s="34" t="n"/>
      <c r="AX197" s="34" t="n"/>
      <c r="AY197" s="34" t="n"/>
      <c r="AZ197" s="34" t="n"/>
      <c r="BA197" s="34" t="n"/>
      <c r="BB197" s="34" t="n"/>
      <c r="BC197" s="34" t="n"/>
      <c r="BD197" s="34" t="n"/>
      <c r="BE197" s="34" t="n"/>
      <c r="BF197" s="34" t="n"/>
      <c r="BG197" s="34" t="n"/>
      <c r="BH197" s="34" t="n"/>
      <c r="BI197" s="34" t="n"/>
      <c r="BJ197" s="34" t="n"/>
      <c r="BK197" s="34" t="n"/>
      <c r="BL197" s="34" t="n"/>
      <c r="BM197" s="34" t="n"/>
      <c r="BN197" s="34" t="n"/>
      <c r="BO197" s="34" t="n"/>
      <c r="BP197" s="34" t="n"/>
      <c r="BQ197" s="34" t="n"/>
      <c r="BR197" s="34" t="n"/>
      <c r="BS197" s="34" t="n"/>
      <c r="BT197" s="34" t="n"/>
      <c r="BU197" s="34" t="n"/>
      <c r="BV197" s="34" t="n"/>
      <c r="BW197" s="34" t="n"/>
      <c r="BX197" s="34" t="n"/>
      <c r="BY197" s="34" t="n"/>
      <c r="BZ197" s="34" t="n"/>
      <c r="CA197" s="34" t="n"/>
      <c r="CB197" s="35" t="n"/>
      <c r="CC197" s="35" t="n"/>
      <c r="CD197" s="35" t="n"/>
      <c r="CE197" s="35" t="n"/>
      <c r="CF197" s="35" t="n"/>
      <c r="CG197" s="262" t="n">
        <v>0</v>
      </c>
      <c r="CH197" s="262" t="n">
        <v>0</v>
      </c>
      <c r="CI197" s="262" t="n">
        <v>0</v>
      </c>
      <c r="CJ197" s="262" t="n">
        <v>0</v>
      </c>
      <c r="CK197" s="19" t="n"/>
    </row>
    <row r="198" ht="15" customHeight="1" s="251">
      <c r="B198" s="16" t="inlineStr">
        <is>
          <t>Income before income taxes</t>
        </is>
      </c>
      <c r="C198" s="260">
        <f>IF(ISNUMBER(C190),C190+C193,"")</f>
        <v>18262</v>
      </c>
      <c r="D198" s="260">
        <f>IF(ISNUMBER(D190),D190+D193,"")</f>
        <v>20101</v>
      </c>
      <c r="E198" s="260">
        <f>IF(ISNUMBER(E190),E190+E193,"")</f>
        <v>23814</v>
      </c>
      <c r="F198" s="260">
        <f>IF(ISNUMBER(F190),F190+F193,"")</f>
        <v>19821</v>
      </c>
      <c r="G198" s="260">
        <f>IF(ISNUMBER(G190),G190+G193,"")</f>
        <v>25013</v>
      </c>
      <c r="H198" s="260">
        <f>IF(ISNUMBER(H190),H190+H193,"")</f>
        <v>28071</v>
      </c>
      <c r="I198" s="260">
        <f>IF(ISNUMBER(I190),I190+I193,"")</f>
        <v>22267</v>
      </c>
      <c r="J198" s="260">
        <f>IF(ISNUMBER(J190),J190+J193,"")</f>
        <v>5534</v>
      </c>
      <c r="K198" s="260">
        <f>IF(ISNUMBER(K190),K190+K193,"")</f>
        <v>7770</v>
      </c>
      <c r="L198" s="260">
        <f>IF(ISNUMBER(L190),L190+L193,"")</f>
        <v>7603</v>
      </c>
      <c r="M198" s="260">
        <f>IF(ISNUMBER(M190),M190+M193,"")</f>
        <v>6145</v>
      </c>
      <c r="N198" s="260">
        <f>IF(ISNUMBER(N190),N190+N193,"")</f>
        <v>27052</v>
      </c>
      <c r="O198" s="260">
        <f>IF(ISNUMBER(O190),O190+O193,"")</f>
        <v>6408</v>
      </c>
      <c r="P198" s="260">
        <f>IF(ISNUMBER(P190),P190+P193,"")</f>
        <v>7878</v>
      </c>
      <c r="Q198" s="260">
        <f>IF(ISNUMBER(Q190),Q190+Q193,"")</f>
        <v>6957</v>
      </c>
      <c r="R198" s="260">
        <f>IF(ISNUMBER(R190),R190+R193,"")</f>
        <v>6577</v>
      </c>
      <c r="S198" s="260">
        <f>IF(ISNUMBER(S190),S190+S193,"")</f>
        <v>27820</v>
      </c>
      <c r="T198" s="260">
        <f>IF(ISNUMBER(T190),T190+T193,"")</f>
        <v>5896</v>
      </c>
      <c r="U198" s="260">
        <f>IF(ISNUMBER(U190),U190+U193,"")</f>
        <v>7850</v>
      </c>
      <c r="V198" s="260">
        <f>IF(ISNUMBER(V190),V190+V193,"")</f>
        <v>6517</v>
      </c>
      <c r="W198" s="260">
        <f>IF(ISNUMBER(W190),W190+W193,"")</f>
        <v>-1756</v>
      </c>
      <c r="X198" s="260">
        <f>IF(ISNUMBER(X190),X190+X193,"")</f>
        <v>18507</v>
      </c>
      <c r="Y198" s="260">
        <f>IF(ISNUMBER(Y190),Y190+Y193,"")</f>
        <v>5513</v>
      </c>
      <c r="Z198" s="260">
        <f>IF(ISNUMBER(Z190),Z190+Z193,"")</f>
        <v>5855</v>
      </c>
      <c r="AA198" s="260">
        <f>IF(ISNUMBER(AA190),AA190+AA193,"")</f>
        <v>5036</v>
      </c>
      <c r="AB198" s="260">
        <f>IF(ISNUMBER(AB190),AB190+AB193,"")</f>
        <v>3347</v>
      </c>
      <c r="AC198" s="260">
        <f>IF(ISNUMBER(AC190),AC190+AC193,"")</f>
        <v>19751</v>
      </c>
      <c r="AD198" s="260">
        <f>IF(ISNUMBER(AD190),AD190+AD193,"")</f>
        <v>5325</v>
      </c>
      <c r="AE198" s="260">
        <f>IF(ISNUMBER(AE190),AE190+AE193,"")</f>
        <v>6363</v>
      </c>
      <c r="AF198" s="260">
        <f>IF(ISNUMBER(AF190),AF190+AF193,"")</f>
        <v>5916</v>
      </c>
      <c r="AG198" s="260">
        <f>IF(ISNUMBER(AG190),AG190+AG193,"")</f>
        <v>5545</v>
      </c>
      <c r="AH198" s="260">
        <f>IF(ISNUMBER(AH190),AH190+AH193,"")</f>
        <v>23149</v>
      </c>
      <c r="AI198" s="260">
        <f>IF(ISNUMBER(AI190),AI190+AI193,"")</f>
        <v>7984</v>
      </c>
      <c r="AJ198" s="260">
        <f>IF(ISNUMBER(AJ190),AJ190+AJ193,"")</f>
        <v>9169</v>
      </c>
      <c r="AK198" s="260">
        <f>IF(ISNUMBER(AK190),AK190+AK193,"")</f>
        <v>8641</v>
      </c>
      <c r="AL198" s="260">
        <f>IF(ISNUMBER(AL190),AL190+AL193,"")</f>
        <v>10680</v>
      </c>
      <c r="AM198" s="260">
        <f>IF(ISNUMBER(AM190),AM190+AM193,"")</f>
        <v>36474</v>
      </c>
      <c r="AN198" s="260">
        <f>IF(ISNUMBER(AN190),AN190+AN193,"")</f>
        <v>10221</v>
      </c>
      <c r="AO198" s="260">
        <f>IF(ISNUMBER(AO190),AO190+AO193,"")</f>
        <v>10385</v>
      </c>
      <c r="AP198" s="260">
        <f>IF(ISNUMBER(AP190),AP190+AP193,"")</f>
        <v>10486</v>
      </c>
      <c r="AQ198" s="260">
        <f>IF(ISNUMBER(AQ190),AQ190+AQ193,"")</f>
        <v>12596</v>
      </c>
      <c r="AR198" s="260">
        <f>IF(ISNUMBER(AR190),AR190+AR193,"")</f>
        <v>43688</v>
      </c>
      <c r="AS198" s="260">
        <f>IF(ISNUMBER(AS190),AS190+AS193,"")</f>
        <v>12686</v>
      </c>
      <c r="AT198" s="260">
        <f>IF(ISNUMBER(AT190),AT190+AT193,"")</f>
        <v>14085</v>
      </c>
      <c r="AU198" s="260">
        <f>IF(ISNUMBER(AU190),AU190+AU193,"")</f>
        <v>12843</v>
      </c>
      <c r="AV198" s="260">
        <f>IF(ISNUMBER(AV190),AV190+AV193,"")</f>
        <v>13422</v>
      </c>
      <c r="AW198" s="260">
        <f>IF(ISNUMBER(AW190),AW190+AW193,"")</f>
        <v>53036</v>
      </c>
      <c r="AX198" s="260">
        <f>IF(ISNUMBER(AX190),AX190+AX193,"")</f>
        <v>16124</v>
      </c>
      <c r="AY198" s="260">
        <f>IF(ISNUMBER(AY190),AY190+AY193,"")</f>
        <v>18337</v>
      </c>
      <c r="AZ198" s="260">
        <f>IF(ISNUMBER(AZ190),AZ190+AZ193,"")</f>
        <v>17236</v>
      </c>
      <c r="BA198" s="260">
        <f>IF(ISNUMBER(BA190),BA190+BA193,"")</f>
        <v>19405</v>
      </c>
      <c r="BB198" s="260">
        <f>IF(ISNUMBER(BB190),BB190+BB193,"")</f>
        <v>71102</v>
      </c>
      <c r="BC198" s="260">
        <f>IF(ISNUMBER(BC190),BC190+BC193,"")</f>
        <v>20524</v>
      </c>
      <c r="BD198" s="260">
        <f>IF(ISNUMBER(BD190),BD190+BD193,"")</f>
        <v>22515</v>
      </c>
      <c r="BE198" s="260">
        <f>IF(ISNUMBER(BE190),BE190+BE193,"")</f>
        <v>20190</v>
      </c>
      <c r="BF198" s="260">
        <f>IF(ISNUMBER(BF190),BF190+BF193,"")</f>
        <v>20487</v>
      </c>
      <c r="BG198" s="260">
        <f>IF(ISNUMBER(BG190),BG190+BG193,"")</f>
        <v>83716</v>
      </c>
      <c r="BH198" s="260">
        <f>IF(ISNUMBER(BH190),BH190+BH193,"")</f>
        <v>21572</v>
      </c>
      <c r="BI198" s="260">
        <f>IF(ISNUMBER(BI190),BI190+BI193,"")</f>
        <v>20339</v>
      </c>
      <c r="BJ198" s="260">
        <f>IF(ISNUMBER(BJ190),BJ190+BJ193,"")</f>
        <v>22673</v>
      </c>
      <c r="BK198" s="260">
        <f>IF(ISNUMBER(BK190),BK190+BK193,"")</f>
        <v>24727</v>
      </c>
      <c r="BL198" s="260">
        <f>IF(ISNUMBER(BL190),BL190+BL193,"")</f>
        <v>89311</v>
      </c>
      <c r="BM198" s="260">
        <f>IF(ISNUMBER(BM190),BM190+BM193,"")</f>
        <v>27284</v>
      </c>
      <c r="BN198" s="260">
        <f>IF(ISNUMBER(BN190),BN190+BN193,"")</f>
        <v>26526</v>
      </c>
      <c r="BO198" s="260">
        <f>IF(ISNUMBER(BO190),BO190+BO193,"")</f>
        <v>26727</v>
      </c>
      <c r="BP198" s="260">
        <f>IF(ISNUMBER(BP190),BP190+BP193,"")</f>
        <v>27250</v>
      </c>
      <c r="BQ198" s="260">
        <f>IF(ISNUMBER(BQ190),BQ190+BQ193,"")</f>
        <v>107787</v>
      </c>
      <c r="BR198" s="260">
        <f>IF(ISNUMBER(BR190),BR190+BR193,"")</f>
        <v>30269</v>
      </c>
      <c r="BS198" s="260">
        <f>IF(ISNUMBER(BS190),BS190+BS193,"")</f>
        <v>29365</v>
      </c>
      <c r="BT198" s="260">
        <f>IF(ISNUMBER(BT190),BT190+BT193,"")</f>
        <v>31377</v>
      </c>
      <c r="BU198" s="260">
        <f>IF(ISNUMBER(BU190),BU190+BU193,"")</f>
        <v>32616</v>
      </c>
      <c r="BV198" s="260">
        <f>IF(ISNUMBER(BV190),BV190+BV193,"")</f>
        <v>123627</v>
      </c>
      <c r="BW198" s="260">
        <f>IF(ISNUMBER(BW190),BW190+BW193,"")</f>
        <v>34301</v>
      </c>
      <c r="BX198" s="260">
        <f>IF(ISNUMBER(BX190),BX190+BX193,"")</f>
        <v>48246</v>
      </c>
      <c r="BY198" s="260">
        <f>IF(ISNUMBER(BY190),BY190+BY193,"")</f>
        <v>39340</v>
      </c>
      <c r="BZ198" s="260">
        <f>IF(ISNUMBER(BZ190),BZ190+BZ193,"")</f>
        <v>44047</v>
      </c>
      <c r="CA198" s="260">
        <f>IF(ISNUMBER(CA190),CA190+CA193,"")</f>
        <v>165934</v>
      </c>
      <c r="CB198" s="261">
        <f>IF(ISNUMBER(CB190),CB190+CB193,"")</f>
        <v>43750</v>
      </c>
      <c r="CC198" s="261">
        <f>IF(ISNUMBER(CC190),CC190+CC193,"")</f>
        <v>44245.9445535205</v>
      </c>
      <c r="CD198" s="261">
        <f>IF(ISNUMBER(CD190),CD190+CD193,"")</f>
        <v>44611.946334539</v>
      </c>
      <c r="CE198" s="261">
        <f>IF(ISNUMBER(CE190),CE190+CE193,"")</f>
        <v>47493.2437102201</v>
      </c>
      <c r="CF198" s="261">
        <f>IF(ISNUMBER(CF190),CF190+CF193,"")</f>
        <v>180101.13459828</v>
      </c>
      <c r="CG198" s="261">
        <f>IF(ISNUMBER(CG190),CG190+CG193,"")</f>
        <v>200407.544722307</v>
      </c>
      <c r="CH198" s="261">
        <f>IF(ISNUMBER(CH190),CH190+CH193,"")</f>
        <v>229728.155356799</v>
      </c>
      <c r="CI198" s="261">
        <f>IF(ISNUMBER(CI190),CI190+CI193,"")</f>
        <v>264563.839979378</v>
      </c>
      <c r="CJ198" s="261">
        <f>IF(ISNUMBER(CJ190),CJ190+CJ193,"")</f>
        <v>300077.654916576</v>
      </c>
      <c r="CK198" s="153" t="n"/>
    </row>
    <row r="199" ht="15" customHeight="1" s="251">
      <c r="B199" s="25" t="inlineStr">
        <is>
          <t>Provision for income taxes</t>
        </is>
      </c>
      <c r="C199" s="253" t="n">
        <v>5663</v>
      </c>
      <c r="D199" s="253" t="n">
        <v>6036</v>
      </c>
      <c r="E199" s="253" t="n">
        <v>6133</v>
      </c>
      <c r="F199" s="253" t="n">
        <v>5252</v>
      </c>
      <c r="G199" s="253" t="n">
        <v>6253</v>
      </c>
      <c r="H199" s="253" t="n">
        <v>4921</v>
      </c>
      <c r="I199" s="253" t="n">
        <v>5289</v>
      </c>
      <c r="J199" s="253" t="n">
        <v>1068</v>
      </c>
      <c r="K199" s="253" t="n">
        <v>1393</v>
      </c>
      <c r="L199" s="253" t="n">
        <v>1548</v>
      </c>
      <c r="M199" s="253" t="n">
        <v>1180</v>
      </c>
      <c r="N199" s="253" t="n">
        <v>5189</v>
      </c>
      <c r="O199" s="253" t="n">
        <v>1164</v>
      </c>
      <c r="P199" s="253" t="n">
        <v>1320</v>
      </c>
      <c r="Q199" s="253" t="n">
        <v>1297</v>
      </c>
      <c r="R199" s="253" t="n">
        <v>1965</v>
      </c>
      <c r="S199" s="253" t="n">
        <v>5746</v>
      </c>
      <c r="T199" s="253" t="n">
        <v>1356</v>
      </c>
      <c r="U199" s="253" t="n">
        <v>1987</v>
      </c>
      <c r="V199" s="253" t="n">
        <v>1532</v>
      </c>
      <c r="W199" s="253" t="n">
        <v>1439</v>
      </c>
      <c r="X199" s="253" t="n">
        <v>6314</v>
      </c>
      <c r="Y199" s="253" t="n">
        <v>893</v>
      </c>
      <c r="Z199" s="253" t="n">
        <v>857</v>
      </c>
      <c r="AA199" s="253" t="n">
        <v>1280</v>
      </c>
      <c r="AB199" s="253" t="n">
        <v>225</v>
      </c>
      <c r="AC199" s="253" t="n">
        <v>2953</v>
      </c>
      <c r="AD199" s="253" t="n">
        <v>635</v>
      </c>
      <c r="AE199" s="253" t="n">
        <v>1163</v>
      </c>
      <c r="AF199" s="253" t="n">
        <v>1115</v>
      </c>
      <c r="AG199" s="253" t="n">
        <v>-968</v>
      </c>
      <c r="AH199" s="253" t="n">
        <v>1945</v>
      </c>
      <c r="AI199" s="253" t="n">
        <v>1408</v>
      </c>
      <c r="AJ199" s="253" t="n">
        <v>15471</v>
      </c>
      <c r="AK199" s="253" t="n">
        <v>1217</v>
      </c>
      <c r="AL199" s="253" t="n">
        <v>1807</v>
      </c>
      <c r="AM199" s="253" t="n">
        <v>19903</v>
      </c>
      <c r="AN199" s="253" t="n">
        <v>1397</v>
      </c>
      <c r="AO199" s="253" t="n">
        <v>1965</v>
      </c>
      <c r="AP199" s="253" t="n">
        <v>1677</v>
      </c>
      <c r="AQ199" s="253" t="n">
        <v>-591</v>
      </c>
      <c r="AR199" s="253" t="n">
        <v>4448</v>
      </c>
      <c r="AS199" s="253" t="n">
        <v>2008</v>
      </c>
      <c r="AT199" s="253" t="n">
        <v>2436</v>
      </c>
      <c r="AU199" s="253" t="n">
        <v>2091</v>
      </c>
      <c r="AV199" s="253" t="n">
        <v>2220</v>
      </c>
      <c r="AW199" s="253" t="n">
        <v>8755</v>
      </c>
      <c r="AX199" s="253" t="n">
        <v>2231</v>
      </c>
      <c r="AY199" s="253" t="n">
        <v>2874</v>
      </c>
      <c r="AZ199" s="253" t="n">
        <v>1779</v>
      </c>
      <c r="BA199" s="253" t="n">
        <v>2947</v>
      </c>
      <c r="BB199" s="253" t="n">
        <v>9831</v>
      </c>
      <c r="BC199" s="253" t="n">
        <v>19</v>
      </c>
      <c r="BD199" s="253" t="n">
        <v>3750</v>
      </c>
      <c r="BE199" s="253" t="n">
        <v>3462</v>
      </c>
      <c r="BF199" s="253" t="n">
        <v>3747</v>
      </c>
      <c r="BG199" s="253" t="n">
        <v>10978</v>
      </c>
      <c r="BH199" s="253" t="n">
        <v>4016</v>
      </c>
      <c r="BI199" s="253" t="n">
        <v>3914</v>
      </c>
      <c r="BJ199" s="253" t="n">
        <v>4374</v>
      </c>
      <c r="BK199" s="253" t="n">
        <v>4646</v>
      </c>
      <c r="BL199" s="253" t="n">
        <v>16950</v>
      </c>
      <c r="BM199" s="253" t="n">
        <v>4993</v>
      </c>
      <c r="BN199" s="253" t="n">
        <v>4656</v>
      </c>
      <c r="BO199" s="253" t="n">
        <v>4788</v>
      </c>
      <c r="BP199" s="253" t="n">
        <v>5214</v>
      </c>
      <c r="BQ199" s="253" t="n">
        <v>19651</v>
      </c>
      <c r="BR199" s="253" t="n">
        <v>5602</v>
      </c>
      <c r="BS199" s="253" t="n">
        <v>5257</v>
      </c>
      <c r="BT199" s="253" t="n">
        <v>5553</v>
      </c>
      <c r="BU199" s="253" t="n">
        <v>5383</v>
      </c>
      <c r="BV199" s="253" t="n">
        <v>21795</v>
      </c>
      <c r="BW199" s="253" t="n">
        <v>6554</v>
      </c>
      <c r="BX199" s="253" t="n">
        <v>9788</v>
      </c>
      <c r="BY199" s="253" t="n">
        <v>7562</v>
      </c>
      <c r="BZ199" s="253" t="n">
        <v>8281</v>
      </c>
      <c r="CA199" s="253" t="n">
        <v>32185</v>
      </c>
      <c r="CB199" s="254">
        <f>CB198*CB200</f>
        <v>8750</v>
      </c>
      <c r="CC199" s="254">
        <f>CC198*CC200</f>
        <v>8849.1889107041</v>
      </c>
      <c r="CD199" s="254">
        <f>CD198*CD200</f>
        <v>8922.3892669078</v>
      </c>
      <c r="CE199" s="254">
        <f>CE198*CE200</f>
        <v>9498.64874204402</v>
      </c>
      <c r="CF199" s="254">
        <f>SUM(CB199:CE199)</f>
        <v>36020.2269196559</v>
      </c>
      <c r="CG199" s="254">
        <f>CG198*CG200</f>
        <v>38077.4334972383</v>
      </c>
      <c r="CH199" s="254">
        <f>CH198*CH200</f>
        <v>43648.3495177919</v>
      </c>
      <c r="CI199" s="254">
        <f>CI198*CI200</f>
        <v>50267.1295960818</v>
      </c>
      <c r="CJ199" s="254">
        <f>CJ198*CJ200</f>
        <v>57014.7544341495</v>
      </c>
      <c r="CK199" s="19" t="n"/>
    </row>
    <row r="200" ht="15" customHeight="1" s="251">
      <c r="B200" s="25" t="inlineStr">
        <is>
          <t xml:space="preserve">  Effective tax rate</t>
        </is>
      </c>
      <c r="C200" s="215">
        <f>IF(AND(ISNUMBER(C199),ISNUMBER(C198)),IFERROR(C199/C198,""),"")</f>
        <v>0.310097470156609</v>
      </c>
      <c r="D200" s="215">
        <f>IF(AND(ISNUMBER(D199),ISNUMBER(D198)),IFERROR(D199/D198,""),"")</f>
        <v>0.300283567981693</v>
      </c>
      <c r="E200" s="215">
        <f>IF(AND(ISNUMBER(E199),ISNUMBER(E198)),IFERROR(E199/E198,""),"")</f>
        <v>0.257537582934408</v>
      </c>
      <c r="F200" s="215">
        <f>IF(AND(ISNUMBER(F199),ISNUMBER(F198)),IFERROR(F199/F198,""),"")</f>
        <v>0.264971494879169</v>
      </c>
      <c r="G200" s="215">
        <f>IF(AND(ISNUMBER(G199),ISNUMBER(G198)),IFERROR(G199/G198,""),"")</f>
        <v>0.249990005197297</v>
      </c>
      <c r="H200" s="215">
        <f>IF(AND(ISNUMBER(H199),ISNUMBER(H198)),IFERROR(H199/H198,""),"")</f>
        <v>0.17530547540166</v>
      </c>
      <c r="I200" s="215">
        <f>IF(AND(ISNUMBER(I199),ISNUMBER(I198)),IFERROR(I199/I198,""),"")</f>
        <v>0.237526384335564</v>
      </c>
      <c r="J200" s="215">
        <f>IF(AND(ISNUMBER(J199),ISNUMBER(J198)),IFERROR(J199/J198,""),"")</f>
        <v>0.192988796530539</v>
      </c>
      <c r="K200" s="215">
        <f>IF(AND(ISNUMBER(K199),ISNUMBER(K198)),IFERROR(K199/K198,""),"")</f>
        <v>0.179279279279279</v>
      </c>
      <c r="L200" s="215">
        <f>IF(AND(ISNUMBER(L199),ISNUMBER(L198)),IFERROR(L199/L198,""),"")</f>
        <v>0.203603840589241</v>
      </c>
      <c r="M200" s="215">
        <f>IF(AND(ISNUMBER(M199),ISNUMBER(M198)),IFERROR(M199/M198,""),"")</f>
        <v>0.192026037428804</v>
      </c>
      <c r="N200" s="215">
        <f>IF(AND(ISNUMBER(N199),ISNUMBER(N198)),IFERROR(N199/N198,""),"")</f>
        <v>0.191815762235694</v>
      </c>
      <c r="O200" s="215">
        <f>IF(AND(ISNUMBER(O199),ISNUMBER(O198)),IFERROR(O199/O198,""),"")</f>
        <v>0.181647940074906</v>
      </c>
      <c r="P200" s="215">
        <f>IF(AND(ISNUMBER(P199),ISNUMBER(P198)),IFERROR(P199/P198,""),"")</f>
        <v>0.167555217060168</v>
      </c>
      <c r="Q200" s="215">
        <f>IF(AND(ISNUMBER(Q199),ISNUMBER(Q198)),IFERROR(Q199/Q198,""),"")</f>
        <v>0.186430932873365</v>
      </c>
      <c r="R200" s="215">
        <f>IF(AND(ISNUMBER(R199),ISNUMBER(R198)),IFERROR(R199/R198,""),"")</f>
        <v>0.298768435456895</v>
      </c>
      <c r="S200" s="215">
        <f>IF(AND(ISNUMBER(S199),ISNUMBER(S198)),IFERROR(S199/S198,""),"")</f>
        <v>0.206542056074766</v>
      </c>
      <c r="T200" s="215">
        <f>IF(AND(ISNUMBER(T199),ISNUMBER(T198)),IFERROR(T199/T198,""),"")</f>
        <v>0.229986431478969</v>
      </c>
      <c r="U200" s="215">
        <f>IF(AND(ISNUMBER(U199),ISNUMBER(U198)),IFERROR(U199/U198,""),"")</f>
        <v>0.25312101910828</v>
      </c>
      <c r="V200" s="215">
        <f>IF(AND(ISNUMBER(V199),ISNUMBER(V198)),IFERROR(V199/V198,""),"")</f>
        <v>0.235077489642474</v>
      </c>
      <c r="W200" s="215">
        <f>IF(AND(ISNUMBER(W199),ISNUMBER(W198)),IFERROR(W199/W198,""),"")</f>
        <v>-0.819476082004556</v>
      </c>
      <c r="X200" s="215">
        <f>IF(AND(ISNUMBER(X199),ISNUMBER(X198)),IFERROR(X199/X198,""),"")</f>
        <v>0.34116820662452</v>
      </c>
      <c r="Y200" s="215">
        <f>IF(AND(ISNUMBER(Y199),ISNUMBER(Y198)),IFERROR(Y199/Y198,""),"")</f>
        <v>0.161980772719028</v>
      </c>
      <c r="Z200" s="215">
        <f>IF(AND(ISNUMBER(Z199),ISNUMBER(Z198)),IFERROR(Z199/Z198,""),"")</f>
        <v>0.146370623398804</v>
      </c>
      <c r="AA200" s="215">
        <f>IF(AND(ISNUMBER(AA199),ISNUMBER(AA198)),IFERROR(AA199/AA198,""),"")</f>
        <v>0.254169976171565</v>
      </c>
      <c r="AB200" s="215">
        <f>IF(AND(ISNUMBER(AB199),ISNUMBER(AB198)),IFERROR(AB199/AB198,""),"")</f>
        <v>0.0672243800418285</v>
      </c>
      <c r="AC200" s="215">
        <f>IF(AND(ISNUMBER(AC199),ISNUMBER(AC198)),IFERROR(AC199/AC198,""),"")</f>
        <v>0.149511417143436</v>
      </c>
      <c r="AD200" s="215">
        <f>IF(AND(ISNUMBER(AD199),ISNUMBER(AD198)),IFERROR(AD199/AD198,""),"")</f>
        <v>0.11924882629108</v>
      </c>
      <c r="AE200" s="215">
        <f>IF(AND(ISNUMBER(AE199),ISNUMBER(AE198)),IFERROR(AE199/AE198,""),"")</f>
        <v>0.182775420399183</v>
      </c>
      <c r="AF200" s="215">
        <f>IF(AND(ISNUMBER(AF199),ISNUMBER(AF198)),IFERROR(AF199/AF198,""),"")</f>
        <v>0.188471940500338</v>
      </c>
      <c r="AG200" s="215">
        <f>IF(AND(ISNUMBER(AG199),ISNUMBER(AG198)),IFERROR(AG199/AG198,""),"")</f>
        <v>-0.174571686203787</v>
      </c>
      <c r="AH200" s="215">
        <f>IF(AND(ISNUMBER(AH199),ISNUMBER(AH198)),IFERROR(AH199/AH198,""),"")</f>
        <v>0.0840209080305845</v>
      </c>
      <c r="AI200" s="215">
        <f>IF(AND(ISNUMBER(AI199),ISNUMBER(AI198)),IFERROR(AI199/AI198,""),"")</f>
        <v>0.176352705410822</v>
      </c>
      <c r="AJ200" s="215">
        <f>IF(AND(ISNUMBER(AJ199),ISNUMBER(AJ198)),IFERROR(AJ199/AJ198,""),"")</f>
        <v>1.68731595593849</v>
      </c>
      <c r="AK200" s="215">
        <f>IF(AND(ISNUMBER(AK199),ISNUMBER(AK198)),IFERROR(AK199/AK198,""),"")</f>
        <v>0.14084018053466</v>
      </c>
      <c r="AL200" s="215">
        <f>IF(AND(ISNUMBER(AL199),ISNUMBER(AL198)),IFERROR(AL199/AL198,""),"")</f>
        <v>0.169194756554307</v>
      </c>
      <c r="AM200" s="215">
        <f>IF(AND(ISNUMBER(AM199),ISNUMBER(AM198)),IFERROR(AM199/AM198,""),"")</f>
        <v>0.545676372210342</v>
      </c>
      <c r="AN200" s="215">
        <f>IF(AND(ISNUMBER(AN199),ISNUMBER(AN198)),IFERROR(AN199/AN198,""),"")</f>
        <v>0.136679385578711</v>
      </c>
      <c r="AO200" s="215">
        <f>IF(AND(ISNUMBER(AO199),ISNUMBER(AO198)),IFERROR(AO199/AO198,""),"")</f>
        <v>0.189215214251324</v>
      </c>
      <c r="AP200" s="215">
        <f>IF(AND(ISNUMBER(AP199),ISNUMBER(AP198)),IFERROR(AP199/AP198,""),"")</f>
        <v>0.159927522410834</v>
      </c>
      <c r="AQ200" s="215">
        <f>IF(AND(ISNUMBER(AQ199),ISNUMBER(AQ198)),IFERROR(AQ199/AQ198,""),"")</f>
        <v>-0.046919657033979</v>
      </c>
      <c r="AR200" s="215">
        <f>IF(AND(ISNUMBER(AR199),ISNUMBER(AR198)),IFERROR(AR199/AR198,""),"")</f>
        <v>0.1018128547885</v>
      </c>
      <c r="AS200" s="215">
        <f>IF(AND(ISNUMBER(AS199),ISNUMBER(AS198)),IFERROR(AS199/AS198,""),"")</f>
        <v>0.158284723317042</v>
      </c>
      <c r="AT200" s="215">
        <f>IF(AND(ISNUMBER(AT199),ISNUMBER(AT198)),IFERROR(AT199/AT198,""),"")</f>
        <v>0.172949946751864</v>
      </c>
      <c r="AU200" s="215">
        <f>IF(AND(ISNUMBER(AU199),ISNUMBER(AU198)),IFERROR(AU199/AU198,""),"")</f>
        <v>0.162812427003037</v>
      </c>
      <c r="AV200" s="215">
        <f>IF(AND(ISNUMBER(AV199),ISNUMBER(AV198)),IFERROR(AV199/AV198,""),"")</f>
        <v>0.165400089405454</v>
      </c>
      <c r="AW200" s="215">
        <f>IF(AND(ISNUMBER(AW199),ISNUMBER(AW198)),IFERROR(AW199/AW198,""),"")</f>
        <v>0.165076551776152</v>
      </c>
      <c r="AX200" s="215">
        <f>IF(AND(ISNUMBER(AX199),ISNUMBER(AX198)),IFERROR(AX199/AX198,""),"")</f>
        <v>0.138365169933019</v>
      </c>
      <c r="AY200" s="215">
        <f>IF(AND(ISNUMBER(AY199),ISNUMBER(AY198)),IFERROR(AY199/AY198,""),"")</f>
        <v>0.156732289905655</v>
      </c>
      <c r="AZ200" s="215">
        <f>IF(AND(ISNUMBER(AZ199),ISNUMBER(AZ198)),IFERROR(AZ199/AZ198,""),"")</f>
        <v>0.103214202831283</v>
      </c>
      <c r="BA200" s="215">
        <f>IF(AND(ISNUMBER(BA199),ISNUMBER(BA198)),IFERROR(BA199/BA198,""),"")</f>
        <v>0.151868075238341</v>
      </c>
      <c r="BB200" s="215">
        <f>IF(AND(ISNUMBER(BB199),ISNUMBER(BB198)),IFERROR(BB199/BB198,""),"")</f>
        <v>0.138266152850834</v>
      </c>
      <c r="BC200" s="215">
        <f>IF(AND(ISNUMBER(BC199),ISNUMBER(BC198)),IFERROR(BC199/BC198,""),"")</f>
        <v>0.000925745468719548</v>
      </c>
      <c r="BD200" s="215">
        <f>IF(AND(ISNUMBER(BD199),ISNUMBER(BD198)),IFERROR(BD199/BD198,""),"")</f>
        <v>0.16655562958028</v>
      </c>
      <c r="BE200" s="215">
        <f>IF(AND(ISNUMBER(BE199),ISNUMBER(BE198)),IFERROR(BE199/BE198,""),"")</f>
        <v>0.17147102526003</v>
      </c>
      <c r="BF200" s="215">
        <f>IF(AND(ISNUMBER(BF199),ISNUMBER(BF198)),IFERROR(BF199/BF198,""),"")</f>
        <v>0.182896470932787</v>
      </c>
      <c r="BG200" s="215">
        <f>IF(AND(ISNUMBER(BG199),ISNUMBER(BG198)),IFERROR(BG199/BG198,""),"")</f>
        <v>0.131133833436858</v>
      </c>
      <c r="BH200" s="215">
        <f>IF(AND(ISNUMBER(BH199),ISNUMBER(BH198)),IFERROR(BH199/BH198,""),"")</f>
        <v>0.18616725384758</v>
      </c>
      <c r="BI200" s="215">
        <f>IF(AND(ISNUMBER(BI199),ISNUMBER(BI198)),IFERROR(BI199/BI198,""),"")</f>
        <v>0.192438172968189</v>
      </c>
      <c r="BJ200" s="215">
        <f>IF(AND(ISNUMBER(BJ199),ISNUMBER(BJ198)),IFERROR(BJ199/BJ198,""),"")</f>
        <v>0.192916685043885</v>
      </c>
      <c r="BK200" s="215">
        <f>IF(AND(ISNUMBER(BK199),ISNUMBER(BK198)),IFERROR(BK199/BK198,""),"")</f>
        <v>0.187891778218142</v>
      </c>
      <c r="BL200" s="215">
        <f>IF(AND(ISNUMBER(BL199),ISNUMBER(BL198)),IFERROR(BL199/BL198,""),"")</f>
        <v>0.189786252533283</v>
      </c>
      <c r="BM200" s="215">
        <f>IF(AND(ISNUMBER(BM199),ISNUMBER(BM198)),IFERROR(BM199/BM198,""),"")</f>
        <v>0.183001026242486</v>
      </c>
      <c r="BN200" s="215">
        <f>IF(AND(ISNUMBER(BN199),ISNUMBER(BN198)),IFERROR(BN199/BN198,""),"")</f>
        <v>0.175525899117847</v>
      </c>
      <c r="BO200" s="215">
        <f>IF(AND(ISNUMBER(BO199),ISNUMBER(BO198)),IFERROR(BO199/BO198,""),"")</f>
        <v>0.179144685149848</v>
      </c>
      <c r="BP200" s="215">
        <f>IF(AND(ISNUMBER(BP199),ISNUMBER(BP198)),IFERROR(BP199/BP198,""),"")</f>
        <v>0.191339449541284</v>
      </c>
      <c r="BQ200" s="215">
        <f>IF(AND(ISNUMBER(BQ199),ISNUMBER(BQ198)),IFERROR(BQ199/BQ198,""),"")</f>
        <v>0.182313265978272</v>
      </c>
      <c r="BR200" s="215">
        <f>IF(AND(ISNUMBER(BR199),ISNUMBER(BR198)),IFERROR(BR199/BR198,""),"")</f>
        <v>0.185073837919984</v>
      </c>
      <c r="BS200" s="215">
        <f>IF(AND(ISNUMBER(BS199),ISNUMBER(BS198)),IFERROR(BS199/BS198,""),"")</f>
        <v>0.179022646007151</v>
      </c>
      <c r="BT200" s="215">
        <f>IF(AND(ISNUMBER(BT199),ISNUMBER(BT198)),IFERROR(BT199/BT198,""),"")</f>
        <v>0.176976766421264</v>
      </c>
      <c r="BU200" s="215">
        <f>IF(AND(ISNUMBER(BU199),ISNUMBER(BU198)),IFERROR(BU199/BU198,""),"")</f>
        <v>0.165041697326466</v>
      </c>
      <c r="BV200" s="215">
        <f>IF(AND(ISNUMBER(BV199),ISNUMBER(BV198)),IFERROR(BV199/BV198,""),"")</f>
        <v>0.176296440098037</v>
      </c>
      <c r="BW200" s="215">
        <f>IF(AND(ISNUMBER(BW199),ISNUMBER(BW198)),IFERROR(BW199/BW198,""),"")</f>
        <v>0.191073146555494</v>
      </c>
      <c r="BX200" s="215">
        <f>IF(AND(ISNUMBER(BX199),ISNUMBER(BX198)),IFERROR(BX199/BX198,""),"")</f>
        <v>0.202876922439166</v>
      </c>
      <c r="BY200" s="215">
        <f>IF(AND(ISNUMBER(BY199),ISNUMBER(BY198)),IFERROR(BY199/BY198,""),"")</f>
        <v>0.192221657346213</v>
      </c>
      <c r="BZ200" s="215">
        <f>IF(AND(ISNUMBER(BZ199),ISNUMBER(BZ198)),IFERROR(BZ199/BZ198,""),"")</f>
        <v>0.188003723295571</v>
      </c>
      <c r="CA200" s="215">
        <f>IF(AND(ISNUMBER(CA199),ISNUMBER(CA198)),IFERROR(CA199/CA198,""),"")</f>
        <v>0.193962659852713</v>
      </c>
      <c r="CB200" s="256">
        <f>$CU$19</f>
        <v>0.2</v>
      </c>
      <c r="CC200" s="256">
        <f>$CU$19</f>
        <v>0.2</v>
      </c>
      <c r="CD200" s="256">
        <f>$CU$19</f>
        <v>0.2</v>
      </c>
      <c r="CE200" s="256">
        <f>$CU$19</f>
        <v>0.2</v>
      </c>
      <c r="CF200" s="256">
        <f>IF(AND(ISNUMBER(CF199),ISNUMBER(CF198)),IFERROR(CF199/CF198,""),"")</f>
        <v>0.2</v>
      </c>
      <c r="CG200" s="264" t="n">
        <v>0.19</v>
      </c>
      <c r="CH200" s="264" t="n">
        <v>0.19</v>
      </c>
      <c r="CI200" s="264" t="n">
        <v>0.19</v>
      </c>
      <c r="CJ200" s="264" t="n">
        <v>0.19</v>
      </c>
      <c r="CK200" s="153" t="inlineStr">
        <is>
          <t>Q1/27E: guided ~20% (Q2–Q4 held, assumption). FY26 19.4%, FY25 17.6%. 2028E+: input.</t>
        </is>
      </c>
      <c r="CM200" s="37">
        <f>IFERROR(AVERAGE(CF200,CG200,CH200,CI200,CJ200),"n/m")</f>
        <v>0.192</v>
      </c>
      <c r="CN200" s="37">
        <f>IFERROR(AVERAGE(BG200,BL200,BQ200,BV200,CA200),"n/m")</f>
        <v>0.174698490379832</v>
      </c>
      <c r="CO200" s="37">
        <f>IFERROR(AVERAGE(AH200,AM200,AR200,AW200,BB200,BG200,BL200,BQ200,BV200,CA200),"n/m")</f>
        <v>0.190834529155557</v>
      </c>
      <c r="CP200" s="37">
        <f>IFERROR(AVERAGE(C200,D200,E200,F200,G200,H200,I200,N200,S200,X200,AC200,AH200,AM200,AR200,AW200,BB200,BG200,BL200,BQ200,BV200,CA200),"n/m")</f>
        <v>0.218718795929542</v>
      </c>
    </row>
    <row r="201" ht="15" customHeight="1" s="251">
      <c r="B201" s="55" t="inlineStr">
        <is>
          <t>Net income</t>
        </is>
      </c>
      <c r="C201" s="267">
        <f>IF(ISNUMBER(C198),C198-C199,"")</f>
        <v>12599</v>
      </c>
      <c r="D201" s="267">
        <f>IF(ISNUMBER(D198),D198-D199,"")</f>
        <v>14065</v>
      </c>
      <c r="E201" s="267">
        <f>IF(ISNUMBER(E198),E198-E199,"")</f>
        <v>17681</v>
      </c>
      <c r="F201" s="267">
        <f>IF(ISNUMBER(F198),F198-F199,"")</f>
        <v>14569</v>
      </c>
      <c r="G201" s="267">
        <f>IF(ISNUMBER(G198),G198-G199,"")</f>
        <v>18760</v>
      </c>
      <c r="H201" s="267">
        <f>IF(ISNUMBER(H198),H198-H199,"")</f>
        <v>23150</v>
      </c>
      <c r="I201" s="267">
        <f>IF(ISNUMBER(I198),I198-I199,"")</f>
        <v>16978</v>
      </c>
      <c r="J201" s="267">
        <f>IF(ISNUMBER(J198),J198-J199,"")</f>
        <v>4466</v>
      </c>
      <c r="K201" s="267">
        <f>IF(ISNUMBER(K198),K198-K199,"")</f>
        <v>6377</v>
      </c>
      <c r="L201" s="267">
        <f>IF(ISNUMBER(L198),L198-L199,"")</f>
        <v>6055</v>
      </c>
      <c r="M201" s="267">
        <f>IF(ISNUMBER(M198),M198-M199,"")</f>
        <v>4965</v>
      </c>
      <c r="N201" s="267">
        <f>IF(ISNUMBER(N198),N198-N199,"")</f>
        <v>21863</v>
      </c>
      <c r="O201" s="267">
        <f>IF(ISNUMBER(O198),O198-O199,"")</f>
        <v>5244</v>
      </c>
      <c r="P201" s="267">
        <f>IF(ISNUMBER(P198),P198-P199,"")</f>
        <v>6558</v>
      </c>
      <c r="Q201" s="267">
        <f>IF(ISNUMBER(Q198),Q198-Q199,"")</f>
        <v>5660</v>
      </c>
      <c r="R201" s="267">
        <f>IF(ISNUMBER(R198),R198-R199,"")</f>
        <v>4612</v>
      </c>
      <c r="S201" s="267">
        <f>IF(ISNUMBER(S198),S198-S199,"")</f>
        <v>22074</v>
      </c>
      <c r="T201" s="267">
        <f>IF(ISNUMBER(T198),T198-T199,"")</f>
        <v>4540</v>
      </c>
      <c r="U201" s="267">
        <f>IF(ISNUMBER(U198),U198-U199,"")</f>
        <v>5863</v>
      </c>
      <c r="V201" s="267">
        <f>IF(ISNUMBER(V198),V198-V199,"")</f>
        <v>4985</v>
      </c>
      <c r="W201" s="267">
        <f>IF(ISNUMBER(W198),W198-W199,"")</f>
        <v>-3195</v>
      </c>
      <c r="X201" s="267">
        <f>IF(ISNUMBER(X198),X198-X199,"")</f>
        <v>12193</v>
      </c>
      <c r="Y201" s="267">
        <f>IF(ISNUMBER(Y198),Y198-Y199,"")</f>
        <v>4620</v>
      </c>
      <c r="Z201" s="267">
        <f>IF(ISNUMBER(Z198),Z198-Z199,"")</f>
        <v>4998</v>
      </c>
      <c r="AA201" s="267">
        <f>IF(ISNUMBER(AA198),AA198-AA199,"")</f>
        <v>3756</v>
      </c>
      <c r="AB201" s="267">
        <f>IF(ISNUMBER(AB198),AB198-AB199,"")</f>
        <v>3122</v>
      </c>
      <c r="AC201" s="267">
        <f>IF(ISNUMBER(AC198),AC198-AC199,"")</f>
        <v>16798</v>
      </c>
      <c r="AD201" s="267">
        <f>IF(ISNUMBER(AD198),AD198-AD199,"")</f>
        <v>4690</v>
      </c>
      <c r="AE201" s="267">
        <f>IF(ISNUMBER(AE198),AE198-AE199,"")</f>
        <v>5200</v>
      </c>
      <c r="AF201" s="267">
        <f>IF(ISNUMBER(AF198),AF198-AF199,"")</f>
        <v>4801</v>
      </c>
      <c r="AG201" s="267">
        <f>IF(ISNUMBER(AG198),AG198-AG199,"")</f>
        <v>6513</v>
      </c>
      <c r="AH201" s="267">
        <f>IF(ISNUMBER(AH198),AH198-AH199,"")</f>
        <v>21204</v>
      </c>
      <c r="AI201" s="267">
        <f>IF(ISNUMBER(AI198),AI198-AI199,"")</f>
        <v>6576</v>
      </c>
      <c r="AJ201" s="267">
        <f>IF(ISNUMBER(AJ198),AJ198-AJ199,"")</f>
        <v>-6302</v>
      </c>
      <c r="AK201" s="267">
        <f>IF(ISNUMBER(AK198),AK198-AK199,"")</f>
        <v>7424</v>
      </c>
      <c r="AL201" s="267">
        <f>IF(ISNUMBER(AL198),AL198-AL199,"")</f>
        <v>8873</v>
      </c>
      <c r="AM201" s="267">
        <f>IF(ISNUMBER(AM198),AM198-AM199,"")</f>
        <v>16571</v>
      </c>
      <c r="AN201" s="267">
        <f>IF(ISNUMBER(AN198),AN198-AN199,"")</f>
        <v>8824</v>
      </c>
      <c r="AO201" s="267">
        <f>IF(ISNUMBER(AO198),AO198-AO199,"")</f>
        <v>8420</v>
      </c>
      <c r="AP201" s="267">
        <f>IF(ISNUMBER(AP198),AP198-AP199,"")</f>
        <v>8809</v>
      </c>
      <c r="AQ201" s="267">
        <f>IF(ISNUMBER(AQ198),AQ198-AQ199,"")</f>
        <v>13187</v>
      </c>
      <c r="AR201" s="267">
        <f>IF(ISNUMBER(AR198),AR198-AR199,"")</f>
        <v>39240</v>
      </c>
      <c r="AS201" s="267">
        <f>IF(ISNUMBER(AS198),AS198-AS199,"")</f>
        <v>10678</v>
      </c>
      <c r="AT201" s="267">
        <f>IF(ISNUMBER(AT198),AT198-AT199,"")</f>
        <v>11649</v>
      </c>
      <c r="AU201" s="267">
        <f>IF(ISNUMBER(AU198),AU198-AU199,"")</f>
        <v>10752</v>
      </c>
      <c r="AV201" s="267">
        <f>IF(ISNUMBER(AV198),AV198-AV199,"")</f>
        <v>11202</v>
      </c>
      <c r="AW201" s="267">
        <f>IF(ISNUMBER(AW198),AW198-AW199,"")</f>
        <v>44281</v>
      </c>
      <c r="AX201" s="267">
        <f>IF(ISNUMBER(AX198),AX198-AX199,"")</f>
        <v>13893</v>
      </c>
      <c r="AY201" s="267">
        <f>IF(ISNUMBER(AY198),AY198-AY199,"")</f>
        <v>15463</v>
      </c>
      <c r="AZ201" s="267">
        <f>IF(ISNUMBER(AZ198),AZ198-AZ199,"")</f>
        <v>15457</v>
      </c>
      <c r="BA201" s="267">
        <f>IF(ISNUMBER(BA198),BA198-BA199,"")</f>
        <v>16458</v>
      </c>
      <c r="BB201" s="267">
        <f>IF(ISNUMBER(BB198),BB198-BB199,"")</f>
        <v>61271</v>
      </c>
      <c r="BC201" s="267">
        <f>IF(ISNUMBER(BC198),BC198-BC199,"")</f>
        <v>20505</v>
      </c>
      <c r="BD201" s="267">
        <f>IF(ISNUMBER(BD198),BD198-BD199,"")</f>
        <v>18765</v>
      </c>
      <c r="BE201" s="267">
        <f>IF(ISNUMBER(BE198),BE198-BE199,"")</f>
        <v>16728</v>
      </c>
      <c r="BF201" s="267">
        <f>IF(ISNUMBER(BF198),BF198-BF199,"")</f>
        <v>16740</v>
      </c>
      <c r="BG201" s="267">
        <f>IF(ISNUMBER(BG198),BG198-BG199,"")</f>
        <v>72738</v>
      </c>
      <c r="BH201" s="267">
        <f>IF(ISNUMBER(BH198),BH198-BH199,"")</f>
        <v>17556</v>
      </c>
      <c r="BI201" s="267">
        <f>IF(ISNUMBER(BI198),BI198-BI199,"")</f>
        <v>16425</v>
      </c>
      <c r="BJ201" s="267">
        <f>IF(ISNUMBER(BJ198),BJ198-BJ199,"")</f>
        <v>18299</v>
      </c>
      <c r="BK201" s="267">
        <f>IF(ISNUMBER(BK198),BK198-BK199,"")</f>
        <v>20081</v>
      </c>
      <c r="BL201" s="267">
        <f>IF(ISNUMBER(BL198),BL198-BL199,"")</f>
        <v>72361</v>
      </c>
      <c r="BM201" s="267">
        <f>IF(ISNUMBER(BM198),BM198-BM199,"")</f>
        <v>22291</v>
      </c>
      <c r="BN201" s="267">
        <f>IF(ISNUMBER(BN198),BN198-BN199,"")</f>
        <v>21870</v>
      </c>
      <c r="BO201" s="267">
        <f>IF(ISNUMBER(BO198),BO198-BO199,"")</f>
        <v>21939</v>
      </c>
      <c r="BP201" s="267">
        <f>IF(ISNUMBER(BP198),BP198-BP199,"")</f>
        <v>22036</v>
      </c>
      <c r="BQ201" s="267">
        <f>IF(ISNUMBER(BQ198),BQ198-BQ199,"")</f>
        <v>88136</v>
      </c>
      <c r="BR201" s="267">
        <f>IF(ISNUMBER(BR198),BR198-BR199,"")</f>
        <v>24667</v>
      </c>
      <c r="BS201" s="267">
        <f>IF(ISNUMBER(BS198),BS198-BS199,"")</f>
        <v>24108</v>
      </c>
      <c r="BT201" s="267">
        <f>IF(ISNUMBER(BT198),BT198-BT199,"")</f>
        <v>25824</v>
      </c>
      <c r="BU201" s="267">
        <f>IF(ISNUMBER(BU198),BU198-BU199,"")</f>
        <v>27233</v>
      </c>
      <c r="BV201" s="267">
        <f>IF(ISNUMBER(BV198),BV198-BV199,"")</f>
        <v>101832</v>
      </c>
      <c r="BW201" s="267">
        <f>IF(ISNUMBER(BW198),BW198-BW199,"")</f>
        <v>27747</v>
      </c>
      <c r="BX201" s="267">
        <f>IF(ISNUMBER(BX198),BX198-BX199,"")</f>
        <v>38458</v>
      </c>
      <c r="BY201" s="267">
        <f>IF(ISNUMBER(BY198),BY198-BY199,"")</f>
        <v>31778</v>
      </c>
      <c r="BZ201" s="267">
        <f>IF(ISNUMBER(BZ198),BZ198-BZ199,"")</f>
        <v>35766</v>
      </c>
      <c r="CA201" s="267">
        <f>IF(ISNUMBER(CA198),CA198-CA199,"")</f>
        <v>133749</v>
      </c>
      <c r="CB201" s="267">
        <f>IF(ISNUMBER(CB198),CB198-CB199,"")</f>
        <v>35000</v>
      </c>
      <c r="CC201" s="267">
        <f>IF(ISNUMBER(CC198),CC198-CC199,"")</f>
        <v>35396.7556428164</v>
      </c>
      <c r="CD201" s="267">
        <f>IF(ISNUMBER(CD198),CD198-CD199,"")</f>
        <v>35689.5570676312</v>
      </c>
      <c r="CE201" s="267">
        <f>IF(ISNUMBER(CE198),CE198-CE199,"")</f>
        <v>37994.5949681761</v>
      </c>
      <c r="CF201" s="267">
        <f>IF(ISNUMBER(CF198),CF198-CF199,"")</f>
        <v>144080.907678624</v>
      </c>
      <c r="CG201" s="267">
        <f>IF(ISNUMBER(CG198),CG198-CG199,"")</f>
        <v>162330.111225069</v>
      </c>
      <c r="CH201" s="267">
        <f>IF(ISNUMBER(CH198),CH198-CH199,"")</f>
        <v>186079.805839007</v>
      </c>
      <c r="CI201" s="267">
        <f>IF(ISNUMBER(CI198),CI198-CI199,"")</f>
        <v>214296.710383296</v>
      </c>
      <c r="CJ201" s="267">
        <f>IF(ISNUMBER(CJ198),CJ198-CJ199,"")</f>
        <v>243062.900482427</v>
      </c>
      <c r="CK201" s="153" t="n"/>
      <c r="CM201" s="20">
        <f>IFERROR((CJ201/CA201)^(1/5)-1,"n/m")</f>
        <v>0.126900642462365</v>
      </c>
      <c r="CN201" s="20">
        <f>IFERROR((CA201/BB201)^(1/5)-1,"n/m")</f>
        <v>0.168980091832377</v>
      </c>
      <c r="CO201" s="20">
        <f>IFERROR((CA201/AC201)^(1/10)-1,"n/m")</f>
        <v>0.230561424268584</v>
      </c>
      <c r="CP201" s="20">
        <f>IFERROR((CA201/C201)^(1/20)-1,"n/m")</f>
        <v>0.12537619258607</v>
      </c>
    </row>
    <row r="202" ht="15" customHeight="1" s="251">
      <c r="B202" s="57" t="inlineStr">
        <is>
          <t xml:space="preserve">  Check: net income vs reported (should be 0)</t>
        </is>
      </c>
      <c r="C202" s="211">
        <f>IF(ISNUMBER(C203),IF(ABS(C201-C203)&lt;=1,0,ROUND(C201-C203,0)),"")</f>
        <v>0</v>
      </c>
      <c r="D202" s="211">
        <f>IF(ISNUMBER(D203),IF(ABS(D201-D203)&lt;=1,0,ROUND(D201-D203,0)),"")</f>
        <v>0</v>
      </c>
      <c r="E202" s="211">
        <f>IF(ISNUMBER(E203),IF(ABS(E201-E203)&lt;=1,0,ROUND(E201-E203,0)),"")</f>
        <v>0</v>
      </c>
      <c r="F202" s="211">
        <f>IF(ISNUMBER(F203),IF(ABS(F201-F203)&lt;=1,0,ROUND(F201-F203,0)),"")</f>
        <v>0</v>
      </c>
      <c r="G202" s="211">
        <f>IF(ISNUMBER(G203),IF(ABS(G201-G203)&lt;=1,0,ROUND(G201-G203,0)),"")</f>
        <v>0</v>
      </c>
      <c r="H202" s="211">
        <f>IF(ISNUMBER(H203),IF(ABS(H201-H203)&lt;=1,0,ROUND(H201-H203,0)),"")</f>
        <v>0</v>
      </c>
      <c r="I202" s="211">
        <f>IF(ISNUMBER(I203),IF(ABS(I201-I203)&lt;=1,0,ROUND(I201-I203,0)),"")</f>
        <v>0</v>
      </c>
      <c r="J202" s="211">
        <f>IF(ISNUMBER(J203),IF(ABS(J201-J203)&lt;=1,0,ROUND(J201-J203,0)),"")</f>
        <v>0</v>
      </c>
      <c r="K202" s="211">
        <f>IF(ISNUMBER(K203),IF(ABS(K201-K203)&lt;=1,0,ROUND(K201-K203,0)),"")</f>
        <v>0</v>
      </c>
      <c r="L202" s="211">
        <f>IF(ISNUMBER(L203),IF(ABS(L201-L203)&lt;=1,0,ROUND(L201-L203,0)),"")</f>
        <v>0</v>
      </c>
      <c r="M202" s="211">
        <f>IF(ISNUMBER(M203),IF(ABS(M201-M203)&lt;=1,0,ROUND(M201-M203,0)),"")</f>
        <v>0</v>
      </c>
      <c r="N202" s="211">
        <f>IF(ISNUMBER(N203),IF(ABS(N201-N203)&lt;=1,0,ROUND(N201-N203,0)),"")</f>
        <v>0</v>
      </c>
      <c r="O202" s="211">
        <f>IF(ISNUMBER(O203),IF(ABS(O201-O203)&lt;=1,0,ROUND(O201-O203,0)),"")</f>
        <v>0</v>
      </c>
      <c r="P202" s="211">
        <f>IF(ISNUMBER(P203),IF(ABS(P201-P203)&lt;=1,0,ROUND(P201-P203,0)),"")</f>
        <v>0</v>
      </c>
      <c r="Q202" s="211">
        <f>IF(ISNUMBER(Q203),IF(ABS(Q201-Q203)&lt;=1,0,ROUND(Q201-Q203,0)),"")</f>
        <v>0</v>
      </c>
      <c r="R202" s="211">
        <f>IF(ISNUMBER(R203),IF(ABS(R201-R203)&lt;=1,0,ROUND(R201-R203,0)),"")</f>
        <v>0</v>
      </c>
      <c r="S202" s="211">
        <f>IF(ISNUMBER(S203),IF(ABS(S201-S203)&lt;=1,0,ROUND(S201-S203,0)),"")</f>
        <v>0</v>
      </c>
      <c r="T202" s="211">
        <f>IF(ISNUMBER(T203),IF(ABS(T201-T203)&lt;=1,0,ROUND(T201-T203,0)),"")</f>
        <v>0</v>
      </c>
      <c r="U202" s="211">
        <f>IF(ISNUMBER(U203),IF(ABS(U201-U203)&lt;=1,0,ROUND(U201-U203,0)),"")</f>
        <v>0</v>
      </c>
      <c r="V202" s="211">
        <f>IF(ISNUMBER(V203),IF(ABS(V201-V203)&lt;=1,0,ROUND(V201-V203,0)),"")</f>
        <v>0</v>
      </c>
      <c r="W202" s="211">
        <f>IF(ISNUMBER(W203),IF(ABS(W201-W203)&lt;=1,0,ROUND(W201-W203,0)),"")</f>
        <v>0</v>
      </c>
      <c r="X202" s="211">
        <f>IF(ISNUMBER(X203),IF(ABS(X201-X203)&lt;=1,0,ROUND(X201-X203,0)),"")</f>
        <v>0</v>
      </c>
      <c r="Y202" s="211">
        <f>IF(ISNUMBER(Y203),IF(ABS(Y201-Y203)&lt;=1,0,ROUND(Y201-Y203,0)),"")</f>
        <v>0</v>
      </c>
      <c r="Z202" s="211">
        <f>IF(ISNUMBER(Z203),IF(ABS(Z201-Z203)&lt;=1,0,ROUND(Z201-Z203,0)),"")</f>
        <v>0</v>
      </c>
      <c r="AA202" s="211">
        <f>IF(ISNUMBER(AA203),IF(ABS(AA201-AA203)&lt;=1,0,ROUND(AA201-AA203,0)),"")</f>
        <v>0</v>
      </c>
      <c r="AB202" s="211">
        <f>IF(ISNUMBER(AB203),IF(ABS(AB201-AB203)&lt;=1,0,ROUND(AB201-AB203,0)),"")</f>
        <v>0</v>
      </c>
      <c r="AC202" s="211">
        <f>IF(ISNUMBER(AC203),IF(ABS(AC201-AC203)&lt;=1,0,ROUND(AC201-AC203,0)),"")</f>
        <v>0</v>
      </c>
      <c r="AD202" s="211">
        <f>IF(ISNUMBER(AD203),IF(ABS(AD201-AD203)&lt;=1,0,ROUND(AD201-AD203,0)),"")</f>
        <v>0</v>
      </c>
      <c r="AE202" s="211">
        <f>IF(ISNUMBER(AE203),IF(ABS(AE201-AE203)&lt;=1,0,ROUND(AE201-AE203,0)),"")</f>
        <v>0</v>
      </c>
      <c r="AF202" s="211">
        <f>IF(ISNUMBER(AF203),IF(ABS(AF201-AF203)&lt;=1,0,ROUND(AF201-AF203,0)),"")</f>
        <v>0</v>
      </c>
      <c r="AG202" s="211">
        <f>IF(ISNUMBER(AG203),IF(ABS(AG201-AG203)&lt;=1,0,ROUND(AG201-AG203,0)),"")</f>
        <v>0</v>
      </c>
      <c r="AH202" s="211">
        <f>IF(ISNUMBER(AH203),IF(ABS(AH201-AH203)&lt;=1,0,ROUND(AH201-AH203,0)),"")</f>
        <v>0</v>
      </c>
      <c r="AI202" s="211">
        <f>IF(ISNUMBER(AI203),IF(ABS(AI201-AI203)&lt;=1,0,ROUND(AI201-AI203,0)),"")</f>
        <v>0</v>
      </c>
      <c r="AJ202" s="211">
        <f>IF(ISNUMBER(AJ203),IF(ABS(AJ201-AJ203)&lt;=1,0,ROUND(AJ201-AJ203,0)),"")</f>
        <v>0</v>
      </c>
      <c r="AK202" s="211">
        <f>IF(ISNUMBER(AK203),IF(ABS(AK201-AK203)&lt;=1,0,ROUND(AK201-AK203,0)),"")</f>
        <v>0</v>
      </c>
      <c r="AL202" s="211">
        <f>IF(ISNUMBER(AL203),IF(ABS(AL201-AL203)&lt;=1,0,ROUND(AL201-AL203,0)),"")</f>
        <v>0</v>
      </c>
      <c r="AM202" s="211">
        <f>IF(ISNUMBER(AM203),IF(ABS(AM201-AM203)&lt;=1,0,ROUND(AM201-AM203,0)),"")</f>
        <v>0</v>
      </c>
      <c r="AN202" s="211">
        <f>IF(ISNUMBER(AN203),IF(ABS(AN201-AN203)&lt;=1,0,ROUND(AN201-AN203,0)),"")</f>
        <v>0</v>
      </c>
      <c r="AO202" s="211">
        <f>IF(ISNUMBER(AO203),IF(ABS(AO201-AO203)&lt;=1,0,ROUND(AO201-AO203,0)),"")</f>
        <v>0</v>
      </c>
      <c r="AP202" s="211">
        <f>IF(ISNUMBER(AP203),IF(ABS(AP201-AP203)&lt;=1,0,ROUND(AP201-AP203,0)),"")</f>
        <v>0</v>
      </c>
      <c r="AQ202" s="211">
        <f>IF(ISNUMBER(AQ203),IF(ABS(AQ201-AQ203)&lt;=1,0,ROUND(AQ201-AQ203,0)),"")</f>
        <v>0</v>
      </c>
      <c r="AR202" s="211">
        <f>IF(ISNUMBER(AR203),IF(ABS(AR201-AR203)&lt;=1,0,ROUND(AR201-AR203,0)),"")</f>
        <v>0</v>
      </c>
      <c r="AS202" s="211">
        <f>IF(ISNUMBER(AS203),IF(ABS(AS201-AS203)&lt;=1,0,ROUND(AS201-AS203,0)),"")</f>
        <v>0</v>
      </c>
      <c r="AT202" s="211">
        <f>IF(ISNUMBER(AT203),IF(ABS(AT201-AT203)&lt;=1,0,ROUND(AT201-AT203,0)),"")</f>
        <v>0</v>
      </c>
      <c r="AU202" s="211">
        <f>IF(ISNUMBER(AU203),IF(ABS(AU201-AU203)&lt;=1,0,ROUND(AU201-AU203,0)),"")</f>
        <v>0</v>
      </c>
      <c r="AV202" s="211">
        <f>IF(ISNUMBER(AV203),IF(ABS(AV201-AV203)&lt;=1,0,ROUND(AV201-AV203,0)),"")</f>
        <v>0</v>
      </c>
      <c r="AW202" s="211">
        <f>IF(ISNUMBER(AW203),IF(ABS(AW201-AW203)&lt;=1,0,ROUND(AW201-AW203,0)),"")</f>
        <v>0</v>
      </c>
      <c r="AX202" s="211">
        <f>IF(ISNUMBER(AX203),IF(ABS(AX201-AX203)&lt;=1,0,ROUND(AX201-AX203,0)),"")</f>
        <v>0</v>
      </c>
      <c r="AY202" s="211">
        <f>IF(ISNUMBER(AY203),IF(ABS(AY201-AY203)&lt;=1,0,ROUND(AY201-AY203,0)),"")</f>
        <v>0</v>
      </c>
      <c r="AZ202" s="211">
        <f>IF(ISNUMBER(AZ203),IF(ABS(AZ201-AZ203)&lt;=1,0,ROUND(AZ201-AZ203,0)),"")</f>
        <v>0</v>
      </c>
      <c r="BA202" s="211">
        <f>IF(ISNUMBER(BA203),IF(ABS(BA201-BA203)&lt;=1,0,ROUND(BA201-BA203,0)),"")</f>
        <v>0</v>
      </c>
      <c r="BB202" s="211">
        <f>IF(ISNUMBER(BB203),IF(ABS(BB201-BB203)&lt;=1,0,ROUND(BB201-BB203,0)),"")</f>
        <v>0</v>
      </c>
      <c r="BC202" s="211">
        <f>IF(ISNUMBER(BC203),IF(ABS(BC201-BC203)&lt;=1,0,ROUND(BC201-BC203,0)),"")</f>
        <v>0</v>
      </c>
      <c r="BD202" s="211">
        <f>IF(ISNUMBER(BD203),IF(ABS(BD201-BD203)&lt;=1,0,ROUND(BD201-BD203,0)),"")</f>
        <v>0</v>
      </c>
      <c r="BE202" s="211">
        <f>IF(ISNUMBER(BE203),IF(ABS(BE201-BE203)&lt;=1,0,ROUND(BE201-BE203,0)),"")</f>
        <v>0</v>
      </c>
      <c r="BF202" s="211">
        <f>IF(ISNUMBER(BF203),IF(ABS(BF201-BF203)&lt;=1,0,ROUND(BF201-BF203,0)),"")</f>
        <v>0</v>
      </c>
      <c r="BG202" s="211">
        <f>IF(ISNUMBER(BG203),IF(ABS(BG201-BG203)&lt;=1,0,ROUND(BG201-BG203,0)),"")</f>
        <v>0</v>
      </c>
      <c r="BH202" s="211">
        <f>IF(ISNUMBER(BH203),IF(ABS(BH201-BH203)&lt;=1,0,ROUND(BH201-BH203,0)),"")</f>
        <v>0</v>
      </c>
      <c r="BI202" s="211">
        <f>IF(ISNUMBER(BI203),IF(ABS(BI201-BI203)&lt;=1,0,ROUND(BI201-BI203,0)),"")</f>
        <v>0</v>
      </c>
      <c r="BJ202" s="211">
        <f>IF(ISNUMBER(BJ203),IF(ABS(BJ201-BJ203)&lt;=1,0,ROUND(BJ201-BJ203,0)),"")</f>
        <v>0</v>
      </c>
      <c r="BK202" s="211">
        <f>IF(ISNUMBER(BK203),IF(ABS(BK201-BK203)&lt;=1,0,ROUND(BK201-BK203,0)),"")</f>
        <v>0</v>
      </c>
      <c r="BL202" s="211">
        <f>IF(ISNUMBER(BL203),IF(ABS(BL201-BL203)&lt;=1,0,ROUND(BL201-BL203,0)),"")</f>
        <v>0</v>
      </c>
      <c r="BM202" s="211">
        <f>IF(ISNUMBER(BM203),IF(ABS(BM201-BM203)&lt;=1,0,ROUND(BM201-BM203,0)),"")</f>
        <v>0</v>
      </c>
      <c r="BN202" s="211">
        <f>IF(ISNUMBER(BN203),IF(ABS(BN201-BN203)&lt;=1,0,ROUND(BN201-BN203,0)),"")</f>
        <v>0</v>
      </c>
      <c r="BO202" s="211">
        <f>IF(ISNUMBER(BO203),IF(ABS(BO201-BO203)&lt;=1,0,ROUND(BO201-BO203,0)),"")</f>
        <v>0</v>
      </c>
      <c r="BP202" s="211">
        <f>IF(ISNUMBER(BP203),IF(ABS(BP201-BP203)&lt;=1,0,ROUND(BP201-BP203,0)),"")</f>
        <v>0</v>
      </c>
      <c r="BQ202" s="211">
        <f>IF(ISNUMBER(BQ203),IF(ABS(BQ201-BQ203)&lt;=1,0,ROUND(BQ201-BQ203,0)),"")</f>
        <v>0</v>
      </c>
      <c r="BR202" s="211">
        <f>IF(ISNUMBER(BR203),IF(ABS(BR201-BR203)&lt;=1,0,ROUND(BR201-BR203,0)),"")</f>
        <v>0</v>
      </c>
      <c r="BS202" s="211">
        <f>IF(ISNUMBER(BS203),IF(ABS(BS201-BS203)&lt;=1,0,ROUND(BS201-BS203,0)),"")</f>
        <v>0</v>
      </c>
      <c r="BT202" s="211">
        <f>IF(ISNUMBER(BT203),IF(ABS(BT201-BT203)&lt;=1,0,ROUND(BT201-BT203,0)),"")</f>
        <v>0</v>
      </c>
      <c r="BU202" s="211">
        <f>IF(ISNUMBER(BU203),IF(ABS(BU201-BU203)&lt;=1,0,ROUND(BU201-BU203,0)),"")</f>
        <v>0</v>
      </c>
      <c r="BV202" s="211">
        <f>IF(ISNUMBER(BV203),IF(ABS(BV201-BV203)&lt;=1,0,ROUND(BV201-BV203,0)),"")</f>
        <v>0</v>
      </c>
      <c r="BW202" s="211">
        <f>IF(ISNUMBER(BW203),IF(ABS(BW201-BW203)&lt;=1,0,ROUND(BW201-BW203,0)),"")</f>
        <v>0</v>
      </c>
      <c r="BX202" s="211">
        <f>IF(ISNUMBER(BX203),IF(ABS(BX201-BX203)&lt;=1,0,ROUND(BX201-BX203,0)),"")</f>
        <v>0</v>
      </c>
      <c r="BY202" s="211">
        <f>IF(ISNUMBER(BY203),IF(ABS(BY201-BY203)&lt;=1,0,ROUND(BY201-BY203,0)),"")</f>
        <v>0</v>
      </c>
      <c r="BZ202" s="211">
        <f>IF(ISNUMBER(BZ203),IF(ABS(BZ201-BZ203)&lt;=1,0,ROUND(BZ201-BZ203,0)),"")</f>
        <v>0</v>
      </c>
      <c r="CA202" s="211">
        <f>IF(ISNUMBER(CA203),IF(ABS(CA201-CA203)&lt;=1,0,ROUND(CA201-CA203,0)),"")</f>
        <v>0</v>
      </c>
      <c r="CB202" s="153" t="n"/>
      <c r="CC202" s="153" t="n"/>
      <c r="CD202" s="153" t="n"/>
      <c r="CE202" s="153" t="n"/>
      <c r="CF202" s="153" t="n"/>
      <c r="CG202" s="153" t="n"/>
      <c r="CH202" s="153" t="n"/>
      <c r="CI202" s="153" t="n"/>
      <c r="CJ202" s="153" t="n"/>
      <c r="CK202" s="153" t="n"/>
    </row>
    <row r="203" ht="15" customHeight="1" s="251">
      <c r="B203" s="156" t="inlineStr">
        <is>
          <t xml:space="preserve">  Memo: net income as reported</t>
        </is>
      </c>
      <c r="C203" s="253" t="n">
        <v>12599</v>
      </c>
      <c r="D203" s="253" t="n">
        <v>14065</v>
      </c>
      <c r="E203" s="253" t="n">
        <v>17681</v>
      </c>
      <c r="F203" s="253" t="n">
        <v>14569</v>
      </c>
      <c r="G203" s="253" t="n">
        <v>18760</v>
      </c>
      <c r="H203" s="253" t="n">
        <v>23150</v>
      </c>
      <c r="I203" s="253" t="n">
        <v>16978</v>
      </c>
      <c r="J203" s="253" t="n">
        <v>4466</v>
      </c>
      <c r="K203" s="253" t="n">
        <v>6377</v>
      </c>
      <c r="L203" s="253" t="n">
        <v>6055</v>
      </c>
      <c r="M203" s="253" t="n">
        <v>4965</v>
      </c>
      <c r="N203" s="253" t="n">
        <v>21863</v>
      </c>
      <c r="O203" s="253" t="n">
        <v>5244</v>
      </c>
      <c r="P203" s="253" t="n">
        <v>6558</v>
      </c>
      <c r="Q203" s="253" t="n">
        <v>5660</v>
      </c>
      <c r="R203" s="253" t="n">
        <v>4612</v>
      </c>
      <c r="S203" s="253" t="n">
        <v>22074</v>
      </c>
      <c r="T203" s="253" t="n">
        <v>4540</v>
      </c>
      <c r="U203" s="253" t="n">
        <v>5863</v>
      </c>
      <c r="V203" s="253" t="n">
        <v>4985</v>
      </c>
      <c r="W203" s="253" t="n">
        <v>-3195</v>
      </c>
      <c r="X203" s="253" t="n">
        <v>12193</v>
      </c>
      <c r="Y203" s="253" t="n">
        <v>4620</v>
      </c>
      <c r="Z203" s="253" t="n">
        <v>4998</v>
      </c>
      <c r="AA203" s="253" t="n">
        <v>3756</v>
      </c>
      <c r="AB203" s="253" t="n">
        <v>3122</v>
      </c>
      <c r="AC203" s="253" t="n">
        <v>16798</v>
      </c>
      <c r="AD203" s="253" t="n">
        <v>4690</v>
      </c>
      <c r="AE203" s="253" t="n">
        <v>5200</v>
      </c>
      <c r="AF203" s="253" t="n">
        <v>4801</v>
      </c>
      <c r="AG203" s="253" t="n">
        <v>6513</v>
      </c>
      <c r="AH203" s="253" t="n">
        <v>21204</v>
      </c>
      <c r="AI203" s="253" t="n">
        <v>6576</v>
      </c>
      <c r="AJ203" s="253" t="n">
        <v>-6302</v>
      </c>
      <c r="AK203" s="253" t="n">
        <v>7424</v>
      </c>
      <c r="AL203" s="253" t="n">
        <v>8873</v>
      </c>
      <c r="AM203" s="253" t="n">
        <v>16571</v>
      </c>
      <c r="AN203" s="253" t="n">
        <v>8824</v>
      </c>
      <c r="AO203" s="253" t="n">
        <v>8420</v>
      </c>
      <c r="AP203" s="253" t="n">
        <v>8809</v>
      </c>
      <c r="AQ203" s="253" t="n">
        <v>13187</v>
      </c>
      <c r="AR203" s="253" t="n">
        <v>39240</v>
      </c>
      <c r="AS203" s="253" t="n">
        <v>10678</v>
      </c>
      <c r="AT203" s="253" t="n">
        <v>11649</v>
      </c>
      <c r="AU203" s="253" t="n">
        <v>10752</v>
      </c>
      <c r="AV203" s="253" t="n">
        <v>11202</v>
      </c>
      <c r="AW203" s="253" t="n">
        <v>44281</v>
      </c>
      <c r="AX203" s="253" t="n">
        <v>13893</v>
      </c>
      <c r="AY203" s="253" t="n">
        <v>15463</v>
      </c>
      <c r="AZ203" s="253" t="n">
        <v>15457</v>
      </c>
      <c r="BA203" s="253" t="n">
        <v>16458</v>
      </c>
      <c r="BB203" s="253" t="n">
        <v>61271</v>
      </c>
      <c r="BC203" s="253" t="n">
        <v>20505</v>
      </c>
      <c r="BD203" s="253" t="n">
        <v>18765</v>
      </c>
      <c r="BE203" s="253" t="n">
        <v>16728</v>
      </c>
      <c r="BF203" s="253" t="n">
        <v>16740</v>
      </c>
      <c r="BG203" s="253" t="n">
        <v>72738</v>
      </c>
      <c r="BH203" s="253" t="n">
        <v>17556</v>
      </c>
      <c r="BI203" s="253" t="n">
        <v>16425</v>
      </c>
      <c r="BJ203" s="253" t="n">
        <v>18299</v>
      </c>
      <c r="BK203" s="253" t="n">
        <v>20081</v>
      </c>
      <c r="BL203" s="253" t="n">
        <v>72361</v>
      </c>
      <c r="BM203" s="253" t="n">
        <v>22291</v>
      </c>
      <c r="BN203" s="253" t="n">
        <v>21870</v>
      </c>
      <c r="BO203" s="253" t="n">
        <v>21939</v>
      </c>
      <c r="BP203" s="253" t="n">
        <v>22036</v>
      </c>
      <c r="BQ203" s="253" t="n">
        <v>88136</v>
      </c>
      <c r="BR203" s="253" t="n">
        <v>24667</v>
      </c>
      <c r="BS203" s="253" t="n">
        <v>24108</v>
      </c>
      <c r="BT203" s="253" t="n">
        <v>25824</v>
      </c>
      <c r="BU203" s="253" t="n">
        <v>27233</v>
      </c>
      <c r="BV203" s="253" t="n">
        <v>101832</v>
      </c>
      <c r="BW203" s="253" t="n">
        <v>27747</v>
      </c>
      <c r="BX203" s="253" t="n">
        <v>38458</v>
      </c>
      <c r="BY203" s="253" t="n">
        <v>31778</v>
      </c>
      <c r="BZ203" s="253" t="n">
        <v>35766</v>
      </c>
      <c r="CA203" s="253" t="n">
        <v>133749</v>
      </c>
      <c r="CB203" s="153" t="n"/>
      <c r="CC203" s="153" t="n"/>
      <c r="CD203" s="153" t="n"/>
      <c r="CE203" s="153" t="n"/>
      <c r="CF203" s="153" t="n"/>
      <c r="CG203" s="153" t="n"/>
      <c r="CH203" s="153" t="n"/>
      <c r="CI203" s="153" t="n"/>
      <c r="CJ203" s="153" t="n"/>
      <c r="CK203" s="153" t="n"/>
    </row>
    <row r="204" ht="15" customHeight="1" s="251">
      <c r="B204" s="156" t="inlineStr">
        <is>
          <t xml:space="preserve">  Memo: depreciation, amortization &amp; other</t>
        </is>
      </c>
      <c r="C204" s="211">
        <f>C156</f>
        <v>903</v>
      </c>
      <c r="D204" s="211">
        <f>D156</f>
        <v>1440</v>
      </c>
      <c r="E204" s="211">
        <f>E156</f>
        <v>2056</v>
      </c>
      <c r="F204" s="211">
        <f>F156</f>
        <v>2562</v>
      </c>
      <c r="G204" s="211">
        <f>G156</f>
        <v>2673</v>
      </c>
      <c r="H204" s="211">
        <f>H156</f>
        <v>2766</v>
      </c>
      <c r="I204" s="211">
        <f>I156</f>
        <v>2967</v>
      </c>
      <c r="J204" s="211">
        <f>J156</f>
        <v>710</v>
      </c>
      <c r="K204" s="211">
        <f>K156</f>
        <v>1009</v>
      </c>
      <c r="L204" s="211">
        <f>L156</f>
        <v>1053</v>
      </c>
      <c r="M204" s="211">
        <f>M156</f>
        <v>983</v>
      </c>
      <c r="N204" s="211">
        <f>N156</f>
        <v>3755</v>
      </c>
      <c r="O204" s="211">
        <f>O156</f>
        <v>954</v>
      </c>
      <c r="P204" s="211">
        <f>P156</f>
        <v>1261</v>
      </c>
      <c r="Q204" s="211">
        <f>Q156</f>
        <v>1255</v>
      </c>
      <c r="R204" s="211">
        <f>R156</f>
        <v>1742</v>
      </c>
      <c r="S204" s="211">
        <f>S156</f>
        <v>5212</v>
      </c>
      <c r="T204" s="211">
        <f>T156</f>
        <v>1428</v>
      </c>
      <c r="U204" s="211">
        <f>U156</f>
        <v>1521</v>
      </c>
      <c r="V204" s="211">
        <f>V156</f>
        <v>1515</v>
      </c>
      <c r="W204" s="211">
        <f>W156</f>
        <v>1493</v>
      </c>
      <c r="X204" s="211">
        <f>X156</f>
        <v>5957</v>
      </c>
      <c r="Y204" s="211">
        <f>Y156</f>
        <v>1461</v>
      </c>
      <c r="Z204" s="211">
        <f>Z156</f>
        <v>1544</v>
      </c>
      <c r="AA204" s="211">
        <f>AA156</f>
        <v>1707</v>
      </c>
      <c r="AB204" s="211">
        <f>AB156</f>
        <v>1910</v>
      </c>
      <c r="AC204" s="211">
        <f>AC156</f>
        <v>6622</v>
      </c>
      <c r="AD204" s="211">
        <f>AD156</f>
        <v>1816</v>
      </c>
      <c r="AE204" s="211">
        <f>AE156</f>
        <v>2166</v>
      </c>
      <c r="AF204" s="211">
        <f>AF156</f>
        <v>2453</v>
      </c>
      <c r="AG204" s="211">
        <f>AG156</f>
        <v>2343</v>
      </c>
      <c r="AH204" s="211">
        <f>AH156</f>
        <v>8778</v>
      </c>
      <c r="AI204" s="211">
        <f>AI156</f>
        <v>2499</v>
      </c>
      <c r="AJ204" s="211">
        <f>AJ156</f>
        <v>2536</v>
      </c>
      <c r="AK204" s="211">
        <f>AK156</f>
        <v>2710</v>
      </c>
      <c r="AL204" s="211">
        <f>AL156</f>
        <v>2516</v>
      </c>
      <c r="AM204" s="211">
        <f>AM156</f>
        <v>10261</v>
      </c>
      <c r="AN204" s="211">
        <f>AN156</f>
        <v>2837</v>
      </c>
      <c r="AO204" s="211">
        <f>AO156</f>
        <v>2995</v>
      </c>
      <c r="AP204" s="211">
        <f>AP156</f>
        <v>2926</v>
      </c>
      <c r="AQ204" s="211">
        <f>AQ156</f>
        <v>2924</v>
      </c>
      <c r="AR204" s="211">
        <f>AR156</f>
        <v>11682</v>
      </c>
      <c r="AS204" s="211">
        <f>AS156</f>
        <v>2971</v>
      </c>
      <c r="AT204" s="211">
        <f>AT156</f>
        <v>3203</v>
      </c>
      <c r="AU204" s="211">
        <f>AU156</f>
        <v>3118</v>
      </c>
      <c r="AV204" s="211">
        <f>AV156</f>
        <v>3504</v>
      </c>
      <c r="AW204" s="211">
        <f>AW156</f>
        <v>12796</v>
      </c>
      <c r="AX204" s="211">
        <f>AX156</f>
        <v>2645</v>
      </c>
      <c r="AY204" s="211">
        <f>AY156</f>
        <v>2761</v>
      </c>
      <c r="AZ204" s="211">
        <f>AZ156</f>
        <v>2936</v>
      </c>
      <c r="BA204" s="211">
        <f>BA156</f>
        <v>3344</v>
      </c>
      <c r="BB204" s="211">
        <f>BB156</f>
        <v>11686</v>
      </c>
      <c r="BC204" s="211">
        <f>BC156</f>
        <v>3212</v>
      </c>
      <c r="BD204" s="211">
        <f>BD156</f>
        <v>3496</v>
      </c>
      <c r="BE204" s="211">
        <f>BE156</f>
        <v>3773</v>
      </c>
      <c r="BF204" s="211">
        <f>BF156</f>
        <v>3979</v>
      </c>
      <c r="BG204" s="211">
        <f>BG156</f>
        <v>14460</v>
      </c>
      <c r="BH204" s="211">
        <f>BH156</f>
        <v>2790</v>
      </c>
      <c r="BI204" s="211">
        <f>BI156</f>
        <v>3648</v>
      </c>
      <c r="BJ204" s="211">
        <f>BJ156</f>
        <v>3549</v>
      </c>
      <c r="BK204" s="211">
        <f>BK156</f>
        <v>3874</v>
      </c>
      <c r="BL204" s="211">
        <f>BL156</f>
        <v>13861</v>
      </c>
      <c r="BM204" s="211">
        <f>BM156</f>
        <v>3921</v>
      </c>
      <c r="BN204" s="211">
        <f>BN156</f>
        <v>5959</v>
      </c>
      <c r="BO204" s="211">
        <f>BO156</f>
        <v>6027</v>
      </c>
      <c r="BP204" s="211">
        <f>BP156</f>
        <v>6380</v>
      </c>
      <c r="BQ204" s="211">
        <f>BQ156</f>
        <v>22287</v>
      </c>
      <c r="BR204" s="211">
        <f>BR156</f>
        <v>7383</v>
      </c>
      <c r="BS204" s="211">
        <f>BS156</f>
        <v>6827</v>
      </c>
      <c r="BT204" s="211">
        <f>BT156</f>
        <v>8740</v>
      </c>
      <c r="BU204" s="211">
        <f>BU156</f>
        <v>11203</v>
      </c>
      <c r="BV204" s="211">
        <f>BV156</f>
        <v>34153</v>
      </c>
      <c r="BW204" s="211">
        <f>BW156</f>
        <v>8147</v>
      </c>
      <c r="BX204" s="211">
        <f>BX156</f>
        <v>9198</v>
      </c>
      <c r="BY204" s="211">
        <f>BY156</f>
        <v>10167</v>
      </c>
      <c r="BZ204" s="211">
        <f>BZ156</f>
        <v>11022</v>
      </c>
      <c r="CA204" s="211">
        <f>CA156</f>
        <v>38534</v>
      </c>
      <c r="CB204" s="254">
        <f>CB156</f>
        <v>14079.98</v>
      </c>
      <c r="CC204" s="254">
        <f>CC156</f>
        <v>14079.98</v>
      </c>
      <c r="CD204" s="254">
        <f>CD156</f>
        <v>14079.98</v>
      </c>
      <c r="CE204" s="254">
        <f>CE156</f>
        <v>14079.98</v>
      </c>
      <c r="CF204" s="254">
        <f>CF156</f>
        <v>56319.92</v>
      </c>
      <c r="CG204" s="254">
        <f>CG156</f>
        <v>80380.3093142857</v>
      </c>
      <c r="CH204" s="254">
        <f>CH156</f>
        <v>101870.944786172</v>
      </c>
      <c r="CI204" s="254">
        <f>CI156</f>
        <v>120415.226252662</v>
      </c>
      <c r="CJ204" s="254">
        <f>CJ156</f>
        <v>135701.879560717</v>
      </c>
      <c r="CK204" s="153" t="n"/>
    </row>
    <row r="205" ht="15" customHeight="1" s="251">
      <c r="B205" s="156" t="inlineStr">
        <is>
          <t xml:space="preserve">  Memo: stock-based compensation</t>
        </is>
      </c>
      <c r="C205" s="211">
        <f>C161</f>
        <v>1715</v>
      </c>
      <c r="D205" s="211">
        <f>D161</f>
        <v>1550</v>
      </c>
      <c r="E205" s="211">
        <f>E161</f>
        <v>1479</v>
      </c>
      <c r="F205" s="211">
        <f>F161</f>
        <v>1708</v>
      </c>
      <c r="G205" s="211">
        <f>G161</f>
        <v>1891</v>
      </c>
      <c r="H205" s="211">
        <f>H161</f>
        <v>2166</v>
      </c>
      <c r="I205" s="211">
        <f>I161</f>
        <v>2244</v>
      </c>
      <c r="J205" s="211">
        <f>J161</f>
        <v>603</v>
      </c>
      <c r="K205" s="211">
        <f>K161</f>
        <v>603</v>
      </c>
      <c r="L205" s="211">
        <f>L161</f>
        <v>599</v>
      </c>
      <c r="M205" s="211">
        <f>M161</f>
        <v>601</v>
      </c>
      <c r="N205" s="211">
        <f>N161</f>
        <v>2406</v>
      </c>
      <c r="O205" s="211">
        <f>O161</f>
        <v>635</v>
      </c>
      <c r="P205" s="211">
        <f>P161</f>
        <v>591</v>
      </c>
      <c r="Q205" s="211">
        <f>Q161</f>
        <v>602</v>
      </c>
      <c r="R205" s="211">
        <f>R161</f>
        <v>618</v>
      </c>
      <c r="S205" s="211">
        <f>S161</f>
        <v>2446</v>
      </c>
      <c r="T205" s="211">
        <f>T161</f>
        <v>646</v>
      </c>
      <c r="U205" s="211">
        <f>U161</f>
        <v>633</v>
      </c>
      <c r="V205" s="211">
        <f>V161</f>
        <v>641</v>
      </c>
      <c r="W205" s="211">
        <f>W161</f>
        <v>654</v>
      </c>
      <c r="X205" s="211">
        <f>X161</f>
        <v>2574</v>
      </c>
      <c r="Y205" s="211">
        <f>Y161</f>
        <v>674</v>
      </c>
      <c r="Z205" s="211">
        <f>Z161</f>
        <v>658</v>
      </c>
      <c r="AA205" s="211">
        <f>AA161</f>
        <v>672</v>
      </c>
      <c r="AB205" s="211">
        <f>AB161</f>
        <v>664</v>
      </c>
      <c r="AC205" s="211">
        <f>AC161</f>
        <v>2668</v>
      </c>
      <c r="AD205" s="211">
        <f>AD161</f>
        <v>703</v>
      </c>
      <c r="AE205" s="211">
        <f>AE161</f>
        <v>767</v>
      </c>
      <c r="AF205" s="211">
        <f>AF161</f>
        <v>883</v>
      </c>
      <c r="AG205" s="211">
        <f>AG161</f>
        <v>913</v>
      </c>
      <c r="AH205" s="211">
        <f>AH161</f>
        <v>3266</v>
      </c>
      <c r="AI205" s="211">
        <f>AI161</f>
        <v>973</v>
      </c>
      <c r="AJ205" s="211">
        <f>AJ161</f>
        <v>986</v>
      </c>
      <c r="AK205" s="211">
        <f>AK161</f>
        <v>969</v>
      </c>
      <c r="AL205" s="211">
        <f>AL161</f>
        <v>1012</v>
      </c>
      <c r="AM205" s="211">
        <f>AM161</f>
        <v>3940</v>
      </c>
      <c r="AN205" s="211">
        <f>AN161</f>
        <v>1107</v>
      </c>
      <c r="AO205" s="211">
        <f>AO161</f>
        <v>1183</v>
      </c>
      <c r="AP205" s="211">
        <f>AP161</f>
        <v>1172</v>
      </c>
      <c r="AQ205" s="211">
        <f>AQ161</f>
        <v>1190</v>
      </c>
      <c r="AR205" s="211">
        <f>AR161</f>
        <v>4652</v>
      </c>
      <c r="AS205" s="211">
        <f>AS161</f>
        <v>1262</v>
      </c>
      <c r="AT205" s="211">
        <f>AT161</f>
        <v>1340</v>
      </c>
      <c r="AU205" s="211">
        <f>AU161</f>
        <v>1338</v>
      </c>
      <c r="AV205" s="211">
        <f>AV161</f>
        <v>1349</v>
      </c>
      <c r="AW205" s="211">
        <f>AW161</f>
        <v>5289</v>
      </c>
      <c r="AX205" s="211">
        <f>AX161</f>
        <v>1456</v>
      </c>
      <c r="AY205" s="211">
        <f>AY161</f>
        <v>1566</v>
      </c>
      <c r="AZ205" s="211">
        <f>AZ161</f>
        <v>1525</v>
      </c>
      <c r="BA205" s="211">
        <f>BA161</f>
        <v>1571</v>
      </c>
      <c r="BB205" s="211">
        <f>BB161</f>
        <v>6118</v>
      </c>
      <c r="BC205" s="211">
        <f>BC161</f>
        <v>1702</v>
      </c>
      <c r="BD205" s="211">
        <f>BD161</f>
        <v>1897</v>
      </c>
      <c r="BE205" s="211">
        <f>BE161</f>
        <v>1906</v>
      </c>
      <c r="BF205" s="211">
        <f>BF161</f>
        <v>1997</v>
      </c>
      <c r="BG205" s="211">
        <f>BG161</f>
        <v>7502</v>
      </c>
      <c r="BH205" s="211">
        <f>BH161</f>
        <v>2192</v>
      </c>
      <c r="BI205" s="211">
        <f>BI161</f>
        <v>2538</v>
      </c>
      <c r="BJ205" s="211">
        <f>BJ161</f>
        <v>2465</v>
      </c>
      <c r="BK205" s="211">
        <f>BK161</f>
        <v>2416</v>
      </c>
      <c r="BL205" s="211">
        <f>BL161</f>
        <v>9611</v>
      </c>
      <c r="BM205" s="211">
        <f>BM161</f>
        <v>2507</v>
      </c>
      <c r="BN205" s="211">
        <f>BN161</f>
        <v>2828</v>
      </c>
      <c r="BO205" s="211">
        <f>BO161</f>
        <v>2703</v>
      </c>
      <c r="BP205" s="211">
        <f>BP161</f>
        <v>2696</v>
      </c>
      <c r="BQ205" s="211">
        <f>BQ161</f>
        <v>10734</v>
      </c>
      <c r="BR205" s="211">
        <f>BR161</f>
        <v>2832</v>
      </c>
      <c r="BS205" s="211">
        <f>BS161</f>
        <v>3089</v>
      </c>
      <c r="BT205" s="211">
        <f>BT161</f>
        <v>2980</v>
      </c>
      <c r="BU205" s="211">
        <f>BU161</f>
        <v>3073</v>
      </c>
      <c r="BV205" s="211">
        <f>BV161</f>
        <v>11974</v>
      </c>
      <c r="BW205" s="211">
        <f>BW161</f>
        <v>2983</v>
      </c>
      <c r="BX205" s="211">
        <f>BX161</f>
        <v>3219</v>
      </c>
      <c r="BY205" s="211">
        <f>BY161</f>
        <v>3081</v>
      </c>
      <c r="BZ205" s="211">
        <f>BZ161</f>
        <v>3122</v>
      </c>
      <c r="CA205" s="211">
        <f>CA161</f>
        <v>12405</v>
      </c>
      <c r="CB205" s="254">
        <f>CB161</f>
        <v>3471.77526296139</v>
      </c>
      <c r="CC205" s="254">
        <f>CC161</f>
        <v>3755.35016347358</v>
      </c>
      <c r="CD205" s="254">
        <f>CD161</f>
        <v>3623.56834890363</v>
      </c>
      <c r="CE205" s="254">
        <f>CE161</f>
        <v>3691.27899934782</v>
      </c>
      <c r="CF205" s="254">
        <f>CF161</f>
        <v>14541.9727746864</v>
      </c>
      <c r="CG205" s="254">
        <f>CG161</f>
        <v>16850.0505627011</v>
      </c>
      <c r="CH205" s="254">
        <f>CH161</f>
        <v>19494.2688629329</v>
      </c>
      <c r="CI205" s="254">
        <f>CI161</f>
        <v>22176.2065034597</v>
      </c>
      <c r="CJ205" s="254">
        <f>CJ161</f>
        <v>24852.8615504927</v>
      </c>
      <c r="CK205" s="153" t="n"/>
    </row>
    <row r="206" ht="15" customHeight="1" s="251">
      <c r="B206" s="25" t="inlineStr">
        <is>
          <t>(Earnings per share)</t>
        </is>
      </c>
      <c r="CK206" s="153" t="n"/>
    </row>
    <row r="207" ht="15" customHeight="1" s="251">
      <c r="B207" s="25" t="inlineStr">
        <is>
          <t xml:space="preserve">  Weighted-average basic shares (m)</t>
        </is>
      </c>
      <c r="C207" s="253" t="n">
        <v>10438</v>
      </c>
      <c r="D207" s="253" t="n">
        <v>9742</v>
      </c>
      <c r="E207" s="253" t="n">
        <v>9328</v>
      </c>
      <c r="F207" s="253" t="n">
        <v>8945</v>
      </c>
      <c r="G207" s="253" t="n">
        <v>8813</v>
      </c>
      <c r="H207" s="253" t="n">
        <v>8490</v>
      </c>
      <c r="I207" s="253" t="n">
        <v>8396</v>
      </c>
      <c r="J207" s="253" t="n">
        <v>8396</v>
      </c>
      <c r="K207" s="253" t="n">
        <v>8393</v>
      </c>
      <c r="L207" s="253" t="n">
        <v>8364</v>
      </c>
      <c r="M207" s="253" t="n">
        <v>8345</v>
      </c>
      <c r="N207" s="253" t="n">
        <v>8375</v>
      </c>
      <c r="O207" s="253" t="n">
        <v>8339</v>
      </c>
      <c r="P207" s="253" t="n">
        <v>8326</v>
      </c>
      <c r="Q207" s="253" t="n">
        <v>8284</v>
      </c>
      <c r="R207" s="253" t="n">
        <v>8246</v>
      </c>
      <c r="S207" s="253" t="n">
        <v>8299</v>
      </c>
      <c r="T207" s="253" t="n">
        <v>8249</v>
      </c>
      <c r="U207" s="253" t="n">
        <v>8228</v>
      </c>
      <c r="V207" s="253" t="n">
        <v>8167</v>
      </c>
      <c r="W207" s="253" t="n">
        <v>8061</v>
      </c>
      <c r="X207" s="253" t="n">
        <v>8177</v>
      </c>
      <c r="Y207" s="253" t="n">
        <v>7996</v>
      </c>
      <c r="Z207" s="253" t="n">
        <v>7964</v>
      </c>
      <c r="AA207" s="253" t="n">
        <v>7895</v>
      </c>
      <c r="AB207" s="253" t="n">
        <v>7842</v>
      </c>
      <c r="AC207" s="253" t="n">
        <v>7925</v>
      </c>
      <c r="AD207" s="253" t="n">
        <v>7789</v>
      </c>
      <c r="AE207" s="253" t="n">
        <v>7755</v>
      </c>
      <c r="AF207" s="253" t="n">
        <v>7725</v>
      </c>
      <c r="AG207" s="253" t="n">
        <v>7715</v>
      </c>
      <c r="AH207" s="253" t="n">
        <v>7746</v>
      </c>
      <c r="AI207" s="253" t="n">
        <v>7708</v>
      </c>
      <c r="AJ207" s="253" t="n">
        <v>7710</v>
      </c>
      <c r="AK207" s="253" t="n">
        <v>7698</v>
      </c>
      <c r="AL207" s="253" t="n">
        <v>7683</v>
      </c>
      <c r="AM207" s="253" t="n">
        <v>7700</v>
      </c>
      <c r="AN207" s="253" t="n">
        <v>7673</v>
      </c>
      <c r="AO207" s="253" t="n">
        <v>7692</v>
      </c>
      <c r="AP207" s="253" t="n">
        <v>7672</v>
      </c>
      <c r="AQ207" s="253" t="n">
        <v>7655</v>
      </c>
      <c r="AR207" s="253" t="n">
        <v>7673</v>
      </c>
      <c r="AS207" s="253" t="n">
        <v>7634</v>
      </c>
      <c r="AT207" s="253" t="n">
        <v>7621</v>
      </c>
      <c r="AU207" s="253" t="n">
        <v>7602</v>
      </c>
      <c r="AV207" s="253" t="n">
        <v>7580</v>
      </c>
      <c r="AW207" s="253" t="n">
        <v>7610</v>
      </c>
      <c r="AX207" s="253" t="n">
        <v>7566</v>
      </c>
      <c r="AY207" s="253" t="n">
        <v>7555</v>
      </c>
      <c r="AZ207" s="253" t="n">
        <v>7539</v>
      </c>
      <c r="BA207" s="253" t="n">
        <v>7527</v>
      </c>
      <c r="BB207" s="253" t="n">
        <v>7547</v>
      </c>
      <c r="BC207" s="253" t="n">
        <v>7513</v>
      </c>
      <c r="BD207" s="253" t="n">
        <v>7505</v>
      </c>
      <c r="BE207" s="253" t="n">
        <v>7493</v>
      </c>
      <c r="BF207" s="253" t="n">
        <v>7474</v>
      </c>
      <c r="BG207" s="253" t="n">
        <v>7496</v>
      </c>
      <c r="BH207" s="253" t="n">
        <v>7457</v>
      </c>
      <c r="BI207" s="253" t="n">
        <v>7451</v>
      </c>
      <c r="BJ207" s="253" t="n">
        <v>7441</v>
      </c>
      <c r="BK207" s="253" t="n">
        <v>7434</v>
      </c>
      <c r="BL207" s="253" t="n">
        <v>7446</v>
      </c>
      <c r="BM207" s="253" t="n">
        <v>7429</v>
      </c>
      <c r="BN207" s="253" t="n">
        <v>7432</v>
      </c>
      <c r="BO207" s="253" t="n">
        <v>7431</v>
      </c>
      <c r="BP207" s="253" t="n">
        <v>7433</v>
      </c>
      <c r="BQ207" s="253" t="n">
        <v>7431</v>
      </c>
      <c r="BR207" s="253" t="n">
        <v>7433</v>
      </c>
      <c r="BS207" s="253" t="n">
        <v>7435</v>
      </c>
      <c r="BT207" s="253" t="n">
        <v>7434</v>
      </c>
      <c r="BU207" s="253" t="n">
        <v>7432</v>
      </c>
      <c r="BV207" s="253" t="n">
        <v>7433</v>
      </c>
      <c r="BW207" s="253" t="n">
        <v>7433</v>
      </c>
      <c r="BX207" s="253" t="n">
        <v>7431</v>
      </c>
      <c r="BY207" s="253" t="n">
        <v>7426</v>
      </c>
      <c r="BZ207" s="253" t="n">
        <v>7427</v>
      </c>
      <c r="CA207" s="253" t="n">
        <v>7429</v>
      </c>
      <c r="CB207" s="254">
        <f>$CF$331+($CF$330-$CF$329)*(1-0.5)/4</f>
        <v>7425.80705539116</v>
      </c>
      <c r="CC207" s="254">
        <f>$CF$331+($CF$330-$CF$329)*(2-0.5)/4</f>
        <v>7423.42116617348</v>
      </c>
      <c r="CD207" s="254">
        <f>$CF$331+($CF$330-$CF$329)*(3-0.5)/4</f>
        <v>7421.03527695581</v>
      </c>
      <c r="CE207" s="254">
        <f>$CF$331+($CF$330-$CF$329)*(4-0.5)/4</f>
        <v>7418.64938773813</v>
      </c>
      <c r="CF207" s="254">
        <f>AVERAGE(CB207:CE207)</f>
        <v>7422.22822156464</v>
      </c>
      <c r="CG207" s="254">
        <f>AVERAGE(CG331,CG332)</f>
        <v>7383.46354162308</v>
      </c>
      <c r="CH207" s="254">
        <f>AVERAGE(CH331,CH332)</f>
        <v>7290.00874124228</v>
      </c>
      <c r="CI207" s="254">
        <f>AVERAGE(CI331,CI332)</f>
        <v>7141.73175555436</v>
      </c>
      <c r="CJ207" s="254">
        <f>AVERAGE(CJ331,CJ332)</f>
        <v>6946.40055027174</v>
      </c>
      <c r="CK207" s="19" t="inlineStr">
        <is>
          <t>Q1–Q4/27E: shares outstanding at 30-Jun-2026 + (issuance − buybacks) spread evenly through FY27E. 2028E+: average of beginning and ending shares.</t>
        </is>
      </c>
    </row>
    <row r="208" ht="15" customHeight="1" s="251">
      <c r="B208" s="25" t="inlineStr">
        <is>
          <t xml:space="preserve">  Weighted-average diluted shares (m)</t>
        </is>
      </c>
      <c r="C208" s="253" t="n">
        <v>10531</v>
      </c>
      <c r="D208" s="253" t="n">
        <v>9886</v>
      </c>
      <c r="E208" s="253" t="n">
        <v>9470</v>
      </c>
      <c r="F208" s="253" t="n">
        <v>8996</v>
      </c>
      <c r="G208" s="253" t="n">
        <v>8927</v>
      </c>
      <c r="H208" s="253" t="n">
        <v>8593</v>
      </c>
      <c r="I208" s="253" t="n">
        <v>8506</v>
      </c>
      <c r="J208" s="253" t="n">
        <v>8494</v>
      </c>
      <c r="K208" s="253" t="n">
        <v>8444</v>
      </c>
      <c r="L208" s="253" t="n">
        <v>8429</v>
      </c>
      <c r="M208" s="253" t="n">
        <v>8442</v>
      </c>
      <c r="N208" s="253" t="n">
        <v>8470</v>
      </c>
      <c r="O208" s="253" t="n">
        <v>8434</v>
      </c>
      <c r="P208" s="253" t="n">
        <v>8395</v>
      </c>
      <c r="Q208" s="253" t="n">
        <v>8367</v>
      </c>
      <c r="R208" s="253" t="n">
        <v>8345</v>
      </c>
      <c r="S208" s="253" t="n">
        <v>8399</v>
      </c>
      <c r="T208" s="253" t="n">
        <v>8351</v>
      </c>
      <c r="U208" s="253" t="n">
        <v>8297</v>
      </c>
      <c r="V208" s="253" t="n">
        <v>8237</v>
      </c>
      <c r="W208" s="253" t="n">
        <v>8061</v>
      </c>
      <c r="X208" s="253" t="n">
        <v>8254</v>
      </c>
      <c r="Y208" s="253" t="n">
        <v>8066</v>
      </c>
      <c r="Z208" s="253" t="n">
        <v>8028</v>
      </c>
      <c r="AA208" s="253" t="n">
        <v>7985</v>
      </c>
      <c r="AB208" s="253" t="n">
        <v>7929</v>
      </c>
      <c r="AC208" s="253" t="n">
        <v>8013</v>
      </c>
      <c r="AD208" s="253" t="n">
        <v>7876</v>
      </c>
      <c r="AE208" s="253" t="n">
        <v>7830</v>
      </c>
      <c r="AF208" s="253" t="n">
        <v>7813</v>
      </c>
      <c r="AG208" s="253" t="n">
        <v>7806</v>
      </c>
      <c r="AH208" s="253" t="n">
        <v>7832</v>
      </c>
      <c r="AI208" s="253" t="n">
        <v>7799</v>
      </c>
      <c r="AJ208" s="253" t="n">
        <v>7710</v>
      </c>
      <c r="AK208" s="253" t="n">
        <v>7794</v>
      </c>
      <c r="AL208" s="253" t="n">
        <v>7775</v>
      </c>
      <c r="AM208" s="253" t="n">
        <v>7794</v>
      </c>
      <c r="AN208" s="253" t="n">
        <v>7766</v>
      </c>
      <c r="AO208" s="253" t="n">
        <v>7768</v>
      </c>
      <c r="AP208" s="253" t="n">
        <v>7744</v>
      </c>
      <c r="AQ208" s="253" t="n">
        <v>7730</v>
      </c>
      <c r="AR208" s="253" t="n">
        <v>7753</v>
      </c>
      <c r="AS208" s="253" t="n">
        <v>7710</v>
      </c>
      <c r="AT208" s="253" t="n">
        <v>7691</v>
      </c>
      <c r="AU208" s="253" t="n">
        <v>7675</v>
      </c>
      <c r="AV208" s="253" t="n">
        <v>7650</v>
      </c>
      <c r="AW208" s="253" t="n">
        <v>7683</v>
      </c>
      <c r="AX208" s="253" t="n">
        <v>7637</v>
      </c>
      <c r="AY208" s="253" t="n">
        <v>7616</v>
      </c>
      <c r="AZ208" s="253" t="n">
        <v>7597</v>
      </c>
      <c r="BA208" s="253" t="n">
        <v>7581</v>
      </c>
      <c r="BB208" s="253" t="n">
        <v>7608</v>
      </c>
      <c r="BC208" s="253" t="n">
        <v>7567</v>
      </c>
      <c r="BD208" s="253" t="n">
        <v>7555</v>
      </c>
      <c r="BE208" s="253" t="n">
        <v>7534</v>
      </c>
      <c r="BF208" s="253" t="n">
        <v>7506</v>
      </c>
      <c r="BG208" s="253" t="n">
        <v>7540</v>
      </c>
      <c r="BH208" s="253" t="n">
        <v>7485</v>
      </c>
      <c r="BI208" s="253" t="n">
        <v>7473</v>
      </c>
      <c r="BJ208" s="253" t="n">
        <v>7464</v>
      </c>
      <c r="BK208" s="253" t="n">
        <v>7467</v>
      </c>
      <c r="BL208" s="253" t="n">
        <v>7472</v>
      </c>
      <c r="BM208" s="253" t="n">
        <v>7462</v>
      </c>
      <c r="BN208" s="253" t="n">
        <v>7468</v>
      </c>
      <c r="BO208" s="253" t="n">
        <v>7472</v>
      </c>
      <c r="BP208" s="253" t="n">
        <v>7472</v>
      </c>
      <c r="BQ208" s="253" t="n">
        <v>7469</v>
      </c>
      <c r="BR208" s="253" t="n">
        <v>7470</v>
      </c>
      <c r="BS208" s="253" t="n">
        <v>7468</v>
      </c>
      <c r="BT208" s="253" t="n">
        <v>7461</v>
      </c>
      <c r="BU208" s="253" t="n">
        <v>7461</v>
      </c>
      <c r="BV208" s="253" t="n">
        <v>7465</v>
      </c>
      <c r="BW208" s="253" t="n">
        <v>7466</v>
      </c>
      <c r="BX208" s="253" t="n">
        <v>7460</v>
      </c>
      <c r="BY208" s="253" t="n">
        <v>7445</v>
      </c>
      <c r="BZ208" s="253" t="n">
        <v>7443</v>
      </c>
      <c r="CA208" s="253" t="n">
        <v>7453</v>
      </c>
      <c r="CB208" s="254">
        <f>CB207+(BZ208-BZ207)</f>
        <v>7441.80705539116</v>
      </c>
      <c r="CC208" s="254">
        <f>CC207+(BZ208-BZ207)</f>
        <v>7439.42116617348</v>
      </c>
      <c r="CD208" s="254">
        <f>CD207+(BZ208-BZ207)</f>
        <v>7437.03527695581</v>
      </c>
      <c r="CE208" s="254">
        <f>CE207+(BZ208-BZ207)</f>
        <v>7434.64938773813</v>
      </c>
      <c r="CF208" s="254">
        <f>AVERAGE(CB208:CE208)</f>
        <v>7438.22822156464</v>
      </c>
      <c r="CG208" s="254">
        <f>CG207+CG391</f>
        <v>7407.46354162308</v>
      </c>
      <c r="CH208" s="254">
        <f>CH207+CH391</f>
        <v>7314.00874124228</v>
      </c>
      <c r="CI208" s="254">
        <f>CI207+CI391</f>
        <v>7165.73175555436</v>
      </c>
      <c r="CJ208" s="254">
        <f>CJ207+CJ391</f>
        <v>6970.40055027174</v>
      </c>
      <c r="CK208" s="19" t="n"/>
      <c r="CM208" s="20">
        <f>IFERROR((CJ208/CA208)^(1/5)-1,"n/m")</f>
        <v>-0.0132995578449232</v>
      </c>
      <c r="CN208" s="20">
        <f>IFERROR((CA208/BB208)^(1/5)-1,"n/m")</f>
        <v>-0.00410827571949923</v>
      </c>
      <c r="CO208" s="20">
        <f>IFERROR((CA208/AC208)^(1/10)-1,"n/m")</f>
        <v>-0.00721867796429276</v>
      </c>
      <c r="CP208" s="20">
        <f>IFERROR((CA208/C208)^(1/20)-1,"n/m")</f>
        <v>-0.0171367983159543</v>
      </c>
    </row>
    <row r="209" ht="15" customHeight="1" s="251">
      <c r="B209" s="55" t="inlineStr">
        <is>
          <t>Diluted EPS ($)</t>
        </is>
      </c>
      <c r="C209" s="272">
        <f>IF(ISNUMBER(C208),IFERROR(C201/C208,""),"")</f>
        <v>1.19637261418669</v>
      </c>
      <c r="D209" s="272">
        <f>IF(ISNUMBER(D208),IFERROR(D201/D208,""),"")</f>
        <v>1.42271899656079</v>
      </c>
      <c r="E209" s="272">
        <f>IF(ISNUMBER(E208),IFERROR(E201/E208,""),"")</f>
        <v>1.86705385427666</v>
      </c>
      <c r="F209" s="272">
        <f>IF(ISNUMBER(F208),IFERROR(F201/F208,""),"")</f>
        <v>1.61949755446865</v>
      </c>
      <c r="G209" s="272">
        <f>IF(ISNUMBER(G208),IFERROR(G201/G208,""),"")</f>
        <v>2.10148986221575</v>
      </c>
      <c r="H209" s="272">
        <f>IF(ISNUMBER(H208),IFERROR(H201/H208,""),"")</f>
        <v>2.69405329919702</v>
      </c>
      <c r="I209" s="272">
        <f>IF(ISNUMBER(I208),IFERROR(I201/I208,""),"")</f>
        <v>1.99600282153774</v>
      </c>
      <c r="J209" s="272">
        <f>IF(ISNUMBER(J208),IFERROR(J201/J208,""),"")</f>
        <v>0.52578290558041</v>
      </c>
      <c r="K209" s="272">
        <f>IF(ISNUMBER(K208),IFERROR(K201/K208,""),"")</f>
        <v>0.755210800568451</v>
      </c>
      <c r="L209" s="272">
        <f>IF(ISNUMBER(L208),IFERROR(L201/L208,""),"")</f>
        <v>0.718353304069285</v>
      </c>
      <c r="M209" s="272">
        <f>IF(ISNUMBER(M208),IFERROR(M201/M208,""),"")</f>
        <v>0.588130774697939</v>
      </c>
      <c r="N209" s="272">
        <f>IF(ISNUMBER(N208),IFERROR(N201/N208,""),"")</f>
        <v>2.58122786304605</v>
      </c>
      <c r="O209" s="272">
        <f>IF(ISNUMBER(O208),IFERROR(O201/O208,""),"")</f>
        <v>0.621769030116196</v>
      </c>
      <c r="P209" s="272">
        <f>IF(ISNUMBER(P208),IFERROR(P201/P208,""),"")</f>
        <v>0.78117927337701</v>
      </c>
      <c r="Q209" s="272">
        <f>IF(ISNUMBER(Q208),IFERROR(Q201/Q208,""),"")</f>
        <v>0.676467073024979</v>
      </c>
      <c r="R209" s="272">
        <f>IF(ISNUMBER(R208),IFERROR(R201/R208,""),"")</f>
        <v>0.552666267225884</v>
      </c>
      <c r="S209" s="272">
        <f>IF(ISNUMBER(S208),IFERROR(S201/S208,""),"")</f>
        <v>2.6281700202405</v>
      </c>
      <c r="T209" s="272">
        <f>IF(ISNUMBER(T208),IFERROR(T201/T208,""),"")</f>
        <v>0.543647467369177</v>
      </c>
      <c r="U209" s="272">
        <f>IF(ISNUMBER(U208),IFERROR(U201/U208,""),"")</f>
        <v>0.70664095456189</v>
      </c>
      <c r="V209" s="272">
        <f>IF(ISNUMBER(V208),IFERROR(V201/V208,""),"")</f>
        <v>0.605196066529076</v>
      </c>
      <c r="W209" s="272">
        <f>IF(ISNUMBER(W208),IFERROR(W201/W208,""),"")</f>
        <v>-0.396352809825084</v>
      </c>
      <c r="X209" s="272">
        <f>IF(ISNUMBER(X208),IFERROR(X201/X208,""),"")</f>
        <v>1.47722316452629</v>
      </c>
      <c r="Y209" s="272">
        <f>IF(ISNUMBER(Y208),IFERROR(Y201/Y208,""),"")</f>
        <v>0.572774609471857</v>
      </c>
      <c r="Z209" s="272">
        <f>IF(ISNUMBER(Z208),IFERROR(Z201/Z208,""),"")</f>
        <v>0.622571001494768</v>
      </c>
      <c r="AA209" s="272">
        <f>IF(ISNUMBER(AA208),IFERROR(AA201/AA208,""),"")</f>
        <v>0.4703819661866</v>
      </c>
      <c r="AB209" s="272">
        <f>IF(ISNUMBER(AB208),IFERROR(AB201/AB208,""),"")</f>
        <v>0.393744482280237</v>
      </c>
      <c r="AC209" s="272">
        <f>IF(ISNUMBER(AC208),IFERROR(AC201/AC208,""),"")</f>
        <v>2.0963434419069</v>
      </c>
      <c r="AD209" s="272">
        <f>IF(ISNUMBER(AD208),IFERROR(AD201/AD208,""),"")</f>
        <v>0.595479939055358</v>
      </c>
      <c r="AE209" s="272">
        <f>IF(ISNUMBER(AE208),IFERROR(AE201/AE208,""),"")</f>
        <v>0.664112388250319</v>
      </c>
      <c r="AF209" s="272">
        <f>IF(ISNUMBER(AF208),IFERROR(AF201/AF208,""),"")</f>
        <v>0.614488672724946</v>
      </c>
      <c r="AG209" s="272">
        <f>IF(ISNUMBER(AG208),IFERROR(AG201/AG208,""),"")</f>
        <v>0.834358186010761</v>
      </c>
      <c r="AH209" s="272">
        <f>IF(ISNUMBER(AH208),IFERROR(AH201/AH208,""),"")</f>
        <v>2.7073544433095</v>
      </c>
      <c r="AI209" s="272">
        <f>IF(ISNUMBER(AI208),IFERROR(AI201/AI208,""),"")</f>
        <v>0.84318502372099</v>
      </c>
      <c r="AJ209" s="272">
        <f>IF(ISNUMBER(AJ208),IFERROR(AJ201/AJ208,""),"")</f>
        <v>-0.817380025940337</v>
      </c>
      <c r="AK209" s="272">
        <f>IF(ISNUMBER(AK208),IFERROR(AK201/AK208,""),"")</f>
        <v>0.952527585322043</v>
      </c>
      <c r="AL209" s="272">
        <f>IF(ISNUMBER(AL208),IFERROR(AL201/AL208,""),"")</f>
        <v>1.14122186495177</v>
      </c>
      <c r="AM209" s="272">
        <f>IF(ISNUMBER(AM208),IFERROR(AM201/AM208,""),"")</f>
        <v>2.12612265845522</v>
      </c>
      <c r="AN209" s="272">
        <f>IF(ISNUMBER(AN208),IFERROR(AN201/AN208,""),"")</f>
        <v>1.13623486994592</v>
      </c>
      <c r="AO209" s="272">
        <f>IF(ISNUMBER(AO208),IFERROR(AO201/AO208,""),"")</f>
        <v>1.08393408856849</v>
      </c>
      <c r="AP209" s="272">
        <f>IF(ISNUMBER(AP208),IFERROR(AP201/AP208,""),"")</f>
        <v>1.13752582644628</v>
      </c>
      <c r="AQ209" s="272">
        <f>IF(ISNUMBER(AQ208),IFERROR(AQ201/AQ208,""),"")</f>
        <v>1.70595084087969</v>
      </c>
      <c r="AR209" s="272">
        <f>IF(ISNUMBER(AR208),IFERROR(AR201/AR208,""),"")</f>
        <v>5.06126660647491</v>
      </c>
      <c r="AS209" s="272">
        <f>IF(ISNUMBER(AS208),IFERROR(AS201/AS208,""),"")</f>
        <v>1.38495460440986</v>
      </c>
      <c r="AT209" s="272">
        <f>IF(ISNUMBER(AT208),IFERROR(AT201/AT208,""),"")</f>
        <v>1.51462748667273</v>
      </c>
      <c r="AU209" s="272">
        <f>IF(ISNUMBER(AU208),IFERROR(AU201/AU208,""),"")</f>
        <v>1.40091205211726</v>
      </c>
      <c r="AV209" s="272">
        <f>IF(ISNUMBER(AV208),IFERROR(AV201/AV208,""),"")</f>
        <v>1.4643137254902</v>
      </c>
      <c r="AW209" s="272">
        <f>IF(ISNUMBER(AW208),IFERROR(AW201/AW208,""),"")</f>
        <v>5.76350383964597</v>
      </c>
      <c r="AX209" s="272">
        <f>IF(ISNUMBER(AX208),IFERROR(AX201/AX208,""),"")</f>
        <v>1.8191698310855</v>
      </c>
      <c r="AY209" s="272">
        <f>IF(ISNUMBER(AY208),IFERROR(AY201/AY208,""),"")</f>
        <v>2.03033088235294</v>
      </c>
      <c r="AZ209" s="272">
        <f>IF(ISNUMBER(AZ208),IFERROR(AZ201/AZ208,""),"")</f>
        <v>2.03461892852442</v>
      </c>
      <c r="BA209" s="272">
        <f>IF(ISNUMBER(BA208),IFERROR(BA201/BA208,""),"")</f>
        <v>2.17095370003957</v>
      </c>
      <c r="BB209" s="272">
        <f>IF(ISNUMBER(BB208),IFERROR(BB201/BB208,""),"")</f>
        <v>8.05349631966351</v>
      </c>
      <c r="BC209" s="272">
        <f>IF(ISNUMBER(BC208),IFERROR(BC201/BC208,""),"")</f>
        <v>2.7097925201533</v>
      </c>
      <c r="BD209" s="272">
        <f>IF(ISNUMBER(BD208),IFERROR(BD201/BD208,""),"")</f>
        <v>2.48378557246856</v>
      </c>
      <c r="BE209" s="272">
        <f>IF(ISNUMBER(BE208),IFERROR(BE201/BE208,""),"")</f>
        <v>2.22033448367401</v>
      </c>
      <c r="BF209" s="272">
        <f>IF(ISNUMBER(BF208),IFERROR(BF201/BF208,""),"")</f>
        <v>2.23021582733813</v>
      </c>
      <c r="BG209" s="272">
        <f>IF(ISNUMBER(BG208),IFERROR(BG201/BG208,""),"")</f>
        <v>9.64694960212202</v>
      </c>
      <c r="BH209" s="272">
        <f>IF(ISNUMBER(BH208),IFERROR(BH201/BH208,""),"")</f>
        <v>2.34549098196393</v>
      </c>
      <c r="BI209" s="272">
        <f>IF(ISNUMBER(BI208),IFERROR(BI201/BI208,""),"")</f>
        <v>2.19791248494581</v>
      </c>
      <c r="BJ209" s="272">
        <f>IF(ISNUMBER(BJ208),IFERROR(BJ201/BJ208,""),"")</f>
        <v>2.45163451232583</v>
      </c>
      <c r="BK209" s="272">
        <f>IF(ISNUMBER(BK208),IFERROR(BK201/BK208,""),"")</f>
        <v>2.68929958483996</v>
      </c>
      <c r="BL209" s="272">
        <f>IF(ISNUMBER(BL208),IFERROR(BL201/BL208,""),"")</f>
        <v>9.68428800856531</v>
      </c>
      <c r="BM209" s="272">
        <f>IF(ISNUMBER(BM208),IFERROR(BM201/BM208,""),"")</f>
        <v>2.98726882873224</v>
      </c>
      <c r="BN209" s="272">
        <f>IF(ISNUMBER(BN208),IFERROR(BN201/BN208,""),"")</f>
        <v>2.92849491162292</v>
      </c>
      <c r="BO209" s="272">
        <f>IF(ISNUMBER(BO208),IFERROR(BO201/BO208,""),"")</f>
        <v>2.93616167023555</v>
      </c>
      <c r="BP209" s="272">
        <f>IF(ISNUMBER(BP208),IFERROR(BP201/BP208,""),"")</f>
        <v>2.94914346895075</v>
      </c>
      <c r="BQ209" s="272">
        <f>IF(ISNUMBER(BQ208),IFERROR(BQ201/BQ208,""),"")</f>
        <v>11.8002409961173</v>
      </c>
      <c r="BR209" s="272">
        <f>IF(ISNUMBER(BR208),IFERROR(BR201/BR208,""),"")</f>
        <v>3.30214190093708</v>
      </c>
      <c r="BS209" s="272">
        <f>IF(ISNUMBER(BS208),IFERROR(BS201/BS208,""),"")</f>
        <v>3.22817354043921</v>
      </c>
      <c r="BT209" s="272">
        <f>IF(ISNUMBER(BT208),IFERROR(BT201/BT208,""),"")</f>
        <v>3.46119823080016</v>
      </c>
      <c r="BU209" s="272">
        <f>IF(ISNUMBER(BU208),IFERROR(BU201/BU208,""),"")</f>
        <v>3.6500469106018</v>
      </c>
      <c r="BV209" s="272">
        <f>IF(ISNUMBER(BV208),IFERROR(BV201/BV208,""),"")</f>
        <v>13.641259209645</v>
      </c>
      <c r="BW209" s="272">
        <f>IF(ISNUMBER(BW208),IFERROR(BW201/BW208,""),"")</f>
        <v>3.71644789713367</v>
      </c>
      <c r="BX209" s="272">
        <f>IF(ISNUMBER(BX208),IFERROR(BX201/BX208,""),"")</f>
        <v>5.15522788203753</v>
      </c>
      <c r="BY209" s="272">
        <f>IF(ISNUMBER(BY208),IFERROR(BY201/BY208,""),"")</f>
        <v>4.2683680322364</v>
      </c>
      <c r="BZ209" s="272">
        <f>IF(ISNUMBER(BZ208),IFERROR(BZ201/BZ208,""),"")</f>
        <v>4.80532043530834</v>
      </c>
      <c r="CA209" s="272">
        <f>IF(ISNUMBER(CA208),IFERROR(CA201/CA208,""),"")</f>
        <v>17.9456594659869</v>
      </c>
      <c r="CB209" s="272">
        <f>IF(ISNUMBER(CB208),IFERROR(CB201/CB208,""),"")</f>
        <v>4.70315875424968</v>
      </c>
      <c r="CC209" s="272">
        <f>IF(ISNUMBER(CC208),IFERROR(CC201/CC208,""),"")</f>
        <v>4.75799862007583</v>
      </c>
      <c r="CD209" s="272">
        <f>IF(ISNUMBER(CD208),IFERROR(CD201/CD208,""),"")</f>
        <v>4.79889576135505</v>
      </c>
      <c r="CE209" s="272">
        <f>IF(ISNUMBER(CE208),IFERROR(CE201/CE208,""),"")</f>
        <v>5.11047569113886</v>
      </c>
      <c r="CF209" s="272">
        <f>IF(ISNUMBER(CF208),IFERROR(CF201/CF208,""),"")</f>
        <v>19.3703262909989</v>
      </c>
      <c r="CG209" s="272">
        <f>IF(ISNUMBER(CG208),IFERROR(CG201/CG208,""),"")</f>
        <v>21.9143989454587</v>
      </c>
      <c r="CH209" s="272">
        <f>IF(ISNUMBER(CH208),IFERROR(CH201/CH208,""),"")</f>
        <v>25.4415618605621</v>
      </c>
      <c r="CI209" s="272">
        <f>IF(ISNUMBER(CI208),IFERROR(CI201/CI208,""),"")</f>
        <v>29.9057678536723</v>
      </c>
      <c r="CJ209" s="272">
        <f>IF(ISNUMBER(CJ208),IFERROR(CJ201/CJ208,""),"")</f>
        <v>34.8707220954398</v>
      </c>
      <c r="CK209" s="19" t="inlineStr">
        <is>
          <t>Net income / weighted diluted shares (±$0.01 vs reported).</t>
        </is>
      </c>
      <c r="CM209" s="20">
        <f>IFERROR((CJ209/CA209)^(1/5)-1,"n/m")</f>
        <v>0.142089933598361</v>
      </c>
      <c r="CN209" s="20">
        <f>IFERROR((CA209/BB209)^(1/5)-1,"n/m")</f>
        <v>0.173802395714179</v>
      </c>
      <c r="CO209" s="20">
        <f>IFERROR((CA209/AC209)^(1/10)-1,"n/m")</f>
        <v>0.239509040868442</v>
      </c>
      <c r="CP209" s="20">
        <f>IFERROR((CA209/C209)^(1/20)-1,"n/m")</f>
        <v>0.144997788764338</v>
      </c>
    </row>
    <row r="210" ht="15" customHeight="1" s="251">
      <c r="B210" s="22" t="inlineStr">
        <is>
          <t xml:space="preserve">  Diluted EPS y/y %</t>
        </is>
      </c>
      <c r="C210" s="23" t="n"/>
      <c r="D210" s="255">
        <f>IF(AND(ISNUMBER(D209),ISNUMBER(C209)),IFERROR(D209/C209-1,""),"")</f>
        <v>0.189193884656061</v>
      </c>
      <c r="E210" s="255">
        <f>IF(AND(ISNUMBER(E209),ISNUMBER(D209)),IFERROR(E209/D209-1,""),"")</f>
        <v>0.312313857332321</v>
      </c>
      <c r="F210" s="255">
        <f>IF(AND(ISNUMBER(F209),ISNUMBER(E209)),IFERROR(F209/E209-1,""),"")</f>
        <v>-0.132591943848304</v>
      </c>
      <c r="G210" s="255">
        <f>IF(AND(ISNUMBER(G209),ISNUMBER(F209)),IFERROR(G209/F209-1,""),"")</f>
        <v>0.297618422712121</v>
      </c>
      <c r="H210" s="255">
        <f>IF(AND(ISNUMBER(H209),ISNUMBER(G209)),IFERROR(H209/G209-1,""),"")</f>
        <v>0.281973017160544</v>
      </c>
      <c r="I210" s="255">
        <f>IF(AND(ISNUMBER(I209),ISNUMBER(H209)),IFERROR(I209/H209-1,""),"")</f>
        <v>-0.259107894363983</v>
      </c>
      <c r="J210" s="23" t="n"/>
      <c r="K210" s="23" t="n"/>
      <c r="L210" s="23" t="n"/>
      <c r="M210" s="23" t="n"/>
      <c r="N210" s="255">
        <f>IF(AND(ISNUMBER(N209),ISNUMBER(I209)),IFERROR(N209/I209-1,""),"")</f>
        <v>0.293198504127086</v>
      </c>
      <c r="O210" s="255">
        <f>IF(AND(ISNUMBER(O209),ISNUMBER(J209)),IFERROR(O209/J209-1,""),"")</f>
        <v>0.18255847331101</v>
      </c>
      <c r="P210" s="255">
        <f>IF(AND(ISNUMBER(P209),ISNUMBER(K209)),IFERROR(P209/K209-1,""),"")</f>
        <v>0.0343857275200679</v>
      </c>
      <c r="Q210" s="255">
        <f>IF(AND(ISNUMBER(Q209),ISNUMBER(L209)),IFERROR(Q209/L209-1,""),"")</f>
        <v>-0.0583086773695213</v>
      </c>
      <c r="R210" s="255">
        <f>IF(AND(ISNUMBER(R209),ISNUMBER(M209)),IFERROR(R209/M209-1,""),"")</f>
        <v>-0.0603003770552043</v>
      </c>
      <c r="S210" s="255">
        <f>IF(AND(ISNUMBER(S209),ISNUMBER(N209)),IFERROR(S209/N209-1,""),"")</f>
        <v>0.0181859795744899</v>
      </c>
      <c r="T210" s="255">
        <f>IF(AND(ISNUMBER(T209),ISNUMBER(O209)),IFERROR(T209/O209-1,""),"")</f>
        <v>-0.125644023685804</v>
      </c>
      <c r="U210" s="255">
        <f>IF(AND(ISNUMBER(U209),ISNUMBER(P209)),IFERROR(U209/P209-1,""),"")</f>
        <v>-0.0954176862538785</v>
      </c>
      <c r="V210" s="255">
        <f>IF(AND(ISNUMBER(V209),ISNUMBER(Q209)),IFERROR(V209/Q209-1,""),"")</f>
        <v>-0.105357687517883</v>
      </c>
      <c r="W210" s="255">
        <f>IF(AND(ISNUMBER(W209),ISNUMBER(R209)),IFERROR(W209/R209-1,""),"")</f>
        <v>-1.71716483044023</v>
      </c>
      <c r="X210" s="255">
        <f>IF(AND(ISNUMBER(X209),ISNUMBER(S209)),IFERROR(X209/S209-1,""),"")</f>
        <v>-0.437927092558833</v>
      </c>
      <c r="Y210" s="255">
        <f>IF(AND(ISNUMBER(Y209),ISNUMBER(T209)),IFERROR(Y209/T209-1,""),"")</f>
        <v>0.0535772607267575</v>
      </c>
      <c r="Z210" s="255">
        <f>IF(AND(ISNUMBER(Z209),ISNUMBER(U209)),IFERROR(Z209/U209-1,""),"")</f>
        <v>-0.118971243492735</v>
      </c>
      <c r="AA210" s="255">
        <f>IF(AND(ISNUMBER(AA209),ISNUMBER(V209)),IFERROR(AA209/V209-1,""),"")</f>
        <v>-0.222761032000196</v>
      </c>
      <c r="AB210" s="255">
        <f>IF(AND(ISNUMBER(AB209),ISNUMBER(W209)),IFERROR(AB209/W209-1,""),"")</f>
        <v>-1.99341917735868</v>
      </c>
      <c r="AC210" s="255">
        <f>IF(AND(ISNUMBER(AC209),ISNUMBER(X209)),IFERROR(AC209/X209-1,""),"")</f>
        <v>0.419110864389368</v>
      </c>
      <c r="AD210" s="255">
        <f>IF(AND(ISNUMBER(AD209),ISNUMBER(Y209)),IFERROR(AD209/Y209-1,""),"")</f>
        <v>0.0396409498745709</v>
      </c>
      <c r="AE210" s="255">
        <f>IF(AND(ISNUMBER(AE209),ISNUMBER(Z209)),IFERROR(AE209/Z209-1,""),"")</f>
        <v>0.066725540791029</v>
      </c>
      <c r="AF210" s="255">
        <f>IF(AND(ISNUMBER(AF209),ISNUMBER(AA209)),IFERROR(AF209/AA209-1,""),"")</f>
        <v>0.306361036131174</v>
      </c>
      <c r="AG210" s="255">
        <f>IF(AND(ISNUMBER(AG209),ISNUMBER(AB209)),IFERROR(AG209/AB209-1,""),"")</f>
        <v>1.11903461142835</v>
      </c>
      <c r="AH210" s="255">
        <f>IF(AND(ISNUMBER(AH209),ISNUMBER(AC209)),IFERROR(AH209/AC209-1,""),"")</f>
        <v>0.291465124076617</v>
      </c>
      <c r="AI210" s="255">
        <f>IF(AND(ISNUMBER(AI209),ISNUMBER(AD209)),IFERROR(AI209/AD209-1,""),"")</f>
        <v>0.415975532372392</v>
      </c>
      <c r="AJ210" s="255">
        <f>IF(AND(ISNUMBER(AJ209),ISNUMBER(AE209)),IFERROR(AJ209/AE209-1,""),"")</f>
        <v>-2.23078569290632</v>
      </c>
      <c r="AK210" s="255">
        <f>IF(AND(ISNUMBER(AK209),ISNUMBER(AF209)),IFERROR(AK209/AF209-1,""),"")</f>
        <v>0.550114147911085</v>
      </c>
      <c r="AL210" s="255">
        <f>IF(AND(ISNUMBER(AL209),ISNUMBER(AG209)),IFERROR(AL209/AG209-1,""),"")</f>
        <v>0.367784105299172</v>
      </c>
      <c r="AM210" s="255">
        <f>IF(AND(ISNUMBER(AM209),ISNUMBER(AH209)),IFERROR(AM209/AH209-1,""),"")</f>
        <v>-0.214686254432121</v>
      </c>
      <c r="AN210" s="255">
        <f>IF(AND(ISNUMBER(AN209),ISNUMBER(AI209)),IFERROR(AN209/AI209-1,""),"")</f>
        <v>0.347551056981176</v>
      </c>
      <c r="AO210" s="255">
        <f>IF(AND(ISNUMBER(AO209),ISNUMBER(AJ209)),IFERROR(AO209/AJ209-1,""),"")</f>
        <v>-2.3261078741452</v>
      </c>
      <c r="AP210" s="255">
        <f>IF(AND(ISNUMBER(AP209),ISNUMBER(AK209)),IFERROR(AP209/AK209-1,""),"")</f>
        <v>0.19421825044751</v>
      </c>
      <c r="AQ210" s="255">
        <f>IF(AND(ISNUMBER(AQ209),ISNUMBER(AL209)),IFERROR(AQ209/AL209-1,""),"")</f>
        <v>0.494845913201802</v>
      </c>
      <c r="AR210" s="255">
        <f>IF(AND(ISNUMBER(AR209),ISNUMBER(AM209)),IFERROR(AR209/AM209-1,""),"")</f>
        <v>1.38051487121269</v>
      </c>
      <c r="AS210" s="255">
        <f>IF(AND(ISNUMBER(AS209),ISNUMBER(AN209)),IFERROR(AS209/AN209-1,""),"")</f>
        <v>0.218898170653553</v>
      </c>
      <c r="AT210" s="255">
        <f>IF(AND(ISNUMBER(AT209),ISNUMBER(AO209)),IFERROR(AT209/AO209-1,""),"")</f>
        <v>0.39734279293038</v>
      </c>
      <c r="AU210" s="255">
        <f>IF(AND(ISNUMBER(AU209),ISNUMBER(AP209)),IFERROR(AU209/AP209-1,""),"")</f>
        <v>0.231543073174718</v>
      </c>
      <c r="AV210" s="255">
        <f>IF(AND(ISNUMBER(AV209),ISNUMBER(AQ209)),IFERROR(AV209/AQ209-1,""),"")</f>
        <v>-0.141643656780222</v>
      </c>
      <c r="AW210" s="255">
        <f>IF(AND(ISNUMBER(AW209),ISNUMBER(AR209)),IFERROR(AW209/AR209-1,""),"")</f>
        <v>0.138747331008543</v>
      </c>
      <c r="AX210" s="255">
        <f>IF(AND(ISNUMBER(AX209),ISNUMBER(AS209)),IFERROR(AX209/AS209-1,""),"")</f>
        <v>0.313523075264023</v>
      </c>
      <c r="AY210" s="255">
        <f>IF(AND(ISNUMBER(AY209),ISNUMBER(AT209)),IFERROR(AY209/AT209-1,""),"")</f>
        <v>0.340481999843461</v>
      </c>
      <c r="AZ210" s="255">
        <f>IF(AND(ISNUMBER(AZ209),ISNUMBER(AU209)),IFERROR(AZ209/AU209-1,""),"")</f>
        <v>0.452353076304399</v>
      </c>
      <c r="BA210" s="255">
        <f>IF(AND(ISNUMBER(BA209),ISNUMBER(AV209)),IFERROR(BA209/AV209-1,""),"")</f>
        <v>0.482574165800993</v>
      </c>
      <c r="BB210" s="255">
        <f>IF(AND(ISNUMBER(BB209),ISNUMBER(AW209)),IFERROR(BB209/AW209-1,""),"")</f>
        <v>0.397326443033689</v>
      </c>
      <c r="BC210" s="255">
        <f>IF(AND(ISNUMBER(BC209),ISNUMBER(AX209)),IFERROR(BC209/AX209-1,""),"")</f>
        <v>0.489576439675429</v>
      </c>
      <c r="BD210" s="255">
        <f>IF(AND(ISNUMBER(BD209),ISNUMBER(AY209)),IFERROR(BD209/AY209-1,""),"")</f>
        <v>0.223340291012131</v>
      </c>
      <c r="BE210" s="255">
        <f>IF(AND(ISNUMBER(BE209),ISNUMBER(AZ209)),IFERROR(BE209/AZ209-1,""),"")</f>
        <v>0.0912778076257661</v>
      </c>
      <c r="BF210" s="255">
        <f>IF(AND(ISNUMBER(BF209),ISNUMBER(BA209)),IFERROR(BF209/BA209-1,""),"")</f>
        <v>0.0272977389142277</v>
      </c>
      <c r="BG210" s="255">
        <f>IF(AND(ISNUMBER(BG209),ISNUMBER(BB209)),IFERROR(BG209/BB209-1,""),"")</f>
        <v>0.197858572129462</v>
      </c>
      <c r="BH210" s="255">
        <f>IF(AND(ISNUMBER(BH209),ISNUMBER(BC209)),IFERROR(BH209/BC209-1,""),"")</f>
        <v>-0.13443890463199</v>
      </c>
      <c r="BI210" s="255">
        <f>IF(AND(ISNUMBER(BI209),ISNUMBER(BD209)),IFERROR(BI209/BD209-1,""),"")</f>
        <v>-0.115095719490245</v>
      </c>
      <c r="BJ210" s="255">
        <f>IF(AND(ISNUMBER(BJ209),ISNUMBER(BE209)),IFERROR(BJ209/BE209-1,""),"")</f>
        <v>0.10417350644804</v>
      </c>
      <c r="BK210" s="255">
        <f>IF(AND(ISNUMBER(BK209),ISNUMBER(BF209)),IFERROR(BK209/BF209-1,""),"")</f>
        <v>0.205847233202435</v>
      </c>
      <c r="BL210" s="255">
        <f>IF(AND(ISNUMBER(BL209),ISNUMBER(BG209)),IFERROR(BL209/BG209-1,""),"")</f>
        <v>0.00387048839097104</v>
      </c>
      <c r="BM210" s="255">
        <f>IF(AND(ISNUMBER(BM209),ISNUMBER(BH209)),IFERROR(BM209/BH209-1,""),"")</f>
        <v>0.273621963036047</v>
      </c>
      <c r="BN210" s="255">
        <f>IF(AND(ISNUMBER(BN209),ISNUMBER(BI209)),IFERROR(BN209/BI209-1,""),"")</f>
        <v>0.33239832417401</v>
      </c>
      <c r="BO210" s="255">
        <f>IF(AND(ISNUMBER(BO209),ISNUMBER(BJ209)),IFERROR(BO209/BJ209-1,""),"")</f>
        <v>0.197634335572333</v>
      </c>
      <c r="BP210" s="255">
        <f>IF(AND(ISNUMBER(BP209),ISNUMBER(BK209)),IFERROR(BP209/BK209-1,""),"")</f>
        <v>0.0966213974729968</v>
      </c>
      <c r="BQ210" s="255">
        <f>IF(AND(ISNUMBER(BQ209),ISNUMBER(BL209)),IFERROR(BQ209/BL209-1,""),"")</f>
        <v>0.218493397313309</v>
      </c>
      <c r="BR210" s="255">
        <f>IF(AND(ISNUMBER(BR209),ISNUMBER(BM209)),IFERROR(BR209/BM209-1,""),"")</f>
        <v>0.105405000439303</v>
      </c>
      <c r="BS210" s="255">
        <f>IF(AND(ISNUMBER(BS209),ISNUMBER(BN209)),IFERROR(BS209/BN209-1,""),"")</f>
        <v>0.102331961591221</v>
      </c>
      <c r="BT210" s="255">
        <f>IF(AND(ISNUMBER(BT209),ISNUMBER(BO209)),IFERROR(BT209/BO209-1,""),"")</f>
        <v>0.178817319865938</v>
      </c>
      <c r="BU210" s="255">
        <f>IF(AND(ISNUMBER(BU209),ISNUMBER(BP209)),IFERROR(BU209/BP209-1,""),"")</f>
        <v>0.237663392449474</v>
      </c>
      <c r="BV210" s="255">
        <f>IF(AND(ISNUMBER(BV209),ISNUMBER(BQ209)),IFERROR(BV209/BQ209-1,""),"")</f>
        <v>0.15601530630887</v>
      </c>
      <c r="BW210" s="255">
        <f>IF(AND(ISNUMBER(BW209),ISNUMBER(BR209)),IFERROR(BW209/BR209-1,""),"")</f>
        <v>0.125465836607149</v>
      </c>
      <c r="BX210" s="255">
        <f>IF(AND(ISNUMBER(BX209),ISNUMBER(BS209)),IFERROR(BX209/BS209-1,""),"")</f>
        <v>0.596948806332184</v>
      </c>
      <c r="BY210" s="255">
        <f>IF(AND(ISNUMBER(BY209),ISNUMBER(BT209)),IFERROR(BY209/BT209-1,""),"")</f>
        <v>0.233205308570159</v>
      </c>
      <c r="BZ210" s="255">
        <f>IF(AND(ISNUMBER(BZ209),ISNUMBER(BU209)),IFERROR(BZ209/BU209-1,""),"")</f>
        <v>0.316509226594042</v>
      </c>
      <c r="CA210" s="255">
        <f>IF(AND(ISNUMBER(CA209),ISNUMBER(BV209)),IFERROR(CA209/BV209-1,""),"")</f>
        <v>0.315542736208577</v>
      </c>
      <c r="CB210" s="256">
        <f>IF(AND(ISNUMBER(CB209),ISNUMBER(BW209)),IFERROR(CB209/BW209-1,""),"")</f>
        <v>0.265498369525647</v>
      </c>
      <c r="CC210" s="256">
        <f>IF(AND(ISNUMBER(CC209),ISNUMBER(BX209)),IFERROR(CC209/BX209-1,""),"")</f>
        <v>-0.0770536765883374</v>
      </c>
      <c r="CD210" s="256">
        <f>IF(AND(ISNUMBER(CD209),ISNUMBER(BY209)),IFERROR(CD209/BY209-1,""),"")</f>
        <v>0.124292873789677</v>
      </c>
      <c r="CE210" s="256">
        <f>IF(AND(ISNUMBER(CE209),ISNUMBER(BZ209)),IFERROR(CE209/BZ209-1,""),"")</f>
        <v>0.0635036226904466</v>
      </c>
      <c r="CF210" s="256">
        <f>IF(AND(ISNUMBER(CF209),ISNUMBER(CA209)),IFERROR(CF209/CA209-1,""),"")</f>
        <v>0.0793878223150446</v>
      </c>
      <c r="CG210" s="256">
        <f>IF(AND(ISNUMBER(CG209),ISNUMBER(CF209)),IFERROR(CG209/CF209-1,""),"")</f>
        <v>0.131338657709756</v>
      </c>
      <c r="CH210" s="256">
        <f>IF(AND(ISNUMBER(CH209),ISNUMBER(CG209)),IFERROR(CH209/CG209-1,""),"")</f>
        <v>0.160951843757244</v>
      </c>
      <c r="CI210" s="256">
        <f>IF(AND(ISNUMBER(CI209),ISNUMBER(CH209)),IFERROR(CI209/CH209-1,""),"")</f>
        <v>0.175469022600783</v>
      </c>
      <c r="CJ210" s="256">
        <f>IF(AND(ISNUMBER(CJ209),ISNUMBER(CI209)),IFERROR(CJ209/CI209-1,""),"")</f>
        <v>0.166019955282902</v>
      </c>
      <c r="CK210" s="153" t="n"/>
    </row>
    <row r="211" ht="15" customHeight="1" s="251">
      <c r="B211" s="156" t="inlineStr">
        <is>
          <t xml:space="preserve">  Memo: diluted EPS as reported ($)</t>
        </is>
      </c>
      <c r="C211" s="273" t="n">
        <v>1.2</v>
      </c>
      <c r="D211" s="273" t="n">
        <v>1.42</v>
      </c>
      <c r="E211" s="273" t="n">
        <v>1.87</v>
      </c>
      <c r="F211" s="273" t="n">
        <v>1.62</v>
      </c>
      <c r="G211" s="273" t="n">
        <v>2.1</v>
      </c>
      <c r="H211" s="273" t="n">
        <v>2.69</v>
      </c>
      <c r="I211" s="273" t="n">
        <v>2</v>
      </c>
      <c r="J211" s="273" t="n">
        <v>0.53</v>
      </c>
      <c r="K211" s="273" t="n">
        <v>0.76</v>
      </c>
      <c r="L211" s="273" t="n">
        <v>0.72</v>
      </c>
      <c r="M211" s="273" t="n">
        <v>0.59</v>
      </c>
      <c r="N211" s="273" t="n">
        <v>2.58</v>
      </c>
      <c r="O211" s="273" t="n">
        <v>0.62</v>
      </c>
      <c r="P211" s="273" t="n">
        <v>0.78</v>
      </c>
      <c r="Q211" s="273" t="n">
        <v>0.68</v>
      </c>
      <c r="R211" s="273" t="n">
        <v>0.55</v>
      </c>
      <c r="S211" s="273" t="n">
        <v>2.63</v>
      </c>
      <c r="T211" s="273" t="n">
        <v>0.54</v>
      </c>
      <c r="U211" s="273" t="n">
        <v>0.71</v>
      </c>
      <c r="V211" s="273" t="n">
        <v>0.61</v>
      </c>
      <c r="W211" s="273" t="n">
        <v>-0.4</v>
      </c>
      <c r="X211" s="273" t="n">
        <v>1.48</v>
      </c>
      <c r="Y211" s="273" t="n">
        <v>0.57</v>
      </c>
      <c r="Z211" s="273" t="n">
        <v>0.62</v>
      </c>
      <c r="AA211" s="273" t="n">
        <v>0.47</v>
      </c>
      <c r="AB211" s="273" t="n">
        <v>0.39</v>
      </c>
      <c r="AC211" s="273" t="n">
        <v>2.1</v>
      </c>
      <c r="AD211" s="273" t="n">
        <v>0.6</v>
      </c>
      <c r="AE211" s="273" t="n">
        <v>0.66</v>
      </c>
      <c r="AF211" s="273" t="n">
        <v>0.61</v>
      </c>
      <c r="AG211" s="273" t="n">
        <v>0.83</v>
      </c>
      <c r="AH211" s="273" t="n">
        <v>2.71</v>
      </c>
      <c r="AI211" s="273" t="n">
        <v>0.84</v>
      </c>
      <c r="AJ211" s="273" t="n">
        <v>-0.82</v>
      </c>
      <c r="AK211" s="273" t="n">
        <v>0.95</v>
      </c>
      <c r="AL211" s="273" t="n">
        <v>1.14</v>
      </c>
      <c r="AM211" s="273" t="n">
        <v>2.13</v>
      </c>
      <c r="AN211" s="273" t="n">
        <v>1.14</v>
      </c>
      <c r="AO211" s="273" t="n">
        <v>1.08</v>
      </c>
      <c r="AP211" s="273" t="n">
        <v>1.14</v>
      </c>
      <c r="AQ211" s="273" t="n">
        <v>1.71</v>
      </c>
      <c r="AR211" s="273" t="n">
        <v>5.06</v>
      </c>
      <c r="AS211" s="273" t="n">
        <v>1.38</v>
      </c>
      <c r="AT211" s="273" t="n">
        <v>1.51</v>
      </c>
      <c r="AU211" s="273" t="n">
        <v>1.4</v>
      </c>
      <c r="AV211" s="273" t="n">
        <v>1.46</v>
      </c>
      <c r="AW211" s="273" t="n">
        <v>5.76</v>
      </c>
      <c r="AX211" s="273" t="n">
        <v>1.82</v>
      </c>
      <c r="AY211" s="273" t="n">
        <v>2.03</v>
      </c>
      <c r="AZ211" s="273" t="n">
        <v>2.03</v>
      </c>
      <c r="BA211" s="273" t="n">
        <v>2.17</v>
      </c>
      <c r="BB211" s="273" t="n">
        <v>8.050000000000001</v>
      </c>
      <c r="BC211" s="273" t="n">
        <v>2.71</v>
      </c>
      <c r="BD211" s="273" t="n">
        <v>2.48</v>
      </c>
      <c r="BE211" s="273" t="n">
        <v>2.22</v>
      </c>
      <c r="BF211" s="273" t="n">
        <v>2.23</v>
      </c>
      <c r="BG211" s="273" t="n">
        <v>9.65</v>
      </c>
      <c r="BH211" s="273" t="n">
        <v>2.35</v>
      </c>
      <c r="BI211" s="273" t="n">
        <v>2.2</v>
      </c>
      <c r="BJ211" s="273" t="n">
        <v>2.45</v>
      </c>
      <c r="BK211" s="273" t="n">
        <v>2.69</v>
      </c>
      <c r="BL211" s="273" t="n">
        <v>9.68</v>
      </c>
      <c r="BM211" s="273" t="n">
        <v>2.99</v>
      </c>
      <c r="BN211" s="273" t="n">
        <v>2.93</v>
      </c>
      <c r="BO211" s="273" t="n">
        <v>2.94</v>
      </c>
      <c r="BP211" s="273" t="n">
        <v>2.95</v>
      </c>
      <c r="BQ211" s="273" t="n">
        <v>11.8</v>
      </c>
      <c r="BR211" s="273" t="n">
        <v>3.3</v>
      </c>
      <c r="BS211" s="273" t="n">
        <v>3.23</v>
      </c>
      <c r="BT211" s="273" t="n">
        <v>3.46</v>
      </c>
      <c r="BU211" s="273" t="n">
        <v>3.65</v>
      </c>
      <c r="BV211" s="273" t="n">
        <v>13.64</v>
      </c>
      <c r="BW211" s="273" t="n">
        <v>3.72</v>
      </c>
      <c r="BX211" s="273" t="n">
        <v>5.16</v>
      </c>
      <c r="BY211" s="273" t="n">
        <v>4.27</v>
      </c>
      <c r="BZ211" s="273" t="n">
        <v>4.81</v>
      </c>
      <c r="CA211" s="273" t="n">
        <v>17.95</v>
      </c>
      <c r="CB211" s="153" t="n"/>
      <c r="CC211" s="153" t="n"/>
      <c r="CD211" s="153" t="n"/>
      <c r="CE211" s="153" t="n"/>
      <c r="CF211" s="153" t="n"/>
      <c r="CG211" s="153" t="n"/>
      <c r="CH211" s="153" t="n"/>
      <c r="CI211" s="153" t="n"/>
      <c r="CJ211" s="153" t="n"/>
      <c r="CK211" s="153" t="n"/>
    </row>
    <row r="212" ht="15" customHeight="1" s="251">
      <c r="B212" s="57" t="inlineStr">
        <is>
          <t xml:space="preserve">  Check: model vs reported diluted EPS (should be 0.00; ±0.01 rounding)</t>
        </is>
      </c>
      <c r="C212" s="274">
        <f>IF(AND(ISNUMBER(C211),ISNUMBER(C209)),IF(ABS(C209-C211)&lt;=0.0101,0,ROUND(C209-C211,2)),"n/p")</f>
        <v>0</v>
      </c>
      <c r="D212" s="274">
        <f>IF(AND(ISNUMBER(D211),ISNUMBER(D209)),IF(ABS(D209-D211)&lt;=0.0101,0,ROUND(D209-D211,2)),"n/p")</f>
        <v>0</v>
      </c>
      <c r="E212" s="274">
        <f>IF(AND(ISNUMBER(E211),ISNUMBER(E209)),IF(ABS(E209-E211)&lt;=0.0101,0,ROUND(E209-E211,2)),"n/p")</f>
        <v>0</v>
      </c>
      <c r="F212" s="274">
        <f>IF(AND(ISNUMBER(F211),ISNUMBER(F209)),IF(ABS(F209-F211)&lt;=0.0101,0,ROUND(F209-F211,2)),"n/p")</f>
        <v>0</v>
      </c>
      <c r="G212" s="274">
        <f>IF(AND(ISNUMBER(G211),ISNUMBER(G209)),IF(ABS(G209-G211)&lt;=0.0101,0,ROUND(G209-G211,2)),"n/p")</f>
        <v>0</v>
      </c>
      <c r="H212" s="274">
        <f>IF(AND(ISNUMBER(H211),ISNUMBER(H209)),IF(ABS(H209-H211)&lt;=0.0101,0,ROUND(H209-H211,2)),"n/p")</f>
        <v>0</v>
      </c>
      <c r="I212" s="274">
        <f>IF(AND(ISNUMBER(I211),ISNUMBER(I209)),IF(ABS(I209-I211)&lt;=0.0101,0,ROUND(I209-I211,2)),"n/p")</f>
        <v>0</v>
      </c>
      <c r="J212" s="274">
        <f>IF(AND(ISNUMBER(J211),ISNUMBER(J209)),IF(ABS(J209-J211)&lt;=0.0101,0,ROUND(J209-J211,2)),"n/p")</f>
        <v>0</v>
      </c>
      <c r="K212" s="274">
        <f>IF(AND(ISNUMBER(K211),ISNUMBER(K209)),IF(ABS(K209-K211)&lt;=0.0101,0,ROUND(K209-K211,2)),"n/p")</f>
        <v>0</v>
      </c>
      <c r="L212" s="274">
        <f>IF(AND(ISNUMBER(L211),ISNUMBER(L209)),IF(ABS(L209-L211)&lt;=0.0101,0,ROUND(L209-L211,2)),"n/p")</f>
        <v>0</v>
      </c>
      <c r="M212" s="274">
        <f>IF(AND(ISNUMBER(M211),ISNUMBER(M209)),IF(ABS(M209-M211)&lt;=0.0101,0,ROUND(M209-M211,2)),"n/p")</f>
        <v>0</v>
      </c>
      <c r="N212" s="274">
        <f>IF(AND(ISNUMBER(N211),ISNUMBER(N209)),IF(ABS(N209-N211)&lt;=0.0101,0,ROUND(N209-N211,2)),"n/p")</f>
        <v>0</v>
      </c>
      <c r="O212" s="274">
        <f>IF(AND(ISNUMBER(O211),ISNUMBER(O209)),IF(ABS(O209-O211)&lt;=0.0101,0,ROUND(O209-O211,2)),"n/p")</f>
        <v>0</v>
      </c>
      <c r="P212" s="274">
        <f>IF(AND(ISNUMBER(P211),ISNUMBER(P209)),IF(ABS(P209-P211)&lt;=0.0101,0,ROUND(P209-P211,2)),"n/p")</f>
        <v>0</v>
      </c>
      <c r="Q212" s="274">
        <f>IF(AND(ISNUMBER(Q211),ISNUMBER(Q209)),IF(ABS(Q209-Q211)&lt;=0.0101,0,ROUND(Q209-Q211,2)),"n/p")</f>
        <v>0</v>
      </c>
      <c r="R212" s="274">
        <f>IF(AND(ISNUMBER(R211),ISNUMBER(R209)),IF(ABS(R209-R211)&lt;=0.0101,0,ROUND(R209-R211,2)),"n/p")</f>
        <v>0</v>
      </c>
      <c r="S212" s="274">
        <f>IF(AND(ISNUMBER(S211),ISNUMBER(S209)),IF(ABS(S209-S211)&lt;=0.0101,0,ROUND(S209-S211,2)),"n/p")</f>
        <v>0</v>
      </c>
      <c r="T212" s="274">
        <f>IF(AND(ISNUMBER(T211),ISNUMBER(T209)),IF(ABS(T209-T211)&lt;=0.0101,0,ROUND(T209-T211,2)),"n/p")</f>
        <v>0</v>
      </c>
      <c r="U212" s="274">
        <f>IF(AND(ISNUMBER(U211),ISNUMBER(U209)),IF(ABS(U209-U211)&lt;=0.0101,0,ROUND(U209-U211,2)),"n/p")</f>
        <v>0</v>
      </c>
      <c r="V212" s="274">
        <f>IF(AND(ISNUMBER(V211),ISNUMBER(V209)),IF(ABS(V209-V211)&lt;=0.0101,0,ROUND(V209-V211,2)),"n/p")</f>
        <v>0</v>
      </c>
      <c r="W212" s="274">
        <f>IF(AND(ISNUMBER(W211),ISNUMBER(W209)),IF(ABS(W209-W211)&lt;=0.0101,0,ROUND(W209-W211,2)),"n/p")</f>
        <v>0</v>
      </c>
      <c r="X212" s="274">
        <f>IF(AND(ISNUMBER(X211),ISNUMBER(X209)),IF(ABS(X209-X211)&lt;=0.0101,0,ROUND(X209-X211,2)),"n/p")</f>
        <v>0</v>
      </c>
      <c r="Y212" s="274">
        <f>IF(AND(ISNUMBER(Y211),ISNUMBER(Y209)),IF(ABS(Y209-Y211)&lt;=0.0101,0,ROUND(Y209-Y211,2)),"n/p")</f>
        <v>0</v>
      </c>
      <c r="Z212" s="274">
        <f>IF(AND(ISNUMBER(Z211),ISNUMBER(Z209)),IF(ABS(Z209-Z211)&lt;=0.0101,0,ROUND(Z209-Z211,2)),"n/p")</f>
        <v>0</v>
      </c>
      <c r="AA212" s="274">
        <f>IF(AND(ISNUMBER(AA211),ISNUMBER(AA209)),IF(ABS(AA209-AA211)&lt;=0.0101,0,ROUND(AA209-AA211,2)),"n/p")</f>
        <v>0</v>
      </c>
      <c r="AB212" s="274">
        <f>IF(AND(ISNUMBER(AB211),ISNUMBER(AB209)),IF(ABS(AB209-AB211)&lt;=0.0101,0,ROUND(AB209-AB211,2)),"n/p")</f>
        <v>0</v>
      </c>
      <c r="AC212" s="274">
        <f>IF(AND(ISNUMBER(AC211),ISNUMBER(AC209)),IF(ABS(AC209-AC211)&lt;=0.0101,0,ROUND(AC209-AC211,2)),"n/p")</f>
        <v>0</v>
      </c>
      <c r="AD212" s="274">
        <f>IF(AND(ISNUMBER(AD211),ISNUMBER(AD209)),IF(ABS(AD209-AD211)&lt;=0.0101,0,ROUND(AD209-AD211,2)),"n/p")</f>
        <v>0</v>
      </c>
      <c r="AE212" s="274">
        <f>IF(AND(ISNUMBER(AE211),ISNUMBER(AE209)),IF(ABS(AE209-AE211)&lt;=0.0101,0,ROUND(AE209-AE211,2)),"n/p")</f>
        <v>0</v>
      </c>
      <c r="AF212" s="274">
        <f>IF(AND(ISNUMBER(AF211),ISNUMBER(AF209)),IF(ABS(AF209-AF211)&lt;=0.0101,0,ROUND(AF209-AF211,2)),"n/p")</f>
        <v>0</v>
      </c>
      <c r="AG212" s="274">
        <f>IF(AND(ISNUMBER(AG211),ISNUMBER(AG209)),IF(ABS(AG209-AG211)&lt;=0.0101,0,ROUND(AG209-AG211,2)),"n/p")</f>
        <v>0</v>
      </c>
      <c r="AH212" s="274">
        <f>IF(AND(ISNUMBER(AH211),ISNUMBER(AH209)),IF(ABS(AH209-AH211)&lt;=0.0101,0,ROUND(AH209-AH211,2)),"n/p")</f>
        <v>0</v>
      </c>
      <c r="AI212" s="274">
        <f>IF(AND(ISNUMBER(AI211),ISNUMBER(AI209)),IF(ABS(AI209-AI211)&lt;=0.0101,0,ROUND(AI209-AI211,2)),"n/p")</f>
        <v>0</v>
      </c>
      <c r="AJ212" s="274">
        <f>IF(AND(ISNUMBER(AJ211),ISNUMBER(AJ209)),IF(ABS(AJ209-AJ211)&lt;=0.0101,0,ROUND(AJ209-AJ211,2)),"n/p")</f>
        <v>0</v>
      </c>
      <c r="AK212" s="274">
        <f>IF(AND(ISNUMBER(AK211),ISNUMBER(AK209)),IF(ABS(AK209-AK211)&lt;=0.0101,0,ROUND(AK209-AK211,2)),"n/p")</f>
        <v>0</v>
      </c>
      <c r="AL212" s="274">
        <f>IF(AND(ISNUMBER(AL211),ISNUMBER(AL209)),IF(ABS(AL209-AL211)&lt;=0.0101,0,ROUND(AL209-AL211,2)),"n/p")</f>
        <v>0</v>
      </c>
      <c r="AM212" s="274">
        <f>IF(AND(ISNUMBER(AM211),ISNUMBER(AM209)),IF(ABS(AM209-AM211)&lt;=0.0101,0,ROUND(AM209-AM211,2)),"n/p")</f>
        <v>0</v>
      </c>
      <c r="AN212" s="274">
        <f>IF(AND(ISNUMBER(AN211),ISNUMBER(AN209)),IF(ABS(AN209-AN211)&lt;=0.0101,0,ROUND(AN209-AN211,2)),"n/p")</f>
        <v>0</v>
      </c>
      <c r="AO212" s="274">
        <f>IF(AND(ISNUMBER(AO211),ISNUMBER(AO209)),IF(ABS(AO209-AO211)&lt;=0.0101,0,ROUND(AO209-AO211,2)),"n/p")</f>
        <v>0</v>
      </c>
      <c r="AP212" s="274">
        <f>IF(AND(ISNUMBER(AP211),ISNUMBER(AP209)),IF(ABS(AP209-AP211)&lt;=0.0101,0,ROUND(AP209-AP211,2)),"n/p")</f>
        <v>0</v>
      </c>
      <c r="AQ212" s="274">
        <f>IF(AND(ISNUMBER(AQ211),ISNUMBER(AQ209)),IF(ABS(AQ209-AQ211)&lt;=0.0101,0,ROUND(AQ209-AQ211,2)),"n/p")</f>
        <v>0</v>
      </c>
      <c r="AR212" s="274">
        <f>IF(AND(ISNUMBER(AR211),ISNUMBER(AR209)),IF(ABS(AR209-AR211)&lt;=0.0101,0,ROUND(AR209-AR211,2)),"n/p")</f>
        <v>0</v>
      </c>
      <c r="AS212" s="274">
        <f>IF(AND(ISNUMBER(AS211),ISNUMBER(AS209)),IF(ABS(AS209-AS211)&lt;=0.0101,0,ROUND(AS209-AS211,2)),"n/p")</f>
        <v>0</v>
      </c>
      <c r="AT212" s="274">
        <f>IF(AND(ISNUMBER(AT211),ISNUMBER(AT209)),IF(ABS(AT209-AT211)&lt;=0.0101,0,ROUND(AT209-AT211,2)),"n/p")</f>
        <v>0</v>
      </c>
      <c r="AU212" s="274">
        <f>IF(AND(ISNUMBER(AU211),ISNUMBER(AU209)),IF(ABS(AU209-AU211)&lt;=0.0101,0,ROUND(AU209-AU211,2)),"n/p")</f>
        <v>0</v>
      </c>
      <c r="AV212" s="274">
        <f>IF(AND(ISNUMBER(AV211),ISNUMBER(AV209)),IF(ABS(AV209-AV211)&lt;=0.0101,0,ROUND(AV209-AV211,2)),"n/p")</f>
        <v>0</v>
      </c>
      <c r="AW212" s="274">
        <f>IF(AND(ISNUMBER(AW211),ISNUMBER(AW209)),IF(ABS(AW209-AW211)&lt;=0.0101,0,ROUND(AW209-AW211,2)),"n/p")</f>
        <v>0</v>
      </c>
      <c r="AX212" s="274">
        <f>IF(AND(ISNUMBER(AX211),ISNUMBER(AX209)),IF(ABS(AX209-AX211)&lt;=0.0101,0,ROUND(AX209-AX211,2)),"n/p")</f>
        <v>0</v>
      </c>
      <c r="AY212" s="274">
        <f>IF(AND(ISNUMBER(AY211),ISNUMBER(AY209)),IF(ABS(AY209-AY211)&lt;=0.0101,0,ROUND(AY209-AY211,2)),"n/p")</f>
        <v>0</v>
      </c>
      <c r="AZ212" s="274">
        <f>IF(AND(ISNUMBER(AZ211),ISNUMBER(AZ209)),IF(ABS(AZ209-AZ211)&lt;=0.0101,0,ROUND(AZ209-AZ211,2)),"n/p")</f>
        <v>0</v>
      </c>
      <c r="BA212" s="274">
        <f>IF(AND(ISNUMBER(BA211),ISNUMBER(BA209)),IF(ABS(BA209-BA211)&lt;=0.0101,0,ROUND(BA209-BA211,2)),"n/p")</f>
        <v>0</v>
      </c>
      <c r="BB212" s="274">
        <f>IF(AND(ISNUMBER(BB211),ISNUMBER(BB209)),IF(ABS(BB209-BB211)&lt;=0.0101,0,ROUND(BB209-BB211,2)),"n/p")</f>
        <v>0</v>
      </c>
      <c r="BC212" s="274">
        <f>IF(AND(ISNUMBER(BC211),ISNUMBER(BC209)),IF(ABS(BC209-BC211)&lt;=0.0101,0,ROUND(BC209-BC211,2)),"n/p")</f>
        <v>0</v>
      </c>
      <c r="BD212" s="274">
        <f>IF(AND(ISNUMBER(BD211),ISNUMBER(BD209)),IF(ABS(BD209-BD211)&lt;=0.0101,0,ROUND(BD209-BD211,2)),"n/p")</f>
        <v>0</v>
      </c>
      <c r="BE212" s="274">
        <f>IF(AND(ISNUMBER(BE211),ISNUMBER(BE209)),IF(ABS(BE209-BE211)&lt;=0.0101,0,ROUND(BE209-BE211,2)),"n/p")</f>
        <v>0</v>
      </c>
      <c r="BF212" s="274">
        <f>IF(AND(ISNUMBER(BF211),ISNUMBER(BF209)),IF(ABS(BF209-BF211)&lt;=0.0101,0,ROUND(BF209-BF211,2)),"n/p")</f>
        <v>0</v>
      </c>
      <c r="BG212" s="274">
        <f>IF(AND(ISNUMBER(BG211),ISNUMBER(BG209)),IF(ABS(BG209-BG211)&lt;=0.0101,0,ROUND(BG209-BG211,2)),"n/p")</f>
        <v>0</v>
      </c>
      <c r="BH212" s="274">
        <f>IF(AND(ISNUMBER(BH211),ISNUMBER(BH209)),IF(ABS(BH209-BH211)&lt;=0.0101,0,ROUND(BH209-BH211,2)),"n/p")</f>
        <v>0</v>
      </c>
      <c r="BI212" s="274">
        <f>IF(AND(ISNUMBER(BI211),ISNUMBER(BI209)),IF(ABS(BI209-BI211)&lt;=0.0101,0,ROUND(BI209-BI211,2)),"n/p")</f>
        <v>0</v>
      </c>
      <c r="BJ212" s="274">
        <f>IF(AND(ISNUMBER(BJ211),ISNUMBER(BJ209)),IF(ABS(BJ209-BJ211)&lt;=0.0101,0,ROUND(BJ209-BJ211,2)),"n/p")</f>
        <v>0</v>
      </c>
      <c r="BK212" s="274">
        <f>IF(AND(ISNUMBER(BK211),ISNUMBER(BK209)),IF(ABS(BK209-BK211)&lt;=0.0101,0,ROUND(BK209-BK211,2)),"n/p")</f>
        <v>0</v>
      </c>
      <c r="BL212" s="274">
        <f>IF(AND(ISNUMBER(BL211),ISNUMBER(BL209)),IF(ABS(BL209-BL211)&lt;=0.0101,0,ROUND(BL209-BL211,2)),"n/p")</f>
        <v>0</v>
      </c>
      <c r="BM212" s="274">
        <f>IF(AND(ISNUMBER(BM211),ISNUMBER(BM209)),IF(ABS(BM209-BM211)&lt;=0.0101,0,ROUND(BM209-BM211,2)),"n/p")</f>
        <v>0</v>
      </c>
      <c r="BN212" s="274">
        <f>IF(AND(ISNUMBER(BN211),ISNUMBER(BN209)),IF(ABS(BN209-BN211)&lt;=0.0101,0,ROUND(BN209-BN211,2)),"n/p")</f>
        <v>0</v>
      </c>
      <c r="BO212" s="274">
        <f>IF(AND(ISNUMBER(BO211),ISNUMBER(BO209)),IF(ABS(BO209-BO211)&lt;=0.0101,0,ROUND(BO209-BO211,2)),"n/p")</f>
        <v>0</v>
      </c>
      <c r="BP212" s="274">
        <f>IF(AND(ISNUMBER(BP211),ISNUMBER(BP209)),IF(ABS(BP209-BP211)&lt;=0.0101,0,ROUND(BP209-BP211,2)),"n/p")</f>
        <v>0</v>
      </c>
      <c r="BQ212" s="274">
        <f>IF(AND(ISNUMBER(BQ211),ISNUMBER(BQ209)),IF(ABS(BQ209-BQ211)&lt;=0.0101,0,ROUND(BQ209-BQ211,2)),"n/p")</f>
        <v>0</v>
      </c>
      <c r="BR212" s="274">
        <f>IF(AND(ISNUMBER(BR211),ISNUMBER(BR209)),IF(ABS(BR209-BR211)&lt;=0.0101,0,ROUND(BR209-BR211,2)),"n/p")</f>
        <v>0</v>
      </c>
      <c r="BS212" s="274">
        <f>IF(AND(ISNUMBER(BS211),ISNUMBER(BS209)),IF(ABS(BS209-BS211)&lt;=0.0101,0,ROUND(BS209-BS211,2)),"n/p")</f>
        <v>0</v>
      </c>
      <c r="BT212" s="274">
        <f>IF(AND(ISNUMBER(BT211),ISNUMBER(BT209)),IF(ABS(BT209-BT211)&lt;=0.0101,0,ROUND(BT209-BT211,2)),"n/p")</f>
        <v>0</v>
      </c>
      <c r="BU212" s="274">
        <f>IF(AND(ISNUMBER(BU211),ISNUMBER(BU209)),IF(ABS(BU209-BU211)&lt;=0.0101,0,ROUND(BU209-BU211,2)),"n/p")</f>
        <v>0</v>
      </c>
      <c r="BV212" s="274">
        <f>IF(AND(ISNUMBER(BV211),ISNUMBER(BV209)),IF(ABS(BV209-BV211)&lt;=0.0101,0,ROUND(BV209-BV211,2)),"n/p")</f>
        <v>0</v>
      </c>
      <c r="BW212" s="274">
        <f>IF(AND(ISNUMBER(BW211),ISNUMBER(BW209)),IF(ABS(BW209-BW211)&lt;=0.0101,0,ROUND(BW209-BW211,2)),"n/p")</f>
        <v>0</v>
      </c>
      <c r="BX212" s="274">
        <f>IF(AND(ISNUMBER(BX211),ISNUMBER(BX209)),IF(ABS(BX209-BX211)&lt;=0.0101,0,ROUND(BX209-BX211,2)),"n/p")</f>
        <v>0</v>
      </c>
      <c r="BY212" s="274">
        <f>IF(AND(ISNUMBER(BY211),ISNUMBER(BY209)),IF(ABS(BY209-BY211)&lt;=0.0101,0,ROUND(BY209-BY211,2)),"n/p")</f>
        <v>0</v>
      </c>
      <c r="BZ212" s="274">
        <f>IF(AND(ISNUMBER(BZ211),ISNUMBER(BZ209)),IF(ABS(BZ209-BZ211)&lt;=0.0101,0,ROUND(BZ209-BZ211,2)),"n/p")</f>
        <v>0</v>
      </c>
      <c r="CA212" s="274">
        <f>IF(AND(ISNUMBER(CA211),ISNUMBER(CA209)),IF(ABS(CA209-CA211)&lt;=0.0101,0,ROUND(CA209-CA211,2)),"n/p")</f>
        <v>0</v>
      </c>
      <c r="CB212" s="153" t="n"/>
      <c r="CC212" s="153" t="n"/>
      <c r="CD212" s="153" t="n"/>
      <c r="CE212" s="153" t="n"/>
      <c r="CF212" s="153" t="n"/>
      <c r="CG212" s="153" t="n"/>
      <c r="CH212" s="153" t="n"/>
      <c r="CI212" s="153" t="n"/>
      <c r="CJ212" s="153" t="n"/>
      <c r="CK212" s="153" t="n"/>
    </row>
    <row r="213" ht="15" customHeight="1" s="251">
      <c r="B213" s="25" t="inlineStr">
        <is>
          <t xml:space="preserve">  Dividends declared per share ($)</t>
        </is>
      </c>
      <c r="C213" s="273" t="n">
        <v>0.35</v>
      </c>
      <c r="D213" s="273" t="n">
        <v>0.4</v>
      </c>
      <c r="E213" s="273" t="n">
        <v>0.44</v>
      </c>
      <c r="F213" s="273" t="n">
        <v>0.52</v>
      </c>
      <c r="G213" s="273" t="n">
        <v>0.52</v>
      </c>
      <c r="H213" s="273" t="n">
        <v>0.64</v>
      </c>
      <c r="I213" s="273" t="n">
        <v>0.8</v>
      </c>
      <c r="J213" s="273" t="n">
        <v>0.23</v>
      </c>
      <c r="K213" s="273" t="n">
        <v>0.23</v>
      </c>
      <c r="L213" s="273" t="n">
        <v>0.23</v>
      </c>
      <c r="M213" s="273" t="n">
        <v>0.23</v>
      </c>
      <c r="N213" s="273" t="n">
        <v>0.92</v>
      </c>
      <c r="O213" s="273" t="n">
        <v>0.28</v>
      </c>
      <c r="P213" s="273" t="n">
        <v>0.28</v>
      </c>
      <c r="Q213" s="273" t="n">
        <v>0.28</v>
      </c>
      <c r="R213" s="273" t="n">
        <v>0.28</v>
      </c>
      <c r="S213" s="273" t="n">
        <v>1.12</v>
      </c>
      <c r="T213" s="273" t="n">
        <v>0.31</v>
      </c>
      <c r="U213" s="273" t="n">
        <v>0.31</v>
      </c>
      <c r="V213" s="273" t="n">
        <v>0.31</v>
      </c>
      <c r="W213" s="273" t="n">
        <v>0.31</v>
      </c>
      <c r="X213" s="273" t="n">
        <v>1.24</v>
      </c>
      <c r="Y213" s="273" t="n">
        <v>0.36</v>
      </c>
      <c r="Z213" s="273" t="n">
        <v>0.36</v>
      </c>
      <c r="AA213" s="273" t="n">
        <v>0.36</v>
      </c>
      <c r="AB213" s="273" t="n">
        <v>0.36</v>
      </c>
      <c r="AC213" s="273" t="n">
        <v>1.44</v>
      </c>
      <c r="AD213" s="273" t="n">
        <v>0.39</v>
      </c>
      <c r="AE213" s="273" t="n">
        <v>0.39</v>
      </c>
      <c r="AF213" s="273" t="n">
        <v>0.39</v>
      </c>
      <c r="AG213" s="273" t="n">
        <v>0.39</v>
      </c>
      <c r="AH213" s="273" t="n">
        <v>1.56</v>
      </c>
      <c r="AI213" s="273" t="n">
        <v>0.42</v>
      </c>
      <c r="AJ213" s="273" t="n">
        <v>0.42</v>
      </c>
      <c r="AK213" s="273" t="n">
        <v>0.42</v>
      </c>
      <c r="AL213" s="273" t="n">
        <v>0.42</v>
      </c>
      <c r="AM213" s="273" t="n">
        <v>1.68</v>
      </c>
      <c r="AN213" s="273" t="n">
        <v>0.46</v>
      </c>
      <c r="AO213" s="273" t="n">
        <v>0.46</v>
      </c>
      <c r="AP213" s="273" t="n">
        <v>0.46</v>
      </c>
      <c r="AQ213" s="273" t="n">
        <v>0.46</v>
      </c>
      <c r="AR213" s="273" t="n">
        <v>1.84</v>
      </c>
      <c r="AS213" s="273" t="n">
        <v>0.51</v>
      </c>
      <c r="AT213" s="273" t="n">
        <v>0.51</v>
      </c>
      <c r="AU213" s="273" t="n">
        <v>0.51</v>
      </c>
      <c r="AV213" s="273" t="n">
        <v>0.51</v>
      </c>
      <c r="AW213" s="273" t="n">
        <v>2.04</v>
      </c>
      <c r="AX213" s="273" t="n">
        <v>0.5600000000000001</v>
      </c>
      <c r="AY213" s="273" t="n">
        <v>0.5600000000000001</v>
      </c>
      <c r="AZ213" s="273" t="n">
        <v>0.5600000000000001</v>
      </c>
      <c r="BA213" s="273" t="n">
        <v>0.5600000000000001</v>
      </c>
      <c r="BB213" s="273" t="n">
        <v>2.24</v>
      </c>
      <c r="BC213" s="273" t="n">
        <v>0.62</v>
      </c>
      <c r="BD213" s="273" t="n">
        <v>0.62</v>
      </c>
      <c r="BE213" s="273" t="n">
        <v>0.62</v>
      </c>
      <c r="BF213" s="273" t="n">
        <v>0.62</v>
      </c>
      <c r="BG213" s="273" t="n">
        <v>2.48</v>
      </c>
      <c r="BH213" s="273" t="n">
        <v>0.68</v>
      </c>
      <c r="BI213" s="273" t="n">
        <v>0.68</v>
      </c>
      <c r="BJ213" s="273" t="n">
        <v>0.68</v>
      </c>
      <c r="BK213" s="273" t="n">
        <v>0.68</v>
      </c>
      <c r="BL213" s="273" t="n">
        <v>2.72</v>
      </c>
      <c r="BM213" s="273" t="n">
        <v>0.75</v>
      </c>
      <c r="BN213" s="273" t="n">
        <v>0.75</v>
      </c>
      <c r="BO213" s="273" t="n">
        <v>0.75</v>
      </c>
      <c r="BP213" s="273" t="n">
        <v>0.75</v>
      </c>
      <c r="BQ213" s="273" t="n">
        <v>3</v>
      </c>
      <c r="BR213" s="273" t="n">
        <v>0.83</v>
      </c>
      <c r="BS213" s="273" t="n">
        <v>0.83</v>
      </c>
      <c r="BT213" s="273" t="n">
        <v>0.83</v>
      </c>
      <c r="BU213" s="273" t="n">
        <v>0.83</v>
      </c>
      <c r="BV213" s="273" t="n">
        <v>3.32</v>
      </c>
      <c r="BW213" s="273" t="n">
        <v>0.91</v>
      </c>
      <c r="BX213" s="273" t="n">
        <v>0.91</v>
      </c>
      <c r="BY213" s="273" t="n">
        <v>0.91</v>
      </c>
      <c r="BZ213" s="273" t="n">
        <v>0.91</v>
      </c>
      <c r="CA213" s="273" t="n">
        <v>3.64</v>
      </c>
      <c r="CB213" s="275">
        <f>$CU$20</f>
        <v>1</v>
      </c>
      <c r="CC213" s="275">
        <f>$CU$20</f>
        <v>1</v>
      </c>
      <c r="CD213" s="275">
        <f>$CU$20</f>
        <v>1</v>
      </c>
      <c r="CE213" s="275">
        <f>$CU$20</f>
        <v>1</v>
      </c>
      <c r="CF213" s="275">
        <f>SUM(CB213:CE213)</f>
        <v>4</v>
      </c>
      <c r="CG213" s="275">
        <f>CF213*(1+CG214)</f>
        <v>4.4</v>
      </c>
      <c r="CH213" s="275">
        <f>CG213*(1+CH214)</f>
        <v>4.84</v>
      </c>
      <c r="CI213" s="275">
        <f>CH213*(1+CI214)</f>
        <v>5.324</v>
      </c>
      <c r="CJ213" s="275">
        <f>CI213*(1+CJ214)</f>
        <v>5.8564</v>
      </c>
      <c r="CK213" s="19" t="inlineStr">
        <is>
          <t>XBRL dividends declared per share (10-K / 10-Q; Q4 = FY − 9M). Q1–Q4/27E: assumed quarterly rate (input). 2028E+: prior year × (1 + growth).</t>
        </is>
      </c>
      <c r="CM213" s="20">
        <f>IFERROR((CJ213/CA213)^(1/5)-1,"n/m")</f>
        <v>0.0997801319032774</v>
      </c>
      <c r="CN213" s="20">
        <f>IFERROR((CA213/BB213)^(1/5)-1,"n/m")</f>
        <v>0.10197228772148</v>
      </c>
      <c r="CO213" s="20">
        <f>IFERROR((CA213/AC213)^(1/10)-1,"n/m")</f>
        <v>0.0971699115949731</v>
      </c>
      <c r="CP213" s="20">
        <f>IFERROR((CA213/C213)^(1/20)-1,"n/m")</f>
        <v>0.1242209313616</v>
      </c>
    </row>
    <row r="214" ht="15" customHeight="1" s="251">
      <c r="B214" s="25" t="inlineStr">
        <is>
          <t xml:space="preserve">  Dividend per share growth %</t>
        </is>
      </c>
      <c r="C214" s="36" t="n"/>
      <c r="D214" s="215">
        <f>IF(AND(ISNUMBER(D213),ISNUMBER(C213)),IFERROR(D213/C213-1,""),"")</f>
        <v>0.142857142857143</v>
      </c>
      <c r="E214" s="215">
        <f>IF(AND(ISNUMBER(E213),ISNUMBER(D213)),IFERROR(E213/D213-1,""),"")</f>
        <v>0.0999999999999999</v>
      </c>
      <c r="F214" s="215">
        <f>IF(AND(ISNUMBER(F213),ISNUMBER(E213)),IFERROR(F213/E213-1,""),"")</f>
        <v>0.181818181818182</v>
      </c>
      <c r="G214" s="215">
        <f>IF(AND(ISNUMBER(G213),ISNUMBER(F213)),IFERROR(G213/F213-1,""),"")</f>
        <v>0</v>
      </c>
      <c r="H214" s="215">
        <f>IF(AND(ISNUMBER(H213),ISNUMBER(G213)),IFERROR(H213/G213-1,""),"")</f>
        <v>0.230769230769231</v>
      </c>
      <c r="I214" s="215">
        <f>IF(AND(ISNUMBER(I213),ISNUMBER(H213)),IFERROR(I213/H213-1,""),"")</f>
        <v>0.25</v>
      </c>
      <c r="J214" s="36" t="n"/>
      <c r="K214" s="36" t="n"/>
      <c r="L214" s="36" t="n"/>
      <c r="M214" s="36" t="n"/>
      <c r="N214" s="215">
        <f>IF(AND(ISNUMBER(N213),ISNUMBER(I213)),IFERROR(N213/I213-1,""),"")</f>
        <v>0.15</v>
      </c>
      <c r="O214" s="215">
        <f>IF(AND(ISNUMBER(O213),ISNUMBER(J213)),IFERROR(O213/J213-1,""),"")</f>
        <v>0.217391304347826</v>
      </c>
      <c r="P214" s="215">
        <f>IF(AND(ISNUMBER(P213),ISNUMBER(K213)),IFERROR(P213/K213-1,""),"")</f>
        <v>0.217391304347826</v>
      </c>
      <c r="Q214" s="215">
        <f>IF(AND(ISNUMBER(Q213),ISNUMBER(L213)),IFERROR(Q213/L213-1,""),"")</f>
        <v>0.217391304347826</v>
      </c>
      <c r="R214" s="215">
        <f>IF(AND(ISNUMBER(R213),ISNUMBER(M213)),IFERROR(R213/M213-1,""),"")</f>
        <v>0.217391304347826</v>
      </c>
      <c r="S214" s="215">
        <f>IF(AND(ISNUMBER(S213),ISNUMBER(N213)),IFERROR(S213/N213-1,""),"")</f>
        <v>0.217391304347826</v>
      </c>
      <c r="T214" s="215">
        <f>IF(AND(ISNUMBER(T213),ISNUMBER(O213)),IFERROR(T213/O213-1,""),"")</f>
        <v>0.107142857142857</v>
      </c>
      <c r="U214" s="215">
        <f>IF(AND(ISNUMBER(U213),ISNUMBER(P213)),IFERROR(U213/P213-1,""),"")</f>
        <v>0.107142857142857</v>
      </c>
      <c r="V214" s="215">
        <f>IF(AND(ISNUMBER(V213),ISNUMBER(Q213)),IFERROR(V213/Q213-1,""),"")</f>
        <v>0.107142857142857</v>
      </c>
      <c r="W214" s="215">
        <f>IF(AND(ISNUMBER(W213),ISNUMBER(R213)),IFERROR(W213/R213-1,""),"")</f>
        <v>0.107142857142857</v>
      </c>
      <c r="X214" s="215">
        <f>IF(AND(ISNUMBER(X213),ISNUMBER(S213)),IFERROR(X213/S213-1,""),"")</f>
        <v>0.107142857142857</v>
      </c>
      <c r="Y214" s="215">
        <f>IF(AND(ISNUMBER(Y213),ISNUMBER(T213)),IFERROR(Y213/T213-1,""),"")</f>
        <v>0.161290322580645</v>
      </c>
      <c r="Z214" s="215">
        <f>IF(AND(ISNUMBER(Z213),ISNUMBER(U213)),IFERROR(Z213/U213-1,""),"")</f>
        <v>0.161290322580645</v>
      </c>
      <c r="AA214" s="215">
        <f>IF(AND(ISNUMBER(AA213),ISNUMBER(V213)),IFERROR(AA213/V213-1,""),"")</f>
        <v>0.161290322580645</v>
      </c>
      <c r="AB214" s="215">
        <f>IF(AND(ISNUMBER(AB213),ISNUMBER(W213)),IFERROR(AB213/W213-1,""),"")</f>
        <v>0.161290322580645</v>
      </c>
      <c r="AC214" s="215">
        <f>IF(AND(ISNUMBER(AC213),ISNUMBER(X213)),IFERROR(AC213/X213-1,""),"")</f>
        <v>0.161290322580645</v>
      </c>
      <c r="AD214" s="215">
        <f>IF(AND(ISNUMBER(AD213),ISNUMBER(Y213)),IFERROR(AD213/Y213-1,""),"")</f>
        <v>0.0833333333333335</v>
      </c>
      <c r="AE214" s="215">
        <f>IF(AND(ISNUMBER(AE213),ISNUMBER(Z213)),IFERROR(AE213/Z213-1,""),"")</f>
        <v>0.0833333333333335</v>
      </c>
      <c r="AF214" s="215">
        <f>IF(AND(ISNUMBER(AF213),ISNUMBER(AA213)),IFERROR(AF213/AA213-1,""),"")</f>
        <v>0.0833333333333335</v>
      </c>
      <c r="AG214" s="215">
        <f>IF(AND(ISNUMBER(AG213),ISNUMBER(AB213)),IFERROR(AG213/AB213-1,""),"")</f>
        <v>0.0833333333333335</v>
      </c>
      <c r="AH214" s="215">
        <f>IF(AND(ISNUMBER(AH213),ISNUMBER(AC213)),IFERROR(AH213/AC213-1,""),"")</f>
        <v>0.0833333333333335</v>
      </c>
      <c r="AI214" s="215">
        <f>IF(AND(ISNUMBER(AI213),ISNUMBER(AD213)),IFERROR(AI213/AD213-1,""),"")</f>
        <v>0.0769230769230769</v>
      </c>
      <c r="AJ214" s="215">
        <f>IF(AND(ISNUMBER(AJ213),ISNUMBER(AE213)),IFERROR(AJ213/AE213-1,""),"")</f>
        <v>0.0769230769230769</v>
      </c>
      <c r="AK214" s="215">
        <f>IF(AND(ISNUMBER(AK213),ISNUMBER(AF213)),IFERROR(AK213/AF213-1,""),"")</f>
        <v>0.0769230769230769</v>
      </c>
      <c r="AL214" s="215">
        <f>IF(AND(ISNUMBER(AL213),ISNUMBER(AG213)),IFERROR(AL213/AG213-1,""),"")</f>
        <v>0.0769230769230769</v>
      </c>
      <c r="AM214" s="215">
        <f>IF(AND(ISNUMBER(AM213),ISNUMBER(AH213)),IFERROR(AM213/AH213-1,""),"")</f>
        <v>0.0769230769230769</v>
      </c>
      <c r="AN214" s="215">
        <f>IF(AND(ISNUMBER(AN213),ISNUMBER(AI213)),IFERROR(AN213/AI213-1,""),"")</f>
        <v>0.0952380952380953</v>
      </c>
      <c r="AO214" s="215">
        <f>IF(AND(ISNUMBER(AO213),ISNUMBER(AJ213)),IFERROR(AO213/AJ213-1,""),"")</f>
        <v>0.0952380952380953</v>
      </c>
      <c r="AP214" s="215">
        <f>IF(AND(ISNUMBER(AP213),ISNUMBER(AK213)),IFERROR(AP213/AK213-1,""),"")</f>
        <v>0.0952380952380953</v>
      </c>
      <c r="AQ214" s="215">
        <f>IF(AND(ISNUMBER(AQ213),ISNUMBER(AL213)),IFERROR(AQ213/AL213-1,""),"")</f>
        <v>0.0952380952380953</v>
      </c>
      <c r="AR214" s="215">
        <f>IF(AND(ISNUMBER(AR213),ISNUMBER(AM213)),IFERROR(AR213/AM213-1,""),"")</f>
        <v>0.0952380952380953</v>
      </c>
      <c r="AS214" s="215">
        <f>IF(AND(ISNUMBER(AS213),ISNUMBER(AN213)),IFERROR(AS213/AN213-1,""),"")</f>
        <v>0.108695652173913</v>
      </c>
      <c r="AT214" s="215">
        <f>IF(AND(ISNUMBER(AT213),ISNUMBER(AO213)),IFERROR(AT213/AO213-1,""),"")</f>
        <v>0.108695652173913</v>
      </c>
      <c r="AU214" s="215">
        <f>IF(AND(ISNUMBER(AU213),ISNUMBER(AP213)),IFERROR(AU213/AP213-1,""),"")</f>
        <v>0.108695652173913</v>
      </c>
      <c r="AV214" s="215">
        <f>IF(AND(ISNUMBER(AV213),ISNUMBER(AQ213)),IFERROR(AV213/AQ213-1,""),"")</f>
        <v>0.108695652173913</v>
      </c>
      <c r="AW214" s="215">
        <f>IF(AND(ISNUMBER(AW213),ISNUMBER(AR213)),IFERROR(AW213/AR213-1,""),"")</f>
        <v>0.108695652173913</v>
      </c>
      <c r="AX214" s="215">
        <f>IF(AND(ISNUMBER(AX213),ISNUMBER(AS213)),IFERROR(AX213/AS213-1,""),"")</f>
        <v>0.0980392156862746</v>
      </c>
      <c r="AY214" s="215">
        <f>IF(AND(ISNUMBER(AY213),ISNUMBER(AT213)),IFERROR(AY213/AT213-1,""),"")</f>
        <v>0.0980392156862746</v>
      </c>
      <c r="AZ214" s="215">
        <f>IF(AND(ISNUMBER(AZ213),ISNUMBER(AU213)),IFERROR(AZ213/AU213-1,""),"")</f>
        <v>0.0980392156862746</v>
      </c>
      <c r="BA214" s="215">
        <f>IF(AND(ISNUMBER(BA213),ISNUMBER(AV213)),IFERROR(BA213/AV213-1,""),"")</f>
        <v>0.0980392156862746</v>
      </c>
      <c r="BB214" s="215">
        <f>IF(AND(ISNUMBER(BB213),ISNUMBER(AW213)),IFERROR(BB213/AW213-1,""),"")</f>
        <v>0.0980392156862746</v>
      </c>
      <c r="BC214" s="215">
        <f>IF(AND(ISNUMBER(BC213),ISNUMBER(AX213)),IFERROR(BC213/AX213-1,""),"")</f>
        <v>0.107142857142857</v>
      </c>
      <c r="BD214" s="215">
        <f>IF(AND(ISNUMBER(BD213),ISNUMBER(AY213)),IFERROR(BD213/AY213-1,""),"")</f>
        <v>0.107142857142857</v>
      </c>
      <c r="BE214" s="215">
        <f>IF(AND(ISNUMBER(BE213),ISNUMBER(AZ213)),IFERROR(BE213/AZ213-1,""),"")</f>
        <v>0.107142857142857</v>
      </c>
      <c r="BF214" s="215">
        <f>IF(AND(ISNUMBER(BF213),ISNUMBER(BA213)),IFERROR(BF213/BA213-1,""),"")</f>
        <v>0.107142857142857</v>
      </c>
      <c r="BG214" s="215">
        <f>IF(AND(ISNUMBER(BG213),ISNUMBER(BB213)),IFERROR(BG213/BB213-1,""),"")</f>
        <v>0.107142857142857</v>
      </c>
      <c r="BH214" s="215">
        <f>IF(AND(ISNUMBER(BH213),ISNUMBER(BC213)),IFERROR(BH213/BC213-1,""),"")</f>
        <v>0.0967741935483872</v>
      </c>
      <c r="BI214" s="215">
        <f>IF(AND(ISNUMBER(BI213),ISNUMBER(BD213)),IFERROR(BI213/BD213-1,""),"")</f>
        <v>0.0967741935483872</v>
      </c>
      <c r="BJ214" s="215">
        <f>IF(AND(ISNUMBER(BJ213),ISNUMBER(BE213)),IFERROR(BJ213/BE213-1,""),"")</f>
        <v>0.0967741935483872</v>
      </c>
      <c r="BK214" s="215">
        <f>IF(AND(ISNUMBER(BK213),ISNUMBER(BF213)),IFERROR(BK213/BF213-1,""),"")</f>
        <v>0.0967741935483872</v>
      </c>
      <c r="BL214" s="215">
        <f>IF(AND(ISNUMBER(BL213),ISNUMBER(BG213)),IFERROR(BL213/BG213-1,""),"")</f>
        <v>0.0967741935483872</v>
      </c>
      <c r="BM214" s="215">
        <f>IF(AND(ISNUMBER(BM213),ISNUMBER(BH213)),IFERROR(BM213/BH213-1,""),"")</f>
        <v>0.102941176470588</v>
      </c>
      <c r="BN214" s="215">
        <f>IF(AND(ISNUMBER(BN213),ISNUMBER(BI213)),IFERROR(BN213/BI213-1,""),"")</f>
        <v>0.102941176470588</v>
      </c>
      <c r="BO214" s="215">
        <f>IF(AND(ISNUMBER(BO213),ISNUMBER(BJ213)),IFERROR(BO213/BJ213-1,""),"")</f>
        <v>0.102941176470588</v>
      </c>
      <c r="BP214" s="215">
        <f>IF(AND(ISNUMBER(BP213),ISNUMBER(BK213)),IFERROR(BP213/BK213-1,""),"")</f>
        <v>0.102941176470588</v>
      </c>
      <c r="BQ214" s="215">
        <f>IF(AND(ISNUMBER(BQ213),ISNUMBER(BL213)),IFERROR(BQ213/BL213-1,""),"")</f>
        <v>0.102941176470588</v>
      </c>
      <c r="BR214" s="215">
        <f>IF(AND(ISNUMBER(BR213),ISNUMBER(BM213)),IFERROR(BR213/BM213-1,""),"")</f>
        <v>0.106666666666667</v>
      </c>
      <c r="BS214" s="215">
        <f>IF(AND(ISNUMBER(BS213),ISNUMBER(BN213)),IFERROR(BS213/BN213-1,""),"")</f>
        <v>0.106666666666667</v>
      </c>
      <c r="BT214" s="215">
        <f>IF(AND(ISNUMBER(BT213),ISNUMBER(BO213)),IFERROR(BT213/BO213-1,""),"")</f>
        <v>0.106666666666667</v>
      </c>
      <c r="BU214" s="215">
        <f>IF(AND(ISNUMBER(BU213),ISNUMBER(BP213)),IFERROR(BU213/BP213-1,""),"")</f>
        <v>0.106666666666667</v>
      </c>
      <c r="BV214" s="215">
        <f>IF(AND(ISNUMBER(BV213),ISNUMBER(BQ213)),IFERROR(BV213/BQ213-1,""),"")</f>
        <v>0.106666666666667</v>
      </c>
      <c r="BW214" s="215">
        <f>IF(AND(ISNUMBER(BW213),ISNUMBER(BR213)),IFERROR(BW213/BR213-1,""),"")</f>
        <v>0.0963855421686748</v>
      </c>
      <c r="BX214" s="215">
        <f>IF(AND(ISNUMBER(BX213),ISNUMBER(BS213)),IFERROR(BX213/BS213-1,""),"")</f>
        <v>0.0963855421686748</v>
      </c>
      <c r="BY214" s="215">
        <f>IF(AND(ISNUMBER(BY213),ISNUMBER(BT213)),IFERROR(BY213/BT213-1,""),"")</f>
        <v>0.0963855421686748</v>
      </c>
      <c r="BZ214" s="215">
        <f>IF(AND(ISNUMBER(BZ213),ISNUMBER(BU213)),IFERROR(BZ213/BU213-1,""),"")</f>
        <v>0.0963855421686748</v>
      </c>
      <c r="CA214" s="215">
        <f>IF(AND(ISNUMBER(CA213),ISNUMBER(BV213)),IFERROR(CA213/BV213-1,""),"")</f>
        <v>0.0963855421686748</v>
      </c>
      <c r="CB214" s="256">
        <f>IF(AND(ISNUMBER(CB213),ISNUMBER(BW213)),IFERROR(CB213/BW213-1,""),"")</f>
        <v>0.0989010989010988</v>
      </c>
      <c r="CC214" s="256">
        <f>IF(AND(ISNUMBER(CC213),ISNUMBER(BX213)),IFERROR(CC213/BX213-1,""),"")</f>
        <v>0.0989010989010988</v>
      </c>
      <c r="CD214" s="256">
        <f>IF(AND(ISNUMBER(CD213),ISNUMBER(BY213)),IFERROR(CD213/BY213-1,""),"")</f>
        <v>0.0989010989010988</v>
      </c>
      <c r="CE214" s="256">
        <f>IF(AND(ISNUMBER(CE213),ISNUMBER(BZ213)),IFERROR(CE213/BZ213-1,""),"")</f>
        <v>0.0989010989010988</v>
      </c>
      <c r="CF214" s="256">
        <f>IF(AND(ISNUMBER(CF213),ISNUMBER(CA213)),IFERROR(CF213/CA213-1,""),"")</f>
        <v>0.0989010989010988</v>
      </c>
      <c r="CG214" s="264" t="n">
        <v>0.1</v>
      </c>
      <c r="CH214" s="264" t="n">
        <v>0.1</v>
      </c>
      <c r="CI214" s="264" t="n">
        <v>0.1</v>
      </c>
      <c r="CJ214" s="264" t="n">
        <v>0.1</v>
      </c>
      <c r="CK214" s="19" t="n"/>
    </row>
    <row r="215" ht="15" customHeight="1" s="251">
      <c r="CS215" s="11" t="n"/>
      <c r="CT215" s="12" t="n"/>
      <c r="CU215" s="12" t="n"/>
      <c r="CV215" s="12" t="n"/>
      <c r="CW215" s="13" t="n"/>
    </row>
    <row r="216" ht="15" customHeight="1" s="251">
      <c r="B216" s="10" t="inlineStr">
        <is>
          <t>RECONCILIATION: GAAP OPERATING INCOME → ADJUSTED ("AS ADJUSTED") OPERATING INCOME (company definition, published FY2012–FY2017 and FY2023)</t>
        </is>
      </c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n"/>
      <c r="AN216" s="10" t="n"/>
      <c r="AO216" s="10" t="n"/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0" t="n"/>
      <c r="BC216" s="10" t="n"/>
      <c r="BD216" s="10" t="n"/>
      <c r="BE216" s="10" t="n"/>
      <c r="BF216" s="10" t="n"/>
      <c r="BG216" s="10" t="n"/>
      <c r="BH216" s="10" t="n"/>
      <c r="BI216" s="10" t="n"/>
      <c r="BJ216" s="10" t="n"/>
      <c r="BK216" s="10" t="n"/>
      <c r="BL216" s="10" t="n"/>
      <c r="BM216" s="10" t="n"/>
      <c r="BN216" s="10" t="n"/>
      <c r="BO216" s="10" t="n"/>
      <c r="BP216" s="10" t="n"/>
      <c r="BQ216" s="10" t="n"/>
      <c r="BR216" s="10" t="n"/>
      <c r="BS216" s="10" t="n"/>
      <c r="BT216" s="10" t="n"/>
      <c r="BU216" s="10" t="n"/>
      <c r="BV216" s="10" t="n"/>
      <c r="BW216" s="10" t="n"/>
      <c r="BX216" s="10" t="n"/>
      <c r="BY216" s="10" t="n"/>
      <c r="BZ216" s="10" t="n"/>
      <c r="CA216" s="10" t="n"/>
      <c r="CB216" s="10" t="n"/>
      <c r="CC216" s="10" t="n"/>
      <c r="CD216" s="10" t="n"/>
      <c r="CE216" s="10" t="n"/>
      <c r="CF216" s="10" t="n"/>
      <c r="CG216" s="10" t="n"/>
      <c r="CH216" s="10" t="n"/>
      <c r="CI216" s="10" t="n"/>
      <c r="CJ216" s="10" t="n"/>
      <c r="CK216" s="10" t="inlineStr">
        <is>
          <t>ADJUSTED OPERATING INCOME — per the release "GAAP to Non-GAAP" tables; company item labels per period are in the cell comments of the revenue-deferral row</t>
        </is>
      </c>
    </row>
    <row r="217" ht="15" customHeight="1" s="251">
      <c r="B217" s="16" t="inlineStr">
        <is>
          <t>Operating income (GAAP)</t>
        </is>
      </c>
      <c r="C217" s="260">
        <f>C190</f>
        <v>16472</v>
      </c>
      <c r="D217" s="260">
        <f>D190</f>
        <v>18524</v>
      </c>
      <c r="E217" s="260">
        <f>E190</f>
        <v>22492</v>
      </c>
      <c r="F217" s="260">
        <f>F190</f>
        <v>20363</v>
      </c>
      <c r="G217" s="260">
        <f>G190</f>
        <v>24098</v>
      </c>
      <c r="H217" s="260">
        <f>H190</f>
        <v>27161</v>
      </c>
      <c r="I217" s="260">
        <f>I190</f>
        <v>21763</v>
      </c>
      <c r="J217" s="260">
        <f>J190</f>
        <v>5308</v>
      </c>
      <c r="K217" s="260">
        <f>K190</f>
        <v>7771</v>
      </c>
      <c r="L217" s="260">
        <f>L190</f>
        <v>7612</v>
      </c>
      <c r="M217" s="260">
        <f>M190</f>
        <v>6073</v>
      </c>
      <c r="N217" s="260">
        <f>N190</f>
        <v>26764</v>
      </c>
      <c r="O217" s="260">
        <f>O190</f>
        <v>6334</v>
      </c>
      <c r="P217" s="260">
        <f>P190</f>
        <v>7969</v>
      </c>
      <c r="Q217" s="260">
        <f>Q190</f>
        <v>6974</v>
      </c>
      <c r="R217" s="260">
        <f>R190</f>
        <v>6482</v>
      </c>
      <c r="S217" s="260">
        <f>S190</f>
        <v>27759</v>
      </c>
      <c r="T217" s="260">
        <f>T190</f>
        <v>5844</v>
      </c>
      <c r="U217" s="260">
        <f>U190</f>
        <v>7776</v>
      </c>
      <c r="V217" s="260">
        <f>V190</f>
        <v>6594</v>
      </c>
      <c r="W217" s="260">
        <f>W190</f>
        <v>-2053</v>
      </c>
      <c r="X217" s="260">
        <f>X190</f>
        <v>18161</v>
      </c>
      <c r="Y217" s="260">
        <f>Y190</f>
        <v>5793</v>
      </c>
      <c r="Z217" s="260">
        <f>Z190</f>
        <v>6026</v>
      </c>
      <c r="AA217" s="260">
        <f>AA190</f>
        <v>5283</v>
      </c>
      <c r="AB217" s="260">
        <f>AB190</f>
        <v>3080</v>
      </c>
      <c r="AC217" s="260">
        <f>AC190</f>
        <v>20182</v>
      </c>
      <c r="AD217" s="260">
        <f>AD190</f>
        <v>5225</v>
      </c>
      <c r="AE217" s="260">
        <f>AE190</f>
        <v>6177</v>
      </c>
      <c r="AF217" s="260">
        <f>AF190</f>
        <v>5594</v>
      </c>
      <c r="AG217" s="260">
        <f>AG190</f>
        <v>5330</v>
      </c>
      <c r="AH217" s="260">
        <f>AH190</f>
        <v>22326</v>
      </c>
      <c r="AI217" s="260">
        <f>AI190</f>
        <v>7708</v>
      </c>
      <c r="AJ217" s="260">
        <f>AJ190</f>
        <v>8679</v>
      </c>
      <c r="AK217" s="260">
        <f>AK190</f>
        <v>8292</v>
      </c>
      <c r="AL217" s="260">
        <f>AL190</f>
        <v>10379</v>
      </c>
      <c r="AM217" s="260">
        <f>AM190</f>
        <v>35058</v>
      </c>
      <c r="AN217" s="260">
        <f>AN190</f>
        <v>9955</v>
      </c>
      <c r="AO217" s="260">
        <f>AO190</f>
        <v>10258</v>
      </c>
      <c r="AP217" s="260">
        <f>AP190</f>
        <v>10341</v>
      </c>
      <c r="AQ217" s="260">
        <f>AQ190</f>
        <v>12405</v>
      </c>
      <c r="AR217" s="260">
        <f>AR190</f>
        <v>42959</v>
      </c>
      <c r="AS217" s="260">
        <f>AS190</f>
        <v>12686</v>
      </c>
      <c r="AT217" s="260">
        <f>AT190</f>
        <v>13891</v>
      </c>
      <c r="AU217" s="260">
        <f>AU190</f>
        <v>12975</v>
      </c>
      <c r="AV217" s="260">
        <f>AV190</f>
        <v>13407</v>
      </c>
      <c r="AW217" s="260">
        <f>AW190</f>
        <v>52959</v>
      </c>
      <c r="AX217" s="260">
        <f>AX190</f>
        <v>15876</v>
      </c>
      <c r="AY217" s="260">
        <f>AY190</f>
        <v>17897</v>
      </c>
      <c r="AZ217" s="260">
        <f>AZ190</f>
        <v>17048</v>
      </c>
      <c r="BA217" s="260">
        <f>BA190</f>
        <v>19095</v>
      </c>
      <c r="BB217" s="260">
        <f>BB190</f>
        <v>69916</v>
      </c>
      <c r="BC217" s="260">
        <f>BC190</f>
        <v>20238</v>
      </c>
      <c r="BD217" s="260">
        <f>BD190</f>
        <v>22247</v>
      </c>
      <c r="BE217" s="260">
        <f>BE190</f>
        <v>20364</v>
      </c>
      <c r="BF217" s="260">
        <f>BF190</f>
        <v>20534</v>
      </c>
      <c r="BG217" s="260">
        <f>BG190</f>
        <v>83383</v>
      </c>
      <c r="BH217" s="260">
        <f>BH190</f>
        <v>21518</v>
      </c>
      <c r="BI217" s="260">
        <f>BI190</f>
        <v>20399</v>
      </c>
      <c r="BJ217" s="260">
        <f>BJ190</f>
        <v>22352</v>
      </c>
      <c r="BK217" s="260">
        <f>BK190</f>
        <v>24254</v>
      </c>
      <c r="BL217" s="260">
        <f>BL190</f>
        <v>88523</v>
      </c>
      <c r="BM217" s="260">
        <f>BM190</f>
        <v>26895</v>
      </c>
      <c r="BN217" s="260">
        <f>BN190</f>
        <v>27032</v>
      </c>
      <c r="BO217" s="260">
        <f>BO190</f>
        <v>27581</v>
      </c>
      <c r="BP217" s="260">
        <f>BP190</f>
        <v>27925</v>
      </c>
      <c r="BQ217" s="260">
        <f>BQ190</f>
        <v>109433</v>
      </c>
      <c r="BR217" s="260">
        <f>BR190</f>
        <v>30552</v>
      </c>
      <c r="BS217" s="260">
        <f>BS190</f>
        <v>31653</v>
      </c>
      <c r="BT217" s="260">
        <f>BT190</f>
        <v>32000</v>
      </c>
      <c r="BU217" s="260">
        <f>BU190</f>
        <v>34323</v>
      </c>
      <c r="BV217" s="260">
        <f>BV190</f>
        <v>128528</v>
      </c>
      <c r="BW217" s="260">
        <f>BW190</f>
        <v>37961</v>
      </c>
      <c r="BX217" s="260">
        <f>BX190</f>
        <v>38275</v>
      </c>
      <c r="BY217" s="260">
        <f>BY190</f>
        <v>38398</v>
      </c>
      <c r="BZ217" s="260">
        <f>BZ190</f>
        <v>40603</v>
      </c>
      <c r="CA217" s="260">
        <f>CA190</f>
        <v>155237</v>
      </c>
      <c r="CB217" s="261">
        <f>CB190</f>
        <v>43850</v>
      </c>
      <c r="CC217" s="261">
        <f>CC190</f>
        <v>44345.9445535205</v>
      </c>
      <c r="CD217" s="261">
        <f>CD190</f>
        <v>44711.946334539</v>
      </c>
      <c r="CE217" s="261">
        <f>CE190</f>
        <v>47593.2437102201</v>
      </c>
      <c r="CF217" s="261">
        <f>CF190</f>
        <v>180501.13459828</v>
      </c>
      <c r="CG217" s="261">
        <f>CG190</f>
        <v>202794.153812307</v>
      </c>
      <c r="CH217" s="261">
        <f>CH190</f>
        <v>233435.75860592</v>
      </c>
      <c r="CI217" s="261">
        <f>CI190</f>
        <v>269519.715244814</v>
      </c>
      <c r="CJ217" s="261">
        <f>CJ190</f>
        <v>306218.502299503</v>
      </c>
      <c r="CK217" s="153" t="n"/>
    </row>
    <row r="218" ht="15" customHeight="1" s="251">
      <c r="B218" s="25" t="inlineStr">
        <is>
          <t xml:space="preserve">  (+) Revenue deferrals / (recognition)</t>
        </is>
      </c>
      <c r="C218" s="211">
        <f>C172</f>
        <v>0</v>
      </c>
      <c r="D218" s="211">
        <f>D172</f>
        <v>0</v>
      </c>
      <c r="E218" s="211">
        <f>E172</f>
        <v>0</v>
      </c>
      <c r="F218" s="211">
        <f>F172</f>
        <v>0</v>
      </c>
      <c r="G218" s="211">
        <f>G172</f>
        <v>0</v>
      </c>
      <c r="H218" s="211">
        <f>H172</f>
        <v>0</v>
      </c>
      <c r="I218" s="211">
        <f>I172</f>
        <v>540</v>
      </c>
      <c r="J218" s="211">
        <f>J172</f>
        <v>1356</v>
      </c>
      <c r="K218" s="211">
        <f>K172</f>
        <v>546</v>
      </c>
      <c r="L218" s="211">
        <f>L172</f>
        <v>-1658</v>
      </c>
      <c r="M218" s="211">
        <f>M172</f>
        <v>-782</v>
      </c>
      <c r="N218" s="211">
        <f>N172</f>
        <v>-540</v>
      </c>
      <c r="O218" s="211">
        <f>O172</f>
        <v>113</v>
      </c>
      <c r="P218" s="211">
        <f>P172</f>
        <v>0</v>
      </c>
      <c r="Q218" s="211">
        <f>Q172</f>
        <v>0</v>
      </c>
      <c r="R218" s="211">
        <f>R172</f>
        <v>0</v>
      </c>
      <c r="S218" s="211">
        <f>S172</f>
        <v>0</v>
      </c>
      <c r="T218" s="211">
        <f>T172</f>
        <v>0</v>
      </c>
      <c r="U218" s="211">
        <f>U172</f>
        <v>-326</v>
      </c>
      <c r="V218" s="211">
        <f>V172</f>
        <v>0</v>
      </c>
      <c r="W218" s="211">
        <f>W172</f>
        <v>0</v>
      </c>
      <c r="X218" s="211">
        <f>X172</f>
        <v>0</v>
      </c>
      <c r="Y218" s="211">
        <f>Y172</f>
        <v>1281</v>
      </c>
      <c r="Z218" s="211">
        <f>Z172</f>
        <v>1897</v>
      </c>
      <c r="AA218" s="211">
        <f>AA172</f>
        <v>1545</v>
      </c>
      <c r="AB218" s="211">
        <f>AB172</f>
        <v>2028</v>
      </c>
      <c r="AC218" s="211">
        <f>AC172</f>
        <v>6643</v>
      </c>
      <c r="AD218" s="211">
        <f>AD172</f>
        <v>1881</v>
      </c>
      <c r="AE218" s="211">
        <f>AE172</f>
        <v>1976</v>
      </c>
      <c r="AF218" s="211">
        <f>AF172</f>
        <v>1467</v>
      </c>
      <c r="AG218" s="211">
        <f>AG172</f>
        <v>1383</v>
      </c>
      <c r="AH218" s="211">
        <f>AH172</f>
        <v>6707</v>
      </c>
      <c r="AI218" s="211">
        <f>AI172</f>
        <v>0</v>
      </c>
      <c r="AJ218" s="211">
        <f>AJ172</f>
        <v>0</v>
      </c>
      <c r="AK218" s="211">
        <f>AK172</f>
        <v>0</v>
      </c>
      <c r="AL218" s="211">
        <f>AL172</f>
        <v>0</v>
      </c>
      <c r="AM218" s="211">
        <f>AM172</f>
        <v>0</v>
      </c>
      <c r="AN218" s="211">
        <f>AN172</f>
        <v>0</v>
      </c>
      <c r="AO218" s="211">
        <f>AO172</f>
        <v>0</v>
      </c>
      <c r="AP218" s="211">
        <f>AP172</f>
        <v>0</v>
      </c>
      <c r="AQ218" s="211">
        <f>AQ172</f>
        <v>0</v>
      </c>
      <c r="AR218" s="211">
        <f>AR172</f>
        <v>0</v>
      </c>
      <c r="AS218" s="211">
        <f>AS172</f>
        <v>0</v>
      </c>
      <c r="AT218" s="211">
        <f>AT172</f>
        <v>0</v>
      </c>
      <c r="AU218" s="211">
        <f>AU172</f>
        <v>0</v>
      </c>
      <c r="AV218" s="211">
        <f>AV172</f>
        <v>0</v>
      </c>
      <c r="AW218" s="211">
        <f>AW172</f>
        <v>0</v>
      </c>
      <c r="AX218" s="211">
        <f>AX172</f>
        <v>0</v>
      </c>
      <c r="AY218" s="211">
        <f>AY172</f>
        <v>0</v>
      </c>
      <c r="AZ218" s="211">
        <f>AZ172</f>
        <v>0</v>
      </c>
      <c r="BA218" s="211">
        <f>BA172</f>
        <v>0</v>
      </c>
      <c r="BB218" s="211">
        <f>BB172</f>
        <v>0</v>
      </c>
      <c r="BC218" s="211">
        <f>BC172</f>
        <v>0</v>
      </c>
      <c r="BD218" s="211">
        <f>BD172</f>
        <v>0</v>
      </c>
      <c r="BE218" s="211">
        <f>BE172</f>
        <v>0</v>
      </c>
      <c r="BF218" s="211">
        <f>BF172</f>
        <v>0</v>
      </c>
      <c r="BG218" s="211">
        <f>BG172</f>
        <v>0</v>
      </c>
      <c r="BH218" s="211">
        <f>BH172</f>
        <v>0</v>
      </c>
      <c r="BI218" s="211">
        <f>BI172</f>
        <v>0</v>
      </c>
      <c r="BJ218" s="211">
        <f>BJ172</f>
        <v>0</v>
      </c>
      <c r="BK218" s="211">
        <f>BK172</f>
        <v>0</v>
      </c>
      <c r="BL218" s="211">
        <f>BL172</f>
        <v>0</v>
      </c>
      <c r="BM218" s="211">
        <f>BM172</f>
        <v>0</v>
      </c>
      <c r="BN218" s="211">
        <f>BN172</f>
        <v>0</v>
      </c>
      <c r="BO218" s="211">
        <f>BO172</f>
        <v>0</v>
      </c>
      <c r="BP218" s="211">
        <f>BP172</f>
        <v>0</v>
      </c>
      <c r="BQ218" s="211">
        <f>BQ172</f>
        <v>0</v>
      </c>
      <c r="BR218" s="211">
        <f>BR172</f>
        <v>0</v>
      </c>
      <c r="BS218" s="211">
        <f>BS172</f>
        <v>0</v>
      </c>
      <c r="BT218" s="211">
        <f>BT172</f>
        <v>0</v>
      </c>
      <c r="BU218" s="211">
        <f>BU172</f>
        <v>0</v>
      </c>
      <c r="BV218" s="211">
        <f>BV172</f>
        <v>0</v>
      </c>
      <c r="BW218" s="211">
        <f>BW172</f>
        <v>0</v>
      </c>
      <c r="BX218" s="211">
        <f>BX172</f>
        <v>0</v>
      </c>
      <c r="BY218" s="211">
        <f>BY172</f>
        <v>0</v>
      </c>
      <c r="BZ218" s="211">
        <f>BZ172</f>
        <v>0</v>
      </c>
      <c r="CA218" s="211">
        <f>CA172</f>
        <v>0</v>
      </c>
      <c r="CB218" s="254">
        <f>CB172</f>
        <v>0</v>
      </c>
      <c r="CC218" s="254">
        <f>CC172</f>
        <v>0</v>
      </c>
      <c r="CD218" s="254">
        <f>CD172</f>
        <v>0</v>
      </c>
      <c r="CE218" s="254">
        <f>CE172</f>
        <v>0</v>
      </c>
      <c r="CF218" s="254">
        <f>CF172</f>
        <v>0</v>
      </c>
      <c r="CG218" s="254">
        <f>CG172</f>
        <v>0</v>
      </c>
      <c r="CH218" s="254">
        <f>CH172</f>
        <v>0</v>
      </c>
      <c r="CI218" s="254">
        <f>CI172</f>
        <v>0</v>
      </c>
      <c r="CJ218" s="254">
        <f>CJ172</f>
        <v>0</v>
      </c>
      <c r="CK218" s="19" t="n"/>
    </row>
    <row r="219" ht="15" customHeight="1" s="251">
      <c r="B219" s="25" t="inlineStr">
        <is>
          <t xml:space="preserve">  (+) Impairment, integration, restructuring &amp; severance</t>
        </is>
      </c>
      <c r="C219" s="211">
        <f>C173</f>
        <v>0</v>
      </c>
      <c r="D219" s="211">
        <f>D173</f>
        <v>0</v>
      </c>
      <c r="E219" s="211">
        <f>E173</f>
        <v>0</v>
      </c>
      <c r="F219" s="211">
        <f>F173</f>
        <v>0</v>
      </c>
      <c r="G219" s="211">
        <f>G173</f>
        <v>0</v>
      </c>
      <c r="H219" s="211">
        <f>H173</f>
        <v>0</v>
      </c>
      <c r="I219" s="211">
        <f>I173</f>
        <v>6193</v>
      </c>
      <c r="J219" s="211">
        <f>J173</f>
        <v>0</v>
      </c>
      <c r="K219" s="211">
        <f>K173</f>
        <v>0</v>
      </c>
      <c r="L219" s="211">
        <f>L173</f>
        <v>0</v>
      </c>
      <c r="M219" s="211">
        <f>M173</f>
        <v>0</v>
      </c>
      <c r="N219" s="211">
        <f>N173</f>
        <v>0</v>
      </c>
      <c r="O219" s="211">
        <f>O173</f>
        <v>0</v>
      </c>
      <c r="P219" s="211">
        <f>P173</f>
        <v>0</v>
      </c>
      <c r="Q219" s="211">
        <f>Q173</f>
        <v>0</v>
      </c>
      <c r="R219" s="211">
        <f>R173</f>
        <v>0</v>
      </c>
      <c r="S219" s="211">
        <f>S173</f>
        <v>0</v>
      </c>
      <c r="T219" s="211">
        <f>T173</f>
        <v>1140</v>
      </c>
      <c r="U219" s="211">
        <f>U173</f>
        <v>243</v>
      </c>
      <c r="V219" s="211">
        <f>V173</f>
        <v>190</v>
      </c>
      <c r="W219" s="211">
        <f>W173</f>
        <v>8438</v>
      </c>
      <c r="X219" s="211">
        <f>X173</f>
        <v>10011</v>
      </c>
      <c r="Y219" s="211">
        <f>Y173</f>
        <v>0</v>
      </c>
      <c r="Z219" s="211">
        <f>Z173</f>
        <v>0</v>
      </c>
      <c r="AA219" s="211">
        <f>AA173</f>
        <v>0</v>
      </c>
      <c r="AB219" s="211">
        <f>AB173</f>
        <v>1110</v>
      </c>
      <c r="AC219" s="211">
        <f>AC173</f>
        <v>1110</v>
      </c>
      <c r="AD219" s="211">
        <f>AD173</f>
        <v>0</v>
      </c>
      <c r="AE219" s="211">
        <f>AE173</f>
        <v>0</v>
      </c>
      <c r="AF219" s="211">
        <f>AF173</f>
        <v>0</v>
      </c>
      <c r="AG219" s="211">
        <f>AG173</f>
        <v>306</v>
      </c>
      <c r="AH219" s="211">
        <f>AH173</f>
        <v>306</v>
      </c>
      <c r="AI219" s="211">
        <f>AI173</f>
        <v>0</v>
      </c>
      <c r="AJ219" s="211">
        <f>AJ173</f>
        <v>0</v>
      </c>
      <c r="AK219" s="211">
        <f>AK173</f>
        <v>0</v>
      </c>
      <c r="AL219" s="211">
        <f>AL173</f>
        <v>0</v>
      </c>
      <c r="AM219" s="211">
        <f>AM173</f>
        <v>0</v>
      </c>
      <c r="AN219" s="211">
        <f>AN173</f>
        <v>0</v>
      </c>
      <c r="AO219" s="211">
        <f>AO173</f>
        <v>0</v>
      </c>
      <c r="AP219" s="211">
        <f>AP173</f>
        <v>0</v>
      </c>
      <c r="AQ219" s="211">
        <f>AQ173</f>
        <v>0</v>
      </c>
      <c r="AR219" s="211">
        <f>AR173</f>
        <v>0</v>
      </c>
      <c r="AS219" s="211">
        <f>AS173</f>
        <v>0</v>
      </c>
      <c r="AT219" s="211">
        <f>AT173</f>
        <v>0</v>
      </c>
      <c r="AU219" s="211">
        <f>AU173</f>
        <v>0</v>
      </c>
      <c r="AV219" s="211">
        <f>AV173</f>
        <v>0</v>
      </c>
      <c r="AW219" s="211">
        <f>AW173</f>
        <v>0</v>
      </c>
      <c r="AX219" s="211">
        <f>AX173</f>
        <v>0</v>
      </c>
      <c r="AY219" s="211">
        <f>AY173</f>
        <v>0</v>
      </c>
      <c r="AZ219" s="211">
        <f>AZ173</f>
        <v>0</v>
      </c>
      <c r="BA219" s="211">
        <f>BA173</f>
        <v>0</v>
      </c>
      <c r="BB219" s="211">
        <f>BB173</f>
        <v>0</v>
      </c>
      <c r="BC219" s="211">
        <f>BC173</f>
        <v>0</v>
      </c>
      <c r="BD219" s="211">
        <f>BD173</f>
        <v>0</v>
      </c>
      <c r="BE219" s="211">
        <f>BE173</f>
        <v>0</v>
      </c>
      <c r="BF219" s="211">
        <f>BF173</f>
        <v>0</v>
      </c>
      <c r="BG219" s="211">
        <f>BG173</f>
        <v>0</v>
      </c>
      <c r="BH219" s="211">
        <f>BH173</f>
        <v>0</v>
      </c>
      <c r="BI219" s="211">
        <f>BI173</f>
        <v>1171</v>
      </c>
      <c r="BJ219" s="211">
        <f>BJ173</f>
        <v>0</v>
      </c>
      <c r="BK219" s="211">
        <f>BK173</f>
        <v>0</v>
      </c>
      <c r="BL219" s="211">
        <f>BL173</f>
        <v>1171</v>
      </c>
      <c r="BM219" s="211">
        <f>BM173</f>
        <v>0</v>
      </c>
      <c r="BN219" s="211">
        <f>BN173</f>
        <v>0</v>
      </c>
      <c r="BO219" s="211">
        <f>BO173</f>
        <v>0</v>
      </c>
      <c r="BP219" s="211">
        <f>BP173</f>
        <v>0</v>
      </c>
      <c r="BQ219" s="211">
        <f>BQ173</f>
        <v>0</v>
      </c>
      <c r="BR219" s="211">
        <f>BR173</f>
        <v>0</v>
      </c>
      <c r="BS219" s="211">
        <f>BS173</f>
        <v>0</v>
      </c>
      <c r="BT219" s="211">
        <f>BT173</f>
        <v>0</v>
      </c>
      <c r="BU219" s="211">
        <f>BU173</f>
        <v>0</v>
      </c>
      <c r="BV219" s="211">
        <f>BV173</f>
        <v>0</v>
      </c>
      <c r="BW219" s="211">
        <f>BW173</f>
        <v>0</v>
      </c>
      <c r="BX219" s="211">
        <f>BX173</f>
        <v>0</v>
      </c>
      <c r="BY219" s="211">
        <f>BY173</f>
        <v>0</v>
      </c>
      <c r="BZ219" s="211">
        <f>BZ173</f>
        <v>0</v>
      </c>
      <c r="CA219" s="211">
        <f>CA173</f>
        <v>0</v>
      </c>
      <c r="CB219" s="254">
        <f>CB173</f>
        <v>0</v>
      </c>
      <c r="CC219" s="254">
        <f>CC173</f>
        <v>0</v>
      </c>
      <c r="CD219" s="254">
        <f>CD173</f>
        <v>0</v>
      </c>
      <c r="CE219" s="254">
        <f>CE173</f>
        <v>0</v>
      </c>
      <c r="CF219" s="254">
        <f>CF173</f>
        <v>0</v>
      </c>
      <c r="CG219" s="254">
        <f>CG173</f>
        <v>0</v>
      </c>
      <c r="CH219" s="254">
        <f>CH173</f>
        <v>0</v>
      </c>
      <c r="CI219" s="254">
        <f>CI173</f>
        <v>0</v>
      </c>
      <c r="CJ219" s="254">
        <f>CJ173</f>
        <v>0</v>
      </c>
      <c r="CK219" s="19" t="n"/>
    </row>
    <row r="220" ht="15" customHeight="1" s="251">
      <c r="B220" s="25" t="inlineStr">
        <is>
          <t xml:space="preserve">  (+) European Commission fine</t>
        </is>
      </c>
      <c r="C220" s="211">
        <f>C174</f>
        <v>0</v>
      </c>
      <c r="D220" s="211">
        <f>D174</f>
        <v>0</v>
      </c>
      <c r="E220" s="211">
        <f>E174</f>
        <v>0</v>
      </c>
      <c r="F220" s="211">
        <f>F174</f>
        <v>0</v>
      </c>
      <c r="G220" s="211">
        <f>G174</f>
        <v>0</v>
      </c>
      <c r="H220" s="211">
        <f>H174</f>
        <v>0</v>
      </c>
      <c r="I220" s="211">
        <f>I174</f>
        <v>0</v>
      </c>
      <c r="J220" s="211">
        <f>J174</f>
        <v>0</v>
      </c>
      <c r="K220" s="211">
        <f>K174</f>
        <v>0</v>
      </c>
      <c r="L220" s="211">
        <f>L174</f>
        <v>733</v>
      </c>
      <c r="M220" s="211">
        <f>M174</f>
        <v>0</v>
      </c>
      <c r="N220" s="211">
        <f>N174</f>
        <v>733</v>
      </c>
      <c r="O220" s="211">
        <f>O174</f>
        <v>0</v>
      </c>
      <c r="P220" s="211">
        <f>P174</f>
        <v>0</v>
      </c>
      <c r="Q220" s="211">
        <f>Q174</f>
        <v>0</v>
      </c>
      <c r="R220" s="211">
        <f>R174</f>
        <v>0</v>
      </c>
      <c r="S220" s="211">
        <f>S174</f>
        <v>0</v>
      </c>
      <c r="T220" s="211">
        <f>T174</f>
        <v>0</v>
      </c>
      <c r="U220" s="211">
        <f>U174</f>
        <v>0</v>
      </c>
      <c r="V220" s="211">
        <f>V174</f>
        <v>0</v>
      </c>
      <c r="W220" s="211">
        <f>W174</f>
        <v>0</v>
      </c>
      <c r="X220" s="211">
        <f>X174</f>
        <v>0</v>
      </c>
      <c r="Y220" s="211">
        <f>Y174</f>
        <v>0</v>
      </c>
      <c r="Z220" s="211">
        <f>Z174</f>
        <v>0</v>
      </c>
      <c r="AA220" s="211">
        <f>AA174</f>
        <v>0</v>
      </c>
      <c r="AB220" s="211">
        <f>AB174</f>
        <v>0</v>
      </c>
      <c r="AC220" s="211">
        <f>AC174</f>
        <v>0</v>
      </c>
      <c r="AD220" s="211">
        <f>AD174</f>
        <v>0</v>
      </c>
      <c r="AE220" s="211">
        <f>AE174</f>
        <v>0</v>
      </c>
      <c r="AF220" s="211">
        <f>AF174</f>
        <v>0</v>
      </c>
      <c r="AG220" s="211">
        <f>AG174</f>
        <v>0</v>
      </c>
      <c r="AH220" s="211">
        <f>AH174</f>
        <v>0</v>
      </c>
      <c r="AI220" s="211">
        <f>AI174</f>
        <v>0</v>
      </c>
      <c r="AJ220" s="211">
        <f>AJ174</f>
        <v>0</v>
      </c>
      <c r="AK220" s="211">
        <f>AK174</f>
        <v>0</v>
      </c>
      <c r="AL220" s="211">
        <f>AL174</f>
        <v>0</v>
      </c>
      <c r="AM220" s="211">
        <f>AM174</f>
        <v>0</v>
      </c>
      <c r="AN220" s="211">
        <f>AN174</f>
        <v>0</v>
      </c>
      <c r="AO220" s="211">
        <f>AO174</f>
        <v>0</v>
      </c>
      <c r="AP220" s="211">
        <f>AP174</f>
        <v>0</v>
      </c>
      <c r="AQ220" s="211">
        <f>AQ174</f>
        <v>0</v>
      </c>
      <c r="AR220" s="211">
        <f>AR174</f>
        <v>0</v>
      </c>
      <c r="AS220" s="211">
        <f>AS174</f>
        <v>0</v>
      </c>
      <c r="AT220" s="211">
        <f>AT174</f>
        <v>0</v>
      </c>
      <c r="AU220" s="211">
        <f>AU174</f>
        <v>0</v>
      </c>
      <c r="AV220" s="211">
        <f>AV174</f>
        <v>0</v>
      </c>
      <c r="AW220" s="211">
        <f>AW174</f>
        <v>0</v>
      </c>
      <c r="AX220" s="211">
        <f>AX174</f>
        <v>0</v>
      </c>
      <c r="AY220" s="211">
        <f>AY174</f>
        <v>0</v>
      </c>
      <c r="AZ220" s="211">
        <f>AZ174</f>
        <v>0</v>
      </c>
      <c r="BA220" s="211">
        <f>BA174</f>
        <v>0</v>
      </c>
      <c r="BB220" s="211">
        <f>BB174</f>
        <v>0</v>
      </c>
      <c r="BC220" s="211">
        <f>BC174</f>
        <v>0</v>
      </c>
      <c r="BD220" s="211">
        <f>BD174</f>
        <v>0</v>
      </c>
      <c r="BE220" s="211">
        <f>BE174</f>
        <v>0</v>
      </c>
      <c r="BF220" s="211">
        <f>BF174</f>
        <v>0</v>
      </c>
      <c r="BG220" s="211">
        <f>BG174</f>
        <v>0</v>
      </c>
      <c r="BH220" s="211">
        <f>BH174</f>
        <v>0</v>
      </c>
      <c r="BI220" s="211">
        <f>BI174</f>
        <v>0</v>
      </c>
      <c r="BJ220" s="211">
        <f>BJ174</f>
        <v>0</v>
      </c>
      <c r="BK220" s="211">
        <f>BK174</f>
        <v>0</v>
      </c>
      <c r="BL220" s="211">
        <f>BL174</f>
        <v>0</v>
      </c>
      <c r="BM220" s="211">
        <f>BM174</f>
        <v>0</v>
      </c>
      <c r="BN220" s="211">
        <f>BN174</f>
        <v>0</v>
      </c>
      <c r="BO220" s="211">
        <f>BO174</f>
        <v>0</v>
      </c>
      <c r="BP220" s="211">
        <f>BP174</f>
        <v>0</v>
      </c>
      <c r="BQ220" s="211">
        <f>BQ174</f>
        <v>0</v>
      </c>
      <c r="BR220" s="211">
        <f>BR174</f>
        <v>0</v>
      </c>
      <c r="BS220" s="211">
        <f>BS174</f>
        <v>0</v>
      </c>
      <c r="BT220" s="211">
        <f>BT174</f>
        <v>0</v>
      </c>
      <c r="BU220" s="211">
        <f>BU174</f>
        <v>0</v>
      </c>
      <c r="BV220" s="211">
        <f>BV174</f>
        <v>0</v>
      </c>
      <c r="BW220" s="211">
        <f>BW174</f>
        <v>0</v>
      </c>
      <c r="BX220" s="211">
        <f>BX174</f>
        <v>0</v>
      </c>
      <c r="BY220" s="211">
        <f>BY174</f>
        <v>0</v>
      </c>
      <c r="BZ220" s="211">
        <f>BZ174</f>
        <v>0</v>
      </c>
      <c r="CA220" s="211">
        <f>CA174</f>
        <v>0</v>
      </c>
      <c r="CB220" s="254">
        <f>CB174</f>
        <v>0</v>
      </c>
      <c r="CC220" s="254">
        <f>CC174</f>
        <v>0</v>
      </c>
      <c r="CD220" s="254">
        <f>CD174</f>
        <v>0</v>
      </c>
      <c r="CE220" s="254">
        <f>CE174</f>
        <v>0</v>
      </c>
      <c r="CF220" s="254">
        <f>CF174</f>
        <v>0</v>
      </c>
      <c r="CG220" s="254">
        <f>CG174</f>
        <v>0</v>
      </c>
      <c r="CH220" s="254">
        <f>CH174</f>
        <v>0</v>
      </c>
      <c r="CI220" s="254">
        <f>CI174</f>
        <v>0</v>
      </c>
      <c r="CJ220" s="254">
        <f>CJ174</f>
        <v>0</v>
      </c>
      <c r="CK220" s="19" t="n"/>
    </row>
    <row r="221" ht="15" customHeight="1" s="251">
      <c r="B221" s="16" t="inlineStr">
        <is>
          <t xml:space="preserve">  Total operating adjusting items (pre-tax)</t>
        </is>
      </c>
      <c r="C221" s="260">
        <f>IF(ISNUMBER(C218),N(C218)+N(C219)+N(C220),"")</f>
        <v>0</v>
      </c>
      <c r="D221" s="260">
        <f>IF(ISNUMBER(D218),N(D218)+N(D219)+N(D220),"")</f>
        <v>0</v>
      </c>
      <c r="E221" s="260">
        <f>IF(ISNUMBER(E218),N(E218)+N(E219)+N(E220),"")</f>
        <v>0</v>
      </c>
      <c r="F221" s="260">
        <f>IF(ISNUMBER(F218),N(F218)+N(F219)+N(F220),"")</f>
        <v>0</v>
      </c>
      <c r="G221" s="260">
        <f>IF(ISNUMBER(G218),N(G218)+N(G219)+N(G220),"")</f>
        <v>0</v>
      </c>
      <c r="H221" s="260">
        <f>IF(ISNUMBER(H218),N(H218)+N(H219)+N(H220),"")</f>
        <v>0</v>
      </c>
      <c r="I221" s="260">
        <f>IF(ISNUMBER(I218),N(I218)+N(I219)+N(I220),"")</f>
        <v>6733</v>
      </c>
      <c r="J221" s="260">
        <f>IF(ISNUMBER(J218),N(J218)+N(J219)+N(J220),"")</f>
        <v>1356</v>
      </c>
      <c r="K221" s="260">
        <f>IF(ISNUMBER(K218),N(K218)+N(K219)+N(K220),"")</f>
        <v>546</v>
      </c>
      <c r="L221" s="260">
        <f>IF(ISNUMBER(L218),N(L218)+N(L219)+N(L220),"")</f>
        <v>-925</v>
      </c>
      <c r="M221" s="260">
        <f>IF(ISNUMBER(M218),N(M218)+N(M219)+N(M220),"")</f>
        <v>-782</v>
      </c>
      <c r="N221" s="260">
        <f>IF(ISNUMBER(N218),N(N218)+N(N219)+N(N220),"")</f>
        <v>193</v>
      </c>
      <c r="O221" s="260">
        <f>IF(ISNUMBER(O218),N(O218)+N(O219)+N(O220),"")</f>
        <v>113</v>
      </c>
      <c r="P221" s="260">
        <f>IF(ISNUMBER(P218),N(P218)+N(P219)+N(P220),"")</f>
        <v>0</v>
      </c>
      <c r="Q221" s="260">
        <f>IF(ISNUMBER(Q218),N(Q218)+N(Q219)+N(Q220),"")</f>
        <v>0</v>
      </c>
      <c r="R221" s="260">
        <f>IF(ISNUMBER(R218),N(R218)+N(R219)+N(R220),"")</f>
        <v>0</v>
      </c>
      <c r="S221" s="260">
        <f>IF(ISNUMBER(S218),N(S218)+N(S219)+N(S220),"")</f>
        <v>0</v>
      </c>
      <c r="T221" s="260">
        <f>IF(ISNUMBER(T218),N(T218)+N(T219)+N(T220),"")</f>
        <v>1140</v>
      </c>
      <c r="U221" s="260">
        <f>IF(ISNUMBER(U218),N(U218)+N(U219)+N(U220),"")</f>
        <v>-83</v>
      </c>
      <c r="V221" s="260">
        <f>IF(ISNUMBER(V218),N(V218)+N(V219)+N(V220),"")</f>
        <v>190</v>
      </c>
      <c r="W221" s="260">
        <f>IF(ISNUMBER(W218),N(W218)+N(W219)+N(W220),"")</f>
        <v>8438</v>
      </c>
      <c r="X221" s="260">
        <f>IF(ISNUMBER(X218),N(X218)+N(X219)+N(X220),"")</f>
        <v>10011</v>
      </c>
      <c r="Y221" s="260">
        <f>IF(ISNUMBER(Y218),N(Y218)+N(Y219)+N(Y220),"")</f>
        <v>1281</v>
      </c>
      <c r="Z221" s="260">
        <f>IF(ISNUMBER(Z218),N(Z218)+N(Z219)+N(Z220),"")</f>
        <v>1897</v>
      </c>
      <c r="AA221" s="260">
        <f>IF(ISNUMBER(AA218),N(AA218)+N(AA219)+N(AA220),"")</f>
        <v>1545</v>
      </c>
      <c r="AB221" s="260">
        <f>IF(ISNUMBER(AB218),N(AB218)+N(AB219)+N(AB220),"")</f>
        <v>3138</v>
      </c>
      <c r="AC221" s="260">
        <f>IF(ISNUMBER(AC218),N(AC218)+N(AC219)+N(AC220),"")</f>
        <v>7753</v>
      </c>
      <c r="AD221" s="260">
        <f>IF(ISNUMBER(AD218),N(AD218)+N(AD219)+N(AD220),"")</f>
        <v>1881</v>
      </c>
      <c r="AE221" s="260">
        <f>IF(ISNUMBER(AE218),N(AE218)+N(AE219)+N(AE220),"")</f>
        <v>1976</v>
      </c>
      <c r="AF221" s="260">
        <f>IF(ISNUMBER(AF218),N(AF218)+N(AF219)+N(AF220),"")</f>
        <v>1467</v>
      </c>
      <c r="AG221" s="260">
        <f>IF(ISNUMBER(AG218),N(AG218)+N(AG219)+N(AG220),"")</f>
        <v>1689</v>
      </c>
      <c r="AH221" s="260">
        <f>IF(ISNUMBER(AH218),N(AH218)+N(AH219)+N(AH220),"")</f>
        <v>7013</v>
      </c>
      <c r="AI221" s="260">
        <f>IF(ISNUMBER(AI218),N(AI218)+N(AI219)+N(AI220),"")</f>
        <v>0</v>
      </c>
      <c r="AJ221" s="260">
        <f>IF(ISNUMBER(AJ218),N(AJ218)+N(AJ219)+N(AJ220),"")</f>
        <v>0</v>
      </c>
      <c r="AK221" s="260">
        <f>IF(ISNUMBER(AK218),N(AK218)+N(AK219)+N(AK220),"")</f>
        <v>0</v>
      </c>
      <c r="AL221" s="260">
        <f>IF(ISNUMBER(AL218),N(AL218)+N(AL219)+N(AL220),"")</f>
        <v>0</v>
      </c>
      <c r="AM221" s="260">
        <f>IF(ISNUMBER(AM218),N(AM218)+N(AM219)+N(AM220),"")</f>
        <v>0</v>
      </c>
      <c r="AN221" s="260">
        <f>IF(ISNUMBER(AN218),N(AN218)+N(AN219)+N(AN220),"")</f>
        <v>0</v>
      </c>
      <c r="AO221" s="260">
        <f>IF(ISNUMBER(AO218),N(AO218)+N(AO219)+N(AO220),"")</f>
        <v>0</v>
      </c>
      <c r="AP221" s="260">
        <f>IF(ISNUMBER(AP218),N(AP218)+N(AP219)+N(AP220),"")</f>
        <v>0</v>
      </c>
      <c r="AQ221" s="260">
        <f>IF(ISNUMBER(AQ218),N(AQ218)+N(AQ219)+N(AQ220),"")</f>
        <v>0</v>
      </c>
      <c r="AR221" s="260">
        <f>IF(ISNUMBER(AR218),N(AR218)+N(AR219)+N(AR220),"")</f>
        <v>0</v>
      </c>
      <c r="AS221" s="260">
        <f>IF(ISNUMBER(AS218),N(AS218)+N(AS219)+N(AS220),"")</f>
        <v>0</v>
      </c>
      <c r="AT221" s="260">
        <f>IF(ISNUMBER(AT218),N(AT218)+N(AT219)+N(AT220),"")</f>
        <v>0</v>
      </c>
      <c r="AU221" s="260">
        <f>IF(ISNUMBER(AU218),N(AU218)+N(AU219)+N(AU220),"")</f>
        <v>0</v>
      </c>
      <c r="AV221" s="260">
        <f>IF(ISNUMBER(AV218),N(AV218)+N(AV219)+N(AV220),"")</f>
        <v>0</v>
      </c>
      <c r="AW221" s="260">
        <f>IF(ISNUMBER(AW218),N(AW218)+N(AW219)+N(AW220),"")</f>
        <v>0</v>
      </c>
      <c r="AX221" s="260">
        <f>IF(ISNUMBER(AX218),N(AX218)+N(AX219)+N(AX220),"")</f>
        <v>0</v>
      </c>
      <c r="AY221" s="260">
        <f>IF(ISNUMBER(AY218),N(AY218)+N(AY219)+N(AY220),"")</f>
        <v>0</v>
      </c>
      <c r="AZ221" s="260">
        <f>IF(ISNUMBER(AZ218),N(AZ218)+N(AZ219)+N(AZ220),"")</f>
        <v>0</v>
      </c>
      <c r="BA221" s="260">
        <f>IF(ISNUMBER(BA218),N(BA218)+N(BA219)+N(BA220),"")</f>
        <v>0</v>
      </c>
      <c r="BB221" s="260">
        <f>IF(ISNUMBER(BB218),N(BB218)+N(BB219)+N(BB220),"")</f>
        <v>0</v>
      </c>
      <c r="BC221" s="260">
        <f>IF(ISNUMBER(BC218),N(BC218)+N(BC219)+N(BC220),"")</f>
        <v>0</v>
      </c>
      <c r="BD221" s="260">
        <f>IF(ISNUMBER(BD218),N(BD218)+N(BD219)+N(BD220),"")</f>
        <v>0</v>
      </c>
      <c r="BE221" s="260">
        <f>IF(ISNUMBER(BE218),N(BE218)+N(BE219)+N(BE220),"")</f>
        <v>0</v>
      </c>
      <c r="BF221" s="260">
        <f>IF(ISNUMBER(BF218),N(BF218)+N(BF219)+N(BF220),"")</f>
        <v>0</v>
      </c>
      <c r="BG221" s="260">
        <f>IF(ISNUMBER(BG218),N(BG218)+N(BG219)+N(BG220),"")</f>
        <v>0</v>
      </c>
      <c r="BH221" s="260">
        <f>IF(ISNUMBER(BH218),N(BH218)+N(BH219)+N(BH220),"")</f>
        <v>0</v>
      </c>
      <c r="BI221" s="260">
        <f>IF(ISNUMBER(BI218),N(BI218)+N(BI219)+N(BI220),"")</f>
        <v>1171</v>
      </c>
      <c r="BJ221" s="260">
        <f>IF(ISNUMBER(BJ218),N(BJ218)+N(BJ219)+N(BJ220),"")</f>
        <v>0</v>
      </c>
      <c r="BK221" s="260">
        <f>IF(ISNUMBER(BK218),N(BK218)+N(BK219)+N(BK220),"")</f>
        <v>0</v>
      </c>
      <c r="BL221" s="260">
        <f>IF(ISNUMBER(BL218),N(BL218)+N(BL219)+N(BL220),"")</f>
        <v>1171</v>
      </c>
      <c r="BM221" s="260">
        <f>IF(ISNUMBER(BM218),N(BM218)+N(BM219)+N(BM220),"")</f>
        <v>0</v>
      </c>
      <c r="BN221" s="260">
        <f>IF(ISNUMBER(BN218),N(BN218)+N(BN219)+N(BN220),"")</f>
        <v>0</v>
      </c>
      <c r="BO221" s="260">
        <f>IF(ISNUMBER(BO218),N(BO218)+N(BO219)+N(BO220),"")</f>
        <v>0</v>
      </c>
      <c r="BP221" s="260">
        <f>IF(ISNUMBER(BP218),N(BP218)+N(BP219)+N(BP220),"")</f>
        <v>0</v>
      </c>
      <c r="BQ221" s="260">
        <f>IF(ISNUMBER(BQ218),N(BQ218)+N(BQ219)+N(BQ220),"")</f>
        <v>0</v>
      </c>
      <c r="BR221" s="260">
        <f>IF(ISNUMBER(BR218),N(BR218)+N(BR219)+N(BR220),"")</f>
        <v>0</v>
      </c>
      <c r="BS221" s="260">
        <f>IF(ISNUMBER(BS218),N(BS218)+N(BS219)+N(BS220),"")</f>
        <v>0</v>
      </c>
      <c r="BT221" s="260">
        <f>IF(ISNUMBER(BT218),N(BT218)+N(BT219)+N(BT220),"")</f>
        <v>0</v>
      </c>
      <c r="BU221" s="260">
        <f>IF(ISNUMBER(BU218),N(BU218)+N(BU219)+N(BU220),"")</f>
        <v>0</v>
      </c>
      <c r="BV221" s="260">
        <f>IF(ISNUMBER(BV218),N(BV218)+N(BV219)+N(BV220),"")</f>
        <v>0</v>
      </c>
      <c r="BW221" s="260">
        <f>IF(ISNUMBER(BW218),N(BW218)+N(BW219)+N(BW220),"")</f>
        <v>0</v>
      </c>
      <c r="BX221" s="260">
        <f>IF(ISNUMBER(BX218),N(BX218)+N(BX219)+N(BX220),"")</f>
        <v>0</v>
      </c>
      <c r="BY221" s="260">
        <f>IF(ISNUMBER(BY218),N(BY218)+N(BY219)+N(BY220),"")</f>
        <v>0</v>
      </c>
      <c r="BZ221" s="260">
        <f>IF(ISNUMBER(BZ218),N(BZ218)+N(BZ219)+N(BZ220),"")</f>
        <v>0</v>
      </c>
      <c r="CA221" s="260">
        <f>IF(ISNUMBER(CA218),N(CA218)+N(CA219)+N(CA220),"")</f>
        <v>0</v>
      </c>
      <c r="CB221" s="261">
        <f>IF(ISNUMBER(CB218),N(CB218)+N(CB219)+N(CB220),"")</f>
        <v>0</v>
      </c>
      <c r="CC221" s="261">
        <f>IF(ISNUMBER(CC218),N(CC218)+N(CC219)+N(CC220),"")</f>
        <v>0</v>
      </c>
      <c r="CD221" s="261">
        <f>IF(ISNUMBER(CD218),N(CD218)+N(CD219)+N(CD220),"")</f>
        <v>0</v>
      </c>
      <c r="CE221" s="261">
        <f>IF(ISNUMBER(CE218),N(CE218)+N(CE219)+N(CE220),"")</f>
        <v>0</v>
      </c>
      <c r="CF221" s="261">
        <f>IF(ISNUMBER(CF218),N(CF218)+N(CF219)+N(CF220),"")</f>
        <v>0</v>
      </c>
      <c r="CG221" s="261">
        <f>IF(ISNUMBER(CG218),N(CG218)+N(CG219)+N(CG220),"")</f>
        <v>0</v>
      </c>
      <c r="CH221" s="261">
        <f>IF(ISNUMBER(CH218),N(CH218)+N(CH219)+N(CH220),"")</f>
        <v>0</v>
      </c>
      <c r="CI221" s="261">
        <f>IF(ISNUMBER(CI218),N(CI218)+N(CI219)+N(CI220),"")</f>
        <v>0</v>
      </c>
      <c r="CJ221" s="261">
        <f>IF(ISNUMBER(CJ218),N(CJ218)+N(CJ219)+N(CJ220),"")</f>
        <v>0</v>
      </c>
      <c r="CK221" s="153" t="n"/>
    </row>
    <row r="222" collapsed="1" ht="15" customHeight="1" s="251">
      <c r="B222" s="55" t="inlineStr">
        <is>
          <t xml:space="preserve">  = Adjusted operating income (model bridge)</t>
        </is>
      </c>
      <c r="C222" s="267">
        <f>IF(ISNUMBER(C217),C217+N(C221),"")</f>
        <v>16472</v>
      </c>
      <c r="D222" s="267">
        <f>IF(ISNUMBER(D217),D217+N(D221),"")</f>
        <v>18524</v>
      </c>
      <c r="E222" s="267">
        <f>IF(ISNUMBER(E217),E217+N(E221),"")</f>
        <v>22492</v>
      </c>
      <c r="F222" s="267">
        <f>IF(ISNUMBER(F217),F217+N(F221),"")</f>
        <v>20363</v>
      </c>
      <c r="G222" s="267">
        <f>IF(ISNUMBER(G217),G217+N(G221),"")</f>
        <v>24098</v>
      </c>
      <c r="H222" s="267">
        <f>IF(ISNUMBER(H217),H217+N(H221),"")</f>
        <v>27161</v>
      </c>
      <c r="I222" s="267">
        <f>IF(ISNUMBER(I217),I217+N(I221),"")</f>
        <v>28496</v>
      </c>
      <c r="J222" s="267">
        <f>IF(ISNUMBER(J217),J217+N(J221),"")</f>
        <v>6664</v>
      </c>
      <c r="K222" s="267">
        <f>IF(ISNUMBER(K217),K217+N(K221),"")</f>
        <v>8317</v>
      </c>
      <c r="L222" s="267">
        <f>IF(ISNUMBER(L217),L217+N(L221),"")</f>
        <v>6687</v>
      </c>
      <c r="M222" s="267">
        <f>IF(ISNUMBER(M217),M217+N(M221),"")</f>
        <v>5291</v>
      </c>
      <c r="N222" s="267">
        <f>IF(ISNUMBER(N217),N217+N(N221),"")</f>
        <v>26957</v>
      </c>
      <c r="O222" s="267">
        <f>IF(ISNUMBER(O217),O217+N(O221),"")</f>
        <v>6447</v>
      </c>
      <c r="P222" s="267">
        <f>IF(ISNUMBER(P217),P217+N(P221),"")</f>
        <v>7969</v>
      </c>
      <c r="Q222" s="267">
        <f>IF(ISNUMBER(Q217),Q217+N(Q221),"")</f>
        <v>6974</v>
      </c>
      <c r="R222" s="267">
        <f>IF(ISNUMBER(R217),R217+N(R221),"")</f>
        <v>6482</v>
      </c>
      <c r="S222" s="267">
        <f>IF(ISNUMBER(S217),S217+N(S221),"")</f>
        <v>27759</v>
      </c>
      <c r="T222" s="267">
        <f>IF(ISNUMBER(T217),T217+N(T221),"")</f>
        <v>6984</v>
      </c>
      <c r="U222" s="267">
        <f>IF(ISNUMBER(U217),U217+N(U221),"")</f>
        <v>7693</v>
      </c>
      <c r="V222" s="267">
        <f>IF(ISNUMBER(V217),V217+N(V221),"")</f>
        <v>6784</v>
      </c>
      <c r="W222" s="267">
        <f>IF(ISNUMBER(W217),W217+N(W221),"")</f>
        <v>6385</v>
      </c>
      <c r="X222" s="267">
        <f>IF(ISNUMBER(X217),X217+N(X221),"")</f>
        <v>28172</v>
      </c>
      <c r="Y222" s="267">
        <f>IF(ISNUMBER(Y217),Y217+N(Y221),"")</f>
        <v>7074</v>
      </c>
      <c r="Z222" s="267">
        <f>IF(ISNUMBER(Z217),Z217+N(Z221),"")</f>
        <v>7923</v>
      </c>
      <c r="AA222" s="267">
        <f>IF(ISNUMBER(AA217),AA217+N(AA221),"")</f>
        <v>6828</v>
      </c>
      <c r="AB222" s="267">
        <f>IF(ISNUMBER(AB217),AB217+N(AB221),"")</f>
        <v>6218</v>
      </c>
      <c r="AC222" s="267">
        <f>IF(ISNUMBER(AC217),AC217+N(AC221),"")</f>
        <v>27935</v>
      </c>
      <c r="AD222" s="267">
        <f>IF(ISNUMBER(AD217),AD217+N(AD221),"")</f>
        <v>7106</v>
      </c>
      <c r="AE222" s="267">
        <f>IF(ISNUMBER(AE217),AE217+N(AE221),"")</f>
        <v>8153</v>
      </c>
      <c r="AF222" s="267">
        <f>IF(ISNUMBER(AF217),AF217+N(AF221),"")</f>
        <v>7061</v>
      </c>
      <c r="AG222" s="267">
        <f>IF(ISNUMBER(AG217),AG217+N(AG221),"")</f>
        <v>7019</v>
      </c>
      <c r="AH222" s="267">
        <f>IF(ISNUMBER(AH217),AH217+N(AH221),"")</f>
        <v>29339</v>
      </c>
      <c r="AI222" s="267">
        <f>IF(ISNUMBER(AI217),AI217+N(AI221),"")</f>
        <v>7708</v>
      </c>
      <c r="AJ222" s="267">
        <f>IF(ISNUMBER(AJ217),AJ217+N(AJ221),"")</f>
        <v>8679</v>
      </c>
      <c r="AK222" s="267">
        <f>IF(ISNUMBER(AK217),AK217+N(AK221),"")</f>
        <v>8292</v>
      </c>
      <c r="AL222" s="267">
        <f>IF(ISNUMBER(AL217),AL217+N(AL221),"")</f>
        <v>10379</v>
      </c>
      <c r="AM222" s="267">
        <f>IF(ISNUMBER(AM217),AM217+N(AM221),"")</f>
        <v>35058</v>
      </c>
      <c r="AN222" s="267">
        <f>IF(ISNUMBER(AN217),AN217+N(AN221),"")</f>
        <v>9955</v>
      </c>
      <c r="AO222" s="267">
        <f>IF(ISNUMBER(AO217),AO217+N(AO221),"")</f>
        <v>10258</v>
      </c>
      <c r="AP222" s="267">
        <f>IF(ISNUMBER(AP217),AP217+N(AP221),"")</f>
        <v>10341</v>
      </c>
      <c r="AQ222" s="267">
        <f>IF(ISNUMBER(AQ217),AQ217+N(AQ221),"")</f>
        <v>12405</v>
      </c>
      <c r="AR222" s="267">
        <f>IF(ISNUMBER(AR217),AR217+N(AR221),"")</f>
        <v>42959</v>
      </c>
      <c r="AS222" s="267">
        <f>IF(ISNUMBER(AS217),AS217+N(AS221),"")</f>
        <v>12686</v>
      </c>
      <c r="AT222" s="267">
        <f>IF(ISNUMBER(AT217),AT217+N(AT221),"")</f>
        <v>13891</v>
      </c>
      <c r="AU222" s="267">
        <f>IF(ISNUMBER(AU217),AU217+N(AU221),"")</f>
        <v>12975</v>
      </c>
      <c r="AV222" s="267">
        <f>IF(ISNUMBER(AV217),AV217+N(AV221),"")</f>
        <v>13407</v>
      </c>
      <c r="AW222" s="267">
        <f>IF(ISNUMBER(AW217),AW217+N(AW221),"")</f>
        <v>52959</v>
      </c>
      <c r="AX222" s="267">
        <f>IF(ISNUMBER(AX217),AX217+N(AX221),"")</f>
        <v>15876</v>
      </c>
      <c r="AY222" s="267">
        <f>IF(ISNUMBER(AY217),AY217+N(AY221),"")</f>
        <v>17897</v>
      </c>
      <c r="AZ222" s="267">
        <f>IF(ISNUMBER(AZ217),AZ217+N(AZ221),"")</f>
        <v>17048</v>
      </c>
      <c r="BA222" s="267">
        <f>IF(ISNUMBER(BA217),BA217+N(BA221),"")</f>
        <v>19095</v>
      </c>
      <c r="BB222" s="267">
        <f>IF(ISNUMBER(BB217),BB217+N(BB221),"")</f>
        <v>69916</v>
      </c>
      <c r="BC222" s="267">
        <f>IF(ISNUMBER(BC217),BC217+N(BC221),"")</f>
        <v>20238</v>
      </c>
      <c r="BD222" s="267">
        <f>IF(ISNUMBER(BD217),BD217+N(BD221),"")</f>
        <v>22247</v>
      </c>
      <c r="BE222" s="267">
        <f>IF(ISNUMBER(BE217),BE217+N(BE221),"")</f>
        <v>20364</v>
      </c>
      <c r="BF222" s="267">
        <f>IF(ISNUMBER(BF217),BF217+N(BF221),"")</f>
        <v>20534</v>
      </c>
      <c r="BG222" s="267">
        <f>IF(ISNUMBER(BG217),BG217+N(BG221),"")</f>
        <v>83383</v>
      </c>
      <c r="BH222" s="267">
        <f>IF(ISNUMBER(BH217),BH217+N(BH221),"")</f>
        <v>21518</v>
      </c>
      <c r="BI222" s="267">
        <f>IF(ISNUMBER(BI217),BI217+N(BI221),"")</f>
        <v>21570</v>
      </c>
      <c r="BJ222" s="267">
        <f>IF(ISNUMBER(BJ217),BJ217+N(BJ221),"")</f>
        <v>22352</v>
      </c>
      <c r="BK222" s="267">
        <f>IF(ISNUMBER(BK217),BK217+N(BK221),"")</f>
        <v>24254</v>
      </c>
      <c r="BL222" s="267">
        <f>IF(ISNUMBER(BL217),BL217+N(BL221),"")</f>
        <v>89694</v>
      </c>
      <c r="BM222" s="267">
        <f>IF(ISNUMBER(BM217),BM217+N(BM221),"")</f>
        <v>26895</v>
      </c>
      <c r="BN222" s="267">
        <f>IF(ISNUMBER(BN217),BN217+N(BN221),"")</f>
        <v>27032</v>
      </c>
      <c r="BO222" s="267">
        <f>IF(ISNUMBER(BO217),BO217+N(BO221),"")</f>
        <v>27581</v>
      </c>
      <c r="BP222" s="267">
        <f>IF(ISNUMBER(BP217),BP217+N(BP221),"")</f>
        <v>27925</v>
      </c>
      <c r="BQ222" s="267">
        <f>IF(ISNUMBER(BQ217),BQ217+N(BQ221),"")</f>
        <v>109433</v>
      </c>
      <c r="BR222" s="267">
        <f>IF(ISNUMBER(BR217),BR217+N(BR221),"")</f>
        <v>30552</v>
      </c>
      <c r="BS222" s="267">
        <f>IF(ISNUMBER(BS217),BS217+N(BS221),"")</f>
        <v>31653</v>
      </c>
      <c r="BT222" s="267">
        <f>IF(ISNUMBER(BT217),BT217+N(BT221),"")</f>
        <v>32000</v>
      </c>
      <c r="BU222" s="267">
        <f>IF(ISNUMBER(BU217),BU217+N(BU221),"")</f>
        <v>34323</v>
      </c>
      <c r="BV222" s="267">
        <f>IF(ISNUMBER(BV217),BV217+N(BV221),"")</f>
        <v>128528</v>
      </c>
      <c r="BW222" s="267">
        <f>IF(ISNUMBER(BW217),BW217+N(BW221),"")</f>
        <v>37961</v>
      </c>
      <c r="BX222" s="267">
        <f>IF(ISNUMBER(BX217),BX217+N(BX221),"")</f>
        <v>38275</v>
      </c>
      <c r="BY222" s="267">
        <f>IF(ISNUMBER(BY217),BY217+N(BY221),"")</f>
        <v>38398</v>
      </c>
      <c r="BZ222" s="267">
        <f>IF(ISNUMBER(BZ217),BZ217+N(BZ221),"")</f>
        <v>40603</v>
      </c>
      <c r="CA222" s="267">
        <f>IF(ISNUMBER(CA217),CA217+N(CA221),"")</f>
        <v>155237</v>
      </c>
      <c r="CB222" s="267">
        <f>IF(ISNUMBER(CB217),CB217+N(CB221),"")</f>
        <v>43850</v>
      </c>
      <c r="CC222" s="267">
        <f>IF(ISNUMBER(CC217),CC217+N(CC221),"")</f>
        <v>44345.9445535205</v>
      </c>
      <c r="CD222" s="267">
        <f>IF(ISNUMBER(CD217),CD217+N(CD221),"")</f>
        <v>44711.946334539</v>
      </c>
      <c r="CE222" s="267">
        <f>IF(ISNUMBER(CE217),CE217+N(CE221),"")</f>
        <v>47593.2437102201</v>
      </c>
      <c r="CF222" s="267">
        <f>IF(ISNUMBER(CF217),CF217+N(CF221),"")</f>
        <v>180501.13459828</v>
      </c>
      <c r="CG222" s="267">
        <f>IF(ISNUMBER(CG217),CG217+N(CG221),"")</f>
        <v>202794.153812307</v>
      </c>
      <c r="CH222" s="267">
        <f>IF(ISNUMBER(CH217),CH217+N(CH221),"")</f>
        <v>233435.75860592</v>
      </c>
      <c r="CI222" s="267">
        <f>IF(ISNUMBER(CI217),CI217+N(CI221),"")</f>
        <v>269519.715244814</v>
      </c>
      <c r="CJ222" s="267">
        <f>IF(ISNUMBER(CJ217),CJ217+N(CJ221),"")</f>
        <v>306218.502299503</v>
      </c>
      <c r="CK222" s="153" t="inlineStr">
        <is>
          <t>FY2006–FY2011: no adjusted measures published (adjusted = GAAP, flagged). Periods with no items: adjusted = GAAP.</t>
        </is>
      </c>
      <c r="CM222" s="20">
        <f>IFERROR((CJ222/CA222)^(1/5)-1,"n/m")</f>
        <v>0.145532031143458</v>
      </c>
      <c r="CN222" s="20">
        <f>IFERROR((CA222/BB222)^(1/5)-1,"n/m")</f>
        <v>0.172961435107862</v>
      </c>
      <c r="CO222" s="20">
        <f>IFERROR((CA222/AC222)^(1/10)-1,"n/m")</f>
        <v>0.187092760814795</v>
      </c>
      <c r="CP222" s="20">
        <f>IFERROR((CA222/C222)^(1/20)-1,"n/m")</f>
        <v>0.118696927732799</v>
      </c>
    </row>
    <row r="223" ht="15" customHeight="1" s="251">
      <c r="B223" s="25" t="inlineStr">
        <is>
          <t xml:space="preserve">  Adjusted operating margin %</t>
        </is>
      </c>
      <c r="C223" s="215">
        <f>IF(AND(ISNUMBER(C222),ISNUMBER(C179)),IFERROR(C222/C179,""),"")</f>
        <v>0.371979585384581</v>
      </c>
      <c r="D223" s="215">
        <f>IF(AND(ISNUMBER(D222),ISNUMBER(D179)),IFERROR(D222/D179,""),"")</f>
        <v>0.362348890888463</v>
      </c>
      <c r="E223" s="215">
        <f>IF(AND(ISNUMBER(E222),ISNUMBER(E179)),IFERROR(E222/E179,""),"")</f>
        <v>0.372260840781198</v>
      </c>
      <c r="F223" s="215">
        <f>IF(AND(ISNUMBER(F222),ISNUMBER(F179)),IFERROR(F222/F179,""),"")</f>
        <v>0.348460735492924</v>
      </c>
      <c r="G223" s="215">
        <f>IF(AND(ISNUMBER(G222),ISNUMBER(G179)),IFERROR(G222/G179,""),"")</f>
        <v>0.385666730683055</v>
      </c>
      <c r="H223" s="215">
        <f>IF(AND(ISNUMBER(H222),ISNUMBER(H179)),IFERROR(H222/H179,""),"")</f>
        <v>0.388330497690977</v>
      </c>
      <c r="I223" s="215">
        <f>IF(AND(ISNUMBER(I222),ISNUMBER(I179)),IFERROR(I222/I179,""),"")</f>
        <v>0.386527949215306</v>
      </c>
      <c r="J223" s="215">
        <f>IF(AND(ISNUMBER(J222),ISNUMBER(J179)),IFERROR(J222/J179,""),"")</f>
        <v>0.416291854072964</v>
      </c>
      <c r="K223" s="215">
        <f>IF(AND(ISNUMBER(K222),ISNUMBER(K179)),IFERROR(K222/K179,""),"")</f>
        <v>0.387630499627144</v>
      </c>
      <c r="L223" s="215">
        <f>IF(AND(ISNUMBER(L222),ISNUMBER(L179)),IFERROR(L222/L179,""),"")</f>
        <v>0.326370247449851</v>
      </c>
      <c r="M223" s="215">
        <f>IF(AND(ISNUMBER(M222),ISNUMBER(M179)),IFERROR(M222/M179,""),"")</f>
        <v>0.265932850824286</v>
      </c>
      <c r="N223" s="215">
        <f>IF(AND(ISNUMBER(N222),ISNUMBER(N179)),IFERROR(N222/N179,""),"")</f>
        <v>0.346272912946859</v>
      </c>
      <c r="O223" s="215">
        <f>IF(AND(ISNUMBER(O222),ISNUMBER(O179)),IFERROR(O222/O179,""),"")</f>
        <v>0.347941065357008</v>
      </c>
      <c r="P223" s="215">
        <f>IF(AND(ISNUMBER(P222),ISNUMBER(P179)),IFERROR(P222/P179,""),"")</f>
        <v>0.325013255026714</v>
      </c>
      <c r="Q223" s="215">
        <f>IF(AND(ISNUMBER(Q222),ISNUMBER(Q179)),IFERROR(Q222/Q179,""),"")</f>
        <v>0.341812478557075</v>
      </c>
      <c r="R223" s="215">
        <f>IF(AND(ISNUMBER(R222),ISNUMBER(R179)),IFERROR(R222/R179,""),"")</f>
        <v>0.277221794542811</v>
      </c>
      <c r="S223" s="215">
        <f>IF(AND(ISNUMBER(S222),ISNUMBER(S179)),IFERROR(S222/S179,""),"")</f>
        <v>0.319682609146292</v>
      </c>
      <c r="T223" s="215">
        <f>IF(AND(ISNUMBER(T222),ISNUMBER(T179)),IFERROR(T222/T179,""),"")</f>
        <v>0.301021507693634</v>
      </c>
      <c r="U223" s="215">
        <f>IF(AND(ISNUMBER(U222),ISNUMBER(U179)),IFERROR(U222/U179,""),"")</f>
        <v>0.290630902908954</v>
      </c>
      <c r="V223" s="215">
        <f>IF(AND(ISNUMBER(V222),ISNUMBER(V179)),IFERROR(V222/V179,""),"")</f>
        <v>0.312209489622164</v>
      </c>
      <c r="W223" s="215">
        <f>IF(AND(ISNUMBER(W222),ISNUMBER(W179)),IFERROR(W222/W179,""),"")</f>
        <v>0.287871956717764</v>
      </c>
      <c r="X223" s="215">
        <f>IF(AND(ISNUMBER(X222),ISNUMBER(X179)),IFERROR(X222/X179,""),"")</f>
        <v>0.301047232314597</v>
      </c>
      <c r="Y223" s="215">
        <f>IF(AND(ISNUMBER(Y222),ISNUMBER(Y179)),IFERROR(Y222/Y179,""),"")</f>
        <v>0.347122037391432</v>
      </c>
      <c r="Z223" s="215">
        <f>IF(AND(ISNUMBER(Z222),ISNUMBER(Z179)),IFERROR(Z222/Z179,""),"")</f>
        <v>0.332955118507312</v>
      </c>
      <c r="AA223" s="215">
        <f>IF(AND(ISNUMBER(AA222),ISNUMBER(AA179)),IFERROR(AA222/AA179,""),"")</f>
        <v>0.332570259607423</v>
      </c>
      <c r="AB223" s="215">
        <f>IF(AND(ISNUMBER(AB222),ISNUMBER(AB179)),IFERROR(AB222/AB179,""),"")</f>
        <v>0.301639662365383</v>
      </c>
      <c r="AC223" s="215">
        <f>IF(AND(ISNUMBER(AC222),ISNUMBER(AC179)),IFERROR(AC222/AC179,""),"")</f>
        <v>0.327414439756212</v>
      </c>
      <c r="AD223" s="215">
        <f>IF(AND(ISNUMBER(AD222),ISNUMBER(AD179)),IFERROR(AD222/AD179,""),"")</f>
        <v>0.347430694763604</v>
      </c>
      <c r="AE223" s="215">
        <f>IF(AND(ISNUMBER(AE222),ISNUMBER(AE179)),IFERROR(AE222/AE179,""),"")</f>
        <v>0.338439186384392</v>
      </c>
      <c r="AF223" s="215">
        <f>IF(AND(ISNUMBER(AF222),ISNUMBER(AF179)),IFERROR(AF222/AF179,""),"")</f>
        <v>0.319646899049344</v>
      </c>
      <c r="AG223" s="215">
        <f>IF(AND(ISNUMBER(AG222),ISNUMBER(AG179)),IFERROR(AG222/AG179,""),"")</f>
        <v>0.301025003216537</v>
      </c>
      <c r="AH223" s="215">
        <f>IF(AND(ISNUMBER(AH222),ISNUMBER(AH179)),IFERROR(AH222/AH179,""),"")</f>
        <v>0.326170094496943</v>
      </c>
      <c r="AI223" s="215">
        <f>IF(AND(ISNUMBER(AI222),ISNUMBER(AI179)),IFERROR(AI222/AI179,""),"")</f>
        <v>0.314125030564838</v>
      </c>
      <c r="AJ223" s="215">
        <f>IF(AND(ISNUMBER(AJ222),ISNUMBER(AJ179)),IFERROR(AJ222/AJ179,""),"")</f>
        <v>0.300124489937063</v>
      </c>
      <c r="AK223" s="215">
        <f>IF(AND(ISNUMBER(AK222),ISNUMBER(AK179)),IFERROR(AK222/AK179,""),"")</f>
        <v>0.309183787613259</v>
      </c>
      <c r="AL223" s="215">
        <f>IF(AND(ISNUMBER(AL222),ISNUMBER(AL179)),IFERROR(AL222/AL179,""),"")</f>
        <v>0.344989197274389</v>
      </c>
      <c r="AM223" s="215">
        <f>IF(AND(ISNUMBER(AM222),ISNUMBER(AM179)),IFERROR(AM222/AM179,""),"")</f>
        <v>0.317669445451251</v>
      </c>
      <c r="AN223" s="215">
        <f>IF(AND(ISNUMBER(AN222),ISNUMBER(AN179)),IFERROR(AN222/AN179,""),"")</f>
        <v>0.342284417549168</v>
      </c>
      <c r="AO223" s="215">
        <f>IF(AND(ISNUMBER(AO222),ISNUMBER(AO179)),IFERROR(AO222/AO179,""),"")</f>
        <v>0.315912660527856</v>
      </c>
      <c r="AP223" s="215">
        <f>IF(AND(ISNUMBER(AP222),ISNUMBER(AP179)),IFERROR(AP222/AP179,""),"")</f>
        <v>0.338261751332963</v>
      </c>
      <c r="AQ223" s="215">
        <f>IF(AND(ISNUMBER(AQ222),ISNUMBER(AQ179)),IFERROR(AQ222/AQ179,""),"")</f>
        <v>0.367915294955067</v>
      </c>
      <c r="AR223" s="215">
        <f>IF(AND(ISNUMBER(AR222),ISNUMBER(AR179)),IFERROR(AR222/AR179,""),"")</f>
        <v>0.341369802054942</v>
      </c>
      <c r="AS223" s="215">
        <f>IF(AND(ISNUMBER(AS222),ISNUMBER(AS179)),IFERROR(AS222/AS179,""),"")</f>
        <v>0.383784601421873</v>
      </c>
      <c r="AT223" s="215">
        <f>IF(AND(ISNUMBER(AT222),ISNUMBER(AT179)),IFERROR(AT222/AT179,""),"")</f>
        <v>0.376388663090012</v>
      </c>
      <c r="AU223" s="215">
        <f>IF(AND(ISNUMBER(AU222),ISNUMBER(AU179)),IFERROR(AU222/AU179,""),"")</f>
        <v>0.370491990519974</v>
      </c>
      <c r="AV223" s="215">
        <f>IF(AND(ISNUMBER(AV222),ISNUMBER(AV179)),IFERROR(AV222/AV179,""),"")</f>
        <v>0.352509662661373</v>
      </c>
      <c r="AW223" s="215">
        <f>IF(AND(ISNUMBER(AW222),ISNUMBER(AW179)),IFERROR(AW222/AW179,""),"")</f>
        <v>0.370303814285215</v>
      </c>
      <c r="AX223" s="215">
        <f>IF(AND(ISNUMBER(AX222),ISNUMBER(AX179)),IFERROR(AX222/AX179,""),"")</f>
        <v>0.427302578457232</v>
      </c>
      <c r="AY223" s="215">
        <f>IF(AND(ISNUMBER(AY222),ISNUMBER(AY179)),IFERROR(AY222/AY179,""),"")</f>
        <v>0.415474974463739</v>
      </c>
      <c r="AZ223" s="215">
        <f>IF(AND(ISNUMBER(AZ222),ISNUMBER(AZ179)),IFERROR(AZ222/AZ179,""),"")</f>
        <v>0.408766124778209</v>
      </c>
      <c r="BA223" s="215">
        <f>IF(AND(ISNUMBER(BA222),ISNUMBER(BA179)),IFERROR(BA222/BA179,""),"")</f>
        <v>0.413741549661986</v>
      </c>
      <c r="BB223" s="215">
        <f>IF(AND(ISNUMBER(BB222),ISNUMBER(BB179)),IFERROR(BB222/BB179,""),"")</f>
        <v>0.415948788729713</v>
      </c>
      <c r="BC223" s="215">
        <f>IF(AND(ISNUMBER(BC222),ISNUMBER(BC179)),IFERROR(BC222/BC179,""),"")</f>
        <v>0.446587373391884</v>
      </c>
      <c r="BD223" s="215">
        <f>IF(AND(ISNUMBER(BD222),ISNUMBER(BD179)),IFERROR(BD222/BD179,""),"")</f>
        <v>0.430076554283947</v>
      </c>
      <c r="BE223" s="215">
        <f>IF(AND(ISNUMBER(BE222),ISNUMBER(BE179)),IFERROR(BE222/BE179,""),"")</f>
        <v>0.412560777957861</v>
      </c>
      <c r="BF223" s="215">
        <f>IF(AND(ISNUMBER(BF222),ISNUMBER(BF179)),IFERROR(BF222/BF179,""),"")</f>
        <v>0.395912465053504</v>
      </c>
      <c r="BG223" s="215">
        <f>IF(AND(ISNUMBER(BG222),ISNUMBER(BG179)),IFERROR(BG222/BG179,""),"")</f>
        <v>0.420552781560498</v>
      </c>
      <c r="BH223" s="215">
        <f>IF(AND(ISNUMBER(BH222),ISNUMBER(BH179)),IFERROR(BH222/BH179,""),"")</f>
        <v>0.429312477554766</v>
      </c>
      <c r="BI223" s="215">
        <f>IF(AND(ISNUMBER(BI222),ISNUMBER(BI179)),IFERROR(BI222/BI179,""),"")</f>
        <v>0.408933209471629</v>
      </c>
      <c r="BJ223" s="215">
        <f>IF(AND(ISNUMBER(BJ222),ISNUMBER(BJ179)),IFERROR(BJ222/BJ179,""),"")</f>
        <v>0.422876818585996</v>
      </c>
      <c r="BK223" s="215">
        <f>IF(AND(ISNUMBER(BK222),ISNUMBER(BK179)),IFERROR(BK222/BK179,""),"")</f>
        <v>0.431650323016961</v>
      </c>
      <c r="BL223" s="215">
        <f>IF(AND(ISNUMBER(BL222),ISNUMBER(BL179)),IFERROR(BL222/BL179,""),"")</f>
        <v>0.423254606799896</v>
      </c>
      <c r="BM223" s="215">
        <f>IF(AND(ISNUMBER(BM222),ISNUMBER(BM179)),IFERROR(BM222/BM179,""),"")</f>
        <v>0.475874515632465</v>
      </c>
      <c r="BN223" s="215">
        <f>IF(AND(ISNUMBER(BN222),ISNUMBER(BN179)),IFERROR(BN222/BN179,""),"")</f>
        <v>0.435859400193486</v>
      </c>
      <c r="BO223" s="215">
        <f>IF(AND(ISNUMBER(BO222),ISNUMBER(BO179)),IFERROR(BO222/BO179,""),"")</f>
        <v>0.44587603866921</v>
      </c>
      <c r="BP223" s="215">
        <f>IF(AND(ISNUMBER(BP222),ISNUMBER(BP179)),IFERROR(BP222/BP179,""),"")</f>
        <v>0.431427379609746</v>
      </c>
      <c r="BQ223" s="215">
        <f>IF(AND(ISNUMBER(BQ222),ISNUMBER(BQ179)),IFERROR(BQ222/BQ179,""),"")</f>
        <v>0.446442995732737</v>
      </c>
      <c r="BR223" s="215">
        <f>IF(AND(ISNUMBER(BR222),ISNUMBER(BR179)),IFERROR(BR222/BR179,""),"")</f>
        <v>0.465838225203934</v>
      </c>
      <c r="BS223" s="215">
        <f>IF(AND(ISNUMBER(BS222),ISNUMBER(BS179)),IFERROR(BS222/BS179,""),"")</f>
        <v>0.454575482536765</v>
      </c>
      <c r="BT223" s="215">
        <f>IF(AND(ISNUMBER(BT222),ISNUMBER(BT179)),IFERROR(BT222/BT179,""),"")</f>
        <v>0.456712242742557</v>
      </c>
      <c r="BU223" s="215">
        <f>IF(AND(ISNUMBER(BU222),ISNUMBER(BU179)),IFERROR(BU222/BU179,""),"")</f>
        <v>0.449012964246936</v>
      </c>
      <c r="BV223" s="215">
        <f>IF(AND(ISNUMBER(BV222),ISNUMBER(BV179)),IFERROR(BV222/BV179,""),"")</f>
        <v>0.456219562408599</v>
      </c>
      <c r="BW223" s="215">
        <f>IF(AND(ISNUMBER(BW222),ISNUMBER(BW179)),IFERROR(BW222/BW179,""),"")</f>
        <v>0.48872838695557</v>
      </c>
      <c r="BX223" s="215">
        <f>IF(AND(ISNUMBER(BX222),ISNUMBER(BX179)),IFERROR(BX222/BX179,""),"")</f>
        <v>0.470943609808916</v>
      </c>
      <c r="BY223" s="215">
        <f>IF(AND(ISNUMBER(BY222),ISNUMBER(BY179)),IFERROR(BY222/BY179,""),"")</f>
        <v>0.463262794681852</v>
      </c>
      <c r="BZ223" s="215">
        <f>IF(AND(ISNUMBER(BZ222),ISNUMBER(BZ179)),IFERROR(BZ222/BZ179,""),"")</f>
        <v>0.451109358161032</v>
      </c>
      <c r="CA223" s="215">
        <f>IF(AND(ISNUMBER(CA222),ISNUMBER(CA179)),IFERROR(CA222/CA179,""),"")</f>
        <v>0.467808184089272</v>
      </c>
      <c r="CB223" s="256">
        <f>IF(AND(ISNUMBER(CB222),ISNUMBER(CB179)),IFERROR(CB222/CB179,""),"")</f>
        <v>0.485066371681416</v>
      </c>
      <c r="CC223" s="256">
        <f>IF(AND(ISNUMBER(CC222),ISNUMBER(CC179)),IFERROR(CC222/CC179,""),"")</f>
        <v>0.467711616759799</v>
      </c>
      <c r="CD223" s="256">
        <f>IF(AND(ISNUMBER(CD222),ISNUMBER(CD179)),IFERROR(CD222/CD179,""),"")</f>
        <v>0.458667147676618</v>
      </c>
      <c r="CE223" s="256">
        <f>IF(AND(ISNUMBER(CE222),ISNUMBER(CE179)),IFERROR(CE222/CE179,""),"")</f>
        <v>0.447223942014983</v>
      </c>
      <c r="CF223" s="256">
        <f>IF(AND(ISNUMBER(CF222),ISNUMBER(CF179)),IFERROR(CF222/CF179,""),"")</f>
        <v>0.463874487905548</v>
      </c>
      <c r="CG223" s="256">
        <f>IF(AND(ISNUMBER(CG222),ISNUMBER(CG179)),IFERROR(CG222/CG179,""),"")</f>
        <v>0.445303333846645</v>
      </c>
      <c r="CH223" s="256">
        <f>IF(AND(ISNUMBER(CH222),ISNUMBER(CH179)),IFERROR(CH222/CH179,""),"")</f>
        <v>0.443059605320308</v>
      </c>
      <c r="CI223" s="256">
        <f>IF(AND(ISNUMBER(CI222),ISNUMBER(CI179)),IFERROR(CI222/CI179,""),"")</f>
        <v>0.449681484635452</v>
      </c>
      <c r="CJ223" s="256">
        <f>IF(AND(ISNUMBER(CJ222),ISNUMBER(CJ179)),IFERROR(CJ222/CJ179,""),"")</f>
        <v>0.455886520836348</v>
      </c>
      <c r="CK223" s="153" t="n"/>
      <c r="CM223" s="37">
        <f>IFERROR(AVERAGE(CF223,CG223,CH223,CI223,CJ223),"n/m")</f>
        <v>0.45156108650886</v>
      </c>
      <c r="CN223" s="37">
        <f>IFERROR(AVERAGE(BG223,BL223,BQ223,BV223,CA223),"n/m")</f>
        <v>0.4428556261182</v>
      </c>
      <c r="CO223" s="37">
        <f>IFERROR(AVERAGE(AH223,AM223,AR223,AW223,BB223,BG223,BL223,BQ223,BV223,CA223),"n/m")</f>
        <v>0.398574007560907</v>
      </c>
      <c r="CP223" s="37">
        <f>IFERROR(AVERAGE(C223,D223,E223,F223,G223,H223,I223,N223,S223,X223,AC223,AH223,AM223,AR223,AW223,BB223,BG223,BL223,BQ223,BV223,CA223),"n/m")</f>
        <v>0.375987261900454</v>
      </c>
    </row>
    <row r="224" ht="15" customHeight="1" s="251">
      <c r="B224" s="156" t="inlineStr">
        <is>
          <t xml:space="preserve">  Company-published adjusted operating income</t>
        </is>
      </c>
      <c r="C224" s="34" t="n"/>
      <c r="D224" s="34" t="n"/>
      <c r="E224" s="34" t="n"/>
      <c r="F224" s="34" t="n"/>
      <c r="G224" s="34" t="n"/>
      <c r="H224" s="34" t="n"/>
      <c r="I224" s="253" t="n">
        <v>28496</v>
      </c>
      <c r="J224" s="253" t="n">
        <v>6664</v>
      </c>
      <c r="K224" s="253" t="n">
        <v>8317</v>
      </c>
      <c r="L224" s="253" t="n">
        <v>6687</v>
      </c>
      <c r="M224" s="253" t="n">
        <v>5291</v>
      </c>
      <c r="N224" s="253" t="n">
        <v>26957</v>
      </c>
      <c r="O224" s="253" t="n">
        <v>6447</v>
      </c>
      <c r="P224" s="253" t="n">
        <v>7969</v>
      </c>
      <c r="Q224" s="253" t="n">
        <v>6974</v>
      </c>
      <c r="R224" s="253" t="n">
        <v>6482</v>
      </c>
      <c r="S224" s="253" t="n">
        <v>27759</v>
      </c>
      <c r="T224" s="253" t="n">
        <v>6984</v>
      </c>
      <c r="U224" s="253" t="n">
        <v>7693</v>
      </c>
      <c r="V224" s="253" t="n">
        <v>6784</v>
      </c>
      <c r="W224" s="253" t="n">
        <v>6385</v>
      </c>
      <c r="X224" s="253" t="n">
        <v>28172</v>
      </c>
      <c r="Y224" s="253" t="n">
        <v>7074</v>
      </c>
      <c r="Z224" s="253" t="n">
        <v>7923</v>
      </c>
      <c r="AA224" s="253" t="n">
        <v>6828</v>
      </c>
      <c r="AB224" s="253" t="n">
        <v>6218</v>
      </c>
      <c r="AC224" s="253" t="n">
        <v>27935</v>
      </c>
      <c r="AD224" s="253" t="n">
        <v>7106</v>
      </c>
      <c r="AE224" s="253" t="n">
        <v>8153</v>
      </c>
      <c r="AF224" s="253" t="n">
        <v>7061</v>
      </c>
      <c r="AG224" s="253" t="n">
        <v>7019</v>
      </c>
      <c r="AH224" s="253" t="n">
        <v>29339</v>
      </c>
      <c r="AI224" s="253" t="n">
        <v>7708</v>
      </c>
      <c r="AJ224" s="253" t="n">
        <v>8679</v>
      </c>
      <c r="AK224" s="253" t="n">
        <v>8292</v>
      </c>
      <c r="AL224" s="253" t="n">
        <v>10379</v>
      </c>
      <c r="AM224" s="253" t="n">
        <v>35058</v>
      </c>
      <c r="AN224" s="253" t="n">
        <v>9955</v>
      </c>
      <c r="AO224" s="253" t="n">
        <v>10258</v>
      </c>
      <c r="AP224" s="253" t="n">
        <v>10341</v>
      </c>
      <c r="AQ224" s="253" t="n">
        <v>12405</v>
      </c>
      <c r="AR224" s="253" t="n">
        <v>42959</v>
      </c>
      <c r="AS224" s="253" t="n">
        <v>12686</v>
      </c>
      <c r="AT224" s="253" t="n">
        <v>13891</v>
      </c>
      <c r="AU224" s="253" t="n">
        <v>12975</v>
      </c>
      <c r="AV224" s="253" t="n">
        <v>13407</v>
      </c>
      <c r="AW224" s="253" t="n">
        <v>52959</v>
      </c>
      <c r="AX224" s="253" t="n">
        <v>15876</v>
      </c>
      <c r="AY224" s="253" t="n">
        <v>17897</v>
      </c>
      <c r="AZ224" s="253" t="n">
        <v>17048</v>
      </c>
      <c r="BA224" s="253" t="n">
        <v>19095</v>
      </c>
      <c r="BB224" s="253" t="n">
        <v>69916</v>
      </c>
      <c r="BC224" s="253" t="n">
        <v>20238</v>
      </c>
      <c r="BD224" s="253" t="n">
        <v>22247</v>
      </c>
      <c r="BE224" s="253" t="n">
        <v>20364</v>
      </c>
      <c r="BF224" s="253" t="n">
        <v>20534</v>
      </c>
      <c r="BG224" s="253" t="n">
        <v>83383</v>
      </c>
      <c r="BH224" s="253" t="n">
        <v>21518</v>
      </c>
      <c r="BI224" s="253" t="n">
        <v>21570</v>
      </c>
      <c r="BJ224" s="253" t="n">
        <v>22352</v>
      </c>
      <c r="BK224" s="253" t="n">
        <v>24254</v>
      </c>
      <c r="BL224" s="253" t="n">
        <v>89694</v>
      </c>
      <c r="BM224" s="253" t="n">
        <v>26895</v>
      </c>
      <c r="BN224" s="253" t="n">
        <v>27032</v>
      </c>
      <c r="BO224" s="253" t="n">
        <v>27581</v>
      </c>
      <c r="BP224" s="253" t="n">
        <v>27925</v>
      </c>
      <c r="BQ224" s="253" t="n">
        <v>109433</v>
      </c>
      <c r="BR224" s="253" t="n">
        <v>30552</v>
      </c>
      <c r="BS224" s="253" t="n">
        <v>31653</v>
      </c>
      <c r="BT224" s="253" t="n">
        <v>32000</v>
      </c>
      <c r="BU224" s="253" t="n">
        <v>34323</v>
      </c>
      <c r="BV224" s="253" t="n">
        <v>128528</v>
      </c>
      <c r="BW224" s="253" t="n">
        <v>37961</v>
      </c>
      <c r="BX224" s="253" t="n">
        <v>38275</v>
      </c>
      <c r="BY224" s="253" t="n">
        <v>38398</v>
      </c>
      <c r="BZ224" s="253" t="n">
        <v>40603</v>
      </c>
      <c r="CA224" s="253" t="n">
        <v>155237</v>
      </c>
      <c r="CB224" s="153" t="n"/>
      <c r="CC224" s="153" t="n"/>
      <c r="CD224" s="153" t="n"/>
      <c r="CE224" s="153" t="n"/>
      <c r="CF224" s="153" t="n"/>
      <c r="CG224" s="153" t="n"/>
      <c r="CH224" s="153" t="n"/>
      <c r="CI224" s="153" t="n"/>
      <c r="CJ224" s="153" t="n"/>
      <c r="CK224" s="153" t="n"/>
    </row>
    <row r="225" ht="15" customHeight="1" s="251">
      <c r="B225" s="57" t="inlineStr">
        <is>
          <t xml:space="preserve">  Check: model bridge vs company-published (should be 0)</t>
        </is>
      </c>
      <c r="C225" s="211" t="str">
        <f>IF(ISNUMBER(C224),IF(ABS(C222-C224)&lt;=1,0,ROUND(C222-C224,0)),"n/p")</f>
        <v>n/p</v>
      </c>
      <c r="D225" s="211" t="str">
        <f>IF(ISNUMBER(D224),IF(ABS(D222-D224)&lt;=1,0,ROUND(D222-D224,0)),"n/p")</f>
        <v>n/p</v>
      </c>
      <c r="E225" s="211" t="str">
        <f>IF(ISNUMBER(E224),IF(ABS(E222-E224)&lt;=1,0,ROUND(E222-E224,0)),"n/p")</f>
        <v>n/p</v>
      </c>
      <c r="F225" s="211" t="str">
        <f>IF(ISNUMBER(F224),IF(ABS(F222-F224)&lt;=1,0,ROUND(F222-F224,0)),"n/p")</f>
        <v>n/p</v>
      </c>
      <c r="G225" s="211" t="str">
        <f>IF(ISNUMBER(G224),IF(ABS(G222-G224)&lt;=1,0,ROUND(G222-G224,0)),"n/p")</f>
        <v>n/p</v>
      </c>
      <c r="H225" s="211" t="str">
        <f>IF(ISNUMBER(H224),IF(ABS(H222-H224)&lt;=1,0,ROUND(H222-H224,0)),"n/p")</f>
        <v>n/p</v>
      </c>
      <c r="I225" s="211">
        <f>IF(ISNUMBER(I224),IF(ABS(I222-I224)&lt;=1,0,ROUND(I222-I224,0)),"n/p")</f>
        <v>0</v>
      </c>
      <c r="J225" s="211">
        <f>IF(ISNUMBER(J224),IF(ABS(J222-J224)&lt;=1,0,ROUND(J222-J224,0)),"n/p")</f>
        <v>0</v>
      </c>
      <c r="K225" s="211">
        <f>IF(ISNUMBER(K224),IF(ABS(K222-K224)&lt;=1,0,ROUND(K222-K224,0)),"n/p")</f>
        <v>0</v>
      </c>
      <c r="L225" s="211">
        <f>IF(ISNUMBER(L224),IF(ABS(L222-L224)&lt;=1,0,ROUND(L222-L224,0)),"n/p")</f>
        <v>0</v>
      </c>
      <c r="M225" s="211">
        <f>IF(ISNUMBER(M224),IF(ABS(M222-M224)&lt;=1,0,ROUND(M222-M224,0)),"n/p")</f>
        <v>0</v>
      </c>
      <c r="N225" s="211">
        <f>IF(ISNUMBER(N224),IF(ABS(N222-N224)&lt;=1,0,ROUND(N222-N224,0)),"n/p")</f>
        <v>0</v>
      </c>
      <c r="O225" s="211">
        <f>IF(ISNUMBER(O224),IF(ABS(O222-O224)&lt;=1,0,ROUND(O222-O224,0)),"n/p")</f>
        <v>0</v>
      </c>
      <c r="P225" s="211">
        <f>IF(ISNUMBER(P224),IF(ABS(P222-P224)&lt;=1,0,ROUND(P222-P224,0)),"n/p")</f>
        <v>0</v>
      </c>
      <c r="Q225" s="211">
        <f>IF(ISNUMBER(Q224),IF(ABS(Q222-Q224)&lt;=1,0,ROUND(Q222-Q224,0)),"n/p")</f>
        <v>0</v>
      </c>
      <c r="R225" s="211">
        <f>IF(ISNUMBER(R224),IF(ABS(R222-R224)&lt;=1,0,ROUND(R222-R224,0)),"n/p")</f>
        <v>0</v>
      </c>
      <c r="S225" s="211">
        <f>IF(ISNUMBER(S224),IF(ABS(S222-S224)&lt;=1,0,ROUND(S222-S224,0)),"n/p")</f>
        <v>0</v>
      </c>
      <c r="T225" s="211">
        <f>IF(ISNUMBER(T224),IF(ABS(T222-T224)&lt;=1,0,ROUND(T222-T224,0)),"n/p")</f>
        <v>0</v>
      </c>
      <c r="U225" s="211">
        <f>IF(ISNUMBER(U224),IF(ABS(U222-U224)&lt;=1,0,ROUND(U222-U224,0)),"n/p")</f>
        <v>0</v>
      </c>
      <c r="V225" s="211">
        <f>IF(ISNUMBER(V224),IF(ABS(V222-V224)&lt;=1,0,ROUND(V222-V224,0)),"n/p")</f>
        <v>0</v>
      </c>
      <c r="W225" s="211">
        <f>IF(ISNUMBER(W224),IF(ABS(W222-W224)&lt;=1,0,ROUND(W222-W224,0)),"n/p")</f>
        <v>0</v>
      </c>
      <c r="X225" s="211">
        <f>IF(ISNUMBER(X224),IF(ABS(X222-X224)&lt;=1,0,ROUND(X222-X224,0)),"n/p")</f>
        <v>0</v>
      </c>
      <c r="Y225" s="211">
        <f>IF(ISNUMBER(Y224),IF(ABS(Y222-Y224)&lt;=1,0,ROUND(Y222-Y224,0)),"n/p")</f>
        <v>0</v>
      </c>
      <c r="Z225" s="211">
        <f>IF(ISNUMBER(Z224),IF(ABS(Z222-Z224)&lt;=1,0,ROUND(Z222-Z224,0)),"n/p")</f>
        <v>0</v>
      </c>
      <c r="AA225" s="211">
        <f>IF(ISNUMBER(AA224),IF(ABS(AA222-AA224)&lt;=1,0,ROUND(AA222-AA224,0)),"n/p")</f>
        <v>0</v>
      </c>
      <c r="AB225" s="211">
        <f>IF(ISNUMBER(AB224),IF(ABS(AB222-AB224)&lt;=1,0,ROUND(AB222-AB224,0)),"n/p")</f>
        <v>0</v>
      </c>
      <c r="AC225" s="211">
        <f>IF(ISNUMBER(AC224),IF(ABS(AC222-AC224)&lt;=1,0,ROUND(AC222-AC224,0)),"n/p")</f>
        <v>0</v>
      </c>
      <c r="AD225" s="211">
        <f>IF(ISNUMBER(AD224),IF(ABS(AD222-AD224)&lt;=1,0,ROUND(AD222-AD224,0)),"n/p")</f>
        <v>0</v>
      </c>
      <c r="AE225" s="211">
        <f>IF(ISNUMBER(AE224),IF(ABS(AE222-AE224)&lt;=1,0,ROUND(AE222-AE224,0)),"n/p")</f>
        <v>0</v>
      </c>
      <c r="AF225" s="211">
        <f>IF(ISNUMBER(AF224),IF(ABS(AF222-AF224)&lt;=1,0,ROUND(AF222-AF224,0)),"n/p")</f>
        <v>0</v>
      </c>
      <c r="AG225" s="211">
        <f>IF(ISNUMBER(AG224),IF(ABS(AG222-AG224)&lt;=1,0,ROUND(AG222-AG224,0)),"n/p")</f>
        <v>0</v>
      </c>
      <c r="AH225" s="211">
        <f>IF(ISNUMBER(AH224),IF(ABS(AH222-AH224)&lt;=1,0,ROUND(AH222-AH224,0)),"n/p")</f>
        <v>0</v>
      </c>
      <c r="AI225" s="211">
        <f>IF(ISNUMBER(AI224),IF(ABS(AI222-AI224)&lt;=1,0,ROUND(AI222-AI224,0)),"n/p")</f>
        <v>0</v>
      </c>
      <c r="AJ225" s="211">
        <f>IF(ISNUMBER(AJ224),IF(ABS(AJ222-AJ224)&lt;=1,0,ROUND(AJ222-AJ224,0)),"n/p")</f>
        <v>0</v>
      </c>
      <c r="AK225" s="211">
        <f>IF(ISNUMBER(AK224),IF(ABS(AK222-AK224)&lt;=1,0,ROUND(AK222-AK224,0)),"n/p")</f>
        <v>0</v>
      </c>
      <c r="AL225" s="211">
        <f>IF(ISNUMBER(AL224),IF(ABS(AL222-AL224)&lt;=1,0,ROUND(AL222-AL224,0)),"n/p")</f>
        <v>0</v>
      </c>
      <c r="AM225" s="211">
        <f>IF(ISNUMBER(AM224),IF(ABS(AM222-AM224)&lt;=1,0,ROUND(AM222-AM224,0)),"n/p")</f>
        <v>0</v>
      </c>
      <c r="AN225" s="211">
        <f>IF(ISNUMBER(AN224),IF(ABS(AN222-AN224)&lt;=1,0,ROUND(AN222-AN224,0)),"n/p")</f>
        <v>0</v>
      </c>
      <c r="AO225" s="211">
        <f>IF(ISNUMBER(AO224),IF(ABS(AO222-AO224)&lt;=1,0,ROUND(AO222-AO224,0)),"n/p")</f>
        <v>0</v>
      </c>
      <c r="AP225" s="211">
        <f>IF(ISNUMBER(AP224),IF(ABS(AP222-AP224)&lt;=1,0,ROUND(AP222-AP224,0)),"n/p")</f>
        <v>0</v>
      </c>
      <c r="AQ225" s="211">
        <f>IF(ISNUMBER(AQ224),IF(ABS(AQ222-AQ224)&lt;=1,0,ROUND(AQ222-AQ224,0)),"n/p")</f>
        <v>0</v>
      </c>
      <c r="AR225" s="211">
        <f>IF(ISNUMBER(AR224),IF(ABS(AR222-AR224)&lt;=1,0,ROUND(AR222-AR224,0)),"n/p")</f>
        <v>0</v>
      </c>
      <c r="AS225" s="211">
        <f>IF(ISNUMBER(AS224),IF(ABS(AS222-AS224)&lt;=1,0,ROUND(AS222-AS224,0)),"n/p")</f>
        <v>0</v>
      </c>
      <c r="AT225" s="211">
        <f>IF(ISNUMBER(AT224),IF(ABS(AT222-AT224)&lt;=1,0,ROUND(AT222-AT224,0)),"n/p")</f>
        <v>0</v>
      </c>
      <c r="AU225" s="211">
        <f>IF(ISNUMBER(AU224),IF(ABS(AU222-AU224)&lt;=1,0,ROUND(AU222-AU224,0)),"n/p")</f>
        <v>0</v>
      </c>
      <c r="AV225" s="211">
        <f>IF(ISNUMBER(AV224),IF(ABS(AV222-AV224)&lt;=1,0,ROUND(AV222-AV224,0)),"n/p")</f>
        <v>0</v>
      </c>
      <c r="AW225" s="211">
        <f>IF(ISNUMBER(AW224),IF(ABS(AW222-AW224)&lt;=1,0,ROUND(AW222-AW224,0)),"n/p")</f>
        <v>0</v>
      </c>
      <c r="AX225" s="211">
        <f>IF(ISNUMBER(AX224),IF(ABS(AX222-AX224)&lt;=1,0,ROUND(AX222-AX224,0)),"n/p")</f>
        <v>0</v>
      </c>
      <c r="AY225" s="211">
        <f>IF(ISNUMBER(AY224),IF(ABS(AY222-AY224)&lt;=1,0,ROUND(AY222-AY224,0)),"n/p")</f>
        <v>0</v>
      </c>
      <c r="AZ225" s="211">
        <f>IF(ISNUMBER(AZ224),IF(ABS(AZ222-AZ224)&lt;=1,0,ROUND(AZ222-AZ224,0)),"n/p")</f>
        <v>0</v>
      </c>
      <c r="BA225" s="211">
        <f>IF(ISNUMBER(BA224),IF(ABS(BA222-BA224)&lt;=1,0,ROUND(BA222-BA224,0)),"n/p")</f>
        <v>0</v>
      </c>
      <c r="BB225" s="211">
        <f>IF(ISNUMBER(BB224),IF(ABS(BB222-BB224)&lt;=1,0,ROUND(BB222-BB224,0)),"n/p")</f>
        <v>0</v>
      </c>
      <c r="BC225" s="211">
        <f>IF(ISNUMBER(BC224),IF(ABS(BC222-BC224)&lt;=1,0,ROUND(BC222-BC224,0)),"n/p")</f>
        <v>0</v>
      </c>
      <c r="BD225" s="211">
        <f>IF(ISNUMBER(BD224),IF(ABS(BD222-BD224)&lt;=1,0,ROUND(BD222-BD224,0)),"n/p")</f>
        <v>0</v>
      </c>
      <c r="BE225" s="211">
        <f>IF(ISNUMBER(BE224),IF(ABS(BE222-BE224)&lt;=1,0,ROUND(BE222-BE224,0)),"n/p")</f>
        <v>0</v>
      </c>
      <c r="BF225" s="211">
        <f>IF(ISNUMBER(BF224),IF(ABS(BF222-BF224)&lt;=1,0,ROUND(BF222-BF224,0)),"n/p")</f>
        <v>0</v>
      </c>
      <c r="BG225" s="211">
        <f>IF(ISNUMBER(BG224),IF(ABS(BG222-BG224)&lt;=1,0,ROUND(BG222-BG224,0)),"n/p")</f>
        <v>0</v>
      </c>
      <c r="BH225" s="211">
        <f>IF(ISNUMBER(BH224),IF(ABS(BH222-BH224)&lt;=1,0,ROUND(BH222-BH224,0)),"n/p")</f>
        <v>0</v>
      </c>
      <c r="BI225" s="211">
        <f>IF(ISNUMBER(BI224),IF(ABS(BI222-BI224)&lt;=1,0,ROUND(BI222-BI224,0)),"n/p")</f>
        <v>0</v>
      </c>
      <c r="BJ225" s="211">
        <f>IF(ISNUMBER(BJ224),IF(ABS(BJ222-BJ224)&lt;=1,0,ROUND(BJ222-BJ224,0)),"n/p")</f>
        <v>0</v>
      </c>
      <c r="BK225" s="211">
        <f>IF(ISNUMBER(BK224),IF(ABS(BK222-BK224)&lt;=1,0,ROUND(BK222-BK224,0)),"n/p")</f>
        <v>0</v>
      </c>
      <c r="BL225" s="211">
        <f>IF(ISNUMBER(BL224),IF(ABS(BL222-BL224)&lt;=1,0,ROUND(BL222-BL224,0)),"n/p")</f>
        <v>0</v>
      </c>
      <c r="BM225" s="211">
        <f>IF(ISNUMBER(BM224),IF(ABS(BM222-BM224)&lt;=1,0,ROUND(BM222-BM224,0)),"n/p")</f>
        <v>0</v>
      </c>
      <c r="BN225" s="211">
        <f>IF(ISNUMBER(BN224),IF(ABS(BN222-BN224)&lt;=1,0,ROUND(BN222-BN224,0)),"n/p")</f>
        <v>0</v>
      </c>
      <c r="BO225" s="211">
        <f>IF(ISNUMBER(BO224),IF(ABS(BO222-BO224)&lt;=1,0,ROUND(BO222-BO224,0)),"n/p")</f>
        <v>0</v>
      </c>
      <c r="BP225" s="211">
        <f>IF(ISNUMBER(BP224),IF(ABS(BP222-BP224)&lt;=1,0,ROUND(BP222-BP224,0)),"n/p")</f>
        <v>0</v>
      </c>
      <c r="BQ225" s="211">
        <f>IF(ISNUMBER(BQ224),IF(ABS(BQ222-BQ224)&lt;=1,0,ROUND(BQ222-BQ224,0)),"n/p")</f>
        <v>0</v>
      </c>
      <c r="BR225" s="211">
        <f>IF(ISNUMBER(BR224),IF(ABS(BR222-BR224)&lt;=1,0,ROUND(BR222-BR224,0)),"n/p")</f>
        <v>0</v>
      </c>
      <c r="BS225" s="211">
        <f>IF(ISNUMBER(BS224),IF(ABS(BS222-BS224)&lt;=1,0,ROUND(BS222-BS224,0)),"n/p")</f>
        <v>0</v>
      </c>
      <c r="BT225" s="211">
        <f>IF(ISNUMBER(BT224),IF(ABS(BT222-BT224)&lt;=1,0,ROUND(BT222-BT224,0)),"n/p")</f>
        <v>0</v>
      </c>
      <c r="BU225" s="211">
        <f>IF(ISNUMBER(BU224),IF(ABS(BU222-BU224)&lt;=1,0,ROUND(BU222-BU224,0)),"n/p")</f>
        <v>0</v>
      </c>
      <c r="BV225" s="211">
        <f>IF(ISNUMBER(BV224),IF(ABS(BV222-BV224)&lt;=1,0,ROUND(BV222-BV224,0)),"n/p")</f>
        <v>0</v>
      </c>
      <c r="BW225" s="211">
        <f>IF(ISNUMBER(BW224),IF(ABS(BW222-BW224)&lt;=1,0,ROUND(BW222-BW224,0)),"n/p")</f>
        <v>0</v>
      </c>
      <c r="BX225" s="211">
        <f>IF(ISNUMBER(BX224),IF(ABS(BX222-BX224)&lt;=1,0,ROUND(BX222-BX224,0)),"n/p")</f>
        <v>0</v>
      </c>
      <c r="BY225" s="211">
        <f>IF(ISNUMBER(BY224),IF(ABS(BY222-BY224)&lt;=1,0,ROUND(BY222-BY224,0)),"n/p")</f>
        <v>0</v>
      </c>
      <c r="BZ225" s="211">
        <f>IF(ISNUMBER(BZ224),IF(ABS(BZ222-BZ224)&lt;=1,0,ROUND(BZ222-BZ224,0)),"n/p")</f>
        <v>0</v>
      </c>
      <c r="CA225" s="211">
        <f>IF(ISNUMBER(CA224),IF(ABS(CA222-CA224)&lt;=1,0,ROUND(CA222-CA224,0)),"n/p")</f>
        <v>0</v>
      </c>
      <c r="CB225" s="153" t="n"/>
      <c r="CC225" s="153" t="n"/>
      <c r="CD225" s="153" t="n"/>
      <c r="CE225" s="153" t="n"/>
      <c r="CF225" s="153" t="n"/>
      <c r="CG225" s="153" t="n"/>
      <c r="CH225" s="153" t="n"/>
      <c r="CI225" s="153" t="n"/>
      <c r="CJ225" s="153" t="n"/>
      <c r="CK225" s="153" t="n"/>
    </row>
    <row r="226" ht="15" customHeight="1" s="251">
      <c r="B226" s="156" t="inlineStr">
        <is>
          <t xml:space="preserve">  Memo: adjusted revenue (GAAP revenue + revenue deferrals)</t>
        </is>
      </c>
      <c r="C226" s="211">
        <f>IF(ISNUMBER(C179),C179+N(C218),"")</f>
        <v>44282</v>
      </c>
      <c r="D226" s="211">
        <f>IF(ISNUMBER(D179),D179+N(D218),"")</f>
        <v>51122</v>
      </c>
      <c r="E226" s="211">
        <f>IF(ISNUMBER(E179),E179+N(E218),"")</f>
        <v>60420</v>
      </c>
      <c r="F226" s="211">
        <f>IF(ISNUMBER(F179),F179+N(F218),"")</f>
        <v>58437</v>
      </c>
      <c r="G226" s="211">
        <f>IF(ISNUMBER(G179),G179+N(G218),"")</f>
        <v>62484</v>
      </c>
      <c r="H226" s="211">
        <f>IF(ISNUMBER(H179),H179+N(H218),"")</f>
        <v>69943</v>
      </c>
      <c r="I226" s="211">
        <f>IF(ISNUMBER(I179),I179+N(I218),"")</f>
        <v>74263</v>
      </c>
      <c r="J226" s="211">
        <f>IF(ISNUMBER(J179),J179+N(J218),"")</f>
        <v>17364</v>
      </c>
      <c r="K226" s="211">
        <f>IF(ISNUMBER(K179),K179+N(K218),"")</f>
        <v>22002</v>
      </c>
      <c r="L226" s="211">
        <f>IF(ISNUMBER(L179),L179+N(L218),"")</f>
        <v>18831</v>
      </c>
      <c r="M226" s="211">
        <f>IF(ISNUMBER(M179),M179+N(M218),"")</f>
        <v>19114</v>
      </c>
      <c r="N226" s="211">
        <f>IF(ISNUMBER(N179),N179+N(N218),"")</f>
        <v>77309</v>
      </c>
      <c r="O226" s="211">
        <f>IF(ISNUMBER(O179),O179+N(O218),"")</f>
        <v>18642</v>
      </c>
      <c r="P226" s="211">
        <f>IF(ISNUMBER(P179),P179+N(P218),"")</f>
        <v>24519</v>
      </c>
      <c r="Q226" s="211">
        <f>IF(ISNUMBER(Q179),Q179+N(Q218),"")</f>
        <v>20403</v>
      </c>
      <c r="R226" s="211">
        <f>IF(ISNUMBER(R179),R179+N(R218),"")</f>
        <v>23382</v>
      </c>
      <c r="S226" s="211">
        <f>IF(ISNUMBER(S179),S179+N(S218),"")</f>
        <v>86833</v>
      </c>
      <c r="T226" s="211">
        <f>IF(ISNUMBER(T179),T179+N(T218),"")</f>
        <v>23201</v>
      </c>
      <c r="U226" s="211">
        <f>IF(ISNUMBER(U179),U179+N(U218),"")</f>
        <v>26144</v>
      </c>
      <c r="V226" s="211">
        <f>IF(ISNUMBER(V179),V179+N(V218),"")</f>
        <v>21729</v>
      </c>
      <c r="W226" s="211">
        <f>IF(ISNUMBER(W179),W179+N(W218),"")</f>
        <v>22180</v>
      </c>
      <c r="X226" s="211">
        <f>IF(ISNUMBER(X179),X179+N(X218),"")</f>
        <v>93580</v>
      </c>
      <c r="Y226" s="211">
        <f>IF(ISNUMBER(Y179),Y179+N(Y218),"")</f>
        <v>21660</v>
      </c>
      <c r="Z226" s="211">
        <f>IF(ISNUMBER(Z179),Z179+N(Z218),"")</f>
        <v>25693</v>
      </c>
      <c r="AA226" s="211">
        <f>IF(ISNUMBER(AA179),AA179+N(AA218),"")</f>
        <v>22076</v>
      </c>
      <c r="AB226" s="211">
        <f>IF(ISNUMBER(AB179),AB179+N(AB218),"")</f>
        <v>22642</v>
      </c>
      <c r="AC226" s="211">
        <f>IF(ISNUMBER(AC179),AC179+N(AC218),"")</f>
        <v>91963</v>
      </c>
      <c r="AD226" s="211">
        <f>IF(ISNUMBER(AD179),AD179+N(AD218),"")</f>
        <v>22334</v>
      </c>
      <c r="AE226" s="211">
        <f>IF(ISNUMBER(AE179),AE179+N(AE218),"")</f>
        <v>26066</v>
      </c>
      <c r="AF226" s="211">
        <f>IF(ISNUMBER(AF179),AF179+N(AF218),"")</f>
        <v>23557</v>
      </c>
      <c r="AG226" s="211">
        <f>IF(ISNUMBER(AG179),AG179+N(AG218),"")</f>
        <v>24700</v>
      </c>
      <c r="AH226" s="211">
        <f>IF(ISNUMBER(AH179),AH179+N(AH218),"")</f>
        <v>96657</v>
      </c>
      <c r="AI226" s="211">
        <f>IF(ISNUMBER(AI179),AI179+N(AI218),"")</f>
        <v>24538</v>
      </c>
      <c r="AJ226" s="211">
        <f>IF(ISNUMBER(AJ179),AJ179+N(AJ218),"")</f>
        <v>28918</v>
      </c>
      <c r="AK226" s="211">
        <f>IF(ISNUMBER(AK179),AK179+N(AK218),"")</f>
        <v>26819</v>
      </c>
      <c r="AL226" s="211">
        <f>IF(ISNUMBER(AL179),AL179+N(AL218),"")</f>
        <v>30085</v>
      </c>
      <c r="AM226" s="211">
        <f>IF(ISNUMBER(AM179),AM179+N(AM218),"")</f>
        <v>110360</v>
      </c>
      <c r="AN226" s="211">
        <f>IF(ISNUMBER(AN179),AN179+N(AN218),"")</f>
        <v>29084</v>
      </c>
      <c r="AO226" s="211">
        <f>IF(ISNUMBER(AO179),AO179+N(AO218),"")</f>
        <v>32471</v>
      </c>
      <c r="AP226" s="211">
        <f>IF(ISNUMBER(AP179),AP179+N(AP218),"")</f>
        <v>30571</v>
      </c>
      <c r="AQ226" s="211">
        <f>IF(ISNUMBER(AQ179),AQ179+N(AQ218),"")</f>
        <v>33717</v>
      </c>
      <c r="AR226" s="211">
        <f>IF(ISNUMBER(AR179),AR179+N(AR218),"")</f>
        <v>125843</v>
      </c>
      <c r="AS226" s="211">
        <f>IF(ISNUMBER(AS179),AS179+N(AS218),"")</f>
        <v>33055</v>
      </c>
      <c r="AT226" s="211">
        <f>IF(ISNUMBER(AT179),AT179+N(AT218),"")</f>
        <v>36906</v>
      </c>
      <c r="AU226" s="211">
        <f>IF(ISNUMBER(AU179),AU179+N(AU218),"")</f>
        <v>35021</v>
      </c>
      <c r="AV226" s="211">
        <f>IF(ISNUMBER(AV179),AV179+N(AV218),"")</f>
        <v>38033</v>
      </c>
      <c r="AW226" s="211">
        <f>IF(ISNUMBER(AW179),AW179+N(AW218),"")</f>
        <v>143015</v>
      </c>
      <c r="AX226" s="211">
        <f>IF(ISNUMBER(AX179),AX179+N(AX218),"")</f>
        <v>37154</v>
      </c>
      <c r="AY226" s="211">
        <f>IF(ISNUMBER(AY179),AY179+N(AY218),"")</f>
        <v>43076</v>
      </c>
      <c r="AZ226" s="211">
        <f>IF(ISNUMBER(AZ179),AZ179+N(AZ218),"")</f>
        <v>41706</v>
      </c>
      <c r="BA226" s="211">
        <f>IF(ISNUMBER(BA179),BA179+N(BA218),"")</f>
        <v>46152</v>
      </c>
      <c r="BB226" s="211">
        <f>IF(ISNUMBER(BB179),BB179+N(BB218),"")</f>
        <v>168088</v>
      </c>
      <c r="BC226" s="211">
        <f>IF(ISNUMBER(BC179),BC179+N(BC218),"")</f>
        <v>45317</v>
      </c>
      <c r="BD226" s="211">
        <f>IF(ISNUMBER(BD179),BD179+N(BD218),"")</f>
        <v>51728</v>
      </c>
      <c r="BE226" s="211">
        <f>IF(ISNUMBER(BE179),BE179+N(BE218),"")</f>
        <v>49360</v>
      </c>
      <c r="BF226" s="211">
        <f>IF(ISNUMBER(BF179),BF179+N(BF218),"")</f>
        <v>51865</v>
      </c>
      <c r="BG226" s="211">
        <f>IF(ISNUMBER(BG179),BG179+N(BG218),"")</f>
        <v>198270</v>
      </c>
      <c r="BH226" s="211">
        <f>IF(ISNUMBER(BH179),BH179+N(BH218),"")</f>
        <v>50122</v>
      </c>
      <c r="BI226" s="211">
        <f>IF(ISNUMBER(BI179),BI179+N(BI218),"")</f>
        <v>52747</v>
      </c>
      <c r="BJ226" s="211">
        <f>IF(ISNUMBER(BJ179),BJ179+N(BJ218),"")</f>
        <v>52857</v>
      </c>
      <c r="BK226" s="211">
        <f>IF(ISNUMBER(BK179),BK179+N(BK218),"")</f>
        <v>56189</v>
      </c>
      <c r="BL226" s="211">
        <f>IF(ISNUMBER(BL179),BL179+N(BL218),"")</f>
        <v>211915</v>
      </c>
      <c r="BM226" s="211">
        <f>IF(ISNUMBER(BM179),BM179+N(BM218),"")</f>
        <v>56517</v>
      </c>
      <c r="BN226" s="211">
        <f>IF(ISNUMBER(BN179),BN179+N(BN218),"")</f>
        <v>62020</v>
      </c>
      <c r="BO226" s="211">
        <f>IF(ISNUMBER(BO179),BO179+N(BO218),"")</f>
        <v>61858</v>
      </c>
      <c r="BP226" s="211">
        <f>IF(ISNUMBER(BP179),BP179+N(BP218),"")</f>
        <v>64727</v>
      </c>
      <c r="BQ226" s="211">
        <f>IF(ISNUMBER(BQ179),BQ179+N(BQ218),"")</f>
        <v>245122</v>
      </c>
      <c r="BR226" s="211">
        <f>IF(ISNUMBER(BR179),BR179+N(BR218),"")</f>
        <v>65585</v>
      </c>
      <c r="BS226" s="211">
        <f>IF(ISNUMBER(BS179),BS179+N(BS218),"")</f>
        <v>69632</v>
      </c>
      <c r="BT226" s="211">
        <f>IF(ISNUMBER(BT179),BT179+N(BT218),"")</f>
        <v>70066</v>
      </c>
      <c r="BU226" s="211">
        <f>IF(ISNUMBER(BU179),BU179+N(BU218),"")</f>
        <v>76441</v>
      </c>
      <c r="BV226" s="211">
        <f>IF(ISNUMBER(BV179),BV179+N(BV218),"")</f>
        <v>281724</v>
      </c>
      <c r="BW226" s="211">
        <f>IF(ISNUMBER(BW179),BW179+N(BW218),"")</f>
        <v>77673</v>
      </c>
      <c r="BX226" s="211">
        <f>IF(ISNUMBER(BX179),BX179+N(BX218),"")</f>
        <v>81273</v>
      </c>
      <c r="BY226" s="211">
        <f>IF(ISNUMBER(BY179),BY179+N(BY218),"")</f>
        <v>82886</v>
      </c>
      <c r="BZ226" s="211">
        <f>IF(ISNUMBER(BZ179),BZ179+N(BZ218),"")</f>
        <v>90007</v>
      </c>
      <c r="CA226" s="211">
        <f>IF(ISNUMBER(CA179),CA179+N(CA218),"")</f>
        <v>331839</v>
      </c>
      <c r="CB226" s="254">
        <f>IF(ISNUMBER(CB179),CB179+N(CB218),"")</f>
        <v>90400</v>
      </c>
      <c r="CC226" s="254">
        <f>IF(ISNUMBER(CC179),CC179+N(CC218),"")</f>
        <v>94814.7169419038</v>
      </c>
      <c r="CD226" s="254">
        <f>IF(ISNUMBER(CD179),CD179+N(CD218),"")</f>
        <v>97482.3389052992</v>
      </c>
      <c r="CE226" s="254">
        <f>IF(ISNUMBER(CE179),CE179+N(CE218),"")</f>
        <v>106419.266141672</v>
      </c>
      <c r="CF226" s="254">
        <f>IF(ISNUMBER(CF179),CF179+N(CF218),"")</f>
        <v>389116.321988875</v>
      </c>
      <c r="CG226" s="254">
        <f>IF(ISNUMBER(CG179),CG179+N(CG218),"")</f>
        <v>455406.771964896</v>
      </c>
      <c r="CH226" s="254">
        <f>IF(ISNUMBER(CH179),CH179+N(CH218),"")</f>
        <v>526872.13143062</v>
      </c>
      <c r="CI226" s="254">
        <f>IF(ISNUMBER(CI179),CI179+N(CI218),"")</f>
        <v>599356.932525938</v>
      </c>
      <c r="CJ226" s="254">
        <f>IF(ISNUMBER(CJ179),CJ179+N(CJ218),"")</f>
        <v>671698.960824128</v>
      </c>
      <c r="CK226" s="153" t="n"/>
    </row>
    <row r="227" ht="15" customHeight="1" s="251">
      <c r="B227" s="156" t="inlineStr">
        <is>
          <t xml:space="preserve">  Memo: company-published adjusted revenue</t>
        </is>
      </c>
      <c r="C227" s="34" t="n"/>
      <c r="D227" s="34" t="n"/>
      <c r="E227" s="34" t="n"/>
      <c r="F227" s="34" t="n"/>
      <c r="G227" s="34" t="n"/>
      <c r="H227" s="34" t="n"/>
      <c r="I227" s="253" t="n">
        <v>74263</v>
      </c>
      <c r="J227" s="253" t="n">
        <v>17364</v>
      </c>
      <c r="K227" s="253" t="n">
        <v>22002</v>
      </c>
      <c r="L227" s="253" t="n">
        <v>18831</v>
      </c>
      <c r="M227" s="253" t="n">
        <v>19114</v>
      </c>
      <c r="N227" s="253" t="n">
        <v>77309</v>
      </c>
      <c r="O227" s="253" t="n">
        <v>18642</v>
      </c>
      <c r="P227" s="253" t="n">
        <v>24519</v>
      </c>
      <c r="Q227" s="253" t="n">
        <v>20403</v>
      </c>
      <c r="R227" s="253" t="n">
        <v>23382</v>
      </c>
      <c r="S227" s="253" t="n">
        <v>86833</v>
      </c>
      <c r="T227" s="253" t="n">
        <v>23201</v>
      </c>
      <c r="U227" s="253" t="n">
        <v>26144</v>
      </c>
      <c r="V227" s="253" t="n">
        <v>21729</v>
      </c>
      <c r="W227" s="253" t="n">
        <v>22180</v>
      </c>
      <c r="X227" s="253" t="n">
        <v>93580</v>
      </c>
      <c r="Y227" s="253" t="n">
        <v>21660</v>
      </c>
      <c r="Z227" s="253" t="n">
        <v>25693</v>
      </c>
      <c r="AA227" s="253" t="n">
        <v>22076</v>
      </c>
      <c r="AB227" s="253" t="n">
        <v>22642</v>
      </c>
      <c r="AC227" s="253" t="n">
        <v>91963</v>
      </c>
      <c r="AD227" s="253" t="n">
        <v>22334</v>
      </c>
      <c r="AE227" s="253" t="n">
        <v>26066</v>
      </c>
      <c r="AF227" s="253" t="n">
        <v>23557</v>
      </c>
      <c r="AG227" s="253" t="n">
        <v>24700</v>
      </c>
      <c r="AH227" s="253" t="n">
        <v>96657</v>
      </c>
      <c r="AI227" s="253" t="n">
        <v>24538</v>
      </c>
      <c r="AJ227" s="253" t="n">
        <v>28918</v>
      </c>
      <c r="AK227" s="253" t="n">
        <v>26819</v>
      </c>
      <c r="AL227" s="253" t="n">
        <v>30085</v>
      </c>
      <c r="AM227" s="253" t="n">
        <v>110360</v>
      </c>
      <c r="AN227" s="253" t="n">
        <v>29084</v>
      </c>
      <c r="AO227" s="253" t="n">
        <v>32471</v>
      </c>
      <c r="AP227" s="253" t="n">
        <v>30571</v>
      </c>
      <c r="AQ227" s="253" t="n">
        <v>33717</v>
      </c>
      <c r="AR227" s="253" t="n">
        <v>125843</v>
      </c>
      <c r="AS227" s="253" t="n">
        <v>33055</v>
      </c>
      <c r="AT227" s="253" t="n">
        <v>36906</v>
      </c>
      <c r="AU227" s="253" t="n">
        <v>35021</v>
      </c>
      <c r="AV227" s="253" t="n">
        <v>38033</v>
      </c>
      <c r="AW227" s="253" t="n">
        <v>143015</v>
      </c>
      <c r="AX227" s="253" t="n">
        <v>37154</v>
      </c>
      <c r="AY227" s="253" t="n">
        <v>43076</v>
      </c>
      <c r="AZ227" s="253" t="n">
        <v>41706</v>
      </c>
      <c r="BA227" s="253" t="n">
        <v>46152</v>
      </c>
      <c r="BB227" s="253" t="n">
        <v>168088</v>
      </c>
      <c r="BC227" s="253" t="n">
        <v>45317</v>
      </c>
      <c r="BD227" s="253" t="n">
        <v>51728</v>
      </c>
      <c r="BE227" s="253" t="n">
        <v>49360</v>
      </c>
      <c r="BF227" s="253" t="n">
        <v>51865</v>
      </c>
      <c r="BG227" s="253" t="n">
        <v>198270</v>
      </c>
      <c r="BH227" s="253" t="n">
        <v>50122</v>
      </c>
      <c r="BI227" s="253" t="n">
        <v>52747</v>
      </c>
      <c r="BJ227" s="253" t="n">
        <v>52857</v>
      </c>
      <c r="BK227" s="253" t="n">
        <v>56189</v>
      </c>
      <c r="BL227" s="253" t="n">
        <v>211915</v>
      </c>
      <c r="BM227" s="253" t="n">
        <v>56517</v>
      </c>
      <c r="BN227" s="253" t="n">
        <v>62020</v>
      </c>
      <c r="BO227" s="253" t="n">
        <v>61858</v>
      </c>
      <c r="BP227" s="253" t="n">
        <v>64727</v>
      </c>
      <c r="BQ227" s="253" t="n">
        <v>245122</v>
      </c>
      <c r="BR227" s="253" t="n">
        <v>65585</v>
      </c>
      <c r="BS227" s="253" t="n">
        <v>69632</v>
      </c>
      <c r="BT227" s="253" t="n">
        <v>70066</v>
      </c>
      <c r="BU227" s="253" t="n">
        <v>76441</v>
      </c>
      <c r="BV227" s="253" t="n">
        <v>281724</v>
      </c>
      <c r="BW227" s="253" t="n">
        <v>77673</v>
      </c>
      <c r="BX227" s="253" t="n">
        <v>81273</v>
      </c>
      <c r="BY227" s="253" t="n">
        <v>82886</v>
      </c>
      <c r="BZ227" s="253" t="n">
        <v>90007</v>
      </c>
      <c r="CA227" s="253" t="n">
        <v>331839</v>
      </c>
      <c r="CB227" s="153" t="n"/>
      <c r="CC227" s="153" t="n"/>
      <c r="CD227" s="153" t="n"/>
      <c r="CE227" s="153" t="n"/>
      <c r="CF227" s="153" t="n"/>
      <c r="CG227" s="153" t="n"/>
      <c r="CH227" s="153" t="n"/>
      <c r="CI227" s="153" t="n"/>
      <c r="CJ227" s="153" t="n"/>
      <c r="CK227" s="153" t="n"/>
    </row>
    <row r="228" ht="15" customHeight="1" s="251">
      <c r="B228" s="57" t="inlineStr">
        <is>
          <t xml:space="preserve">  Check: adjusted revenue vs company-published (should be 0)</t>
        </is>
      </c>
      <c r="C228" s="211" t="str">
        <f>IF(ISNUMBER(C227),IF(ABS(C226-C227)&lt;=1,0,ROUND(C226-C227,0)),"n/p")</f>
        <v>n/p</v>
      </c>
      <c r="D228" s="211" t="str">
        <f>IF(ISNUMBER(D227),IF(ABS(D226-D227)&lt;=1,0,ROUND(D226-D227,0)),"n/p")</f>
        <v>n/p</v>
      </c>
      <c r="E228" s="211" t="str">
        <f>IF(ISNUMBER(E227),IF(ABS(E226-E227)&lt;=1,0,ROUND(E226-E227,0)),"n/p")</f>
        <v>n/p</v>
      </c>
      <c r="F228" s="211" t="str">
        <f>IF(ISNUMBER(F227),IF(ABS(F226-F227)&lt;=1,0,ROUND(F226-F227,0)),"n/p")</f>
        <v>n/p</v>
      </c>
      <c r="G228" s="211" t="str">
        <f>IF(ISNUMBER(G227),IF(ABS(G226-G227)&lt;=1,0,ROUND(G226-G227,0)),"n/p")</f>
        <v>n/p</v>
      </c>
      <c r="H228" s="211" t="str">
        <f>IF(ISNUMBER(H227),IF(ABS(H226-H227)&lt;=1,0,ROUND(H226-H227,0)),"n/p")</f>
        <v>n/p</v>
      </c>
      <c r="I228" s="211">
        <f>IF(ISNUMBER(I227),IF(ABS(I226-I227)&lt;=1,0,ROUND(I226-I227,0)),"n/p")</f>
        <v>0</v>
      </c>
      <c r="J228" s="211">
        <f>IF(ISNUMBER(J227),IF(ABS(J226-J227)&lt;=1,0,ROUND(J226-J227,0)),"n/p")</f>
        <v>0</v>
      </c>
      <c r="K228" s="211">
        <f>IF(ISNUMBER(K227),IF(ABS(K226-K227)&lt;=1,0,ROUND(K226-K227,0)),"n/p")</f>
        <v>0</v>
      </c>
      <c r="L228" s="211">
        <f>IF(ISNUMBER(L227),IF(ABS(L226-L227)&lt;=1,0,ROUND(L226-L227,0)),"n/p")</f>
        <v>0</v>
      </c>
      <c r="M228" s="211">
        <f>IF(ISNUMBER(M227),IF(ABS(M226-M227)&lt;=1,0,ROUND(M226-M227,0)),"n/p")</f>
        <v>0</v>
      </c>
      <c r="N228" s="211">
        <f>IF(ISNUMBER(N227),IF(ABS(N226-N227)&lt;=1,0,ROUND(N226-N227,0)),"n/p")</f>
        <v>0</v>
      </c>
      <c r="O228" s="211">
        <f>IF(ISNUMBER(O227),IF(ABS(O226-O227)&lt;=1,0,ROUND(O226-O227,0)),"n/p")</f>
        <v>0</v>
      </c>
      <c r="P228" s="211">
        <f>IF(ISNUMBER(P227),IF(ABS(P226-P227)&lt;=1,0,ROUND(P226-P227,0)),"n/p")</f>
        <v>0</v>
      </c>
      <c r="Q228" s="211">
        <f>IF(ISNUMBER(Q227),IF(ABS(Q226-Q227)&lt;=1,0,ROUND(Q226-Q227,0)),"n/p")</f>
        <v>0</v>
      </c>
      <c r="R228" s="211">
        <f>IF(ISNUMBER(R227),IF(ABS(R226-R227)&lt;=1,0,ROUND(R226-R227,0)),"n/p")</f>
        <v>0</v>
      </c>
      <c r="S228" s="211">
        <f>IF(ISNUMBER(S227),IF(ABS(S226-S227)&lt;=1,0,ROUND(S226-S227,0)),"n/p")</f>
        <v>0</v>
      </c>
      <c r="T228" s="211">
        <f>IF(ISNUMBER(T227),IF(ABS(T226-T227)&lt;=1,0,ROUND(T226-T227,0)),"n/p")</f>
        <v>0</v>
      </c>
      <c r="U228" s="211">
        <f>IF(ISNUMBER(U227),IF(ABS(U226-U227)&lt;=1,0,ROUND(U226-U227,0)),"n/p")</f>
        <v>0</v>
      </c>
      <c r="V228" s="211">
        <f>IF(ISNUMBER(V227),IF(ABS(V226-V227)&lt;=1,0,ROUND(V226-V227,0)),"n/p")</f>
        <v>0</v>
      </c>
      <c r="W228" s="211">
        <f>IF(ISNUMBER(W227),IF(ABS(W226-W227)&lt;=1,0,ROUND(W226-W227,0)),"n/p")</f>
        <v>0</v>
      </c>
      <c r="X228" s="211">
        <f>IF(ISNUMBER(X227),IF(ABS(X226-X227)&lt;=1,0,ROUND(X226-X227,0)),"n/p")</f>
        <v>0</v>
      </c>
      <c r="Y228" s="211">
        <f>IF(ISNUMBER(Y227),IF(ABS(Y226-Y227)&lt;=1,0,ROUND(Y226-Y227,0)),"n/p")</f>
        <v>0</v>
      </c>
      <c r="Z228" s="211">
        <f>IF(ISNUMBER(Z227),IF(ABS(Z226-Z227)&lt;=1,0,ROUND(Z226-Z227,0)),"n/p")</f>
        <v>0</v>
      </c>
      <c r="AA228" s="211">
        <f>IF(ISNUMBER(AA227),IF(ABS(AA226-AA227)&lt;=1,0,ROUND(AA226-AA227,0)),"n/p")</f>
        <v>0</v>
      </c>
      <c r="AB228" s="211">
        <f>IF(ISNUMBER(AB227),IF(ABS(AB226-AB227)&lt;=1,0,ROUND(AB226-AB227,0)),"n/p")</f>
        <v>0</v>
      </c>
      <c r="AC228" s="211">
        <f>IF(ISNUMBER(AC227),IF(ABS(AC226-AC227)&lt;=1,0,ROUND(AC226-AC227,0)),"n/p")</f>
        <v>0</v>
      </c>
      <c r="AD228" s="211">
        <f>IF(ISNUMBER(AD227),IF(ABS(AD226-AD227)&lt;=1,0,ROUND(AD226-AD227,0)),"n/p")</f>
        <v>0</v>
      </c>
      <c r="AE228" s="211">
        <f>IF(ISNUMBER(AE227),IF(ABS(AE226-AE227)&lt;=1,0,ROUND(AE226-AE227,0)),"n/p")</f>
        <v>0</v>
      </c>
      <c r="AF228" s="211">
        <f>IF(ISNUMBER(AF227),IF(ABS(AF226-AF227)&lt;=1,0,ROUND(AF226-AF227,0)),"n/p")</f>
        <v>0</v>
      </c>
      <c r="AG228" s="211">
        <f>IF(ISNUMBER(AG227),IF(ABS(AG226-AG227)&lt;=1,0,ROUND(AG226-AG227,0)),"n/p")</f>
        <v>0</v>
      </c>
      <c r="AH228" s="211">
        <f>IF(ISNUMBER(AH227),IF(ABS(AH226-AH227)&lt;=1,0,ROUND(AH226-AH227,0)),"n/p")</f>
        <v>0</v>
      </c>
      <c r="AI228" s="211">
        <f>IF(ISNUMBER(AI227),IF(ABS(AI226-AI227)&lt;=1,0,ROUND(AI226-AI227,0)),"n/p")</f>
        <v>0</v>
      </c>
      <c r="AJ228" s="211">
        <f>IF(ISNUMBER(AJ227),IF(ABS(AJ226-AJ227)&lt;=1,0,ROUND(AJ226-AJ227,0)),"n/p")</f>
        <v>0</v>
      </c>
      <c r="AK228" s="211">
        <f>IF(ISNUMBER(AK227),IF(ABS(AK226-AK227)&lt;=1,0,ROUND(AK226-AK227,0)),"n/p")</f>
        <v>0</v>
      </c>
      <c r="AL228" s="211">
        <f>IF(ISNUMBER(AL227),IF(ABS(AL226-AL227)&lt;=1,0,ROUND(AL226-AL227,0)),"n/p")</f>
        <v>0</v>
      </c>
      <c r="AM228" s="211">
        <f>IF(ISNUMBER(AM227),IF(ABS(AM226-AM227)&lt;=1,0,ROUND(AM226-AM227,0)),"n/p")</f>
        <v>0</v>
      </c>
      <c r="AN228" s="211">
        <f>IF(ISNUMBER(AN227),IF(ABS(AN226-AN227)&lt;=1,0,ROUND(AN226-AN227,0)),"n/p")</f>
        <v>0</v>
      </c>
      <c r="AO228" s="211">
        <f>IF(ISNUMBER(AO227),IF(ABS(AO226-AO227)&lt;=1,0,ROUND(AO226-AO227,0)),"n/p")</f>
        <v>0</v>
      </c>
      <c r="AP228" s="211">
        <f>IF(ISNUMBER(AP227),IF(ABS(AP226-AP227)&lt;=1,0,ROUND(AP226-AP227,0)),"n/p")</f>
        <v>0</v>
      </c>
      <c r="AQ228" s="211">
        <f>IF(ISNUMBER(AQ227),IF(ABS(AQ226-AQ227)&lt;=1,0,ROUND(AQ226-AQ227,0)),"n/p")</f>
        <v>0</v>
      </c>
      <c r="AR228" s="211">
        <f>IF(ISNUMBER(AR227),IF(ABS(AR226-AR227)&lt;=1,0,ROUND(AR226-AR227,0)),"n/p")</f>
        <v>0</v>
      </c>
      <c r="AS228" s="211">
        <f>IF(ISNUMBER(AS227),IF(ABS(AS226-AS227)&lt;=1,0,ROUND(AS226-AS227,0)),"n/p")</f>
        <v>0</v>
      </c>
      <c r="AT228" s="211">
        <f>IF(ISNUMBER(AT227),IF(ABS(AT226-AT227)&lt;=1,0,ROUND(AT226-AT227,0)),"n/p")</f>
        <v>0</v>
      </c>
      <c r="AU228" s="211">
        <f>IF(ISNUMBER(AU227),IF(ABS(AU226-AU227)&lt;=1,0,ROUND(AU226-AU227,0)),"n/p")</f>
        <v>0</v>
      </c>
      <c r="AV228" s="211">
        <f>IF(ISNUMBER(AV227),IF(ABS(AV226-AV227)&lt;=1,0,ROUND(AV226-AV227,0)),"n/p")</f>
        <v>0</v>
      </c>
      <c r="AW228" s="211">
        <f>IF(ISNUMBER(AW227),IF(ABS(AW226-AW227)&lt;=1,0,ROUND(AW226-AW227,0)),"n/p")</f>
        <v>0</v>
      </c>
      <c r="AX228" s="211">
        <f>IF(ISNUMBER(AX227),IF(ABS(AX226-AX227)&lt;=1,0,ROUND(AX226-AX227,0)),"n/p")</f>
        <v>0</v>
      </c>
      <c r="AY228" s="211">
        <f>IF(ISNUMBER(AY227),IF(ABS(AY226-AY227)&lt;=1,0,ROUND(AY226-AY227,0)),"n/p")</f>
        <v>0</v>
      </c>
      <c r="AZ228" s="211">
        <f>IF(ISNUMBER(AZ227),IF(ABS(AZ226-AZ227)&lt;=1,0,ROUND(AZ226-AZ227,0)),"n/p")</f>
        <v>0</v>
      </c>
      <c r="BA228" s="211">
        <f>IF(ISNUMBER(BA227),IF(ABS(BA226-BA227)&lt;=1,0,ROUND(BA226-BA227,0)),"n/p")</f>
        <v>0</v>
      </c>
      <c r="BB228" s="211">
        <f>IF(ISNUMBER(BB227),IF(ABS(BB226-BB227)&lt;=1,0,ROUND(BB226-BB227,0)),"n/p")</f>
        <v>0</v>
      </c>
      <c r="BC228" s="211">
        <f>IF(ISNUMBER(BC227),IF(ABS(BC226-BC227)&lt;=1,0,ROUND(BC226-BC227,0)),"n/p")</f>
        <v>0</v>
      </c>
      <c r="BD228" s="211">
        <f>IF(ISNUMBER(BD227),IF(ABS(BD226-BD227)&lt;=1,0,ROUND(BD226-BD227,0)),"n/p")</f>
        <v>0</v>
      </c>
      <c r="BE228" s="211">
        <f>IF(ISNUMBER(BE227),IF(ABS(BE226-BE227)&lt;=1,0,ROUND(BE226-BE227,0)),"n/p")</f>
        <v>0</v>
      </c>
      <c r="BF228" s="211">
        <f>IF(ISNUMBER(BF227),IF(ABS(BF226-BF227)&lt;=1,0,ROUND(BF226-BF227,0)),"n/p")</f>
        <v>0</v>
      </c>
      <c r="BG228" s="211">
        <f>IF(ISNUMBER(BG227),IF(ABS(BG226-BG227)&lt;=1,0,ROUND(BG226-BG227,0)),"n/p")</f>
        <v>0</v>
      </c>
      <c r="BH228" s="211">
        <f>IF(ISNUMBER(BH227),IF(ABS(BH226-BH227)&lt;=1,0,ROUND(BH226-BH227,0)),"n/p")</f>
        <v>0</v>
      </c>
      <c r="BI228" s="211">
        <f>IF(ISNUMBER(BI227),IF(ABS(BI226-BI227)&lt;=1,0,ROUND(BI226-BI227,0)),"n/p")</f>
        <v>0</v>
      </c>
      <c r="BJ228" s="211">
        <f>IF(ISNUMBER(BJ227),IF(ABS(BJ226-BJ227)&lt;=1,0,ROUND(BJ226-BJ227,0)),"n/p")</f>
        <v>0</v>
      </c>
      <c r="BK228" s="211">
        <f>IF(ISNUMBER(BK227),IF(ABS(BK226-BK227)&lt;=1,0,ROUND(BK226-BK227,0)),"n/p")</f>
        <v>0</v>
      </c>
      <c r="BL228" s="211">
        <f>IF(ISNUMBER(BL227),IF(ABS(BL226-BL227)&lt;=1,0,ROUND(BL226-BL227,0)),"n/p")</f>
        <v>0</v>
      </c>
      <c r="BM228" s="211">
        <f>IF(ISNUMBER(BM227),IF(ABS(BM226-BM227)&lt;=1,0,ROUND(BM226-BM227,0)),"n/p")</f>
        <v>0</v>
      </c>
      <c r="BN228" s="211">
        <f>IF(ISNUMBER(BN227),IF(ABS(BN226-BN227)&lt;=1,0,ROUND(BN226-BN227,0)),"n/p")</f>
        <v>0</v>
      </c>
      <c r="BO228" s="211">
        <f>IF(ISNUMBER(BO227),IF(ABS(BO226-BO227)&lt;=1,0,ROUND(BO226-BO227,0)),"n/p")</f>
        <v>0</v>
      </c>
      <c r="BP228" s="211">
        <f>IF(ISNUMBER(BP227),IF(ABS(BP226-BP227)&lt;=1,0,ROUND(BP226-BP227,0)),"n/p")</f>
        <v>0</v>
      </c>
      <c r="BQ228" s="211">
        <f>IF(ISNUMBER(BQ227),IF(ABS(BQ226-BQ227)&lt;=1,0,ROUND(BQ226-BQ227,0)),"n/p")</f>
        <v>0</v>
      </c>
      <c r="BR228" s="211">
        <f>IF(ISNUMBER(BR227),IF(ABS(BR226-BR227)&lt;=1,0,ROUND(BR226-BR227,0)),"n/p")</f>
        <v>0</v>
      </c>
      <c r="BS228" s="211">
        <f>IF(ISNUMBER(BS227),IF(ABS(BS226-BS227)&lt;=1,0,ROUND(BS226-BS227,0)),"n/p")</f>
        <v>0</v>
      </c>
      <c r="BT228" s="211">
        <f>IF(ISNUMBER(BT227),IF(ABS(BT226-BT227)&lt;=1,0,ROUND(BT226-BT227,0)),"n/p")</f>
        <v>0</v>
      </c>
      <c r="BU228" s="211">
        <f>IF(ISNUMBER(BU227),IF(ABS(BU226-BU227)&lt;=1,0,ROUND(BU226-BU227,0)),"n/p")</f>
        <v>0</v>
      </c>
      <c r="BV228" s="211">
        <f>IF(ISNUMBER(BV227),IF(ABS(BV226-BV227)&lt;=1,0,ROUND(BV226-BV227,0)),"n/p")</f>
        <v>0</v>
      </c>
      <c r="BW228" s="211">
        <f>IF(ISNUMBER(BW227),IF(ABS(BW226-BW227)&lt;=1,0,ROUND(BW226-BW227,0)),"n/p")</f>
        <v>0</v>
      </c>
      <c r="BX228" s="211">
        <f>IF(ISNUMBER(BX227),IF(ABS(BX226-BX227)&lt;=1,0,ROUND(BX226-BX227,0)),"n/p")</f>
        <v>0</v>
      </c>
      <c r="BY228" s="211">
        <f>IF(ISNUMBER(BY227),IF(ABS(BY226-BY227)&lt;=1,0,ROUND(BY226-BY227,0)),"n/p")</f>
        <v>0</v>
      </c>
      <c r="BZ228" s="211">
        <f>IF(ISNUMBER(BZ227),IF(ABS(BZ226-BZ227)&lt;=1,0,ROUND(BZ226-BZ227,0)),"n/p")</f>
        <v>0</v>
      </c>
      <c r="CA228" s="211">
        <f>IF(ISNUMBER(CA227),IF(ABS(CA226-CA227)&lt;=1,0,ROUND(CA226-CA227,0)),"n/p")</f>
        <v>0</v>
      </c>
      <c r="CB228" s="153" t="n"/>
      <c r="CC228" s="153" t="n"/>
      <c r="CD228" s="153" t="n"/>
      <c r="CE228" s="153" t="n"/>
      <c r="CF228" s="153" t="n"/>
      <c r="CG228" s="153" t="n"/>
      <c r="CH228" s="153" t="n"/>
      <c r="CI228" s="153" t="n"/>
      <c r="CJ228" s="153" t="n"/>
      <c r="CK228" s="153" t="n"/>
    </row>
    <row r="229" ht="15" customHeight="1" s="251">
      <c r="B229" s="158" t="inlineStr">
        <is>
          <t xml:space="preserve">  Definition / basis (company adjusted definition in force)</t>
        </is>
      </c>
      <c r="C229" s="276" t="inlineStr">
        <is>
          <t>FY2006–FY2011: no adjusted measures published — adjusted = GAAP (flag)</t>
        </is>
      </c>
      <c r="I229" s="276" t="inlineStr">
        <is>
          <t>FY2012–Q1 FY14: revenue deferrals for Windows / Office upgrade offers and pre-sales; FY2012 goodwill impairment; Q3 FY13 EC fine</t>
        </is>
      </c>
      <c r="T229" s="276" t="inlineStr">
        <is>
          <t>FY2015: impairment, integration &amp; restructuring (Nokia)</t>
        </is>
      </c>
      <c r="Y229" s="276" t="inlineStr">
        <is>
          <t>FY2016–FY2017: Windows 10 revenue deferrals + impairment / integration / restructuring</t>
        </is>
      </c>
      <c r="AI229" s="276" t="inlineStr">
        <is>
          <t>FY2018+ (ASC 606): no operating adjustments except Q2 FY23 severance, hardware impairment &amp; lease consolidation ($1,171m)</t>
        </is>
      </c>
      <c r="CB229" s="153" t="n"/>
      <c r="CC229" s="153" t="n"/>
      <c r="CD229" s="153" t="n"/>
      <c r="CE229" s="153" t="n"/>
      <c r="CF229" s="153" t="n"/>
      <c r="CG229" s="153" t="n"/>
      <c r="CH229" s="153" t="n"/>
      <c r="CI229" s="153" t="n"/>
      <c r="CJ229" s="153" t="n"/>
      <c r="CK229" s="19" t="inlineStr">
        <is>
          <t>Basis changes are flagged in the column where they take effect (cell comment gives the detail).</t>
        </is>
      </c>
    </row>
    <row r="230" ht="15" customHeight="1" s="251">
      <c r="B230" s="22" t="inlineStr">
        <is>
          <t xml:space="preserve">  Adjusted operating income y/y %</t>
        </is>
      </c>
      <c r="C230" s="23" t="n"/>
      <c r="D230" s="255">
        <f>IF(AND(ISNUMBER(D222),ISNUMBER(C222)),IFERROR(D222/C222-1,""),"")</f>
        <v>0.124575036425449</v>
      </c>
      <c r="E230" s="255">
        <f>IF(AND(ISNUMBER(E222),ISNUMBER(D222)),IFERROR(E222/D222-1,""),"")</f>
        <v>0.2142085942561</v>
      </c>
      <c r="F230" s="255">
        <f>IF(AND(ISNUMBER(F222),ISNUMBER(E222)),IFERROR(F222/E222-1,""),"")</f>
        <v>-0.0946558776453851</v>
      </c>
      <c r="G230" s="255">
        <f>IF(AND(ISNUMBER(G222),ISNUMBER(F222)),IFERROR(G222/F222-1,""),"")</f>
        <v>0.183420910474881</v>
      </c>
      <c r="H230" s="255">
        <f>IF(AND(ISNUMBER(H222),ISNUMBER(G222)),IFERROR(H222/G222-1,""),"")</f>
        <v>0.127105983899079</v>
      </c>
      <c r="I230" s="255">
        <f>IF(AND(ISNUMBER(I222),ISNUMBER(H222)),IFERROR(I222/H222-1,""),"")</f>
        <v>0.0491513567247155</v>
      </c>
      <c r="J230" s="23" t="n"/>
      <c r="K230" s="23" t="n"/>
      <c r="L230" s="23" t="n"/>
      <c r="M230" s="23" t="n"/>
      <c r="N230" s="255">
        <f>IF(AND(ISNUMBER(N222),ISNUMBER(I222)),IFERROR(N222/I222-1,""),"")</f>
        <v>-0.0540075800112296</v>
      </c>
      <c r="O230" s="255">
        <f>IF(AND(ISNUMBER(O222),ISNUMBER(J222)),IFERROR(O222/J222-1,""),"")</f>
        <v>-0.032563025210084</v>
      </c>
      <c r="P230" s="255">
        <f>IF(AND(ISNUMBER(P222),ISNUMBER(K222)),IFERROR(P222/K222-1,""),"")</f>
        <v>-0.0418420103402669</v>
      </c>
      <c r="Q230" s="255">
        <f>IF(AND(ISNUMBER(Q222),ISNUMBER(L222)),IFERROR(Q222/L222-1,""),"")</f>
        <v>0.0429190967548976</v>
      </c>
      <c r="R230" s="255">
        <f>IF(AND(ISNUMBER(R222),ISNUMBER(M222)),IFERROR(R222/M222-1,""),"")</f>
        <v>0.225099225099225</v>
      </c>
      <c r="S230" s="255">
        <f>IF(AND(ISNUMBER(S222),ISNUMBER(N222)),IFERROR(S222/N222-1,""),"")</f>
        <v>0.029751085061394</v>
      </c>
      <c r="T230" s="255">
        <f>IF(AND(ISNUMBER(T222),ISNUMBER(O222)),IFERROR(T222/O222-1,""),"")</f>
        <v>0.0832945556072593</v>
      </c>
      <c r="U230" s="255">
        <f>IF(AND(ISNUMBER(U222),ISNUMBER(P222)),IFERROR(U222/P222-1,""),"")</f>
        <v>-0.0346342075542728</v>
      </c>
      <c r="V230" s="255">
        <f>IF(AND(ISNUMBER(V222),ISNUMBER(Q222)),IFERROR(V222/Q222-1,""),"")</f>
        <v>-0.0272440493260683</v>
      </c>
      <c r="W230" s="255">
        <f>IF(AND(ISNUMBER(W222),ISNUMBER(R222)),IFERROR(W222/R222-1,""),"")</f>
        <v>-0.0149645171243443</v>
      </c>
      <c r="X230" s="255">
        <f>IF(AND(ISNUMBER(X222),ISNUMBER(S222)),IFERROR(X222/S222-1,""),"")</f>
        <v>0.0148780575669152</v>
      </c>
      <c r="Y230" s="255">
        <f>IF(AND(ISNUMBER(Y222),ISNUMBER(T222)),IFERROR(Y222/T222-1,""),"")</f>
        <v>0.0128865979381443</v>
      </c>
      <c r="Z230" s="255">
        <f>IF(AND(ISNUMBER(Z222),ISNUMBER(U222)),IFERROR(Z222/U222-1,""),"")</f>
        <v>0.0298973092421682</v>
      </c>
      <c r="AA230" s="255">
        <f>IF(AND(ISNUMBER(AA222),ISNUMBER(V222)),IFERROR(AA222/V222-1,""),"")</f>
        <v>0.00648584905660377</v>
      </c>
      <c r="AB230" s="255">
        <f>IF(AND(ISNUMBER(AB222),ISNUMBER(W222)),IFERROR(AB222/W222-1,""),"")</f>
        <v>-0.0261550509005482</v>
      </c>
      <c r="AC230" s="255">
        <f>IF(AND(ISNUMBER(AC222),ISNUMBER(X222)),IFERROR(AC222/X222-1,""),"")</f>
        <v>-0.00841260826352408</v>
      </c>
      <c r="AD230" s="255">
        <f>IF(AND(ISNUMBER(AD222),ISNUMBER(Y222)),IFERROR(AD222/Y222-1,""),"")</f>
        <v>0.00452360757704273</v>
      </c>
      <c r="AE230" s="255">
        <f>IF(AND(ISNUMBER(AE222),ISNUMBER(Z222)),IFERROR(AE222/Z222-1,""),"")</f>
        <v>0.0290294080525053</v>
      </c>
      <c r="AF230" s="255">
        <f>IF(AND(ISNUMBER(AF222),ISNUMBER(AA222)),IFERROR(AF222/AA222-1,""),"")</f>
        <v>0.0341241944932631</v>
      </c>
      <c r="AG230" s="255">
        <f>IF(AND(ISNUMBER(AG222),ISNUMBER(AB222)),IFERROR(AG222/AB222-1,""),"")</f>
        <v>0.128819556127372</v>
      </c>
      <c r="AH230" s="255">
        <f>IF(AND(ISNUMBER(AH222),ISNUMBER(AC222)),IFERROR(AH222/AC222-1,""),"")</f>
        <v>0.0502595310542331</v>
      </c>
      <c r="AI230" s="255">
        <f>IF(AND(ISNUMBER(AI222),ISNUMBER(AD222)),IFERROR(AI222/AD222-1,""),"")</f>
        <v>0.0847171404446947</v>
      </c>
      <c r="AJ230" s="255">
        <f>IF(AND(ISNUMBER(AJ222),ISNUMBER(AE222)),IFERROR(AJ222/AE222-1,""),"")</f>
        <v>0.064516129032258</v>
      </c>
      <c r="AK230" s="255">
        <f>IF(AND(ISNUMBER(AK222),ISNUMBER(AF222)),IFERROR(AK222/AF222-1,""),"")</f>
        <v>0.174337912476986</v>
      </c>
      <c r="AL230" s="255">
        <f>IF(AND(ISNUMBER(AL222),ISNUMBER(AG222)),IFERROR(AL222/AG222-1,""),"")</f>
        <v>0.478700669611056</v>
      </c>
      <c r="AM230" s="255">
        <f>IF(AND(ISNUMBER(AM222),ISNUMBER(AH222)),IFERROR(AM222/AH222-1,""),"")</f>
        <v>0.194928252496677</v>
      </c>
      <c r="AN230" s="255">
        <f>IF(AND(ISNUMBER(AN222),ISNUMBER(AI222)),IFERROR(AN222/AI222-1,""),"")</f>
        <v>0.291515308770109</v>
      </c>
      <c r="AO230" s="255">
        <f>IF(AND(ISNUMBER(AO222),ISNUMBER(AJ222)),IFERROR(AO222/AJ222-1,""),"")</f>
        <v>0.181933402465722</v>
      </c>
      <c r="AP230" s="255">
        <f>IF(AND(ISNUMBER(AP222),ISNUMBER(AK222)),IFERROR(AP222/AK222-1,""),"")</f>
        <v>0.247105643994211</v>
      </c>
      <c r="AQ230" s="255">
        <f>IF(AND(ISNUMBER(AQ222),ISNUMBER(AL222)),IFERROR(AQ222/AL222-1,""),"")</f>
        <v>0.195201849889199</v>
      </c>
      <c r="AR230" s="255">
        <f>IF(AND(ISNUMBER(AR222),ISNUMBER(AM222)),IFERROR(AR222/AM222-1,""),"")</f>
        <v>0.225369387871527</v>
      </c>
      <c r="AS230" s="255">
        <f>IF(AND(ISNUMBER(AS222),ISNUMBER(AN222)),IFERROR(AS222/AN222-1,""),"")</f>
        <v>0.274334505273732</v>
      </c>
      <c r="AT230" s="255">
        <f>IF(AND(ISNUMBER(AT222),ISNUMBER(AO222)),IFERROR(AT222/AO222-1,""),"")</f>
        <v>0.354162604796257</v>
      </c>
      <c r="AU230" s="255">
        <f>IF(AND(ISNUMBER(AU222),ISNUMBER(AP222)),IFERROR(AU222/AP222-1,""),"")</f>
        <v>0.25471424427038</v>
      </c>
      <c r="AV230" s="255">
        <f>IF(AND(ISNUMBER(AV222),ISNUMBER(AQ222)),IFERROR(AV222/AQ222-1,""),"")</f>
        <v>0.0807738814993955</v>
      </c>
      <c r="AW230" s="255">
        <f>IF(AND(ISNUMBER(AW222),ISNUMBER(AR222)),IFERROR(AW222/AR222-1,""),"")</f>
        <v>0.232780092646477</v>
      </c>
      <c r="AX230" s="255">
        <f>IF(AND(ISNUMBER(AX222),ISNUMBER(AS222)),IFERROR(AX222/AS222-1,""),"")</f>
        <v>0.251458300488728</v>
      </c>
      <c r="AY230" s="255">
        <f>IF(AND(ISNUMBER(AY222),ISNUMBER(AT222)),IFERROR(AY222/AT222-1,""),"")</f>
        <v>0.28838816499892</v>
      </c>
      <c r="AZ230" s="255">
        <f>IF(AND(ISNUMBER(AZ222),ISNUMBER(AU222)),IFERROR(AZ222/AU222-1,""),"")</f>
        <v>0.313911368015414</v>
      </c>
      <c r="BA230" s="255">
        <f>IF(AND(ISNUMBER(BA222),ISNUMBER(AV222)),IFERROR(BA222/AV222-1,""),"")</f>
        <v>0.424255985679123</v>
      </c>
      <c r="BB230" s="255">
        <f>IF(AND(ISNUMBER(BB222),ISNUMBER(AW222)),IFERROR(BB222/AW222-1,""),"")</f>
        <v>0.320191091221511</v>
      </c>
      <c r="BC230" s="255">
        <f>IF(AND(ISNUMBER(BC222),ISNUMBER(AX222)),IFERROR(BC222/AX222-1,""),"")</f>
        <v>0.274754346182918</v>
      </c>
      <c r="BD230" s="255">
        <f>IF(AND(ISNUMBER(BD222),ISNUMBER(AY222)),IFERROR(BD222/AY222-1,""),"")</f>
        <v>0.243057495669665</v>
      </c>
      <c r="BE230" s="255">
        <f>IF(AND(ISNUMBER(BE222),ISNUMBER(AZ222)),IFERROR(BE222/AZ222-1,""),"")</f>
        <v>0.194509619896762</v>
      </c>
      <c r="BF230" s="255">
        <f>IF(AND(ISNUMBER(BF222),ISNUMBER(BA222)),IFERROR(BF222/BA222-1,""),"")</f>
        <v>0.0753600418957843</v>
      </c>
      <c r="BG230" s="255">
        <f>IF(AND(ISNUMBER(BG222),ISNUMBER(BB222)),IFERROR(BG222/BB222-1,""),"")</f>
        <v>0.192616854511128</v>
      </c>
      <c r="BH230" s="255">
        <f>IF(AND(ISNUMBER(BH222),ISNUMBER(BC222)),IFERROR(BH222/BC222-1,""),"")</f>
        <v>0.0632473564581479</v>
      </c>
      <c r="BI230" s="255">
        <f>IF(AND(ISNUMBER(BI222),ISNUMBER(BD222)),IFERROR(BI222/BD222-1,""),"")</f>
        <v>-0.0304310693576662</v>
      </c>
      <c r="BJ230" s="255">
        <f>IF(AND(ISNUMBER(BJ222),ISNUMBER(BE222)),IFERROR(BJ222/BE222-1,""),"")</f>
        <v>0.0976232567275583</v>
      </c>
      <c r="BK230" s="255">
        <f>IF(AND(ISNUMBER(BK222),ISNUMBER(BF222)),IFERROR(BK222/BF222-1,""),"")</f>
        <v>0.181162949254894</v>
      </c>
      <c r="BL230" s="255">
        <f>IF(AND(ISNUMBER(BL222),ISNUMBER(BG222)),IFERROR(BL222/BG222-1,""),"")</f>
        <v>0.0756868906131945</v>
      </c>
      <c r="BM230" s="255">
        <f>IF(AND(ISNUMBER(BM222),ISNUMBER(BH222)),IFERROR(BM222/BH222-1,""),"")</f>
        <v>0.249883818198717</v>
      </c>
      <c r="BN230" s="255">
        <f>IF(AND(ISNUMBER(BN222),ISNUMBER(BI222)),IFERROR(BN222/BI222-1,""),"")</f>
        <v>0.253222067686602</v>
      </c>
      <c r="BO230" s="255">
        <f>IF(AND(ISNUMBER(BO222),ISNUMBER(BJ222)),IFERROR(BO222/BJ222-1,""),"")</f>
        <v>0.233938797423049</v>
      </c>
      <c r="BP230" s="255">
        <f>IF(AND(ISNUMBER(BP222),ISNUMBER(BK222)),IFERROR(BP222/BK222-1,""),"")</f>
        <v>0.151356477282098</v>
      </c>
      <c r="BQ230" s="255">
        <f>IF(AND(ISNUMBER(BQ222),ISNUMBER(BL222)),IFERROR(BQ222/BL222-1,""),"")</f>
        <v>0.220070461792316</v>
      </c>
      <c r="BR230" s="255">
        <f>IF(AND(ISNUMBER(BR222),ISNUMBER(BM222)),IFERROR(BR222/BM222-1,""),"")</f>
        <v>0.135973229224763</v>
      </c>
      <c r="BS230" s="255">
        <f>IF(AND(ISNUMBER(BS222),ISNUMBER(BN222)),IFERROR(BS222/BN222-1,""),"")</f>
        <v>0.170945546019532</v>
      </c>
      <c r="BT230" s="255">
        <f>IF(AND(ISNUMBER(BT222),ISNUMBER(BO222)),IFERROR(BT222/BO222-1,""),"")</f>
        <v>0.160218991334614</v>
      </c>
      <c r="BU230" s="255">
        <f>IF(AND(ISNUMBER(BU222),ISNUMBER(BP222)),IFERROR(BU222/BP222-1,""),"")</f>
        <v>0.22911369740376</v>
      </c>
      <c r="BV230" s="255">
        <f>IF(AND(ISNUMBER(BV222),ISNUMBER(BQ222)),IFERROR(BV222/BQ222-1,""),"")</f>
        <v>0.174490327414948</v>
      </c>
      <c r="BW230" s="255">
        <f>IF(AND(ISNUMBER(BW222),ISNUMBER(BR222)),IFERROR(BW222/BR222-1,""),"")</f>
        <v>0.242504582351401</v>
      </c>
      <c r="BX230" s="255">
        <f>IF(AND(ISNUMBER(BX222),ISNUMBER(BS222)),IFERROR(BX222/BS222-1,""),"")</f>
        <v>0.209206078412789</v>
      </c>
      <c r="BY230" s="255">
        <f>IF(AND(ISNUMBER(BY222),ISNUMBER(BT222)),IFERROR(BY222/BT222-1,""),"")</f>
        <v>0.1999375</v>
      </c>
      <c r="BZ230" s="255">
        <f>IF(AND(ISNUMBER(BZ222),ISNUMBER(BU222)),IFERROR(BZ222/BU222-1,""),"")</f>
        <v>0.182967689304548</v>
      </c>
      <c r="CA230" s="255">
        <f>IF(AND(ISNUMBER(CA222),ISNUMBER(BV222)),IFERROR(CA222/BV222-1,""),"")</f>
        <v>0.207806859205776</v>
      </c>
      <c r="CB230" s="256">
        <f>IF(AND(ISNUMBER(CB222),ISNUMBER(BW222)),IFERROR(CB222/BW222-1,""),"")</f>
        <v>0.155132899554806</v>
      </c>
      <c r="CC230" s="256">
        <f>IF(AND(ISNUMBER(CC222),ISNUMBER(BX222)),IFERROR(CC222/BX222-1,""),"")</f>
        <v>0.158613835493677</v>
      </c>
      <c r="CD230" s="256">
        <f>IF(AND(ISNUMBER(CD222),ISNUMBER(BY222)),IFERROR(CD222/BY222-1,""),"")</f>
        <v>0.164434250079145</v>
      </c>
      <c r="CE230" s="256">
        <f>IF(AND(ISNUMBER(CE222),ISNUMBER(BZ222)),IFERROR(CE222/BZ222-1,""),"")</f>
        <v>0.172160769160409</v>
      </c>
      <c r="CF230" s="256">
        <f>IF(AND(ISNUMBER(CF222),ISNUMBER(CA222)),IFERROR(CF222/CA222-1,""),"")</f>
        <v>0.162745573531308</v>
      </c>
      <c r="CG230" s="256">
        <f>IF(AND(ISNUMBER(CG222),ISNUMBER(CF222)),IFERROR(CG222/CF222-1,""),"")</f>
        <v>0.123506255313255</v>
      </c>
      <c r="CH230" s="256">
        <f>IF(AND(ISNUMBER(CH222),ISNUMBER(CG222)),IFERROR(CH222/CG222-1,""),"")</f>
        <v>0.151097081536053</v>
      </c>
      <c r="CI230" s="256">
        <f>IF(AND(ISNUMBER(CI222),ISNUMBER(CH222)),IFERROR(CI222/CH222-1,""),"")</f>
        <v>0.154577674193482</v>
      </c>
      <c r="CJ230" s="256">
        <f>IF(AND(ISNUMBER(CJ222),ISNUMBER(CI222)),IFERROR(CJ222/CI222-1,""),"")</f>
        <v>0.136163645844437</v>
      </c>
      <c r="CK230" s="153" t="n"/>
    </row>
    <row r="231" ht="15" customHeight="1" s="251">
      <c r="B231" s="25" t="inlineStr">
        <is>
          <t xml:space="preserve">  Incremental adjusted operating margin (Δ adjusted OI / Δ revenue)</t>
        </is>
      </c>
      <c r="C231" s="36" t="n"/>
      <c r="D231" s="215">
        <f>IFERROR((D222-C222)/(D179-C179),"")</f>
        <v>0.3</v>
      </c>
      <c r="E231" s="215">
        <f>IFERROR((E222-D222)/(E179-D179),"")</f>
        <v>0.426758442675844</v>
      </c>
      <c r="F231" s="215">
        <f>IFERROR((F222-E222)/(F179-E179),"")</f>
        <v>1.07362581946546</v>
      </c>
      <c r="G231" s="215">
        <f>IFERROR((G222-F222)/(G179-F179),"")</f>
        <v>0.92290585618977</v>
      </c>
      <c r="H231" s="215">
        <f>IFERROR((H222-G222)/(H179-G179),"")</f>
        <v>0.410644858560129</v>
      </c>
      <c r="I231" s="215">
        <f>IFERROR((I222-H222)/(I179-H179),"")</f>
        <v>0.353174603174603</v>
      </c>
      <c r="J231" s="36" t="n"/>
      <c r="K231" s="36" t="n"/>
      <c r="L231" s="36" t="n"/>
      <c r="M231" s="36" t="n"/>
      <c r="N231" s="215">
        <f>IFERROR((N222-I222)/(N179-I179),"")</f>
        <v>-0.373000484730974</v>
      </c>
      <c r="O231" s="215">
        <f>IFERROR((O222-J222)/(O179-J179),"")</f>
        <v>-0.0860769535898453</v>
      </c>
      <c r="P231" s="215">
        <f>IFERROR((P222-K222)/(P179-K179),"")</f>
        <v>-0.113614103819785</v>
      </c>
      <c r="Q231" s="215">
        <f>IFERROR((Q222-L222)/(Q179-L179),"")</f>
        <v>-3.33720930232558</v>
      </c>
      <c r="R231" s="215">
        <f>IFERROR((R222-M222)/(R179-M179),"")</f>
        <v>0.341652323580034</v>
      </c>
      <c r="S231" s="215">
        <f>IFERROR((S222-N222)/(S179-N179),"")</f>
        <v>0.0892698130008905</v>
      </c>
      <c r="T231" s="215">
        <f>IFERROR((T222-O222)/(T179-O179),"")</f>
        <v>0.114940068493151</v>
      </c>
      <c r="U231" s="215">
        <f>IFERROR((U222-P222)/(U179-P179),"")</f>
        <v>-0.141465914915428</v>
      </c>
      <c r="V231" s="215">
        <f>IFERROR((V222-Q222)/(V179-Q179),"")</f>
        <v>-0.143288084464555</v>
      </c>
      <c r="W231" s="215">
        <f>IFERROR((W222-R222)/(W179-R179),"")</f>
        <v>0.0806988352745424</v>
      </c>
      <c r="X231" s="215">
        <f>IFERROR((X222-S222)/(X179-S179),"")</f>
        <v>0.0612123906921595</v>
      </c>
      <c r="Y231" s="215">
        <f>IFERROR((Y222-T222)/(Y179-T179),"")</f>
        <v>-0.0318922749822821</v>
      </c>
      <c r="Z231" s="215">
        <f>IFERROR((Z222-U222)/(Z179-U179),"")</f>
        <v>-0.0860134629768138</v>
      </c>
      <c r="AA231" s="215">
        <f>IFERROR((AA222-V222)/(AA179-V179),"")</f>
        <v>-0.0367278797996661</v>
      </c>
      <c r="AB231" s="215">
        <f>IFERROR((AB222-W222)/(AB179-W179),"")</f>
        <v>0.106641123882503</v>
      </c>
      <c r="AC231" s="215">
        <f>IFERROR((AC222-X222)/(AC179-X179),"")</f>
        <v>0.0286924939467312</v>
      </c>
      <c r="AD231" s="215">
        <f>IFERROR((AD222-Y222)/(AD179-Y179),"")</f>
        <v>0.432432432432432</v>
      </c>
      <c r="AE231" s="215">
        <f>IFERROR((AE222-Z222)/(AE179-Z179),"")</f>
        <v>0.782312925170068</v>
      </c>
      <c r="AF231" s="215">
        <f>IFERROR((AF222-AA222)/(AF179-AA179),"")</f>
        <v>0.149454778704298</v>
      </c>
      <c r="AG231" s="215">
        <f>IFERROR((AG222-AB222)/(AG179-AB179),"")</f>
        <v>0.296337402885683</v>
      </c>
      <c r="AH231" s="215">
        <f>IFERROR((AH222-AC222)/(AH179-AC179),"")</f>
        <v>0.303239740820734</v>
      </c>
      <c r="AI231" s="215">
        <f>IFERROR((AI222-AD222)/(AI179-AD179),"")</f>
        <v>0.147368421052632</v>
      </c>
      <c r="AJ231" s="215">
        <f>IFERROR((AJ222-AE222)/(AJ179-AE179),"")</f>
        <v>0.108947804473902</v>
      </c>
      <c r="AK231" s="215">
        <f>IFERROR((AK222-AF222)/(AK179-AF179),"")</f>
        <v>0.260308733347431</v>
      </c>
      <c r="AL231" s="215">
        <f>IFERROR((AL222-AG222)/(AL179-AG179),"")</f>
        <v>0.49645390070922</v>
      </c>
      <c r="AM231" s="215">
        <f>IFERROR((AM222-AH222)/(AM179-AH179),"")</f>
        <v>0.280205781479667</v>
      </c>
      <c r="AN231" s="215">
        <f>IFERROR((AN222-AI222)/(AN179-AI179),"")</f>
        <v>0.494280686317642</v>
      </c>
      <c r="AO231" s="215">
        <f>IFERROR((AO222-AJ222)/(AO179-AJ179),"")</f>
        <v>0.444413171967352</v>
      </c>
      <c r="AP231" s="215">
        <f>IFERROR((AP222-AK222)/(AP179-AK179),"")</f>
        <v>0.546108742004264</v>
      </c>
      <c r="AQ231" s="215">
        <f>IFERROR((AQ222-AL222)/(AQ179-AL179),"")</f>
        <v>0.557819383259912</v>
      </c>
      <c r="AR231" s="215">
        <f>IFERROR((AR222-AM222)/(AR179-AM179),"")</f>
        <v>0.510301621132855</v>
      </c>
      <c r="AS231" s="215">
        <f>IFERROR((AS222-AN222)/(AS179-AN179),"")</f>
        <v>0.687736086628053</v>
      </c>
      <c r="AT231" s="215">
        <f>IFERROR((AT222-AO222)/(AT179-AO179),"")</f>
        <v>0.819165727170237</v>
      </c>
      <c r="AU231" s="215">
        <f>IFERROR((AU222-AP222)/(AU179-AP179),"")</f>
        <v>0.591910112359551</v>
      </c>
      <c r="AV231" s="215">
        <f>IFERROR((AV222-AQ222)/(AV179-AQ179),"")</f>
        <v>0.232159406858202</v>
      </c>
      <c r="AW231" s="215">
        <f>IFERROR((AW222-AR222)/(AW179-AR179),"")</f>
        <v>0.582343349638947</v>
      </c>
      <c r="AX231" s="215">
        <f>IFERROR((AX222-AS222)/(AX179-AS179),"")</f>
        <v>0.778238594779214</v>
      </c>
      <c r="AY231" s="215">
        <f>IFERROR((AY222-AT222)/(AY179-AT179),"")</f>
        <v>0.649270664505673</v>
      </c>
      <c r="AZ231" s="215">
        <f>IFERROR((AZ222-AU222)/(AZ179-AU179),"")</f>
        <v>0.60927449513837</v>
      </c>
      <c r="BA231" s="215">
        <f>IFERROR((BA222-AV222)/(BA179-AV179),"")</f>
        <v>0.700578889025742</v>
      </c>
      <c r="BB231" s="215">
        <f>IFERROR((BB222-AW222)/(BB179-AW179),"")</f>
        <v>0.676305188848562</v>
      </c>
      <c r="BC231" s="215">
        <f>IFERROR((BC222-AX222)/(BC179-AX179),"")</f>
        <v>0.53436236677692</v>
      </c>
      <c r="BD231" s="215">
        <f>IFERROR((BD222-AY222)/(BD179-AY179),"")</f>
        <v>0.502773925104022</v>
      </c>
      <c r="BE231" s="215">
        <f>IFERROR((BE222-AZ222)/(BE179-AZ179),"")</f>
        <v>0.433237522863862</v>
      </c>
      <c r="BF231" s="215">
        <f>IFERROR((BF222-BA222)/(BF179-BA179),"")</f>
        <v>0.25188167337651</v>
      </c>
      <c r="BG231" s="215">
        <f>IFERROR((BG222-BB222)/(BG179-BB179),"")</f>
        <v>0.446193095222318</v>
      </c>
      <c r="BH231" s="215">
        <f>IFERROR((BH222-BC222)/(BH179-BC179),"")</f>
        <v>0.266389177939646</v>
      </c>
      <c r="BI231" s="215">
        <f>IFERROR((BI222-BD222)/(BI179-BD179),"")</f>
        <v>-0.664376840039254</v>
      </c>
      <c r="BJ231" s="215">
        <f>IFERROR((BJ222-BE222)/(BJ179-BE179),"")</f>
        <v>0.568487274806977</v>
      </c>
      <c r="BK231" s="215">
        <f>IFERROR((BK222-BF222)/(BK179-BF179),"")</f>
        <v>0.860314523589269</v>
      </c>
      <c r="BL231" s="215">
        <f>IFERROR((BL222-BG222)/(BL179-BG179),"")</f>
        <v>0.462513741297178</v>
      </c>
      <c r="BM231" s="215">
        <f>IFERROR((BM222-BH222)/(BM179-BH179),"")</f>
        <v>0.840813135261923</v>
      </c>
      <c r="BN231" s="215">
        <f>IFERROR((BN222-BI222)/(BN179-BI179),"")</f>
        <v>0.589021891512995</v>
      </c>
      <c r="BO231" s="215">
        <f>IFERROR((BO222-BJ222)/(BO179-BJ179),"")</f>
        <v>0.580935451616487</v>
      </c>
      <c r="BP231" s="215">
        <f>IFERROR((BP222-BK222)/(BP179-BK179),"")</f>
        <v>0.429960178027641</v>
      </c>
      <c r="BQ231" s="215">
        <f>IFERROR((BQ222-BL222)/(BQ179-BL179),"")</f>
        <v>0.594422862649441</v>
      </c>
      <c r="BR231" s="215">
        <f>IFERROR((BR222-BM222)/(BR179-BM179),"")</f>
        <v>0.403286281429202</v>
      </c>
      <c r="BS231" s="215">
        <f>IFERROR((BS222-BN222)/(BS179-BN179),"")</f>
        <v>0.607067787703626</v>
      </c>
      <c r="BT231" s="215">
        <f>IFERROR((BT222-BO222)/(BT179-BO179),"")</f>
        <v>0.538377192982456</v>
      </c>
      <c r="BU231" s="215">
        <f>IFERROR((BU222-BP222)/(BU179-BP179),"")</f>
        <v>0.546184053269592</v>
      </c>
      <c r="BV231" s="215">
        <f>IFERROR((BV222-BQ222)/(BV179-BQ179),"")</f>
        <v>0.521692803671931</v>
      </c>
      <c r="BW231" s="215">
        <f>IFERROR((BW222-BR222)/(BW179-BR179),"")</f>
        <v>0.612921906022502</v>
      </c>
      <c r="BX231" s="215">
        <f>IFERROR((BX222-BS222)/(BX179-BS179),"")</f>
        <v>0.568851473241131</v>
      </c>
      <c r="BY231" s="215">
        <f>IFERROR((BY222-BT222)/(BY179-BT179),"")</f>
        <v>0.499063962558502</v>
      </c>
      <c r="BZ231" s="215">
        <f>IFERROR((BZ222-BU222)/(BZ179-BU179),"")</f>
        <v>0.462922010909627</v>
      </c>
      <c r="CA231" s="215">
        <f>IFERROR((CA222-BV222)/(CA179-BV179),"")</f>
        <v>0.532954205327746</v>
      </c>
      <c r="CB231" s="256">
        <f>IFERROR((CB222-BW222)/(CB179-BW179),"")</f>
        <v>0.462717058222677</v>
      </c>
      <c r="CC231" s="256">
        <f>IFERROR((CC222-BX222)/(CC179-BX179),"")</f>
        <v>0.448314241064545</v>
      </c>
      <c r="CD231" s="256">
        <f>IFERROR((CD222-BY222)/(CD179-BY179),"")</f>
        <v>0.432570549060542</v>
      </c>
      <c r="CE231" s="256">
        <f>IFERROR((CE222-BZ222)/(CE179-BZ179),"")</f>
        <v>0.42591581503004</v>
      </c>
      <c r="CF231" s="256">
        <f>IFERROR((CF222-CA222)/(CF179-CA179),"")</f>
        <v>0.441084424358855</v>
      </c>
      <c r="CG231" s="256">
        <f>IFERROR((CG222-CF222)/(CG179-CF179),"")</f>
        <v>0.336293074222476</v>
      </c>
      <c r="CH231" s="256">
        <f>IFERROR((CH222-CG222)/(CH179-CG179),"")</f>
        <v>0.428761640922121</v>
      </c>
      <c r="CI231" s="256">
        <f>IFERROR((CI222-CH222)/(CI179-CH179),"")</f>
        <v>0.497814108525224</v>
      </c>
      <c r="CJ231" s="256">
        <f>IFERROR((CJ222-CI222)/(CJ179-CI179),"")</f>
        <v>0.507295522644428</v>
      </c>
      <c r="CK231" s="153" t="n"/>
    </row>
    <row r="232" ht="15" customHeight="1" s="251">
      <c r="CS232" s="11" t="n"/>
      <c r="CT232" s="12" t="n"/>
      <c r="CU232" s="12" t="n"/>
      <c r="CV232" s="12" t="n"/>
      <c r="CW232" s="13" t="n"/>
    </row>
    <row r="233" ht="15" customHeight="1" s="251">
      <c r="B233" s="10" t="inlineStr">
        <is>
          <t>RECONCILIATION: NET INCOME → EBIT → EBITDA → ADJUSTED EBITDA (model definitions — Microsoft publishes no EBITDA)</t>
        </is>
      </c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  <c r="AO233" s="10" t="n"/>
      <c r="AP233" s="10" t="n"/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0" t="n"/>
      <c r="BC233" s="10" t="n"/>
      <c r="BD233" s="10" t="n"/>
      <c r="BE233" s="10" t="n"/>
      <c r="BF233" s="10" t="n"/>
      <c r="BG233" s="10" t="n"/>
      <c r="BH233" s="10" t="n"/>
      <c r="BI233" s="10" t="n"/>
      <c r="BJ233" s="10" t="n"/>
      <c r="BK233" s="10" t="n"/>
      <c r="BL233" s="10" t="n"/>
      <c r="BM233" s="10" t="n"/>
      <c r="BN233" s="10" t="n"/>
      <c r="BO233" s="10" t="n"/>
      <c r="BP233" s="10" t="n"/>
      <c r="BQ233" s="10" t="n"/>
      <c r="BR233" s="10" t="n"/>
      <c r="BS233" s="10" t="n"/>
      <c r="BT233" s="10" t="n"/>
      <c r="BU233" s="10" t="n"/>
      <c r="BV233" s="10" t="n"/>
      <c r="BW233" s="10" t="n"/>
      <c r="BX233" s="10" t="n"/>
      <c r="BY233" s="10" t="n"/>
      <c r="BZ233" s="10" t="n"/>
      <c r="CA233" s="10" t="n"/>
      <c r="CB233" s="10" t="n"/>
      <c r="CC233" s="10" t="n"/>
      <c r="CD233" s="10" t="n"/>
      <c r="CE233" s="10" t="n"/>
      <c r="CF233" s="10" t="n"/>
      <c r="CG233" s="10" t="n"/>
      <c r="CH233" s="10" t="n"/>
      <c r="CI233" s="10" t="n"/>
      <c r="CJ233" s="10" t="n"/>
      <c r="CK233" s="10" t="inlineStr">
        <is>
          <t>EBITDA (MODEL) — net income + taxes − other income (expense) = EBIT (= operating income); + depreciation, amortization &amp; other (cash-flow line) = EBITDA; + operating adjusting items = adjusted EBITDA</t>
        </is>
      </c>
    </row>
    <row r="234" ht="15" customHeight="1" s="251">
      <c r="B234" s="16" t="inlineStr">
        <is>
          <t>Net income (GAAP)</t>
        </is>
      </c>
      <c r="C234" s="260">
        <f>C201</f>
        <v>12599</v>
      </c>
      <c r="D234" s="260">
        <f>D201</f>
        <v>14065</v>
      </c>
      <c r="E234" s="260">
        <f>E201</f>
        <v>17681</v>
      </c>
      <c r="F234" s="260">
        <f>F201</f>
        <v>14569</v>
      </c>
      <c r="G234" s="260">
        <f>G201</f>
        <v>18760</v>
      </c>
      <c r="H234" s="260">
        <f>H201</f>
        <v>23150</v>
      </c>
      <c r="I234" s="260">
        <f>I201</f>
        <v>16978</v>
      </c>
      <c r="J234" s="260">
        <f>J201</f>
        <v>4466</v>
      </c>
      <c r="K234" s="260">
        <f>K201</f>
        <v>6377</v>
      </c>
      <c r="L234" s="260">
        <f>L201</f>
        <v>6055</v>
      </c>
      <c r="M234" s="260">
        <f>M201</f>
        <v>4965</v>
      </c>
      <c r="N234" s="260">
        <f>N201</f>
        <v>21863</v>
      </c>
      <c r="O234" s="260">
        <f>O201</f>
        <v>5244</v>
      </c>
      <c r="P234" s="260">
        <f>P201</f>
        <v>6558</v>
      </c>
      <c r="Q234" s="260">
        <f>Q201</f>
        <v>5660</v>
      </c>
      <c r="R234" s="260">
        <f>R201</f>
        <v>4612</v>
      </c>
      <c r="S234" s="260">
        <f>S201</f>
        <v>22074</v>
      </c>
      <c r="T234" s="260">
        <f>T201</f>
        <v>4540</v>
      </c>
      <c r="U234" s="260">
        <f>U201</f>
        <v>5863</v>
      </c>
      <c r="V234" s="260">
        <f>V201</f>
        <v>4985</v>
      </c>
      <c r="W234" s="260">
        <f>W201</f>
        <v>-3195</v>
      </c>
      <c r="X234" s="260">
        <f>X201</f>
        <v>12193</v>
      </c>
      <c r="Y234" s="260">
        <f>Y201</f>
        <v>4620</v>
      </c>
      <c r="Z234" s="260">
        <f>Z201</f>
        <v>4998</v>
      </c>
      <c r="AA234" s="260">
        <f>AA201</f>
        <v>3756</v>
      </c>
      <c r="AB234" s="260">
        <f>AB201</f>
        <v>3122</v>
      </c>
      <c r="AC234" s="260">
        <f>AC201</f>
        <v>16798</v>
      </c>
      <c r="AD234" s="260">
        <f>AD201</f>
        <v>4690</v>
      </c>
      <c r="AE234" s="260">
        <f>AE201</f>
        <v>5200</v>
      </c>
      <c r="AF234" s="260">
        <f>AF201</f>
        <v>4801</v>
      </c>
      <c r="AG234" s="260">
        <f>AG201</f>
        <v>6513</v>
      </c>
      <c r="AH234" s="260">
        <f>AH201</f>
        <v>21204</v>
      </c>
      <c r="AI234" s="260">
        <f>AI201</f>
        <v>6576</v>
      </c>
      <c r="AJ234" s="260">
        <f>AJ201</f>
        <v>-6302</v>
      </c>
      <c r="AK234" s="260">
        <f>AK201</f>
        <v>7424</v>
      </c>
      <c r="AL234" s="260">
        <f>AL201</f>
        <v>8873</v>
      </c>
      <c r="AM234" s="260">
        <f>AM201</f>
        <v>16571</v>
      </c>
      <c r="AN234" s="260">
        <f>AN201</f>
        <v>8824</v>
      </c>
      <c r="AO234" s="260">
        <f>AO201</f>
        <v>8420</v>
      </c>
      <c r="AP234" s="260">
        <f>AP201</f>
        <v>8809</v>
      </c>
      <c r="AQ234" s="260">
        <f>AQ201</f>
        <v>13187</v>
      </c>
      <c r="AR234" s="260">
        <f>AR201</f>
        <v>39240</v>
      </c>
      <c r="AS234" s="260">
        <f>AS201</f>
        <v>10678</v>
      </c>
      <c r="AT234" s="260">
        <f>AT201</f>
        <v>11649</v>
      </c>
      <c r="AU234" s="260">
        <f>AU201</f>
        <v>10752</v>
      </c>
      <c r="AV234" s="260">
        <f>AV201</f>
        <v>11202</v>
      </c>
      <c r="AW234" s="260">
        <f>AW201</f>
        <v>44281</v>
      </c>
      <c r="AX234" s="260">
        <f>AX201</f>
        <v>13893</v>
      </c>
      <c r="AY234" s="260">
        <f>AY201</f>
        <v>15463</v>
      </c>
      <c r="AZ234" s="260">
        <f>AZ201</f>
        <v>15457</v>
      </c>
      <c r="BA234" s="260">
        <f>BA201</f>
        <v>16458</v>
      </c>
      <c r="BB234" s="260">
        <f>BB201</f>
        <v>61271</v>
      </c>
      <c r="BC234" s="260">
        <f>BC201</f>
        <v>20505</v>
      </c>
      <c r="BD234" s="260">
        <f>BD201</f>
        <v>18765</v>
      </c>
      <c r="BE234" s="260">
        <f>BE201</f>
        <v>16728</v>
      </c>
      <c r="BF234" s="260">
        <f>BF201</f>
        <v>16740</v>
      </c>
      <c r="BG234" s="260">
        <f>BG201</f>
        <v>72738</v>
      </c>
      <c r="BH234" s="260">
        <f>BH201</f>
        <v>17556</v>
      </c>
      <c r="BI234" s="260">
        <f>BI201</f>
        <v>16425</v>
      </c>
      <c r="BJ234" s="260">
        <f>BJ201</f>
        <v>18299</v>
      </c>
      <c r="BK234" s="260">
        <f>BK201</f>
        <v>20081</v>
      </c>
      <c r="BL234" s="260">
        <f>BL201</f>
        <v>72361</v>
      </c>
      <c r="BM234" s="260">
        <f>BM201</f>
        <v>22291</v>
      </c>
      <c r="BN234" s="260">
        <f>BN201</f>
        <v>21870</v>
      </c>
      <c r="BO234" s="260">
        <f>BO201</f>
        <v>21939</v>
      </c>
      <c r="BP234" s="260">
        <f>BP201</f>
        <v>22036</v>
      </c>
      <c r="BQ234" s="260">
        <f>BQ201</f>
        <v>88136</v>
      </c>
      <c r="BR234" s="260">
        <f>BR201</f>
        <v>24667</v>
      </c>
      <c r="BS234" s="260">
        <f>BS201</f>
        <v>24108</v>
      </c>
      <c r="BT234" s="260">
        <f>BT201</f>
        <v>25824</v>
      </c>
      <c r="BU234" s="260">
        <f>BU201</f>
        <v>27233</v>
      </c>
      <c r="BV234" s="260">
        <f>BV201</f>
        <v>101832</v>
      </c>
      <c r="BW234" s="260">
        <f>BW201</f>
        <v>27747</v>
      </c>
      <c r="BX234" s="260">
        <f>BX201</f>
        <v>38458</v>
      </c>
      <c r="BY234" s="260">
        <f>BY201</f>
        <v>31778</v>
      </c>
      <c r="BZ234" s="260">
        <f>BZ201</f>
        <v>35766</v>
      </c>
      <c r="CA234" s="260">
        <f>CA201</f>
        <v>133749</v>
      </c>
      <c r="CB234" s="261">
        <f>CB201</f>
        <v>35000</v>
      </c>
      <c r="CC234" s="261">
        <f>CC201</f>
        <v>35396.7556428164</v>
      </c>
      <c r="CD234" s="261">
        <f>CD201</f>
        <v>35689.5570676312</v>
      </c>
      <c r="CE234" s="261">
        <f>CE201</f>
        <v>37994.5949681761</v>
      </c>
      <c r="CF234" s="261">
        <f>CF201</f>
        <v>144080.907678624</v>
      </c>
      <c r="CG234" s="261">
        <f>CG201</f>
        <v>162330.111225069</v>
      </c>
      <c r="CH234" s="261">
        <f>CH201</f>
        <v>186079.805839007</v>
      </c>
      <c r="CI234" s="261">
        <f>CI201</f>
        <v>214296.710383296</v>
      </c>
      <c r="CJ234" s="261">
        <f>CJ201</f>
        <v>243062.900482427</v>
      </c>
      <c r="CK234" s="153" t="n"/>
    </row>
    <row r="235" ht="15" customHeight="1" s="251">
      <c r="B235" s="25" t="inlineStr">
        <is>
          <t xml:space="preserve">  (+) Provision for income taxes</t>
        </is>
      </c>
      <c r="C235" s="211">
        <f>C199</f>
        <v>5663</v>
      </c>
      <c r="D235" s="211">
        <f>D199</f>
        <v>6036</v>
      </c>
      <c r="E235" s="211">
        <f>E199</f>
        <v>6133</v>
      </c>
      <c r="F235" s="211">
        <f>F199</f>
        <v>5252</v>
      </c>
      <c r="G235" s="211">
        <f>G199</f>
        <v>6253</v>
      </c>
      <c r="H235" s="211">
        <f>H199</f>
        <v>4921</v>
      </c>
      <c r="I235" s="211">
        <f>I199</f>
        <v>5289</v>
      </c>
      <c r="J235" s="211">
        <f>J199</f>
        <v>1068</v>
      </c>
      <c r="K235" s="211">
        <f>K199</f>
        <v>1393</v>
      </c>
      <c r="L235" s="211">
        <f>L199</f>
        <v>1548</v>
      </c>
      <c r="M235" s="211">
        <f>M199</f>
        <v>1180</v>
      </c>
      <c r="N235" s="211">
        <f>N199</f>
        <v>5189</v>
      </c>
      <c r="O235" s="211">
        <f>O199</f>
        <v>1164</v>
      </c>
      <c r="P235" s="211">
        <f>P199</f>
        <v>1320</v>
      </c>
      <c r="Q235" s="211">
        <f>Q199</f>
        <v>1297</v>
      </c>
      <c r="R235" s="211">
        <f>R199</f>
        <v>1965</v>
      </c>
      <c r="S235" s="211">
        <f>S199</f>
        <v>5746</v>
      </c>
      <c r="T235" s="211">
        <f>T199</f>
        <v>1356</v>
      </c>
      <c r="U235" s="211">
        <f>U199</f>
        <v>1987</v>
      </c>
      <c r="V235" s="211">
        <f>V199</f>
        <v>1532</v>
      </c>
      <c r="W235" s="211">
        <f>W199</f>
        <v>1439</v>
      </c>
      <c r="X235" s="211">
        <f>X199</f>
        <v>6314</v>
      </c>
      <c r="Y235" s="211">
        <f>Y199</f>
        <v>893</v>
      </c>
      <c r="Z235" s="211">
        <f>Z199</f>
        <v>857</v>
      </c>
      <c r="AA235" s="211">
        <f>AA199</f>
        <v>1280</v>
      </c>
      <c r="AB235" s="211">
        <f>AB199</f>
        <v>225</v>
      </c>
      <c r="AC235" s="211">
        <f>AC199</f>
        <v>2953</v>
      </c>
      <c r="AD235" s="211">
        <f>AD199</f>
        <v>635</v>
      </c>
      <c r="AE235" s="211">
        <f>AE199</f>
        <v>1163</v>
      </c>
      <c r="AF235" s="211">
        <f>AF199</f>
        <v>1115</v>
      </c>
      <c r="AG235" s="211">
        <f>AG199</f>
        <v>-968</v>
      </c>
      <c r="AH235" s="211">
        <f>AH199</f>
        <v>1945</v>
      </c>
      <c r="AI235" s="211">
        <f>AI199</f>
        <v>1408</v>
      </c>
      <c r="AJ235" s="211">
        <f>AJ199</f>
        <v>15471</v>
      </c>
      <c r="AK235" s="211">
        <f>AK199</f>
        <v>1217</v>
      </c>
      <c r="AL235" s="211">
        <f>AL199</f>
        <v>1807</v>
      </c>
      <c r="AM235" s="211">
        <f>AM199</f>
        <v>19903</v>
      </c>
      <c r="AN235" s="211">
        <f>AN199</f>
        <v>1397</v>
      </c>
      <c r="AO235" s="211">
        <f>AO199</f>
        <v>1965</v>
      </c>
      <c r="AP235" s="211">
        <f>AP199</f>
        <v>1677</v>
      </c>
      <c r="AQ235" s="211">
        <f>AQ199</f>
        <v>-591</v>
      </c>
      <c r="AR235" s="211">
        <f>AR199</f>
        <v>4448</v>
      </c>
      <c r="AS235" s="211">
        <f>AS199</f>
        <v>2008</v>
      </c>
      <c r="AT235" s="211">
        <f>AT199</f>
        <v>2436</v>
      </c>
      <c r="AU235" s="211">
        <f>AU199</f>
        <v>2091</v>
      </c>
      <c r="AV235" s="211">
        <f>AV199</f>
        <v>2220</v>
      </c>
      <c r="AW235" s="211">
        <f>AW199</f>
        <v>8755</v>
      </c>
      <c r="AX235" s="211">
        <f>AX199</f>
        <v>2231</v>
      </c>
      <c r="AY235" s="211">
        <f>AY199</f>
        <v>2874</v>
      </c>
      <c r="AZ235" s="211">
        <f>AZ199</f>
        <v>1779</v>
      </c>
      <c r="BA235" s="211">
        <f>BA199</f>
        <v>2947</v>
      </c>
      <c r="BB235" s="211">
        <f>BB199</f>
        <v>9831</v>
      </c>
      <c r="BC235" s="211">
        <f>BC199</f>
        <v>19</v>
      </c>
      <c r="BD235" s="211">
        <f>BD199</f>
        <v>3750</v>
      </c>
      <c r="BE235" s="211">
        <f>BE199</f>
        <v>3462</v>
      </c>
      <c r="BF235" s="211">
        <f>BF199</f>
        <v>3747</v>
      </c>
      <c r="BG235" s="211">
        <f>BG199</f>
        <v>10978</v>
      </c>
      <c r="BH235" s="211">
        <f>BH199</f>
        <v>4016</v>
      </c>
      <c r="BI235" s="211">
        <f>BI199</f>
        <v>3914</v>
      </c>
      <c r="BJ235" s="211">
        <f>BJ199</f>
        <v>4374</v>
      </c>
      <c r="BK235" s="211">
        <f>BK199</f>
        <v>4646</v>
      </c>
      <c r="BL235" s="211">
        <f>BL199</f>
        <v>16950</v>
      </c>
      <c r="BM235" s="211">
        <f>BM199</f>
        <v>4993</v>
      </c>
      <c r="BN235" s="211">
        <f>BN199</f>
        <v>4656</v>
      </c>
      <c r="BO235" s="211">
        <f>BO199</f>
        <v>4788</v>
      </c>
      <c r="BP235" s="211">
        <f>BP199</f>
        <v>5214</v>
      </c>
      <c r="BQ235" s="211">
        <f>BQ199</f>
        <v>19651</v>
      </c>
      <c r="BR235" s="211">
        <f>BR199</f>
        <v>5602</v>
      </c>
      <c r="BS235" s="211">
        <f>BS199</f>
        <v>5257</v>
      </c>
      <c r="BT235" s="211">
        <f>BT199</f>
        <v>5553</v>
      </c>
      <c r="BU235" s="211">
        <f>BU199</f>
        <v>5383</v>
      </c>
      <c r="BV235" s="211">
        <f>BV199</f>
        <v>21795</v>
      </c>
      <c r="BW235" s="211">
        <f>BW199</f>
        <v>6554</v>
      </c>
      <c r="BX235" s="211">
        <f>BX199</f>
        <v>9788</v>
      </c>
      <c r="BY235" s="211">
        <f>BY199</f>
        <v>7562</v>
      </c>
      <c r="BZ235" s="211">
        <f>BZ199</f>
        <v>8281</v>
      </c>
      <c r="CA235" s="211">
        <f>CA199</f>
        <v>32185</v>
      </c>
      <c r="CB235" s="254">
        <f>CB199</f>
        <v>8750</v>
      </c>
      <c r="CC235" s="254">
        <f>CC199</f>
        <v>8849.1889107041</v>
      </c>
      <c r="CD235" s="254">
        <f>CD199</f>
        <v>8922.3892669078</v>
      </c>
      <c r="CE235" s="254">
        <f>CE199</f>
        <v>9498.64874204402</v>
      </c>
      <c r="CF235" s="254">
        <f>CF199</f>
        <v>36020.2269196559</v>
      </c>
      <c r="CG235" s="254">
        <f>CG199</f>
        <v>38077.4334972383</v>
      </c>
      <c r="CH235" s="254">
        <f>CH199</f>
        <v>43648.3495177919</v>
      </c>
      <c r="CI235" s="254">
        <f>CI199</f>
        <v>50267.1295960818</v>
      </c>
      <c r="CJ235" s="254">
        <f>CJ199</f>
        <v>57014.7544341495</v>
      </c>
      <c r="CK235" s="19" t="n"/>
    </row>
    <row r="236" ht="15" customHeight="1" s="251">
      <c r="B236" s="25" t="inlineStr">
        <is>
          <t xml:space="preserve">  (−) Other income (expense), net</t>
        </is>
      </c>
      <c r="C236" s="211">
        <f>-C193</f>
        <v>-1790</v>
      </c>
      <c r="D236" s="211">
        <f>-D193</f>
        <v>-1577</v>
      </c>
      <c r="E236" s="211">
        <f>-E193</f>
        <v>-1322</v>
      </c>
      <c r="F236" s="211">
        <f>-F193</f>
        <v>542</v>
      </c>
      <c r="G236" s="211">
        <f>-G193</f>
        <v>-915</v>
      </c>
      <c r="H236" s="211">
        <f>-H193</f>
        <v>-910</v>
      </c>
      <c r="I236" s="211">
        <f>-I193</f>
        <v>-504</v>
      </c>
      <c r="J236" s="211">
        <f>-J193</f>
        <v>-226</v>
      </c>
      <c r="K236" s="211">
        <f>-K193</f>
        <v>1</v>
      </c>
      <c r="L236" s="211">
        <f>-L193</f>
        <v>9</v>
      </c>
      <c r="M236" s="211">
        <f>-M193</f>
        <v>-72</v>
      </c>
      <c r="N236" s="211">
        <f>-N193</f>
        <v>-288</v>
      </c>
      <c r="O236" s="211">
        <f>-O193</f>
        <v>-74</v>
      </c>
      <c r="P236" s="211">
        <f>-P193</f>
        <v>91</v>
      </c>
      <c r="Q236" s="211">
        <f>-Q193</f>
        <v>17</v>
      </c>
      <c r="R236" s="211">
        <f>-R193</f>
        <v>-95</v>
      </c>
      <c r="S236" s="211">
        <f>-S193</f>
        <v>-61</v>
      </c>
      <c r="T236" s="211">
        <f>-T193</f>
        <v>-52</v>
      </c>
      <c r="U236" s="211">
        <f>-U193</f>
        <v>-74</v>
      </c>
      <c r="V236" s="211">
        <f>-V193</f>
        <v>77</v>
      </c>
      <c r="W236" s="211">
        <f>-W193</f>
        <v>-297</v>
      </c>
      <c r="X236" s="211">
        <f>-X193</f>
        <v>-346</v>
      </c>
      <c r="Y236" s="211">
        <f>-Y193</f>
        <v>280</v>
      </c>
      <c r="Z236" s="211">
        <f>-Z193</f>
        <v>171</v>
      </c>
      <c r="AA236" s="211">
        <f>-AA193</f>
        <v>247</v>
      </c>
      <c r="AB236" s="211">
        <f>-AB193</f>
        <v>-267</v>
      </c>
      <c r="AC236" s="211">
        <f>-AC193</f>
        <v>431</v>
      </c>
      <c r="AD236" s="211">
        <f>-AD193</f>
        <v>-100</v>
      </c>
      <c r="AE236" s="211">
        <f>-AE193</f>
        <v>-186</v>
      </c>
      <c r="AF236" s="211">
        <f>-AF193</f>
        <v>-322</v>
      </c>
      <c r="AG236" s="211">
        <f>-AG193</f>
        <v>-215</v>
      </c>
      <c r="AH236" s="211">
        <f>-AH193</f>
        <v>-823</v>
      </c>
      <c r="AI236" s="211">
        <f>-AI193</f>
        <v>-276</v>
      </c>
      <c r="AJ236" s="211">
        <f>-AJ193</f>
        <v>-490</v>
      </c>
      <c r="AK236" s="211">
        <f>-AK193</f>
        <v>-349</v>
      </c>
      <c r="AL236" s="211">
        <f>-AL193</f>
        <v>-301</v>
      </c>
      <c r="AM236" s="211">
        <f>-AM193</f>
        <v>-1416</v>
      </c>
      <c r="AN236" s="211">
        <f>-AN193</f>
        <v>-266</v>
      </c>
      <c r="AO236" s="211">
        <f>-AO193</f>
        <v>-127</v>
      </c>
      <c r="AP236" s="211">
        <f>-AP193</f>
        <v>-145</v>
      </c>
      <c r="AQ236" s="211">
        <f>-AQ193</f>
        <v>-191</v>
      </c>
      <c r="AR236" s="211">
        <f>-AR193</f>
        <v>-729</v>
      </c>
      <c r="AS236" s="211">
        <f>-AS193</f>
        <v>0</v>
      </c>
      <c r="AT236" s="211">
        <f>-AT193</f>
        <v>-194</v>
      </c>
      <c r="AU236" s="211">
        <f>-AU193</f>
        <v>132</v>
      </c>
      <c r="AV236" s="211">
        <f>-AV193</f>
        <v>-15</v>
      </c>
      <c r="AW236" s="211">
        <f>-AW193</f>
        <v>-77</v>
      </c>
      <c r="AX236" s="211">
        <f>-AX193</f>
        <v>-248</v>
      </c>
      <c r="AY236" s="211">
        <f>-AY193</f>
        <v>-440</v>
      </c>
      <c r="AZ236" s="211">
        <f>-AZ193</f>
        <v>-188</v>
      </c>
      <c r="BA236" s="211">
        <f>-BA193</f>
        <v>-310</v>
      </c>
      <c r="BB236" s="211">
        <f>-BB193</f>
        <v>-1186</v>
      </c>
      <c r="BC236" s="211">
        <f>-BC193</f>
        <v>-286</v>
      </c>
      <c r="BD236" s="211">
        <f>-BD193</f>
        <v>-268</v>
      </c>
      <c r="BE236" s="211">
        <f>-BE193</f>
        <v>174</v>
      </c>
      <c r="BF236" s="211">
        <f>-BF193</f>
        <v>47</v>
      </c>
      <c r="BG236" s="211">
        <f>-BG193</f>
        <v>-333</v>
      </c>
      <c r="BH236" s="211">
        <f>-BH193</f>
        <v>-54</v>
      </c>
      <c r="BI236" s="211">
        <f>-BI193</f>
        <v>60</v>
      </c>
      <c r="BJ236" s="211">
        <f>-BJ193</f>
        <v>-321</v>
      </c>
      <c r="BK236" s="211">
        <f>-BK193</f>
        <v>-473</v>
      </c>
      <c r="BL236" s="211">
        <f>-BL193</f>
        <v>-788</v>
      </c>
      <c r="BM236" s="211">
        <f>-BM193</f>
        <v>-389</v>
      </c>
      <c r="BN236" s="211">
        <f>-BN193</f>
        <v>506</v>
      </c>
      <c r="BO236" s="211">
        <f>-BO193</f>
        <v>854</v>
      </c>
      <c r="BP236" s="211">
        <f>-BP193</f>
        <v>675</v>
      </c>
      <c r="BQ236" s="211">
        <f>-BQ193</f>
        <v>1646</v>
      </c>
      <c r="BR236" s="211">
        <f>-BR193</f>
        <v>283</v>
      </c>
      <c r="BS236" s="211">
        <f>-BS193</f>
        <v>2288</v>
      </c>
      <c r="BT236" s="211">
        <f>-BT193</f>
        <v>623</v>
      </c>
      <c r="BU236" s="211">
        <f>-BU193</f>
        <v>1707</v>
      </c>
      <c r="BV236" s="211">
        <f>-BV193</f>
        <v>4901</v>
      </c>
      <c r="BW236" s="211">
        <f>-BW193</f>
        <v>3660</v>
      </c>
      <c r="BX236" s="211">
        <f>-BX193</f>
        <v>-9971</v>
      </c>
      <c r="BY236" s="211">
        <f>-BY193</f>
        <v>-942</v>
      </c>
      <c r="BZ236" s="211">
        <f>-BZ193</f>
        <v>-3444</v>
      </c>
      <c r="CA236" s="211">
        <f>-CA193</f>
        <v>-10697</v>
      </c>
      <c r="CB236" s="254">
        <f>-CB193</f>
        <v>100</v>
      </c>
      <c r="CC236" s="254">
        <f>-CC193</f>
        <v>100</v>
      </c>
      <c r="CD236" s="254">
        <f>-CD193</f>
        <v>100</v>
      </c>
      <c r="CE236" s="254">
        <f>-CE193</f>
        <v>100</v>
      </c>
      <c r="CF236" s="254">
        <f>-CF193</f>
        <v>400</v>
      </c>
      <c r="CG236" s="254">
        <f>-CG193</f>
        <v>2386.60909</v>
      </c>
      <c r="CH236" s="254">
        <f>-CH193</f>
        <v>3707.6032491206</v>
      </c>
      <c r="CI236" s="254">
        <f>-CI193</f>
        <v>4955.87526543597</v>
      </c>
      <c r="CJ236" s="254">
        <f>-CJ193</f>
        <v>6140.84738292638</v>
      </c>
      <c r="CK236" s="19" t="n"/>
    </row>
    <row r="237" ht="15" customHeight="1" s="251">
      <c r="B237" s="16" t="inlineStr">
        <is>
          <t xml:space="preserve">  = EBIT (model; equals operating income)</t>
        </is>
      </c>
      <c r="C237" s="260">
        <f>IF(ISNUMBER(C234),C234+C235+C236,"")</f>
        <v>16472</v>
      </c>
      <c r="D237" s="260">
        <f>IF(ISNUMBER(D234),D234+D235+D236,"")</f>
        <v>18524</v>
      </c>
      <c r="E237" s="260">
        <f>IF(ISNUMBER(E234),E234+E235+E236,"")</f>
        <v>22492</v>
      </c>
      <c r="F237" s="260">
        <f>IF(ISNUMBER(F234),F234+F235+F236,"")</f>
        <v>20363</v>
      </c>
      <c r="G237" s="260">
        <f>IF(ISNUMBER(G234),G234+G235+G236,"")</f>
        <v>24098</v>
      </c>
      <c r="H237" s="260">
        <f>IF(ISNUMBER(H234),H234+H235+H236,"")</f>
        <v>27161</v>
      </c>
      <c r="I237" s="260">
        <f>IF(ISNUMBER(I234),I234+I235+I236,"")</f>
        <v>21763</v>
      </c>
      <c r="J237" s="260">
        <f>IF(ISNUMBER(J234),J234+J235+J236,"")</f>
        <v>5308</v>
      </c>
      <c r="K237" s="260">
        <f>IF(ISNUMBER(K234),K234+K235+K236,"")</f>
        <v>7771</v>
      </c>
      <c r="L237" s="260">
        <f>IF(ISNUMBER(L234),L234+L235+L236,"")</f>
        <v>7612</v>
      </c>
      <c r="M237" s="260">
        <f>IF(ISNUMBER(M234),M234+M235+M236,"")</f>
        <v>6073</v>
      </c>
      <c r="N237" s="260">
        <f>IF(ISNUMBER(N234),N234+N235+N236,"")</f>
        <v>26764</v>
      </c>
      <c r="O237" s="260">
        <f>IF(ISNUMBER(O234),O234+O235+O236,"")</f>
        <v>6334</v>
      </c>
      <c r="P237" s="260">
        <f>IF(ISNUMBER(P234),P234+P235+P236,"")</f>
        <v>7969</v>
      </c>
      <c r="Q237" s="260">
        <f>IF(ISNUMBER(Q234),Q234+Q235+Q236,"")</f>
        <v>6974</v>
      </c>
      <c r="R237" s="260">
        <f>IF(ISNUMBER(R234),R234+R235+R236,"")</f>
        <v>6482</v>
      </c>
      <c r="S237" s="260">
        <f>IF(ISNUMBER(S234),S234+S235+S236,"")</f>
        <v>27759</v>
      </c>
      <c r="T237" s="260">
        <f>IF(ISNUMBER(T234),T234+T235+T236,"")</f>
        <v>5844</v>
      </c>
      <c r="U237" s="260">
        <f>IF(ISNUMBER(U234),U234+U235+U236,"")</f>
        <v>7776</v>
      </c>
      <c r="V237" s="260">
        <f>IF(ISNUMBER(V234),V234+V235+V236,"")</f>
        <v>6594</v>
      </c>
      <c r="W237" s="260">
        <f>IF(ISNUMBER(W234),W234+W235+W236,"")</f>
        <v>-2053</v>
      </c>
      <c r="X237" s="260">
        <f>IF(ISNUMBER(X234),X234+X235+X236,"")</f>
        <v>18161</v>
      </c>
      <c r="Y237" s="260">
        <f>IF(ISNUMBER(Y234),Y234+Y235+Y236,"")</f>
        <v>5793</v>
      </c>
      <c r="Z237" s="260">
        <f>IF(ISNUMBER(Z234),Z234+Z235+Z236,"")</f>
        <v>6026</v>
      </c>
      <c r="AA237" s="260">
        <f>IF(ISNUMBER(AA234),AA234+AA235+AA236,"")</f>
        <v>5283</v>
      </c>
      <c r="AB237" s="260">
        <f>IF(ISNUMBER(AB234),AB234+AB235+AB236,"")</f>
        <v>3080</v>
      </c>
      <c r="AC237" s="260">
        <f>IF(ISNUMBER(AC234),AC234+AC235+AC236,"")</f>
        <v>20182</v>
      </c>
      <c r="AD237" s="260">
        <f>IF(ISNUMBER(AD234),AD234+AD235+AD236,"")</f>
        <v>5225</v>
      </c>
      <c r="AE237" s="260">
        <f>IF(ISNUMBER(AE234),AE234+AE235+AE236,"")</f>
        <v>6177</v>
      </c>
      <c r="AF237" s="260">
        <f>IF(ISNUMBER(AF234),AF234+AF235+AF236,"")</f>
        <v>5594</v>
      </c>
      <c r="AG237" s="260">
        <f>IF(ISNUMBER(AG234),AG234+AG235+AG236,"")</f>
        <v>5330</v>
      </c>
      <c r="AH237" s="260">
        <f>IF(ISNUMBER(AH234),AH234+AH235+AH236,"")</f>
        <v>22326</v>
      </c>
      <c r="AI237" s="260">
        <f>IF(ISNUMBER(AI234),AI234+AI235+AI236,"")</f>
        <v>7708</v>
      </c>
      <c r="AJ237" s="260">
        <f>IF(ISNUMBER(AJ234),AJ234+AJ235+AJ236,"")</f>
        <v>8679</v>
      </c>
      <c r="AK237" s="260">
        <f>IF(ISNUMBER(AK234),AK234+AK235+AK236,"")</f>
        <v>8292</v>
      </c>
      <c r="AL237" s="260">
        <f>IF(ISNUMBER(AL234),AL234+AL235+AL236,"")</f>
        <v>10379</v>
      </c>
      <c r="AM237" s="260">
        <f>IF(ISNUMBER(AM234),AM234+AM235+AM236,"")</f>
        <v>35058</v>
      </c>
      <c r="AN237" s="260">
        <f>IF(ISNUMBER(AN234),AN234+AN235+AN236,"")</f>
        <v>9955</v>
      </c>
      <c r="AO237" s="260">
        <f>IF(ISNUMBER(AO234),AO234+AO235+AO236,"")</f>
        <v>10258</v>
      </c>
      <c r="AP237" s="260">
        <f>IF(ISNUMBER(AP234),AP234+AP235+AP236,"")</f>
        <v>10341</v>
      </c>
      <c r="AQ237" s="260">
        <f>IF(ISNUMBER(AQ234),AQ234+AQ235+AQ236,"")</f>
        <v>12405</v>
      </c>
      <c r="AR237" s="260">
        <f>IF(ISNUMBER(AR234),AR234+AR235+AR236,"")</f>
        <v>42959</v>
      </c>
      <c r="AS237" s="260">
        <f>IF(ISNUMBER(AS234),AS234+AS235+AS236,"")</f>
        <v>12686</v>
      </c>
      <c r="AT237" s="260">
        <f>IF(ISNUMBER(AT234),AT234+AT235+AT236,"")</f>
        <v>13891</v>
      </c>
      <c r="AU237" s="260">
        <f>IF(ISNUMBER(AU234),AU234+AU235+AU236,"")</f>
        <v>12975</v>
      </c>
      <c r="AV237" s="260">
        <f>IF(ISNUMBER(AV234),AV234+AV235+AV236,"")</f>
        <v>13407</v>
      </c>
      <c r="AW237" s="260">
        <f>IF(ISNUMBER(AW234),AW234+AW235+AW236,"")</f>
        <v>52959</v>
      </c>
      <c r="AX237" s="260">
        <f>IF(ISNUMBER(AX234),AX234+AX235+AX236,"")</f>
        <v>15876</v>
      </c>
      <c r="AY237" s="260">
        <f>IF(ISNUMBER(AY234),AY234+AY235+AY236,"")</f>
        <v>17897</v>
      </c>
      <c r="AZ237" s="260">
        <f>IF(ISNUMBER(AZ234),AZ234+AZ235+AZ236,"")</f>
        <v>17048</v>
      </c>
      <c r="BA237" s="260">
        <f>IF(ISNUMBER(BA234),BA234+BA235+BA236,"")</f>
        <v>19095</v>
      </c>
      <c r="BB237" s="260">
        <f>IF(ISNUMBER(BB234),BB234+BB235+BB236,"")</f>
        <v>69916</v>
      </c>
      <c r="BC237" s="260">
        <f>IF(ISNUMBER(BC234),BC234+BC235+BC236,"")</f>
        <v>20238</v>
      </c>
      <c r="BD237" s="260">
        <f>IF(ISNUMBER(BD234),BD234+BD235+BD236,"")</f>
        <v>22247</v>
      </c>
      <c r="BE237" s="260">
        <f>IF(ISNUMBER(BE234),BE234+BE235+BE236,"")</f>
        <v>20364</v>
      </c>
      <c r="BF237" s="260">
        <f>IF(ISNUMBER(BF234),BF234+BF235+BF236,"")</f>
        <v>20534</v>
      </c>
      <c r="BG237" s="260">
        <f>IF(ISNUMBER(BG234),BG234+BG235+BG236,"")</f>
        <v>83383</v>
      </c>
      <c r="BH237" s="260">
        <f>IF(ISNUMBER(BH234),BH234+BH235+BH236,"")</f>
        <v>21518</v>
      </c>
      <c r="BI237" s="260">
        <f>IF(ISNUMBER(BI234),BI234+BI235+BI236,"")</f>
        <v>20399</v>
      </c>
      <c r="BJ237" s="260">
        <f>IF(ISNUMBER(BJ234),BJ234+BJ235+BJ236,"")</f>
        <v>22352</v>
      </c>
      <c r="BK237" s="260">
        <f>IF(ISNUMBER(BK234),BK234+BK235+BK236,"")</f>
        <v>24254</v>
      </c>
      <c r="BL237" s="260">
        <f>IF(ISNUMBER(BL234),BL234+BL235+BL236,"")</f>
        <v>88523</v>
      </c>
      <c r="BM237" s="260">
        <f>IF(ISNUMBER(BM234),BM234+BM235+BM236,"")</f>
        <v>26895</v>
      </c>
      <c r="BN237" s="260">
        <f>IF(ISNUMBER(BN234),BN234+BN235+BN236,"")</f>
        <v>27032</v>
      </c>
      <c r="BO237" s="260">
        <f>IF(ISNUMBER(BO234),BO234+BO235+BO236,"")</f>
        <v>27581</v>
      </c>
      <c r="BP237" s="260">
        <f>IF(ISNUMBER(BP234),BP234+BP235+BP236,"")</f>
        <v>27925</v>
      </c>
      <c r="BQ237" s="260">
        <f>IF(ISNUMBER(BQ234),BQ234+BQ235+BQ236,"")</f>
        <v>109433</v>
      </c>
      <c r="BR237" s="260">
        <f>IF(ISNUMBER(BR234),BR234+BR235+BR236,"")</f>
        <v>30552</v>
      </c>
      <c r="BS237" s="260">
        <f>IF(ISNUMBER(BS234),BS234+BS235+BS236,"")</f>
        <v>31653</v>
      </c>
      <c r="BT237" s="260">
        <f>IF(ISNUMBER(BT234),BT234+BT235+BT236,"")</f>
        <v>32000</v>
      </c>
      <c r="BU237" s="260">
        <f>IF(ISNUMBER(BU234),BU234+BU235+BU236,"")</f>
        <v>34323</v>
      </c>
      <c r="BV237" s="260">
        <f>IF(ISNUMBER(BV234),BV234+BV235+BV236,"")</f>
        <v>128528</v>
      </c>
      <c r="BW237" s="260">
        <f>IF(ISNUMBER(BW234),BW234+BW235+BW236,"")</f>
        <v>37961</v>
      </c>
      <c r="BX237" s="260">
        <f>IF(ISNUMBER(BX234),BX234+BX235+BX236,"")</f>
        <v>38275</v>
      </c>
      <c r="BY237" s="260">
        <f>IF(ISNUMBER(BY234),BY234+BY235+BY236,"")</f>
        <v>38398</v>
      </c>
      <c r="BZ237" s="260">
        <f>IF(ISNUMBER(BZ234),BZ234+BZ235+BZ236,"")</f>
        <v>40603</v>
      </c>
      <c r="CA237" s="260">
        <f>IF(ISNUMBER(CA234),CA234+CA235+CA236,"")</f>
        <v>155237</v>
      </c>
      <c r="CB237" s="261">
        <f>IF(ISNUMBER(CB234),CB234+CB235+CB236,"")</f>
        <v>43850</v>
      </c>
      <c r="CC237" s="261">
        <f>IF(ISNUMBER(CC234),CC234+CC235+CC236,"")</f>
        <v>44345.9445535205</v>
      </c>
      <c r="CD237" s="261">
        <f>IF(ISNUMBER(CD234),CD234+CD235+CD236,"")</f>
        <v>44711.946334539</v>
      </c>
      <c r="CE237" s="261">
        <f>IF(ISNUMBER(CE234),CE234+CE235+CE236,"")</f>
        <v>47593.2437102201</v>
      </c>
      <c r="CF237" s="261">
        <f>IF(ISNUMBER(CF234),CF234+CF235+CF236,"")</f>
        <v>180501.13459828</v>
      </c>
      <c r="CG237" s="261">
        <f>IF(ISNUMBER(CG234),CG234+CG235+CG236,"")</f>
        <v>202794.153812307</v>
      </c>
      <c r="CH237" s="261">
        <f>IF(ISNUMBER(CH234),CH234+CH235+CH236,"")</f>
        <v>233435.75860592</v>
      </c>
      <c r="CI237" s="261">
        <f>IF(ISNUMBER(CI234),CI234+CI235+CI236,"")</f>
        <v>269519.715244814</v>
      </c>
      <c r="CJ237" s="261">
        <f>IF(ISNUMBER(CJ234),CJ234+CJ235+CJ236,"")</f>
        <v>306218.502299503</v>
      </c>
      <c r="CK237" s="153" t="n"/>
    </row>
    <row r="238" ht="15" customHeight="1" s="251">
      <c r="B238" s="57" t="inlineStr">
        <is>
          <t xml:space="preserve">  Check: EBIT vs reported operating income (should be 0)</t>
        </is>
      </c>
      <c r="C238" s="211">
        <f>IF(ISNUMBER(C237),IF(ABS(C237-C190)&lt;=1,0,ROUND(C237-C190,0)),"")</f>
        <v>0</v>
      </c>
      <c r="D238" s="211">
        <f>IF(ISNUMBER(D237),IF(ABS(D237-D190)&lt;=1,0,ROUND(D237-D190,0)),"")</f>
        <v>0</v>
      </c>
      <c r="E238" s="211">
        <f>IF(ISNUMBER(E237),IF(ABS(E237-E190)&lt;=1,0,ROUND(E237-E190,0)),"")</f>
        <v>0</v>
      </c>
      <c r="F238" s="211">
        <f>IF(ISNUMBER(F237),IF(ABS(F237-F190)&lt;=1,0,ROUND(F237-F190,0)),"")</f>
        <v>0</v>
      </c>
      <c r="G238" s="211">
        <f>IF(ISNUMBER(G237),IF(ABS(G237-G190)&lt;=1,0,ROUND(G237-G190,0)),"")</f>
        <v>0</v>
      </c>
      <c r="H238" s="211">
        <f>IF(ISNUMBER(H237),IF(ABS(H237-H190)&lt;=1,0,ROUND(H237-H190,0)),"")</f>
        <v>0</v>
      </c>
      <c r="I238" s="211">
        <f>IF(ISNUMBER(I237),IF(ABS(I237-I190)&lt;=1,0,ROUND(I237-I190,0)),"")</f>
        <v>0</v>
      </c>
      <c r="J238" s="211">
        <f>IF(ISNUMBER(J237),IF(ABS(J237-J190)&lt;=1,0,ROUND(J237-J190,0)),"")</f>
        <v>0</v>
      </c>
      <c r="K238" s="211">
        <f>IF(ISNUMBER(K237),IF(ABS(K237-K190)&lt;=1,0,ROUND(K237-K190,0)),"")</f>
        <v>0</v>
      </c>
      <c r="L238" s="211">
        <f>IF(ISNUMBER(L237),IF(ABS(L237-L190)&lt;=1,0,ROUND(L237-L190,0)),"")</f>
        <v>0</v>
      </c>
      <c r="M238" s="211">
        <f>IF(ISNUMBER(M237),IF(ABS(M237-M190)&lt;=1,0,ROUND(M237-M190,0)),"")</f>
        <v>0</v>
      </c>
      <c r="N238" s="211">
        <f>IF(ISNUMBER(N237),IF(ABS(N237-N190)&lt;=1,0,ROUND(N237-N190,0)),"")</f>
        <v>0</v>
      </c>
      <c r="O238" s="211">
        <f>IF(ISNUMBER(O237),IF(ABS(O237-O190)&lt;=1,0,ROUND(O237-O190,0)),"")</f>
        <v>0</v>
      </c>
      <c r="P238" s="211">
        <f>IF(ISNUMBER(P237),IF(ABS(P237-P190)&lt;=1,0,ROUND(P237-P190,0)),"")</f>
        <v>0</v>
      </c>
      <c r="Q238" s="211">
        <f>IF(ISNUMBER(Q237),IF(ABS(Q237-Q190)&lt;=1,0,ROUND(Q237-Q190,0)),"")</f>
        <v>0</v>
      </c>
      <c r="R238" s="211">
        <f>IF(ISNUMBER(R237),IF(ABS(R237-R190)&lt;=1,0,ROUND(R237-R190,0)),"")</f>
        <v>0</v>
      </c>
      <c r="S238" s="211">
        <f>IF(ISNUMBER(S237),IF(ABS(S237-S190)&lt;=1,0,ROUND(S237-S190,0)),"")</f>
        <v>0</v>
      </c>
      <c r="T238" s="211">
        <f>IF(ISNUMBER(T237),IF(ABS(T237-T190)&lt;=1,0,ROUND(T237-T190,0)),"")</f>
        <v>0</v>
      </c>
      <c r="U238" s="211">
        <f>IF(ISNUMBER(U237),IF(ABS(U237-U190)&lt;=1,0,ROUND(U237-U190,0)),"")</f>
        <v>0</v>
      </c>
      <c r="V238" s="211">
        <f>IF(ISNUMBER(V237),IF(ABS(V237-V190)&lt;=1,0,ROUND(V237-V190,0)),"")</f>
        <v>0</v>
      </c>
      <c r="W238" s="211">
        <f>IF(ISNUMBER(W237),IF(ABS(W237-W190)&lt;=1,0,ROUND(W237-W190,0)),"")</f>
        <v>0</v>
      </c>
      <c r="X238" s="211">
        <f>IF(ISNUMBER(X237),IF(ABS(X237-X190)&lt;=1,0,ROUND(X237-X190,0)),"")</f>
        <v>0</v>
      </c>
      <c r="Y238" s="211">
        <f>IF(ISNUMBER(Y237),IF(ABS(Y237-Y190)&lt;=1,0,ROUND(Y237-Y190,0)),"")</f>
        <v>0</v>
      </c>
      <c r="Z238" s="211">
        <f>IF(ISNUMBER(Z237),IF(ABS(Z237-Z190)&lt;=1,0,ROUND(Z237-Z190,0)),"")</f>
        <v>0</v>
      </c>
      <c r="AA238" s="211">
        <f>IF(ISNUMBER(AA237),IF(ABS(AA237-AA190)&lt;=1,0,ROUND(AA237-AA190,0)),"")</f>
        <v>0</v>
      </c>
      <c r="AB238" s="211">
        <f>IF(ISNUMBER(AB237),IF(ABS(AB237-AB190)&lt;=1,0,ROUND(AB237-AB190,0)),"")</f>
        <v>0</v>
      </c>
      <c r="AC238" s="211">
        <f>IF(ISNUMBER(AC237),IF(ABS(AC237-AC190)&lt;=1,0,ROUND(AC237-AC190,0)),"")</f>
        <v>0</v>
      </c>
      <c r="AD238" s="211">
        <f>IF(ISNUMBER(AD237),IF(ABS(AD237-AD190)&lt;=1,0,ROUND(AD237-AD190,0)),"")</f>
        <v>0</v>
      </c>
      <c r="AE238" s="211">
        <f>IF(ISNUMBER(AE237),IF(ABS(AE237-AE190)&lt;=1,0,ROUND(AE237-AE190,0)),"")</f>
        <v>0</v>
      </c>
      <c r="AF238" s="211">
        <f>IF(ISNUMBER(AF237),IF(ABS(AF237-AF190)&lt;=1,0,ROUND(AF237-AF190,0)),"")</f>
        <v>0</v>
      </c>
      <c r="AG238" s="211">
        <f>IF(ISNUMBER(AG237),IF(ABS(AG237-AG190)&lt;=1,0,ROUND(AG237-AG190,0)),"")</f>
        <v>0</v>
      </c>
      <c r="AH238" s="211">
        <f>IF(ISNUMBER(AH237),IF(ABS(AH237-AH190)&lt;=1,0,ROUND(AH237-AH190,0)),"")</f>
        <v>0</v>
      </c>
      <c r="AI238" s="211">
        <f>IF(ISNUMBER(AI237),IF(ABS(AI237-AI190)&lt;=1,0,ROUND(AI237-AI190,0)),"")</f>
        <v>0</v>
      </c>
      <c r="AJ238" s="211">
        <f>IF(ISNUMBER(AJ237),IF(ABS(AJ237-AJ190)&lt;=1,0,ROUND(AJ237-AJ190,0)),"")</f>
        <v>0</v>
      </c>
      <c r="AK238" s="211">
        <f>IF(ISNUMBER(AK237),IF(ABS(AK237-AK190)&lt;=1,0,ROUND(AK237-AK190,0)),"")</f>
        <v>0</v>
      </c>
      <c r="AL238" s="211">
        <f>IF(ISNUMBER(AL237),IF(ABS(AL237-AL190)&lt;=1,0,ROUND(AL237-AL190,0)),"")</f>
        <v>0</v>
      </c>
      <c r="AM238" s="211">
        <f>IF(ISNUMBER(AM237),IF(ABS(AM237-AM190)&lt;=1,0,ROUND(AM237-AM190,0)),"")</f>
        <v>0</v>
      </c>
      <c r="AN238" s="211">
        <f>IF(ISNUMBER(AN237),IF(ABS(AN237-AN190)&lt;=1,0,ROUND(AN237-AN190,0)),"")</f>
        <v>0</v>
      </c>
      <c r="AO238" s="211">
        <f>IF(ISNUMBER(AO237),IF(ABS(AO237-AO190)&lt;=1,0,ROUND(AO237-AO190,0)),"")</f>
        <v>0</v>
      </c>
      <c r="AP238" s="211">
        <f>IF(ISNUMBER(AP237),IF(ABS(AP237-AP190)&lt;=1,0,ROUND(AP237-AP190,0)),"")</f>
        <v>0</v>
      </c>
      <c r="AQ238" s="211">
        <f>IF(ISNUMBER(AQ237),IF(ABS(AQ237-AQ190)&lt;=1,0,ROUND(AQ237-AQ190,0)),"")</f>
        <v>0</v>
      </c>
      <c r="AR238" s="211">
        <f>IF(ISNUMBER(AR237),IF(ABS(AR237-AR190)&lt;=1,0,ROUND(AR237-AR190,0)),"")</f>
        <v>0</v>
      </c>
      <c r="AS238" s="211">
        <f>IF(ISNUMBER(AS237),IF(ABS(AS237-AS190)&lt;=1,0,ROUND(AS237-AS190,0)),"")</f>
        <v>0</v>
      </c>
      <c r="AT238" s="211">
        <f>IF(ISNUMBER(AT237),IF(ABS(AT237-AT190)&lt;=1,0,ROUND(AT237-AT190,0)),"")</f>
        <v>0</v>
      </c>
      <c r="AU238" s="211">
        <f>IF(ISNUMBER(AU237),IF(ABS(AU237-AU190)&lt;=1,0,ROUND(AU237-AU190,0)),"")</f>
        <v>0</v>
      </c>
      <c r="AV238" s="211">
        <f>IF(ISNUMBER(AV237),IF(ABS(AV237-AV190)&lt;=1,0,ROUND(AV237-AV190,0)),"")</f>
        <v>0</v>
      </c>
      <c r="AW238" s="211">
        <f>IF(ISNUMBER(AW237),IF(ABS(AW237-AW190)&lt;=1,0,ROUND(AW237-AW190,0)),"")</f>
        <v>0</v>
      </c>
      <c r="AX238" s="211">
        <f>IF(ISNUMBER(AX237),IF(ABS(AX237-AX190)&lt;=1,0,ROUND(AX237-AX190,0)),"")</f>
        <v>0</v>
      </c>
      <c r="AY238" s="211">
        <f>IF(ISNUMBER(AY237),IF(ABS(AY237-AY190)&lt;=1,0,ROUND(AY237-AY190,0)),"")</f>
        <v>0</v>
      </c>
      <c r="AZ238" s="211">
        <f>IF(ISNUMBER(AZ237),IF(ABS(AZ237-AZ190)&lt;=1,0,ROUND(AZ237-AZ190,0)),"")</f>
        <v>0</v>
      </c>
      <c r="BA238" s="211">
        <f>IF(ISNUMBER(BA237),IF(ABS(BA237-BA190)&lt;=1,0,ROUND(BA237-BA190,0)),"")</f>
        <v>0</v>
      </c>
      <c r="BB238" s="211">
        <f>IF(ISNUMBER(BB237),IF(ABS(BB237-BB190)&lt;=1,0,ROUND(BB237-BB190,0)),"")</f>
        <v>0</v>
      </c>
      <c r="BC238" s="211">
        <f>IF(ISNUMBER(BC237),IF(ABS(BC237-BC190)&lt;=1,0,ROUND(BC237-BC190,0)),"")</f>
        <v>0</v>
      </c>
      <c r="BD238" s="211">
        <f>IF(ISNUMBER(BD237),IF(ABS(BD237-BD190)&lt;=1,0,ROUND(BD237-BD190,0)),"")</f>
        <v>0</v>
      </c>
      <c r="BE238" s="211">
        <f>IF(ISNUMBER(BE237),IF(ABS(BE237-BE190)&lt;=1,0,ROUND(BE237-BE190,0)),"")</f>
        <v>0</v>
      </c>
      <c r="BF238" s="211">
        <f>IF(ISNUMBER(BF237),IF(ABS(BF237-BF190)&lt;=1,0,ROUND(BF237-BF190,0)),"")</f>
        <v>0</v>
      </c>
      <c r="BG238" s="211">
        <f>IF(ISNUMBER(BG237),IF(ABS(BG237-BG190)&lt;=1,0,ROUND(BG237-BG190,0)),"")</f>
        <v>0</v>
      </c>
      <c r="BH238" s="211">
        <f>IF(ISNUMBER(BH237),IF(ABS(BH237-BH190)&lt;=1,0,ROUND(BH237-BH190,0)),"")</f>
        <v>0</v>
      </c>
      <c r="BI238" s="211">
        <f>IF(ISNUMBER(BI237),IF(ABS(BI237-BI190)&lt;=1,0,ROUND(BI237-BI190,0)),"")</f>
        <v>0</v>
      </c>
      <c r="BJ238" s="211">
        <f>IF(ISNUMBER(BJ237),IF(ABS(BJ237-BJ190)&lt;=1,0,ROUND(BJ237-BJ190,0)),"")</f>
        <v>0</v>
      </c>
      <c r="BK238" s="211">
        <f>IF(ISNUMBER(BK237),IF(ABS(BK237-BK190)&lt;=1,0,ROUND(BK237-BK190,0)),"")</f>
        <v>0</v>
      </c>
      <c r="BL238" s="211">
        <f>IF(ISNUMBER(BL237),IF(ABS(BL237-BL190)&lt;=1,0,ROUND(BL237-BL190,0)),"")</f>
        <v>0</v>
      </c>
      <c r="BM238" s="211">
        <f>IF(ISNUMBER(BM237),IF(ABS(BM237-BM190)&lt;=1,0,ROUND(BM237-BM190,0)),"")</f>
        <v>0</v>
      </c>
      <c r="BN238" s="211">
        <f>IF(ISNUMBER(BN237),IF(ABS(BN237-BN190)&lt;=1,0,ROUND(BN237-BN190,0)),"")</f>
        <v>0</v>
      </c>
      <c r="BO238" s="211">
        <f>IF(ISNUMBER(BO237),IF(ABS(BO237-BO190)&lt;=1,0,ROUND(BO237-BO190,0)),"")</f>
        <v>0</v>
      </c>
      <c r="BP238" s="211">
        <f>IF(ISNUMBER(BP237),IF(ABS(BP237-BP190)&lt;=1,0,ROUND(BP237-BP190,0)),"")</f>
        <v>0</v>
      </c>
      <c r="BQ238" s="211">
        <f>IF(ISNUMBER(BQ237),IF(ABS(BQ237-BQ190)&lt;=1,0,ROUND(BQ237-BQ190,0)),"")</f>
        <v>0</v>
      </c>
      <c r="BR238" s="211">
        <f>IF(ISNUMBER(BR237),IF(ABS(BR237-BR190)&lt;=1,0,ROUND(BR237-BR190,0)),"")</f>
        <v>0</v>
      </c>
      <c r="BS238" s="211">
        <f>IF(ISNUMBER(BS237),IF(ABS(BS237-BS190)&lt;=1,0,ROUND(BS237-BS190,0)),"")</f>
        <v>0</v>
      </c>
      <c r="BT238" s="211">
        <f>IF(ISNUMBER(BT237),IF(ABS(BT237-BT190)&lt;=1,0,ROUND(BT237-BT190,0)),"")</f>
        <v>0</v>
      </c>
      <c r="BU238" s="211">
        <f>IF(ISNUMBER(BU237),IF(ABS(BU237-BU190)&lt;=1,0,ROUND(BU237-BU190,0)),"")</f>
        <v>0</v>
      </c>
      <c r="BV238" s="211">
        <f>IF(ISNUMBER(BV237),IF(ABS(BV237-BV190)&lt;=1,0,ROUND(BV237-BV190,0)),"")</f>
        <v>0</v>
      </c>
      <c r="BW238" s="211">
        <f>IF(ISNUMBER(BW237),IF(ABS(BW237-BW190)&lt;=1,0,ROUND(BW237-BW190,0)),"")</f>
        <v>0</v>
      </c>
      <c r="BX238" s="211">
        <f>IF(ISNUMBER(BX237),IF(ABS(BX237-BX190)&lt;=1,0,ROUND(BX237-BX190,0)),"")</f>
        <v>0</v>
      </c>
      <c r="BY238" s="211">
        <f>IF(ISNUMBER(BY237),IF(ABS(BY237-BY190)&lt;=1,0,ROUND(BY237-BY190,0)),"")</f>
        <v>0</v>
      </c>
      <c r="BZ238" s="211">
        <f>IF(ISNUMBER(BZ237),IF(ABS(BZ237-BZ190)&lt;=1,0,ROUND(BZ237-BZ190,0)),"")</f>
        <v>0</v>
      </c>
      <c r="CA238" s="211">
        <f>IF(ISNUMBER(CA237),IF(ABS(CA237-CA190)&lt;=1,0,ROUND(CA237-CA190,0)),"")</f>
        <v>0</v>
      </c>
      <c r="CB238" s="153" t="n"/>
      <c r="CC238" s="153" t="n"/>
      <c r="CD238" s="153" t="n"/>
      <c r="CE238" s="153" t="n"/>
      <c r="CF238" s="153" t="n"/>
      <c r="CG238" s="153" t="n"/>
      <c r="CH238" s="153" t="n"/>
      <c r="CI238" s="153" t="n"/>
      <c r="CJ238" s="153" t="n"/>
      <c r="CK238" s="153" t="n"/>
    </row>
    <row r="239" ht="15" customHeight="1" s="251">
      <c r="B239" s="25" t="inlineStr">
        <is>
          <t xml:space="preserve">  (+) Depreciation, amortization &amp; other (cash-flow statement)</t>
        </is>
      </c>
      <c r="C239" s="211">
        <f>C156</f>
        <v>903</v>
      </c>
      <c r="D239" s="211">
        <f>D156</f>
        <v>1440</v>
      </c>
      <c r="E239" s="211">
        <f>E156</f>
        <v>2056</v>
      </c>
      <c r="F239" s="211">
        <f>F156</f>
        <v>2562</v>
      </c>
      <c r="G239" s="211">
        <f>G156</f>
        <v>2673</v>
      </c>
      <c r="H239" s="211">
        <f>H156</f>
        <v>2766</v>
      </c>
      <c r="I239" s="211">
        <f>I156</f>
        <v>2967</v>
      </c>
      <c r="J239" s="211">
        <f>J156</f>
        <v>710</v>
      </c>
      <c r="K239" s="211">
        <f>K156</f>
        <v>1009</v>
      </c>
      <c r="L239" s="211">
        <f>L156</f>
        <v>1053</v>
      </c>
      <c r="M239" s="211">
        <f>M156</f>
        <v>983</v>
      </c>
      <c r="N239" s="211">
        <f>N156</f>
        <v>3755</v>
      </c>
      <c r="O239" s="211">
        <f>O156</f>
        <v>954</v>
      </c>
      <c r="P239" s="211">
        <f>P156</f>
        <v>1261</v>
      </c>
      <c r="Q239" s="211">
        <f>Q156</f>
        <v>1255</v>
      </c>
      <c r="R239" s="211">
        <f>R156</f>
        <v>1742</v>
      </c>
      <c r="S239" s="211">
        <f>S156</f>
        <v>5212</v>
      </c>
      <c r="T239" s="211">
        <f>T156</f>
        <v>1428</v>
      </c>
      <c r="U239" s="211">
        <f>U156</f>
        <v>1521</v>
      </c>
      <c r="V239" s="211">
        <f>V156</f>
        <v>1515</v>
      </c>
      <c r="W239" s="211">
        <f>W156</f>
        <v>1493</v>
      </c>
      <c r="X239" s="211">
        <f>X156</f>
        <v>5957</v>
      </c>
      <c r="Y239" s="211">
        <f>Y156</f>
        <v>1461</v>
      </c>
      <c r="Z239" s="211">
        <f>Z156</f>
        <v>1544</v>
      </c>
      <c r="AA239" s="211">
        <f>AA156</f>
        <v>1707</v>
      </c>
      <c r="AB239" s="211">
        <f>AB156</f>
        <v>1910</v>
      </c>
      <c r="AC239" s="211">
        <f>AC156</f>
        <v>6622</v>
      </c>
      <c r="AD239" s="211">
        <f>AD156</f>
        <v>1816</v>
      </c>
      <c r="AE239" s="211">
        <f>AE156</f>
        <v>2166</v>
      </c>
      <c r="AF239" s="211">
        <f>AF156</f>
        <v>2453</v>
      </c>
      <c r="AG239" s="211">
        <f>AG156</f>
        <v>2343</v>
      </c>
      <c r="AH239" s="211">
        <f>AH156</f>
        <v>8778</v>
      </c>
      <c r="AI239" s="211">
        <f>AI156</f>
        <v>2499</v>
      </c>
      <c r="AJ239" s="211">
        <f>AJ156</f>
        <v>2536</v>
      </c>
      <c r="AK239" s="211">
        <f>AK156</f>
        <v>2710</v>
      </c>
      <c r="AL239" s="211">
        <f>AL156</f>
        <v>2516</v>
      </c>
      <c r="AM239" s="211">
        <f>AM156</f>
        <v>10261</v>
      </c>
      <c r="AN239" s="211">
        <f>AN156</f>
        <v>2837</v>
      </c>
      <c r="AO239" s="211">
        <f>AO156</f>
        <v>2995</v>
      </c>
      <c r="AP239" s="211">
        <f>AP156</f>
        <v>2926</v>
      </c>
      <c r="AQ239" s="211">
        <f>AQ156</f>
        <v>2924</v>
      </c>
      <c r="AR239" s="211">
        <f>AR156</f>
        <v>11682</v>
      </c>
      <c r="AS239" s="211">
        <f>AS156</f>
        <v>2971</v>
      </c>
      <c r="AT239" s="211">
        <f>AT156</f>
        <v>3203</v>
      </c>
      <c r="AU239" s="211">
        <f>AU156</f>
        <v>3118</v>
      </c>
      <c r="AV239" s="211">
        <f>AV156</f>
        <v>3504</v>
      </c>
      <c r="AW239" s="211">
        <f>AW156</f>
        <v>12796</v>
      </c>
      <c r="AX239" s="211">
        <f>AX156</f>
        <v>2645</v>
      </c>
      <c r="AY239" s="211">
        <f>AY156</f>
        <v>2761</v>
      </c>
      <c r="AZ239" s="211">
        <f>AZ156</f>
        <v>2936</v>
      </c>
      <c r="BA239" s="211">
        <f>BA156</f>
        <v>3344</v>
      </c>
      <c r="BB239" s="211">
        <f>BB156</f>
        <v>11686</v>
      </c>
      <c r="BC239" s="211">
        <f>BC156</f>
        <v>3212</v>
      </c>
      <c r="BD239" s="211">
        <f>BD156</f>
        <v>3496</v>
      </c>
      <c r="BE239" s="211">
        <f>BE156</f>
        <v>3773</v>
      </c>
      <c r="BF239" s="211">
        <f>BF156</f>
        <v>3979</v>
      </c>
      <c r="BG239" s="211">
        <f>BG156</f>
        <v>14460</v>
      </c>
      <c r="BH239" s="211">
        <f>BH156</f>
        <v>2790</v>
      </c>
      <c r="BI239" s="211">
        <f>BI156</f>
        <v>3648</v>
      </c>
      <c r="BJ239" s="211">
        <f>BJ156</f>
        <v>3549</v>
      </c>
      <c r="BK239" s="211">
        <f>BK156</f>
        <v>3874</v>
      </c>
      <c r="BL239" s="211">
        <f>BL156</f>
        <v>13861</v>
      </c>
      <c r="BM239" s="211">
        <f>BM156</f>
        <v>3921</v>
      </c>
      <c r="BN239" s="211">
        <f>BN156</f>
        <v>5959</v>
      </c>
      <c r="BO239" s="211">
        <f>BO156</f>
        <v>6027</v>
      </c>
      <c r="BP239" s="211">
        <f>BP156</f>
        <v>6380</v>
      </c>
      <c r="BQ239" s="211">
        <f>BQ156</f>
        <v>22287</v>
      </c>
      <c r="BR239" s="211">
        <f>BR156</f>
        <v>7383</v>
      </c>
      <c r="BS239" s="211">
        <f>BS156</f>
        <v>6827</v>
      </c>
      <c r="BT239" s="211">
        <f>BT156</f>
        <v>8740</v>
      </c>
      <c r="BU239" s="211">
        <f>BU156</f>
        <v>11203</v>
      </c>
      <c r="BV239" s="211">
        <f>BV156</f>
        <v>34153</v>
      </c>
      <c r="BW239" s="211">
        <f>BW156</f>
        <v>8147</v>
      </c>
      <c r="BX239" s="211">
        <f>BX156</f>
        <v>9198</v>
      </c>
      <c r="BY239" s="211">
        <f>BY156</f>
        <v>10167</v>
      </c>
      <c r="BZ239" s="211">
        <f>BZ156</f>
        <v>11022</v>
      </c>
      <c r="CA239" s="211">
        <f>CA156</f>
        <v>38534</v>
      </c>
      <c r="CB239" s="254">
        <f>CB156</f>
        <v>14079.98</v>
      </c>
      <c r="CC239" s="254">
        <f>CC156</f>
        <v>14079.98</v>
      </c>
      <c r="CD239" s="254">
        <f>CD156</f>
        <v>14079.98</v>
      </c>
      <c r="CE239" s="254">
        <f>CE156</f>
        <v>14079.98</v>
      </c>
      <c r="CF239" s="254">
        <f>CF156</f>
        <v>56319.92</v>
      </c>
      <c r="CG239" s="254">
        <f>CG156</f>
        <v>80380.3093142857</v>
      </c>
      <c r="CH239" s="254">
        <f>CH156</f>
        <v>101870.944786172</v>
      </c>
      <c r="CI239" s="254">
        <f>CI156</f>
        <v>120415.226252662</v>
      </c>
      <c r="CJ239" s="254">
        <f>CJ156</f>
        <v>135701.879560717</v>
      </c>
      <c r="CK239" s="19" t="n"/>
    </row>
    <row r="240" ht="15" customHeight="1" s="251">
      <c r="B240" s="55" t="inlineStr">
        <is>
          <t xml:space="preserve">  = EBITDA (model)</t>
        </is>
      </c>
      <c r="C240" s="267">
        <f>IF(AND(ISNUMBER(C237),ISNUMBER(C239)),C237+C239,"")</f>
        <v>17375</v>
      </c>
      <c r="D240" s="267">
        <f>IF(AND(ISNUMBER(D237),ISNUMBER(D239)),D237+D239,"")</f>
        <v>19964</v>
      </c>
      <c r="E240" s="267">
        <f>IF(AND(ISNUMBER(E237),ISNUMBER(E239)),E237+E239,"")</f>
        <v>24548</v>
      </c>
      <c r="F240" s="267">
        <f>IF(AND(ISNUMBER(F237),ISNUMBER(F239)),F237+F239,"")</f>
        <v>22925</v>
      </c>
      <c r="G240" s="267">
        <f>IF(AND(ISNUMBER(G237),ISNUMBER(G239)),G237+G239,"")</f>
        <v>26771</v>
      </c>
      <c r="H240" s="267">
        <f>IF(AND(ISNUMBER(H237),ISNUMBER(H239)),H237+H239,"")</f>
        <v>29927</v>
      </c>
      <c r="I240" s="267">
        <f>IF(AND(ISNUMBER(I237),ISNUMBER(I239)),I237+I239,"")</f>
        <v>24730</v>
      </c>
      <c r="J240" s="267">
        <f>IF(AND(ISNUMBER(J237),ISNUMBER(J239)),J237+J239,"")</f>
        <v>6018</v>
      </c>
      <c r="K240" s="267">
        <f>IF(AND(ISNUMBER(K237),ISNUMBER(K239)),K237+K239,"")</f>
        <v>8780</v>
      </c>
      <c r="L240" s="267">
        <f>IF(AND(ISNUMBER(L237),ISNUMBER(L239)),L237+L239,"")</f>
        <v>8665</v>
      </c>
      <c r="M240" s="267">
        <f>IF(AND(ISNUMBER(M237),ISNUMBER(M239)),M237+M239,"")</f>
        <v>7056</v>
      </c>
      <c r="N240" s="267">
        <f>IF(AND(ISNUMBER(N237),ISNUMBER(N239)),N237+N239,"")</f>
        <v>30519</v>
      </c>
      <c r="O240" s="267">
        <f>IF(AND(ISNUMBER(O237),ISNUMBER(O239)),O237+O239,"")</f>
        <v>7288</v>
      </c>
      <c r="P240" s="267">
        <f>IF(AND(ISNUMBER(P237),ISNUMBER(P239)),P237+P239,"")</f>
        <v>9230</v>
      </c>
      <c r="Q240" s="267">
        <f>IF(AND(ISNUMBER(Q237),ISNUMBER(Q239)),Q237+Q239,"")</f>
        <v>8229</v>
      </c>
      <c r="R240" s="267">
        <f>IF(AND(ISNUMBER(R237),ISNUMBER(R239)),R237+R239,"")</f>
        <v>8224</v>
      </c>
      <c r="S240" s="267">
        <f>IF(AND(ISNUMBER(S237),ISNUMBER(S239)),S237+S239,"")</f>
        <v>32971</v>
      </c>
      <c r="T240" s="267">
        <f>IF(AND(ISNUMBER(T237),ISNUMBER(T239)),T237+T239,"")</f>
        <v>7272</v>
      </c>
      <c r="U240" s="267">
        <f>IF(AND(ISNUMBER(U237),ISNUMBER(U239)),U237+U239,"")</f>
        <v>9297</v>
      </c>
      <c r="V240" s="267">
        <f>IF(AND(ISNUMBER(V237),ISNUMBER(V239)),V237+V239,"")</f>
        <v>8109</v>
      </c>
      <c r="W240" s="267">
        <f>IF(AND(ISNUMBER(W237),ISNUMBER(W239)),W237+W239,"")</f>
        <v>-560</v>
      </c>
      <c r="X240" s="267">
        <f>IF(AND(ISNUMBER(X237),ISNUMBER(X239)),X237+X239,"")</f>
        <v>24118</v>
      </c>
      <c r="Y240" s="267">
        <f>IF(AND(ISNUMBER(Y237),ISNUMBER(Y239)),Y237+Y239,"")</f>
        <v>7254</v>
      </c>
      <c r="Z240" s="267">
        <f>IF(AND(ISNUMBER(Z237),ISNUMBER(Z239)),Z237+Z239,"")</f>
        <v>7570</v>
      </c>
      <c r="AA240" s="267">
        <f>IF(AND(ISNUMBER(AA237),ISNUMBER(AA239)),AA237+AA239,"")</f>
        <v>6990</v>
      </c>
      <c r="AB240" s="267">
        <f>IF(AND(ISNUMBER(AB237),ISNUMBER(AB239)),AB237+AB239,"")</f>
        <v>4990</v>
      </c>
      <c r="AC240" s="267">
        <f>IF(AND(ISNUMBER(AC237),ISNUMBER(AC239)),AC237+AC239,"")</f>
        <v>26804</v>
      </c>
      <c r="AD240" s="267">
        <f>IF(AND(ISNUMBER(AD237),ISNUMBER(AD239)),AD237+AD239,"")</f>
        <v>7041</v>
      </c>
      <c r="AE240" s="267">
        <f>IF(AND(ISNUMBER(AE237),ISNUMBER(AE239)),AE237+AE239,"")</f>
        <v>8343</v>
      </c>
      <c r="AF240" s="267">
        <f>IF(AND(ISNUMBER(AF237),ISNUMBER(AF239)),AF237+AF239,"")</f>
        <v>8047</v>
      </c>
      <c r="AG240" s="267">
        <f>IF(AND(ISNUMBER(AG237),ISNUMBER(AG239)),AG237+AG239,"")</f>
        <v>7673</v>
      </c>
      <c r="AH240" s="267">
        <f>IF(AND(ISNUMBER(AH237),ISNUMBER(AH239)),AH237+AH239,"")</f>
        <v>31104</v>
      </c>
      <c r="AI240" s="267">
        <f>IF(AND(ISNUMBER(AI237),ISNUMBER(AI239)),AI237+AI239,"")</f>
        <v>10207</v>
      </c>
      <c r="AJ240" s="267">
        <f>IF(AND(ISNUMBER(AJ237),ISNUMBER(AJ239)),AJ237+AJ239,"")</f>
        <v>11215</v>
      </c>
      <c r="AK240" s="267">
        <f>IF(AND(ISNUMBER(AK237),ISNUMBER(AK239)),AK237+AK239,"")</f>
        <v>11002</v>
      </c>
      <c r="AL240" s="267">
        <f>IF(AND(ISNUMBER(AL237),ISNUMBER(AL239)),AL237+AL239,"")</f>
        <v>12895</v>
      </c>
      <c r="AM240" s="267">
        <f>IF(AND(ISNUMBER(AM237),ISNUMBER(AM239)),AM237+AM239,"")</f>
        <v>45319</v>
      </c>
      <c r="AN240" s="267">
        <f>IF(AND(ISNUMBER(AN237),ISNUMBER(AN239)),AN237+AN239,"")</f>
        <v>12792</v>
      </c>
      <c r="AO240" s="267">
        <f>IF(AND(ISNUMBER(AO237),ISNUMBER(AO239)),AO237+AO239,"")</f>
        <v>13253</v>
      </c>
      <c r="AP240" s="267">
        <f>IF(AND(ISNUMBER(AP237),ISNUMBER(AP239)),AP237+AP239,"")</f>
        <v>13267</v>
      </c>
      <c r="AQ240" s="267">
        <f>IF(AND(ISNUMBER(AQ237),ISNUMBER(AQ239)),AQ237+AQ239,"")</f>
        <v>15329</v>
      </c>
      <c r="AR240" s="267">
        <f>IF(AND(ISNUMBER(AR237),ISNUMBER(AR239)),AR237+AR239,"")</f>
        <v>54641</v>
      </c>
      <c r="AS240" s="267">
        <f>IF(AND(ISNUMBER(AS237),ISNUMBER(AS239)),AS237+AS239,"")</f>
        <v>15657</v>
      </c>
      <c r="AT240" s="267">
        <f>IF(AND(ISNUMBER(AT237),ISNUMBER(AT239)),AT237+AT239,"")</f>
        <v>17094</v>
      </c>
      <c r="AU240" s="267">
        <f>IF(AND(ISNUMBER(AU237),ISNUMBER(AU239)),AU237+AU239,"")</f>
        <v>16093</v>
      </c>
      <c r="AV240" s="267">
        <f>IF(AND(ISNUMBER(AV237),ISNUMBER(AV239)),AV237+AV239,"")</f>
        <v>16911</v>
      </c>
      <c r="AW240" s="267">
        <f>IF(AND(ISNUMBER(AW237),ISNUMBER(AW239)),AW237+AW239,"")</f>
        <v>65755</v>
      </c>
      <c r="AX240" s="267">
        <f>IF(AND(ISNUMBER(AX237),ISNUMBER(AX239)),AX237+AX239,"")</f>
        <v>18521</v>
      </c>
      <c r="AY240" s="267">
        <f>IF(AND(ISNUMBER(AY237),ISNUMBER(AY239)),AY237+AY239,"")</f>
        <v>20658</v>
      </c>
      <c r="AZ240" s="267">
        <f>IF(AND(ISNUMBER(AZ237),ISNUMBER(AZ239)),AZ237+AZ239,"")</f>
        <v>19984</v>
      </c>
      <c r="BA240" s="267">
        <f>IF(AND(ISNUMBER(BA237),ISNUMBER(BA239)),BA237+BA239,"")</f>
        <v>22439</v>
      </c>
      <c r="BB240" s="267">
        <f>IF(AND(ISNUMBER(BB237),ISNUMBER(BB239)),BB237+BB239,"")</f>
        <v>81602</v>
      </c>
      <c r="BC240" s="267">
        <f>IF(AND(ISNUMBER(BC237),ISNUMBER(BC239)),BC237+BC239,"")</f>
        <v>23450</v>
      </c>
      <c r="BD240" s="267">
        <f>IF(AND(ISNUMBER(BD237),ISNUMBER(BD239)),BD237+BD239,"")</f>
        <v>25743</v>
      </c>
      <c r="BE240" s="267">
        <f>IF(AND(ISNUMBER(BE237),ISNUMBER(BE239)),BE237+BE239,"")</f>
        <v>24137</v>
      </c>
      <c r="BF240" s="267">
        <f>IF(AND(ISNUMBER(BF237),ISNUMBER(BF239)),BF237+BF239,"")</f>
        <v>24513</v>
      </c>
      <c r="BG240" s="267">
        <f>IF(AND(ISNUMBER(BG237),ISNUMBER(BG239)),BG237+BG239,"")</f>
        <v>97843</v>
      </c>
      <c r="BH240" s="267">
        <f>IF(AND(ISNUMBER(BH237),ISNUMBER(BH239)),BH237+BH239,"")</f>
        <v>24308</v>
      </c>
      <c r="BI240" s="267">
        <f>IF(AND(ISNUMBER(BI237),ISNUMBER(BI239)),BI237+BI239,"")</f>
        <v>24047</v>
      </c>
      <c r="BJ240" s="267">
        <f>IF(AND(ISNUMBER(BJ237),ISNUMBER(BJ239)),BJ237+BJ239,"")</f>
        <v>25901</v>
      </c>
      <c r="BK240" s="267">
        <f>IF(AND(ISNUMBER(BK237),ISNUMBER(BK239)),BK237+BK239,"")</f>
        <v>28128</v>
      </c>
      <c r="BL240" s="267">
        <f>IF(AND(ISNUMBER(BL237),ISNUMBER(BL239)),BL237+BL239,"")</f>
        <v>102384</v>
      </c>
      <c r="BM240" s="267">
        <f>IF(AND(ISNUMBER(BM237),ISNUMBER(BM239)),BM237+BM239,"")</f>
        <v>30816</v>
      </c>
      <c r="BN240" s="267">
        <f>IF(AND(ISNUMBER(BN237),ISNUMBER(BN239)),BN237+BN239,"")</f>
        <v>32991</v>
      </c>
      <c r="BO240" s="267">
        <f>IF(AND(ISNUMBER(BO237),ISNUMBER(BO239)),BO237+BO239,"")</f>
        <v>33608</v>
      </c>
      <c r="BP240" s="267">
        <f>IF(AND(ISNUMBER(BP237),ISNUMBER(BP239)),BP237+BP239,"")</f>
        <v>34305</v>
      </c>
      <c r="BQ240" s="267">
        <f>IF(AND(ISNUMBER(BQ237),ISNUMBER(BQ239)),BQ237+BQ239,"")</f>
        <v>131720</v>
      </c>
      <c r="BR240" s="267">
        <f>IF(AND(ISNUMBER(BR237),ISNUMBER(BR239)),BR237+BR239,"")</f>
        <v>37935</v>
      </c>
      <c r="BS240" s="267">
        <f>IF(AND(ISNUMBER(BS237),ISNUMBER(BS239)),BS237+BS239,"")</f>
        <v>38480</v>
      </c>
      <c r="BT240" s="267">
        <f>IF(AND(ISNUMBER(BT237),ISNUMBER(BT239)),BT237+BT239,"")</f>
        <v>40740</v>
      </c>
      <c r="BU240" s="267">
        <f>IF(AND(ISNUMBER(BU237),ISNUMBER(BU239)),BU237+BU239,"")</f>
        <v>45526</v>
      </c>
      <c r="BV240" s="267">
        <f>IF(AND(ISNUMBER(BV237),ISNUMBER(BV239)),BV237+BV239,"")</f>
        <v>162681</v>
      </c>
      <c r="BW240" s="267">
        <f>IF(AND(ISNUMBER(BW237),ISNUMBER(BW239)),BW237+BW239,"")</f>
        <v>46108</v>
      </c>
      <c r="BX240" s="267">
        <f>IF(AND(ISNUMBER(BX237),ISNUMBER(BX239)),BX237+BX239,"")</f>
        <v>47473</v>
      </c>
      <c r="BY240" s="267">
        <f>IF(AND(ISNUMBER(BY237),ISNUMBER(BY239)),BY237+BY239,"")</f>
        <v>48565</v>
      </c>
      <c r="BZ240" s="267">
        <f>IF(AND(ISNUMBER(BZ237),ISNUMBER(BZ239)),BZ237+BZ239,"")</f>
        <v>51625</v>
      </c>
      <c r="CA240" s="267">
        <f>IF(AND(ISNUMBER(CA237),ISNUMBER(CA239)),CA237+CA239,"")</f>
        <v>193771</v>
      </c>
      <c r="CB240" s="267">
        <f>IF(AND(ISNUMBER(CB237),ISNUMBER(CB239)),CB237+CB239,"")</f>
        <v>57929.98</v>
      </c>
      <c r="CC240" s="267">
        <f>IF(AND(ISNUMBER(CC237),ISNUMBER(CC239)),CC237+CC239,"")</f>
        <v>58425.9245535205</v>
      </c>
      <c r="CD240" s="267">
        <f>IF(AND(ISNUMBER(CD237),ISNUMBER(CD239)),CD237+CD239,"")</f>
        <v>58791.926334539</v>
      </c>
      <c r="CE240" s="267">
        <f>IF(AND(ISNUMBER(CE237),ISNUMBER(CE239)),CE237+CE239,"")</f>
        <v>61673.2237102201</v>
      </c>
      <c r="CF240" s="267">
        <f>IF(AND(ISNUMBER(CF237),ISNUMBER(CF239)),CF237+CF239,"")</f>
        <v>236821.05459828</v>
      </c>
      <c r="CG240" s="267">
        <f>IF(AND(ISNUMBER(CG237),ISNUMBER(CG239)),CG237+CG239,"")</f>
        <v>283174.463126593</v>
      </c>
      <c r="CH240" s="267">
        <f>IF(AND(ISNUMBER(CH237),ISNUMBER(CH239)),CH237+CH239,"")</f>
        <v>335306.703392092</v>
      </c>
      <c r="CI240" s="267">
        <f>IF(AND(ISNUMBER(CI237),ISNUMBER(CI239)),CI237+CI239,"")</f>
        <v>389934.941497476</v>
      </c>
      <c r="CJ240" s="267">
        <f>IF(AND(ISNUMBER(CJ237),ISNUMBER(CJ239)),CJ237+CJ239,"")</f>
        <v>441920.381860219</v>
      </c>
      <c r="CK240" s="153" t="n"/>
      <c r="CM240" s="20">
        <f>IFERROR((CJ240/CA240)^(1/5)-1,"n/m")</f>
        <v>0.179264025834361</v>
      </c>
      <c r="CN240" s="20">
        <f>IFERROR((CA240/BB240)^(1/5)-1,"n/m")</f>
        <v>0.188824086063434</v>
      </c>
      <c r="CO240" s="20">
        <f>IFERROR((CA240/AC240)^(1/10)-1,"n/m")</f>
        <v>0.218733971842332</v>
      </c>
      <c r="CP240" s="20">
        <f>IFERROR((CA240/C240)^(1/20)-1,"n/m")</f>
        <v>0.128153508486423</v>
      </c>
    </row>
    <row r="241" ht="15" customHeight="1" s="251">
      <c r="B241" s="25" t="inlineStr">
        <is>
          <t xml:space="preserve">  (+) Operating adjusting items (bridge above)</t>
        </is>
      </c>
      <c r="C241" s="211">
        <f>IF(ISNUMBER(C221),C221,"")</f>
        <v>0</v>
      </c>
      <c r="D241" s="211">
        <f>IF(ISNUMBER(D221),D221,"")</f>
        <v>0</v>
      </c>
      <c r="E241" s="211">
        <f>IF(ISNUMBER(E221),E221,"")</f>
        <v>0</v>
      </c>
      <c r="F241" s="211">
        <f>IF(ISNUMBER(F221),F221,"")</f>
        <v>0</v>
      </c>
      <c r="G241" s="211">
        <f>IF(ISNUMBER(G221),G221,"")</f>
        <v>0</v>
      </c>
      <c r="H241" s="211">
        <f>IF(ISNUMBER(H221),H221,"")</f>
        <v>0</v>
      </c>
      <c r="I241" s="211">
        <f>IF(ISNUMBER(I221),I221,"")</f>
        <v>6733</v>
      </c>
      <c r="J241" s="211">
        <f>IF(ISNUMBER(J221),J221,"")</f>
        <v>1356</v>
      </c>
      <c r="K241" s="211">
        <f>IF(ISNUMBER(K221),K221,"")</f>
        <v>546</v>
      </c>
      <c r="L241" s="211">
        <f>IF(ISNUMBER(L221),L221,"")</f>
        <v>-925</v>
      </c>
      <c r="M241" s="211">
        <f>IF(ISNUMBER(M221),M221,"")</f>
        <v>-782</v>
      </c>
      <c r="N241" s="211">
        <f>IF(ISNUMBER(N221),N221,"")</f>
        <v>193</v>
      </c>
      <c r="O241" s="211">
        <f>IF(ISNUMBER(O221),O221,"")</f>
        <v>113</v>
      </c>
      <c r="P241" s="211">
        <f>IF(ISNUMBER(P221),P221,"")</f>
        <v>0</v>
      </c>
      <c r="Q241" s="211">
        <f>IF(ISNUMBER(Q221),Q221,"")</f>
        <v>0</v>
      </c>
      <c r="R241" s="211">
        <f>IF(ISNUMBER(R221),R221,"")</f>
        <v>0</v>
      </c>
      <c r="S241" s="211">
        <f>IF(ISNUMBER(S221),S221,"")</f>
        <v>0</v>
      </c>
      <c r="T241" s="211">
        <f>IF(ISNUMBER(T221),T221,"")</f>
        <v>1140</v>
      </c>
      <c r="U241" s="211">
        <f>IF(ISNUMBER(U221),U221,"")</f>
        <v>-83</v>
      </c>
      <c r="V241" s="211">
        <f>IF(ISNUMBER(V221),V221,"")</f>
        <v>190</v>
      </c>
      <c r="W241" s="211">
        <f>IF(ISNUMBER(W221),W221,"")</f>
        <v>8438</v>
      </c>
      <c r="X241" s="211">
        <f>IF(ISNUMBER(X221),X221,"")</f>
        <v>10011</v>
      </c>
      <c r="Y241" s="211">
        <f>IF(ISNUMBER(Y221),Y221,"")</f>
        <v>1281</v>
      </c>
      <c r="Z241" s="211">
        <f>IF(ISNUMBER(Z221),Z221,"")</f>
        <v>1897</v>
      </c>
      <c r="AA241" s="211">
        <f>IF(ISNUMBER(AA221),AA221,"")</f>
        <v>1545</v>
      </c>
      <c r="AB241" s="211">
        <f>IF(ISNUMBER(AB221),AB221,"")</f>
        <v>3138</v>
      </c>
      <c r="AC241" s="211">
        <f>IF(ISNUMBER(AC221),AC221,"")</f>
        <v>7753</v>
      </c>
      <c r="AD241" s="211">
        <f>IF(ISNUMBER(AD221),AD221,"")</f>
        <v>1881</v>
      </c>
      <c r="AE241" s="211">
        <f>IF(ISNUMBER(AE221),AE221,"")</f>
        <v>1976</v>
      </c>
      <c r="AF241" s="211">
        <f>IF(ISNUMBER(AF221),AF221,"")</f>
        <v>1467</v>
      </c>
      <c r="AG241" s="211">
        <f>IF(ISNUMBER(AG221),AG221,"")</f>
        <v>1689</v>
      </c>
      <c r="AH241" s="211">
        <f>IF(ISNUMBER(AH221),AH221,"")</f>
        <v>7013</v>
      </c>
      <c r="AI241" s="211">
        <f>IF(ISNUMBER(AI221),AI221,"")</f>
        <v>0</v>
      </c>
      <c r="AJ241" s="211">
        <f>IF(ISNUMBER(AJ221),AJ221,"")</f>
        <v>0</v>
      </c>
      <c r="AK241" s="211">
        <f>IF(ISNUMBER(AK221),AK221,"")</f>
        <v>0</v>
      </c>
      <c r="AL241" s="211">
        <f>IF(ISNUMBER(AL221),AL221,"")</f>
        <v>0</v>
      </c>
      <c r="AM241" s="211">
        <f>IF(ISNUMBER(AM221),AM221,"")</f>
        <v>0</v>
      </c>
      <c r="AN241" s="211">
        <f>IF(ISNUMBER(AN221),AN221,"")</f>
        <v>0</v>
      </c>
      <c r="AO241" s="211">
        <f>IF(ISNUMBER(AO221),AO221,"")</f>
        <v>0</v>
      </c>
      <c r="AP241" s="211">
        <f>IF(ISNUMBER(AP221),AP221,"")</f>
        <v>0</v>
      </c>
      <c r="AQ241" s="211">
        <f>IF(ISNUMBER(AQ221),AQ221,"")</f>
        <v>0</v>
      </c>
      <c r="AR241" s="211">
        <f>IF(ISNUMBER(AR221),AR221,"")</f>
        <v>0</v>
      </c>
      <c r="AS241" s="211">
        <f>IF(ISNUMBER(AS221),AS221,"")</f>
        <v>0</v>
      </c>
      <c r="AT241" s="211">
        <f>IF(ISNUMBER(AT221),AT221,"")</f>
        <v>0</v>
      </c>
      <c r="AU241" s="211">
        <f>IF(ISNUMBER(AU221),AU221,"")</f>
        <v>0</v>
      </c>
      <c r="AV241" s="211">
        <f>IF(ISNUMBER(AV221),AV221,"")</f>
        <v>0</v>
      </c>
      <c r="AW241" s="211">
        <f>IF(ISNUMBER(AW221),AW221,"")</f>
        <v>0</v>
      </c>
      <c r="AX241" s="211">
        <f>IF(ISNUMBER(AX221),AX221,"")</f>
        <v>0</v>
      </c>
      <c r="AY241" s="211">
        <f>IF(ISNUMBER(AY221),AY221,"")</f>
        <v>0</v>
      </c>
      <c r="AZ241" s="211">
        <f>IF(ISNUMBER(AZ221),AZ221,"")</f>
        <v>0</v>
      </c>
      <c r="BA241" s="211">
        <f>IF(ISNUMBER(BA221),BA221,"")</f>
        <v>0</v>
      </c>
      <c r="BB241" s="211">
        <f>IF(ISNUMBER(BB221),BB221,"")</f>
        <v>0</v>
      </c>
      <c r="BC241" s="211">
        <f>IF(ISNUMBER(BC221),BC221,"")</f>
        <v>0</v>
      </c>
      <c r="BD241" s="211">
        <f>IF(ISNUMBER(BD221),BD221,"")</f>
        <v>0</v>
      </c>
      <c r="BE241" s="211">
        <f>IF(ISNUMBER(BE221),BE221,"")</f>
        <v>0</v>
      </c>
      <c r="BF241" s="211">
        <f>IF(ISNUMBER(BF221),BF221,"")</f>
        <v>0</v>
      </c>
      <c r="BG241" s="211">
        <f>IF(ISNUMBER(BG221),BG221,"")</f>
        <v>0</v>
      </c>
      <c r="BH241" s="211">
        <f>IF(ISNUMBER(BH221),BH221,"")</f>
        <v>0</v>
      </c>
      <c r="BI241" s="211">
        <f>IF(ISNUMBER(BI221),BI221,"")</f>
        <v>1171</v>
      </c>
      <c r="BJ241" s="211">
        <f>IF(ISNUMBER(BJ221),BJ221,"")</f>
        <v>0</v>
      </c>
      <c r="BK241" s="211">
        <f>IF(ISNUMBER(BK221),BK221,"")</f>
        <v>0</v>
      </c>
      <c r="BL241" s="211">
        <f>IF(ISNUMBER(BL221),BL221,"")</f>
        <v>1171</v>
      </c>
      <c r="BM241" s="211">
        <f>IF(ISNUMBER(BM221),BM221,"")</f>
        <v>0</v>
      </c>
      <c r="BN241" s="211">
        <f>IF(ISNUMBER(BN221),BN221,"")</f>
        <v>0</v>
      </c>
      <c r="BO241" s="211">
        <f>IF(ISNUMBER(BO221),BO221,"")</f>
        <v>0</v>
      </c>
      <c r="BP241" s="211">
        <f>IF(ISNUMBER(BP221),BP221,"")</f>
        <v>0</v>
      </c>
      <c r="BQ241" s="211">
        <f>IF(ISNUMBER(BQ221),BQ221,"")</f>
        <v>0</v>
      </c>
      <c r="BR241" s="211">
        <f>IF(ISNUMBER(BR221),BR221,"")</f>
        <v>0</v>
      </c>
      <c r="BS241" s="211">
        <f>IF(ISNUMBER(BS221),BS221,"")</f>
        <v>0</v>
      </c>
      <c r="BT241" s="211">
        <f>IF(ISNUMBER(BT221),BT221,"")</f>
        <v>0</v>
      </c>
      <c r="BU241" s="211">
        <f>IF(ISNUMBER(BU221),BU221,"")</f>
        <v>0</v>
      </c>
      <c r="BV241" s="211">
        <f>IF(ISNUMBER(BV221),BV221,"")</f>
        <v>0</v>
      </c>
      <c r="BW241" s="211">
        <f>IF(ISNUMBER(BW221),BW221,"")</f>
        <v>0</v>
      </c>
      <c r="BX241" s="211">
        <f>IF(ISNUMBER(BX221),BX221,"")</f>
        <v>0</v>
      </c>
      <c r="BY241" s="211">
        <f>IF(ISNUMBER(BY221),BY221,"")</f>
        <v>0</v>
      </c>
      <c r="BZ241" s="211">
        <f>IF(ISNUMBER(BZ221),BZ221,"")</f>
        <v>0</v>
      </c>
      <c r="CA241" s="211">
        <f>IF(ISNUMBER(CA221),CA221,"")</f>
        <v>0</v>
      </c>
      <c r="CB241" s="254">
        <f>IF(ISNUMBER(CB221),CB221,"")</f>
        <v>0</v>
      </c>
      <c r="CC241" s="254">
        <f>IF(ISNUMBER(CC221),CC221,"")</f>
        <v>0</v>
      </c>
      <c r="CD241" s="254">
        <f>IF(ISNUMBER(CD221),CD221,"")</f>
        <v>0</v>
      </c>
      <c r="CE241" s="254">
        <f>IF(ISNUMBER(CE221),CE221,"")</f>
        <v>0</v>
      </c>
      <c r="CF241" s="254">
        <f>IF(ISNUMBER(CF221),CF221,"")</f>
        <v>0</v>
      </c>
      <c r="CG241" s="254">
        <f>IF(ISNUMBER(CG221),CG221,"")</f>
        <v>0</v>
      </c>
      <c r="CH241" s="254">
        <f>IF(ISNUMBER(CH221),CH221,"")</f>
        <v>0</v>
      </c>
      <c r="CI241" s="254">
        <f>IF(ISNUMBER(CI221),CI221,"")</f>
        <v>0</v>
      </c>
      <c r="CJ241" s="254">
        <f>IF(ISNUMBER(CJ221),CJ221,"")</f>
        <v>0</v>
      </c>
      <c r="CK241" s="19" t="n"/>
    </row>
    <row r="242" ht="15" customHeight="1" s="251">
      <c r="B242" s="55" t="inlineStr">
        <is>
          <t xml:space="preserve">  = Adjusted EBITDA (model)</t>
        </is>
      </c>
      <c r="C242" s="267">
        <f>IF(AND(ISNUMBER(C240),ISNUMBER(C241)),C240+C241,"")</f>
        <v>17375</v>
      </c>
      <c r="D242" s="267">
        <f>IF(AND(ISNUMBER(D240),ISNUMBER(D241)),D240+D241,"")</f>
        <v>19964</v>
      </c>
      <c r="E242" s="267">
        <f>IF(AND(ISNUMBER(E240),ISNUMBER(E241)),E240+E241,"")</f>
        <v>24548</v>
      </c>
      <c r="F242" s="267">
        <f>IF(AND(ISNUMBER(F240),ISNUMBER(F241)),F240+F241,"")</f>
        <v>22925</v>
      </c>
      <c r="G242" s="267">
        <f>IF(AND(ISNUMBER(G240),ISNUMBER(G241)),G240+G241,"")</f>
        <v>26771</v>
      </c>
      <c r="H242" s="267">
        <f>IF(AND(ISNUMBER(H240),ISNUMBER(H241)),H240+H241,"")</f>
        <v>29927</v>
      </c>
      <c r="I242" s="267">
        <f>IF(AND(ISNUMBER(I240),ISNUMBER(I241)),I240+I241,"")</f>
        <v>31463</v>
      </c>
      <c r="J242" s="267">
        <f>IF(AND(ISNUMBER(J240),ISNUMBER(J241)),J240+J241,"")</f>
        <v>7374</v>
      </c>
      <c r="K242" s="267">
        <f>IF(AND(ISNUMBER(K240),ISNUMBER(K241)),K240+K241,"")</f>
        <v>9326</v>
      </c>
      <c r="L242" s="267">
        <f>IF(AND(ISNUMBER(L240),ISNUMBER(L241)),L240+L241,"")</f>
        <v>7740</v>
      </c>
      <c r="M242" s="267">
        <f>IF(AND(ISNUMBER(M240),ISNUMBER(M241)),M240+M241,"")</f>
        <v>6274</v>
      </c>
      <c r="N242" s="267">
        <f>IF(AND(ISNUMBER(N240),ISNUMBER(N241)),N240+N241,"")</f>
        <v>30712</v>
      </c>
      <c r="O242" s="267">
        <f>IF(AND(ISNUMBER(O240),ISNUMBER(O241)),O240+O241,"")</f>
        <v>7401</v>
      </c>
      <c r="P242" s="267">
        <f>IF(AND(ISNUMBER(P240),ISNUMBER(P241)),P240+P241,"")</f>
        <v>9230</v>
      </c>
      <c r="Q242" s="267">
        <f>IF(AND(ISNUMBER(Q240),ISNUMBER(Q241)),Q240+Q241,"")</f>
        <v>8229</v>
      </c>
      <c r="R242" s="267">
        <f>IF(AND(ISNUMBER(R240),ISNUMBER(R241)),R240+R241,"")</f>
        <v>8224</v>
      </c>
      <c r="S242" s="267">
        <f>IF(AND(ISNUMBER(S240),ISNUMBER(S241)),S240+S241,"")</f>
        <v>32971</v>
      </c>
      <c r="T242" s="267">
        <f>IF(AND(ISNUMBER(T240),ISNUMBER(T241)),T240+T241,"")</f>
        <v>8412</v>
      </c>
      <c r="U242" s="267">
        <f>IF(AND(ISNUMBER(U240),ISNUMBER(U241)),U240+U241,"")</f>
        <v>9214</v>
      </c>
      <c r="V242" s="267">
        <f>IF(AND(ISNUMBER(V240),ISNUMBER(V241)),V240+V241,"")</f>
        <v>8299</v>
      </c>
      <c r="W242" s="267">
        <f>IF(AND(ISNUMBER(W240),ISNUMBER(W241)),W240+W241,"")</f>
        <v>7878</v>
      </c>
      <c r="X242" s="267">
        <f>IF(AND(ISNUMBER(X240),ISNUMBER(X241)),X240+X241,"")</f>
        <v>34129</v>
      </c>
      <c r="Y242" s="267">
        <f>IF(AND(ISNUMBER(Y240),ISNUMBER(Y241)),Y240+Y241,"")</f>
        <v>8535</v>
      </c>
      <c r="Z242" s="267">
        <f>IF(AND(ISNUMBER(Z240),ISNUMBER(Z241)),Z240+Z241,"")</f>
        <v>9467</v>
      </c>
      <c r="AA242" s="267">
        <f>IF(AND(ISNUMBER(AA240),ISNUMBER(AA241)),AA240+AA241,"")</f>
        <v>8535</v>
      </c>
      <c r="AB242" s="267">
        <f>IF(AND(ISNUMBER(AB240),ISNUMBER(AB241)),AB240+AB241,"")</f>
        <v>8128</v>
      </c>
      <c r="AC242" s="267">
        <f>IF(AND(ISNUMBER(AC240),ISNUMBER(AC241)),AC240+AC241,"")</f>
        <v>34557</v>
      </c>
      <c r="AD242" s="267">
        <f>IF(AND(ISNUMBER(AD240),ISNUMBER(AD241)),AD240+AD241,"")</f>
        <v>8922</v>
      </c>
      <c r="AE242" s="267">
        <f>IF(AND(ISNUMBER(AE240),ISNUMBER(AE241)),AE240+AE241,"")</f>
        <v>10319</v>
      </c>
      <c r="AF242" s="267">
        <f>IF(AND(ISNUMBER(AF240),ISNUMBER(AF241)),AF240+AF241,"")</f>
        <v>9514</v>
      </c>
      <c r="AG242" s="267">
        <f>IF(AND(ISNUMBER(AG240),ISNUMBER(AG241)),AG240+AG241,"")</f>
        <v>9362</v>
      </c>
      <c r="AH242" s="267">
        <f>IF(AND(ISNUMBER(AH240),ISNUMBER(AH241)),AH240+AH241,"")</f>
        <v>38117</v>
      </c>
      <c r="AI242" s="267">
        <f>IF(AND(ISNUMBER(AI240),ISNUMBER(AI241)),AI240+AI241,"")</f>
        <v>10207</v>
      </c>
      <c r="AJ242" s="267">
        <f>IF(AND(ISNUMBER(AJ240),ISNUMBER(AJ241)),AJ240+AJ241,"")</f>
        <v>11215</v>
      </c>
      <c r="AK242" s="267">
        <f>IF(AND(ISNUMBER(AK240),ISNUMBER(AK241)),AK240+AK241,"")</f>
        <v>11002</v>
      </c>
      <c r="AL242" s="267">
        <f>IF(AND(ISNUMBER(AL240),ISNUMBER(AL241)),AL240+AL241,"")</f>
        <v>12895</v>
      </c>
      <c r="AM242" s="267">
        <f>IF(AND(ISNUMBER(AM240),ISNUMBER(AM241)),AM240+AM241,"")</f>
        <v>45319</v>
      </c>
      <c r="AN242" s="267">
        <f>IF(AND(ISNUMBER(AN240),ISNUMBER(AN241)),AN240+AN241,"")</f>
        <v>12792</v>
      </c>
      <c r="AO242" s="267">
        <f>IF(AND(ISNUMBER(AO240),ISNUMBER(AO241)),AO240+AO241,"")</f>
        <v>13253</v>
      </c>
      <c r="AP242" s="267">
        <f>IF(AND(ISNUMBER(AP240),ISNUMBER(AP241)),AP240+AP241,"")</f>
        <v>13267</v>
      </c>
      <c r="AQ242" s="267">
        <f>IF(AND(ISNUMBER(AQ240),ISNUMBER(AQ241)),AQ240+AQ241,"")</f>
        <v>15329</v>
      </c>
      <c r="AR242" s="267">
        <f>IF(AND(ISNUMBER(AR240),ISNUMBER(AR241)),AR240+AR241,"")</f>
        <v>54641</v>
      </c>
      <c r="AS242" s="267">
        <f>IF(AND(ISNUMBER(AS240),ISNUMBER(AS241)),AS240+AS241,"")</f>
        <v>15657</v>
      </c>
      <c r="AT242" s="267">
        <f>IF(AND(ISNUMBER(AT240),ISNUMBER(AT241)),AT240+AT241,"")</f>
        <v>17094</v>
      </c>
      <c r="AU242" s="267">
        <f>IF(AND(ISNUMBER(AU240),ISNUMBER(AU241)),AU240+AU241,"")</f>
        <v>16093</v>
      </c>
      <c r="AV242" s="267">
        <f>IF(AND(ISNUMBER(AV240),ISNUMBER(AV241)),AV240+AV241,"")</f>
        <v>16911</v>
      </c>
      <c r="AW242" s="267">
        <f>IF(AND(ISNUMBER(AW240),ISNUMBER(AW241)),AW240+AW241,"")</f>
        <v>65755</v>
      </c>
      <c r="AX242" s="267">
        <f>IF(AND(ISNUMBER(AX240),ISNUMBER(AX241)),AX240+AX241,"")</f>
        <v>18521</v>
      </c>
      <c r="AY242" s="267">
        <f>IF(AND(ISNUMBER(AY240),ISNUMBER(AY241)),AY240+AY241,"")</f>
        <v>20658</v>
      </c>
      <c r="AZ242" s="267">
        <f>IF(AND(ISNUMBER(AZ240),ISNUMBER(AZ241)),AZ240+AZ241,"")</f>
        <v>19984</v>
      </c>
      <c r="BA242" s="267">
        <f>IF(AND(ISNUMBER(BA240),ISNUMBER(BA241)),BA240+BA241,"")</f>
        <v>22439</v>
      </c>
      <c r="BB242" s="267">
        <f>IF(AND(ISNUMBER(BB240),ISNUMBER(BB241)),BB240+BB241,"")</f>
        <v>81602</v>
      </c>
      <c r="BC242" s="267">
        <f>IF(AND(ISNUMBER(BC240),ISNUMBER(BC241)),BC240+BC241,"")</f>
        <v>23450</v>
      </c>
      <c r="BD242" s="267">
        <f>IF(AND(ISNUMBER(BD240),ISNUMBER(BD241)),BD240+BD241,"")</f>
        <v>25743</v>
      </c>
      <c r="BE242" s="267">
        <f>IF(AND(ISNUMBER(BE240),ISNUMBER(BE241)),BE240+BE241,"")</f>
        <v>24137</v>
      </c>
      <c r="BF242" s="267">
        <f>IF(AND(ISNUMBER(BF240),ISNUMBER(BF241)),BF240+BF241,"")</f>
        <v>24513</v>
      </c>
      <c r="BG242" s="267">
        <f>IF(AND(ISNUMBER(BG240),ISNUMBER(BG241)),BG240+BG241,"")</f>
        <v>97843</v>
      </c>
      <c r="BH242" s="267">
        <f>IF(AND(ISNUMBER(BH240),ISNUMBER(BH241)),BH240+BH241,"")</f>
        <v>24308</v>
      </c>
      <c r="BI242" s="267">
        <f>IF(AND(ISNUMBER(BI240),ISNUMBER(BI241)),BI240+BI241,"")</f>
        <v>25218</v>
      </c>
      <c r="BJ242" s="267">
        <f>IF(AND(ISNUMBER(BJ240),ISNUMBER(BJ241)),BJ240+BJ241,"")</f>
        <v>25901</v>
      </c>
      <c r="BK242" s="267">
        <f>IF(AND(ISNUMBER(BK240),ISNUMBER(BK241)),BK240+BK241,"")</f>
        <v>28128</v>
      </c>
      <c r="BL242" s="267">
        <f>IF(AND(ISNUMBER(BL240),ISNUMBER(BL241)),BL240+BL241,"")</f>
        <v>103555</v>
      </c>
      <c r="BM242" s="267">
        <f>IF(AND(ISNUMBER(BM240),ISNUMBER(BM241)),BM240+BM241,"")</f>
        <v>30816</v>
      </c>
      <c r="BN242" s="267">
        <f>IF(AND(ISNUMBER(BN240),ISNUMBER(BN241)),BN240+BN241,"")</f>
        <v>32991</v>
      </c>
      <c r="BO242" s="267">
        <f>IF(AND(ISNUMBER(BO240),ISNUMBER(BO241)),BO240+BO241,"")</f>
        <v>33608</v>
      </c>
      <c r="BP242" s="267">
        <f>IF(AND(ISNUMBER(BP240),ISNUMBER(BP241)),BP240+BP241,"")</f>
        <v>34305</v>
      </c>
      <c r="BQ242" s="267">
        <f>IF(AND(ISNUMBER(BQ240),ISNUMBER(BQ241)),BQ240+BQ241,"")</f>
        <v>131720</v>
      </c>
      <c r="BR242" s="267">
        <f>IF(AND(ISNUMBER(BR240),ISNUMBER(BR241)),BR240+BR241,"")</f>
        <v>37935</v>
      </c>
      <c r="BS242" s="267">
        <f>IF(AND(ISNUMBER(BS240),ISNUMBER(BS241)),BS240+BS241,"")</f>
        <v>38480</v>
      </c>
      <c r="BT242" s="267">
        <f>IF(AND(ISNUMBER(BT240),ISNUMBER(BT241)),BT240+BT241,"")</f>
        <v>40740</v>
      </c>
      <c r="BU242" s="267">
        <f>IF(AND(ISNUMBER(BU240),ISNUMBER(BU241)),BU240+BU241,"")</f>
        <v>45526</v>
      </c>
      <c r="BV242" s="267">
        <f>IF(AND(ISNUMBER(BV240),ISNUMBER(BV241)),BV240+BV241,"")</f>
        <v>162681</v>
      </c>
      <c r="BW242" s="267">
        <f>IF(AND(ISNUMBER(BW240),ISNUMBER(BW241)),BW240+BW241,"")</f>
        <v>46108</v>
      </c>
      <c r="BX242" s="267">
        <f>IF(AND(ISNUMBER(BX240),ISNUMBER(BX241)),BX240+BX241,"")</f>
        <v>47473</v>
      </c>
      <c r="BY242" s="267">
        <f>IF(AND(ISNUMBER(BY240),ISNUMBER(BY241)),BY240+BY241,"")</f>
        <v>48565</v>
      </c>
      <c r="BZ242" s="267">
        <f>IF(AND(ISNUMBER(BZ240),ISNUMBER(BZ241)),BZ240+BZ241,"")</f>
        <v>51625</v>
      </c>
      <c r="CA242" s="267">
        <f>IF(AND(ISNUMBER(CA240),ISNUMBER(CA241)),CA240+CA241,"")</f>
        <v>193771</v>
      </c>
      <c r="CB242" s="267">
        <f>IF(AND(ISNUMBER(CB240),ISNUMBER(CB241)),CB240+CB241,"")</f>
        <v>57929.98</v>
      </c>
      <c r="CC242" s="267">
        <f>IF(AND(ISNUMBER(CC240),ISNUMBER(CC241)),CC240+CC241,"")</f>
        <v>58425.9245535205</v>
      </c>
      <c r="CD242" s="267">
        <f>IF(AND(ISNUMBER(CD240),ISNUMBER(CD241)),CD240+CD241,"")</f>
        <v>58791.926334539</v>
      </c>
      <c r="CE242" s="267">
        <f>IF(AND(ISNUMBER(CE240),ISNUMBER(CE241)),CE240+CE241,"")</f>
        <v>61673.2237102201</v>
      </c>
      <c r="CF242" s="267">
        <f>IF(AND(ISNUMBER(CF240),ISNUMBER(CF241)),CF240+CF241,"")</f>
        <v>236821.05459828</v>
      </c>
      <c r="CG242" s="267">
        <f>IF(AND(ISNUMBER(CG240),ISNUMBER(CG241)),CG240+CG241,"")</f>
        <v>283174.463126593</v>
      </c>
      <c r="CH242" s="267">
        <f>IF(AND(ISNUMBER(CH240),ISNUMBER(CH241)),CH240+CH241,"")</f>
        <v>335306.703392092</v>
      </c>
      <c r="CI242" s="267">
        <f>IF(AND(ISNUMBER(CI240),ISNUMBER(CI241)),CI240+CI241,"")</f>
        <v>389934.941497476</v>
      </c>
      <c r="CJ242" s="267">
        <f>IF(AND(ISNUMBER(CJ240),ISNUMBER(CJ241)),CJ240+CJ241,"")</f>
        <v>441920.381860219</v>
      </c>
      <c r="CK242" s="153" t="inlineStr">
        <is>
          <t>Model definition (labelled): adjusted operating income + depreciation, amortization &amp; other. Used for leverage and EV / EBITDA.</t>
        </is>
      </c>
      <c r="CM242" s="20">
        <f>IFERROR((CJ242/CA242)^(1/5)-1,"n/m")</f>
        <v>0.179264025834361</v>
      </c>
      <c r="CN242" s="20">
        <f>IFERROR((CA242/BB242)^(1/5)-1,"n/m")</f>
        <v>0.188824086063434</v>
      </c>
      <c r="CO242" s="20">
        <f>IFERROR((CA242/AC242)^(1/10)-1,"n/m")</f>
        <v>0.188160949907984</v>
      </c>
      <c r="CP242" s="20">
        <f>IFERROR((CA242/C242)^(1/20)-1,"n/m")</f>
        <v>0.128153508486423</v>
      </c>
    </row>
    <row r="243" ht="15" customHeight="1" s="251">
      <c r="B243" s="25" t="inlineStr">
        <is>
          <t xml:space="preserve">  Adjusted EBITDA margin %</t>
        </is>
      </c>
      <c r="C243" s="215">
        <f>IF(AND(ISNUMBER(C242),ISNUMBER(C179)),IFERROR(C242/C179,""),"")</f>
        <v>0.392371618264758</v>
      </c>
      <c r="D243" s="215">
        <f>IF(AND(ISNUMBER(D242),ISNUMBER(D179)),IFERROR(D242/D179,""),"")</f>
        <v>0.390516802941982</v>
      </c>
      <c r="E243" s="215">
        <f>IF(AND(ISNUMBER(E242),ISNUMBER(E179)),IFERROR(E242/E179,""),"")</f>
        <v>0.406289308176101</v>
      </c>
      <c r="F243" s="215">
        <f>IF(AND(ISNUMBER(F242),ISNUMBER(F179)),IFERROR(F242/F179,""),"")</f>
        <v>0.392302821842326</v>
      </c>
      <c r="G243" s="215">
        <f>IF(AND(ISNUMBER(G242),ISNUMBER(G179)),IFERROR(G242/G179,""),"")</f>
        <v>0.428445682094616</v>
      </c>
      <c r="H243" s="215">
        <f>IF(AND(ISNUMBER(H242),ISNUMBER(H179)),IFERROR(H242/H179,""),"")</f>
        <v>0.427876985545373</v>
      </c>
      <c r="I243" s="215">
        <f>IF(AND(ISNUMBER(I242),ISNUMBER(I179)),IFERROR(I242/I179,""),"")</f>
        <v>0.42677319154131</v>
      </c>
      <c r="J243" s="215">
        <f>IF(AND(ISNUMBER(J242),ISNUMBER(J179)),IFERROR(J242/J179,""),"")</f>
        <v>0.460644677661169</v>
      </c>
      <c r="K243" s="215">
        <f>IF(AND(ISNUMBER(K242),ISNUMBER(K179)),IFERROR(K242/K179,""),"")</f>
        <v>0.43465697240865</v>
      </c>
      <c r="L243" s="215">
        <f>IF(AND(ISNUMBER(L242),ISNUMBER(L179)),IFERROR(L242/L179,""),"")</f>
        <v>0.37776367807116</v>
      </c>
      <c r="M243" s="215">
        <f>IF(AND(ISNUMBER(M242),ISNUMBER(M179)),IFERROR(M242/M179,""),"")</f>
        <v>0.315339766787294</v>
      </c>
      <c r="N243" s="215">
        <f>IF(AND(ISNUMBER(N242),ISNUMBER(N179)),IFERROR(N242/N179,""),"")</f>
        <v>0.394507315444001</v>
      </c>
      <c r="O243" s="215">
        <f>IF(AND(ISNUMBER(O242),ISNUMBER(O179)),IFERROR(O242/O179,""),"")</f>
        <v>0.399427923795132</v>
      </c>
      <c r="P243" s="215">
        <f>IF(AND(ISNUMBER(P242),ISNUMBER(P179)),IFERROR(P242/P179,""),"")</f>
        <v>0.376442758676944</v>
      </c>
      <c r="Q243" s="215">
        <f>IF(AND(ISNUMBER(Q242),ISNUMBER(Q179)),IFERROR(Q242/Q179,""),"")</f>
        <v>0.403323040729305</v>
      </c>
      <c r="R243" s="215">
        <f>IF(AND(ISNUMBER(R242),ISNUMBER(R179)),IFERROR(R242/R179,""),"")</f>
        <v>0.351723548028398</v>
      </c>
      <c r="S243" s="215">
        <f>IF(AND(ISNUMBER(S242),ISNUMBER(S179)),IFERROR(S242/S179,""),"")</f>
        <v>0.379705872191448</v>
      </c>
      <c r="T243" s="215">
        <f>IF(AND(ISNUMBER(T242),ISNUMBER(T179)),IFERROR(T242/T179,""),"")</f>
        <v>0.36257057885436</v>
      </c>
      <c r="U243" s="215">
        <f>IF(AND(ISNUMBER(U242),ISNUMBER(U179)),IFERROR(U242/U179,""),"")</f>
        <v>0.348092179826218</v>
      </c>
      <c r="V243" s="215">
        <f>IF(AND(ISNUMBER(V242),ISNUMBER(V179)),IFERROR(V242/V179,""),"")</f>
        <v>0.381931980302821</v>
      </c>
      <c r="W243" s="215">
        <f>IF(AND(ISNUMBER(W242),ISNUMBER(W179)),IFERROR(W242/W179,""),"")</f>
        <v>0.355184851217313</v>
      </c>
      <c r="X243" s="215">
        <f>IF(AND(ISNUMBER(X242),ISNUMBER(X179)),IFERROR(X242/X179,""),"")</f>
        <v>0.364703996580466</v>
      </c>
      <c r="Y243" s="215">
        <f>IF(AND(ISNUMBER(Y242),ISNUMBER(Y179)),IFERROR(Y242/Y179,""),"")</f>
        <v>0.418813484469307</v>
      </c>
      <c r="Z243" s="215">
        <f>IF(AND(ISNUMBER(Z242),ISNUMBER(Z179)),IFERROR(Z242/Z179,""),"")</f>
        <v>0.397839973104723</v>
      </c>
      <c r="AA243" s="215">
        <f>IF(AND(ISNUMBER(AA242),ISNUMBER(AA179)),IFERROR(AA242/AA179,""),"")</f>
        <v>0.415712824509279</v>
      </c>
      <c r="AB243" s="215">
        <f>IF(AND(ISNUMBER(AB242),ISNUMBER(AB179)),IFERROR(AB242/AB179,""),"")</f>
        <v>0.394295139225769</v>
      </c>
      <c r="AC243" s="215">
        <f>IF(AND(ISNUMBER(AC242),ISNUMBER(AC179)),IFERROR(AC242/AC179,""),"")</f>
        <v>0.405028129395218</v>
      </c>
      <c r="AD243" s="215">
        <f>IF(AND(ISNUMBER(AD242),ISNUMBER(AD179)),IFERROR(AD242/AD179,""),"")</f>
        <v>0.436219625482814</v>
      </c>
      <c r="AE243" s="215">
        <f>IF(AND(ISNUMBER(AE242),ISNUMBER(AE179)),IFERROR(AE242/AE179,""),"")</f>
        <v>0.42835201328352</v>
      </c>
      <c r="AF243" s="215">
        <f>IF(AND(ISNUMBER(AF242),ISNUMBER(AF179)),IFERROR(AF242/AF179,""),"")</f>
        <v>0.430692621095518</v>
      </c>
      <c r="AG243" s="215">
        <f>IF(AND(ISNUMBER(AG242),ISNUMBER(AG179)),IFERROR(AG242/AG179,""),"")</f>
        <v>0.401509628168289</v>
      </c>
      <c r="AH243" s="215">
        <f>IF(AND(ISNUMBER(AH242),ISNUMBER(AH179)),IFERROR(AH242/AH179,""),"")</f>
        <v>0.423757643135075</v>
      </c>
      <c r="AI243" s="215">
        <f>IF(AND(ISNUMBER(AI242),ISNUMBER(AI179)),IFERROR(AI242/AI179,""),"")</f>
        <v>0.415967071480968</v>
      </c>
      <c r="AJ243" s="215">
        <f>IF(AND(ISNUMBER(AJ242),ISNUMBER(AJ179)),IFERROR(AJ242/AJ179,""),"")</f>
        <v>0.387820734490629</v>
      </c>
      <c r="AK243" s="215">
        <f>IF(AND(ISNUMBER(AK242),ISNUMBER(AK179)),IFERROR(AK242/AK179,""),"")</f>
        <v>0.410231552257728</v>
      </c>
      <c r="AL243" s="215">
        <f>IF(AND(ISNUMBER(AL242),ISNUMBER(AL179)),IFERROR(AL242/AL179,""),"")</f>
        <v>0.428618913079608</v>
      </c>
      <c r="AM243" s="215">
        <f>IF(AND(ISNUMBER(AM242),ISNUMBER(AM179)),IFERROR(AM242/AM179,""),"")</f>
        <v>0.410646973541138</v>
      </c>
      <c r="AN243" s="215">
        <f>IF(AND(ISNUMBER(AN242),ISNUMBER(AN179)),IFERROR(AN242/AN179,""),"")</f>
        <v>0.43982945949663</v>
      </c>
      <c r="AO243" s="215">
        <f>IF(AND(ISNUMBER(AO242),ISNUMBER(AO179)),IFERROR(AO242/AO179,""),"")</f>
        <v>0.408148809707123</v>
      </c>
      <c r="AP243" s="215">
        <f>IF(AND(ISNUMBER(AP242),ISNUMBER(AP179)),IFERROR(AP242/AP179,""),"")</f>
        <v>0.433973373458506</v>
      </c>
      <c r="AQ243" s="215">
        <f>IF(AND(ISNUMBER(AQ242),ISNUMBER(AQ179)),IFERROR(AQ242/AQ179,""),"")</f>
        <v>0.454637126672005</v>
      </c>
      <c r="AR243" s="215">
        <f>IF(AND(ISNUMBER(AR242),ISNUMBER(AR179)),IFERROR(AR242/AR179,""),"")</f>
        <v>0.434199756839872</v>
      </c>
      <c r="AS243" s="215">
        <f>IF(AND(ISNUMBER(AS242),ISNUMBER(AS179)),IFERROR(AS242/AS179,""),"")</f>
        <v>0.473665103615187</v>
      </c>
      <c r="AT243" s="215">
        <f>IF(AND(ISNUMBER(AT242),ISNUMBER(AT179)),IFERROR(AT242/AT179,""),"")</f>
        <v>0.463176719232645</v>
      </c>
      <c r="AU243" s="215">
        <f>IF(AND(ISNUMBER(AU242),ISNUMBER(AU179)),IFERROR(AU242/AU179,""),"")</f>
        <v>0.459524285428743</v>
      </c>
      <c r="AV243" s="215">
        <f>IF(AND(ISNUMBER(AV242),ISNUMBER(AV179)),IFERROR(AV242/AV179,""),"")</f>
        <v>0.444640180895538</v>
      </c>
      <c r="AW243" s="215">
        <f>IF(AND(ISNUMBER(AW242),ISNUMBER(AW179)),IFERROR(AW242/AW179,""),"")</f>
        <v>0.459776946474146</v>
      </c>
      <c r="AX243" s="215">
        <f>IF(AND(ISNUMBER(AX242),ISNUMBER(AX179)),IFERROR(AX242/AX179,""),"")</f>
        <v>0.498492759864348</v>
      </c>
      <c r="AY243" s="215">
        <f>IF(AND(ISNUMBER(AY242),ISNUMBER(AY179)),IFERROR(AY242/AY179,""),"")</f>
        <v>0.479570990806946</v>
      </c>
      <c r="AZ243" s="215">
        <f>IF(AND(ISNUMBER(AZ242),ISNUMBER(AZ179)),IFERROR(AZ242/AZ179,""),"")</f>
        <v>0.479163669495996</v>
      </c>
      <c r="BA243" s="215">
        <f>IF(AND(ISNUMBER(BA242),ISNUMBER(BA179)),IFERROR(BA242/BA179,""),"")</f>
        <v>0.486197781244583</v>
      </c>
      <c r="BB243" s="215">
        <f>IF(AND(ISNUMBER(BB242),ISNUMBER(BB179)),IFERROR(BB242/BB179,""),"")</f>
        <v>0.485471895673695</v>
      </c>
      <c r="BC243" s="215">
        <f>IF(AND(ISNUMBER(BC242),ISNUMBER(BC179)),IFERROR(BC242/BC179,""),"")</f>
        <v>0.517465851667145</v>
      </c>
      <c r="BD243" s="215">
        <f>IF(AND(ISNUMBER(BD242),ISNUMBER(BD179)),IFERROR(BD242/BD179,""),"")</f>
        <v>0.497660841323848</v>
      </c>
      <c r="BE243" s="215">
        <f>IF(AND(ISNUMBER(BE242),ISNUMBER(BE179)),IFERROR(BE242/BE179,""),"")</f>
        <v>0.488999189627229</v>
      </c>
      <c r="BF243" s="215">
        <f>IF(AND(ISNUMBER(BF242),ISNUMBER(BF179)),IFERROR(BF242/BF179,""),"")</f>
        <v>0.472630868601176</v>
      </c>
      <c r="BG243" s="215">
        <f>IF(AND(ISNUMBER(BG242),ISNUMBER(BG179)),IFERROR(BG242/BG179,""),"")</f>
        <v>0.493483633429162</v>
      </c>
      <c r="BH243" s="215">
        <f>IF(AND(ISNUMBER(BH242),ISNUMBER(BH179)),IFERROR(BH242/BH179,""),"")</f>
        <v>0.484976656957025</v>
      </c>
      <c r="BI243" s="215">
        <f>IF(AND(ISNUMBER(BI242),ISNUMBER(BI179)),IFERROR(BI242/BI179,""),"")</f>
        <v>0.478093540864883</v>
      </c>
      <c r="BJ243" s="215">
        <f>IF(AND(ISNUMBER(BJ242),ISNUMBER(BJ179)),IFERROR(BJ242/BJ179,""),"")</f>
        <v>0.490020243297955</v>
      </c>
      <c r="BK243" s="215">
        <f>IF(AND(ISNUMBER(BK242),ISNUMBER(BK179)),IFERROR(BK242/BK179,""),"")</f>
        <v>0.500596202103615</v>
      </c>
      <c r="BL243" s="215">
        <f>IF(AND(ISNUMBER(BL242),ISNUMBER(BL179)),IFERROR(BL242/BL179,""),"")</f>
        <v>0.488662907297737</v>
      </c>
      <c r="BM243" s="215">
        <f>IF(AND(ISNUMBER(BM242),ISNUMBER(BM179)),IFERROR(BM242/BM179,""),"")</f>
        <v>0.545251871118425</v>
      </c>
      <c r="BN243" s="215">
        <f>IF(AND(ISNUMBER(BN242),ISNUMBER(BN179)),IFERROR(BN242/BN179,""),"")</f>
        <v>0.531941309255079</v>
      </c>
      <c r="BO243" s="215">
        <f>IF(AND(ISNUMBER(BO242),ISNUMBER(BO179)),IFERROR(BO242/BO179,""),"")</f>
        <v>0.543308868699279</v>
      </c>
      <c r="BP243" s="215">
        <f>IF(AND(ISNUMBER(BP242),ISNUMBER(BP179)),IFERROR(BP242/BP179,""),"")</f>
        <v>0.529995210653978</v>
      </c>
      <c r="BQ243" s="215">
        <f>IF(AND(ISNUMBER(BQ242),ISNUMBER(BQ179)),IFERROR(BQ242/BQ179,""),"")</f>
        <v>0.537365067191031</v>
      </c>
      <c r="BR243" s="215">
        <f>IF(AND(ISNUMBER(BR242),ISNUMBER(BR179)),IFERROR(BR242/BR179,""),"")</f>
        <v>0.578409697339331</v>
      </c>
      <c r="BS243" s="215">
        <f>IF(AND(ISNUMBER(BS242),ISNUMBER(BS179)),IFERROR(BS242/BS179,""),"")</f>
        <v>0.552619485294118</v>
      </c>
      <c r="BT243" s="215">
        <f>IF(AND(ISNUMBER(BT242),ISNUMBER(BT179)),IFERROR(BT242/BT179,""),"")</f>
        <v>0.581451774041618</v>
      </c>
      <c r="BU243" s="215">
        <f>IF(AND(ISNUMBER(BU242),ISNUMBER(BU179)),IFERROR(BU242/BU179,""),"")</f>
        <v>0.595570439947149</v>
      </c>
      <c r="BV243" s="215">
        <f>IF(AND(ISNUMBER(BV242),ISNUMBER(BV179)),IFERROR(BV242/BV179,""),"")</f>
        <v>0.577448140733484</v>
      </c>
      <c r="BW243" s="215">
        <f>IF(AND(ISNUMBER(BW242),ISNUMBER(BW179)),IFERROR(BW242/BW179,""),"")</f>
        <v>0.593616829528923</v>
      </c>
      <c r="BX243" s="215">
        <f>IF(AND(ISNUMBER(BX242),ISNUMBER(BX179)),IFERROR(BX242/BX179,""),"")</f>
        <v>0.584117726674295</v>
      </c>
      <c r="BY243" s="215">
        <f>IF(AND(ISNUMBER(BY242),ISNUMBER(BY179)),IFERROR(BY242/BY179,""),"")</f>
        <v>0.585925246724417</v>
      </c>
      <c r="BZ243" s="215">
        <f>IF(AND(ISNUMBER(BZ242),ISNUMBER(BZ179)),IFERROR(BZ242/BZ179,""),"")</f>
        <v>0.573566500383304</v>
      </c>
      <c r="CA243" s="215">
        <f>IF(AND(ISNUMBER(CA242),ISNUMBER(CA179)),IFERROR(CA242/CA179,""),"")</f>
        <v>0.583930761604272</v>
      </c>
      <c r="CB243" s="256">
        <f>IF(AND(ISNUMBER(CB242),ISNUMBER(CB179)),IFERROR(CB242/CB179,""),"")</f>
        <v>0.640818362831859</v>
      </c>
      <c r="CC243" s="256">
        <f>IF(AND(ISNUMBER(CC242),ISNUMBER(CC179)),IFERROR(CC242/CC179,""),"")</f>
        <v>0.616211559111863</v>
      </c>
      <c r="CD243" s="256">
        <f>IF(AND(ISNUMBER(CD242),ISNUMBER(CD179)),IFERROR(CD242/CD179,""),"")</f>
        <v>0.603103362052622</v>
      </c>
      <c r="CE243" s="256">
        <f>IF(AND(ISNUMBER(CE242),ISNUMBER(CE179)),IFERROR(CE242/CE179,""),"")</f>
        <v>0.579530623976648</v>
      </c>
      <c r="CF243" s="256">
        <f>IF(AND(ISNUMBER(CF242),ISNUMBER(CF179)),IFERROR(CF242/CF179,""),"")</f>
        <v>0.608612492500509</v>
      </c>
      <c r="CG243" s="256">
        <f>IF(AND(ISNUMBER(CG242),ISNUMBER(CG179)),IFERROR(CG242/CG179,""),"")</f>
        <v>0.6218055605647</v>
      </c>
      <c r="CH243" s="256">
        <f>IF(AND(ISNUMBER(CH242),ISNUMBER(CH179)),IFERROR(CH242/CH179,""),"")</f>
        <v>0.636410019413308</v>
      </c>
      <c r="CI243" s="256">
        <f>IF(AND(ISNUMBER(CI242),ISNUMBER(CI179)),IFERROR(CI242/CI179,""),"")</f>
        <v>0.65058885671703</v>
      </c>
      <c r="CJ243" s="256">
        <f>IF(AND(ISNUMBER(CJ242),ISNUMBER(CJ179)),IFERROR(CJ242/CJ179,""),"")</f>
        <v>0.657914345018509</v>
      </c>
      <c r="CK243" s="153" t="n"/>
      <c r="CM243" s="37">
        <f>IFERROR(AVERAGE(CF243,CG243,CH243,CI243,CJ243),"n/m")</f>
        <v>0.635066254842811</v>
      </c>
      <c r="CN243" s="37">
        <f>IFERROR(AVERAGE(BG243,BL243,BQ243,BV243,CA243),"n/m")</f>
        <v>0.536178102051137</v>
      </c>
      <c r="CO243" s="37">
        <f>IFERROR(AVERAGE(AH243,AM243,AR243,AW243,BB243,BG243,BL243,BQ243,BV243,CA243),"n/m")</f>
        <v>0.489474372591961</v>
      </c>
      <c r="CP243" s="37">
        <f>IFERROR(AVERAGE(C243,D243,E243,F243,G243,H243,I243,N243,S243,X243,AC243,AH243,AM243,AR243,AW243,BB243,BG243,BL243,BQ243,BV243,CA243),"n/m")</f>
        <v>0.443012640473201</v>
      </c>
    </row>
    <row r="244" ht="15" customHeight="1" s="251">
      <c r="B244" s="158" t="inlineStr">
        <is>
          <t xml:space="preserve">  Definition / basis</t>
        </is>
      </c>
      <c r="C244" s="276" t="inlineStr">
        <is>
          <t>Model definitions throughout (Microsoft publishes no EBITDA): EBIT = operating income; D&amp;A = cash-flow line "Depreciation, amortization, and other"</t>
        </is>
      </c>
      <c r="CB244" s="153" t="n"/>
      <c r="CC244" s="153" t="n"/>
      <c r="CD244" s="153" t="n"/>
      <c r="CE244" s="153" t="n"/>
      <c r="CF244" s="153" t="n"/>
      <c r="CG244" s="153" t="n"/>
      <c r="CH244" s="153" t="n"/>
      <c r="CI244" s="153" t="n"/>
      <c r="CJ244" s="153" t="n"/>
      <c r="CK244" s="19" t="n"/>
    </row>
    <row r="245" ht="15" customHeight="1" s="251">
      <c r="B245" s="25" t="inlineStr">
        <is>
          <t>To adjusted EBIT, full-cost (for NOPAT, ROIC and the DCF):</t>
        </is>
      </c>
      <c r="CK245" s="153" t="n"/>
    </row>
    <row r="246" ht="15" customHeight="1" s="251">
      <c r="B246" s="55" t="inlineStr">
        <is>
          <t xml:space="preserve">  = Adjusted EBIT, full-cost (= adjusted operating income; amortization and stock-based compensation are not adjusted out)</t>
        </is>
      </c>
      <c r="C246" s="267">
        <f>IF(ISNUMBER(C222),C222,"")</f>
        <v>16472</v>
      </c>
      <c r="D246" s="267">
        <f>IF(ISNUMBER(D222),D222,"")</f>
        <v>18524</v>
      </c>
      <c r="E246" s="267">
        <f>IF(ISNUMBER(E222),E222,"")</f>
        <v>22492</v>
      </c>
      <c r="F246" s="267">
        <f>IF(ISNUMBER(F222),F222,"")</f>
        <v>20363</v>
      </c>
      <c r="G246" s="267">
        <f>IF(ISNUMBER(G222),G222,"")</f>
        <v>24098</v>
      </c>
      <c r="H246" s="267">
        <f>IF(ISNUMBER(H222),H222,"")</f>
        <v>27161</v>
      </c>
      <c r="I246" s="267">
        <f>IF(ISNUMBER(I222),I222,"")</f>
        <v>28496</v>
      </c>
      <c r="J246" s="267">
        <f>IF(ISNUMBER(J222),J222,"")</f>
        <v>6664</v>
      </c>
      <c r="K246" s="267">
        <f>IF(ISNUMBER(K222),K222,"")</f>
        <v>8317</v>
      </c>
      <c r="L246" s="267">
        <f>IF(ISNUMBER(L222),L222,"")</f>
        <v>6687</v>
      </c>
      <c r="M246" s="267">
        <f>IF(ISNUMBER(M222),M222,"")</f>
        <v>5291</v>
      </c>
      <c r="N246" s="267">
        <f>IF(ISNUMBER(N222),N222,"")</f>
        <v>26957</v>
      </c>
      <c r="O246" s="267">
        <f>IF(ISNUMBER(O222),O222,"")</f>
        <v>6447</v>
      </c>
      <c r="P246" s="267">
        <f>IF(ISNUMBER(P222),P222,"")</f>
        <v>7969</v>
      </c>
      <c r="Q246" s="267">
        <f>IF(ISNUMBER(Q222),Q222,"")</f>
        <v>6974</v>
      </c>
      <c r="R246" s="267">
        <f>IF(ISNUMBER(R222),R222,"")</f>
        <v>6482</v>
      </c>
      <c r="S246" s="267">
        <f>IF(ISNUMBER(S222),S222,"")</f>
        <v>27759</v>
      </c>
      <c r="T246" s="267">
        <f>IF(ISNUMBER(T222),T222,"")</f>
        <v>6984</v>
      </c>
      <c r="U246" s="267">
        <f>IF(ISNUMBER(U222),U222,"")</f>
        <v>7693</v>
      </c>
      <c r="V246" s="267">
        <f>IF(ISNUMBER(V222),V222,"")</f>
        <v>6784</v>
      </c>
      <c r="W246" s="267">
        <f>IF(ISNUMBER(W222),W222,"")</f>
        <v>6385</v>
      </c>
      <c r="X246" s="267">
        <f>IF(ISNUMBER(X222),X222,"")</f>
        <v>28172</v>
      </c>
      <c r="Y246" s="267">
        <f>IF(ISNUMBER(Y222),Y222,"")</f>
        <v>7074</v>
      </c>
      <c r="Z246" s="267">
        <f>IF(ISNUMBER(Z222),Z222,"")</f>
        <v>7923</v>
      </c>
      <c r="AA246" s="267">
        <f>IF(ISNUMBER(AA222),AA222,"")</f>
        <v>6828</v>
      </c>
      <c r="AB246" s="267">
        <f>IF(ISNUMBER(AB222),AB222,"")</f>
        <v>6218</v>
      </c>
      <c r="AC246" s="267">
        <f>IF(ISNUMBER(AC222),AC222,"")</f>
        <v>27935</v>
      </c>
      <c r="AD246" s="267">
        <f>IF(ISNUMBER(AD222),AD222,"")</f>
        <v>7106</v>
      </c>
      <c r="AE246" s="267">
        <f>IF(ISNUMBER(AE222),AE222,"")</f>
        <v>8153</v>
      </c>
      <c r="AF246" s="267">
        <f>IF(ISNUMBER(AF222),AF222,"")</f>
        <v>7061</v>
      </c>
      <c r="AG246" s="267">
        <f>IF(ISNUMBER(AG222),AG222,"")</f>
        <v>7019</v>
      </c>
      <c r="AH246" s="267">
        <f>IF(ISNUMBER(AH222),AH222,"")</f>
        <v>29339</v>
      </c>
      <c r="AI246" s="267">
        <f>IF(ISNUMBER(AI222),AI222,"")</f>
        <v>7708</v>
      </c>
      <c r="AJ246" s="267">
        <f>IF(ISNUMBER(AJ222),AJ222,"")</f>
        <v>8679</v>
      </c>
      <c r="AK246" s="267">
        <f>IF(ISNUMBER(AK222),AK222,"")</f>
        <v>8292</v>
      </c>
      <c r="AL246" s="267">
        <f>IF(ISNUMBER(AL222),AL222,"")</f>
        <v>10379</v>
      </c>
      <c r="AM246" s="267">
        <f>IF(ISNUMBER(AM222),AM222,"")</f>
        <v>35058</v>
      </c>
      <c r="AN246" s="267">
        <f>IF(ISNUMBER(AN222),AN222,"")</f>
        <v>9955</v>
      </c>
      <c r="AO246" s="267">
        <f>IF(ISNUMBER(AO222),AO222,"")</f>
        <v>10258</v>
      </c>
      <c r="AP246" s="267">
        <f>IF(ISNUMBER(AP222),AP222,"")</f>
        <v>10341</v>
      </c>
      <c r="AQ246" s="267">
        <f>IF(ISNUMBER(AQ222),AQ222,"")</f>
        <v>12405</v>
      </c>
      <c r="AR246" s="267">
        <f>IF(ISNUMBER(AR222),AR222,"")</f>
        <v>42959</v>
      </c>
      <c r="AS246" s="267">
        <f>IF(ISNUMBER(AS222),AS222,"")</f>
        <v>12686</v>
      </c>
      <c r="AT246" s="267">
        <f>IF(ISNUMBER(AT222),AT222,"")</f>
        <v>13891</v>
      </c>
      <c r="AU246" s="267">
        <f>IF(ISNUMBER(AU222),AU222,"")</f>
        <v>12975</v>
      </c>
      <c r="AV246" s="267">
        <f>IF(ISNUMBER(AV222),AV222,"")</f>
        <v>13407</v>
      </c>
      <c r="AW246" s="267">
        <f>IF(ISNUMBER(AW222),AW222,"")</f>
        <v>52959</v>
      </c>
      <c r="AX246" s="267">
        <f>IF(ISNUMBER(AX222),AX222,"")</f>
        <v>15876</v>
      </c>
      <c r="AY246" s="267">
        <f>IF(ISNUMBER(AY222),AY222,"")</f>
        <v>17897</v>
      </c>
      <c r="AZ246" s="267">
        <f>IF(ISNUMBER(AZ222),AZ222,"")</f>
        <v>17048</v>
      </c>
      <c r="BA246" s="267">
        <f>IF(ISNUMBER(BA222),BA222,"")</f>
        <v>19095</v>
      </c>
      <c r="BB246" s="267">
        <f>IF(ISNUMBER(BB222),BB222,"")</f>
        <v>69916</v>
      </c>
      <c r="BC246" s="267">
        <f>IF(ISNUMBER(BC222),BC222,"")</f>
        <v>20238</v>
      </c>
      <c r="BD246" s="267">
        <f>IF(ISNUMBER(BD222),BD222,"")</f>
        <v>22247</v>
      </c>
      <c r="BE246" s="267">
        <f>IF(ISNUMBER(BE222),BE222,"")</f>
        <v>20364</v>
      </c>
      <c r="BF246" s="267">
        <f>IF(ISNUMBER(BF222),BF222,"")</f>
        <v>20534</v>
      </c>
      <c r="BG246" s="267">
        <f>IF(ISNUMBER(BG222),BG222,"")</f>
        <v>83383</v>
      </c>
      <c r="BH246" s="267">
        <f>IF(ISNUMBER(BH222),BH222,"")</f>
        <v>21518</v>
      </c>
      <c r="BI246" s="267">
        <f>IF(ISNUMBER(BI222),BI222,"")</f>
        <v>21570</v>
      </c>
      <c r="BJ246" s="267">
        <f>IF(ISNUMBER(BJ222),BJ222,"")</f>
        <v>22352</v>
      </c>
      <c r="BK246" s="267">
        <f>IF(ISNUMBER(BK222),BK222,"")</f>
        <v>24254</v>
      </c>
      <c r="BL246" s="267">
        <f>IF(ISNUMBER(BL222),BL222,"")</f>
        <v>89694</v>
      </c>
      <c r="BM246" s="267">
        <f>IF(ISNUMBER(BM222),BM222,"")</f>
        <v>26895</v>
      </c>
      <c r="BN246" s="267">
        <f>IF(ISNUMBER(BN222),BN222,"")</f>
        <v>27032</v>
      </c>
      <c r="BO246" s="267">
        <f>IF(ISNUMBER(BO222),BO222,"")</f>
        <v>27581</v>
      </c>
      <c r="BP246" s="267">
        <f>IF(ISNUMBER(BP222),BP222,"")</f>
        <v>27925</v>
      </c>
      <c r="BQ246" s="267">
        <f>IF(ISNUMBER(BQ222),BQ222,"")</f>
        <v>109433</v>
      </c>
      <c r="BR246" s="267">
        <f>IF(ISNUMBER(BR222),BR222,"")</f>
        <v>30552</v>
      </c>
      <c r="BS246" s="267">
        <f>IF(ISNUMBER(BS222),BS222,"")</f>
        <v>31653</v>
      </c>
      <c r="BT246" s="267">
        <f>IF(ISNUMBER(BT222),BT222,"")</f>
        <v>32000</v>
      </c>
      <c r="BU246" s="267">
        <f>IF(ISNUMBER(BU222),BU222,"")</f>
        <v>34323</v>
      </c>
      <c r="BV246" s="267">
        <f>IF(ISNUMBER(BV222),BV222,"")</f>
        <v>128528</v>
      </c>
      <c r="BW246" s="267">
        <f>IF(ISNUMBER(BW222),BW222,"")</f>
        <v>37961</v>
      </c>
      <c r="BX246" s="267">
        <f>IF(ISNUMBER(BX222),BX222,"")</f>
        <v>38275</v>
      </c>
      <c r="BY246" s="267">
        <f>IF(ISNUMBER(BY222),BY222,"")</f>
        <v>38398</v>
      </c>
      <c r="BZ246" s="267">
        <f>IF(ISNUMBER(BZ222),BZ222,"")</f>
        <v>40603</v>
      </c>
      <c r="CA246" s="267">
        <f>IF(ISNUMBER(CA222),CA222,"")</f>
        <v>155237</v>
      </c>
      <c r="CB246" s="267">
        <f>IF(ISNUMBER(CB222),CB222,"")</f>
        <v>43850</v>
      </c>
      <c r="CC246" s="267">
        <f>IF(ISNUMBER(CC222),CC222,"")</f>
        <v>44345.9445535205</v>
      </c>
      <c r="CD246" s="267">
        <f>IF(ISNUMBER(CD222),CD222,"")</f>
        <v>44711.946334539</v>
      </c>
      <c r="CE246" s="267">
        <f>IF(ISNUMBER(CE222),CE222,"")</f>
        <v>47593.2437102201</v>
      </c>
      <c r="CF246" s="267">
        <f>IF(ISNUMBER(CF222),CF222,"")</f>
        <v>180501.13459828</v>
      </c>
      <c r="CG246" s="267">
        <f>IF(ISNUMBER(CG222),CG222,"")</f>
        <v>202794.153812307</v>
      </c>
      <c r="CH246" s="267">
        <f>IF(ISNUMBER(CH222),CH222,"")</f>
        <v>233435.75860592</v>
      </c>
      <c r="CI246" s="267">
        <f>IF(ISNUMBER(CI222),CI222,"")</f>
        <v>269519.715244814</v>
      </c>
      <c r="CJ246" s="267">
        <f>IF(ISNUMBER(CJ222),CJ222,"")</f>
        <v>306218.502299503</v>
      </c>
      <c r="CK246" s="153" t="n"/>
    </row>
    <row r="247" ht="15" customHeight="1" s="251">
      <c r="B247" s="25" t="inlineStr">
        <is>
          <t xml:space="preserve">  Adjusted EBIT margin %</t>
        </is>
      </c>
      <c r="C247" s="215">
        <f>IF(AND(ISNUMBER(C246),ISNUMBER(C179)),IFERROR(C246/C179,""),"")</f>
        <v>0.371979585384581</v>
      </c>
      <c r="D247" s="215">
        <f>IF(AND(ISNUMBER(D246),ISNUMBER(D179)),IFERROR(D246/D179,""),"")</f>
        <v>0.362348890888463</v>
      </c>
      <c r="E247" s="215">
        <f>IF(AND(ISNUMBER(E246),ISNUMBER(E179)),IFERROR(E246/E179,""),"")</f>
        <v>0.372260840781198</v>
      </c>
      <c r="F247" s="215">
        <f>IF(AND(ISNUMBER(F246),ISNUMBER(F179)),IFERROR(F246/F179,""),"")</f>
        <v>0.348460735492924</v>
      </c>
      <c r="G247" s="215">
        <f>IF(AND(ISNUMBER(G246),ISNUMBER(G179)),IFERROR(G246/G179,""),"")</f>
        <v>0.385666730683055</v>
      </c>
      <c r="H247" s="215">
        <f>IF(AND(ISNUMBER(H246),ISNUMBER(H179)),IFERROR(H246/H179,""),"")</f>
        <v>0.388330497690977</v>
      </c>
      <c r="I247" s="215">
        <f>IF(AND(ISNUMBER(I246),ISNUMBER(I179)),IFERROR(I246/I179,""),"")</f>
        <v>0.386527949215306</v>
      </c>
      <c r="J247" s="215">
        <f>IF(AND(ISNUMBER(J246),ISNUMBER(J179)),IFERROR(J246/J179,""),"")</f>
        <v>0.416291854072964</v>
      </c>
      <c r="K247" s="215">
        <f>IF(AND(ISNUMBER(K246),ISNUMBER(K179)),IFERROR(K246/K179,""),"")</f>
        <v>0.387630499627144</v>
      </c>
      <c r="L247" s="215">
        <f>IF(AND(ISNUMBER(L246),ISNUMBER(L179)),IFERROR(L246/L179,""),"")</f>
        <v>0.326370247449851</v>
      </c>
      <c r="M247" s="215">
        <f>IF(AND(ISNUMBER(M246),ISNUMBER(M179)),IFERROR(M246/M179,""),"")</f>
        <v>0.265932850824286</v>
      </c>
      <c r="N247" s="215">
        <f>IF(AND(ISNUMBER(N246),ISNUMBER(N179)),IFERROR(N246/N179,""),"")</f>
        <v>0.346272912946859</v>
      </c>
      <c r="O247" s="215">
        <f>IF(AND(ISNUMBER(O246),ISNUMBER(O179)),IFERROR(O246/O179,""),"")</f>
        <v>0.347941065357008</v>
      </c>
      <c r="P247" s="215">
        <f>IF(AND(ISNUMBER(P246),ISNUMBER(P179)),IFERROR(P246/P179,""),"")</f>
        <v>0.325013255026714</v>
      </c>
      <c r="Q247" s="215">
        <f>IF(AND(ISNUMBER(Q246),ISNUMBER(Q179)),IFERROR(Q246/Q179,""),"")</f>
        <v>0.341812478557075</v>
      </c>
      <c r="R247" s="215">
        <f>IF(AND(ISNUMBER(R246),ISNUMBER(R179)),IFERROR(R246/R179,""),"")</f>
        <v>0.277221794542811</v>
      </c>
      <c r="S247" s="215">
        <f>IF(AND(ISNUMBER(S246),ISNUMBER(S179)),IFERROR(S246/S179,""),"")</f>
        <v>0.319682609146292</v>
      </c>
      <c r="T247" s="215">
        <f>IF(AND(ISNUMBER(T246),ISNUMBER(T179)),IFERROR(T246/T179,""),"")</f>
        <v>0.301021507693634</v>
      </c>
      <c r="U247" s="215">
        <f>IF(AND(ISNUMBER(U246),ISNUMBER(U179)),IFERROR(U246/U179,""),"")</f>
        <v>0.290630902908954</v>
      </c>
      <c r="V247" s="215">
        <f>IF(AND(ISNUMBER(V246),ISNUMBER(V179)),IFERROR(V246/V179,""),"")</f>
        <v>0.312209489622164</v>
      </c>
      <c r="W247" s="215">
        <f>IF(AND(ISNUMBER(W246),ISNUMBER(W179)),IFERROR(W246/W179,""),"")</f>
        <v>0.287871956717764</v>
      </c>
      <c r="X247" s="215">
        <f>IF(AND(ISNUMBER(X246),ISNUMBER(X179)),IFERROR(X246/X179,""),"")</f>
        <v>0.301047232314597</v>
      </c>
      <c r="Y247" s="215">
        <f>IF(AND(ISNUMBER(Y246),ISNUMBER(Y179)),IFERROR(Y246/Y179,""),"")</f>
        <v>0.347122037391432</v>
      </c>
      <c r="Z247" s="215">
        <f>IF(AND(ISNUMBER(Z246),ISNUMBER(Z179)),IFERROR(Z246/Z179,""),"")</f>
        <v>0.332955118507312</v>
      </c>
      <c r="AA247" s="215">
        <f>IF(AND(ISNUMBER(AA246),ISNUMBER(AA179)),IFERROR(AA246/AA179,""),"")</f>
        <v>0.332570259607423</v>
      </c>
      <c r="AB247" s="215">
        <f>IF(AND(ISNUMBER(AB246),ISNUMBER(AB179)),IFERROR(AB246/AB179,""),"")</f>
        <v>0.301639662365383</v>
      </c>
      <c r="AC247" s="215">
        <f>IF(AND(ISNUMBER(AC246),ISNUMBER(AC179)),IFERROR(AC246/AC179,""),"")</f>
        <v>0.327414439756212</v>
      </c>
      <c r="AD247" s="215">
        <f>IF(AND(ISNUMBER(AD246),ISNUMBER(AD179)),IFERROR(AD246/AD179,""),"")</f>
        <v>0.347430694763604</v>
      </c>
      <c r="AE247" s="215">
        <f>IF(AND(ISNUMBER(AE246),ISNUMBER(AE179)),IFERROR(AE246/AE179,""),"")</f>
        <v>0.338439186384392</v>
      </c>
      <c r="AF247" s="215">
        <f>IF(AND(ISNUMBER(AF246),ISNUMBER(AF179)),IFERROR(AF246/AF179,""),"")</f>
        <v>0.319646899049344</v>
      </c>
      <c r="AG247" s="215">
        <f>IF(AND(ISNUMBER(AG246),ISNUMBER(AG179)),IFERROR(AG246/AG179,""),"")</f>
        <v>0.301025003216537</v>
      </c>
      <c r="AH247" s="215">
        <f>IF(AND(ISNUMBER(AH246),ISNUMBER(AH179)),IFERROR(AH246/AH179,""),"")</f>
        <v>0.326170094496943</v>
      </c>
      <c r="AI247" s="215">
        <f>IF(AND(ISNUMBER(AI246),ISNUMBER(AI179)),IFERROR(AI246/AI179,""),"")</f>
        <v>0.314125030564838</v>
      </c>
      <c r="AJ247" s="215">
        <f>IF(AND(ISNUMBER(AJ246),ISNUMBER(AJ179)),IFERROR(AJ246/AJ179,""),"")</f>
        <v>0.300124489937063</v>
      </c>
      <c r="AK247" s="215">
        <f>IF(AND(ISNUMBER(AK246),ISNUMBER(AK179)),IFERROR(AK246/AK179,""),"")</f>
        <v>0.309183787613259</v>
      </c>
      <c r="AL247" s="215">
        <f>IF(AND(ISNUMBER(AL246),ISNUMBER(AL179)),IFERROR(AL246/AL179,""),"")</f>
        <v>0.344989197274389</v>
      </c>
      <c r="AM247" s="215">
        <f>IF(AND(ISNUMBER(AM246),ISNUMBER(AM179)),IFERROR(AM246/AM179,""),"")</f>
        <v>0.317669445451251</v>
      </c>
      <c r="AN247" s="215">
        <f>IF(AND(ISNUMBER(AN246),ISNUMBER(AN179)),IFERROR(AN246/AN179,""),"")</f>
        <v>0.342284417549168</v>
      </c>
      <c r="AO247" s="215">
        <f>IF(AND(ISNUMBER(AO246),ISNUMBER(AO179)),IFERROR(AO246/AO179,""),"")</f>
        <v>0.315912660527856</v>
      </c>
      <c r="AP247" s="215">
        <f>IF(AND(ISNUMBER(AP246),ISNUMBER(AP179)),IFERROR(AP246/AP179,""),"")</f>
        <v>0.338261751332963</v>
      </c>
      <c r="AQ247" s="215">
        <f>IF(AND(ISNUMBER(AQ246),ISNUMBER(AQ179)),IFERROR(AQ246/AQ179,""),"")</f>
        <v>0.367915294955067</v>
      </c>
      <c r="AR247" s="215">
        <f>IF(AND(ISNUMBER(AR246),ISNUMBER(AR179)),IFERROR(AR246/AR179,""),"")</f>
        <v>0.341369802054942</v>
      </c>
      <c r="AS247" s="215">
        <f>IF(AND(ISNUMBER(AS246),ISNUMBER(AS179)),IFERROR(AS246/AS179,""),"")</f>
        <v>0.383784601421873</v>
      </c>
      <c r="AT247" s="215">
        <f>IF(AND(ISNUMBER(AT246),ISNUMBER(AT179)),IFERROR(AT246/AT179,""),"")</f>
        <v>0.376388663090012</v>
      </c>
      <c r="AU247" s="215">
        <f>IF(AND(ISNUMBER(AU246),ISNUMBER(AU179)),IFERROR(AU246/AU179,""),"")</f>
        <v>0.370491990519974</v>
      </c>
      <c r="AV247" s="215">
        <f>IF(AND(ISNUMBER(AV246),ISNUMBER(AV179)),IFERROR(AV246/AV179,""),"")</f>
        <v>0.352509662661373</v>
      </c>
      <c r="AW247" s="215">
        <f>IF(AND(ISNUMBER(AW246),ISNUMBER(AW179)),IFERROR(AW246/AW179,""),"")</f>
        <v>0.370303814285215</v>
      </c>
      <c r="AX247" s="215">
        <f>IF(AND(ISNUMBER(AX246),ISNUMBER(AX179)),IFERROR(AX246/AX179,""),"")</f>
        <v>0.427302578457232</v>
      </c>
      <c r="AY247" s="215">
        <f>IF(AND(ISNUMBER(AY246),ISNUMBER(AY179)),IFERROR(AY246/AY179,""),"")</f>
        <v>0.415474974463739</v>
      </c>
      <c r="AZ247" s="215">
        <f>IF(AND(ISNUMBER(AZ246),ISNUMBER(AZ179)),IFERROR(AZ246/AZ179,""),"")</f>
        <v>0.408766124778209</v>
      </c>
      <c r="BA247" s="215">
        <f>IF(AND(ISNUMBER(BA246),ISNUMBER(BA179)),IFERROR(BA246/BA179,""),"")</f>
        <v>0.413741549661986</v>
      </c>
      <c r="BB247" s="215">
        <f>IF(AND(ISNUMBER(BB246),ISNUMBER(BB179)),IFERROR(BB246/BB179,""),"")</f>
        <v>0.415948788729713</v>
      </c>
      <c r="BC247" s="215">
        <f>IF(AND(ISNUMBER(BC246),ISNUMBER(BC179)),IFERROR(BC246/BC179,""),"")</f>
        <v>0.446587373391884</v>
      </c>
      <c r="BD247" s="215">
        <f>IF(AND(ISNUMBER(BD246),ISNUMBER(BD179)),IFERROR(BD246/BD179,""),"")</f>
        <v>0.430076554283947</v>
      </c>
      <c r="BE247" s="215">
        <f>IF(AND(ISNUMBER(BE246),ISNUMBER(BE179)),IFERROR(BE246/BE179,""),"")</f>
        <v>0.412560777957861</v>
      </c>
      <c r="BF247" s="215">
        <f>IF(AND(ISNUMBER(BF246),ISNUMBER(BF179)),IFERROR(BF246/BF179,""),"")</f>
        <v>0.395912465053504</v>
      </c>
      <c r="BG247" s="215">
        <f>IF(AND(ISNUMBER(BG246),ISNUMBER(BG179)),IFERROR(BG246/BG179,""),"")</f>
        <v>0.420552781560498</v>
      </c>
      <c r="BH247" s="215">
        <f>IF(AND(ISNUMBER(BH246),ISNUMBER(BH179)),IFERROR(BH246/BH179,""),"")</f>
        <v>0.429312477554766</v>
      </c>
      <c r="BI247" s="215">
        <f>IF(AND(ISNUMBER(BI246),ISNUMBER(BI179)),IFERROR(BI246/BI179,""),"")</f>
        <v>0.408933209471629</v>
      </c>
      <c r="BJ247" s="215">
        <f>IF(AND(ISNUMBER(BJ246),ISNUMBER(BJ179)),IFERROR(BJ246/BJ179,""),"")</f>
        <v>0.422876818585996</v>
      </c>
      <c r="BK247" s="215">
        <f>IF(AND(ISNUMBER(BK246),ISNUMBER(BK179)),IFERROR(BK246/BK179,""),"")</f>
        <v>0.431650323016961</v>
      </c>
      <c r="BL247" s="215">
        <f>IF(AND(ISNUMBER(BL246),ISNUMBER(BL179)),IFERROR(BL246/BL179,""),"")</f>
        <v>0.423254606799896</v>
      </c>
      <c r="BM247" s="215">
        <f>IF(AND(ISNUMBER(BM246),ISNUMBER(BM179)),IFERROR(BM246/BM179,""),"")</f>
        <v>0.475874515632465</v>
      </c>
      <c r="BN247" s="215">
        <f>IF(AND(ISNUMBER(BN246),ISNUMBER(BN179)),IFERROR(BN246/BN179,""),"")</f>
        <v>0.435859400193486</v>
      </c>
      <c r="BO247" s="215">
        <f>IF(AND(ISNUMBER(BO246),ISNUMBER(BO179)),IFERROR(BO246/BO179,""),"")</f>
        <v>0.44587603866921</v>
      </c>
      <c r="BP247" s="215">
        <f>IF(AND(ISNUMBER(BP246),ISNUMBER(BP179)),IFERROR(BP246/BP179,""),"")</f>
        <v>0.431427379609746</v>
      </c>
      <c r="BQ247" s="215">
        <f>IF(AND(ISNUMBER(BQ246),ISNUMBER(BQ179)),IFERROR(BQ246/BQ179,""),"")</f>
        <v>0.446442995732737</v>
      </c>
      <c r="BR247" s="215">
        <f>IF(AND(ISNUMBER(BR246),ISNUMBER(BR179)),IFERROR(BR246/BR179,""),"")</f>
        <v>0.465838225203934</v>
      </c>
      <c r="BS247" s="215">
        <f>IF(AND(ISNUMBER(BS246),ISNUMBER(BS179)),IFERROR(BS246/BS179,""),"")</f>
        <v>0.454575482536765</v>
      </c>
      <c r="BT247" s="215">
        <f>IF(AND(ISNUMBER(BT246),ISNUMBER(BT179)),IFERROR(BT246/BT179,""),"")</f>
        <v>0.456712242742557</v>
      </c>
      <c r="BU247" s="215">
        <f>IF(AND(ISNUMBER(BU246),ISNUMBER(BU179)),IFERROR(BU246/BU179,""),"")</f>
        <v>0.449012964246936</v>
      </c>
      <c r="BV247" s="215">
        <f>IF(AND(ISNUMBER(BV246),ISNUMBER(BV179)),IFERROR(BV246/BV179,""),"")</f>
        <v>0.456219562408599</v>
      </c>
      <c r="BW247" s="215">
        <f>IF(AND(ISNUMBER(BW246),ISNUMBER(BW179)),IFERROR(BW246/BW179,""),"")</f>
        <v>0.48872838695557</v>
      </c>
      <c r="BX247" s="215">
        <f>IF(AND(ISNUMBER(BX246),ISNUMBER(BX179)),IFERROR(BX246/BX179,""),"")</f>
        <v>0.470943609808916</v>
      </c>
      <c r="BY247" s="215">
        <f>IF(AND(ISNUMBER(BY246),ISNUMBER(BY179)),IFERROR(BY246/BY179,""),"")</f>
        <v>0.463262794681852</v>
      </c>
      <c r="BZ247" s="215">
        <f>IF(AND(ISNUMBER(BZ246),ISNUMBER(BZ179)),IFERROR(BZ246/BZ179,""),"")</f>
        <v>0.451109358161032</v>
      </c>
      <c r="CA247" s="215">
        <f>IF(AND(ISNUMBER(CA246),ISNUMBER(CA179)),IFERROR(CA246/CA179,""),"")</f>
        <v>0.467808184089272</v>
      </c>
      <c r="CB247" s="256">
        <f>IF(AND(ISNUMBER(CB246),ISNUMBER(CB179)),IFERROR(CB246/CB179,""),"")</f>
        <v>0.485066371681416</v>
      </c>
      <c r="CC247" s="256">
        <f>IF(AND(ISNUMBER(CC246),ISNUMBER(CC179)),IFERROR(CC246/CC179,""),"")</f>
        <v>0.467711616759799</v>
      </c>
      <c r="CD247" s="256">
        <f>IF(AND(ISNUMBER(CD246),ISNUMBER(CD179)),IFERROR(CD246/CD179,""),"")</f>
        <v>0.458667147676618</v>
      </c>
      <c r="CE247" s="256">
        <f>IF(AND(ISNUMBER(CE246),ISNUMBER(CE179)),IFERROR(CE246/CE179,""),"")</f>
        <v>0.447223942014983</v>
      </c>
      <c r="CF247" s="256">
        <f>IF(AND(ISNUMBER(CF246),ISNUMBER(CF179)),IFERROR(CF246/CF179,""),"")</f>
        <v>0.463874487905548</v>
      </c>
      <c r="CG247" s="256">
        <f>IF(AND(ISNUMBER(CG246),ISNUMBER(CG179)),IFERROR(CG246/CG179,""),"")</f>
        <v>0.445303333846645</v>
      </c>
      <c r="CH247" s="256">
        <f>IF(AND(ISNUMBER(CH246),ISNUMBER(CH179)),IFERROR(CH246/CH179,""),"")</f>
        <v>0.443059605320308</v>
      </c>
      <c r="CI247" s="256">
        <f>IF(AND(ISNUMBER(CI246),ISNUMBER(CI179)),IFERROR(CI246/CI179,""),"")</f>
        <v>0.449681484635452</v>
      </c>
      <c r="CJ247" s="256">
        <f>IF(AND(ISNUMBER(CJ246),ISNUMBER(CJ179)),IFERROR(CJ246/CJ179,""),"")</f>
        <v>0.455886520836348</v>
      </c>
      <c r="CK247" s="153" t="n"/>
      <c r="CM247" s="37">
        <f>IFERROR(AVERAGE(CF247,CG247,CH247,CI247,CJ247),"n/m")</f>
        <v>0.45156108650886</v>
      </c>
      <c r="CN247" s="37">
        <f>IFERROR(AVERAGE(BG247,BL247,BQ247,BV247,CA247),"n/m")</f>
        <v>0.4428556261182</v>
      </c>
      <c r="CO247" s="37">
        <f>IFERROR(AVERAGE(AH247,AM247,AR247,AW247,BB247,BG247,BL247,BQ247,BV247,CA247),"n/m")</f>
        <v>0.398574007560907</v>
      </c>
      <c r="CP247" s="37">
        <f>IFERROR(AVERAGE(C247,D247,E247,F247,G247,H247,I247,N247,S247,X247,AC247,AH247,AM247,AR247,AW247,BB247,BG247,BL247,BQ247,BV247,CA247),"n/m")</f>
        <v>0.375987261900454</v>
      </c>
    </row>
    <row r="248" ht="15" customHeight="1" s="251">
      <c r="B248" s="156" t="inlineStr">
        <is>
          <t xml:space="preserve">  Memo: impairment, integration, restructuring &amp; severance (adjusted out; deducted in the DCF as a cash cost where it recurs)</t>
        </is>
      </c>
      <c r="C248" s="211">
        <f>IF(ISNUMBER(C219),C219+C220,"")</f>
        <v>0</v>
      </c>
      <c r="D248" s="211">
        <f>IF(ISNUMBER(D219),D219+D220,"")</f>
        <v>0</v>
      </c>
      <c r="E248" s="211">
        <f>IF(ISNUMBER(E219),E219+E220,"")</f>
        <v>0</v>
      </c>
      <c r="F248" s="211">
        <f>IF(ISNUMBER(F219),F219+F220,"")</f>
        <v>0</v>
      </c>
      <c r="G248" s="211">
        <f>IF(ISNUMBER(G219),G219+G220,"")</f>
        <v>0</v>
      </c>
      <c r="H248" s="211">
        <f>IF(ISNUMBER(H219),H219+H220,"")</f>
        <v>0</v>
      </c>
      <c r="I248" s="211">
        <f>IF(ISNUMBER(I219),I219+I220,"")</f>
        <v>6193</v>
      </c>
      <c r="J248" s="211">
        <f>IF(ISNUMBER(J219),J219+J220,"")</f>
        <v>0</v>
      </c>
      <c r="K248" s="211">
        <f>IF(ISNUMBER(K219),K219+K220,"")</f>
        <v>0</v>
      </c>
      <c r="L248" s="211">
        <f>IF(ISNUMBER(L219),L219+L220,"")</f>
        <v>733</v>
      </c>
      <c r="M248" s="211">
        <f>IF(ISNUMBER(M219),M219+M220,"")</f>
        <v>0</v>
      </c>
      <c r="N248" s="211">
        <f>IF(ISNUMBER(N219),N219+N220,"")</f>
        <v>733</v>
      </c>
      <c r="O248" s="211">
        <f>IF(ISNUMBER(O219),O219+O220,"")</f>
        <v>0</v>
      </c>
      <c r="P248" s="211">
        <f>IF(ISNUMBER(P219),P219+P220,"")</f>
        <v>0</v>
      </c>
      <c r="Q248" s="211">
        <f>IF(ISNUMBER(Q219),Q219+Q220,"")</f>
        <v>0</v>
      </c>
      <c r="R248" s="211">
        <f>IF(ISNUMBER(R219),R219+R220,"")</f>
        <v>0</v>
      </c>
      <c r="S248" s="211">
        <f>IF(ISNUMBER(S219),S219+S220,"")</f>
        <v>0</v>
      </c>
      <c r="T248" s="211">
        <f>IF(ISNUMBER(T219),T219+T220,"")</f>
        <v>1140</v>
      </c>
      <c r="U248" s="211">
        <f>IF(ISNUMBER(U219),U219+U220,"")</f>
        <v>243</v>
      </c>
      <c r="V248" s="211">
        <f>IF(ISNUMBER(V219),V219+V220,"")</f>
        <v>190</v>
      </c>
      <c r="W248" s="211">
        <f>IF(ISNUMBER(W219),W219+W220,"")</f>
        <v>8438</v>
      </c>
      <c r="X248" s="211">
        <f>IF(ISNUMBER(X219),X219+X220,"")</f>
        <v>10011</v>
      </c>
      <c r="Y248" s="211">
        <f>IF(ISNUMBER(Y219),Y219+Y220,"")</f>
        <v>0</v>
      </c>
      <c r="Z248" s="211">
        <f>IF(ISNUMBER(Z219),Z219+Z220,"")</f>
        <v>0</v>
      </c>
      <c r="AA248" s="211">
        <f>IF(ISNUMBER(AA219),AA219+AA220,"")</f>
        <v>0</v>
      </c>
      <c r="AB248" s="211">
        <f>IF(ISNUMBER(AB219),AB219+AB220,"")</f>
        <v>1110</v>
      </c>
      <c r="AC248" s="211">
        <f>IF(ISNUMBER(AC219),AC219+AC220,"")</f>
        <v>1110</v>
      </c>
      <c r="AD248" s="211">
        <f>IF(ISNUMBER(AD219),AD219+AD220,"")</f>
        <v>0</v>
      </c>
      <c r="AE248" s="211">
        <f>IF(ISNUMBER(AE219),AE219+AE220,"")</f>
        <v>0</v>
      </c>
      <c r="AF248" s="211">
        <f>IF(ISNUMBER(AF219),AF219+AF220,"")</f>
        <v>0</v>
      </c>
      <c r="AG248" s="211">
        <f>IF(ISNUMBER(AG219),AG219+AG220,"")</f>
        <v>306</v>
      </c>
      <c r="AH248" s="211">
        <f>IF(ISNUMBER(AH219),AH219+AH220,"")</f>
        <v>306</v>
      </c>
      <c r="AI248" s="211">
        <f>IF(ISNUMBER(AI219),AI219+AI220,"")</f>
        <v>0</v>
      </c>
      <c r="AJ248" s="211">
        <f>IF(ISNUMBER(AJ219),AJ219+AJ220,"")</f>
        <v>0</v>
      </c>
      <c r="AK248" s="211">
        <f>IF(ISNUMBER(AK219),AK219+AK220,"")</f>
        <v>0</v>
      </c>
      <c r="AL248" s="211">
        <f>IF(ISNUMBER(AL219),AL219+AL220,"")</f>
        <v>0</v>
      </c>
      <c r="AM248" s="211">
        <f>IF(ISNUMBER(AM219),AM219+AM220,"")</f>
        <v>0</v>
      </c>
      <c r="AN248" s="211">
        <f>IF(ISNUMBER(AN219),AN219+AN220,"")</f>
        <v>0</v>
      </c>
      <c r="AO248" s="211">
        <f>IF(ISNUMBER(AO219),AO219+AO220,"")</f>
        <v>0</v>
      </c>
      <c r="AP248" s="211">
        <f>IF(ISNUMBER(AP219),AP219+AP220,"")</f>
        <v>0</v>
      </c>
      <c r="AQ248" s="211">
        <f>IF(ISNUMBER(AQ219),AQ219+AQ220,"")</f>
        <v>0</v>
      </c>
      <c r="AR248" s="211">
        <f>IF(ISNUMBER(AR219),AR219+AR220,"")</f>
        <v>0</v>
      </c>
      <c r="AS248" s="211">
        <f>IF(ISNUMBER(AS219),AS219+AS220,"")</f>
        <v>0</v>
      </c>
      <c r="AT248" s="211">
        <f>IF(ISNUMBER(AT219),AT219+AT220,"")</f>
        <v>0</v>
      </c>
      <c r="AU248" s="211">
        <f>IF(ISNUMBER(AU219),AU219+AU220,"")</f>
        <v>0</v>
      </c>
      <c r="AV248" s="211">
        <f>IF(ISNUMBER(AV219),AV219+AV220,"")</f>
        <v>0</v>
      </c>
      <c r="AW248" s="211">
        <f>IF(ISNUMBER(AW219),AW219+AW220,"")</f>
        <v>0</v>
      </c>
      <c r="AX248" s="211">
        <f>IF(ISNUMBER(AX219),AX219+AX220,"")</f>
        <v>0</v>
      </c>
      <c r="AY248" s="211">
        <f>IF(ISNUMBER(AY219),AY219+AY220,"")</f>
        <v>0</v>
      </c>
      <c r="AZ248" s="211">
        <f>IF(ISNUMBER(AZ219),AZ219+AZ220,"")</f>
        <v>0</v>
      </c>
      <c r="BA248" s="211">
        <f>IF(ISNUMBER(BA219),BA219+BA220,"")</f>
        <v>0</v>
      </c>
      <c r="BB248" s="211">
        <f>IF(ISNUMBER(BB219),BB219+BB220,"")</f>
        <v>0</v>
      </c>
      <c r="BC248" s="211">
        <f>IF(ISNUMBER(BC219),BC219+BC220,"")</f>
        <v>0</v>
      </c>
      <c r="BD248" s="211">
        <f>IF(ISNUMBER(BD219),BD219+BD220,"")</f>
        <v>0</v>
      </c>
      <c r="BE248" s="211">
        <f>IF(ISNUMBER(BE219),BE219+BE220,"")</f>
        <v>0</v>
      </c>
      <c r="BF248" s="211">
        <f>IF(ISNUMBER(BF219),BF219+BF220,"")</f>
        <v>0</v>
      </c>
      <c r="BG248" s="211">
        <f>IF(ISNUMBER(BG219),BG219+BG220,"")</f>
        <v>0</v>
      </c>
      <c r="BH248" s="211">
        <f>IF(ISNUMBER(BH219),BH219+BH220,"")</f>
        <v>0</v>
      </c>
      <c r="BI248" s="211">
        <f>IF(ISNUMBER(BI219),BI219+BI220,"")</f>
        <v>1171</v>
      </c>
      <c r="BJ248" s="211">
        <f>IF(ISNUMBER(BJ219),BJ219+BJ220,"")</f>
        <v>0</v>
      </c>
      <c r="BK248" s="211">
        <f>IF(ISNUMBER(BK219),BK219+BK220,"")</f>
        <v>0</v>
      </c>
      <c r="BL248" s="211">
        <f>IF(ISNUMBER(BL219),BL219+BL220,"")</f>
        <v>1171</v>
      </c>
      <c r="BM248" s="211">
        <f>IF(ISNUMBER(BM219),BM219+BM220,"")</f>
        <v>0</v>
      </c>
      <c r="BN248" s="211">
        <f>IF(ISNUMBER(BN219),BN219+BN220,"")</f>
        <v>0</v>
      </c>
      <c r="BO248" s="211">
        <f>IF(ISNUMBER(BO219),BO219+BO220,"")</f>
        <v>0</v>
      </c>
      <c r="BP248" s="211">
        <f>IF(ISNUMBER(BP219),BP219+BP220,"")</f>
        <v>0</v>
      </c>
      <c r="BQ248" s="211">
        <f>IF(ISNUMBER(BQ219),BQ219+BQ220,"")</f>
        <v>0</v>
      </c>
      <c r="BR248" s="211">
        <f>IF(ISNUMBER(BR219),BR219+BR220,"")</f>
        <v>0</v>
      </c>
      <c r="BS248" s="211">
        <f>IF(ISNUMBER(BS219),BS219+BS220,"")</f>
        <v>0</v>
      </c>
      <c r="BT248" s="211">
        <f>IF(ISNUMBER(BT219),BT219+BT220,"")</f>
        <v>0</v>
      </c>
      <c r="BU248" s="211">
        <f>IF(ISNUMBER(BU219),BU219+BU220,"")</f>
        <v>0</v>
      </c>
      <c r="BV248" s="211">
        <f>IF(ISNUMBER(BV219),BV219+BV220,"")</f>
        <v>0</v>
      </c>
      <c r="BW248" s="211">
        <f>IF(ISNUMBER(BW219),BW219+BW220,"")</f>
        <v>0</v>
      </c>
      <c r="BX248" s="211">
        <f>IF(ISNUMBER(BX219),BX219+BX220,"")</f>
        <v>0</v>
      </c>
      <c r="BY248" s="211">
        <f>IF(ISNUMBER(BY219),BY219+BY220,"")</f>
        <v>0</v>
      </c>
      <c r="BZ248" s="211">
        <f>IF(ISNUMBER(BZ219),BZ219+BZ220,"")</f>
        <v>0</v>
      </c>
      <c r="CA248" s="211">
        <f>IF(ISNUMBER(CA219),CA219+CA220,"")</f>
        <v>0</v>
      </c>
      <c r="CB248" s="254">
        <f>IF(ISNUMBER(CB219),CB219+CB220,"")</f>
        <v>0</v>
      </c>
      <c r="CC248" s="254">
        <f>IF(ISNUMBER(CC219),CC219+CC220,"")</f>
        <v>0</v>
      </c>
      <c r="CD248" s="254">
        <f>IF(ISNUMBER(CD219),CD219+CD220,"")</f>
        <v>0</v>
      </c>
      <c r="CE248" s="254">
        <f>IF(ISNUMBER(CE219),CE219+CE220,"")</f>
        <v>0</v>
      </c>
      <c r="CF248" s="254">
        <f>IF(ISNUMBER(CF219),CF219+CF220,"")</f>
        <v>0</v>
      </c>
      <c r="CG248" s="254">
        <f>IF(ISNUMBER(CG219),CG219+CG220,"")</f>
        <v>0</v>
      </c>
      <c r="CH248" s="254">
        <f>IF(ISNUMBER(CH219),CH219+CH220,"")</f>
        <v>0</v>
      </c>
      <c r="CI248" s="254">
        <f>IF(ISNUMBER(CI219),CI219+CI220,"")</f>
        <v>0</v>
      </c>
      <c r="CJ248" s="254">
        <f>IF(ISNUMBER(CJ219),CJ219+CJ220,"")</f>
        <v>0</v>
      </c>
      <c r="CK248" s="153" t="n"/>
    </row>
    <row r="249" ht="15" customHeight="1" s="251">
      <c r="CS249" s="11" t="n"/>
      <c r="CT249" s="12" t="n"/>
      <c r="CU249" s="12" t="n"/>
      <c r="CV249" s="12" t="n"/>
      <c r="CW249" s="13" t="n"/>
    </row>
    <row r="250" ht="15" customHeight="1" s="251">
      <c r="B250" s="10" t="inlineStr">
        <is>
          <t>RECONCILIATION: NET INCOME / DILUTED EPS → ADJUSTED NET INCOME → ADJUSTED DILUTED EPS (company definition)</t>
        </is>
      </c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0" t="n"/>
      <c r="AL250" s="10" t="n"/>
      <c r="AM250" s="10" t="n"/>
      <c r="AN250" s="10" t="n"/>
      <c r="AO250" s="10" t="n"/>
      <c r="AP250" s="10" t="n"/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0" t="n"/>
      <c r="BC250" s="10" t="n"/>
      <c r="BD250" s="10" t="n"/>
      <c r="BE250" s="10" t="n"/>
      <c r="BF250" s="10" t="n"/>
      <c r="BG250" s="10" t="n"/>
      <c r="BH250" s="10" t="n"/>
      <c r="BI250" s="10" t="n"/>
      <c r="BJ250" s="10" t="n"/>
      <c r="BK250" s="10" t="n"/>
      <c r="BL250" s="10" t="n"/>
      <c r="BM250" s="10" t="n"/>
      <c r="BN250" s="10" t="n"/>
      <c r="BO250" s="10" t="n"/>
      <c r="BP250" s="10" t="n"/>
      <c r="BQ250" s="10" t="n"/>
      <c r="BR250" s="10" t="n"/>
      <c r="BS250" s="10" t="n"/>
      <c r="BT250" s="10" t="n"/>
      <c r="BU250" s="10" t="n"/>
      <c r="BV250" s="10" t="n"/>
      <c r="BW250" s="10" t="n"/>
      <c r="BX250" s="10" t="n"/>
      <c r="BY250" s="10" t="n"/>
      <c r="BZ250" s="10" t="n"/>
      <c r="CA250" s="10" t="n"/>
      <c r="CB250" s="10" t="n"/>
      <c r="CC250" s="10" t="n"/>
      <c r="CD250" s="10" t="n"/>
      <c r="CE250" s="10" t="n"/>
      <c r="CF250" s="10" t="n"/>
      <c r="CG250" s="10" t="n"/>
      <c r="CH250" s="10" t="n"/>
      <c r="CI250" s="10" t="n"/>
      <c r="CJ250" s="10" t="n"/>
      <c r="CK250" s="10" t="inlineStr">
        <is>
          <t>ADJUSTED EPS — net income + operating items − their tax effect + discrete tax items + OpenAI impact (after tax). FY2012–Q1 FY14: published per share only — $ = per share × diluted shares (labelled)</t>
        </is>
      </c>
    </row>
    <row r="251" ht="15" customHeight="1" s="251">
      <c r="B251" s="16" t="inlineStr">
        <is>
          <t>Net income (GAAP)</t>
        </is>
      </c>
      <c r="C251" s="260">
        <f>C201</f>
        <v>12599</v>
      </c>
      <c r="D251" s="260">
        <f>D201</f>
        <v>14065</v>
      </c>
      <c r="E251" s="260">
        <f>E201</f>
        <v>17681</v>
      </c>
      <c r="F251" s="260">
        <f>F201</f>
        <v>14569</v>
      </c>
      <c r="G251" s="260">
        <f>G201</f>
        <v>18760</v>
      </c>
      <c r="H251" s="260">
        <f>H201</f>
        <v>23150</v>
      </c>
      <c r="I251" s="260">
        <f>I201</f>
        <v>16978</v>
      </c>
      <c r="J251" s="260">
        <f>J201</f>
        <v>4466</v>
      </c>
      <c r="K251" s="260">
        <f>K201</f>
        <v>6377</v>
      </c>
      <c r="L251" s="260">
        <f>L201</f>
        <v>6055</v>
      </c>
      <c r="M251" s="260">
        <f>M201</f>
        <v>4965</v>
      </c>
      <c r="N251" s="260">
        <f>N201</f>
        <v>21863</v>
      </c>
      <c r="O251" s="260">
        <f>O201</f>
        <v>5244</v>
      </c>
      <c r="P251" s="260">
        <f>P201</f>
        <v>6558</v>
      </c>
      <c r="Q251" s="260">
        <f>Q201</f>
        <v>5660</v>
      </c>
      <c r="R251" s="260">
        <f>R201</f>
        <v>4612</v>
      </c>
      <c r="S251" s="260">
        <f>S201</f>
        <v>22074</v>
      </c>
      <c r="T251" s="260">
        <f>T201</f>
        <v>4540</v>
      </c>
      <c r="U251" s="260">
        <f>U201</f>
        <v>5863</v>
      </c>
      <c r="V251" s="260">
        <f>V201</f>
        <v>4985</v>
      </c>
      <c r="W251" s="260">
        <f>W201</f>
        <v>-3195</v>
      </c>
      <c r="X251" s="260">
        <f>X201</f>
        <v>12193</v>
      </c>
      <c r="Y251" s="260">
        <f>Y201</f>
        <v>4620</v>
      </c>
      <c r="Z251" s="260">
        <f>Z201</f>
        <v>4998</v>
      </c>
      <c r="AA251" s="260">
        <f>AA201</f>
        <v>3756</v>
      </c>
      <c r="AB251" s="260">
        <f>AB201</f>
        <v>3122</v>
      </c>
      <c r="AC251" s="260">
        <f>AC201</f>
        <v>16798</v>
      </c>
      <c r="AD251" s="260">
        <f>AD201</f>
        <v>4690</v>
      </c>
      <c r="AE251" s="260">
        <f>AE201</f>
        <v>5200</v>
      </c>
      <c r="AF251" s="260">
        <f>AF201</f>
        <v>4801</v>
      </c>
      <c r="AG251" s="260">
        <f>AG201</f>
        <v>6513</v>
      </c>
      <c r="AH251" s="260">
        <f>AH201</f>
        <v>21204</v>
      </c>
      <c r="AI251" s="260">
        <f>AI201</f>
        <v>6576</v>
      </c>
      <c r="AJ251" s="260">
        <f>AJ201</f>
        <v>-6302</v>
      </c>
      <c r="AK251" s="260">
        <f>AK201</f>
        <v>7424</v>
      </c>
      <c r="AL251" s="260">
        <f>AL201</f>
        <v>8873</v>
      </c>
      <c r="AM251" s="260">
        <f>AM201</f>
        <v>16571</v>
      </c>
      <c r="AN251" s="260">
        <f>AN201</f>
        <v>8824</v>
      </c>
      <c r="AO251" s="260">
        <f>AO201</f>
        <v>8420</v>
      </c>
      <c r="AP251" s="260">
        <f>AP201</f>
        <v>8809</v>
      </c>
      <c r="AQ251" s="260">
        <f>AQ201</f>
        <v>13187</v>
      </c>
      <c r="AR251" s="260">
        <f>AR201</f>
        <v>39240</v>
      </c>
      <c r="AS251" s="260">
        <f>AS201</f>
        <v>10678</v>
      </c>
      <c r="AT251" s="260">
        <f>AT201</f>
        <v>11649</v>
      </c>
      <c r="AU251" s="260">
        <f>AU201</f>
        <v>10752</v>
      </c>
      <c r="AV251" s="260">
        <f>AV201</f>
        <v>11202</v>
      </c>
      <c r="AW251" s="260">
        <f>AW201</f>
        <v>44281</v>
      </c>
      <c r="AX251" s="260">
        <f>AX201</f>
        <v>13893</v>
      </c>
      <c r="AY251" s="260">
        <f>AY201</f>
        <v>15463</v>
      </c>
      <c r="AZ251" s="260">
        <f>AZ201</f>
        <v>15457</v>
      </c>
      <c r="BA251" s="260">
        <f>BA201</f>
        <v>16458</v>
      </c>
      <c r="BB251" s="260">
        <f>BB201</f>
        <v>61271</v>
      </c>
      <c r="BC251" s="260">
        <f>BC201</f>
        <v>20505</v>
      </c>
      <c r="BD251" s="260">
        <f>BD201</f>
        <v>18765</v>
      </c>
      <c r="BE251" s="260">
        <f>BE201</f>
        <v>16728</v>
      </c>
      <c r="BF251" s="260">
        <f>BF201</f>
        <v>16740</v>
      </c>
      <c r="BG251" s="260">
        <f>BG201</f>
        <v>72738</v>
      </c>
      <c r="BH251" s="260">
        <f>BH201</f>
        <v>17556</v>
      </c>
      <c r="BI251" s="260">
        <f>BI201</f>
        <v>16425</v>
      </c>
      <c r="BJ251" s="260">
        <f>BJ201</f>
        <v>18299</v>
      </c>
      <c r="BK251" s="260">
        <f>BK201</f>
        <v>20081</v>
      </c>
      <c r="BL251" s="260">
        <f>BL201</f>
        <v>72361</v>
      </c>
      <c r="BM251" s="260">
        <f>BM201</f>
        <v>22291</v>
      </c>
      <c r="BN251" s="260">
        <f>BN201</f>
        <v>21870</v>
      </c>
      <c r="BO251" s="260">
        <f>BO201</f>
        <v>21939</v>
      </c>
      <c r="BP251" s="260">
        <f>BP201</f>
        <v>22036</v>
      </c>
      <c r="BQ251" s="260">
        <f>BQ201</f>
        <v>88136</v>
      </c>
      <c r="BR251" s="260">
        <f>BR201</f>
        <v>24667</v>
      </c>
      <c r="BS251" s="260">
        <f>BS201</f>
        <v>24108</v>
      </c>
      <c r="BT251" s="260">
        <f>BT201</f>
        <v>25824</v>
      </c>
      <c r="BU251" s="260">
        <f>BU201</f>
        <v>27233</v>
      </c>
      <c r="BV251" s="260">
        <f>BV201</f>
        <v>101832</v>
      </c>
      <c r="BW251" s="260">
        <f>BW201</f>
        <v>27747</v>
      </c>
      <c r="BX251" s="260">
        <f>BX201</f>
        <v>38458</v>
      </c>
      <c r="BY251" s="260">
        <f>BY201</f>
        <v>31778</v>
      </c>
      <c r="BZ251" s="260">
        <f>BZ201</f>
        <v>35766</v>
      </c>
      <c r="CA251" s="260">
        <f>CA201</f>
        <v>133749</v>
      </c>
      <c r="CB251" s="261">
        <f>CB201</f>
        <v>35000</v>
      </c>
      <c r="CC251" s="261">
        <f>CC201</f>
        <v>35396.7556428164</v>
      </c>
      <c r="CD251" s="261">
        <f>CD201</f>
        <v>35689.5570676312</v>
      </c>
      <c r="CE251" s="261">
        <f>CE201</f>
        <v>37994.5949681761</v>
      </c>
      <c r="CF251" s="261">
        <f>CF201</f>
        <v>144080.907678624</v>
      </c>
      <c r="CG251" s="261">
        <f>CG201</f>
        <v>162330.111225069</v>
      </c>
      <c r="CH251" s="261">
        <f>CH201</f>
        <v>186079.805839007</v>
      </c>
      <c r="CI251" s="261">
        <f>CI201</f>
        <v>214296.710383296</v>
      </c>
      <c r="CJ251" s="261">
        <f>CJ201</f>
        <v>243062.900482427</v>
      </c>
      <c r="CK251" s="153" t="n"/>
    </row>
    <row r="252" ht="15" customHeight="1" s="251">
      <c r="B252" s="25" t="inlineStr">
        <is>
          <t xml:space="preserve">  (+) Operating adjusting items (pre-tax; bridge above)</t>
        </is>
      </c>
      <c r="C252" s="211">
        <f>C221</f>
        <v>0</v>
      </c>
      <c r="D252" s="211">
        <f>D221</f>
        <v>0</v>
      </c>
      <c r="E252" s="211">
        <f>E221</f>
        <v>0</v>
      </c>
      <c r="F252" s="211">
        <f>F221</f>
        <v>0</v>
      </c>
      <c r="G252" s="211">
        <f>G221</f>
        <v>0</v>
      </c>
      <c r="H252" s="211">
        <f>H221</f>
        <v>0</v>
      </c>
      <c r="I252" s="211">
        <f>I221</f>
        <v>6733</v>
      </c>
      <c r="J252" s="211">
        <f>J221</f>
        <v>1356</v>
      </c>
      <c r="K252" s="211">
        <f>K221</f>
        <v>546</v>
      </c>
      <c r="L252" s="211">
        <f>L221</f>
        <v>-925</v>
      </c>
      <c r="M252" s="211">
        <f>M221</f>
        <v>-782</v>
      </c>
      <c r="N252" s="211">
        <f>N221</f>
        <v>193</v>
      </c>
      <c r="O252" s="211">
        <f>O221</f>
        <v>113</v>
      </c>
      <c r="P252" s="211">
        <f>P221</f>
        <v>0</v>
      </c>
      <c r="Q252" s="211">
        <f>Q221</f>
        <v>0</v>
      </c>
      <c r="R252" s="211">
        <f>R221</f>
        <v>0</v>
      </c>
      <c r="S252" s="211">
        <f>S221</f>
        <v>0</v>
      </c>
      <c r="T252" s="211">
        <f>T221</f>
        <v>1140</v>
      </c>
      <c r="U252" s="211">
        <f>U221</f>
        <v>-83</v>
      </c>
      <c r="V252" s="211">
        <f>V221</f>
        <v>190</v>
      </c>
      <c r="W252" s="211">
        <f>W221</f>
        <v>8438</v>
      </c>
      <c r="X252" s="211">
        <f>X221</f>
        <v>10011</v>
      </c>
      <c r="Y252" s="211">
        <f>Y221</f>
        <v>1281</v>
      </c>
      <c r="Z252" s="211">
        <f>Z221</f>
        <v>1897</v>
      </c>
      <c r="AA252" s="211">
        <f>AA221</f>
        <v>1545</v>
      </c>
      <c r="AB252" s="211">
        <f>AB221</f>
        <v>3138</v>
      </c>
      <c r="AC252" s="211">
        <f>AC221</f>
        <v>7753</v>
      </c>
      <c r="AD252" s="211">
        <f>AD221</f>
        <v>1881</v>
      </c>
      <c r="AE252" s="211">
        <f>AE221</f>
        <v>1976</v>
      </c>
      <c r="AF252" s="211">
        <f>AF221</f>
        <v>1467</v>
      </c>
      <c r="AG252" s="211">
        <f>AG221</f>
        <v>1689</v>
      </c>
      <c r="AH252" s="211">
        <f>AH221</f>
        <v>7013</v>
      </c>
      <c r="AI252" s="211">
        <f>AI221</f>
        <v>0</v>
      </c>
      <c r="AJ252" s="211">
        <f>AJ221</f>
        <v>0</v>
      </c>
      <c r="AK252" s="211">
        <f>AK221</f>
        <v>0</v>
      </c>
      <c r="AL252" s="211">
        <f>AL221</f>
        <v>0</v>
      </c>
      <c r="AM252" s="211">
        <f>AM221</f>
        <v>0</v>
      </c>
      <c r="AN252" s="211">
        <f>AN221</f>
        <v>0</v>
      </c>
      <c r="AO252" s="211">
        <f>AO221</f>
        <v>0</v>
      </c>
      <c r="AP252" s="211">
        <f>AP221</f>
        <v>0</v>
      </c>
      <c r="AQ252" s="211">
        <f>AQ221</f>
        <v>0</v>
      </c>
      <c r="AR252" s="211">
        <f>AR221</f>
        <v>0</v>
      </c>
      <c r="AS252" s="211">
        <f>AS221</f>
        <v>0</v>
      </c>
      <c r="AT252" s="211">
        <f>AT221</f>
        <v>0</v>
      </c>
      <c r="AU252" s="211">
        <f>AU221</f>
        <v>0</v>
      </c>
      <c r="AV252" s="211">
        <f>AV221</f>
        <v>0</v>
      </c>
      <c r="AW252" s="211">
        <f>AW221</f>
        <v>0</v>
      </c>
      <c r="AX252" s="211">
        <f>AX221</f>
        <v>0</v>
      </c>
      <c r="AY252" s="211">
        <f>AY221</f>
        <v>0</v>
      </c>
      <c r="AZ252" s="211">
        <f>AZ221</f>
        <v>0</v>
      </c>
      <c r="BA252" s="211">
        <f>BA221</f>
        <v>0</v>
      </c>
      <c r="BB252" s="211">
        <f>BB221</f>
        <v>0</v>
      </c>
      <c r="BC252" s="211">
        <f>BC221</f>
        <v>0</v>
      </c>
      <c r="BD252" s="211">
        <f>BD221</f>
        <v>0</v>
      </c>
      <c r="BE252" s="211">
        <f>BE221</f>
        <v>0</v>
      </c>
      <c r="BF252" s="211">
        <f>BF221</f>
        <v>0</v>
      </c>
      <c r="BG252" s="211">
        <f>BG221</f>
        <v>0</v>
      </c>
      <c r="BH252" s="211">
        <f>BH221</f>
        <v>0</v>
      </c>
      <c r="BI252" s="211">
        <f>BI221</f>
        <v>1171</v>
      </c>
      <c r="BJ252" s="211">
        <f>BJ221</f>
        <v>0</v>
      </c>
      <c r="BK252" s="211">
        <f>BK221</f>
        <v>0</v>
      </c>
      <c r="BL252" s="211">
        <f>BL221</f>
        <v>1171</v>
      </c>
      <c r="BM252" s="211">
        <f>BM221</f>
        <v>0</v>
      </c>
      <c r="BN252" s="211">
        <f>BN221</f>
        <v>0</v>
      </c>
      <c r="BO252" s="211">
        <f>BO221</f>
        <v>0</v>
      </c>
      <c r="BP252" s="211">
        <f>BP221</f>
        <v>0</v>
      </c>
      <c r="BQ252" s="211">
        <f>BQ221</f>
        <v>0</v>
      </c>
      <c r="BR252" s="211">
        <f>BR221</f>
        <v>0</v>
      </c>
      <c r="BS252" s="211">
        <f>BS221</f>
        <v>0</v>
      </c>
      <c r="BT252" s="211">
        <f>BT221</f>
        <v>0</v>
      </c>
      <c r="BU252" s="211">
        <f>BU221</f>
        <v>0</v>
      </c>
      <c r="BV252" s="211">
        <f>BV221</f>
        <v>0</v>
      </c>
      <c r="BW252" s="211">
        <f>BW221</f>
        <v>0</v>
      </c>
      <c r="BX252" s="211">
        <f>BX221</f>
        <v>0</v>
      </c>
      <c r="BY252" s="211">
        <f>BY221</f>
        <v>0</v>
      </c>
      <c r="BZ252" s="211">
        <f>BZ221</f>
        <v>0</v>
      </c>
      <c r="CA252" s="211">
        <f>CA221</f>
        <v>0</v>
      </c>
      <c r="CB252" s="254">
        <f>CB221</f>
        <v>0</v>
      </c>
      <c r="CC252" s="254">
        <f>CC221</f>
        <v>0</v>
      </c>
      <c r="CD252" s="254">
        <f>CD221</f>
        <v>0</v>
      </c>
      <c r="CE252" s="254">
        <f>CE221</f>
        <v>0</v>
      </c>
      <c r="CF252" s="254">
        <f>CF221</f>
        <v>0</v>
      </c>
      <c r="CG252" s="254">
        <f>CG221</f>
        <v>0</v>
      </c>
      <c r="CH252" s="254">
        <f>CH221</f>
        <v>0</v>
      </c>
      <c r="CI252" s="254">
        <f>CI221</f>
        <v>0</v>
      </c>
      <c r="CJ252" s="254">
        <f>CJ221</f>
        <v>0</v>
      </c>
      <c r="CK252" s="19" t="n"/>
    </row>
    <row r="253" ht="15" customHeight="1" s="251">
      <c r="B253" s="25" t="inlineStr">
        <is>
          <t xml:space="preserve">  (−) Tax effect of the operating items</t>
        </is>
      </c>
      <c r="C253" s="211">
        <f>IF(ISNUMBER(C254),C254-C252,IF(ISNUMBER(C255),ROUND(C255*C208,0)-C252,0))</f>
        <v>0</v>
      </c>
      <c r="D253" s="211">
        <f>IF(ISNUMBER(D254),D254-D252,IF(ISNUMBER(D255),ROUND(D255*D208,0)-D252,0))</f>
        <v>0</v>
      </c>
      <c r="E253" s="211">
        <f>IF(ISNUMBER(E254),E254-E252,IF(ISNUMBER(E255),ROUND(E255*E208,0)-E252,0))</f>
        <v>0</v>
      </c>
      <c r="F253" s="211">
        <f>IF(ISNUMBER(F254),F254-F252,IF(ISNUMBER(F255),ROUND(F255*F208,0)-F252,0))</f>
        <v>0</v>
      </c>
      <c r="G253" s="211">
        <f>IF(ISNUMBER(G254),G254-G252,IF(ISNUMBER(G255),ROUND(G255*G208,0)-G252,0))</f>
        <v>0</v>
      </c>
      <c r="H253" s="211">
        <f>IF(ISNUMBER(H254),H254-H252,IF(ISNUMBER(H255),ROUND(H255*H208,0)-H252,0))</f>
        <v>0</v>
      </c>
      <c r="I253" s="211">
        <f>IF(ISNUMBER(I254),I254-I252,IF(ISNUMBER(I255),ROUND(I255*I208,0)-I252,0))</f>
        <v>-13</v>
      </c>
      <c r="J253" s="211">
        <f>IF(ISNUMBER(J254),J254-J252,IF(ISNUMBER(J255),ROUND(J255*J208,0)-J252,0))</f>
        <v>-252</v>
      </c>
      <c r="K253" s="211">
        <f>IF(ISNUMBER(K254),K254-K252,IF(ISNUMBER(K255),ROUND(K255*K208,0)-K252,0))</f>
        <v>-124</v>
      </c>
      <c r="L253" s="211">
        <f>IF(ISNUMBER(L254),L254-L252,IF(ISNUMBER(L255),ROUND(L255*L208,0)-L252,0))</f>
        <v>335</v>
      </c>
      <c r="M253" s="211">
        <f>IF(ISNUMBER(M254),M254-M252,IF(ISNUMBER(M255),ROUND(M255*M208,0)-M252,0))</f>
        <v>191</v>
      </c>
      <c r="N253" s="211">
        <f>IF(ISNUMBER(N254),N254-N252,IF(ISNUMBER(N255),ROUND(N255*N208,0)-N252,0))</f>
        <v>146</v>
      </c>
      <c r="O253" s="211">
        <f>IF(ISNUMBER(O254),O254-O252,IF(ISNUMBER(O255),ROUND(O255*O208,0)-O252,0))</f>
        <v>-29</v>
      </c>
      <c r="P253" s="211">
        <f>IF(ISNUMBER(P254),P254-P252,IF(ISNUMBER(P255),ROUND(P255*P208,0)-P252,0))</f>
        <v>0</v>
      </c>
      <c r="Q253" s="211">
        <f>IF(ISNUMBER(Q254),Q254-Q252,IF(ISNUMBER(Q255),ROUND(Q255*Q208,0)-Q252,0))</f>
        <v>0</v>
      </c>
      <c r="R253" s="211">
        <f>IF(ISNUMBER(R254),R254-R252,IF(ISNUMBER(R255),ROUND(R255*R208,0)-R252,0))</f>
        <v>0</v>
      </c>
      <c r="S253" s="211">
        <f>IF(ISNUMBER(S254),S254-S252,IF(ISNUMBER(S255),ROUND(S255*S208,0)-S252,0))</f>
        <v>0</v>
      </c>
      <c r="T253" s="211">
        <f>IF(ISNUMBER(T254),T254-T252,IF(ISNUMBER(T255),ROUND(T255*T208,0)-T252,0))</f>
        <v>-231</v>
      </c>
      <c r="U253" s="211">
        <f>IF(ISNUMBER(U254),U254-U252,IF(ISNUMBER(U255),ROUND(U255*U208,0)-U252,0))</f>
        <v>10</v>
      </c>
      <c r="V253" s="211">
        <f>IF(ISNUMBER(V254),V254-V252,IF(ISNUMBER(V255),ROUND(V255*V208,0)-V252,0))</f>
        <v>-71</v>
      </c>
      <c r="W253" s="211">
        <f>IF(ISNUMBER(W254),W254-W252,IF(ISNUMBER(W255),ROUND(W255*W208,0)-W252,0))</f>
        <v>-176</v>
      </c>
      <c r="X253" s="211">
        <f>IF(ISNUMBER(X254),X254-X252,IF(ISNUMBER(X255),ROUND(X255*X208,0)-X252,0))</f>
        <v>-517</v>
      </c>
      <c r="Y253" s="211">
        <f>IF(ISNUMBER(Y254),Y254-Y252,IF(ISNUMBER(Y255),ROUND(Y255*Y208,0)-Y252,0))</f>
        <v>-521</v>
      </c>
      <c r="Z253" s="211">
        <f>IF(ISNUMBER(Z254),Z254-Z252,IF(ISNUMBER(Z255),ROUND(Z255*Z208,0)-Z252,0))</f>
        <v>-620</v>
      </c>
      <c r="AA253" s="211">
        <f>IF(ISNUMBER(AA254),AA254-AA252,IF(ISNUMBER(AA255),ROUND(AA255*AA208,0)-AA252,0))</f>
        <v>-328</v>
      </c>
      <c r="AB253" s="211">
        <f>IF(ISNUMBER(AB254),AB254-AB252,IF(ISNUMBER(AB255),ROUND(AB255*AB208,0)-AB252,0))</f>
        <v>-776</v>
      </c>
      <c r="AC253" s="211">
        <f>IF(ISNUMBER(AC254),AC254-AC252,IF(ISNUMBER(AC255),ROUND(AC255*AC208,0)-AC252,0))</f>
        <v>-2223</v>
      </c>
      <c r="AD253" s="211">
        <f>IF(ISNUMBER(AD254),AD254-AD252,IF(ISNUMBER(AD255),ROUND(AD255*AD208,0)-AD252,0))</f>
        <v>-582</v>
      </c>
      <c r="AE253" s="211">
        <f>IF(ISNUMBER(AE254),AE254-AE252,IF(ISNUMBER(AE255),ROUND(AE255*AE208,0)-AE252,0))</f>
        <v>-661</v>
      </c>
      <c r="AF253" s="211">
        <f>IF(ISNUMBER(AF254),AF254-AF252,IF(ISNUMBER(AF255),ROUND(AF255*AF208,0)-AF252,0))</f>
        <v>-553</v>
      </c>
      <c r="AG253" s="211">
        <f>IF(ISNUMBER(AG254),AG254-AG252,IF(ISNUMBER(AG255),ROUND(AG255*AG208,0)-AG252,0))</f>
        <v>-537</v>
      </c>
      <c r="AH253" s="211">
        <f>IF(ISNUMBER(AH254),AH254-AH252,IF(ISNUMBER(AH255),ROUND(AH255*AH208,0)-AH252,0))</f>
        <v>-2333</v>
      </c>
      <c r="AI253" s="211">
        <f>IF(ISNUMBER(AI254),AI254-AI252,IF(ISNUMBER(AI255),ROUND(AI255*AI208,0)-AI252,0))</f>
        <v>0</v>
      </c>
      <c r="AJ253" s="211">
        <f>IF(ISNUMBER(AJ254),AJ254-AJ252,IF(ISNUMBER(AJ255),ROUND(AJ255*AJ208,0)-AJ252,0))</f>
        <v>0</v>
      </c>
      <c r="AK253" s="211">
        <f>IF(ISNUMBER(AK254),AK254-AK252,IF(ISNUMBER(AK255),ROUND(AK255*AK208,0)-AK252,0))</f>
        <v>0</v>
      </c>
      <c r="AL253" s="211">
        <f>IF(ISNUMBER(AL254),AL254-AL252,IF(ISNUMBER(AL255),ROUND(AL255*AL208,0)-AL252,0))</f>
        <v>0</v>
      </c>
      <c r="AM253" s="211">
        <f>IF(ISNUMBER(AM254),AM254-AM252,IF(ISNUMBER(AM255),ROUND(AM255*AM208,0)-AM252,0))</f>
        <v>0</v>
      </c>
      <c r="AN253" s="211">
        <f>IF(ISNUMBER(AN254),AN254-AN252,IF(ISNUMBER(AN255),ROUND(AN255*AN208,0)-AN252,0))</f>
        <v>0</v>
      </c>
      <c r="AO253" s="211">
        <f>IF(ISNUMBER(AO254),AO254-AO252,IF(ISNUMBER(AO255),ROUND(AO255*AO208,0)-AO252,0))</f>
        <v>0</v>
      </c>
      <c r="AP253" s="211">
        <f>IF(ISNUMBER(AP254),AP254-AP252,IF(ISNUMBER(AP255),ROUND(AP255*AP208,0)-AP252,0))</f>
        <v>0</v>
      </c>
      <c r="AQ253" s="211">
        <f>IF(ISNUMBER(AQ254),AQ254-AQ252,IF(ISNUMBER(AQ255),ROUND(AQ255*AQ208,0)-AQ252,0))</f>
        <v>0</v>
      </c>
      <c r="AR253" s="211">
        <f>IF(ISNUMBER(AR254),AR254-AR252,IF(ISNUMBER(AR255),ROUND(AR255*AR208,0)-AR252,0))</f>
        <v>0</v>
      </c>
      <c r="AS253" s="211">
        <f>IF(ISNUMBER(AS254),AS254-AS252,IF(ISNUMBER(AS255),ROUND(AS255*AS208,0)-AS252,0))</f>
        <v>0</v>
      </c>
      <c r="AT253" s="211">
        <f>IF(ISNUMBER(AT254),AT254-AT252,IF(ISNUMBER(AT255),ROUND(AT255*AT208,0)-AT252,0))</f>
        <v>0</v>
      </c>
      <c r="AU253" s="211">
        <f>IF(ISNUMBER(AU254),AU254-AU252,IF(ISNUMBER(AU255),ROUND(AU255*AU208,0)-AU252,0))</f>
        <v>0</v>
      </c>
      <c r="AV253" s="211">
        <f>IF(ISNUMBER(AV254),AV254-AV252,IF(ISNUMBER(AV255),ROUND(AV255*AV208,0)-AV252,0))</f>
        <v>0</v>
      </c>
      <c r="AW253" s="211">
        <f>IF(ISNUMBER(AW254),AW254-AW252,IF(ISNUMBER(AW255),ROUND(AW255*AW208,0)-AW252,0))</f>
        <v>0</v>
      </c>
      <c r="AX253" s="211">
        <f>IF(ISNUMBER(AX254),AX254-AX252,IF(ISNUMBER(AX255),ROUND(AX255*AX208,0)-AX252,0))</f>
        <v>0</v>
      </c>
      <c r="AY253" s="211">
        <f>IF(ISNUMBER(AY254),AY254-AY252,IF(ISNUMBER(AY255),ROUND(AY255*AY208,0)-AY252,0))</f>
        <v>0</v>
      </c>
      <c r="AZ253" s="211">
        <f>IF(ISNUMBER(AZ254),AZ254-AZ252,IF(ISNUMBER(AZ255),ROUND(AZ255*AZ208,0)-AZ252,0))</f>
        <v>0</v>
      </c>
      <c r="BA253" s="211">
        <f>IF(ISNUMBER(BA254),BA254-BA252,IF(ISNUMBER(BA255),ROUND(BA255*BA208,0)-BA252,0))</f>
        <v>0</v>
      </c>
      <c r="BB253" s="211">
        <f>IF(ISNUMBER(BB254),BB254-BB252,IF(ISNUMBER(BB255),ROUND(BB255*BB208,0)-BB252,0))</f>
        <v>0</v>
      </c>
      <c r="BC253" s="211">
        <f>IF(ISNUMBER(BC254),BC254-BC252,IF(ISNUMBER(BC255),ROUND(BC255*BC208,0)-BC252,0))</f>
        <v>0</v>
      </c>
      <c r="BD253" s="211">
        <f>IF(ISNUMBER(BD254),BD254-BD252,IF(ISNUMBER(BD255),ROUND(BD255*BD208,0)-BD252,0))</f>
        <v>0</v>
      </c>
      <c r="BE253" s="211">
        <f>IF(ISNUMBER(BE254),BE254-BE252,IF(ISNUMBER(BE255),ROUND(BE255*BE208,0)-BE252,0))</f>
        <v>0</v>
      </c>
      <c r="BF253" s="211">
        <f>IF(ISNUMBER(BF254),BF254-BF252,IF(ISNUMBER(BF255),ROUND(BF255*BF208,0)-BF252,0))</f>
        <v>0</v>
      </c>
      <c r="BG253" s="211">
        <f>IF(ISNUMBER(BG254),BG254-BG252,IF(ISNUMBER(BG255),ROUND(BG255*BG208,0)-BG252,0))</f>
        <v>0</v>
      </c>
      <c r="BH253" s="211">
        <f>IF(ISNUMBER(BH254),BH254-BH252,IF(ISNUMBER(BH255),ROUND(BH255*BH208,0)-BH252,0))</f>
        <v>0</v>
      </c>
      <c r="BI253" s="211">
        <f>IF(ISNUMBER(BI254),BI254-BI252,IF(ISNUMBER(BI255),ROUND(BI255*BI208,0)-BI252,0))</f>
        <v>-225</v>
      </c>
      <c r="BJ253" s="211">
        <f>IF(ISNUMBER(BJ254),BJ254-BJ252,IF(ISNUMBER(BJ255),ROUND(BJ255*BJ208,0)-BJ252,0))</f>
        <v>0</v>
      </c>
      <c r="BK253" s="211">
        <f>IF(ISNUMBER(BK254),BK254-BK252,IF(ISNUMBER(BK255),ROUND(BK255*BK208,0)-BK252,0))</f>
        <v>0</v>
      </c>
      <c r="BL253" s="211">
        <f>IF(ISNUMBER(BL254),BL254-BL252,IF(ISNUMBER(BL255),ROUND(BL255*BL208,0)-BL252,0))</f>
        <v>-225</v>
      </c>
      <c r="BM253" s="211">
        <f>IF(ISNUMBER(BM254),BM254-BM252,IF(ISNUMBER(BM255),ROUND(BM255*BM208,0)-BM252,0))</f>
        <v>0</v>
      </c>
      <c r="BN253" s="211">
        <f>IF(ISNUMBER(BN254),BN254-BN252,IF(ISNUMBER(BN255),ROUND(BN255*BN208,0)-BN252,0))</f>
        <v>0</v>
      </c>
      <c r="BO253" s="211">
        <f>IF(ISNUMBER(BO254),BO254-BO252,IF(ISNUMBER(BO255),ROUND(BO255*BO208,0)-BO252,0))</f>
        <v>0</v>
      </c>
      <c r="BP253" s="211">
        <f>IF(ISNUMBER(BP254),BP254-BP252,IF(ISNUMBER(BP255),ROUND(BP255*BP208,0)-BP252,0))</f>
        <v>0</v>
      </c>
      <c r="BQ253" s="211">
        <f>IF(ISNUMBER(BQ254),BQ254-BQ252,IF(ISNUMBER(BQ255),ROUND(BQ255*BQ208,0)-BQ252,0))</f>
        <v>0</v>
      </c>
      <c r="BR253" s="211">
        <f>IF(ISNUMBER(BR254),BR254-BR252,IF(ISNUMBER(BR255),ROUND(BR255*BR208,0)-BR252,0))</f>
        <v>0</v>
      </c>
      <c r="BS253" s="211">
        <f>IF(ISNUMBER(BS254),BS254-BS252,IF(ISNUMBER(BS255),ROUND(BS255*BS208,0)-BS252,0))</f>
        <v>0</v>
      </c>
      <c r="BT253" s="211">
        <f>IF(ISNUMBER(BT254),BT254-BT252,IF(ISNUMBER(BT255),ROUND(BT255*BT208,0)-BT252,0))</f>
        <v>0</v>
      </c>
      <c r="BU253" s="211">
        <f>IF(ISNUMBER(BU254),BU254-BU252,IF(ISNUMBER(BU255),ROUND(BU255*BU208,0)-BU252,0))</f>
        <v>0</v>
      </c>
      <c r="BV253" s="211">
        <f>IF(ISNUMBER(BV254),BV254-BV252,IF(ISNUMBER(BV255),ROUND(BV255*BV208,0)-BV252,0))</f>
        <v>0</v>
      </c>
      <c r="BW253" s="211">
        <f>IF(ISNUMBER(BW254),BW254-BW252,IF(ISNUMBER(BW255),ROUND(BW255*BW208,0)-BW252,0))</f>
        <v>0</v>
      </c>
      <c r="BX253" s="211">
        <f>IF(ISNUMBER(BX254),BX254-BX252,IF(ISNUMBER(BX255),ROUND(BX255*BX208,0)-BX252,0))</f>
        <v>0</v>
      </c>
      <c r="BY253" s="211">
        <f>IF(ISNUMBER(BY254),BY254-BY252,IF(ISNUMBER(BY255),ROUND(BY255*BY208,0)-BY252,0))</f>
        <v>0</v>
      </c>
      <c r="BZ253" s="211">
        <f>IF(ISNUMBER(BZ254),BZ254-BZ252,IF(ISNUMBER(BZ255),ROUND(BZ255*BZ208,0)-BZ252,0))</f>
        <v>0</v>
      </c>
      <c r="CA253" s="211">
        <f>IF(ISNUMBER(CA254),CA254-CA252,IF(ISNUMBER(CA255),ROUND(CA255*CA208,0)-CA252,0))</f>
        <v>0</v>
      </c>
      <c r="CB253" s="254">
        <f>0</f>
        <v>0</v>
      </c>
      <c r="CC253" s="254">
        <f>0</f>
        <v>0</v>
      </c>
      <c r="CD253" s="254">
        <f>0</f>
        <v>0</v>
      </c>
      <c r="CE253" s="254">
        <f>0</f>
        <v>0</v>
      </c>
      <c r="CF253" s="254">
        <f>SUM(CB253:CE253)</f>
        <v>0</v>
      </c>
      <c r="CG253" s="254">
        <f>0</f>
        <v>0</v>
      </c>
      <c r="CH253" s="254">
        <f>0</f>
        <v>0</v>
      </c>
      <c r="CI253" s="254">
        <f>0</f>
        <v>0</v>
      </c>
      <c r="CJ253" s="254">
        <f>0</f>
        <v>0</v>
      </c>
      <c r="CK253" s="19" t="inlineStr">
        <is>
          <t>Historical: company after-tax effect − pre-tax items; per-share-only periods: per-share effect × diluted shares − pre-tax items (rounding included).</t>
        </is>
      </c>
    </row>
    <row r="254" ht="15" customHeight="1" s="251">
      <c r="B254" s="156" t="inlineStr">
        <is>
          <t xml:space="preserve">  Memo: after-tax effect of the operating items (company, $m)</t>
        </is>
      </c>
      <c r="C254" s="253" t="n">
        <v>0</v>
      </c>
      <c r="D254" s="253" t="n">
        <v>0</v>
      </c>
      <c r="E254" s="253" t="n">
        <v>0</v>
      </c>
      <c r="F254" s="253" t="n">
        <v>0</v>
      </c>
      <c r="G254" s="253" t="n">
        <v>0</v>
      </c>
      <c r="H254" s="253" t="n">
        <v>0</v>
      </c>
      <c r="I254" s="34" t="n"/>
      <c r="J254" s="34" t="n"/>
      <c r="K254" s="34" t="n"/>
      <c r="L254" s="34" t="n"/>
      <c r="M254" s="34" t="n"/>
      <c r="N254" s="34" t="n"/>
      <c r="O254" s="34" t="n"/>
      <c r="P254" s="253" t="n">
        <v>0</v>
      </c>
      <c r="Q254" s="253" t="n">
        <v>0</v>
      </c>
      <c r="R254" s="253" t="n">
        <v>0</v>
      </c>
      <c r="S254" s="253" t="n">
        <v>0</v>
      </c>
      <c r="T254" s="253" t="n">
        <v>909</v>
      </c>
      <c r="U254" s="253" t="n">
        <v>-73</v>
      </c>
      <c r="V254" s="253" t="n">
        <v>119</v>
      </c>
      <c r="W254" s="253" t="n">
        <v>8262</v>
      </c>
      <c r="X254" s="253" t="n">
        <v>9494</v>
      </c>
      <c r="Y254" s="253" t="n">
        <v>760</v>
      </c>
      <c r="Z254" s="253" t="n">
        <v>1277</v>
      </c>
      <c r="AA254" s="253" t="n">
        <v>1217</v>
      </c>
      <c r="AB254" s="253" t="n">
        <v>2362</v>
      </c>
      <c r="AC254" s="253" t="n">
        <v>5530</v>
      </c>
      <c r="AD254" s="253" t="n">
        <v>1299</v>
      </c>
      <c r="AE254" s="253" t="n">
        <v>1315</v>
      </c>
      <c r="AF254" s="253" t="n">
        <v>914</v>
      </c>
      <c r="AG254" s="253" t="n">
        <v>1152</v>
      </c>
      <c r="AH254" s="253" t="n">
        <v>4680</v>
      </c>
      <c r="AI254" s="253" t="n">
        <v>0</v>
      </c>
      <c r="AJ254" s="253" t="n">
        <v>0</v>
      </c>
      <c r="AK254" s="253" t="n">
        <v>0</v>
      </c>
      <c r="AL254" s="253" t="n">
        <v>0</v>
      </c>
      <c r="AM254" s="253" t="n">
        <v>0</v>
      </c>
      <c r="AN254" s="253" t="n">
        <v>0</v>
      </c>
      <c r="AO254" s="253" t="n">
        <v>0</v>
      </c>
      <c r="AP254" s="253" t="n">
        <v>0</v>
      </c>
      <c r="AQ254" s="253" t="n">
        <v>0</v>
      </c>
      <c r="AR254" s="253" t="n">
        <v>0</v>
      </c>
      <c r="AS254" s="253" t="n">
        <v>0</v>
      </c>
      <c r="AT254" s="253" t="n">
        <v>0</v>
      </c>
      <c r="AU254" s="253" t="n">
        <v>0</v>
      </c>
      <c r="AV254" s="253" t="n">
        <v>0</v>
      </c>
      <c r="AW254" s="253" t="n">
        <v>0</v>
      </c>
      <c r="AX254" s="253" t="n">
        <v>0</v>
      </c>
      <c r="AY254" s="253" t="n">
        <v>0</v>
      </c>
      <c r="AZ254" s="253" t="n">
        <v>0</v>
      </c>
      <c r="BA254" s="253" t="n">
        <v>0</v>
      </c>
      <c r="BB254" s="253" t="n">
        <v>0</v>
      </c>
      <c r="BC254" s="253" t="n">
        <v>0</v>
      </c>
      <c r="BD254" s="253" t="n">
        <v>0</v>
      </c>
      <c r="BE254" s="253" t="n">
        <v>0</v>
      </c>
      <c r="BF254" s="253" t="n">
        <v>0</v>
      </c>
      <c r="BG254" s="253" t="n">
        <v>0</v>
      </c>
      <c r="BH254" s="253" t="n">
        <v>0</v>
      </c>
      <c r="BI254" s="253" t="n">
        <v>946</v>
      </c>
      <c r="BJ254" s="253" t="n">
        <v>0</v>
      </c>
      <c r="BK254" s="253" t="n">
        <v>0</v>
      </c>
      <c r="BL254" s="253" t="n">
        <v>946</v>
      </c>
      <c r="BM254" s="253" t="n">
        <v>0</v>
      </c>
      <c r="BN254" s="253" t="n">
        <v>0</v>
      </c>
      <c r="BO254" s="253" t="n">
        <v>0</v>
      </c>
      <c r="BP254" s="253" t="n">
        <v>0</v>
      </c>
      <c r="BQ254" s="253" t="n">
        <v>0</v>
      </c>
      <c r="BR254" s="253" t="n">
        <v>0</v>
      </c>
      <c r="BS254" s="253" t="n">
        <v>0</v>
      </c>
      <c r="BT254" s="253" t="n">
        <v>0</v>
      </c>
      <c r="BU254" s="253" t="n">
        <v>0</v>
      </c>
      <c r="BV254" s="253" t="n">
        <v>0</v>
      </c>
      <c r="BW254" s="253" t="n">
        <v>0</v>
      </c>
      <c r="BX254" s="253" t="n">
        <v>0</v>
      </c>
      <c r="BY254" s="253" t="n">
        <v>0</v>
      </c>
      <c r="BZ254" s="253" t="n">
        <v>0</v>
      </c>
      <c r="CA254" s="253" t="n">
        <v>0</v>
      </c>
      <c r="CB254" s="153" t="n"/>
      <c r="CC254" s="153" t="n"/>
      <c r="CD254" s="153" t="n"/>
      <c r="CE254" s="153" t="n"/>
      <c r="CF254" s="153" t="n"/>
      <c r="CG254" s="153" t="n"/>
      <c r="CH254" s="153" t="n"/>
      <c r="CI254" s="153" t="n"/>
      <c r="CJ254" s="153" t="n"/>
      <c r="CK254" s="153" t="n"/>
    </row>
    <row r="255" ht="15" customHeight="1" s="251">
      <c r="B255" s="156" t="inlineStr">
        <is>
          <t xml:space="preserve">  Memo: after-tax effect of the operating items (company, $ per share; FY2012–Q1 FY14)</t>
        </is>
      </c>
      <c r="C255" s="27" t="n"/>
      <c r="D255" s="27" t="n"/>
      <c r="E255" s="27" t="n"/>
      <c r="F255" s="27" t="n"/>
      <c r="G255" s="27" t="n"/>
      <c r="H255" s="27" t="n"/>
      <c r="I255" s="273" t="n">
        <v>0.79</v>
      </c>
      <c r="J255" s="273" t="n">
        <v>0.13</v>
      </c>
      <c r="K255" s="273" t="n">
        <v>0.05</v>
      </c>
      <c r="L255" s="273" t="n">
        <v>-0.07000000000000001</v>
      </c>
      <c r="M255" s="273" t="n">
        <v>-0.07000000000000001</v>
      </c>
      <c r="N255" s="273" t="n">
        <v>0.04</v>
      </c>
      <c r="O255" s="273" t="n">
        <v>0.01</v>
      </c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7" t="n"/>
      <c r="AK255" s="27" t="n"/>
      <c r="AL255" s="27" t="n"/>
      <c r="AM255" s="27" t="n"/>
      <c r="AN255" s="27" t="n"/>
      <c r="AO255" s="27" t="n"/>
      <c r="AP255" s="27" t="n"/>
      <c r="AQ255" s="27" t="n"/>
      <c r="AR255" s="27" t="n"/>
      <c r="AS255" s="27" t="n"/>
      <c r="AT255" s="27" t="n"/>
      <c r="AU255" s="27" t="n"/>
      <c r="AV255" s="27" t="n"/>
      <c r="AW255" s="27" t="n"/>
      <c r="AX255" s="27" t="n"/>
      <c r="AY255" s="27" t="n"/>
      <c r="AZ255" s="27" t="n"/>
      <c r="BA255" s="27" t="n"/>
      <c r="BB255" s="27" t="n"/>
      <c r="BC255" s="27" t="n"/>
      <c r="BD255" s="27" t="n"/>
      <c r="BE255" s="27" t="n"/>
      <c r="BF255" s="27" t="n"/>
      <c r="BG255" s="27" t="n"/>
      <c r="BH255" s="27" t="n"/>
      <c r="BI255" s="27" t="n"/>
      <c r="BJ255" s="27" t="n"/>
      <c r="BK255" s="27" t="n"/>
      <c r="BL255" s="27" t="n"/>
      <c r="BM255" s="27" t="n"/>
      <c r="BN255" s="27" t="n"/>
      <c r="BO255" s="27" t="n"/>
      <c r="BP255" s="27" t="n"/>
      <c r="BQ255" s="27" t="n"/>
      <c r="BR255" s="27" t="n"/>
      <c r="BS255" s="27" t="n"/>
      <c r="BT255" s="27" t="n"/>
      <c r="BU255" s="27" t="n"/>
      <c r="BV255" s="27" t="n"/>
      <c r="BW255" s="27" t="n"/>
      <c r="BX255" s="27" t="n"/>
      <c r="BY255" s="27" t="n"/>
      <c r="BZ255" s="27" t="n"/>
      <c r="CA255" s="27" t="n"/>
      <c r="CB255" s="153" t="n"/>
      <c r="CC255" s="153" t="n"/>
      <c r="CD255" s="153" t="n"/>
      <c r="CE255" s="153" t="n"/>
      <c r="CF255" s="153" t="n"/>
      <c r="CG255" s="153" t="n"/>
      <c r="CH255" s="153" t="n"/>
      <c r="CI255" s="153" t="n"/>
      <c r="CJ255" s="153" t="n"/>
      <c r="CK255" s="153" t="n"/>
    </row>
    <row r="256" ht="15" customHeight="1" s="251">
      <c r="B256" s="25" t="inlineStr">
        <is>
          <t xml:space="preserve">  (+) Discrete tax items</t>
        </is>
      </c>
      <c r="C256" s="211">
        <f>C175</f>
        <v>0</v>
      </c>
      <c r="D256" s="211">
        <f>D175</f>
        <v>0</v>
      </c>
      <c r="E256" s="211">
        <f>E175</f>
        <v>0</v>
      </c>
      <c r="F256" s="211">
        <f>F175</f>
        <v>0</v>
      </c>
      <c r="G256" s="211">
        <f>G175</f>
        <v>0</v>
      </c>
      <c r="H256" s="211">
        <f>H175</f>
        <v>0</v>
      </c>
      <c r="I256" s="211">
        <f>I175</f>
        <v>0</v>
      </c>
      <c r="J256" s="211">
        <f>J175</f>
        <v>0</v>
      </c>
      <c r="K256" s="211">
        <f>K175</f>
        <v>0</v>
      </c>
      <c r="L256" s="211">
        <f>L175</f>
        <v>0</v>
      </c>
      <c r="M256" s="211">
        <f>M175</f>
        <v>0</v>
      </c>
      <c r="N256" s="211">
        <f>N175</f>
        <v>0</v>
      </c>
      <c r="O256" s="211">
        <f>O175</f>
        <v>0</v>
      </c>
      <c r="P256" s="211">
        <f>P175</f>
        <v>0</v>
      </c>
      <c r="Q256" s="211">
        <f>Q175</f>
        <v>0</v>
      </c>
      <c r="R256" s="211">
        <f>R175</f>
        <v>0</v>
      </c>
      <c r="S256" s="211">
        <f>S175</f>
        <v>0</v>
      </c>
      <c r="T256" s="211">
        <f>T175</f>
        <v>0</v>
      </c>
      <c r="U256" s="211">
        <f>U175</f>
        <v>0</v>
      </c>
      <c r="V256" s="211">
        <f>V175</f>
        <v>0</v>
      </c>
      <c r="W256" s="211">
        <f>W175</f>
        <v>0</v>
      </c>
      <c r="X256" s="211">
        <f>X175</f>
        <v>0</v>
      </c>
      <c r="Y256" s="211">
        <f>Y175</f>
        <v>0</v>
      </c>
      <c r="Z256" s="211">
        <f>Z175</f>
        <v>0</v>
      </c>
      <c r="AA256" s="211">
        <f>AA175</f>
        <v>0</v>
      </c>
      <c r="AB256" s="211">
        <f>AB175</f>
        <v>0</v>
      </c>
      <c r="AC256" s="211">
        <f>AC175</f>
        <v>0</v>
      </c>
      <c r="AD256" s="211">
        <f>AD175</f>
        <v>0</v>
      </c>
      <c r="AE256" s="211">
        <f>AE175</f>
        <v>0</v>
      </c>
      <c r="AF256" s="211">
        <f>AF175</f>
        <v>0</v>
      </c>
      <c r="AG256" s="211">
        <f>AG175</f>
        <v>0</v>
      </c>
      <c r="AH256" s="211">
        <f>AH175</f>
        <v>0</v>
      </c>
      <c r="AI256" s="211">
        <f>AI175</f>
        <v>0</v>
      </c>
      <c r="AJ256" s="211">
        <f>AJ175</f>
        <v>13800</v>
      </c>
      <c r="AK256" s="211">
        <f>AK175</f>
        <v>0</v>
      </c>
      <c r="AL256" s="211">
        <f>AL175</f>
        <v>-104</v>
      </c>
      <c r="AM256" s="211">
        <f>AM175</f>
        <v>13696</v>
      </c>
      <c r="AN256" s="211">
        <f>AN175</f>
        <v>0</v>
      </c>
      <c r="AO256" s="211">
        <f>AO175</f>
        <v>157</v>
      </c>
      <c r="AP256" s="211">
        <f>AP175</f>
        <v>0</v>
      </c>
      <c r="AQ256" s="211">
        <f>AQ175</f>
        <v>-2567</v>
      </c>
      <c r="AR256" s="211">
        <f>AR175</f>
        <v>-2410</v>
      </c>
      <c r="AS256" s="211">
        <f>AS175</f>
        <v>0</v>
      </c>
      <c r="AT256" s="211">
        <f>AT175</f>
        <v>0</v>
      </c>
      <c r="AU256" s="211">
        <f>AU175</f>
        <v>0</v>
      </c>
      <c r="AV256" s="211">
        <f>AV175</f>
        <v>0</v>
      </c>
      <c r="AW256" s="211">
        <f>AW175</f>
        <v>0</v>
      </c>
      <c r="AX256" s="211">
        <f>AX175</f>
        <v>0</v>
      </c>
      <c r="AY256" s="211">
        <f>AY175</f>
        <v>0</v>
      </c>
      <c r="AZ256" s="211">
        <f>AZ175</f>
        <v>-620</v>
      </c>
      <c r="BA256" s="211">
        <f>BA175</f>
        <v>0</v>
      </c>
      <c r="BB256" s="211">
        <f>BB175</f>
        <v>-620</v>
      </c>
      <c r="BC256" s="211">
        <f>BC175</f>
        <v>-3291</v>
      </c>
      <c r="BD256" s="211">
        <f>BD175</f>
        <v>0</v>
      </c>
      <c r="BE256" s="211">
        <f>BE175</f>
        <v>0</v>
      </c>
      <c r="BF256" s="211">
        <f>BF175</f>
        <v>0</v>
      </c>
      <c r="BG256" s="211">
        <f>BG175</f>
        <v>-3291</v>
      </c>
      <c r="BH256" s="211">
        <f>BH175</f>
        <v>0</v>
      </c>
      <c r="BI256" s="211">
        <f>BI175</f>
        <v>0</v>
      </c>
      <c r="BJ256" s="211">
        <f>BJ175</f>
        <v>0</v>
      </c>
      <c r="BK256" s="211">
        <f>BK175</f>
        <v>0</v>
      </c>
      <c r="BL256" s="211">
        <f>BL175</f>
        <v>0</v>
      </c>
      <c r="BM256" s="211">
        <f>BM175</f>
        <v>0</v>
      </c>
      <c r="BN256" s="211">
        <f>BN175</f>
        <v>0</v>
      </c>
      <c r="BO256" s="211">
        <f>BO175</f>
        <v>0</v>
      </c>
      <c r="BP256" s="211">
        <f>BP175</f>
        <v>0</v>
      </c>
      <c r="BQ256" s="211">
        <f>BQ175</f>
        <v>0</v>
      </c>
      <c r="BR256" s="211">
        <f>BR175</f>
        <v>0</v>
      </c>
      <c r="BS256" s="211">
        <f>BS175</f>
        <v>0</v>
      </c>
      <c r="BT256" s="211">
        <f>BT175</f>
        <v>0</v>
      </c>
      <c r="BU256" s="211">
        <f>BU175</f>
        <v>0</v>
      </c>
      <c r="BV256" s="211">
        <f>BV175</f>
        <v>0</v>
      </c>
      <c r="BW256" s="211">
        <f>BW175</f>
        <v>0</v>
      </c>
      <c r="BX256" s="211">
        <f>BX175</f>
        <v>0</v>
      </c>
      <c r="BY256" s="211">
        <f>BY175</f>
        <v>0</v>
      </c>
      <c r="BZ256" s="211">
        <f>BZ175</f>
        <v>0</v>
      </c>
      <c r="CA256" s="211">
        <f>CA175</f>
        <v>0</v>
      </c>
      <c r="CB256" s="254">
        <f>CB175</f>
        <v>0</v>
      </c>
      <c r="CC256" s="254">
        <f>CC175</f>
        <v>0</v>
      </c>
      <c r="CD256" s="254">
        <f>CD175</f>
        <v>0</v>
      </c>
      <c r="CE256" s="254">
        <f>CE175</f>
        <v>0</v>
      </c>
      <c r="CF256" s="254">
        <f>CF175</f>
        <v>0</v>
      </c>
      <c r="CG256" s="254">
        <f>CG175</f>
        <v>0</v>
      </c>
      <c r="CH256" s="254">
        <f>CH175</f>
        <v>0</v>
      </c>
      <c r="CI256" s="254">
        <f>CI175</f>
        <v>0</v>
      </c>
      <c r="CJ256" s="254">
        <f>CJ175</f>
        <v>0</v>
      </c>
      <c r="CK256" s="19" t="n"/>
    </row>
    <row r="257" ht="15" customHeight="1" s="251">
      <c r="B257" s="25" t="inlineStr">
        <is>
          <t xml:space="preserve">  (+) Impact from investments in OpenAI (after tax)</t>
        </is>
      </c>
      <c r="C257" s="211">
        <f>C176</f>
        <v>0</v>
      </c>
      <c r="D257" s="211">
        <f>D176</f>
        <v>0</v>
      </c>
      <c r="E257" s="211">
        <f>E176</f>
        <v>0</v>
      </c>
      <c r="F257" s="211">
        <f>F176</f>
        <v>0</v>
      </c>
      <c r="G257" s="211">
        <f>G176</f>
        <v>0</v>
      </c>
      <c r="H257" s="211">
        <f>H176</f>
        <v>0</v>
      </c>
      <c r="I257" s="211">
        <f>I176</f>
        <v>0</v>
      </c>
      <c r="J257" s="211">
        <f>J176</f>
        <v>0</v>
      </c>
      <c r="K257" s="211">
        <f>K176</f>
        <v>0</v>
      </c>
      <c r="L257" s="211">
        <f>L176</f>
        <v>0</v>
      </c>
      <c r="M257" s="211">
        <f>M176</f>
        <v>0</v>
      </c>
      <c r="N257" s="211">
        <f>N176</f>
        <v>0</v>
      </c>
      <c r="O257" s="211">
        <f>O176</f>
        <v>0</v>
      </c>
      <c r="P257" s="211">
        <f>P176</f>
        <v>0</v>
      </c>
      <c r="Q257" s="211">
        <f>Q176</f>
        <v>0</v>
      </c>
      <c r="R257" s="211">
        <f>R176</f>
        <v>0</v>
      </c>
      <c r="S257" s="211">
        <f>S176</f>
        <v>0</v>
      </c>
      <c r="T257" s="211">
        <f>T176</f>
        <v>0</v>
      </c>
      <c r="U257" s="211">
        <f>U176</f>
        <v>0</v>
      </c>
      <c r="V257" s="211">
        <f>V176</f>
        <v>0</v>
      </c>
      <c r="W257" s="211">
        <f>W176</f>
        <v>0</v>
      </c>
      <c r="X257" s="211">
        <f>X176</f>
        <v>0</v>
      </c>
      <c r="Y257" s="211">
        <f>Y176</f>
        <v>0</v>
      </c>
      <c r="Z257" s="211">
        <f>Z176</f>
        <v>0</v>
      </c>
      <c r="AA257" s="211">
        <f>AA176</f>
        <v>0</v>
      </c>
      <c r="AB257" s="211">
        <f>AB176</f>
        <v>0</v>
      </c>
      <c r="AC257" s="211">
        <f>AC176</f>
        <v>0</v>
      </c>
      <c r="AD257" s="211">
        <f>AD176</f>
        <v>0</v>
      </c>
      <c r="AE257" s="211">
        <f>AE176</f>
        <v>0</v>
      </c>
      <c r="AF257" s="211">
        <f>AF176</f>
        <v>0</v>
      </c>
      <c r="AG257" s="211">
        <f>AG176</f>
        <v>0</v>
      </c>
      <c r="AH257" s="211">
        <f>AH176</f>
        <v>0</v>
      </c>
      <c r="AI257" s="211">
        <f>AI176</f>
        <v>0</v>
      </c>
      <c r="AJ257" s="211">
        <f>AJ176</f>
        <v>0</v>
      </c>
      <c r="AK257" s="211">
        <f>AK176</f>
        <v>0</v>
      </c>
      <c r="AL257" s="211">
        <f>AL176</f>
        <v>0</v>
      </c>
      <c r="AM257" s="211">
        <f>AM176</f>
        <v>0</v>
      </c>
      <c r="AN257" s="211">
        <f>AN176</f>
        <v>0</v>
      </c>
      <c r="AO257" s="211">
        <f>AO176</f>
        <v>0</v>
      </c>
      <c r="AP257" s="211">
        <f>AP176</f>
        <v>0</v>
      </c>
      <c r="AQ257" s="211">
        <f>AQ176</f>
        <v>0</v>
      </c>
      <c r="AR257" s="211">
        <f>AR176</f>
        <v>0</v>
      </c>
      <c r="AS257" s="211">
        <f>AS176</f>
        <v>0</v>
      </c>
      <c r="AT257" s="211">
        <f>AT176</f>
        <v>0</v>
      </c>
      <c r="AU257" s="211">
        <f>AU176</f>
        <v>0</v>
      </c>
      <c r="AV257" s="211">
        <f>AV176</f>
        <v>0</v>
      </c>
      <c r="AW257" s="211">
        <f>AW176</f>
        <v>0</v>
      </c>
      <c r="AX257" s="211">
        <f>AX176</f>
        <v>0</v>
      </c>
      <c r="AY257" s="211">
        <f>AY176</f>
        <v>0</v>
      </c>
      <c r="AZ257" s="211">
        <f>AZ176</f>
        <v>0</v>
      </c>
      <c r="BA257" s="211">
        <f>BA176</f>
        <v>0</v>
      </c>
      <c r="BB257" s="211">
        <f>BB176</f>
        <v>0</v>
      </c>
      <c r="BC257" s="211">
        <f>BC176</f>
        <v>0</v>
      </c>
      <c r="BD257" s="211">
        <f>BD176</f>
        <v>0</v>
      </c>
      <c r="BE257" s="211">
        <f>BE176</f>
        <v>0</v>
      </c>
      <c r="BF257" s="211">
        <f>BF176</f>
        <v>0</v>
      </c>
      <c r="BG257" s="211">
        <f>BG176</f>
        <v>0</v>
      </c>
      <c r="BH257" s="211">
        <f>BH176</f>
        <v>0</v>
      </c>
      <c r="BI257" s="211">
        <f>BI176</f>
        <v>0</v>
      </c>
      <c r="BJ257" s="211">
        <f>BJ176</f>
        <v>0</v>
      </c>
      <c r="BK257" s="211">
        <f>BK176</f>
        <v>0</v>
      </c>
      <c r="BL257" s="211">
        <f>BL176</f>
        <v>0</v>
      </c>
      <c r="BM257" s="211">
        <f>BM176</f>
        <v>0</v>
      </c>
      <c r="BN257" s="211">
        <f>BN176</f>
        <v>0</v>
      </c>
      <c r="BO257" s="211">
        <f>BO176</f>
        <v>0</v>
      </c>
      <c r="BP257" s="211">
        <f>BP176</f>
        <v>0</v>
      </c>
      <c r="BQ257" s="211">
        <f>BQ176</f>
        <v>0</v>
      </c>
      <c r="BR257" s="211">
        <f>BR176</f>
        <v>523</v>
      </c>
      <c r="BS257" s="211">
        <f>BS176</f>
        <v>939</v>
      </c>
      <c r="BT257" s="211">
        <f>BT176</f>
        <v>583</v>
      </c>
      <c r="BU257" s="211">
        <f>BU176</f>
        <v>1575</v>
      </c>
      <c r="BV257" s="211">
        <f>BV176</f>
        <v>3620</v>
      </c>
      <c r="BW257" s="211">
        <f>BW176</f>
        <v>3086</v>
      </c>
      <c r="BX257" s="211">
        <f>BX176</f>
        <v>-7583</v>
      </c>
      <c r="BY257" s="211">
        <f>BY176</f>
        <v>14</v>
      </c>
      <c r="BZ257" s="211">
        <f>BZ176</f>
        <v>-480</v>
      </c>
      <c r="CA257" s="211">
        <f>CA176</f>
        <v>-4963</v>
      </c>
      <c r="CB257" s="254">
        <f>CB176</f>
        <v>0</v>
      </c>
      <c r="CC257" s="254">
        <f>CC176</f>
        <v>0</v>
      </c>
      <c r="CD257" s="254">
        <f>CD176</f>
        <v>0</v>
      </c>
      <c r="CE257" s="254">
        <f>CE176</f>
        <v>0</v>
      </c>
      <c r="CF257" s="254">
        <f>CF176</f>
        <v>0</v>
      </c>
      <c r="CG257" s="254">
        <f>CG176</f>
        <v>0</v>
      </c>
      <c r="CH257" s="254">
        <f>CH176</f>
        <v>0</v>
      </c>
      <c r="CI257" s="254">
        <f>CI176</f>
        <v>0</v>
      </c>
      <c r="CJ257" s="254">
        <f>CJ176</f>
        <v>0</v>
      </c>
      <c r="CK257" s="19" t="n"/>
    </row>
    <row r="258" ht="15" customHeight="1" s="251">
      <c r="B258" s="55" t="inlineStr">
        <is>
          <t xml:space="preserve">  = Adjusted net income (model bridge)</t>
        </is>
      </c>
      <c r="C258" s="267">
        <f>IF(ISNUMBER(C251),C251+N(C252)+N(C253)+N(C256)+N(C257),"")</f>
        <v>12599</v>
      </c>
      <c r="D258" s="267">
        <f>IF(ISNUMBER(D251),D251+N(D252)+N(D253)+N(D256)+N(D257),"")</f>
        <v>14065</v>
      </c>
      <c r="E258" s="267">
        <f>IF(ISNUMBER(E251),E251+N(E252)+N(E253)+N(E256)+N(E257),"")</f>
        <v>17681</v>
      </c>
      <c r="F258" s="267">
        <f>IF(ISNUMBER(F251),F251+N(F252)+N(F253)+N(F256)+N(F257),"")</f>
        <v>14569</v>
      </c>
      <c r="G258" s="267">
        <f>IF(ISNUMBER(G251),G251+N(G252)+N(G253)+N(G256)+N(G257),"")</f>
        <v>18760</v>
      </c>
      <c r="H258" s="267">
        <f>IF(ISNUMBER(H251),H251+N(H252)+N(H253)+N(H256)+N(H257),"")</f>
        <v>23150</v>
      </c>
      <c r="I258" s="267">
        <f>IF(ISNUMBER(I251),I251+N(I252)+N(I253)+N(I256)+N(I257),"")</f>
        <v>23698</v>
      </c>
      <c r="J258" s="267">
        <f>IF(ISNUMBER(J251),J251+N(J252)+N(J253)+N(J256)+N(J257),"")</f>
        <v>5570</v>
      </c>
      <c r="K258" s="267">
        <f>IF(ISNUMBER(K251),K251+N(K252)+N(K253)+N(K256)+N(K257),"")</f>
        <v>6799</v>
      </c>
      <c r="L258" s="267">
        <f>IF(ISNUMBER(L251),L251+N(L252)+N(L253)+N(L256)+N(L257),"")</f>
        <v>5465</v>
      </c>
      <c r="M258" s="267">
        <f>IF(ISNUMBER(M251),M251+N(M252)+N(M253)+N(M256)+N(M257),"")</f>
        <v>4374</v>
      </c>
      <c r="N258" s="267">
        <f>IF(ISNUMBER(N251),N251+N(N252)+N(N253)+N(N256)+N(N257),"")</f>
        <v>22202</v>
      </c>
      <c r="O258" s="267">
        <f>IF(ISNUMBER(O251),O251+N(O252)+N(O253)+N(O256)+N(O257),"")</f>
        <v>5328</v>
      </c>
      <c r="P258" s="267">
        <f>IF(ISNUMBER(P251),P251+N(P252)+N(P253)+N(P256)+N(P257),"")</f>
        <v>6558</v>
      </c>
      <c r="Q258" s="267">
        <f>IF(ISNUMBER(Q251),Q251+N(Q252)+N(Q253)+N(Q256)+N(Q257),"")</f>
        <v>5660</v>
      </c>
      <c r="R258" s="267">
        <f>IF(ISNUMBER(R251),R251+N(R252)+N(R253)+N(R256)+N(R257),"")</f>
        <v>4612</v>
      </c>
      <c r="S258" s="267">
        <f>IF(ISNUMBER(S251),S251+N(S252)+N(S253)+N(S256)+N(S257),"")</f>
        <v>22074</v>
      </c>
      <c r="T258" s="267">
        <f>IF(ISNUMBER(T251),T251+N(T252)+N(T253)+N(T256)+N(T257),"")</f>
        <v>5449</v>
      </c>
      <c r="U258" s="267">
        <f>IF(ISNUMBER(U251),U251+N(U252)+N(U253)+N(U256)+N(U257),"")</f>
        <v>5790</v>
      </c>
      <c r="V258" s="267">
        <f>IF(ISNUMBER(V251),V251+N(V252)+N(V253)+N(V256)+N(V257),"")</f>
        <v>5104</v>
      </c>
      <c r="W258" s="267">
        <f>IF(ISNUMBER(W251),W251+N(W252)+N(W253)+N(W256)+N(W257),"")</f>
        <v>5067</v>
      </c>
      <c r="X258" s="267">
        <f>IF(ISNUMBER(X251),X251+N(X252)+N(X253)+N(X256)+N(X257),"")</f>
        <v>21687</v>
      </c>
      <c r="Y258" s="267">
        <f>IF(ISNUMBER(Y251),Y251+N(Y252)+N(Y253)+N(Y256)+N(Y257),"")</f>
        <v>5380</v>
      </c>
      <c r="Z258" s="267">
        <f>IF(ISNUMBER(Z251),Z251+N(Z252)+N(Z253)+N(Z256)+N(Z257),"")</f>
        <v>6275</v>
      </c>
      <c r="AA258" s="267">
        <f>IF(ISNUMBER(AA251),AA251+N(AA252)+N(AA253)+N(AA256)+N(AA257),"")</f>
        <v>4973</v>
      </c>
      <c r="AB258" s="267">
        <f>IF(ISNUMBER(AB251),AB251+N(AB252)+N(AB253)+N(AB256)+N(AB257),"")</f>
        <v>5484</v>
      </c>
      <c r="AC258" s="267">
        <f>IF(ISNUMBER(AC251),AC251+N(AC252)+N(AC253)+N(AC256)+N(AC257),"")</f>
        <v>22328</v>
      </c>
      <c r="AD258" s="267">
        <f>IF(ISNUMBER(AD251),AD251+N(AD252)+N(AD253)+N(AD256)+N(AD257),"")</f>
        <v>5989</v>
      </c>
      <c r="AE258" s="267">
        <f>IF(ISNUMBER(AE251),AE251+N(AE252)+N(AE253)+N(AE256)+N(AE257),"")</f>
        <v>6515</v>
      </c>
      <c r="AF258" s="267">
        <f>IF(ISNUMBER(AF251),AF251+N(AF252)+N(AF253)+N(AF256)+N(AF257),"")</f>
        <v>5715</v>
      </c>
      <c r="AG258" s="267">
        <f>IF(ISNUMBER(AG251),AG251+N(AG252)+N(AG253)+N(AG256)+N(AG257),"")</f>
        <v>7665</v>
      </c>
      <c r="AH258" s="267">
        <f>IF(ISNUMBER(AH251),AH251+N(AH252)+N(AH253)+N(AH256)+N(AH257),"")</f>
        <v>25884</v>
      </c>
      <c r="AI258" s="267">
        <f>IF(ISNUMBER(AI251),AI251+N(AI252)+N(AI253)+N(AI256)+N(AI257),"")</f>
        <v>6576</v>
      </c>
      <c r="AJ258" s="267">
        <f>IF(ISNUMBER(AJ251),AJ251+N(AJ252)+N(AJ253)+N(AJ256)+N(AJ257),"")</f>
        <v>7498</v>
      </c>
      <c r="AK258" s="267">
        <f>IF(ISNUMBER(AK251),AK251+N(AK252)+N(AK253)+N(AK256)+N(AK257),"")</f>
        <v>7424</v>
      </c>
      <c r="AL258" s="267">
        <f>IF(ISNUMBER(AL251),AL251+N(AL252)+N(AL253)+N(AL256)+N(AL257),"")</f>
        <v>8769</v>
      </c>
      <c r="AM258" s="267">
        <f>IF(ISNUMBER(AM251),AM251+N(AM252)+N(AM253)+N(AM256)+N(AM257),"")</f>
        <v>30267</v>
      </c>
      <c r="AN258" s="267">
        <f>IF(ISNUMBER(AN251),AN251+N(AN252)+N(AN253)+N(AN256)+N(AN257),"")</f>
        <v>8824</v>
      </c>
      <c r="AO258" s="267">
        <f>IF(ISNUMBER(AO251),AO251+N(AO252)+N(AO253)+N(AO256)+N(AO257),"")</f>
        <v>8577</v>
      </c>
      <c r="AP258" s="267">
        <f>IF(ISNUMBER(AP251),AP251+N(AP252)+N(AP253)+N(AP256)+N(AP257),"")</f>
        <v>8809</v>
      </c>
      <c r="AQ258" s="267">
        <f>IF(ISNUMBER(AQ251),AQ251+N(AQ252)+N(AQ253)+N(AQ256)+N(AQ257),"")</f>
        <v>10620</v>
      </c>
      <c r="AR258" s="267">
        <f>IF(ISNUMBER(AR251),AR251+N(AR252)+N(AR253)+N(AR256)+N(AR257),"")</f>
        <v>36830</v>
      </c>
      <c r="AS258" s="267">
        <f>IF(ISNUMBER(AS251),AS251+N(AS252)+N(AS253)+N(AS256)+N(AS257),"")</f>
        <v>10678</v>
      </c>
      <c r="AT258" s="267">
        <f>IF(ISNUMBER(AT251),AT251+N(AT252)+N(AT253)+N(AT256)+N(AT257),"")</f>
        <v>11649</v>
      </c>
      <c r="AU258" s="267">
        <f>IF(ISNUMBER(AU251),AU251+N(AU252)+N(AU253)+N(AU256)+N(AU257),"")</f>
        <v>10752</v>
      </c>
      <c r="AV258" s="267">
        <f>IF(ISNUMBER(AV251),AV251+N(AV252)+N(AV253)+N(AV256)+N(AV257),"")</f>
        <v>11202</v>
      </c>
      <c r="AW258" s="267">
        <f>IF(ISNUMBER(AW251),AW251+N(AW252)+N(AW253)+N(AW256)+N(AW257),"")</f>
        <v>44281</v>
      </c>
      <c r="AX258" s="267">
        <f>IF(ISNUMBER(AX251),AX251+N(AX252)+N(AX253)+N(AX256)+N(AX257),"")</f>
        <v>13893</v>
      </c>
      <c r="AY258" s="267">
        <f>IF(ISNUMBER(AY251),AY251+N(AY252)+N(AY253)+N(AY256)+N(AY257),"")</f>
        <v>15463</v>
      </c>
      <c r="AZ258" s="267">
        <f>IF(ISNUMBER(AZ251),AZ251+N(AZ252)+N(AZ253)+N(AZ256)+N(AZ257),"")</f>
        <v>14837</v>
      </c>
      <c r="BA258" s="267">
        <f>IF(ISNUMBER(BA251),BA251+N(BA252)+N(BA253)+N(BA256)+N(BA257),"")</f>
        <v>16458</v>
      </c>
      <c r="BB258" s="267">
        <f>IF(ISNUMBER(BB251),BB251+N(BB252)+N(BB253)+N(BB256)+N(BB257),"")</f>
        <v>60651</v>
      </c>
      <c r="BC258" s="267">
        <f>IF(ISNUMBER(BC251),BC251+N(BC252)+N(BC253)+N(BC256)+N(BC257),"")</f>
        <v>17214</v>
      </c>
      <c r="BD258" s="267">
        <f>IF(ISNUMBER(BD251),BD251+N(BD252)+N(BD253)+N(BD256)+N(BD257),"")</f>
        <v>18765</v>
      </c>
      <c r="BE258" s="267">
        <f>IF(ISNUMBER(BE251),BE251+N(BE252)+N(BE253)+N(BE256)+N(BE257),"")</f>
        <v>16728</v>
      </c>
      <c r="BF258" s="267">
        <f>IF(ISNUMBER(BF251),BF251+N(BF252)+N(BF253)+N(BF256)+N(BF257),"")</f>
        <v>16740</v>
      </c>
      <c r="BG258" s="267">
        <f>IF(ISNUMBER(BG251),BG251+N(BG252)+N(BG253)+N(BG256)+N(BG257),"")</f>
        <v>69447</v>
      </c>
      <c r="BH258" s="267">
        <f>IF(ISNUMBER(BH251),BH251+N(BH252)+N(BH253)+N(BH256)+N(BH257),"")</f>
        <v>17556</v>
      </c>
      <c r="BI258" s="267">
        <f>IF(ISNUMBER(BI251),BI251+N(BI252)+N(BI253)+N(BI256)+N(BI257),"")</f>
        <v>17371</v>
      </c>
      <c r="BJ258" s="267">
        <f>IF(ISNUMBER(BJ251),BJ251+N(BJ252)+N(BJ253)+N(BJ256)+N(BJ257),"")</f>
        <v>18299</v>
      </c>
      <c r="BK258" s="267">
        <f>IF(ISNUMBER(BK251),BK251+N(BK252)+N(BK253)+N(BK256)+N(BK257),"")</f>
        <v>20081</v>
      </c>
      <c r="BL258" s="267">
        <f>IF(ISNUMBER(BL251),BL251+N(BL252)+N(BL253)+N(BL256)+N(BL257),"")</f>
        <v>73307</v>
      </c>
      <c r="BM258" s="267">
        <f>IF(ISNUMBER(BM251),BM251+N(BM252)+N(BM253)+N(BM256)+N(BM257),"")</f>
        <v>22291</v>
      </c>
      <c r="BN258" s="267">
        <f>IF(ISNUMBER(BN251),BN251+N(BN252)+N(BN253)+N(BN256)+N(BN257),"")</f>
        <v>21870</v>
      </c>
      <c r="BO258" s="267">
        <f>IF(ISNUMBER(BO251),BO251+N(BO252)+N(BO253)+N(BO256)+N(BO257),"")</f>
        <v>21939</v>
      </c>
      <c r="BP258" s="267">
        <f>IF(ISNUMBER(BP251),BP251+N(BP252)+N(BP253)+N(BP256)+N(BP257),"")</f>
        <v>22036</v>
      </c>
      <c r="BQ258" s="267">
        <f>IF(ISNUMBER(BQ251),BQ251+N(BQ252)+N(BQ253)+N(BQ256)+N(BQ257),"")</f>
        <v>88136</v>
      </c>
      <c r="BR258" s="267">
        <f>IF(ISNUMBER(BR251),BR251+N(BR252)+N(BR253)+N(BR256)+N(BR257),"")</f>
        <v>25190</v>
      </c>
      <c r="BS258" s="267">
        <f>IF(ISNUMBER(BS251),BS251+N(BS252)+N(BS253)+N(BS256)+N(BS257),"")</f>
        <v>25047</v>
      </c>
      <c r="BT258" s="267">
        <f>IF(ISNUMBER(BT251),BT251+N(BT252)+N(BT253)+N(BT256)+N(BT257),"")</f>
        <v>26407</v>
      </c>
      <c r="BU258" s="267">
        <f>IF(ISNUMBER(BU251),BU251+N(BU252)+N(BU253)+N(BU256)+N(BU257),"")</f>
        <v>28808</v>
      </c>
      <c r="BV258" s="267">
        <f>IF(ISNUMBER(BV251),BV251+N(BV252)+N(BV253)+N(BV256)+N(BV257),"")</f>
        <v>105452</v>
      </c>
      <c r="BW258" s="267">
        <f>IF(ISNUMBER(BW251),BW251+N(BW252)+N(BW253)+N(BW256)+N(BW257),"")</f>
        <v>30833</v>
      </c>
      <c r="BX258" s="267">
        <f>IF(ISNUMBER(BX251),BX251+N(BX252)+N(BX253)+N(BX256)+N(BX257),"")</f>
        <v>30875</v>
      </c>
      <c r="BY258" s="267">
        <f>IF(ISNUMBER(BY251),BY251+N(BY252)+N(BY253)+N(BY256)+N(BY257),"")</f>
        <v>31792</v>
      </c>
      <c r="BZ258" s="267">
        <f>IF(ISNUMBER(BZ251),BZ251+N(BZ252)+N(BZ253)+N(BZ256)+N(BZ257),"")</f>
        <v>35286</v>
      </c>
      <c r="CA258" s="267">
        <f>IF(ISNUMBER(CA251),CA251+N(CA252)+N(CA253)+N(CA256)+N(CA257),"")</f>
        <v>128786</v>
      </c>
      <c r="CB258" s="267">
        <f>IF(ISNUMBER(CB251),CB251+N(CB252)+N(CB253)+N(CB256)+N(CB257),"")</f>
        <v>35000</v>
      </c>
      <c r="CC258" s="267">
        <f>IF(ISNUMBER(CC251),CC251+N(CC252)+N(CC253)+N(CC256)+N(CC257),"")</f>
        <v>35396.7556428164</v>
      </c>
      <c r="CD258" s="267">
        <f>IF(ISNUMBER(CD251),CD251+N(CD252)+N(CD253)+N(CD256)+N(CD257),"")</f>
        <v>35689.5570676312</v>
      </c>
      <c r="CE258" s="267">
        <f>IF(ISNUMBER(CE251),CE251+N(CE252)+N(CE253)+N(CE256)+N(CE257),"")</f>
        <v>37994.5949681761</v>
      </c>
      <c r="CF258" s="267">
        <f>IF(ISNUMBER(CF251),CF251+N(CF252)+N(CF253)+N(CF256)+N(CF257),"")</f>
        <v>144080.907678624</v>
      </c>
      <c r="CG258" s="267">
        <f>IF(ISNUMBER(CG251),CG251+N(CG252)+N(CG253)+N(CG256)+N(CG257),"")</f>
        <v>162330.111225069</v>
      </c>
      <c r="CH258" s="267">
        <f>IF(ISNUMBER(CH251),CH251+N(CH252)+N(CH253)+N(CH256)+N(CH257),"")</f>
        <v>186079.805839007</v>
      </c>
      <c r="CI258" s="267">
        <f>IF(ISNUMBER(CI251),CI251+N(CI252)+N(CI253)+N(CI256)+N(CI257),"")</f>
        <v>214296.710383296</v>
      </c>
      <c r="CJ258" s="267">
        <f>IF(ISNUMBER(CJ251),CJ251+N(CJ252)+N(CJ253)+N(CJ256)+N(CJ257),"")</f>
        <v>243062.900482427</v>
      </c>
      <c r="CK258" s="153" t="n"/>
      <c r="CM258" s="20">
        <f>IFERROR((CJ258/CA258)^(1/5)-1,"n/m")</f>
        <v>0.135455201920234</v>
      </c>
      <c r="CN258" s="20">
        <f>IFERROR((CA258/BB258)^(1/5)-1,"n/m")</f>
        <v>0.162535269951077</v>
      </c>
      <c r="CO258" s="20">
        <f>IFERROR((CA258/AC258)^(1/10)-1,"n/m")</f>
        <v>0.191521499656866</v>
      </c>
      <c r="CP258" s="20">
        <f>IFERROR((CA258/C258)^(1/20)-1,"n/m")</f>
        <v>0.123250521582334</v>
      </c>
    </row>
    <row r="259" ht="15" customHeight="1" s="251">
      <c r="B259" s="156" t="inlineStr">
        <is>
          <t xml:space="preserve">  Company-published adjusted net income</t>
        </is>
      </c>
      <c r="C259" s="34" t="n"/>
      <c r="D259" s="34" t="n"/>
      <c r="E259" s="34" t="n"/>
      <c r="F259" s="34" t="n"/>
      <c r="G259" s="34" t="n"/>
      <c r="H259" s="34" t="n"/>
      <c r="I259" s="34" t="n"/>
      <c r="J259" s="34" t="n"/>
      <c r="K259" s="34" t="n"/>
      <c r="L259" s="34" t="n"/>
      <c r="M259" s="34" t="n"/>
      <c r="N259" s="34" t="n"/>
      <c r="O259" s="34" t="n"/>
      <c r="P259" s="253" t="n">
        <v>6558</v>
      </c>
      <c r="Q259" s="253" t="n">
        <v>5660</v>
      </c>
      <c r="R259" s="253" t="n">
        <v>4612</v>
      </c>
      <c r="S259" s="253" t="n">
        <v>22074</v>
      </c>
      <c r="T259" s="253" t="n">
        <v>5449</v>
      </c>
      <c r="U259" s="253" t="n">
        <v>5790</v>
      </c>
      <c r="V259" s="253" t="n">
        <v>5104</v>
      </c>
      <c r="W259" s="253" t="n">
        <v>5067</v>
      </c>
      <c r="X259" s="253" t="n">
        <v>21687</v>
      </c>
      <c r="Y259" s="253" t="n">
        <v>5380</v>
      </c>
      <c r="Z259" s="253" t="n">
        <v>6275</v>
      </c>
      <c r="AA259" s="253" t="n">
        <v>4973</v>
      </c>
      <c r="AB259" s="253" t="n">
        <v>5484</v>
      </c>
      <c r="AC259" s="253" t="n">
        <v>22328</v>
      </c>
      <c r="AD259" s="253" t="n">
        <v>5989</v>
      </c>
      <c r="AE259" s="253" t="n">
        <v>6515</v>
      </c>
      <c r="AF259" s="253" t="n">
        <v>5715</v>
      </c>
      <c r="AG259" s="253" t="n">
        <v>7665</v>
      </c>
      <c r="AH259" s="253" t="n">
        <v>25884</v>
      </c>
      <c r="AI259" s="253" t="n">
        <v>6576</v>
      </c>
      <c r="AJ259" s="253" t="n">
        <v>7498</v>
      </c>
      <c r="AK259" s="253" t="n">
        <v>7424</v>
      </c>
      <c r="AL259" s="253" t="n">
        <v>8769</v>
      </c>
      <c r="AM259" s="253" t="n">
        <v>30267</v>
      </c>
      <c r="AN259" s="253" t="n">
        <v>8824</v>
      </c>
      <c r="AO259" s="253" t="n">
        <v>8577</v>
      </c>
      <c r="AP259" s="253" t="n">
        <v>8809</v>
      </c>
      <c r="AQ259" s="253" t="n">
        <v>10620</v>
      </c>
      <c r="AR259" s="253" t="n">
        <v>36830</v>
      </c>
      <c r="AS259" s="253" t="n">
        <v>10678</v>
      </c>
      <c r="AT259" s="253" t="n">
        <v>11649</v>
      </c>
      <c r="AU259" s="253" t="n">
        <v>10752</v>
      </c>
      <c r="AV259" s="253" t="n">
        <v>11202</v>
      </c>
      <c r="AW259" s="253" t="n">
        <v>44281</v>
      </c>
      <c r="AX259" s="253" t="n">
        <v>13893</v>
      </c>
      <c r="AY259" s="253" t="n">
        <v>15463</v>
      </c>
      <c r="AZ259" s="253" t="n">
        <v>14837</v>
      </c>
      <c r="BA259" s="253" t="n">
        <v>16458</v>
      </c>
      <c r="BB259" s="253" t="n">
        <v>60651</v>
      </c>
      <c r="BC259" s="253" t="n">
        <v>17214</v>
      </c>
      <c r="BD259" s="253" t="n">
        <v>18765</v>
      </c>
      <c r="BE259" s="253" t="n">
        <v>16728</v>
      </c>
      <c r="BF259" s="253" t="n">
        <v>16740</v>
      </c>
      <c r="BG259" s="253" t="n">
        <v>69447</v>
      </c>
      <c r="BH259" s="253" t="n">
        <v>17556</v>
      </c>
      <c r="BI259" s="253" t="n">
        <v>17371</v>
      </c>
      <c r="BJ259" s="253" t="n">
        <v>18299</v>
      </c>
      <c r="BK259" s="253" t="n">
        <v>20081</v>
      </c>
      <c r="BL259" s="253" t="n">
        <v>73307</v>
      </c>
      <c r="BM259" s="253" t="n">
        <v>22291</v>
      </c>
      <c r="BN259" s="253" t="n">
        <v>21870</v>
      </c>
      <c r="BO259" s="253" t="n">
        <v>21939</v>
      </c>
      <c r="BP259" s="253" t="n">
        <v>22036</v>
      </c>
      <c r="BQ259" s="253" t="n">
        <v>88136</v>
      </c>
      <c r="BR259" s="253" t="n">
        <v>25190</v>
      </c>
      <c r="BS259" s="253" t="n">
        <v>25047</v>
      </c>
      <c r="BT259" s="253" t="n">
        <v>26407</v>
      </c>
      <c r="BU259" s="253" t="n">
        <v>28808</v>
      </c>
      <c r="BV259" s="253" t="n">
        <v>105452</v>
      </c>
      <c r="BW259" s="253" t="n">
        <v>30833</v>
      </c>
      <c r="BX259" s="253" t="n">
        <v>30875</v>
      </c>
      <c r="BY259" s="253" t="n">
        <v>31792</v>
      </c>
      <c r="BZ259" s="253" t="n">
        <v>35286</v>
      </c>
      <c r="CA259" s="253" t="n">
        <v>128786</v>
      </c>
      <c r="CB259" s="153" t="n"/>
      <c r="CC259" s="153" t="n"/>
      <c r="CD259" s="153" t="n"/>
      <c r="CE259" s="153" t="n"/>
      <c r="CF259" s="153" t="n"/>
      <c r="CG259" s="153" t="n"/>
      <c r="CH259" s="153" t="n"/>
      <c r="CI259" s="153" t="n"/>
      <c r="CJ259" s="153" t="n"/>
      <c r="CK259" s="153" t="n"/>
    </row>
    <row r="260" ht="15" customHeight="1" s="251">
      <c r="B260" s="57" t="inlineStr">
        <is>
          <t xml:space="preserve">  Check: model vs company-published adjusted net income (should be 0)</t>
        </is>
      </c>
      <c r="C260" s="211" t="str">
        <f>IF(ISNUMBER(C259),IF(ABS(C258-C259)&lt;=1,0,ROUND(C258-C259,0)),"n/p")</f>
        <v>n/p</v>
      </c>
      <c r="D260" s="211" t="str">
        <f>IF(ISNUMBER(D259),IF(ABS(D258-D259)&lt;=1,0,ROUND(D258-D259,0)),"n/p")</f>
        <v>n/p</v>
      </c>
      <c r="E260" s="211" t="str">
        <f>IF(ISNUMBER(E259),IF(ABS(E258-E259)&lt;=1,0,ROUND(E258-E259,0)),"n/p")</f>
        <v>n/p</v>
      </c>
      <c r="F260" s="211" t="str">
        <f>IF(ISNUMBER(F259),IF(ABS(F258-F259)&lt;=1,0,ROUND(F258-F259,0)),"n/p")</f>
        <v>n/p</v>
      </c>
      <c r="G260" s="211" t="str">
        <f>IF(ISNUMBER(G259),IF(ABS(G258-G259)&lt;=1,0,ROUND(G258-G259,0)),"n/p")</f>
        <v>n/p</v>
      </c>
      <c r="H260" s="211" t="str">
        <f>IF(ISNUMBER(H259),IF(ABS(H258-H259)&lt;=1,0,ROUND(H258-H259,0)),"n/p")</f>
        <v>n/p</v>
      </c>
      <c r="I260" s="211" t="str">
        <f>IF(ISNUMBER(I259),IF(ABS(I258-I259)&lt;=1,0,ROUND(I258-I259,0)),"n/p")</f>
        <v>n/p</v>
      </c>
      <c r="J260" s="211" t="str">
        <f>IF(ISNUMBER(J259),IF(ABS(J258-J259)&lt;=1,0,ROUND(J258-J259,0)),"n/p")</f>
        <v>n/p</v>
      </c>
      <c r="K260" s="211" t="str">
        <f>IF(ISNUMBER(K259),IF(ABS(K258-K259)&lt;=1,0,ROUND(K258-K259,0)),"n/p")</f>
        <v>n/p</v>
      </c>
      <c r="L260" s="211" t="str">
        <f>IF(ISNUMBER(L259),IF(ABS(L258-L259)&lt;=1,0,ROUND(L258-L259,0)),"n/p")</f>
        <v>n/p</v>
      </c>
      <c r="M260" s="211" t="str">
        <f>IF(ISNUMBER(M259),IF(ABS(M258-M259)&lt;=1,0,ROUND(M258-M259,0)),"n/p")</f>
        <v>n/p</v>
      </c>
      <c r="N260" s="211" t="str">
        <f>IF(ISNUMBER(N259),IF(ABS(N258-N259)&lt;=1,0,ROUND(N258-N259,0)),"n/p")</f>
        <v>n/p</v>
      </c>
      <c r="O260" s="211" t="str">
        <f>IF(ISNUMBER(O259),IF(ABS(O258-O259)&lt;=1,0,ROUND(O258-O259,0)),"n/p")</f>
        <v>n/p</v>
      </c>
      <c r="P260" s="211">
        <f>IF(ISNUMBER(P259),IF(ABS(P258-P259)&lt;=1,0,ROUND(P258-P259,0)),"n/p")</f>
        <v>0</v>
      </c>
      <c r="Q260" s="211">
        <f>IF(ISNUMBER(Q259),IF(ABS(Q258-Q259)&lt;=1,0,ROUND(Q258-Q259,0)),"n/p")</f>
        <v>0</v>
      </c>
      <c r="R260" s="211">
        <f>IF(ISNUMBER(R259),IF(ABS(R258-R259)&lt;=1,0,ROUND(R258-R259,0)),"n/p")</f>
        <v>0</v>
      </c>
      <c r="S260" s="211">
        <f>IF(ISNUMBER(S259),IF(ABS(S258-S259)&lt;=1,0,ROUND(S258-S259,0)),"n/p")</f>
        <v>0</v>
      </c>
      <c r="T260" s="211">
        <f>IF(ISNUMBER(T259),IF(ABS(T258-T259)&lt;=1,0,ROUND(T258-T259,0)),"n/p")</f>
        <v>0</v>
      </c>
      <c r="U260" s="211">
        <f>IF(ISNUMBER(U259),IF(ABS(U258-U259)&lt;=1,0,ROUND(U258-U259,0)),"n/p")</f>
        <v>0</v>
      </c>
      <c r="V260" s="211">
        <f>IF(ISNUMBER(V259),IF(ABS(V258-V259)&lt;=1,0,ROUND(V258-V259,0)),"n/p")</f>
        <v>0</v>
      </c>
      <c r="W260" s="211">
        <f>IF(ISNUMBER(W259),IF(ABS(W258-W259)&lt;=1,0,ROUND(W258-W259,0)),"n/p")</f>
        <v>0</v>
      </c>
      <c r="X260" s="211">
        <f>IF(ISNUMBER(X259),IF(ABS(X258-X259)&lt;=1,0,ROUND(X258-X259,0)),"n/p")</f>
        <v>0</v>
      </c>
      <c r="Y260" s="211">
        <f>IF(ISNUMBER(Y259),IF(ABS(Y258-Y259)&lt;=1,0,ROUND(Y258-Y259,0)),"n/p")</f>
        <v>0</v>
      </c>
      <c r="Z260" s="211">
        <f>IF(ISNUMBER(Z259),IF(ABS(Z258-Z259)&lt;=1,0,ROUND(Z258-Z259,0)),"n/p")</f>
        <v>0</v>
      </c>
      <c r="AA260" s="211">
        <f>IF(ISNUMBER(AA259),IF(ABS(AA258-AA259)&lt;=1,0,ROUND(AA258-AA259,0)),"n/p")</f>
        <v>0</v>
      </c>
      <c r="AB260" s="211">
        <f>IF(ISNUMBER(AB259),IF(ABS(AB258-AB259)&lt;=1,0,ROUND(AB258-AB259,0)),"n/p")</f>
        <v>0</v>
      </c>
      <c r="AC260" s="211">
        <f>IF(ISNUMBER(AC259),IF(ABS(AC258-AC259)&lt;=1,0,ROUND(AC258-AC259,0)),"n/p")</f>
        <v>0</v>
      </c>
      <c r="AD260" s="211">
        <f>IF(ISNUMBER(AD259),IF(ABS(AD258-AD259)&lt;=1,0,ROUND(AD258-AD259,0)),"n/p")</f>
        <v>0</v>
      </c>
      <c r="AE260" s="211">
        <f>IF(ISNUMBER(AE259),IF(ABS(AE258-AE259)&lt;=1,0,ROUND(AE258-AE259,0)),"n/p")</f>
        <v>0</v>
      </c>
      <c r="AF260" s="211">
        <f>IF(ISNUMBER(AF259),IF(ABS(AF258-AF259)&lt;=1,0,ROUND(AF258-AF259,0)),"n/p")</f>
        <v>0</v>
      </c>
      <c r="AG260" s="211">
        <f>IF(ISNUMBER(AG259),IF(ABS(AG258-AG259)&lt;=1,0,ROUND(AG258-AG259,0)),"n/p")</f>
        <v>0</v>
      </c>
      <c r="AH260" s="211">
        <f>IF(ISNUMBER(AH259),IF(ABS(AH258-AH259)&lt;=1,0,ROUND(AH258-AH259,0)),"n/p")</f>
        <v>0</v>
      </c>
      <c r="AI260" s="211">
        <f>IF(ISNUMBER(AI259),IF(ABS(AI258-AI259)&lt;=1,0,ROUND(AI258-AI259,0)),"n/p")</f>
        <v>0</v>
      </c>
      <c r="AJ260" s="211">
        <f>IF(ISNUMBER(AJ259),IF(ABS(AJ258-AJ259)&lt;=1,0,ROUND(AJ258-AJ259,0)),"n/p")</f>
        <v>0</v>
      </c>
      <c r="AK260" s="211">
        <f>IF(ISNUMBER(AK259),IF(ABS(AK258-AK259)&lt;=1,0,ROUND(AK258-AK259,0)),"n/p")</f>
        <v>0</v>
      </c>
      <c r="AL260" s="211">
        <f>IF(ISNUMBER(AL259),IF(ABS(AL258-AL259)&lt;=1,0,ROUND(AL258-AL259,0)),"n/p")</f>
        <v>0</v>
      </c>
      <c r="AM260" s="211">
        <f>IF(ISNUMBER(AM259),IF(ABS(AM258-AM259)&lt;=1,0,ROUND(AM258-AM259,0)),"n/p")</f>
        <v>0</v>
      </c>
      <c r="AN260" s="211">
        <f>IF(ISNUMBER(AN259),IF(ABS(AN258-AN259)&lt;=1,0,ROUND(AN258-AN259,0)),"n/p")</f>
        <v>0</v>
      </c>
      <c r="AO260" s="211">
        <f>IF(ISNUMBER(AO259),IF(ABS(AO258-AO259)&lt;=1,0,ROUND(AO258-AO259,0)),"n/p")</f>
        <v>0</v>
      </c>
      <c r="AP260" s="211">
        <f>IF(ISNUMBER(AP259),IF(ABS(AP258-AP259)&lt;=1,0,ROUND(AP258-AP259,0)),"n/p")</f>
        <v>0</v>
      </c>
      <c r="AQ260" s="211">
        <f>IF(ISNUMBER(AQ259),IF(ABS(AQ258-AQ259)&lt;=1,0,ROUND(AQ258-AQ259,0)),"n/p")</f>
        <v>0</v>
      </c>
      <c r="AR260" s="211">
        <f>IF(ISNUMBER(AR259),IF(ABS(AR258-AR259)&lt;=1,0,ROUND(AR258-AR259,0)),"n/p")</f>
        <v>0</v>
      </c>
      <c r="AS260" s="211">
        <f>IF(ISNUMBER(AS259),IF(ABS(AS258-AS259)&lt;=1,0,ROUND(AS258-AS259,0)),"n/p")</f>
        <v>0</v>
      </c>
      <c r="AT260" s="211">
        <f>IF(ISNUMBER(AT259),IF(ABS(AT258-AT259)&lt;=1,0,ROUND(AT258-AT259,0)),"n/p")</f>
        <v>0</v>
      </c>
      <c r="AU260" s="211">
        <f>IF(ISNUMBER(AU259),IF(ABS(AU258-AU259)&lt;=1,0,ROUND(AU258-AU259,0)),"n/p")</f>
        <v>0</v>
      </c>
      <c r="AV260" s="211">
        <f>IF(ISNUMBER(AV259),IF(ABS(AV258-AV259)&lt;=1,0,ROUND(AV258-AV259,0)),"n/p")</f>
        <v>0</v>
      </c>
      <c r="AW260" s="211">
        <f>IF(ISNUMBER(AW259),IF(ABS(AW258-AW259)&lt;=1,0,ROUND(AW258-AW259,0)),"n/p")</f>
        <v>0</v>
      </c>
      <c r="AX260" s="211">
        <f>IF(ISNUMBER(AX259),IF(ABS(AX258-AX259)&lt;=1,0,ROUND(AX258-AX259,0)),"n/p")</f>
        <v>0</v>
      </c>
      <c r="AY260" s="211">
        <f>IF(ISNUMBER(AY259),IF(ABS(AY258-AY259)&lt;=1,0,ROUND(AY258-AY259,0)),"n/p")</f>
        <v>0</v>
      </c>
      <c r="AZ260" s="211">
        <f>IF(ISNUMBER(AZ259),IF(ABS(AZ258-AZ259)&lt;=1,0,ROUND(AZ258-AZ259,0)),"n/p")</f>
        <v>0</v>
      </c>
      <c r="BA260" s="211">
        <f>IF(ISNUMBER(BA259),IF(ABS(BA258-BA259)&lt;=1,0,ROUND(BA258-BA259,0)),"n/p")</f>
        <v>0</v>
      </c>
      <c r="BB260" s="211">
        <f>IF(ISNUMBER(BB259),IF(ABS(BB258-BB259)&lt;=1,0,ROUND(BB258-BB259,0)),"n/p")</f>
        <v>0</v>
      </c>
      <c r="BC260" s="211">
        <f>IF(ISNUMBER(BC259),IF(ABS(BC258-BC259)&lt;=1,0,ROUND(BC258-BC259,0)),"n/p")</f>
        <v>0</v>
      </c>
      <c r="BD260" s="211">
        <f>IF(ISNUMBER(BD259),IF(ABS(BD258-BD259)&lt;=1,0,ROUND(BD258-BD259,0)),"n/p")</f>
        <v>0</v>
      </c>
      <c r="BE260" s="211">
        <f>IF(ISNUMBER(BE259),IF(ABS(BE258-BE259)&lt;=1,0,ROUND(BE258-BE259,0)),"n/p")</f>
        <v>0</v>
      </c>
      <c r="BF260" s="211">
        <f>IF(ISNUMBER(BF259),IF(ABS(BF258-BF259)&lt;=1,0,ROUND(BF258-BF259,0)),"n/p")</f>
        <v>0</v>
      </c>
      <c r="BG260" s="211">
        <f>IF(ISNUMBER(BG259),IF(ABS(BG258-BG259)&lt;=1,0,ROUND(BG258-BG259,0)),"n/p")</f>
        <v>0</v>
      </c>
      <c r="BH260" s="211">
        <f>IF(ISNUMBER(BH259),IF(ABS(BH258-BH259)&lt;=1,0,ROUND(BH258-BH259,0)),"n/p")</f>
        <v>0</v>
      </c>
      <c r="BI260" s="211">
        <f>IF(ISNUMBER(BI259),IF(ABS(BI258-BI259)&lt;=1,0,ROUND(BI258-BI259,0)),"n/p")</f>
        <v>0</v>
      </c>
      <c r="BJ260" s="211">
        <f>IF(ISNUMBER(BJ259),IF(ABS(BJ258-BJ259)&lt;=1,0,ROUND(BJ258-BJ259,0)),"n/p")</f>
        <v>0</v>
      </c>
      <c r="BK260" s="211">
        <f>IF(ISNUMBER(BK259),IF(ABS(BK258-BK259)&lt;=1,0,ROUND(BK258-BK259,0)),"n/p")</f>
        <v>0</v>
      </c>
      <c r="BL260" s="211">
        <f>IF(ISNUMBER(BL259),IF(ABS(BL258-BL259)&lt;=1,0,ROUND(BL258-BL259,0)),"n/p")</f>
        <v>0</v>
      </c>
      <c r="BM260" s="211">
        <f>IF(ISNUMBER(BM259),IF(ABS(BM258-BM259)&lt;=1,0,ROUND(BM258-BM259,0)),"n/p")</f>
        <v>0</v>
      </c>
      <c r="BN260" s="211">
        <f>IF(ISNUMBER(BN259),IF(ABS(BN258-BN259)&lt;=1,0,ROUND(BN258-BN259,0)),"n/p")</f>
        <v>0</v>
      </c>
      <c r="BO260" s="211">
        <f>IF(ISNUMBER(BO259),IF(ABS(BO258-BO259)&lt;=1,0,ROUND(BO258-BO259,0)),"n/p")</f>
        <v>0</v>
      </c>
      <c r="BP260" s="211">
        <f>IF(ISNUMBER(BP259),IF(ABS(BP258-BP259)&lt;=1,0,ROUND(BP258-BP259,0)),"n/p")</f>
        <v>0</v>
      </c>
      <c r="BQ260" s="211">
        <f>IF(ISNUMBER(BQ259),IF(ABS(BQ258-BQ259)&lt;=1,0,ROUND(BQ258-BQ259,0)),"n/p")</f>
        <v>0</v>
      </c>
      <c r="BR260" s="211">
        <f>IF(ISNUMBER(BR259),IF(ABS(BR258-BR259)&lt;=1,0,ROUND(BR258-BR259,0)),"n/p")</f>
        <v>0</v>
      </c>
      <c r="BS260" s="211">
        <f>IF(ISNUMBER(BS259),IF(ABS(BS258-BS259)&lt;=1,0,ROUND(BS258-BS259,0)),"n/p")</f>
        <v>0</v>
      </c>
      <c r="BT260" s="211">
        <f>IF(ISNUMBER(BT259),IF(ABS(BT258-BT259)&lt;=1,0,ROUND(BT258-BT259,0)),"n/p")</f>
        <v>0</v>
      </c>
      <c r="BU260" s="211">
        <f>IF(ISNUMBER(BU259),IF(ABS(BU258-BU259)&lt;=1,0,ROUND(BU258-BU259,0)),"n/p")</f>
        <v>0</v>
      </c>
      <c r="BV260" s="211">
        <f>IF(ISNUMBER(BV259),IF(ABS(BV258-BV259)&lt;=1,0,ROUND(BV258-BV259,0)),"n/p")</f>
        <v>0</v>
      </c>
      <c r="BW260" s="211">
        <f>IF(ISNUMBER(BW259),IF(ABS(BW258-BW259)&lt;=1,0,ROUND(BW258-BW259,0)),"n/p")</f>
        <v>0</v>
      </c>
      <c r="BX260" s="211">
        <f>IF(ISNUMBER(BX259),IF(ABS(BX258-BX259)&lt;=1,0,ROUND(BX258-BX259,0)),"n/p")</f>
        <v>0</v>
      </c>
      <c r="BY260" s="211">
        <f>IF(ISNUMBER(BY259),IF(ABS(BY258-BY259)&lt;=1,0,ROUND(BY258-BY259,0)),"n/p")</f>
        <v>0</v>
      </c>
      <c r="BZ260" s="211">
        <f>IF(ISNUMBER(BZ259),IF(ABS(BZ258-BZ259)&lt;=1,0,ROUND(BZ258-BZ259,0)),"n/p")</f>
        <v>0</v>
      </c>
      <c r="CA260" s="211">
        <f>IF(ISNUMBER(CA259),IF(ABS(CA258-CA259)&lt;=1,0,ROUND(CA258-CA259,0)),"n/p")</f>
        <v>0</v>
      </c>
      <c r="CB260" s="153" t="n"/>
      <c r="CC260" s="153" t="n"/>
      <c r="CD260" s="153" t="n"/>
      <c r="CE260" s="153" t="n"/>
      <c r="CF260" s="153" t="n"/>
      <c r="CG260" s="153" t="n"/>
      <c r="CH260" s="153" t="n"/>
      <c r="CI260" s="153" t="n"/>
      <c r="CJ260" s="153" t="n"/>
      <c r="CK260" s="153" t="n"/>
    </row>
    <row r="261" ht="15" customHeight="1" s="251">
      <c r="B261" s="25" t="inlineStr">
        <is>
          <t xml:space="preserve">  Weighted-average diluted shares (m)</t>
        </is>
      </c>
      <c r="C261" s="211">
        <f>IF(ISNUMBER(C208),C208,"")</f>
        <v>10531</v>
      </c>
      <c r="D261" s="211">
        <f>IF(ISNUMBER(D208),D208,"")</f>
        <v>9886</v>
      </c>
      <c r="E261" s="211">
        <f>IF(ISNUMBER(E208),E208,"")</f>
        <v>9470</v>
      </c>
      <c r="F261" s="211">
        <f>IF(ISNUMBER(F208),F208,"")</f>
        <v>8996</v>
      </c>
      <c r="G261" s="211">
        <f>IF(ISNUMBER(G208),G208,"")</f>
        <v>8927</v>
      </c>
      <c r="H261" s="211">
        <f>IF(ISNUMBER(H208),H208,"")</f>
        <v>8593</v>
      </c>
      <c r="I261" s="211">
        <f>IF(ISNUMBER(I208),I208,"")</f>
        <v>8506</v>
      </c>
      <c r="J261" s="211">
        <f>IF(ISNUMBER(J208),J208,"")</f>
        <v>8494</v>
      </c>
      <c r="K261" s="211">
        <f>IF(ISNUMBER(K208),K208,"")</f>
        <v>8444</v>
      </c>
      <c r="L261" s="211">
        <f>IF(ISNUMBER(L208),L208,"")</f>
        <v>8429</v>
      </c>
      <c r="M261" s="211">
        <f>IF(ISNUMBER(M208),M208,"")</f>
        <v>8442</v>
      </c>
      <c r="N261" s="211">
        <f>IF(ISNUMBER(N208),N208,"")</f>
        <v>8470</v>
      </c>
      <c r="O261" s="211">
        <f>IF(ISNUMBER(O208),O208,"")</f>
        <v>8434</v>
      </c>
      <c r="P261" s="211">
        <f>IF(ISNUMBER(P208),P208,"")</f>
        <v>8395</v>
      </c>
      <c r="Q261" s="211">
        <f>IF(ISNUMBER(Q208),Q208,"")</f>
        <v>8367</v>
      </c>
      <c r="R261" s="211">
        <f>IF(ISNUMBER(R208),R208,"")</f>
        <v>8345</v>
      </c>
      <c r="S261" s="211">
        <f>IF(ISNUMBER(S208),S208,"")</f>
        <v>8399</v>
      </c>
      <c r="T261" s="211">
        <f>IF(ISNUMBER(T208),T208,"")</f>
        <v>8351</v>
      </c>
      <c r="U261" s="211">
        <f>IF(ISNUMBER(U208),U208,"")</f>
        <v>8297</v>
      </c>
      <c r="V261" s="211">
        <f>IF(ISNUMBER(V208),V208,"")</f>
        <v>8237</v>
      </c>
      <c r="W261" s="211">
        <f>IF(ISNUMBER(W208),W208,"")</f>
        <v>8061</v>
      </c>
      <c r="X261" s="211">
        <f>IF(ISNUMBER(X208),X208,"")</f>
        <v>8254</v>
      </c>
      <c r="Y261" s="211">
        <f>IF(ISNUMBER(Y208),Y208,"")</f>
        <v>8066</v>
      </c>
      <c r="Z261" s="211">
        <f>IF(ISNUMBER(Z208),Z208,"")</f>
        <v>8028</v>
      </c>
      <c r="AA261" s="211">
        <f>IF(ISNUMBER(AA208),AA208,"")</f>
        <v>7985</v>
      </c>
      <c r="AB261" s="211">
        <f>IF(ISNUMBER(AB208),AB208,"")</f>
        <v>7929</v>
      </c>
      <c r="AC261" s="211">
        <f>IF(ISNUMBER(AC208),AC208,"")</f>
        <v>8013</v>
      </c>
      <c r="AD261" s="211">
        <f>IF(ISNUMBER(AD208),AD208,"")</f>
        <v>7876</v>
      </c>
      <c r="AE261" s="211">
        <f>IF(ISNUMBER(AE208),AE208,"")</f>
        <v>7830</v>
      </c>
      <c r="AF261" s="211">
        <f>IF(ISNUMBER(AF208),AF208,"")</f>
        <v>7813</v>
      </c>
      <c r="AG261" s="211">
        <f>IF(ISNUMBER(AG208),AG208,"")</f>
        <v>7806</v>
      </c>
      <c r="AH261" s="211">
        <f>IF(ISNUMBER(AH208),AH208,"")</f>
        <v>7832</v>
      </c>
      <c r="AI261" s="211">
        <f>IF(ISNUMBER(AI208),AI208,"")</f>
        <v>7799</v>
      </c>
      <c r="AJ261" s="211">
        <f>IF(ISNUMBER(AJ208),AJ208,"")</f>
        <v>7710</v>
      </c>
      <c r="AK261" s="211">
        <f>IF(ISNUMBER(AK208),AK208,"")</f>
        <v>7794</v>
      </c>
      <c r="AL261" s="211">
        <f>IF(ISNUMBER(AL208),AL208,"")</f>
        <v>7775</v>
      </c>
      <c r="AM261" s="211">
        <f>IF(ISNUMBER(AM208),AM208,"")</f>
        <v>7794</v>
      </c>
      <c r="AN261" s="211">
        <f>IF(ISNUMBER(AN208),AN208,"")</f>
        <v>7766</v>
      </c>
      <c r="AO261" s="211">
        <f>IF(ISNUMBER(AO208),AO208,"")</f>
        <v>7768</v>
      </c>
      <c r="AP261" s="211">
        <f>IF(ISNUMBER(AP208),AP208,"")</f>
        <v>7744</v>
      </c>
      <c r="AQ261" s="211">
        <f>IF(ISNUMBER(AQ208),AQ208,"")</f>
        <v>7730</v>
      </c>
      <c r="AR261" s="211">
        <f>IF(ISNUMBER(AR208),AR208,"")</f>
        <v>7753</v>
      </c>
      <c r="AS261" s="211">
        <f>IF(ISNUMBER(AS208),AS208,"")</f>
        <v>7710</v>
      </c>
      <c r="AT261" s="211">
        <f>IF(ISNUMBER(AT208),AT208,"")</f>
        <v>7691</v>
      </c>
      <c r="AU261" s="211">
        <f>IF(ISNUMBER(AU208),AU208,"")</f>
        <v>7675</v>
      </c>
      <c r="AV261" s="211">
        <f>IF(ISNUMBER(AV208),AV208,"")</f>
        <v>7650</v>
      </c>
      <c r="AW261" s="211">
        <f>IF(ISNUMBER(AW208),AW208,"")</f>
        <v>7683</v>
      </c>
      <c r="AX261" s="211">
        <f>IF(ISNUMBER(AX208),AX208,"")</f>
        <v>7637</v>
      </c>
      <c r="AY261" s="211">
        <f>IF(ISNUMBER(AY208),AY208,"")</f>
        <v>7616</v>
      </c>
      <c r="AZ261" s="211">
        <f>IF(ISNUMBER(AZ208),AZ208,"")</f>
        <v>7597</v>
      </c>
      <c r="BA261" s="211">
        <f>IF(ISNUMBER(BA208),BA208,"")</f>
        <v>7581</v>
      </c>
      <c r="BB261" s="211">
        <f>IF(ISNUMBER(BB208),BB208,"")</f>
        <v>7608</v>
      </c>
      <c r="BC261" s="211">
        <f>IF(ISNUMBER(BC208),BC208,"")</f>
        <v>7567</v>
      </c>
      <c r="BD261" s="211">
        <f>IF(ISNUMBER(BD208),BD208,"")</f>
        <v>7555</v>
      </c>
      <c r="BE261" s="211">
        <f>IF(ISNUMBER(BE208),BE208,"")</f>
        <v>7534</v>
      </c>
      <c r="BF261" s="211">
        <f>IF(ISNUMBER(BF208),BF208,"")</f>
        <v>7506</v>
      </c>
      <c r="BG261" s="211">
        <f>IF(ISNUMBER(BG208),BG208,"")</f>
        <v>7540</v>
      </c>
      <c r="BH261" s="211">
        <f>IF(ISNUMBER(BH208),BH208,"")</f>
        <v>7485</v>
      </c>
      <c r="BI261" s="211">
        <f>IF(ISNUMBER(BI208),BI208,"")</f>
        <v>7473</v>
      </c>
      <c r="BJ261" s="211">
        <f>IF(ISNUMBER(BJ208),BJ208,"")</f>
        <v>7464</v>
      </c>
      <c r="BK261" s="211">
        <f>IF(ISNUMBER(BK208),BK208,"")</f>
        <v>7467</v>
      </c>
      <c r="BL261" s="211">
        <f>IF(ISNUMBER(BL208),BL208,"")</f>
        <v>7472</v>
      </c>
      <c r="BM261" s="211">
        <f>IF(ISNUMBER(BM208),BM208,"")</f>
        <v>7462</v>
      </c>
      <c r="BN261" s="211">
        <f>IF(ISNUMBER(BN208),BN208,"")</f>
        <v>7468</v>
      </c>
      <c r="BO261" s="211">
        <f>IF(ISNUMBER(BO208),BO208,"")</f>
        <v>7472</v>
      </c>
      <c r="BP261" s="211">
        <f>IF(ISNUMBER(BP208),BP208,"")</f>
        <v>7472</v>
      </c>
      <c r="BQ261" s="211">
        <f>IF(ISNUMBER(BQ208),BQ208,"")</f>
        <v>7469</v>
      </c>
      <c r="BR261" s="211">
        <f>IF(ISNUMBER(BR208),BR208,"")</f>
        <v>7470</v>
      </c>
      <c r="BS261" s="211">
        <f>IF(ISNUMBER(BS208),BS208,"")</f>
        <v>7468</v>
      </c>
      <c r="BT261" s="211">
        <f>IF(ISNUMBER(BT208),BT208,"")</f>
        <v>7461</v>
      </c>
      <c r="BU261" s="211">
        <f>IF(ISNUMBER(BU208),BU208,"")</f>
        <v>7461</v>
      </c>
      <c r="BV261" s="211">
        <f>IF(ISNUMBER(BV208),BV208,"")</f>
        <v>7465</v>
      </c>
      <c r="BW261" s="211">
        <f>IF(ISNUMBER(BW208),BW208,"")</f>
        <v>7466</v>
      </c>
      <c r="BX261" s="211">
        <f>IF(ISNUMBER(BX208),BX208,"")</f>
        <v>7460</v>
      </c>
      <c r="BY261" s="211">
        <f>IF(ISNUMBER(BY208),BY208,"")</f>
        <v>7445</v>
      </c>
      <c r="BZ261" s="211">
        <f>IF(ISNUMBER(BZ208),BZ208,"")</f>
        <v>7443</v>
      </c>
      <c r="CA261" s="211">
        <f>IF(ISNUMBER(CA208),CA208,"")</f>
        <v>7453</v>
      </c>
      <c r="CB261" s="254">
        <f>IF(ISNUMBER(CB208),CB208,"")</f>
        <v>7441.80705539116</v>
      </c>
      <c r="CC261" s="254">
        <f>IF(ISNUMBER(CC208),CC208,"")</f>
        <v>7439.42116617348</v>
      </c>
      <c r="CD261" s="254">
        <f>IF(ISNUMBER(CD208),CD208,"")</f>
        <v>7437.03527695581</v>
      </c>
      <c r="CE261" s="254">
        <f>IF(ISNUMBER(CE208),CE208,"")</f>
        <v>7434.64938773813</v>
      </c>
      <c r="CF261" s="254">
        <f>IF(ISNUMBER(CF208),CF208,"")</f>
        <v>7438.22822156464</v>
      </c>
      <c r="CG261" s="254">
        <f>IF(ISNUMBER(CG208),CG208,"")</f>
        <v>7407.46354162308</v>
      </c>
      <c r="CH261" s="254">
        <f>IF(ISNUMBER(CH208),CH208,"")</f>
        <v>7314.00874124228</v>
      </c>
      <c r="CI261" s="254">
        <f>IF(ISNUMBER(CI208),CI208,"")</f>
        <v>7165.73175555436</v>
      </c>
      <c r="CJ261" s="254">
        <f>IF(ISNUMBER(CJ208),CJ208,"")</f>
        <v>6970.40055027174</v>
      </c>
      <c r="CK261" s="19" t="n"/>
    </row>
    <row r="262" ht="15" customHeight="1" s="251">
      <c r="B262" s="55" t="inlineStr">
        <is>
          <t>Adjusted diluted EPS ($) (model bridge)</t>
        </is>
      </c>
      <c r="C262" s="272">
        <f>IF(AND(ISNUMBER(C258),ISNUMBER(C261)),IFERROR(C258/C261,""),"")</f>
        <v>1.19637261418669</v>
      </c>
      <c r="D262" s="272">
        <f>IF(AND(ISNUMBER(D258),ISNUMBER(D261)),IFERROR(D258/D261,""),"")</f>
        <v>1.42271899656079</v>
      </c>
      <c r="E262" s="272">
        <f>IF(AND(ISNUMBER(E258),ISNUMBER(E261)),IFERROR(E258/E261,""),"")</f>
        <v>1.86705385427666</v>
      </c>
      <c r="F262" s="272">
        <f>IF(AND(ISNUMBER(F258),ISNUMBER(F261)),IFERROR(F258/F261,""),"")</f>
        <v>1.61949755446865</v>
      </c>
      <c r="G262" s="272">
        <f>IF(AND(ISNUMBER(G258),ISNUMBER(G261)),IFERROR(G258/G261,""),"")</f>
        <v>2.10148986221575</v>
      </c>
      <c r="H262" s="272">
        <f>IF(AND(ISNUMBER(H258),ISNUMBER(H261)),IFERROR(H258/H261,""),"")</f>
        <v>2.69405329919702</v>
      </c>
      <c r="I262" s="272">
        <f>IF(AND(ISNUMBER(I258),ISNUMBER(I261)),IFERROR(I258/I261,""),"")</f>
        <v>2.78603338819657</v>
      </c>
      <c r="J262" s="272">
        <f>IF(AND(ISNUMBER(J258),ISNUMBER(J261)),IFERROR(J258/J261,""),"")</f>
        <v>0.655757004944667</v>
      </c>
      <c r="K262" s="272">
        <f>IF(AND(ISNUMBER(K258),ISNUMBER(K261)),IFERROR(K258/K261,""),"")</f>
        <v>0.805187115111322</v>
      </c>
      <c r="L262" s="272">
        <f>IF(AND(ISNUMBER(L258),ISNUMBER(L261)),IFERROR(L258/L261,""),"")</f>
        <v>0.648356863210345</v>
      </c>
      <c r="M262" s="272">
        <f>IF(AND(ISNUMBER(M258),ISNUMBER(M261)),IFERROR(M258/M261,""),"")</f>
        <v>0.518123667377399</v>
      </c>
      <c r="N262" s="272">
        <f>IF(AND(ISNUMBER(N258),ISNUMBER(N261)),IFERROR(N258/N261,""),"")</f>
        <v>2.62125147579693</v>
      </c>
      <c r="O262" s="272">
        <f>IF(AND(ISNUMBER(O258),ISNUMBER(O261)),IFERROR(O258/O261,""),"")</f>
        <v>0.631728717097463</v>
      </c>
      <c r="P262" s="272">
        <f>IF(AND(ISNUMBER(P258),ISNUMBER(P261)),IFERROR(P258/P261,""),"")</f>
        <v>0.78117927337701</v>
      </c>
      <c r="Q262" s="272">
        <f>IF(AND(ISNUMBER(Q258),ISNUMBER(Q261)),IFERROR(Q258/Q261,""),"")</f>
        <v>0.676467073024979</v>
      </c>
      <c r="R262" s="272">
        <f>IF(AND(ISNUMBER(R258),ISNUMBER(R261)),IFERROR(R258/R261,""),"")</f>
        <v>0.552666267225884</v>
      </c>
      <c r="S262" s="272">
        <f>IF(AND(ISNUMBER(S258),ISNUMBER(S261)),IFERROR(S258/S261,""),"")</f>
        <v>2.6281700202405</v>
      </c>
      <c r="T262" s="272">
        <f>IF(AND(ISNUMBER(T258),ISNUMBER(T261)),IFERROR(T258/T261,""),"")</f>
        <v>0.6524967069812</v>
      </c>
      <c r="U262" s="272">
        <f>IF(AND(ISNUMBER(U258),ISNUMBER(U261)),IFERROR(U258/U261,""),"")</f>
        <v>0.697842593708569</v>
      </c>
      <c r="V262" s="272">
        <f>IF(AND(ISNUMBER(V258),ISNUMBER(V261)),IFERROR(V258/V261,""),"")</f>
        <v>0.619643073934685</v>
      </c>
      <c r="W262" s="272">
        <f>IF(AND(ISNUMBER(W258),ISNUMBER(W261)),IFERROR(W258/W261,""),"")</f>
        <v>0.628582061778936</v>
      </c>
      <c r="X262" s="272">
        <f>IF(AND(ISNUMBER(X258),ISNUMBER(X261)),IFERROR(X258/X261,""),"")</f>
        <v>2.62745335594863</v>
      </c>
      <c r="Y262" s="272">
        <f>IF(AND(ISNUMBER(Y258),ISNUMBER(Y261)),IFERROR(Y258/Y261,""),"")</f>
        <v>0.66699727250186</v>
      </c>
      <c r="Z262" s="272">
        <f>IF(AND(ISNUMBER(Z258),ISNUMBER(Z261)),IFERROR(Z258/Z261,""),"")</f>
        <v>0.781639262580967</v>
      </c>
      <c r="AA262" s="272">
        <f>IF(AND(ISNUMBER(AA258),ISNUMBER(AA261)),IFERROR(AA258/AA261,""),"")</f>
        <v>0.622792736380714</v>
      </c>
      <c r="AB262" s="272">
        <f>IF(AND(ISNUMBER(AB258),ISNUMBER(AB261)),IFERROR(AB258/AB261,""),"")</f>
        <v>0.691638289822172</v>
      </c>
      <c r="AC262" s="272">
        <f>IF(AND(ISNUMBER(AC258),ISNUMBER(AC261)),IFERROR(AC258/AC261,""),"")</f>
        <v>2.78647198302758</v>
      </c>
      <c r="AD262" s="272">
        <f>IF(AND(ISNUMBER(AD258),ISNUMBER(AD261)),IFERROR(AD258/AD261,""),"")</f>
        <v>0.760411376333164</v>
      </c>
      <c r="AE262" s="272">
        <f>IF(AND(ISNUMBER(AE258),ISNUMBER(AE261)),IFERROR(AE258/AE261,""),"")</f>
        <v>0.83205619412516</v>
      </c>
      <c r="AF262" s="272">
        <f>IF(AND(ISNUMBER(AF258),ISNUMBER(AF261)),IFERROR(AF258/AF261,""),"")</f>
        <v>0.731473185716114</v>
      </c>
      <c r="AG262" s="272">
        <f>IF(AND(ISNUMBER(AG258),ISNUMBER(AG261)),IFERROR(AG258/AG261,""),"")</f>
        <v>0.981936971560338</v>
      </c>
      <c r="AH262" s="272">
        <f>IF(AND(ISNUMBER(AH258),ISNUMBER(AH261)),IFERROR(AH258/AH261,""),"")</f>
        <v>3.30490296220633</v>
      </c>
      <c r="AI262" s="272">
        <f>IF(AND(ISNUMBER(AI258),ISNUMBER(AI261)),IFERROR(AI258/AI261,""),"")</f>
        <v>0.84318502372099</v>
      </c>
      <c r="AJ262" s="272">
        <f>IF(AND(ISNUMBER(AJ258),ISNUMBER(AJ261)),IFERROR(AJ258/AJ261,""),"")</f>
        <v>0.972503242542153</v>
      </c>
      <c r="AK262" s="272">
        <f>IF(AND(ISNUMBER(AK258),ISNUMBER(AK261)),IFERROR(AK258/AK261,""),"")</f>
        <v>0.952527585322043</v>
      </c>
      <c r="AL262" s="272">
        <f>IF(AND(ISNUMBER(AL258),ISNUMBER(AL261)),IFERROR(AL258/AL261,""),"")</f>
        <v>1.12784565916399</v>
      </c>
      <c r="AM262" s="272">
        <f>IF(AND(ISNUMBER(AM258),ISNUMBER(AM261)),IFERROR(AM258/AM261,""),"")</f>
        <v>3.88337182448037</v>
      </c>
      <c r="AN262" s="272">
        <f>IF(AND(ISNUMBER(AN258),ISNUMBER(AN261)),IFERROR(AN258/AN261,""),"")</f>
        <v>1.13623486994592</v>
      </c>
      <c r="AO262" s="272">
        <f>IF(AND(ISNUMBER(AO258),ISNUMBER(AO261)),IFERROR(AO258/AO261,""),"")</f>
        <v>1.10414521112255</v>
      </c>
      <c r="AP262" s="272">
        <f>IF(AND(ISNUMBER(AP258),ISNUMBER(AP261)),IFERROR(AP258/AP261,""),"")</f>
        <v>1.13752582644628</v>
      </c>
      <c r="AQ262" s="272">
        <f>IF(AND(ISNUMBER(AQ258),ISNUMBER(AQ261)),IFERROR(AQ258/AQ261,""),"")</f>
        <v>1.3738680465718</v>
      </c>
      <c r="AR262" s="272">
        <f>IF(AND(ISNUMBER(AR258),ISNUMBER(AR261)),IFERROR(AR258/AR261,""),"")</f>
        <v>4.75041919257062</v>
      </c>
      <c r="AS262" s="272">
        <f>IF(AND(ISNUMBER(AS258),ISNUMBER(AS261)),IFERROR(AS258/AS261,""),"")</f>
        <v>1.38495460440986</v>
      </c>
      <c r="AT262" s="272">
        <f>IF(AND(ISNUMBER(AT258),ISNUMBER(AT261)),IFERROR(AT258/AT261,""),"")</f>
        <v>1.51462748667273</v>
      </c>
      <c r="AU262" s="272">
        <f>IF(AND(ISNUMBER(AU258),ISNUMBER(AU261)),IFERROR(AU258/AU261,""),"")</f>
        <v>1.40091205211726</v>
      </c>
      <c r="AV262" s="272">
        <f>IF(AND(ISNUMBER(AV258),ISNUMBER(AV261)),IFERROR(AV258/AV261,""),"")</f>
        <v>1.4643137254902</v>
      </c>
      <c r="AW262" s="272">
        <f>IF(AND(ISNUMBER(AW258),ISNUMBER(AW261)),IFERROR(AW258/AW261,""),"")</f>
        <v>5.76350383964597</v>
      </c>
      <c r="AX262" s="272">
        <f>IF(AND(ISNUMBER(AX258),ISNUMBER(AX261)),IFERROR(AX258/AX261,""),"")</f>
        <v>1.8191698310855</v>
      </c>
      <c r="AY262" s="272">
        <f>IF(AND(ISNUMBER(AY258),ISNUMBER(AY261)),IFERROR(AY258/AY261,""),"")</f>
        <v>2.03033088235294</v>
      </c>
      <c r="AZ262" s="272">
        <f>IF(AND(ISNUMBER(AZ258),ISNUMBER(AZ261)),IFERROR(AZ258/AZ261,""),"")</f>
        <v>1.95300776622351</v>
      </c>
      <c r="BA262" s="272">
        <f>IF(AND(ISNUMBER(BA258),ISNUMBER(BA261)),IFERROR(BA258/BA261,""),"")</f>
        <v>2.17095370003957</v>
      </c>
      <c r="BB262" s="272">
        <f>IF(AND(ISNUMBER(BB258),ISNUMBER(BB261)),IFERROR(BB258/BB261,""),"")</f>
        <v>7.97200315457413</v>
      </c>
      <c r="BC262" s="272">
        <f>IF(AND(ISNUMBER(BC258),ISNUMBER(BC261)),IFERROR(BC258/BC261,""),"")</f>
        <v>2.27487775868904</v>
      </c>
      <c r="BD262" s="272">
        <f>IF(AND(ISNUMBER(BD258),ISNUMBER(BD261)),IFERROR(BD258/BD261,""),"")</f>
        <v>2.48378557246856</v>
      </c>
      <c r="BE262" s="272">
        <f>IF(AND(ISNUMBER(BE258),ISNUMBER(BE261)),IFERROR(BE258/BE261,""),"")</f>
        <v>2.22033448367401</v>
      </c>
      <c r="BF262" s="272">
        <f>IF(AND(ISNUMBER(BF258),ISNUMBER(BF261)),IFERROR(BF258/BF261,""),"")</f>
        <v>2.23021582733813</v>
      </c>
      <c r="BG262" s="272">
        <f>IF(AND(ISNUMBER(BG258),ISNUMBER(BG261)),IFERROR(BG258/BG261,""),"")</f>
        <v>9.2104774535809</v>
      </c>
      <c r="BH262" s="272">
        <f>IF(AND(ISNUMBER(BH258),ISNUMBER(BH261)),IFERROR(BH258/BH261,""),"")</f>
        <v>2.34549098196393</v>
      </c>
      <c r="BI262" s="272">
        <f>IF(AND(ISNUMBER(BI258),ISNUMBER(BI261)),IFERROR(BI258/BI261,""),"")</f>
        <v>2.32450153887328</v>
      </c>
      <c r="BJ262" s="272">
        <f>IF(AND(ISNUMBER(BJ258),ISNUMBER(BJ261)),IFERROR(BJ258/BJ261,""),"")</f>
        <v>2.45163451232583</v>
      </c>
      <c r="BK262" s="272">
        <f>IF(AND(ISNUMBER(BK258),ISNUMBER(BK261)),IFERROR(BK258/BK261,""),"")</f>
        <v>2.68929958483996</v>
      </c>
      <c r="BL262" s="272">
        <f>IF(AND(ISNUMBER(BL258),ISNUMBER(BL261)),IFERROR(BL258/BL261,""),"")</f>
        <v>9.81089400428266</v>
      </c>
      <c r="BM262" s="272">
        <f>IF(AND(ISNUMBER(BM258),ISNUMBER(BM261)),IFERROR(BM258/BM261,""),"")</f>
        <v>2.98726882873224</v>
      </c>
      <c r="BN262" s="272">
        <f>IF(AND(ISNUMBER(BN258),ISNUMBER(BN261)),IFERROR(BN258/BN261,""),"")</f>
        <v>2.92849491162292</v>
      </c>
      <c r="BO262" s="272">
        <f>IF(AND(ISNUMBER(BO258),ISNUMBER(BO261)),IFERROR(BO258/BO261,""),"")</f>
        <v>2.93616167023555</v>
      </c>
      <c r="BP262" s="272">
        <f>IF(AND(ISNUMBER(BP258),ISNUMBER(BP261)),IFERROR(BP258/BP261,""),"")</f>
        <v>2.94914346895075</v>
      </c>
      <c r="BQ262" s="272">
        <f>IF(AND(ISNUMBER(BQ258),ISNUMBER(BQ261)),IFERROR(BQ258/BQ261,""),"")</f>
        <v>11.8002409961173</v>
      </c>
      <c r="BR262" s="272">
        <f>IF(AND(ISNUMBER(BR258),ISNUMBER(BR261)),IFERROR(BR258/BR261,""),"")</f>
        <v>3.37215528781794</v>
      </c>
      <c r="BS262" s="272">
        <f>IF(AND(ISNUMBER(BS258),ISNUMBER(BS261)),IFERROR(BS258/BS261,""),"")</f>
        <v>3.35391001606856</v>
      </c>
      <c r="BT262" s="272">
        <f>IF(AND(ISNUMBER(BT258),ISNUMBER(BT261)),IFERROR(BT258/BT261,""),"")</f>
        <v>3.53933789036322</v>
      </c>
      <c r="BU262" s="272">
        <f>IF(AND(ISNUMBER(BU258),ISNUMBER(BU261)),IFERROR(BU258/BU261,""),"")</f>
        <v>3.86114461868382</v>
      </c>
      <c r="BV262" s="272">
        <f>IF(AND(ISNUMBER(BV258),ISNUMBER(BV261)),IFERROR(BV258/BV261,""),"")</f>
        <v>14.1261888814468</v>
      </c>
      <c r="BW262" s="272">
        <f>IF(AND(ISNUMBER(BW258),ISNUMBER(BW261)),IFERROR(BW258/BW261,""),"")</f>
        <v>4.12978837396196</v>
      </c>
      <c r="BX262" s="272">
        <f>IF(AND(ISNUMBER(BX258),ISNUMBER(BX261)),IFERROR(BX258/BX261,""),"")</f>
        <v>4.1387399463807</v>
      </c>
      <c r="BY262" s="272">
        <f>IF(AND(ISNUMBER(BY258),ISNUMBER(BY261)),IFERROR(BY258/BY261,""),"")</f>
        <v>4.27024848891874</v>
      </c>
      <c r="BZ262" s="272">
        <f>IF(AND(ISNUMBER(BZ258),ISNUMBER(BZ261)),IFERROR(BZ258/BZ261,""),"")</f>
        <v>4.74083031035873</v>
      </c>
      <c r="CA262" s="272">
        <f>IF(AND(ISNUMBER(CA258),ISNUMBER(CA261)),IFERROR(CA258/CA261,""),"")</f>
        <v>17.2797531195492</v>
      </c>
      <c r="CB262" s="272">
        <f>IF(AND(ISNUMBER(CB258),ISNUMBER(CB261)),IFERROR(CB258/CB261,""),"")</f>
        <v>4.70315875424968</v>
      </c>
      <c r="CC262" s="272">
        <f>IF(AND(ISNUMBER(CC258),ISNUMBER(CC261)),IFERROR(CC258/CC261,""),"")</f>
        <v>4.75799862007583</v>
      </c>
      <c r="CD262" s="272">
        <f>IF(AND(ISNUMBER(CD258),ISNUMBER(CD261)),IFERROR(CD258/CD261,""),"")</f>
        <v>4.79889576135505</v>
      </c>
      <c r="CE262" s="272">
        <f>IF(AND(ISNUMBER(CE258),ISNUMBER(CE261)),IFERROR(CE258/CE261,""),"")</f>
        <v>5.11047569113886</v>
      </c>
      <c r="CF262" s="272">
        <f>IF(AND(ISNUMBER(CF258),ISNUMBER(CF261)),IFERROR(CF258/CF261,""),"")</f>
        <v>19.3703262909989</v>
      </c>
      <c r="CG262" s="272">
        <f>IF(AND(ISNUMBER(CG258),ISNUMBER(CG261)),IFERROR(CG258/CG261,""),"")</f>
        <v>21.9143989454587</v>
      </c>
      <c r="CH262" s="272">
        <f>IF(AND(ISNUMBER(CH258),ISNUMBER(CH261)),IFERROR(CH258/CH261,""),"")</f>
        <v>25.4415618605621</v>
      </c>
      <c r="CI262" s="272">
        <f>IF(AND(ISNUMBER(CI258),ISNUMBER(CI261)),IFERROR(CI258/CI261,""),"")</f>
        <v>29.9057678536723</v>
      </c>
      <c r="CJ262" s="272">
        <f>IF(AND(ISNUMBER(CJ258),ISNUMBER(CJ261)),IFERROR(CJ258/CJ261,""),"")</f>
        <v>34.8707220954398</v>
      </c>
      <c r="CK262" s="19" t="n"/>
      <c r="CM262" s="20">
        <f>IFERROR((CJ262/CA262)^(1/5)-1,"n/m")</f>
        <v>0.150759798424999</v>
      </c>
      <c r="CN262" s="20">
        <f>IFERROR((CA262/BB262)^(1/5)-1,"n/m")</f>
        <v>0.167330987503658</v>
      </c>
      <c r="CO262" s="20">
        <f>IFERROR((CA262/AC262)^(1/10)-1,"n/m")</f>
        <v>0.200185250477557</v>
      </c>
      <c r="CP262" s="20">
        <f>IFERROR((CA262/C262)^(1/20)-1,"n/m")</f>
        <v>0.142835055435738</v>
      </c>
    </row>
    <row r="263" ht="15" customHeight="1" s="251">
      <c r="B263" s="156" t="inlineStr">
        <is>
          <t xml:space="preserve">  Company-published adjusted diluted EPS ($)</t>
        </is>
      </c>
      <c r="C263" s="27" t="n"/>
      <c r="D263" s="27" t="n"/>
      <c r="E263" s="27" t="n"/>
      <c r="F263" s="27" t="n"/>
      <c r="G263" s="27" t="n"/>
      <c r="H263" s="27" t="n"/>
      <c r="I263" s="273" t="n">
        <v>2.78</v>
      </c>
      <c r="J263" s="273" t="n">
        <v>0.65</v>
      </c>
      <c r="K263" s="273" t="n">
        <v>0.8100000000000001</v>
      </c>
      <c r="L263" s="273" t="n">
        <v>0.65</v>
      </c>
      <c r="M263" s="273" t="n">
        <v>0.52</v>
      </c>
      <c r="N263" s="273" t="n">
        <v>2.62</v>
      </c>
      <c r="O263" s="273" t="n">
        <v>0.63</v>
      </c>
      <c r="P263" s="273" t="n">
        <v>0.78</v>
      </c>
      <c r="Q263" s="273" t="n">
        <v>0.68</v>
      </c>
      <c r="R263" s="273" t="n">
        <v>0.55</v>
      </c>
      <c r="S263" s="273" t="n">
        <v>2.63</v>
      </c>
      <c r="T263" s="273" t="n">
        <v>0.65</v>
      </c>
      <c r="U263" s="273" t="n">
        <v>0.7</v>
      </c>
      <c r="V263" s="273" t="n">
        <v>0.62</v>
      </c>
      <c r="W263" s="273" t="n">
        <v>0.62</v>
      </c>
      <c r="X263" s="273" t="n">
        <v>2.63</v>
      </c>
      <c r="Y263" s="273" t="n">
        <v>0.67</v>
      </c>
      <c r="Z263" s="273" t="n">
        <v>0.78</v>
      </c>
      <c r="AA263" s="273" t="n">
        <v>0.62</v>
      </c>
      <c r="AB263" s="273" t="n">
        <v>0.6899999999999999</v>
      </c>
      <c r="AC263" s="273" t="n">
        <v>2.79</v>
      </c>
      <c r="AD263" s="273" t="n">
        <v>0.76</v>
      </c>
      <c r="AE263" s="273" t="n">
        <v>0.83</v>
      </c>
      <c r="AF263" s="273" t="n">
        <v>0.73</v>
      </c>
      <c r="AG263" s="273" t="n">
        <v>0.98</v>
      </c>
      <c r="AH263" s="273" t="n">
        <v>3.31</v>
      </c>
      <c r="AI263" s="273" t="n">
        <v>0.84</v>
      </c>
      <c r="AJ263" s="273" t="n">
        <v>0.96</v>
      </c>
      <c r="AK263" s="273" t="n">
        <v>0.95</v>
      </c>
      <c r="AL263" s="273" t="n">
        <v>1.13</v>
      </c>
      <c r="AM263" s="273" t="n">
        <v>3.88</v>
      </c>
      <c r="AN263" s="273" t="n">
        <v>1.14</v>
      </c>
      <c r="AO263" s="273" t="n">
        <v>1.1</v>
      </c>
      <c r="AP263" s="273" t="n">
        <v>1.14</v>
      </c>
      <c r="AQ263" s="273" t="n">
        <v>1.37</v>
      </c>
      <c r="AR263" s="273" t="n">
        <v>4.75</v>
      </c>
      <c r="AS263" s="273" t="n">
        <v>1.38</v>
      </c>
      <c r="AT263" s="273" t="n">
        <v>1.51</v>
      </c>
      <c r="AU263" s="273" t="n">
        <v>1.4</v>
      </c>
      <c r="AV263" s="273" t="n">
        <v>1.46</v>
      </c>
      <c r="AW263" s="273" t="n">
        <v>5.76</v>
      </c>
      <c r="AX263" s="273" t="n">
        <v>1.82</v>
      </c>
      <c r="AY263" s="273" t="n">
        <v>2.03</v>
      </c>
      <c r="AZ263" s="273" t="n">
        <v>1.95</v>
      </c>
      <c r="BA263" s="273" t="n">
        <v>2.17</v>
      </c>
      <c r="BB263" s="273" t="n">
        <v>7.97</v>
      </c>
      <c r="BC263" s="273" t="n">
        <v>2.27</v>
      </c>
      <c r="BD263" s="273" t="n">
        <v>2.48</v>
      </c>
      <c r="BE263" s="273" t="n">
        <v>2.22</v>
      </c>
      <c r="BF263" s="273" t="n">
        <v>2.23</v>
      </c>
      <c r="BG263" s="273" t="n">
        <v>9.210000000000001</v>
      </c>
      <c r="BH263" s="273" t="n">
        <v>2.35</v>
      </c>
      <c r="BI263" s="273" t="n">
        <v>2.32</v>
      </c>
      <c r="BJ263" s="273" t="n">
        <v>2.45</v>
      </c>
      <c r="BK263" s="273" t="n">
        <v>2.69</v>
      </c>
      <c r="BL263" s="273" t="n">
        <v>9.81</v>
      </c>
      <c r="BM263" s="273" t="n">
        <v>2.99</v>
      </c>
      <c r="BN263" s="273" t="n">
        <v>2.93</v>
      </c>
      <c r="BO263" s="273" t="n">
        <v>2.94</v>
      </c>
      <c r="BP263" s="273" t="n">
        <v>2.95</v>
      </c>
      <c r="BQ263" s="273" t="n">
        <v>11.8</v>
      </c>
      <c r="BR263" s="273" t="n">
        <v>3.37</v>
      </c>
      <c r="BS263" s="273" t="n">
        <v>3.35</v>
      </c>
      <c r="BT263" s="273" t="n">
        <v>3.54</v>
      </c>
      <c r="BU263" s="273" t="n">
        <v>3.86</v>
      </c>
      <c r="BV263" s="273" t="n">
        <v>14.13</v>
      </c>
      <c r="BW263" s="273" t="n">
        <v>4.13</v>
      </c>
      <c r="BX263" s="273" t="n">
        <v>4.14</v>
      </c>
      <c r="BY263" s="273" t="n">
        <v>4.27</v>
      </c>
      <c r="BZ263" s="273" t="n">
        <v>4.74</v>
      </c>
      <c r="CA263" s="273" t="n">
        <v>17.28</v>
      </c>
      <c r="CB263" s="153" t="n"/>
      <c r="CC263" s="153" t="n"/>
      <c r="CD263" s="153" t="n"/>
      <c r="CE263" s="153" t="n"/>
      <c r="CF263" s="153" t="n"/>
      <c r="CG263" s="153" t="n"/>
      <c r="CH263" s="153" t="n"/>
      <c r="CI263" s="153" t="n"/>
      <c r="CJ263" s="153" t="n"/>
      <c r="CK263" s="153" t="n"/>
    </row>
    <row r="264" ht="15" customHeight="1" s="251">
      <c r="B264" s="57" t="inlineStr">
        <is>
          <t xml:space="preserve">  Check: model vs company-published (should be 0.00; ±0.015: per-share items rounded)</t>
        </is>
      </c>
      <c r="C264" s="274" t="str">
        <f>IF(AND(ISNUMBER(C263),ISNUMBER(C262)),IF(ABS(C262-C263)&lt;=0.0151,0,ROUND(C262-C263,2)),"n/p")</f>
        <v>n/p</v>
      </c>
      <c r="D264" s="274" t="str">
        <f>IF(AND(ISNUMBER(D263),ISNUMBER(D262)),IF(ABS(D262-D263)&lt;=0.0151,0,ROUND(D262-D263,2)),"n/p")</f>
        <v>n/p</v>
      </c>
      <c r="E264" s="274" t="str">
        <f>IF(AND(ISNUMBER(E263),ISNUMBER(E262)),IF(ABS(E262-E263)&lt;=0.0151,0,ROUND(E262-E263,2)),"n/p")</f>
        <v>n/p</v>
      </c>
      <c r="F264" s="274" t="str">
        <f>IF(AND(ISNUMBER(F263),ISNUMBER(F262)),IF(ABS(F262-F263)&lt;=0.0151,0,ROUND(F262-F263,2)),"n/p")</f>
        <v>n/p</v>
      </c>
      <c r="G264" s="274" t="str">
        <f>IF(AND(ISNUMBER(G263),ISNUMBER(G262)),IF(ABS(G262-G263)&lt;=0.0151,0,ROUND(G262-G263,2)),"n/p")</f>
        <v>n/p</v>
      </c>
      <c r="H264" s="274" t="str">
        <f>IF(AND(ISNUMBER(H263),ISNUMBER(H262)),IF(ABS(H262-H263)&lt;=0.0151,0,ROUND(H262-H263,2)),"n/p")</f>
        <v>n/p</v>
      </c>
      <c r="I264" s="274">
        <f>IF(AND(ISNUMBER(I263),ISNUMBER(I262)),IF(ABS(I262-I263)&lt;=0.0151,0,ROUND(I262-I263,2)),"n/p")</f>
        <v>0</v>
      </c>
      <c r="J264" s="274">
        <f>IF(AND(ISNUMBER(J263),ISNUMBER(J262)),IF(ABS(J262-J263)&lt;=0.0151,0,ROUND(J262-J263,2)),"n/p")</f>
        <v>0</v>
      </c>
      <c r="K264" s="274">
        <f>IF(AND(ISNUMBER(K263),ISNUMBER(K262)),IF(ABS(K262-K263)&lt;=0.0151,0,ROUND(K262-K263,2)),"n/p")</f>
        <v>0</v>
      </c>
      <c r="L264" s="274">
        <f>IF(AND(ISNUMBER(L263),ISNUMBER(L262)),IF(ABS(L262-L263)&lt;=0.0151,0,ROUND(L262-L263,2)),"n/p")</f>
        <v>0</v>
      </c>
      <c r="M264" s="274">
        <f>IF(AND(ISNUMBER(M263),ISNUMBER(M262)),IF(ABS(M262-M263)&lt;=0.0151,0,ROUND(M262-M263,2)),"n/p")</f>
        <v>0</v>
      </c>
      <c r="N264" s="274">
        <f>IF(AND(ISNUMBER(N263),ISNUMBER(N262)),IF(ABS(N262-N263)&lt;=0.0151,0,ROUND(N262-N263,2)),"n/p")</f>
        <v>0</v>
      </c>
      <c r="O264" s="274">
        <f>IF(AND(ISNUMBER(O263),ISNUMBER(O262)),IF(ABS(O262-O263)&lt;=0.0151,0,ROUND(O262-O263,2)),"n/p")</f>
        <v>0</v>
      </c>
      <c r="P264" s="274">
        <f>IF(AND(ISNUMBER(P263),ISNUMBER(P262)),IF(ABS(P262-P263)&lt;=0.0151,0,ROUND(P262-P263,2)),"n/p")</f>
        <v>0</v>
      </c>
      <c r="Q264" s="274">
        <f>IF(AND(ISNUMBER(Q263),ISNUMBER(Q262)),IF(ABS(Q262-Q263)&lt;=0.0151,0,ROUND(Q262-Q263,2)),"n/p")</f>
        <v>0</v>
      </c>
      <c r="R264" s="274">
        <f>IF(AND(ISNUMBER(R263),ISNUMBER(R262)),IF(ABS(R262-R263)&lt;=0.0151,0,ROUND(R262-R263,2)),"n/p")</f>
        <v>0</v>
      </c>
      <c r="S264" s="274">
        <f>IF(AND(ISNUMBER(S263),ISNUMBER(S262)),IF(ABS(S262-S263)&lt;=0.0151,0,ROUND(S262-S263,2)),"n/p")</f>
        <v>0</v>
      </c>
      <c r="T264" s="274">
        <f>IF(AND(ISNUMBER(T263),ISNUMBER(T262)),IF(ABS(T262-T263)&lt;=0.0151,0,ROUND(T262-T263,2)),"n/p")</f>
        <v>0</v>
      </c>
      <c r="U264" s="274">
        <f>IF(AND(ISNUMBER(U263),ISNUMBER(U262)),IF(ABS(U262-U263)&lt;=0.0151,0,ROUND(U262-U263,2)),"n/p")</f>
        <v>0</v>
      </c>
      <c r="V264" s="274">
        <f>IF(AND(ISNUMBER(V263),ISNUMBER(V262)),IF(ABS(V262-V263)&lt;=0.0151,0,ROUND(V262-V263,2)),"n/p")</f>
        <v>0</v>
      </c>
      <c r="W264" s="274">
        <f>IF(AND(ISNUMBER(W263),ISNUMBER(W262)),IF(ABS(W262-W263)&lt;=0.0151,0,ROUND(W262-W263,2)),"n/p")</f>
        <v>0</v>
      </c>
      <c r="X264" s="274">
        <f>IF(AND(ISNUMBER(X263),ISNUMBER(X262)),IF(ABS(X262-X263)&lt;=0.0151,0,ROUND(X262-X263,2)),"n/p")</f>
        <v>0</v>
      </c>
      <c r="Y264" s="274">
        <f>IF(AND(ISNUMBER(Y263),ISNUMBER(Y262)),IF(ABS(Y262-Y263)&lt;=0.0151,0,ROUND(Y262-Y263,2)),"n/p")</f>
        <v>0</v>
      </c>
      <c r="Z264" s="274">
        <f>IF(AND(ISNUMBER(Z263),ISNUMBER(Z262)),IF(ABS(Z262-Z263)&lt;=0.0151,0,ROUND(Z262-Z263,2)),"n/p")</f>
        <v>0</v>
      </c>
      <c r="AA264" s="274">
        <f>IF(AND(ISNUMBER(AA263),ISNUMBER(AA262)),IF(ABS(AA262-AA263)&lt;=0.0151,0,ROUND(AA262-AA263,2)),"n/p")</f>
        <v>0</v>
      </c>
      <c r="AB264" s="274">
        <f>IF(AND(ISNUMBER(AB263),ISNUMBER(AB262)),IF(ABS(AB262-AB263)&lt;=0.0151,0,ROUND(AB262-AB263,2)),"n/p")</f>
        <v>0</v>
      </c>
      <c r="AC264" s="274">
        <f>IF(AND(ISNUMBER(AC263),ISNUMBER(AC262)),IF(ABS(AC262-AC263)&lt;=0.0151,0,ROUND(AC262-AC263,2)),"n/p")</f>
        <v>0</v>
      </c>
      <c r="AD264" s="274">
        <f>IF(AND(ISNUMBER(AD263),ISNUMBER(AD262)),IF(ABS(AD262-AD263)&lt;=0.0151,0,ROUND(AD262-AD263,2)),"n/p")</f>
        <v>0</v>
      </c>
      <c r="AE264" s="274">
        <f>IF(AND(ISNUMBER(AE263),ISNUMBER(AE262)),IF(ABS(AE262-AE263)&lt;=0.0151,0,ROUND(AE262-AE263,2)),"n/p")</f>
        <v>0</v>
      </c>
      <c r="AF264" s="274">
        <f>IF(AND(ISNUMBER(AF263),ISNUMBER(AF262)),IF(ABS(AF262-AF263)&lt;=0.0151,0,ROUND(AF262-AF263,2)),"n/p")</f>
        <v>0</v>
      </c>
      <c r="AG264" s="274">
        <f>IF(AND(ISNUMBER(AG263),ISNUMBER(AG262)),IF(ABS(AG262-AG263)&lt;=0.0151,0,ROUND(AG262-AG263,2)),"n/p")</f>
        <v>0</v>
      </c>
      <c r="AH264" s="274">
        <f>IF(AND(ISNUMBER(AH263),ISNUMBER(AH262)),IF(ABS(AH262-AH263)&lt;=0.0151,0,ROUND(AH262-AH263,2)),"n/p")</f>
        <v>0</v>
      </c>
      <c r="AI264" s="274">
        <f>IF(AND(ISNUMBER(AI263),ISNUMBER(AI262)),IF(ABS(AI262-AI263)&lt;=0.0151,0,ROUND(AI262-AI263,2)),"n/p")</f>
        <v>0</v>
      </c>
      <c r="AJ264" s="274">
        <f>IF(AND(ISNUMBER(AJ263),ISNUMBER(AJ262)),IF(ABS(AJ262-AJ263)&lt;=0.0151,0,ROUND(AJ262-AJ263,2)),"n/p")</f>
        <v>0</v>
      </c>
      <c r="AK264" s="274">
        <f>IF(AND(ISNUMBER(AK263),ISNUMBER(AK262)),IF(ABS(AK262-AK263)&lt;=0.0151,0,ROUND(AK262-AK263,2)),"n/p")</f>
        <v>0</v>
      </c>
      <c r="AL264" s="274">
        <f>IF(AND(ISNUMBER(AL263),ISNUMBER(AL262)),IF(ABS(AL262-AL263)&lt;=0.0151,0,ROUND(AL262-AL263,2)),"n/p")</f>
        <v>0</v>
      </c>
      <c r="AM264" s="274">
        <f>IF(AND(ISNUMBER(AM263),ISNUMBER(AM262)),IF(ABS(AM262-AM263)&lt;=0.0151,0,ROUND(AM262-AM263,2)),"n/p")</f>
        <v>0</v>
      </c>
      <c r="AN264" s="274">
        <f>IF(AND(ISNUMBER(AN263),ISNUMBER(AN262)),IF(ABS(AN262-AN263)&lt;=0.0151,0,ROUND(AN262-AN263,2)),"n/p")</f>
        <v>0</v>
      </c>
      <c r="AO264" s="274">
        <f>IF(AND(ISNUMBER(AO263),ISNUMBER(AO262)),IF(ABS(AO262-AO263)&lt;=0.0151,0,ROUND(AO262-AO263,2)),"n/p")</f>
        <v>0</v>
      </c>
      <c r="AP264" s="274">
        <f>IF(AND(ISNUMBER(AP263),ISNUMBER(AP262)),IF(ABS(AP262-AP263)&lt;=0.0151,0,ROUND(AP262-AP263,2)),"n/p")</f>
        <v>0</v>
      </c>
      <c r="AQ264" s="274">
        <f>IF(AND(ISNUMBER(AQ263),ISNUMBER(AQ262)),IF(ABS(AQ262-AQ263)&lt;=0.0151,0,ROUND(AQ262-AQ263,2)),"n/p")</f>
        <v>0</v>
      </c>
      <c r="AR264" s="274">
        <f>IF(AND(ISNUMBER(AR263),ISNUMBER(AR262)),IF(ABS(AR262-AR263)&lt;=0.0151,0,ROUND(AR262-AR263,2)),"n/p")</f>
        <v>0</v>
      </c>
      <c r="AS264" s="274">
        <f>IF(AND(ISNUMBER(AS263),ISNUMBER(AS262)),IF(ABS(AS262-AS263)&lt;=0.0151,0,ROUND(AS262-AS263,2)),"n/p")</f>
        <v>0</v>
      </c>
      <c r="AT264" s="274">
        <f>IF(AND(ISNUMBER(AT263),ISNUMBER(AT262)),IF(ABS(AT262-AT263)&lt;=0.0151,0,ROUND(AT262-AT263,2)),"n/p")</f>
        <v>0</v>
      </c>
      <c r="AU264" s="274">
        <f>IF(AND(ISNUMBER(AU263),ISNUMBER(AU262)),IF(ABS(AU262-AU263)&lt;=0.0151,0,ROUND(AU262-AU263,2)),"n/p")</f>
        <v>0</v>
      </c>
      <c r="AV264" s="274">
        <f>IF(AND(ISNUMBER(AV263),ISNUMBER(AV262)),IF(ABS(AV262-AV263)&lt;=0.0151,0,ROUND(AV262-AV263,2)),"n/p")</f>
        <v>0</v>
      </c>
      <c r="AW264" s="274">
        <f>IF(AND(ISNUMBER(AW263),ISNUMBER(AW262)),IF(ABS(AW262-AW263)&lt;=0.0151,0,ROUND(AW262-AW263,2)),"n/p")</f>
        <v>0</v>
      </c>
      <c r="AX264" s="274">
        <f>IF(AND(ISNUMBER(AX263),ISNUMBER(AX262)),IF(ABS(AX262-AX263)&lt;=0.0151,0,ROUND(AX262-AX263,2)),"n/p")</f>
        <v>0</v>
      </c>
      <c r="AY264" s="274">
        <f>IF(AND(ISNUMBER(AY263),ISNUMBER(AY262)),IF(ABS(AY262-AY263)&lt;=0.0151,0,ROUND(AY262-AY263,2)),"n/p")</f>
        <v>0</v>
      </c>
      <c r="AZ264" s="274">
        <f>IF(AND(ISNUMBER(AZ263),ISNUMBER(AZ262)),IF(ABS(AZ262-AZ263)&lt;=0.0151,0,ROUND(AZ262-AZ263,2)),"n/p")</f>
        <v>0</v>
      </c>
      <c r="BA264" s="274">
        <f>IF(AND(ISNUMBER(BA263),ISNUMBER(BA262)),IF(ABS(BA262-BA263)&lt;=0.0151,0,ROUND(BA262-BA263,2)),"n/p")</f>
        <v>0</v>
      </c>
      <c r="BB264" s="274">
        <f>IF(AND(ISNUMBER(BB263),ISNUMBER(BB262)),IF(ABS(BB262-BB263)&lt;=0.0151,0,ROUND(BB262-BB263,2)),"n/p")</f>
        <v>0</v>
      </c>
      <c r="BC264" s="274">
        <f>IF(AND(ISNUMBER(BC263),ISNUMBER(BC262)),IF(ABS(BC262-BC263)&lt;=0.0151,0,ROUND(BC262-BC263,2)),"n/p")</f>
        <v>0</v>
      </c>
      <c r="BD264" s="274">
        <f>IF(AND(ISNUMBER(BD263),ISNUMBER(BD262)),IF(ABS(BD262-BD263)&lt;=0.0151,0,ROUND(BD262-BD263,2)),"n/p")</f>
        <v>0</v>
      </c>
      <c r="BE264" s="274">
        <f>IF(AND(ISNUMBER(BE263),ISNUMBER(BE262)),IF(ABS(BE262-BE263)&lt;=0.0151,0,ROUND(BE262-BE263,2)),"n/p")</f>
        <v>0</v>
      </c>
      <c r="BF264" s="274">
        <f>IF(AND(ISNUMBER(BF263),ISNUMBER(BF262)),IF(ABS(BF262-BF263)&lt;=0.0151,0,ROUND(BF262-BF263,2)),"n/p")</f>
        <v>0</v>
      </c>
      <c r="BG264" s="274">
        <f>IF(AND(ISNUMBER(BG263),ISNUMBER(BG262)),IF(ABS(BG262-BG263)&lt;=0.0151,0,ROUND(BG262-BG263,2)),"n/p")</f>
        <v>0</v>
      </c>
      <c r="BH264" s="274">
        <f>IF(AND(ISNUMBER(BH263),ISNUMBER(BH262)),IF(ABS(BH262-BH263)&lt;=0.0151,0,ROUND(BH262-BH263,2)),"n/p")</f>
        <v>0</v>
      </c>
      <c r="BI264" s="274">
        <f>IF(AND(ISNUMBER(BI263),ISNUMBER(BI262)),IF(ABS(BI262-BI263)&lt;=0.0151,0,ROUND(BI262-BI263,2)),"n/p")</f>
        <v>0</v>
      </c>
      <c r="BJ264" s="274">
        <f>IF(AND(ISNUMBER(BJ263),ISNUMBER(BJ262)),IF(ABS(BJ262-BJ263)&lt;=0.0151,0,ROUND(BJ262-BJ263,2)),"n/p")</f>
        <v>0</v>
      </c>
      <c r="BK264" s="274">
        <f>IF(AND(ISNUMBER(BK263),ISNUMBER(BK262)),IF(ABS(BK262-BK263)&lt;=0.0151,0,ROUND(BK262-BK263,2)),"n/p")</f>
        <v>0</v>
      </c>
      <c r="BL264" s="274">
        <f>IF(AND(ISNUMBER(BL263),ISNUMBER(BL262)),IF(ABS(BL262-BL263)&lt;=0.0151,0,ROUND(BL262-BL263,2)),"n/p")</f>
        <v>0</v>
      </c>
      <c r="BM264" s="274">
        <f>IF(AND(ISNUMBER(BM263),ISNUMBER(BM262)),IF(ABS(BM262-BM263)&lt;=0.0151,0,ROUND(BM262-BM263,2)),"n/p")</f>
        <v>0</v>
      </c>
      <c r="BN264" s="274">
        <f>IF(AND(ISNUMBER(BN263),ISNUMBER(BN262)),IF(ABS(BN262-BN263)&lt;=0.0151,0,ROUND(BN262-BN263,2)),"n/p")</f>
        <v>0</v>
      </c>
      <c r="BO264" s="274">
        <f>IF(AND(ISNUMBER(BO263),ISNUMBER(BO262)),IF(ABS(BO262-BO263)&lt;=0.0151,0,ROUND(BO262-BO263,2)),"n/p")</f>
        <v>0</v>
      </c>
      <c r="BP264" s="274">
        <f>IF(AND(ISNUMBER(BP263),ISNUMBER(BP262)),IF(ABS(BP262-BP263)&lt;=0.0151,0,ROUND(BP262-BP263,2)),"n/p")</f>
        <v>0</v>
      </c>
      <c r="BQ264" s="274">
        <f>IF(AND(ISNUMBER(BQ263),ISNUMBER(BQ262)),IF(ABS(BQ262-BQ263)&lt;=0.0151,0,ROUND(BQ262-BQ263,2)),"n/p")</f>
        <v>0</v>
      </c>
      <c r="BR264" s="274">
        <f>IF(AND(ISNUMBER(BR263),ISNUMBER(BR262)),IF(ABS(BR262-BR263)&lt;=0.0151,0,ROUND(BR262-BR263,2)),"n/p")</f>
        <v>0</v>
      </c>
      <c r="BS264" s="274">
        <f>IF(AND(ISNUMBER(BS263),ISNUMBER(BS262)),IF(ABS(BS262-BS263)&lt;=0.0151,0,ROUND(BS262-BS263,2)),"n/p")</f>
        <v>0</v>
      </c>
      <c r="BT264" s="274">
        <f>IF(AND(ISNUMBER(BT263),ISNUMBER(BT262)),IF(ABS(BT262-BT263)&lt;=0.0151,0,ROUND(BT262-BT263,2)),"n/p")</f>
        <v>0</v>
      </c>
      <c r="BU264" s="274">
        <f>IF(AND(ISNUMBER(BU263),ISNUMBER(BU262)),IF(ABS(BU262-BU263)&lt;=0.0151,0,ROUND(BU262-BU263,2)),"n/p")</f>
        <v>0</v>
      </c>
      <c r="BV264" s="274">
        <f>IF(AND(ISNUMBER(BV263),ISNUMBER(BV262)),IF(ABS(BV262-BV263)&lt;=0.0151,0,ROUND(BV262-BV263,2)),"n/p")</f>
        <v>0</v>
      </c>
      <c r="BW264" s="274">
        <f>IF(AND(ISNUMBER(BW263),ISNUMBER(BW262)),IF(ABS(BW262-BW263)&lt;=0.0151,0,ROUND(BW262-BW263,2)),"n/p")</f>
        <v>0</v>
      </c>
      <c r="BX264" s="274">
        <f>IF(AND(ISNUMBER(BX263),ISNUMBER(BX262)),IF(ABS(BX262-BX263)&lt;=0.0151,0,ROUND(BX262-BX263,2)),"n/p")</f>
        <v>0</v>
      </c>
      <c r="BY264" s="274">
        <f>IF(AND(ISNUMBER(BY263),ISNUMBER(BY262)),IF(ABS(BY262-BY263)&lt;=0.0151,0,ROUND(BY262-BY263,2)),"n/p")</f>
        <v>0</v>
      </c>
      <c r="BZ264" s="274">
        <f>IF(AND(ISNUMBER(BZ263),ISNUMBER(BZ262)),IF(ABS(BZ262-BZ263)&lt;=0.0151,0,ROUND(BZ262-BZ263,2)),"n/p")</f>
        <v>0</v>
      </c>
      <c r="CA264" s="274">
        <f>IF(AND(ISNUMBER(CA263),ISNUMBER(CA262)),IF(ABS(CA262-CA263)&lt;=0.0151,0,ROUND(CA262-CA263,2)),"n/p")</f>
        <v>0</v>
      </c>
      <c r="CB264" s="153" t="n"/>
      <c r="CC264" s="153" t="n"/>
      <c r="CD264" s="153" t="n"/>
      <c r="CE264" s="153" t="n"/>
      <c r="CF264" s="153" t="n"/>
      <c r="CG264" s="153" t="n"/>
      <c r="CH264" s="153" t="n"/>
      <c r="CI264" s="153" t="n"/>
      <c r="CJ264" s="153" t="n"/>
      <c r="CK264" s="153" t="n"/>
    </row>
    <row r="265" ht="15" customHeight="1" s="251">
      <c r="B265" s="22" t="inlineStr">
        <is>
          <t xml:space="preserve">  Adjusted diluted EPS y/y %</t>
        </is>
      </c>
      <c r="C265" s="23" t="n"/>
      <c r="D265" s="255">
        <f>IF(AND(ISNUMBER(D262),ISNUMBER(C262)),IFERROR(D262/C262-1,""),"")</f>
        <v>0.189193884656061</v>
      </c>
      <c r="E265" s="255">
        <f>IF(AND(ISNUMBER(E262),ISNUMBER(D262)),IFERROR(E262/D262-1,""),"")</f>
        <v>0.312313857332321</v>
      </c>
      <c r="F265" s="255">
        <f>IF(AND(ISNUMBER(F262),ISNUMBER(E262)),IFERROR(F262/E262-1,""),"")</f>
        <v>-0.132591943848304</v>
      </c>
      <c r="G265" s="255">
        <f>IF(AND(ISNUMBER(G262),ISNUMBER(F262)),IFERROR(G262/F262-1,""),"")</f>
        <v>0.297618422712121</v>
      </c>
      <c r="H265" s="255">
        <f>IF(AND(ISNUMBER(H262),ISNUMBER(G262)),IFERROR(H262/G262-1,""),"")</f>
        <v>0.281973017160544</v>
      </c>
      <c r="I265" s="255">
        <f>IF(AND(ISNUMBER(I262),ISNUMBER(H262)),IFERROR(I262/H262-1,""),"")</f>
        <v>0.0341418965344753</v>
      </c>
      <c r="J265" s="23" t="n"/>
      <c r="K265" s="23" t="n"/>
      <c r="L265" s="23" t="n"/>
      <c r="M265" s="23" t="n"/>
      <c r="N265" s="255">
        <f>IF(AND(ISNUMBER(N262),ISNUMBER(I262)),IFERROR(N262/I262-1,""),"")</f>
        <v>-0.0591457062567015</v>
      </c>
      <c r="O265" s="255">
        <f>IF(AND(ISNUMBER(O262),ISNUMBER(J262)),IFERROR(O262/J262-1,""),"")</f>
        <v>-0.0366420604980524</v>
      </c>
      <c r="P265" s="255">
        <f>IF(AND(ISNUMBER(P262),ISNUMBER(K262)),IFERROR(P262/K262-1,""),"")</f>
        <v>-0.0298164753058577</v>
      </c>
      <c r="Q265" s="255">
        <f>IF(AND(ISNUMBER(Q262),ISNUMBER(L262)),IFERROR(Q262/L262-1,""),"")</f>
        <v>0.0433560765832661</v>
      </c>
      <c r="R265" s="255">
        <f>IF(AND(ISNUMBER(R262),ISNUMBER(M262)),IFERROR(R262/M262-1,""),"")</f>
        <v>0.0666686392137428</v>
      </c>
      <c r="S265" s="255">
        <f>IF(AND(ISNUMBER(S262),ISNUMBER(N262)),IFERROR(S262/N262-1,""),"")</f>
        <v>0.00263940507328497</v>
      </c>
      <c r="T265" s="255">
        <f>IF(AND(ISNUMBER(T262),ISNUMBER(O262)),IFERROR(T262/O262-1,""),"")</f>
        <v>0.0328748548572522</v>
      </c>
      <c r="U265" s="255">
        <f>IF(AND(ISNUMBER(U262),ISNUMBER(P262)),IFERROR(U262/P262-1,""),"")</f>
        <v>-0.106680607779286</v>
      </c>
      <c r="V265" s="255">
        <f>IF(AND(ISNUMBER(V262),ISNUMBER(Q262)),IFERROR(V262/Q262-1,""),"")</f>
        <v>-0.0840011308106874</v>
      </c>
      <c r="W265" s="255">
        <f>IF(AND(ISNUMBER(W262),ISNUMBER(R262)),IFERROR(W262/R262-1,""),"")</f>
        <v>0.13736281559957</v>
      </c>
      <c r="X265" s="255">
        <f>IF(AND(ISNUMBER(X262),ISNUMBER(S262)),IFERROR(X262/S262-1,""),"")</f>
        <v>-0.000272685665826167</v>
      </c>
      <c r="Y265" s="255">
        <f>IF(AND(ISNUMBER(Y262),ISNUMBER(T262)),IFERROR(Y262/T262-1,""),"")</f>
        <v>0.0222232010759829</v>
      </c>
      <c r="Z265" s="255">
        <f>IF(AND(ISNUMBER(Z262),ISNUMBER(U262)),IFERROR(Z262/U262-1,""),"")</f>
        <v>0.120079613408338</v>
      </c>
      <c r="AA265" s="255">
        <f>IF(AND(ISNUMBER(AA262),ISNUMBER(V262)),IFERROR(AA262/V262-1,""),"")</f>
        <v>0.00508302695296625</v>
      </c>
      <c r="AB265" s="255">
        <f>IF(AND(ISNUMBER(AB262),ISNUMBER(W262)),IFERROR(AB262/W262-1,""),"")</f>
        <v>0.100315029456587</v>
      </c>
      <c r="AC265" s="255">
        <f>IF(AND(ISNUMBER(AC262),ISNUMBER(X262)),IFERROR(AC262/X262-1,""),"")</f>
        <v>0.0605219600640774</v>
      </c>
      <c r="AD265" s="255">
        <f>IF(AND(ISNUMBER(AD262),ISNUMBER(Y262)),IFERROR(AD262/Y262-1,""),"")</f>
        <v>0.140051702881654</v>
      </c>
      <c r="AE265" s="255">
        <f>IF(AND(ISNUMBER(AE262),ISNUMBER(Z262)),IFERROR(AE262/Z262-1,""),"")</f>
        <v>0.0645015340935111</v>
      </c>
      <c r="AF265" s="255">
        <f>IF(AND(ISNUMBER(AF262),ISNUMBER(AA262)),IFERROR(AF262/AA262-1,""),"")</f>
        <v>0.174505004613547</v>
      </c>
      <c r="AG265" s="255">
        <f>IF(AND(ISNUMBER(AG262),ISNUMBER(AB262)),IFERROR(AG262/AB262-1,""),"")</f>
        <v>0.41972615745841</v>
      </c>
      <c r="AH265" s="255">
        <f>IF(AND(ISNUMBER(AH262),ISNUMBER(AC262)),IFERROR(AH262/AC262-1,""),"")</f>
        <v>0.186052823188792</v>
      </c>
      <c r="AI265" s="255">
        <f>IF(AND(ISNUMBER(AI262),ISNUMBER(AD262)),IFERROR(AI262/AD262-1,""),"")</f>
        <v>0.10885377305502</v>
      </c>
      <c r="AJ265" s="255">
        <f>IF(AND(ISNUMBER(AJ262),ISNUMBER(AE262)),IFERROR(AJ262/AE262-1,""),"")</f>
        <v>0.168795147982357</v>
      </c>
      <c r="AK265" s="255">
        <f>IF(AND(ISNUMBER(AK262),ISNUMBER(AF262)),IFERROR(AK262/AF262-1,""),"")</f>
        <v>0.302204378673862</v>
      </c>
      <c r="AL265" s="255">
        <f>IF(AND(ISNUMBER(AL262),ISNUMBER(AG262)),IFERROR(AL262/AG262-1,""),"")</f>
        <v>0.148592722170135</v>
      </c>
      <c r="AM265" s="255">
        <f>IF(AND(ISNUMBER(AM262),ISNUMBER(AH262)),IFERROR(AM262/AH262-1,""),"")</f>
        <v>0.175033539226173</v>
      </c>
      <c r="AN265" s="255">
        <f>IF(AND(ISNUMBER(AN262),ISNUMBER(AI262)),IFERROR(AN262/AI262-1,""),"")</f>
        <v>0.347551056981176</v>
      </c>
      <c r="AO265" s="255">
        <f>IF(AND(ISNUMBER(AO262),ISNUMBER(AJ262)),IFERROR(AO262/AJ262-1,""),"")</f>
        <v>0.135364040778193</v>
      </c>
      <c r="AP265" s="255">
        <f>IF(AND(ISNUMBER(AP262),ISNUMBER(AK262)),IFERROR(AP262/AK262-1,""),"")</f>
        <v>0.19421825044751</v>
      </c>
      <c r="AQ265" s="255">
        <f>IF(AND(ISNUMBER(AQ262),ISNUMBER(AL262)),IFERROR(AQ262/AL262-1,""),"")</f>
        <v>0.218134800102147</v>
      </c>
      <c r="AR265" s="255">
        <f>IF(AND(ISNUMBER(AR262),ISNUMBER(AM262)),IFERROR(AR262/AM262-1,""),"")</f>
        <v>0.223271787322675</v>
      </c>
      <c r="AS265" s="255">
        <f>IF(AND(ISNUMBER(AS262),ISNUMBER(AN262)),IFERROR(AS262/AN262-1,""),"")</f>
        <v>0.218898170653553</v>
      </c>
      <c r="AT265" s="255">
        <f>IF(AND(ISNUMBER(AT262),ISNUMBER(AO262)),IFERROR(AT262/AO262-1,""),"")</f>
        <v>0.371764756496887</v>
      </c>
      <c r="AU265" s="255">
        <f>IF(AND(ISNUMBER(AU262),ISNUMBER(AP262)),IFERROR(AU262/AP262-1,""),"")</f>
        <v>0.231543073174718</v>
      </c>
      <c r="AV265" s="255">
        <f>IF(AND(ISNUMBER(AV262),ISNUMBER(AQ262)),IFERROR(AV262/AQ262-1,""),"")</f>
        <v>0.0658328717551051</v>
      </c>
      <c r="AW265" s="255">
        <f>IF(AND(ISNUMBER(AW262),ISNUMBER(AR262)),IFERROR(AW262/AR262-1,""),"")</f>
        <v>0.213262157718578</v>
      </c>
      <c r="AX265" s="255">
        <f>IF(AND(ISNUMBER(AX262),ISNUMBER(AS262)),IFERROR(AX262/AS262-1,""),"")</f>
        <v>0.313523075264023</v>
      </c>
      <c r="AY265" s="255">
        <f>IF(AND(ISNUMBER(AY262),ISNUMBER(AT262)),IFERROR(AY262/AT262-1,""),"")</f>
        <v>0.340481999843461</v>
      </c>
      <c r="AZ265" s="255">
        <f>IF(AND(ISNUMBER(AZ262),ISNUMBER(AU262)),IFERROR(AZ262/AU262-1,""),"")</f>
        <v>0.394097340565982</v>
      </c>
      <c r="BA265" s="255">
        <f>IF(AND(ISNUMBER(BA262),ISNUMBER(AV262)),IFERROR(BA262/AV262-1,""),"")</f>
        <v>0.482574165800993</v>
      </c>
      <c r="BB265" s="255">
        <f>IF(AND(ISNUMBER(BB262),ISNUMBER(AW262)),IFERROR(BB262/AW262-1,""),"")</f>
        <v>0.383186925240917</v>
      </c>
      <c r="BC265" s="255">
        <f>IF(AND(ISNUMBER(BC262),ISNUMBER(AX262)),IFERROR(BC262/AX262-1,""),"")</f>
        <v>0.250503234946249</v>
      </c>
      <c r="BD265" s="255">
        <f>IF(AND(ISNUMBER(BD262),ISNUMBER(AY262)),IFERROR(BD262/AY262-1,""),"")</f>
        <v>0.223340291012131</v>
      </c>
      <c r="BE265" s="255">
        <f>IF(AND(ISNUMBER(BE262),ISNUMBER(AZ262)),IFERROR(BE262/AZ262-1,""),"")</f>
        <v>0.136879495347541</v>
      </c>
      <c r="BF265" s="255">
        <f>IF(AND(ISNUMBER(BF262),ISNUMBER(BA262)),IFERROR(BF262/BA262-1,""),"")</f>
        <v>0.0272977389142277</v>
      </c>
      <c r="BG265" s="255">
        <f>IF(AND(ISNUMBER(BG262),ISNUMBER(BB262)),IFERROR(BG262/BB262-1,""),"")</f>
        <v>0.155352961481979</v>
      </c>
      <c r="BH265" s="255">
        <f>IF(AND(ISNUMBER(BH262),ISNUMBER(BC262)),IFERROR(BH262/BC262-1,""),"")</f>
        <v>0.0310404473405972</v>
      </c>
      <c r="BI265" s="255">
        <f>IF(AND(ISNUMBER(BI262),ISNUMBER(BD262)),IFERROR(BI262/BD262-1,""),"")</f>
        <v>-0.0641295429689524</v>
      </c>
      <c r="BJ265" s="255">
        <f>IF(AND(ISNUMBER(BJ262),ISNUMBER(BE262)),IFERROR(BJ262/BE262-1,""),"")</f>
        <v>0.10417350644804</v>
      </c>
      <c r="BK265" s="255">
        <f>IF(AND(ISNUMBER(BK262),ISNUMBER(BF262)),IFERROR(BK262/BF262-1,""),"")</f>
        <v>0.205847233202435</v>
      </c>
      <c r="BL265" s="255">
        <f>IF(AND(ISNUMBER(BL262),ISNUMBER(BG262)),IFERROR(BL262/BG262-1,""),"")</f>
        <v>0.0651884284748256</v>
      </c>
      <c r="BM265" s="255">
        <f>IF(AND(ISNUMBER(BM262),ISNUMBER(BH262)),IFERROR(BM262/BH262-1,""),"")</f>
        <v>0.273621963036047</v>
      </c>
      <c r="BN265" s="255">
        <f>IF(AND(ISNUMBER(BN262),ISNUMBER(BI262)),IFERROR(BN262/BI262-1,""),"")</f>
        <v>0.259837802922003</v>
      </c>
      <c r="BO265" s="255">
        <f>IF(AND(ISNUMBER(BO262),ISNUMBER(BJ262)),IFERROR(BO262/BJ262-1,""),"")</f>
        <v>0.197634335572333</v>
      </c>
      <c r="BP265" s="255">
        <f>IF(AND(ISNUMBER(BP262),ISNUMBER(BK262)),IFERROR(BP262/BK262-1,""),"")</f>
        <v>0.0966213974729968</v>
      </c>
      <c r="BQ265" s="255">
        <f>IF(AND(ISNUMBER(BQ262),ISNUMBER(BL262)),IFERROR(BQ262/BL262-1,""),"")</f>
        <v>0.202769186066656</v>
      </c>
      <c r="BR265" s="255">
        <f>IF(AND(ISNUMBER(BR262),ISNUMBER(BM262)),IFERROR(BR262/BM262-1,""),"")</f>
        <v>0.128842257310011</v>
      </c>
      <c r="BS265" s="255">
        <f>IF(AND(ISNUMBER(BS262),ISNUMBER(BN262)),IFERROR(BS262/BN262-1,""),"")</f>
        <v>0.145267489711934</v>
      </c>
      <c r="BT265" s="255">
        <f>IF(AND(ISNUMBER(BT262),ISNUMBER(BO262)),IFERROR(BT262/BO262-1,""),"")</f>
        <v>0.205430179898537</v>
      </c>
      <c r="BU265" s="255">
        <f>IF(AND(ISNUMBER(BU262),ISNUMBER(BP262)),IFERROR(BU262/BP262-1,""),"")</f>
        <v>0.309242720584749</v>
      </c>
      <c r="BV265" s="255">
        <f>IF(AND(ISNUMBER(BV262),ISNUMBER(BQ262)),IFERROR(BV262/BQ262-1,""),"")</f>
        <v>0.197110201909841</v>
      </c>
      <c r="BW265" s="255">
        <f>IF(AND(ISNUMBER(BW262),ISNUMBER(BR262)),IFERROR(BW262/BR262-1,""),"")</f>
        <v>0.224673249444059</v>
      </c>
      <c r="BX265" s="255">
        <f>IF(AND(ISNUMBER(BX262),ISNUMBER(BS262)),IFERROR(BX262/BS262-1,""),"")</f>
        <v>0.234004468382283</v>
      </c>
      <c r="BY265" s="255">
        <f>IF(AND(ISNUMBER(BY262),ISNUMBER(BT262)),IFERROR(BY262/BT262-1,""),"")</f>
        <v>0.206510545530454</v>
      </c>
      <c r="BZ265" s="255">
        <f>IF(AND(ISNUMBER(BZ262),ISNUMBER(BU262)),IFERROR(BZ262/BU262-1,""),"")</f>
        <v>0.227830288308333</v>
      </c>
      <c r="CA265" s="255">
        <f>IF(AND(ISNUMBER(CA262),ISNUMBER(BV262)),IFERROR(CA262/BV262-1,""),"")</f>
        <v>0.223242394999</v>
      </c>
      <c r="CB265" s="256">
        <f>IF(AND(ISNUMBER(CB262),ISNUMBER(BW262)),IFERROR(CB262/BW262-1,""),"")</f>
        <v>0.138837714761072</v>
      </c>
      <c r="CC265" s="256">
        <f>IF(AND(ISNUMBER(CC262),ISNUMBER(BX262)),IFERROR(CC262/BX262-1,""),"")</f>
        <v>0.1496249297414</v>
      </c>
      <c r="CD265" s="256">
        <f>IF(AND(ISNUMBER(CD262),ISNUMBER(BY262)),IFERROR(CD262/BY262-1,""),"")</f>
        <v>0.123797777531718</v>
      </c>
      <c r="CE265" s="256">
        <f>IF(AND(ISNUMBER(CE262),ISNUMBER(BZ262)),IFERROR(CE262/BZ262-1,""),"")</f>
        <v>0.0779705993636715</v>
      </c>
      <c r="CF265" s="256">
        <f>IF(AND(ISNUMBER(CF262),ISNUMBER(CA262)),IFERROR(CF262/CA262-1,""),"")</f>
        <v>0.120983972223805</v>
      </c>
      <c r="CG265" s="256">
        <f>IF(AND(ISNUMBER(CG262),ISNUMBER(CF262)),IFERROR(CG262/CF262-1,""),"")</f>
        <v>0.131338657709756</v>
      </c>
      <c r="CH265" s="256">
        <f>IF(AND(ISNUMBER(CH262),ISNUMBER(CG262)),IFERROR(CH262/CG262-1,""),"")</f>
        <v>0.160951843757244</v>
      </c>
      <c r="CI265" s="256">
        <f>IF(AND(ISNUMBER(CI262),ISNUMBER(CH262)),IFERROR(CI262/CH262-1,""),"")</f>
        <v>0.175469022600783</v>
      </c>
      <c r="CJ265" s="256">
        <f>IF(AND(ISNUMBER(CJ262),ISNUMBER(CI262)),IFERROR(CJ262/CI262-1,""),"")</f>
        <v>0.166019955282902</v>
      </c>
      <c r="CK265" s="153" t="n"/>
    </row>
    <row r="266" ht="15" customHeight="1" s="251">
      <c r="B266" s="25" t="inlineStr">
        <is>
          <t xml:space="preserve">  Effective tax rate used for NOPAT (GAAP rate)</t>
        </is>
      </c>
      <c r="C266" s="215">
        <f>C200</f>
        <v>0.310097470156609</v>
      </c>
      <c r="D266" s="215">
        <f>D200</f>
        <v>0.300283567981693</v>
      </c>
      <c r="E266" s="215">
        <f>E200</f>
        <v>0.257537582934408</v>
      </c>
      <c r="F266" s="215">
        <f>F200</f>
        <v>0.264971494879169</v>
      </c>
      <c r="G266" s="215">
        <f>G200</f>
        <v>0.249990005197297</v>
      </c>
      <c r="H266" s="215">
        <f>H200</f>
        <v>0.17530547540166</v>
      </c>
      <c r="I266" s="215">
        <f>I200</f>
        <v>0.237526384335564</v>
      </c>
      <c r="J266" s="215">
        <f>J200</f>
        <v>0.192988796530539</v>
      </c>
      <c r="K266" s="215">
        <f>K200</f>
        <v>0.179279279279279</v>
      </c>
      <c r="L266" s="215">
        <f>L200</f>
        <v>0.203603840589241</v>
      </c>
      <c r="M266" s="215">
        <f>M200</f>
        <v>0.192026037428804</v>
      </c>
      <c r="N266" s="215">
        <f>N200</f>
        <v>0.191815762235694</v>
      </c>
      <c r="O266" s="215">
        <f>O200</f>
        <v>0.181647940074906</v>
      </c>
      <c r="P266" s="215">
        <f>P200</f>
        <v>0.167555217060168</v>
      </c>
      <c r="Q266" s="215">
        <f>Q200</f>
        <v>0.186430932873365</v>
      </c>
      <c r="R266" s="215">
        <f>R200</f>
        <v>0.298768435456895</v>
      </c>
      <c r="S266" s="215">
        <f>S200</f>
        <v>0.206542056074766</v>
      </c>
      <c r="T266" s="215">
        <f>T200</f>
        <v>0.229986431478969</v>
      </c>
      <c r="U266" s="215">
        <f>U200</f>
        <v>0.25312101910828</v>
      </c>
      <c r="V266" s="215">
        <f>V200</f>
        <v>0.235077489642474</v>
      </c>
      <c r="W266" s="215">
        <f>W200</f>
        <v>-0.819476082004556</v>
      </c>
      <c r="X266" s="215">
        <f>X200</f>
        <v>0.34116820662452</v>
      </c>
      <c r="Y266" s="215">
        <f>Y200</f>
        <v>0.161980772719028</v>
      </c>
      <c r="Z266" s="215">
        <f>Z200</f>
        <v>0.146370623398804</v>
      </c>
      <c r="AA266" s="215">
        <f>AA200</f>
        <v>0.254169976171565</v>
      </c>
      <c r="AB266" s="215">
        <f>AB200</f>
        <v>0.0672243800418285</v>
      </c>
      <c r="AC266" s="215">
        <f>AC200</f>
        <v>0.149511417143436</v>
      </c>
      <c r="AD266" s="215">
        <f>AD200</f>
        <v>0.11924882629108</v>
      </c>
      <c r="AE266" s="215">
        <f>AE200</f>
        <v>0.182775420399183</v>
      </c>
      <c r="AF266" s="215">
        <f>AF200</f>
        <v>0.188471940500338</v>
      </c>
      <c r="AG266" s="215">
        <f>AG200</f>
        <v>-0.174571686203787</v>
      </c>
      <c r="AH266" s="215">
        <f>AH200</f>
        <v>0.0840209080305845</v>
      </c>
      <c r="AI266" s="215">
        <f>AI200</f>
        <v>0.176352705410822</v>
      </c>
      <c r="AJ266" s="215">
        <f>AJ200</f>
        <v>1.68731595593849</v>
      </c>
      <c r="AK266" s="215">
        <f>AK200</f>
        <v>0.14084018053466</v>
      </c>
      <c r="AL266" s="215">
        <f>AL200</f>
        <v>0.169194756554307</v>
      </c>
      <c r="AM266" s="215">
        <f>AM200</f>
        <v>0.545676372210342</v>
      </c>
      <c r="AN266" s="215">
        <f>AN200</f>
        <v>0.136679385578711</v>
      </c>
      <c r="AO266" s="215">
        <f>AO200</f>
        <v>0.189215214251324</v>
      </c>
      <c r="AP266" s="215">
        <f>AP200</f>
        <v>0.159927522410834</v>
      </c>
      <c r="AQ266" s="215">
        <f>AQ200</f>
        <v>-0.046919657033979</v>
      </c>
      <c r="AR266" s="215">
        <f>AR200</f>
        <v>0.1018128547885</v>
      </c>
      <c r="AS266" s="215">
        <f>AS200</f>
        <v>0.158284723317042</v>
      </c>
      <c r="AT266" s="215">
        <f>AT200</f>
        <v>0.172949946751864</v>
      </c>
      <c r="AU266" s="215">
        <f>AU200</f>
        <v>0.162812427003037</v>
      </c>
      <c r="AV266" s="215">
        <f>AV200</f>
        <v>0.165400089405454</v>
      </c>
      <c r="AW266" s="215">
        <f>AW200</f>
        <v>0.165076551776152</v>
      </c>
      <c r="AX266" s="215">
        <f>AX200</f>
        <v>0.138365169933019</v>
      </c>
      <c r="AY266" s="215">
        <f>AY200</f>
        <v>0.156732289905655</v>
      </c>
      <c r="AZ266" s="215">
        <f>AZ200</f>
        <v>0.103214202831283</v>
      </c>
      <c r="BA266" s="215">
        <f>BA200</f>
        <v>0.151868075238341</v>
      </c>
      <c r="BB266" s="215">
        <f>BB200</f>
        <v>0.138266152850834</v>
      </c>
      <c r="BC266" s="215">
        <f>BC200</f>
        <v>0.000925745468719548</v>
      </c>
      <c r="BD266" s="215">
        <f>BD200</f>
        <v>0.16655562958028</v>
      </c>
      <c r="BE266" s="215">
        <f>BE200</f>
        <v>0.17147102526003</v>
      </c>
      <c r="BF266" s="215">
        <f>BF200</f>
        <v>0.182896470932787</v>
      </c>
      <c r="BG266" s="215">
        <f>BG200</f>
        <v>0.131133833436858</v>
      </c>
      <c r="BH266" s="215">
        <f>BH200</f>
        <v>0.18616725384758</v>
      </c>
      <c r="BI266" s="215">
        <f>BI200</f>
        <v>0.192438172968189</v>
      </c>
      <c r="BJ266" s="215">
        <f>BJ200</f>
        <v>0.192916685043885</v>
      </c>
      <c r="BK266" s="215">
        <f>BK200</f>
        <v>0.187891778218142</v>
      </c>
      <c r="BL266" s="215">
        <f>BL200</f>
        <v>0.189786252533283</v>
      </c>
      <c r="BM266" s="215">
        <f>BM200</f>
        <v>0.183001026242486</v>
      </c>
      <c r="BN266" s="215">
        <f>BN200</f>
        <v>0.175525899117847</v>
      </c>
      <c r="BO266" s="215">
        <f>BO200</f>
        <v>0.179144685149848</v>
      </c>
      <c r="BP266" s="215">
        <f>BP200</f>
        <v>0.191339449541284</v>
      </c>
      <c r="BQ266" s="215">
        <f>BQ200</f>
        <v>0.182313265978272</v>
      </c>
      <c r="BR266" s="215">
        <f>BR200</f>
        <v>0.185073837919984</v>
      </c>
      <c r="BS266" s="215">
        <f>BS200</f>
        <v>0.179022646007151</v>
      </c>
      <c r="BT266" s="215">
        <f>BT200</f>
        <v>0.176976766421264</v>
      </c>
      <c r="BU266" s="215">
        <f>BU200</f>
        <v>0.165041697326466</v>
      </c>
      <c r="BV266" s="215">
        <f>BV200</f>
        <v>0.176296440098037</v>
      </c>
      <c r="BW266" s="215">
        <f>BW200</f>
        <v>0.191073146555494</v>
      </c>
      <c r="BX266" s="215">
        <f>BX200</f>
        <v>0.202876922439166</v>
      </c>
      <c r="BY266" s="215">
        <f>BY200</f>
        <v>0.192221657346213</v>
      </c>
      <c r="BZ266" s="215">
        <f>BZ200</f>
        <v>0.188003723295571</v>
      </c>
      <c r="CA266" s="215">
        <f>CA200</f>
        <v>0.193962659852713</v>
      </c>
      <c r="CB266" s="256">
        <f>CB200</f>
        <v>0.2</v>
      </c>
      <c r="CC266" s="256">
        <f>CC200</f>
        <v>0.2</v>
      </c>
      <c r="CD266" s="256">
        <f>CD200</f>
        <v>0.2</v>
      </c>
      <c r="CE266" s="256">
        <f>CE200</f>
        <v>0.2</v>
      </c>
      <c r="CF266" s="256">
        <f>CF200</f>
        <v>0.2</v>
      </c>
      <c r="CG266" s="256">
        <f>CG200</f>
        <v>0.19</v>
      </c>
      <c r="CH266" s="256">
        <f>CH200</f>
        <v>0.19</v>
      </c>
      <c r="CI266" s="256">
        <f>CI200</f>
        <v>0.19</v>
      </c>
      <c r="CJ266" s="256">
        <f>CJ200</f>
        <v>0.19</v>
      </c>
      <c r="CK266" s="153" t="n"/>
    </row>
    <row r="267" ht="15" customHeight="1" s="251">
      <c r="B267" s="158" t="inlineStr">
        <is>
          <t xml:space="preserve">  Definition / basis (company adjusted EPS definition)</t>
        </is>
      </c>
      <c r="C267" s="276" t="inlineStr">
        <is>
          <t>FY2006–FY2011: no adjusted EPS published — adjusted = GAAP (flag)</t>
        </is>
      </c>
      <c r="I267" s="276" t="inlineStr">
        <is>
          <t>FY2012–Q1 FY14: per-share bridges only — after-tax $ = per-share effect × diluted shares (labelled)</t>
        </is>
      </c>
      <c r="AJ267" s="276" t="inlineStr">
        <is>
          <t>FY2018–FY2022: discrete tax items adjusted out (TCJA, intangible-property transfers, India withholding-tax decision)</t>
        </is>
      </c>
      <c r="BR267" s="276" t="inlineStr">
        <is>
          <t>FY2025–FY2026: impact from investments in OpenAI adjusted out (net income / EPS only)</t>
        </is>
      </c>
      <c r="CB267" s="153" t="n"/>
      <c r="CC267" s="153" t="n"/>
      <c r="CD267" s="153" t="n"/>
      <c r="CE267" s="153" t="n"/>
      <c r="CF267" s="153" t="n"/>
      <c r="CG267" s="153" t="n"/>
      <c r="CH267" s="153" t="n"/>
      <c r="CI267" s="153" t="n"/>
      <c r="CJ267" s="153" t="n"/>
      <c r="CK267" s="19" t="n"/>
    </row>
    <row r="268" ht="15" customHeight="1" s="251">
      <c r="CS268" s="11" t="n"/>
      <c r="CT268" s="12" t="n"/>
      <c r="CU268" s="12" t="n"/>
      <c r="CV268" s="12" t="n"/>
      <c r="CW268" s="13" t="n"/>
    </row>
    <row r="269" ht="15" customHeight="1" s="251">
      <c r="B269" s="10" t="inlineStr">
        <is>
          <t>GROWTH &amp; MARGINS</t>
        </is>
      </c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0" t="n"/>
      <c r="BC269" s="10" t="n"/>
      <c r="BD269" s="10" t="n"/>
      <c r="BE269" s="10" t="n"/>
      <c r="BF269" s="10" t="n"/>
      <c r="BG269" s="10" t="n"/>
      <c r="BH269" s="10" t="n"/>
      <c r="BI269" s="10" t="n"/>
      <c r="BJ269" s="10" t="n"/>
      <c r="BK269" s="10" t="n"/>
      <c r="BL269" s="10" t="n"/>
      <c r="BM269" s="10" t="n"/>
      <c r="BN269" s="10" t="n"/>
      <c r="BO269" s="10" t="n"/>
      <c r="BP269" s="10" t="n"/>
      <c r="BQ269" s="10" t="n"/>
      <c r="BR269" s="10" t="n"/>
      <c r="BS269" s="10" t="n"/>
      <c r="BT269" s="10" t="n"/>
      <c r="BU269" s="10" t="n"/>
      <c r="BV269" s="10" t="n"/>
      <c r="BW269" s="10" t="n"/>
      <c r="BX269" s="10" t="n"/>
      <c r="BY269" s="10" t="n"/>
      <c r="BZ269" s="10" t="n"/>
      <c r="CA269" s="10" t="n"/>
      <c r="CB269" s="10" t="n"/>
      <c r="CC269" s="10" t="n"/>
      <c r="CD269" s="10" t="n"/>
      <c r="CE269" s="10" t="n"/>
      <c r="CF269" s="10" t="n"/>
      <c r="CG269" s="10" t="n"/>
      <c r="CH269" s="10" t="n"/>
      <c r="CI269" s="10" t="n"/>
      <c r="CJ269" s="10" t="n"/>
      <c r="CK269" s="10" t="inlineStr">
        <is>
          <t>GROWTH &amp; MARGINS (consolidated) — forecast outputs</t>
        </is>
      </c>
    </row>
    <row r="270" ht="15" customHeight="1" s="251">
      <c r="B270" s="22" t="inlineStr">
        <is>
          <t xml:space="preserve">  Revenue y/y %</t>
        </is>
      </c>
      <c r="C270" s="23" t="n"/>
      <c r="D270" s="255">
        <f>IF(AND(ISNUMBER(D179),ISNUMBER(C179)),IFERROR(D179/C179-1,""),"")</f>
        <v>0.154464567996025</v>
      </c>
      <c r="E270" s="255">
        <f>IF(AND(ISNUMBER(E179),ISNUMBER(D179)),IFERROR(E179/D179-1,""),"")</f>
        <v>0.181878643245569</v>
      </c>
      <c r="F270" s="255">
        <f>IF(AND(ISNUMBER(F179),ISNUMBER(E179)),IFERROR(F179/E179-1,""),"")</f>
        <v>-0.0328202581926514</v>
      </c>
      <c r="G270" s="255">
        <f>IF(AND(ISNUMBER(G179),ISNUMBER(F179)),IFERROR(G179/F179-1,""),"")</f>
        <v>0.0692540684840084</v>
      </c>
      <c r="H270" s="255">
        <f>IF(AND(ISNUMBER(H179),ISNUMBER(G179)),IFERROR(H179/G179-1,""),"")</f>
        <v>0.119374559887331</v>
      </c>
      <c r="I270" s="255">
        <f>IF(AND(ISNUMBER(I179),ISNUMBER(H179)),IFERROR(I179/H179-1,""),"")</f>
        <v>0.054044007263057</v>
      </c>
      <c r="J270" s="23" t="n"/>
      <c r="K270" s="23" t="n"/>
      <c r="L270" s="23" t="n"/>
      <c r="M270" s="23" t="n"/>
      <c r="N270" s="255">
        <f>IF(AND(ISNUMBER(N179),ISNUMBER(I179)),IFERROR(N179/I179-1,""),"")</f>
        <v>0.0559662520515984</v>
      </c>
      <c r="O270" s="255">
        <f>IF(AND(ISNUMBER(O179),ISNUMBER(J179)),IFERROR(O179/J179-1,""),"")</f>
        <v>0.15748375812094</v>
      </c>
      <c r="P270" s="255">
        <f>IF(AND(ISNUMBER(P179),ISNUMBER(K179)),IFERROR(P179/K179-1,""),"")</f>
        <v>0.142757270693512</v>
      </c>
      <c r="Q270" s="255">
        <f>IF(AND(ISNUMBER(Q179),ISNUMBER(L179)),IFERROR(Q179/L179-1,""),"")</f>
        <v>-0.00419737420079069</v>
      </c>
      <c r="R270" s="255">
        <f>IF(AND(ISNUMBER(R179),ISNUMBER(M179)),IFERROR(R179/M179-1,""),"")</f>
        <v>0.175211097708082</v>
      </c>
      <c r="S270" s="255">
        <f>IF(AND(ISNUMBER(S179),ISNUMBER(N179)),IFERROR(S179/N179-1,""),"")</f>
        <v>0.115402895348688</v>
      </c>
      <c r="T270" s="255">
        <f>IF(AND(ISNUMBER(T179),ISNUMBER(O179)),IFERROR(T179/O179-1,""),"")</f>
        <v>0.252145285768255</v>
      </c>
      <c r="U270" s="255">
        <f>IF(AND(ISNUMBER(U179),ISNUMBER(P179)),IFERROR(U179/P179-1,""),"")</f>
        <v>0.079570944981443</v>
      </c>
      <c r="V270" s="255">
        <f>IF(AND(ISNUMBER(V179),ISNUMBER(Q179)),IFERROR(V179/Q179-1,""),"")</f>
        <v>0.0649904425819732</v>
      </c>
      <c r="W270" s="255">
        <f>IF(AND(ISNUMBER(W179),ISNUMBER(R179)),IFERROR(W179/R179-1,""),"")</f>
        <v>-0.0514070652638782</v>
      </c>
      <c r="X270" s="255">
        <f>IF(AND(ISNUMBER(X179),ISNUMBER(S179)),IFERROR(X179/S179-1,""),"")</f>
        <v>0.0777008740916472</v>
      </c>
      <c r="Y270" s="255">
        <f>IF(AND(ISNUMBER(Y179),ISNUMBER(T179)),IFERROR(Y179/T179-1,""),"")</f>
        <v>-0.121632688246196</v>
      </c>
      <c r="Z270" s="255">
        <f>IF(AND(ISNUMBER(Z179),ISNUMBER(U179)),IFERROR(Z179/U179-1,""),"")</f>
        <v>-0.10102002266717</v>
      </c>
      <c r="AA270" s="255">
        <f>IF(AND(ISNUMBER(AA179),ISNUMBER(V179)),IFERROR(AA179/V179-1,""),"")</f>
        <v>-0.0551336923006121</v>
      </c>
      <c r="AB270" s="255">
        <f>IF(AND(ISNUMBER(AB179),ISNUMBER(W179)),IFERROR(AB179/W179-1,""),"")</f>
        <v>-0.0706041478809738</v>
      </c>
      <c r="AC270" s="255">
        <f>IF(AND(ISNUMBER(AC179),ISNUMBER(X179)),IFERROR(AC179/X179-1,""),"")</f>
        <v>-0.0882667236589014</v>
      </c>
      <c r="AD270" s="255">
        <f>IF(AND(ISNUMBER(AD179),ISNUMBER(Y179)),IFERROR(AD179/Y179-1,""),"")</f>
        <v>0.0036311889690368</v>
      </c>
      <c r="AE270" s="255">
        <f>IF(AND(ISNUMBER(AE179),ISNUMBER(Z179)),IFERROR(AE179/Z179-1,""),"")</f>
        <v>0.0123550176500251</v>
      </c>
      <c r="AF270" s="255">
        <f>IF(AND(ISNUMBER(AF179),ISNUMBER(AA179)),IFERROR(AF179/AA179-1,""),"")</f>
        <v>0.0759339535336807</v>
      </c>
      <c r="AG270" s="255">
        <f>IF(AND(ISNUMBER(AG179),ISNUMBER(AB179)),IFERROR(AG179/AB179-1,""),"")</f>
        <v>0.131124478509751</v>
      </c>
      <c r="AH270" s="255">
        <f>IF(AND(ISNUMBER(AH179),ISNUMBER(AC179)),IFERROR(AH179/AC179-1,""),"")</f>
        <v>0.0542662916080638</v>
      </c>
      <c r="AI270" s="255">
        <f>IF(AND(ISNUMBER(AI179),ISNUMBER(AD179)),IFERROR(AI179/AD179-1,""),"")</f>
        <v>0.199726201535227</v>
      </c>
      <c r="AJ270" s="255">
        <f>IF(AND(ISNUMBER(AJ179),ISNUMBER(AE179)),IFERROR(AJ179/AE179-1,""),"")</f>
        <v>0.200415110004151</v>
      </c>
      <c r="AK270" s="255">
        <f>IF(AND(ISNUMBER(AK179),ISNUMBER(AF179)),IFERROR(AK179/AF179-1,""),"")</f>
        <v>0.214078768673608</v>
      </c>
      <c r="AL270" s="255">
        <f>IF(AND(ISNUMBER(AL179),ISNUMBER(AG179)),IFERROR(AL179/AG179-1,""),"")</f>
        <v>0.290260325084702</v>
      </c>
      <c r="AM270" s="255">
        <f>IF(AND(ISNUMBER(AM179),ISNUMBER(AH179)),IFERROR(AM179/AH179-1,""),"")</f>
        <v>0.226903835464147</v>
      </c>
      <c r="AN270" s="255">
        <f>IF(AND(ISNUMBER(AN179),ISNUMBER(AI179)),IFERROR(AN179/AI179-1,""),"")</f>
        <v>0.185263672670959</v>
      </c>
      <c r="AO270" s="255">
        <f>IF(AND(ISNUMBER(AO179),ISNUMBER(AJ179)),IFERROR(AO179/AJ179-1,""),"")</f>
        <v>0.122864651773982</v>
      </c>
      <c r="AP270" s="255">
        <f>IF(AND(ISNUMBER(AP179),ISNUMBER(AK179)),IFERROR(AP179/AK179-1,""),"")</f>
        <v>0.139900816585257</v>
      </c>
      <c r="AQ270" s="255">
        <f>IF(AND(ISNUMBER(AQ179),ISNUMBER(AL179)),IFERROR(AQ179/AL179-1,""),"")</f>
        <v>0.120724613594815</v>
      </c>
      <c r="AR270" s="255">
        <f>IF(AND(ISNUMBER(AR179),ISNUMBER(AM179)),IFERROR(AR179/AM179-1,""),"")</f>
        <v>0.140295396882929</v>
      </c>
      <c r="AS270" s="255">
        <f>IF(AND(ISNUMBER(AS179),ISNUMBER(AN179)),IFERROR(AS179/AN179-1,""),"")</f>
        <v>0.136535552193646</v>
      </c>
      <c r="AT270" s="255">
        <f>IF(AND(ISNUMBER(AT179),ISNUMBER(AO179)),IFERROR(AT179/AO179-1,""),"")</f>
        <v>0.136583412891503</v>
      </c>
      <c r="AU270" s="255">
        <f>IF(AND(ISNUMBER(AU179),ISNUMBER(AP179)),IFERROR(AU179/AP179-1,""),"")</f>
        <v>0.145562788263387</v>
      </c>
      <c r="AV270" s="255">
        <f>IF(AND(ISNUMBER(AV179),ISNUMBER(AQ179)),IFERROR(AV179/AQ179-1,""),"")</f>
        <v>0.128006643532936</v>
      </c>
      <c r="AW270" s="255">
        <f>IF(AND(ISNUMBER(AW179),ISNUMBER(AR179)),IFERROR(AW179/AR179-1,""),"")</f>
        <v>0.136455742472764</v>
      </c>
      <c r="AX270" s="255">
        <f>IF(AND(ISNUMBER(AX179),ISNUMBER(AS179)),IFERROR(AX179/AS179-1,""),"")</f>
        <v>0.124005445469672</v>
      </c>
      <c r="AY270" s="255">
        <f>IF(AND(ISNUMBER(AY179),ISNUMBER(AT179)),IFERROR(AY179/AT179-1,""),"")</f>
        <v>0.167181488104915</v>
      </c>
      <c r="AZ270" s="255">
        <f>IF(AND(ISNUMBER(AZ179),ISNUMBER(AU179)),IFERROR(AZ179/AU179-1,""),"")</f>
        <v>0.190885468718769</v>
      </c>
      <c r="BA270" s="255">
        <f>IF(AND(ISNUMBER(BA179),ISNUMBER(AV179)),IFERROR(BA179/AV179-1,""),"")</f>
        <v>0.21347251071438</v>
      </c>
      <c r="BB270" s="255">
        <f>IF(AND(ISNUMBER(BB179),ISNUMBER(AW179)),IFERROR(BB179/AW179-1,""),"")</f>
        <v>0.175317274411775</v>
      </c>
      <c r="BC270" s="255">
        <f>IF(AND(ISNUMBER(BC179),ISNUMBER(AX179)),IFERROR(BC179/AX179-1,""),"")</f>
        <v>0.219707164773645</v>
      </c>
      <c r="BD270" s="255">
        <f>IF(AND(ISNUMBER(BD179),ISNUMBER(AY179)),IFERROR(BD179/AY179-1,""),"")</f>
        <v>0.2008543040208</v>
      </c>
      <c r="BE270" s="255">
        <f>IF(AND(ISNUMBER(BE179),ISNUMBER(AZ179)),IFERROR(BE179/AZ179-1,""),"")</f>
        <v>0.183522754519733</v>
      </c>
      <c r="BF270" s="255">
        <f>IF(AND(ISNUMBER(BF179),ISNUMBER(BA179)),IFERROR(BF179/BA179-1,""),"")</f>
        <v>0.123786618131392</v>
      </c>
      <c r="BG270" s="255">
        <f>IF(AND(ISNUMBER(BG179),ISNUMBER(BB179)),IFERROR(BG179/BB179-1,""),"")</f>
        <v>0.179560706296702</v>
      </c>
      <c r="BH270" s="255">
        <f>IF(AND(ISNUMBER(BH179),ISNUMBER(BC179)),IFERROR(BH179/BC179-1,""),"")</f>
        <v>0.106030849350133</v>
      </c>
      <c r="BI270" s="255">
        <f>IF(AND(ISNUMBER(BI179),ISNUMBER(BD179)),IFERROR(BI179/BD179-1,""),"")</f>
        <v>0.0196991957933808</v>
      </c>
      <c r="BJ270" s="255">
        <f>IF(AND(ISNUMBER(BJ179),ISNUMBER(BE179)),IFERROR(BJ179/BE179-1,""),"")</f>
        <v>0.0708468395461912</v>
      </c>
      <c r="BK270" s="255">
        <f>IF(AND(ISNUMBER(BK179),ISNUMBER(BF179)),IFERROR(BK179/BF179-1,""),"")</f>
        <v>0.0833702882483369</v>
      </c>
      <c r="BL270" s="255">
        <f>IF(AND(ISNUMBER(BL179),ISNUMBER(BG179)),IFERROR(BL179/BG179-1,""),"")</f>
        <v>0.0688202955565642</v>
      </c>
      <c r="BM270" s="255">
        <f>IF(AND(ISNUMBER(BM179),ISNUMBER(BH179)),IFERROR(BM179/BH179-1,""),"")</f>
        <v>0.127588683611987</v>
      </c>
      <c r="BN270" s="255">
        <f>IF(AND(ISNUMBER(BN179),ISNUMBER(BI179)),IFERROR(BN179/BI179-1,""),"")</f>
        <v>0.175801467382031</v>
      </c>
      <c r="BO270" s="255">
        <f>IF(AND(ISNUMBER(BO179),ISNUMBER(BJ179)),IFERROR(BO179/BJ179-1,""),"")</f>
        <v>0.170289649431485</v>
      </c>
      <c r="BP270" s="255">
        <f>IF(AND(ISNUMBER(BP179),ISNUMBER(BK179)),IFERROR(BP179/BK179-1,""),"")</f>
        <v>0.15195144957198</v>
      </c>
      <c r="BQ270" s="255">
        <f>IF(AND(ISNUMBER(BQ179),ISNUMBER(BL179)),IFERROR(BQ179/BL179-1,""),"")</f>
        <v>0.156699620130713</v>
      </c>
      <c r="BR270" s="255">
        <f>IF(AND(ISNUMBER(BR179),ISNUMBER(BM179)),IFERROR(BR179/BM179-1,""),"")</f>
        <v>0.160447299042766</v>
      </c>
      <c r="BS270" s="255">
        <f>IF(AND(ISNUMBER(BS179),ISNUMBER(BN179)),IFERROR(BS179/BN179-1,""),"")</f>
        <v>0.122734601741374</v>
      </c>
      <c r="BT270" s="255">
        <f>IF(AND(ISNUMBER(BT179),ISNUMBER(BO179)),IFERROR(BT179/BO179-1,""),"")</f>
        <v>0.132691001972259</v>
      </c>
      <c r="BU270" s="255">
        <f>IF(AND(ISNUMBER(BU179),ISNUMBER(BP179)),IFERROR(BU179/BP179-1,""),"")</f>
        <v>0.180975481638265</v>
      </c>
      <c r="BV270" s="255">
        <f>IF(AND(ISNUMBER(BV179),ISNUMBER(BQ179)),IFERROR(BV179/BQ179-1,""),"")</f>
        <v>0.149321562324067</v>
      </c>
      <c r="BW270" s="255">
        <f>IF(AND(ISNUMBER(BW179),ISNUMBER(BR179)),IFERROR(BW179/BR179-1,""),"")</f>
        <v>0.184310436837692</v>
      </c>
      <c r="BX270" s="255">
        <f>IF(AND(ISNUMBER(BX179),ISNUMBER(BS179)),IFERROR(BX179/BS179-1,""),"")</f>
        <v>0.167178883272059</v>
      </c>
      <c r="BY270" s="255">
        <f>IF(AND(ISNUMBER(BY179),ISNUMBER(BT179)),IFERROR(BY179/BT179-1,""),"")</f>
        <v>0.182970342248737</v>
      </c>
      <c r="BZ270" s="255">
        <f>IF(AND(ISNUMBER(BZ179),ISNUMBER(BU179)),IFERROR(BZ179/BU179-1,""),"")</f>
        <v>0.177470205779621</v>
      </c>
      <c r="CA270" s="255">
        <f>IF(AND(ISNUMBER(CA179),ISNUMBER(BV179)),IFERROR(CA179/BV179-1,""),"")</f>
        <v>0.177886867998467</v>
      </c>
      <c r="CB270" s="256">
        <f>IF(AND(ISNUMBER(CB179),ISNUMBER(BW179)),IFERROR(CB179/BW179-1,""),"")</f>
        <v>0.163853591338045</v>
      </c>
      <c r="CC270" s="256">
        <f>IF(AND(ISNUMBER(CC179),ISNUMBER(BX179)),IFERROR(CC179/BX179-1,""),"")</f>
        <v>0.16662011912817</v>
      </c>
      <c r="CD270" s="256">
        <f>IF(AND(ISNUMBER(CD179),ISNUMBER(BY179)),IFERROR(CD179/BY179-1,""),"")</f>
        <v>0.176101379066418</v>
      </c>
      <c r="CE270" s="256">
        <f>IF(AND(ISNUMBER(CE179),ISNUMBER(BZ179)),IFERROR(CE179/BZ179-1,""),"")</f>
        <v>0.182344330348438</v>
      </c>
      <c r="CF270" s="256">
        <f>IF(AND(ISNUMBER(CF179),ISNUMBER(CA179)),IFERROR(CF179/CA179-1,""),"")</f>
        <v>0.172605757577846</v>
      </c>
      <c r="CG270" s="256">
        <f>IF(AND(ISNUMBER(CG179),ISNUMBER(CF179)),IFERROR(CG179/CF179-1,""),"")</f>
        <v>0.170361524896188</v>
      </c>
      <c r="CH270" s="256">
        <f>IF(AND(ISNUMBER(CH179),ISNUMBER(CG179)),IFERROR(CH179/CG179-1,""),"")</f>
        <v>0.156926431193326</v>
      </c>
      <c r="CI270" s="256">
        <f>IF(AND(ISNUMBER(CI179),ISNUMBER(CH179)),IFERROR(CI179/CH179-1,""),"")</f>
        <v>0.137575697728593</v>
      </c>
      <c r="CJ270" s="256">
        <f>IF(AND(ISNUMBER(CJ179),ISNUMBER(CI179)),IFERROR(CJ179/CI179-1,""),"")</f>
        <v>0.120699410271791</v>
      </c>
      <c r="CK270" s="153" t="n"/>
      <c r="CM270" s="37">
        <f>IFERROR(AVERAGE(CF270,CG270,CH270,CI270,CJ270),"n/m")</f>
        <v>0.151633764333549</v>
      </c>
      <c r="CN270" s="37">
        <f>IFERROR(AVERAGE(BG270,BL270,BQ270,BV270,CA270),"n/m")</f>
        <v>0.146457810461303</v>
      </c>
      <c r="CO270" s="37">
        <f>IFERROR(AVERAGE(AH270,AM270,AR270,AW270,BB270,BG270,BL270,BQ270,BV270,CA270),"n/m")</f>
        <v>0.146552759314619</v>
      </c>
      <c r="CP270" s="37">
        <f>IFERROR(AVERAGE(C270,D270,E270,F270,G270,H270,I270,N270,S270,X270,AC270,AH270,AM270,AR270,AW270,BB270,BG270,BL270,BQ270,BV270,CA270),"n/m")</f>
        <v>0.108626323983128</v>
      </c>
    </row>
    <row r="271" ht="15" customHeight="1" s="251">
      <c r="B271" s="22" t="inlineStr">
        <is>
          <t xml:space="preserve">  Agents and Infra revenue y/y %</t>
        </is>
      </c>
      <c r="C271" s="23" t="n"/>
      <c r="D271" s="255">
        <f>IF(AND(ISNUMBER(D26),ISNUMBER(C26)),IFERROR(D26/C26-1,""),"")</f>
      </c>
      <c r="E271" s="255">
        <f>IF(AND(ISNUMBER(E26),ISNUMBER(D26)),IFERROR(E26/D26-1,""),"")</f>
      </c>
      <c r="F271" s="255">
        <f>IF(AND(ISNUMBER(F26),ISNUMBER(E26)),IFERROR(F26/E26-1,""),"")</f>
      </c>
      <c r="G271" s="255">
        <f>IF(AND(ISNUMBER(G26),ISNUMBER(F26)),IFERROR(G26/F26-1,""),"")</f>
      </c>
      <c r="H271" s="255">
        <f>IF(AND(ISNUMBER(H26),ISNUMBER(G26)),IFERROR(H26/G26-1,""),"")</f>
      </c>
      <c r="I271" s="255">
        <f>IF(AND(ISNUMBER(I26),ISNUMBER(H26)),IFERROR(I26/H26-1,""),"")</f>
      </c>
      <c r="J271" s="23" t="n"/>
      <c r="K271" s="23" t="n"/>
      <c r="L271" s="23" t="n"/>
      <c r="M271" s="23" t="n"/>
      <c r="N271" s="255">
        <f>IF(AND(ISNUMBER(N26),ISNUMBER(I26)),IFERROR(N26/I26-1,""),"")</f>
      </c>
      <c r="O271" s="255">
        <f>IF(AND(ISNUMBER(O26),ISNUMBER(J26)),IFERROR(O26/J26-1,""),"")</f>
      </c>
      <c r="P271" s="255">
        <f>IF(AND(ISNUMBER(P26),ISNUMBER(K26)),IFERROR(P26/K26-1,""),"")</f>
      </c>
      <c r="Q271" s="255">
        <f>IF(AND(ISNUMBER(Q26),ISNUMBER(L26)),IFERROR(Q26/L26-1,""),"")</f>
      </c>
      <c r="R271" s="255">
        <f>IF(AND(ISNUMBER(R26),ISNUMBER(M26)),IFERROR(R26/M26-1,""),"")</f>
      </c>
      <c r="S271" s="255">
        <f>IF(AND(ISNUMBER(S26),ISNUMBER(N26)),IFERROR(S26/N26-1,""),"")</f>
      </c>
      <c r="T271" s="255">
        <f>IF(AND(ISNUMBER(T26),ISNUMBER(O26)),IFERROR(T26/O26-1,""),"")</f>
      </c>
      <c r="U271" s="255">
        <f>IF(AND(ISNUMBER(U26),ISNUMBER(P26)),IFERROR(U26/P26-1,""),"")</f>
      </c>
      <c r="V271" s="255">
        <f>IF(AND(ISNUMBER(V26),ISNUMBER(Q26)),IFERROR(V26/Q26-1,""),"")</f>
      </c>
      <c r="W271" s="255">
        <f>IF(AND(ISNUMBER(W26),ISNUMBER(R26)),IFERROR(W26/R26-1,""),"")</f>
      </c>
      <c r="X271" s="255">
        <f>IF(AND(ISNUMBER(X26),ISNUMBER(S26)),IFERROR(X26/S26-1,""),"")</f>
      </c>
      <c r="Y271" s="255">
        <f>IF(AND(ISNUMBER(Y26),ISNUMBER(T26)),IFERROR(Y26/T26-1,""),"")</f>
      </c>
      <c r="Z271" s="255">
        <f>IF(AND(ISNUMBER(Z26),ISNUMBER(U26)),IFERROR(Z26/U26-1,""),"")</f>
      </c>
      <c r="AA271" s="255">
        <f>IF(AND(ISNUMBER(AA26),ISNUMBER(V26)),IFERROR(AA26/V26-1,""),"")</f>
      </c>
      <c r="AB271" s="255">
        <f>IF(AND(ISNUMBER(AB26),ISNUMBER(W26)),IFERROR(AB26/W26-1,""),"")</f>
      </c>
      <c r="AC271" s="255">
        <f>IF(AND(ISNUMBER(AC26),ISNUMBER(X26)),IFERROR(AC26/X26-1,""),"")</f>
      </c>
      <c r="AD271" s="255">
        <f>IF(AND(ISNUMBER(AD26),ISNUMBER(Y26)),IFERROR(AD26/Y26-1,""),"")</f>
      </c>
      <c r="AE271" s="255">
        <f>IF(AND(ISNUMBER(AE26),ISNUMBER(Z26)),IFERROR(AE26/Z26-1,""),"")</f>
      </c>
      <c r="AF271" s="255">
        <f>IF(AND(ISNUMBER(AF26),ISNUMBER(AA26)),IFERROR(AF26/AA26-1,""),"")</f>
      </c>
      <c r="AG271" s="255">
        <f>IF(AND(ISNUMBER(AG26),ISNUMBER(AB26)),IFERROR(AG26/AB26-1,""),"")</f>
      </c>
      <c r="AH271" s="255">
        <f>IF(AND(ISNUMBER(AH26),ISNUMBER(AC26)),IFERROR(AH26/AC26-1,""),"")</f>
      </c>
      <c r="AI271" s="255">
        <f>IF(AND(ISNUMBER(AI26),ISNUMBER(AD26)),IFERROR(AI26/AD26-1,""),"")</f>
      </c>
      <c r="AJ271" s="255">
        <f>IF(AND(ISNUMBER(AJ26),ISNUMBER(AE26)),IFERROR(AJ26/AE26-1,""),"")</f>
      </c>
      <c r="AK271" s="255">
        <f>IF(AND(ISNUMBER(AK26),ISNUMBER(AF26)),IFERROR(AK26/AF26-1,""),"")</f>
      </c>
      <c r="AL271" s="255">
        <f>IF(AND(ISNUMBER(AL26),ISNUMBER(AG26)),IFERROR(AL26/AG26-1,""),"")</f>
      </c>
      <c r="AM271" s="255">
        <f>IF(AND(ISNUMBER(AM26),ISNUMBER(AH26)),IFERROR(AM26/AH26-1,""),"")</f>
      </c>
      <c r="AN271" s="255">
        <f>IF(AND(ISNUMBER(AN26),ISNUMBER(AI26)),IFERROR(AN26/AI26-1,""),"")</f>
      </c>
      <c r="AO271" s="255">
        <f>IF(AND(ISNUMBER(AO26),ISNUMBER(AJ26)),IFERROR(AO26/AJ26-1,""),"")</f>
      </c>
      <c r="AP271" s="255">
        <f>IF(AND(ISNUMBER(AP26),ISNUMBER(AK26)),IFERROR(AP26/AK26-1,""),"")</f>
      </c>
      <c r="AQ271" s="255">
        <f>IF(AND(ISNUMBER(AQ26),ISNUMBER(AL26)),IFERROR(AQ26/AL26-1,""),"")</f>
      </c>
      <c r="AR271" s="255">
        <f>IF(AND(ISNUMBER(AR26),ISNUMBER(AM26)),IFERROR(AR26/AM26-1,""),"")</f>
      </c>
      <c r="AS271" s="255">
        <f>IF(AND(ISNUMBER(AS26),ISNUMBER(AN26)),IFERROR(AS26/AN26-1,""),"")</f>
      </c>
      <c r="AT271" s="255">
        <f>IF(AND(ISNUMBER(AT26),ISNUMBER(AO26)),IFERROR(AT26/AO26-1,""),"")</f>
      </c>
      <c r="AU271" s="255">
        <f>IF(AND(ISNUMBER(AU26),ISNUMBER(AP26)),IFERROR(AU26/AP26-1,""),"")</f>
      </c>
      <c r="AV271" s="255">
        <f>IF(AND(ISNUMBER(AV26),ISNUMBER(AQ26)),IFERROR(AV26/AQ26-1,""),"")</f>
      </c>
      <c r="AW271" s="255">
        <f>IF(AND(ISNUMBER(AW26),ISNUMBER(AR26)),IFERROR(AW26/AR26-1,""),"")</f>
      </c>
      <c r="AX271" s="255">
        <f>IF(AND(ISNUMBER(AX26),ISNUMBER(AS26)),IFERROR(AX26/AS26-1,""),"")</f>
      </c>
      <c r="AY271" s="255">
        <f>IF(AND(ISNUMBER(AY26),ISNUMBER(AT26)),IFERROR(AY26/AT26-1,""),"")</f>
      </c>
      <c r="AZ271" s="255">
        <f>IF(AND(ISNUMBER(AZ26),ISNUMBER(AU26)),IFERROR(AZ26/AU26-1,""),"")</f>
      </c>
      <c r="BA271" s="255">
        <f>IF(AND(ISNUMBER(BA26),ISNUMBER(AV26)),IFERROR(BA26/AV26-1,""),"")</f>
      </c>
      <c r="BB271" s="255">
        <f>IF(AND(ISNUMBER(BB26),ISNUMBER(AW26)),IFERROR(BB26/AW26-1,""),"")</f>
      </c>
      <c r="BC271" s="255">
        <f>IF(AND(ISNUMBER(BC26),ISNUMBER(AX26)),IFERROR(BC26/AX26-1,""),"")</f>
      </c>
      <c r="BD271" s="255">
        <f>IF(AND(ISNUMBER(BD26),ISNUMBER(AY26)),IFERROR(BD26/AY26-1,""),"")</f>
      </c>
      <c r="BE271" s="255">
        <f>IF(AND(ISNUMBER(BE26),ISNUMBER(AZ26)),IFERROR(BE26/AZ26-1,""),"")</f>
      </c>
      <c r="BF271" s="255">
        <f>IF(AND(ISNUMBER(BF26),ISNUMBER(BA26)),IFERROR(BF26/BA26-1,""),"")</f>
      </c>
      <c r="BG271" s="255">
        <f>IF(AND(ISNUMBER(BG26),ISNUMBER(BB26)),IFERROR(BG26/BB26-1,""),"")</f>
      </c>
      <c r="BH271" s="255">
        <f>IF(AND(ISNUMBER(BH26),ISNUMBER(BC26)),IFERROR(BH26/BC26-1,""),"")</f>
      </c>
      <c r="BI271" s="255">
        <f>IF(AND(ISNUMBER(BI26),ISNUMBER(BD26)),IFERROR(BI26/BD26-1,""),"")</f>
      </c>
      <c r="BJ271" s="255">
        <f>IF(AND(ISNUMBER(BJ26),ISNUMBER(BE26)),IFERROR(BJ26/BE26-1,""),"")</f>
      </c>
      <c r="BK271" s="255">
        <f>IF(AND(ISNUMBER(BK26),ISNUMBER(BF26)),IFERROR(BK26/BF26-1,""),"")</f>
      </c>
      <c r="BL271" s="255">
        <f>IF(AND(ISNUMBER(BL26),ISNUMBER(BG26)),IFERROR(BL26/BG26-1,""),"")</f>
      </c>
      <c r="BM271" s="255">
        <f>IF(AND(ISNUMBER(BM26),ISNUMBER(BH26)),IFERROR(BM26/BH26-1,""),"")</f>
      </c>
      <c r="BN271" s="255">
        <f>IF(AND(ISNUMBER(BN26),ISNUMBER(BI26)),IFERROR(BN26/BI26-1,""),"")</f>
      </c>
      <c r="BO271" s="255">
        <f>IF(AND(ISNUMBER(BO26),ISNUMBER(BJ26)),IFERROR(BO26/BJ26-1,""),"")</f>
      </c>
      <c r="BP271" s="255">
        <f>IF(AND(ISNUMBER(BP26),ISNUMBER(BK26)),IFERROR(BP26/BK26-1,""),"")</f>
      </c>
      <c r="BQ271" s="255">
        <f>IF(AND(ISNUMBER(BQ26),ISNUMBER(BL26)),IFERROR(BQ26/BL26-1,""),"")</f>
      </c>
      <c r="BR271" s="255">
        <f>IF(AND(ISNUMBER(BR26),ISNUMBER(BM26)),IFERROR(BR26/BM26-1,""),"")</f>
      </c>
      <c r="BS271" s="255">
        <f>IF(AND(ISNUMBER(BS26),ISNUMBER(BN26)),IFERROR(BS26/BN26-1,""),"")</f>
      </c>
      <c r="BT271" s="255">
        <f>IF(AND(ISNUMBER(BT26),ISNUMBER(BO26)),IFERROR(BT26/BO26-1,""),"")</f>
      </c>
      <c r="BU271" s="255">
        <f>IF(AND(ISNUMBER(BU26),ISNUMBER(BP26)),IFERROR(BU26/BP26-1,""),"")</f>
      </c>
      <c r="BV271" s="255">
        <f>IF(AND(ISNUMBER(BV26),ISNUMBER(BQ26)),IFERROR(BV26/BQ26-1,""),"")</f>
      </c>
      <c r="BW271" s="255">
        <f>IF(AND(ISNUMBER(BW26),ISNUMBER(BR26)),IFERROR(BW26/BR26-1,""),"")</f>
        <v>0.221808384182582</v>
      </c>
      <c r="BX271" s="255">
        <f>IF(AND(ISNUMBER(BX26),ISNUMBER(BS26)),IFERROR(BX26/BS26-1,""),"")</f>
        <v>0.221259902209756</v>
      </c>
      <c r="BY271" s="255">
        <f>IF(AND(ISNUMBER(BY26),ISNUMBER(BT26)),IFERROR(BY26/BT26-1,""),"")</f>
        <v>0.231451892701276</v>
      </c>
      <c r="BZ271" s="255">
        <f>IF(AND(ISNUMBER(BZ26),ISNUMBER(BU26)),IFERROR(BZ26/BU26-1,""),"")</f>
        <v>0.227022935930765</v>
      </c>
      <c r="CA271" s="255">
        <f>IF(AND(ISNUMBER(CA26),ISNUMBER(BV26)),IFERROR(CA26/BV26-1,""),"")</f>
        <v>0.225538547327717</v>
      </c>
      <c r="CB271" s="256">
        <f>IF(AND(ISNUMBER(CB26),ISNUMBER(BW26)),IFERROR(CB26/BW26-1,""),"")</f>
        <v>0.223407705279543</v>
      </c>
      <c r="CC271" s="256">
        <f>IF(AND(ISNUMBER(CC26),ISNUMBER(BX26)),IFERROR(CC26/BX26-1,""),"")</f>
        <v>0.226962195234578</v>
      </c>
      <c r="CD271" s="256">
        <f>IF(AND(ISNUMBER(CD26),ISNUMBER(BY26)),IFERROR(CD26/BY26-1,""),"")</f>
        <v>0.230609393823265</v>
      </c>
      <c r="CE271" s="256">
        <f>IF(AND(ISNUMBER(CE26),ISNUMBER(BZ26)),IFERROR(CE26/BZ26-1,""),"")</f>
        <v>0.231829002120954</v>
      </c>
      <c r="CF271" s="256">
        <f>IF(AND(ISNUMBER(CF26),ISNUMBER(CA26)),IFERROR(CF26/CA26-1,""),"")</f>
        <v>0.228415589574855</v>
      </c>
      <c r="CG271" s="256">
        <f>IF(AND(ISNUMBER(CG26),ISNUMBER(CF26)),IFERROR(CG26/CF26-1,""),"")</f>
        <v>0.193303243369986</v>
      </c>
      <c r="CH271" s="256">
        <f>IF(AND(ISNUMBER(CH26),ISNUMBER(CG26)),IFERROR(CH26/CG26-1,""),"")</f>
        <v>0.173406006873389</v>
      </c>
      <c r="CI271" s="256">
        <f>IF(AND(ISNUMBER(CI26),ISNUMBER(CH26)),IFERROR(CI26/CH26-1,""),"")</f>
        <v>0.150164888078251</v>
      </c>
      <c r="CJ271" s="256">
        <f>IF(AND(ISNUMBER(CJ26),ISNUMBER(CI26)),IFERROR(CJ26/CI26-1,""),"")</f>
        <v>0.129918614033061</v>
      </c>
      <c r="CK271" s="153" t="n"/>
      <c r="CM271" s="37">
        <f>IFERROR(AVERAGE(CF271,CG271,CH271,CI271,CJ271),"n/m")</f>
        <v>0.175041668385908</v>
      </c>
      <c r="CN271" s="37">
        <f>IFERROR(AVERAGE(BG271,BL271,BQ271,BV271,CA271),"n/m")</f>
        <v>0.225538547327717</v>
      </c>
      <c r="CO271" s="37">
        <f>IFERROR(AVERAGE(AH271,AM271,AR271,AW271,BB271,BG271,BL271,BQ271,BV271,CA271),"n/m")</f>
        <v>0.225538547327717</v>
      </c>
      <c r="CP271" s="37">
        <f>IFERROR(AVERAGE(C271,D271,E271,F271,G271,H271,I271,N271,S271,X271,AC271,AH271,AM271,AR271,AW271,BB271,BG271,BL271,BQ271,BV271,CA271),"n/m")</f>
        <v>0.225538547327717</v>
      </c>
    </row>
    <row r="272" ht="15" customHeight="1" s="251">
      <c r="B272" s="22" t="inlineStr">
        <is>
          <t xml:space="preserve">  Devices and Consumer revenue y/y %</t>
        </is>
      </c>
      <c r="C272" s="23" t="n"/>
      <c r="D272" s="255">
        <f>IF(AND(ISNUMBER(D49),ISNUMBER(C49)),IFERROR(D49/C49-1,""),"")</f>
      </c>
      <c r="E272" s="255">
        <f>IF(AND(ISNUMBER(E49),ISNUMBER(D49)),IFERROR(E49/D49-1,""),"")</f>
      </c>
      <c r="F272" s="255">
        <f>IF(AND(ISNUMBER(F49),ISNUMBER(E49)),IFERROR(F49/E49-1,""),"")</f>
      </c>
      <c r="G272" s="255">
        <f>IF(AND(ISNUMBER(G49),ISNUMBER(F49)),IFERROR(G49/F49-1,""),"")</f>
      </c>
      <c r="H272" s="255">
        <f>IF(AND(ISNUMBER(H49),ISNUMBER(G49)),IFERROR(H49/G49-1,""),"")</f>
      </c>
      <c r="I272" s="255">
        <f>IF(AND(ISNUMBER(I49),ISNUMBER(H49)),IFERROR(I49/H49-1,""),"")</f>
      </c>
      <c r="J272" s="23" t="n"/>
      <c r="K272" s="23" t="n"/>
      <c r="L272" s="23" t="n"/>
      <c r="M272" s="23" t="n"/>
      <c r="N272" s="255">
        <f>IF(AND(ISNUMBER(N49),ISNUMBER(I49)),IFERROR(N49/I49-1,""),"")</f>
      </c>
      <c r="O272" s="255">
        <f>IF(AND(ISNUMBER(O49),ISNUMBER(J49)),IFERROR(O49/J49-1,""),"")</f>
      </c>
      <c r="P272" s="255">
        <f>IF(AND(ISNUMBER(P49),ISNUMBER(K49)),IFERROR(P49/K49-1,""),"")</f>
      </c>
      <c r="Q272" s="255">
        <f>IF(AND(ISNUMBER(Q49),ISNUMBER(L49)),IFERROR(Q49/L49-1,""),"")</f>
      </c>
      <c r="R272" s="255">
        <f>IF(AND(ISNUMBER(R49),ISNUMBER(M49)),IFERROR(R49/M49-1,""),"")</f>
      </c>
      <c r="S272" s="255">
        <f>IF(AND(ISNUMBER(S49),ISNUMBER(N49)),IFERROR(S49/N49-1,""),"")</f>
      </c>
      <c r="T272" s="255">
        <f>IF(AND(ISNUMBER(T49),ISNUMBER(O49)),IFERROR(T49/O49-1,""),"")</f>
      </c>
      <c r="U272" s="255">
        <f>IF(AND(ISNUMBER(U49),ISNUMBER(P49)),IFERROR(U49/P49-1,""),"")</f>
      </c>
      <c r="V272" s="255">
        <f>IF(AND(ISNUMBER(V49),ISNUMBER(Q49)),IFERROR(V49/Q49-1,""),"")</f>
      </c>
      <c r="W272" s="255">
        <f>IF(AND(ISNUMBER(W49),ISNUMBER(R49)),IFERROR(W49/R49-1,""),"")</f>
      </c>
      <c r="X272" s="255">
        <f>IF(AND(ISNUMBER(X49),ISNUMBER(S49)),IFERROR(X49/S49-1,""),"")</f>
      </c>
      <c r="Y272" s="255">
        <f>IF(AND(ISNUMBER(Y49),ISNUMBER(T49)),IFERROR(Y49/T49-1,""),"")</f>
      </c>
      <c r="Z272" s="255">
        <f>IF(AND(ISNUMBER(Z49),ISNUMBER(U49)),IFERROR(Z49/U49-1,""),"")</f>
      </c>
      <c r="AA272" s="255">
        <f>IF(AND(ISNUMBER(AA49),ISNUMBER(V49)),IFERROR(AA49/V49-1,""),"")</f>
      </c>
      <c r="AB272" s="255">
        <f>IF(AND(ISNUMBER(AB49),ISNUMBER(W49)),IFERROR(AB49/W49-1,""),"")</f>
      </c>
      <c r="AC272" s="255">
        <f>IF(AND(ISNUMBER(AC49),ISNUMBER(X49)),IFERROR(AC49/X49-1,""),"")</f>
      </c>
      <c r="AD272" s="255">
        <f>IF(AND(ISNUMBER(AD49),ISNUMBER(Y49)),IFERROR(AD49/Y49-1,""),"")</f>
      </c>
      <c r="AE272" s="255">
        <f>IF(AND(ISNUMBER(AE49),ISNUMBER(Z49)),IFERROR(AE49/Z49-1,""),"")</f>
      </c>
      <c r="AF272" s="255">
        <f>IF(AND(ISNUMBER(AF49),ISNUMBER(AA49)),IFERROR(AF49/AA49-1,""),"")</f>
      </c>
      <c r="AG272" s="255">
        <f>IF(AND(ISNUMBER(AG49),ISNUMBER(AB49)),IFERROR(AG49/AB49-1,""),"")</f>
      </c>
      <c r="AH272" s="255">
        <f>IF(AND(ISNUMBER(AH49),ISNUMBER(AC49)),IFERROR(AH49/AC49-1,""),"")</f>
      </c>
      <c r="AI272" s="255">
        <f>IF(AND(ISNUMBER(AI49),ISNUMBER(AD49)),IFERROR(AI49/AD49-1,""),"")</f>
      </c>
      <c r="AJ272" s="255">
        <f>IF(AND(ISNUMBER(AJ49),ISNUMBER(AE49)),IFERROR(AJ49/AE49-1,""),"")</f>
      </c>
      <c r="AK272" s="255">
        <f>IF(AND(ISNUMBER(AK49),ISNUMBER(AF49)),IFERROR(AK49/AF49-1,""),"")</f>
      </c>
      <c r="AL272" s="255">
        <f>IF(AND(ISNUMBER(AL49),ISNUMBER(AG49)),IFERROR(AL49/AG49-1,""),"")</f>
      </c>
      <c r="AM272" s="255">
        <f>IF(AND(ISNUMBER(AM49),ISNUMBER(AH49)),IFERROR(AM49/AH49-1,""),"")</f>
      </c>
      <c r="AN272" s="255">
        <f>IF(AND(ISNUMBER(AN49),ISNUMBER(AI49)),IFERROR(AN49/AI49-1,""),"")</f>
      </c>
      <c r="AO272" s="255">
        <f>IF(AND(ISNUMBER(AO49),ISNUMBER(AJ49)),IFERROR(AO49/AJ49-1,""),"")</f>
      </c>
      <c r="AP272" s="255">
        <f>IF(AND(ISNUMBER(AP49),ISNUMBER(AK49)),IFERROR(AP49/AK49-1,""),"")</f>
      </c>
      <c r="AQ272" s="255">
        <f>IF(AND(ISNUMBER(AQ49),ISNUMBER(AL49)),IFERROR(AQ49/AL49-1,""),"")</f>
      </c>
      <c r="AR272" s="255">
        <f>IF(AND(ISNUMBER(AR49),ISNUMBER(AM49)),IFERROR(AR49/AM49-1,""),"")</f>
      </c>
      <c r="AS272" s="255">
        <f>IF(AND(ISNUMBER(AS49),ISNUMBER(AN49)),IFERROR(AS49/AN49-1,""),"")</f>
      </c>
      <c r="AT272" s="255">
        <f>IF(AND(ISNUMBER(AT49),ISNUMBER(AO49)),IFERROR(AT49/AO49-1,""),"")</f>
      </c>
      <c r="AU272" s="255">
        <f>IF(AND(ISNUMBER(AU49),ISNUMBER(AP49)),IFERROR(AU49/AP49-1,""),"")</f>
      </c>
      <c r="AV272" s="255">
        <f>IF(AND(ISNUMBER(AV49),ISNUMBER(AQ49)),IFERROR(AV49/AQ49-1,""),"")</f>
      </c>
      <c r="AW272" s="255">
        <f>IF(AND(ISNUMBER(AW49),ISNUMBER(AR49)),IFERROR(AW49/AR49-1,""),"")</f>
      </c>
      <c r="AX272" s="255">
        <f>IF(AND(ISNUMBER(AX49),ISNUMBER(AS49)),IFERROR(AX49/AS49-1,""),"")</f>
      </c>
      <c r="AY272" s="255">
        <f>IF(AND(ISNUMBER(AY49),ISNUMBER(AT49)),IFERROR(AY49/AT49-1,""),"")</f>
      </c>
      <c r="AZ272" s="255">
        <f>IF(AND(ISNUMBER(AZ49),ISNUMBER(AU49)),IFERROR(AZ49/AU49-1,""),"")</f>
      </c>
      <c r="BA272" s="255">
        <f>IF(AND(ISNUMBER(BA49),ISNUMBER(AV49)),IFERROR(BA49/AV49-1,""),"")</f>
      </c>
      <c r="BB272" s="255">
        <f>IF(AND(ISNUMBER(BB49),ISNUMBER(AW49)),IFERROR(BB49/AW49-1,""),"")</f>
      </c>
      <c r="BC272" s="255">
        <f>IF(AND(ISNUMBER(BC49),ISNUMBER(AX49)),IFERROR(BC49/AX49-1,""),"")</f>
      </c>
      <c r="BD272" s="255">
        <f>IF(AND(ISNUMBER(BD49),ISNUMBER(AY49)),IFERROR(BD49/AY49-1,""),"")</f>
      </c>
      <c r="BE272" s="255">
        <f>IF(AND(ISNUMBER(BE49),ISNUMBER(AZ49)),IFERROR(BE49/AZ49-1,""),"")</f>
      </c>
      <c r="BF272" s="255">
        <f>IF(AND(ISNUMBER(BF49),ISNUMBER(BA49)),IFERROR(BF49/BA49-1,""),"")</f>
      </c>
      <c r="BG272" s="255">
        <f>IF(AND(ISNUMBER(BG49),ISNUMBER(BB49)),IFERROR(BG49/BB49-1,""),"")</f>
      </c>
      <c r="BH272" s="255">
        <f>IF(AND(ISNUMBER(BH49),ISNUMBER(BC49)),IFERROR(BH49/BC49-1,""),"")</f>
      </c>
      <c r="BI272" s="255">
        <f>IF(AND(ISNUMBER(BI49),ISNUMBER(BD49)),IFERROR(BI49/BD49-1,""),"")</f>
      </c>
      <c r="BJ272" s="255">
        <f>IF(AND(ISNUMBER(BJ49),ISNUMBER(BE49)),IFERROR(BJ49/BE49-1,""),"")</f>
      </c>
      <c r="BK272" s="255">
        <f>IF(AND(ISNUMBER(BK49),ISNUMBER(BF49)),IFERROR(BK49/BF49-1,""),"")</f>
      </c>
      <c r="BL272" s="255">
        <f>IF(AND(ISNUMBER(BL49),ISNUMBER(BG49)),IFERROR(BL49/BG49-1,""),"")</f>
      </c>
      <c r="BM272" s="255">
        <f>IF(AND(ISNUMBER(BM49),ISNUMBER(BH49)),IFERROR(BM49/BH49-1,""),"")</f>
      </c>
      <c r="BN272" s="255">
        <f>IF(AND(ISNUMBER(BN49),ISNUMBER(BI49)),IFERROR(BN49/BI49-1,""),"")</f>
      </c>
      <c r="BO272" s="255">
        <f>IF(AND(ISNUMBER(BO49),ISNUMBER(BJ49)),IFERROR(BO49/BJ49-1,""),"")</f>
      </c>
      <c r="BP272" s="255">
        <f>IF(AND(ISNUMBER(BP49),ISNUMBER(BK49)),IFERROR(BP49/BK49-1,""),"")</f>
      </c>
      <c r="BQ272" s="255">
        <f>IF(AND(ISNUMBER(BQ49),ISNUMBER(BL49)),IFERROR(BQ49/BL49-1,""),"")</f>
      </c>
      <c r="BR272" s="255">
        <f>IF(AND(ISNUMBER(BR49),ISNUMBER(BM49)),IFERROR(BR49/BM49-1,""),"")</f>
      </c>
      <c r="BS272" s="255">
        <f>IF(AND(ISNUMBER(BS49),ISNUMBER(BN49)),IFERROR(BS49/BN49-1,""),"")</f>
      </c>
      <c r="BT272" s="255">
        <f>IF(AND(ISNUMBER(BT49),ISNUMBER(BO49)),IFERROR(BT49/BO49-1,""),"")</f>
      </c>
      <c r="BU272" s="255">
        <f>IF(AND(ISNUMBER(BU49),ISNUMBER(BP49)),IFERROR(BU49/BP49-1,""),"")</f>
      </c>
      <c r="BV272" s="255">
        <f>IF(AND(ISNUMBER(BV49),ISNUMBER(BQ49)),IFERROR(BV49/BQ49-1,""),"")</f>
      </c>
      <c r="BW272" s="255">
        <f>IF(AND(ISNUMBER(BW49),ISNUMBER(BR49)),IFERROR(BW49/BR49-1,""),"")</f>
        <v>0.0590376596730426</v>
      </c>
      <c r="BX272" s="255">
        <f>IF(AND(ISNUMBER(BX49),ISNUMBER(BS49)),IFERROR(BX49/BS49-1,""),"")</f>
        <v>-0.00201588995612478</v>
      </c>
      <c r="BY272" s="255">
        <f>IF(AND(ISNUMBER(BY49),ISNUMBER(BT49)),IFERROR(BY49/BT49-1,""),"")</f>
        <v>0.00947526628765605</v>
      </c>
      <c r="BZ272" s="255">
        <f>IF(AND(ISNUMBER(BZ49),ISNUMBER(BU49)),IFERROR(BZ49/BU49-1,""),"")</f>
        <v>-0.0148119772712763</v>
      </c>
      <c r="CA272" s="255">
        <f>IF(AND(ISNUMBER(CA49),ISNUMBER(BV49)),IFERROR(CA49/BV49-1,""),"")</f>
        <v>0.0122495670548608</v>
      </c>
      <c r="CB272" s="256">
        <f>IF(AND(ISNUMBER(CB49),ISNUMBER(BW49)),IFERROR(CB49/BW49-1,""),"")</f>
        <v>-0.065683394787826</v>
      </c>
      <c r="CC272" s="256">
        <f>IF(AND(ISNUMBER(CC49),ISNUMBER(BX49)),IFERROR(CC49/BX49-1,""),"")</f>
        <v>-0.0643984007371452</v>
      </c>
      <c r="CD272" s="256">
        <f>IF(AND(ISNUMBER(CD49),ISNUMBER(BY49)),IFERROR(CD49/BY49-1,""),"")</f>
        <v>-0.0618524984045954</v>
      </c>
      <c r="CE272" s="256">
        <f>IF(AND(ISNUMBER(CE49),ISNUMBER(BZ49)),IFERROR(CE49/BZ49-1,""),"")</f>
        <v>-0.056808600900813</v>
      </c>
      <c r="CF272" s="256">
        <f>IF(AND(ISNUMBER(CF49),ISNUMBER(CA49)),IFERROR(CF49/CA49-1,""),"")</f>
        <v>-0.0622655825756885</v>
      </c>
      <c r="CG272" s="256">
        <f>IF(AND(ISNUMBER(CG49),ISNUMBER(CF49)),IFERROR(CG49/CF49-1,""),"")</f>
        <v>0.0413740952037667</v>
      </c>
      <c r="CH272" s="256">
        <f>IF(AND(ISNUMBER(CH49),ISNUMBER(CG49)),IFERROR(CH49/CG49-1,""),"")</f>
        <v>0.0479913926335214</v>
      </c>
      <c r="CI272" s="256">
        <f>IF(AND(ISNUMBER(CI49),ISNUMBER(CH49)),IFERROR(CI49/CH49-1,""),"")</f>
        <v>0.0441625999840967</v>
      </c>
      <c r="CJ272" s="256">
        <f>IF(AND(ISNUMBER(CJ49),ISNUMBER(CI49)),IFERROR(CJ49/CI49-1,""),"")</f>
        <v>0.0447794297798971</v>
      </c>
      <c r="CK272" s="153" t="n"/>
      <c r="CM272" s="37">
        <f>IFERROR(AVERAGE(CF272,CG272,CH272,CI272,CJ272),"n/m")</f>
        <v>0.0232083870051187</v>
      </c>
      <c r="CN272" s="37">
        <f>IFERROR(AVERAGE(BG272,BL272,BQ272,BV272,CA272),"n/m")</f>
        <v>0.0122495670548608</v>
      </c>
      <c r="CO272" s="37">
        <f>IFERROR(AVERAGE(AH272,AM272,AR272,AW272,BB272,BG272,BL272,BQ272,BV272,CA272),"n/m")</f>
        <v>0.0122495670548608</v>
      </c>
      <c r="CP272" s="37">
        <f>IFERROR(AVERAGE(C272,D272,E272,F272,G272,H272,I272,N272,S272,X272,AC272,AH272,AM272,AR272,AW272,BB272,BG272,BL272,BQ272,BV272,CA272),"n/m")</f>
        <v>0.0122495670548608</v>
      </c>
    </row>
    <row r="273" ht="15" customHeight="1" s="251">
      <c r="B273" s="22" t="inlineStr">
        <is>
          <t xml:space="preserve">  Azure revenue y/y %</t>
        </is>
      </c>
      <c r="C273" s="23" t="n"/>
      <c r="D273" s="255">
        <f>IF(AND(ISNUMBER(D11),ISNUMBER(C11)),IFERROR(D11/C11-1,""),"")</f>
      </c>
      <c r="E273" s="255">
        <f>IF(AND(ISNUMBER(E11),ISNUMBER(D11)),IFERROR(E11/D11-1,""),"")</f>
      </c>
      <c r="F273" s="255">
        <f>IF(AND(ISNUMBER(F11),ISNUMBER(E11)),IFERROR(F11/E11-1,""),"")</f>
      </c>
      <c r="G273" s="255">
        <f>IF(AND(ISNUMBER(G11),ISNUMBER(F11)),IFERROR(G11/F11-1,""),"")</f>
      </c>
      <c r="H273" s="255">
        <f>IF(AND(ISNUMBER(H11),ISNUMBER(G11)),IFERROR(H11/G11-1,""),"")</f>
      </c>
      <c r="I273" s="255">
        <f>IF(AND(ISNUMBER(I11),ISNUMBER(H11)),IFERROR(I11/H11-1,""),"")</f>
      </c>
      <c r="J273" s="23" t="n"/>
      <c r="K273" s="23" t="n"/>
      <c r="L273" s="23" t="n"/>
      <c r="M273" s="23" t="n"/>
      <c r="N273" s="255">
        <f>IF(AND(ISNUMBER(N11),ISNUMBER(I11)),IFERROR(N11/I11-1,""),"")</f>
      </c>
      <c r="O273" s="255">
        <f>IF(AND(ISNUMBER(O11),ISNUMBER(J11)),IFERROR(O11/J11-1,""),"")</f>
      </c>
      <c r="P273" s="255">
        <f>IF(AND(ISNUMBER(P11),ISNUMBER(K11)),IFERROR(P11/K11-1,""),"")</f>
      </c>
      <c r="Q273" s="255">
        <f>IF(AND(ISNUMBER(Q11),ISNUMBER(L11)),IFERROR(Q11/L11-1,""),"")</f>
      </c>
      <c r="R273" s="255">
        <f>IF(AND(ISNUMBER(R11),ISNUMBER(M11)),IFERROR(R11/M11-1,""),"")</f>
      </c>
      <c r="S273" s="255">
        <f>IF(AND(ISNUMBER(S11),ISNUMBER(N11)),IFERROR(S11/N11-1,""),"")</f>
      </c>
      <c r="T273" s="255">
        <f>IF(AND(ISNUMBER(T11),ISNUMBER(O11)),IFERROR(T11/O11-1,""),"")</f>
      </c>
      <c r="U273" s="255">
        <f>IF(AND(ISNUMBER(U11),ISNUMBER(P11)),IFERROR(U11/P11-1,""),"")</f>
      </c>
      <c r="V273" s="255">
        <f>IF(AND(ISNUMBER(V11),ISNUMBER(Q11)),IFERROR(V11/Q11-1,""),"")</f>
      </c>
      <c r="W273" s="255">
        <f>IF(AND(ISNUMBER(W11),ISNUMBER(R11)),IFERROR(W11/R11-1,""),"")</f>
      </c>
      <c r="X273" s="255">
        <f>IF(AND(ISNUMBER(X11),ISNUMBER(S11)),IFERROR(X11/S11-1,""),"")</f>
      </c>
      <c r="Y273" s="255">
        <f>IF(AND(ISNUMBER(Y11),ISNUMBER(T11)),IFERROR(Y11/T11-1,""),"")</f>
      </c>
      <c r="Z273" s="255">
        <f>IF(AND(ISNUMBER(Z11),ISNUMBER(U11)),IFERROR(Z11/U11-1,""),"")</f>
      </c>
      <c r="AA273" s="255">
        <f>IF(AND(ISNUMBER(AA11),ISNUMBER(V11)),IFERROR(AA11/V11-1,""),"")</f>
      </c>
      <c r="AB273" s="255">
        <f>IF(AND(ISNUMBER(AB11),ISNUMBER(W11)),IFERROR(AB11/W11-1,""),"")</f>
      </c>
      <c r="AC273" s="255">
        <f>IF(AND(ISNUMBER(AC11),ISNUMBER(X11)),IFERROR(AC11/X11-1,""),"")</f>
      </c>
      <c r="AD273" s="255">
        <f>IF(AND(ISNUMBER(AD11),ISNUMBER(Y11)),IFERROR(AD11/Y11-1,""),"")</f>
      </c>
      <c r="AE273" s="255">
        <f>IF(AND(ISNUMBER(AE11),ISNUMBER(Z11)),IFERROR(AE11/Z11-1,""),"")</f>
      </c>
      <c r="AF273" s="255">
        <f>IF(AND(ISNUMBER(AF11),ISNUMBER(AA11)),IFERROR(AF11/AA11-1,""),"")</f>
      </c>
      <c r="AG273" s="255">
        <f>IF(AND(ISNUMBER(AG11),ISNUMBER(AB11)),IFERROR(AG11/AB11-1,""),"")</f>
      </c>
      <c r="AH273" s="255">
        <f>IF(AND(ISNUMBER(AH11),ISNUMBER(AC11)),IFERROR(AH11/AC11-1,""),"")</f>
      </c>
      <c r="AI273" s="255">
        <f>IF(AND(ISNUMBER(AI11),ISNUMBER(AD11)),IFERROR(AI11/AD11-1,""),"")</f>
      </c>
      <c r="AJ273" s="255">
        <f>IF(AND(ISNUMBER(AJ11),ISNUMBER(AE11)),IFERROR(AJ11/AE11-1,""),"")</f>
      </c>
      <c r="AK273" s="255">
        <f>IF(AND(ISNUMBER(AK11),ISNUMBER(AF11)),IFERROR(AK11/AF11-1,""),"")</f>
      </c>
      <c r="AL273" s="255">
        <f>IF(AND(ISNUMBER(AL11),ISNUMBER(AG11)),IFERROR(AL11/AG11-1,""),"")</f>
      </c>
      <c r="AM273" s="255">
        <f>IF(AND(ISNUMBER(AM11),ISNUMBER(AH11)),IFERROR(AM11/AH11-1,""),"")</f>
      </c>
      <c r="AN273" s="255">
        <f>IF(AND(ISNUMBER(AN11),ISNUMBER(AI11)),IFERROR(AN11/AI11-1,""),"")</f>
      </c>
      <c r="AO273" s="255">
        <f>IF(AND(ISNUMBER(AO11),ISNUMBER(AJ11)),IFERROR(AO11/AJ11-1,""),"")</f>
      </c>
      <c r="AP273" s="255">
        <f>IF(AND(ISNUMBER(AP11),ISNUMBER(AK11)),IFERROR(AP11/AK11-1,""),"")</f>
      </c>
      <c r="AQ273" s="255">
        <f>IF(AND(ISNUMBER(AQ11),ISNUMBER(AL11)),IFERROR(AQ11/AL11-1,""),"")</f>
      </c>
      <c r="AR273" s="255">
        <f>IF(AND(ISNUMBER(AR11),ISNUMBER(AM11)),IFERROR(AR11/AM11-1,""),"")</f>
      </c>
      <c r="AS273" s="255">
        <f>IF(AND(ISNUMBER(AS11),ISNUMBER(AN11)),IFERROR(AS11/AN11-1,""),"")</f>
      </c>
      <c r="AT273" s="255">
        <f>IF(AND(ISNUMBER(AT11),ISNUMBER(AO11)),IFERROR(AT11/AO11-1,""),"")</f>
      </c>
      <c r="AU273" s="255">
        <f>IF(AND(ISNUMBER(AU11),ISNUMBER(AP11)),IFERROR(AU11/AP11-1,""),"")</f>
      </c>
      <c r="AV273" s="255">
        <f>IF(AND(ISNUMBER(AV11),ISNUMBER(AQ11)),IFERROR(AV11/AQ11-1,""),"")</f>
      </c>
      <c r="AW273" s="255">
        <f>IF(AND(ISNUMBER(AW11),ISNUMBER(AR11)),IFERROR(AW11/AR11-1,""),"")</f>
      </c>
      <c r="AX273" s="255">
        <f>IF(AND(ISNUMBER(AX11),ISNUMBER(AS11)),IFERROR(AX11/AS11-1,""),"")</f>
      </c>
      <c r="AY273" s="255">
        <f>IF(AND(ISNUMBER(AY11),ISNUMBER(AT11)),IFERROR(AY11/AT11-1,""),"")</f>
      </c>
      <c r="AZ273" s="255">
        <f>IF(AND(ISNUMBER(AZ11),ISNUMBER(AU11)),IFERROR(AZ11/AU11-1,""),"")</f>
      </c>
      <c r="BA273" s="255">
        <f>IF(AND(ISNUMBER(BA11),ISNUMBER(AV11)),IFERROR(BA11/AV11-1,""),"")</f>
      </c>
      <c r="BB273" s="255">
        <f>IF(AND(ISNUMBER(BB11),ISNUMBER(AW11)),IFERROR(BB11/AW11-1,""),"")</f>
      </c>
      <c r="BC273" s="255">
        <f>IF(AND(ISNUMBER(BC11),ISNUMBER(AX11)),IFERROR(BC11/AX11-1,""),"")</f>
      </c>
      <c r="BD273" s="255">
        <f>IF(AND(ISNUMBER(BD11),ISNUMBER(AY11)),IFERROR(BD11/AY11-1,""),"")</f>
      </c>
      <c r="BE273" s="255">
        <f>IF(AND(ISNUMBER(BE11),ISNUMBER(AZ11)),IFERROR(BE11/AZ11-1,""),"")</f>
      </c>
      <c r="BF273" s="255">
        <f>IF(AND(ISNUMBER(BF11),ISNUMBER(BA11)),IFERROR(BF11/BA11-1,""),"")</f>
      </c>
      <c r="BG273" s="255">
        <f>IF(AND(ISNUMBER(BG11),ISNUMBER(BB11)),IFERROR(BG11/BB11-1,""),"")</f>
      </c>
      <c r="BH273" s="255">
        <f>IF(AND(ISNUMBER(BH11),ISNUMBER(BC11)),IFERROR(BH11/BC11-1,""),"")</f>
      </c>
      <c r="BI273" s="255">
        <f>IF(AND(ISNUMBER(BI11),ISNUMBER(BD11)),IFERROR(BI11/BD11-1,""),"")</f>
      </c>
      <c r="BJ273" s="255">
        <f>IF(AND(ISNUMBER(BJ11),ISNUMBER(BE11)),IFERROR(BJ11/BE11-1,""),"")</f>
      </c>
      <c r="BK273" s="255">
        <f>IF(AND(ISNUMBER(BK11),ISNUMBER(BF11)),IFERROR(BK11/BF11-1,""),"")</f>
      </c>
      <c r="BL273" s="255">
        <f>IF(AND(ISNUMBER(BL11),ISNUMBER(BG11)),IFERROR(BL11/BG11-1,""),"")</f>
      </c>
      <c r="BM273" s="255">
        <f>IF(AND(ISNUMBER(BM11),ISNUMBER(BH11)),IFERROR(BM11/BH11-1,""),"")</f>
      </c>
      <c r="BN273" s="255">
        <f>IF(AND(ISNUMBER(BN11),ISNUMBER(BI11)),IFERROR(BN11/BI11-1,""),"")</f>
      </c>
      <c r="BO273" s="255">
        <f>IF(AND(ISNUMBER(BO11),ISNUMBER(BJ11)),IFERROR(BO11/BJ11-1,""),"")</f>
      </c>
      <c r="BP273" s="255">
        <f>IF(AND(ISNUMBER(BP11),ISNUMBER(BK11)),IFERROR(BP11/BK11-1,""),"")</f>
      </c>
      <c r="BQ273" s="255">
        <f>IF(AND(ISNUMBER(BQ11),ISNUMBER(BL11)),IFERROR(BQ11/BL11-1,""),"")</f>
      </c>
      <c r="BR273" s="255">
        <f>IF(AND(ISNUMBER(BR11),ISNUMBER(BM11)),IFERROR(BR11/BM11-1,""),"")</f>
      </c>
      <c r="BS273" s="255">
        <f>IF(AND(ISNUMBER(BS11),ISNUMBER(BN11)),IFERROR(BS11/BN11-1,""),"")</f>
      </c>
      <c r="BT273" s="255">
        <f>IF(AND(ISNUMBER(BT11),ISNUMBER(BO11)),IFERROR(BT11/BO11-1,""),"")</f>
      </c>
      <c r="BU273" s="255">
        <f>IF(AND(ISNUMBER(BU11),ISNUMBER(BP11)),IFERROR(BU11/BP11-1,""),"")</f>
      </c>
      <c r="BV273" s="255">
        <f>IF(AND(ISNUMBER(BV11),ISNUMBER(BQ11)),IFERROR(BV11/BQ11-1,""),"")</f>
      </c>
      <c r="BW273" s="255">
        <f>IF(AND(ISNUMBER(BW11),ISNUMBER(BR11)),IFERROR(BW11/BR11-1,""),"")</f>
        <v>0.39716621933712</v>
      </c>
      <c r="BX273" s="255">
        <f>IF(AND(ISNUMBER(BX11),ISNUMBER(BS11)),IFERROR(BX11/BS11-1,""),"")</f>
        <v>0.391763280844437</v>
      </c>
      <c r="BY273" s="255">
        <f>IF(AND(ISNUMBER(BY11),ISNUMBER(BT11)),IFERROR(BY11/BT11-1,""),"")</f>
        <v>0.402804746494067</v>
      </c>
      <c r="BZ273" s="255">
        <f>IF(AND(ISNUMBER(BZ11),ISNUMBER(BU11)),IFERROR(BZ11/BU11-1,""),"")</f>
        <v>0.420287755890305</v>
      </c>
      <c r="CA273" s="255">
        <f>IF(AND(ISNUMBER(CA11),ISNUMBER(BV11)),IFERROR(CA11/BV11-1,""),"")</f>
        <v>0.403911306982509</v>
      </c>
      <c r="CB273" s="256">
        <f>IF(AND(ISNUMBER(CB11),ISNUMBER(BW11)),IFERROR(CB11/BW11-1,""),"")</f>
        <v>0.408288363418276</v>
      </c>
      <c r="CC273" s="256">
        <f>IF(AND(ISNUMBER(CC11),ISNUMBER(BX11)),IFERROR(CC11/BX11-1,""),"")</f>
        <v>0.408288363418275</v>
      </c>
      <c r="CD273" s="256">
        <f>IF(AND(ISNUMBER(CD11),ISNUMBER(BY11)),IFERROR(CD11/BY11-1,""),"")</f>
        <v>0.408288363418276</v>
      </c>
      <c r="CE273" s="256">
        <f>IF(AND(ISNUMBER(CE11),ISNUMBER(BZ11)),IFERROR(CE11/BZ11-1,""),"")</f>
        <v>0.408288363418276</v>
      </c>
      <c r="CF273" s="256">
        <f>IF(AND(ISNUMBER(CF11),ISNUMBER(CA11)),IFERROR(CF11/CA11-1,""),"")</f>
        <v>0.408288363418275</v>
      </c>
      <c r="CG273" s="256">
        <f>IF(AND(ISNUMBER(CG11),ISNUMBER(CF11)),IFERROR(CG11/CF11-1,""),"")</f>
        <v>0.32</v>
      </c>
      <c r="CH273" s="256">
        <f>IF(AND(ISNUMBER(CH11),ISNUMBER(CG11)),IFERROR(CH11/CG11-1,""),"")</f>
        <v>0.26</v>
      </c>
      <c r="CI273" s="256">
        <f>IF(AND(ISNUMBER(CI11),ISNUMBER(CH11)),IFERROR(CI11/CH11-1,""),"")</f>
        <v>0.21</v>
      </c>
      <c r="CJ273" s="256">
        <f>IF(AND(ISNUMBER(CJ11),ISNUMBER(CI11)),IFERROR(CJ11/CI11-1,""),"")</f>
        <v>0.17</v>
      </c>
      <c r="CK273" s="153" t="n"/>
      <c r="CM273" s="37">
        <f>IFERROR(AVERAGE(CF273,CG273,CH273,CI273,CJ273),"n/m")</f>
        <v>0.273657672683655</v>
      </c>
      <c r="CN273" s="37">
        <f>IFERROR(AVERAGE(BG273,BL273,BQ273,BV273,CA273),"n/m")</f>
        <v>0.403911306982509</v>
      </c>
      <c r="CO273" s="37">
        <f>IFERROR(AVERAGE(AH273,AM273,AR273,AW273,BB273,BG273,BL273,BQ273,BV273,CA273),"n/m")</f>
        <v>0.403911306982509</v>
      </c>
      <c r="CP273" s="37">
        <f>IFERROR(AVERAGE(C273,D273,E273,F273,G273,H273,I273,N273,S273,X273,AC273,AH273,AM273,AR273,AW273,BB273,BG273,BL273,BQ273,BV273,CA273),"n/m")</f>
        <v>0.403911306982509</v>
      </c>
    </row>
    <row r="274" ht="15" customHeight="1" s="251">
      <c r="B274" s="22" t="inlineStr">
        <is>
          <t xml:space="preserve">  Adjusted operating income y/y %</t>
        </is>
      </c>
      <c r="C274" s="23" t="n"/>
      <c r="D274" s="255">
        <f>IF(AND(ISNUMBER(D222),ISNUMBER(C222)),IFERROR(D222/C222-1,""),"")</f>
        <v>0.124575036425449</v>
      </c>
      <c r="E274" s="255">
        <f>IF(AND(ISNUMBER(E222),ISNUMBER(D222)),IFERROR(E222/D222-1,""),"")</f>
        <v>0.2142085942561</v>
      </c>
      <c r="F274" s="255">
        <f>IF(AND(ISNUMBER(F222),ISNUMBER(E222)),IFERROR(F222/E222-1,""),"")</f>
        <v>-0.0946558776453851</v>
      </c>
      <c r="G274" s="255">
        <f>IF(AND(ISNUMBER(G222),ISNUMBER(F222)),IFERROR(G222/F222-1,""),"")</f>
        <v>0.183420910474881</v>
      </c>
      <c r="H274" s="255">
        <f>IF(AND(ISNUMBER(H222),ISNUMBER(G222)),IFERROR(H222/G222-1,""),"")</f>
        <v>0.127105983899079</v>
      </c>
      <c r="I274" s="255">
        <f>IF(AND(ISNUMBER(I222),ISNUMBER(H222)),IFERROR(I222/H222-1,""),"")</f>
        <v>0.0491513567247155</v>
      </c>
      <c r="J274" s="23" t="n"/>
      <c r="K274" s="23" t="n"/>
      <c r="L274" s="23" t="n"/>
      <c r="M274" s="23" t="n"/>
      <c r="N274" s="255">
        <f>IF(AND(ISNUMBER(N222),ISNUMBER(I222)),IFERROR(N222/I222-1,""),"")</f>
        <v>-0.0540075800112296</v>
      </c>
      <c r="O274" s="255">
        <f>IF(AND(ISNUMBER(O222),ISNUMBER(J222)),IFERROR(O222/J222-1,""),"")</f>
        <v>-0.032563025210084</v>
      </c>
      <c r="P274" s="255">
        <f>IF(AND(ISNUMBER(P222),ISNUMBER(K222)),IFERROR(P222/K222-1,""),"")</f>
        <v>-0.0418420103402669</v>
      </c>
      <c r="Q274" s="255">
        <f>IF(AND(ISNUMBER(Q222),ISNUMBER(L222)),IFERROR(Q222/L222-1,""),"")</f>
        <v>0.0429190967548976</v>
      </c>
      <c r="R274" s="255">
        <f>IF(AND(ISNUMBER(R222),ISNUMBER(M222)),IFERROR(R222/M222-1,""),"")</f>
        <v>0.225099225099225</v>
      </c>
      <c r="S274" s="255">
        <f>IF(AND(ISNUMBER(S222),ISNUMBER(N222)),IFERROR(S222/N222-1,""),"")</f>
        <v>0.029751085061394</v>
      </c>
      <c r="T274" s="255">
        <f>IF(AND(ISNUMBER(T222),ISNUMBER(O222)),IFERROR(T222/O222-1,""),"")</f>
        <v>0.0832945556072593</v>
      </c>
      <c r="U274" s="255">
        <f>IF(AND(ISNUMBER(U222),ISNUMBER(P222)),IFERROR(U222/P222-1,""),"")</f>
        <v>-0.0346342075542728</v>
      </c>
      <c r="V274" s="255">
        <f>IF(AND(ISNUMBER(V222),ISNUMBER(Q222)),IFERROR(V222/Q222-1,""),"")</f>
        <v>-0.0272440493260683</v>
      </c>
      <c r="W274" s="255">
        <f>IF(AND(ISNUMBER(W222),ISNUMBER(R222)),IFERROR(W222/R222-1,""),"")</f>
        <v>-0.0149645171243443</v>
      </c>
      <c r="X274" s="255">
        <f>IF(AND(ISNUMBER(X222),ISNUMBER(S222)),IFERROR(X222/S222-1,""),"")</f>
        <v>0.0148780575669152</v>
      </c>
      <c r="Y274" s="255">
        <f>IF(AND(ISNUMBER(Y222),ISNUMBER(T222)),IFERROR(Y222/T222-1,""),"")</f>
        <v>0.0128865979381443</v>
      </c>
      <c r="Z274" s="255">
        <f>IF(AND(ISNUMBER(Z222),ISNUMBER(U222)),IFERROR(Z222/U222-1,""),"")</f>
        <v>0.0298973092421682</v>
      </c>
      <c r="AA274" s="255">
        <f>IF(AND(ISNUMBER(AA222),ISNUMBER(V222)),IFERROR(AA222/V222-1,""),"")</f>
        <v>0.00648584905660377</v>
      </c>
      <c r="AB274" s="255">
        <f>IF(AND(ISNUMBER(AB222),ISNUMBER(W222)),IFERROR(AB222/W222-1,""),"")</f>
        <v>-0.0261550509005482</v>
      </c>
      <c r="AC274" s="255">
        <f>IF(AND(ISNUMBER(AC222),ISNUMBER(X222)),IFERROR(AC222/X222-1,""),"")</f>
        <v>-0.00841260826352408</v>
      </c>
      <c r="AD274" s="255">
        <f>IF(AND(ISNUMBER(AD222),ISNUMBER(Y222)),IFERROR(AD222/Y222-1,""),"")</f>
        <v>0.00452360757704273</v>
      </c>
      <c r="AE274" s="255">
        <f>IF(AND(ISNUMBER(AE222),ISNUMBER(Z222)),IFERROR(AE222/Z222-1,""),"")</f>
        <v>0.0290294080525053</v>
      </c>
      <c r="AF274" s="255">
        <f>IF(AND(ISNUMBER(AF222),ISNUMBER(AA222)),IFERROR(AF222/AA222-1,""),"")</f>
        <v>0.0341241944932631</v>
      </c>
      <c r="AG274" s="255">
        <f>IF(AND(ISNUMBER(AG222),ISNUMBER(AB222)),IFERROR(AG222/AB222-1,""),"")</f>
        <v>0.128819556127372</v>
      </c>
      <c r="AH274" s="255">
        <f>IF(AND(ISNUMBER(AH222),ISNUMBER(AC222)),IFERROR(AH222/AC222-1,""),"")</f>
        <v>0.0502595310542331</v>
      </c>
      <c r="AI274" s="255">
        <f>IF(AND(ISNUMBER(AI222),ISNUMBER(AD222)),IFERROR(AI222/AD222-1,""),"")</f>
        <v>0.0847171404446947</v>
      </c>
      <c r="AJ274" s="255">
        <f>IF(AND(ISNUMBER(AJ222),ISNUMBER(AE222)),IFERROR(AJ222/AE222-1,""),"")</f>
        <v>0.064516129032258</v>
      </c>
      <c r="AK274" s="255">
        <f>IF(AND(ISNUMBER(AK222),ISNUMBER(AF222)),IFERROR(AK222/AF222-1,""),"")</f>
        <v>0.174337912476986</v>
      </c>
      <c r="AL274" s="255">
        <f>IF(AND(ISNUMBER(AL222),ISNUMBER(AG222)),IFERROR(AL222/AG222-1,""),"")</f>
        <v>0.478700669611056</v>
      </c>
      <c r="AM274" s="255">
        <f>IF(AND(ISNUMBER(AM222),ISNUMBER(AH222)),IFERROR(AM222/AH222-1,""),"")</f>
        <v>0.194928252496677</v>
      </c>
      <c r="AN274" s="255">
        <f>IF(AND(ISNUMBER(AN222),ISNUMBER(AI222)),IFERROR(AN222/AI222-1,""),"")</f>
        <v>0.291515308770109</v>
      </c>
      <c r="AO274" s="255">
        <f>IF(AND(ISNUMBER(AO222),ISNUMBER(AJ222)),IFERROR(AO222/AJ222-1,""),"")</f>
        <v>0.181933402465722</v>
      </c>
      <c r="AP274" s="255">
        <f>IF(AND(ISNUMBER(AP222),ISNUMBER(AK222)),IFERROR(AP222/AK222-1,""),"")</f>
        <v>0.247105643994211</v>
      </c>
      <c r="AQ274" s="255">
        <f>IF(AND(ISNUMBER(AQ222),ISNUMBER(AL222)),IFERROR(AQ222/AL222-1,""),"")</f>
        <v>0.195201849889199</v>
      </c>
      <c r="AR274" s="255">
        <f>IF(AND(ISNUMBER(AR222),ISNUMBER(AM222)),IFERROR(AR222/AM222-1,""),"")</f>
        <v>0.225369387871527</v>
      </c>
      <c r="AS274" s="255">
        <f>IF(AND(ISNUMBER(AS222),ISNUMBER(AN222)),IFERROR(AS222/AN222-1,""),"")</f>
        <v>0.274334505273732</v>
      </c>
      <c r="AT274" s="255">
        <f>IF(AND(ISNUMBER(AT222),ISNUMBER(AO222)),IFERROR(AT222/AO222-1,""),"")</f>
        <v>0.354162604796257</v>
      </c>
      <c r="AU274" s="255">
        <f>IF(AND(ISNUMBER(AU222),ISNUMBER(AP222)),IFERROR(AU222/AP222-1,""),"")</f>
        <v>0.25471424427038</v>
      </c>
      <c r="AV274" s="255">
        <f>IF(AND(ISNUMBER(AV222),ISNUMBER(AQ222)),IFERROR(AV222/AQ222-1,""),"")</f>
        <v>0.0807738814993955</v>
      </c>
      <c r="AW274" s="255">
        <f>IF(AND(ISNUMBER(AW222),ISNUMBER(AR222)),IFERROR(AW222/AR222-1,""),"")</f>
        <v>0.232780092646477</v>
      </c>
      <c r="AX274" s="255">
        <f>IF(AND(ISNUMBER(AX222),ISNUMBER(AS222)),IFERROR(AX222/AS222-1,""),"")</f>
        <v>0.251458300488728</v>
      </c>
      <c r="AY274" s="255">
        <f>IF(AND(ISNUMBER(AY222),ISNUMBER(AT222)),IFERROR(AY222/AT222-1,""),"")</f>
        <v>0.28838816499892</v>
      </c>
      <c r="AZ274" s="255">
        <f>IF(AND(ISNUMBER(AZ222),ISNUMBER(AU222)),IFERROR(AZ222/AU222-1,""),"")</f>
        <v>0.313911368015414</v>
      </c>
      <c r="BA274" s="255">
        <f>IF(AND(ISNUMBER(BA222),ISNUMBER(AV222)),IFERROR(BA222/AV222-1,""),"")</f>
        <v>0.424255985679123</v>
      </c>
      <c r="BB274" s="255">
        <f>IF(AND(ISNUMBER(BB222),ISNUMBER(AW222)),IFERROR(BB222/AW222-1,""),"")</f>
        <v>0.320191091221511</v>
      </c>
      <c r="BC274" s="255">
        <f>IF(AND(ISNUMBER(BC222),ISNUMBER(AX222)),IFERROR(BC222/AX222-1,""),"")</f>
        <v>0.274754346182918</v>
      </c>
      <c r="BD274" s="255">
        <f>IF(AND(ISNUMBER(BD222),ISNUMBER(AY222)),IFERROR(BD222/AY222-1,""),"")</f>
        <v>0.243057495669665</v>
      </c>
      <c r="BE274" s="255">
        <f>IF(AND(ISNUMBER(BE222),ISNUMBER(AZ222)),IFERROR(BE222/AZ222-1,""),"")</f>
        <v>0.194509619896762</v>
      </c>
      <c r="BF274" s="255">
        <f>IF(AND(ISNUMBER(BF222),ISNUMBER(BA222)),IFERROR(BF222/BA222-1,""),"")</f>
        <v>0.0753600418957843</v>
      </c>
      <c r="BG274" s="255">
        <f>IF(AND(ISNUMBER(BG222),ISNUMBER(BB222)),IFERROR(BG222/BB222-1,""),"")</f>
        <v>0.192616854511128</v>
      </c>
      <c r="BH274" s="255">
        <f>IF(AND(ISNUMBER(BH222),ISNUMBER(BC222)),IFERROR(BH222/BC222-1,""),"")</f>
        <v>0.0632473564581479</v>
      </c>
      <c r="BI274" s="255">
        <f>IF(AND(ISNUMBER(BI222),ISNUMBER(BD222)),IFERROR(BI222/BD222-1,""),"")</f>
        <v>-0.0304310693576662</v>
      </c>
      <c r="BJ274" s="255">
        <f>IF(AND(ISNUMBER(BJ222),ISNUMBER(BE222)),IFERROR(BJ222/BE222-1,""),"")</f>
        <v>0.0976232567275583</v>
      </c>
      <c r="BK274" s="255">
        <f>IF(AND(ISNUMBER(BK222),ISNUMBER(BF222)),IFERROR(BK222/BF222-1,""),"")</f>
        <v>0.181162949254894</v>
      </c>
      <c r="BL274" s="255">
        <f>IF(AND(ISNUMBER(BL222),ISNUMBER(BG222)),IFERROR(BL222/BG222-1,""),"")</f>
        <v>0.0756868906131945</v>
      </c>
      <c r="BM274" s="255">
        <f>IF(AND(ISNUMBER(BM222),ISNUMBER(BH222)),IFERROR(BM222/BH222-1,""),"")</f>
        <v>0.249883818198717</v>
      </c>
      <c r="BN274" s="255">
        <f>IF(AND(ISNUMBER(BN222),ISNUMBER(BI222)),IFERROR(BN222/BI222-1,""),"")</f>
        <v>0.253222067686602</v>
      </c>
      <c r="BO274" s="255">
        <f>IF(AND(ISNUMBER(BO222),ISNUMBER(BJ222)),IFERROR(BO222/BJ222-1,""),"")</f>
        <v>0.233938797423049</v>
      </c>
      <c r="BP274" s="255">
        <f>IF(AND(ISNUMBER(BP222),ISNUMBER(BK222)),IFERROR(BP222/BK222-1,""),"")</f>
        <v>0.151356477282098</v>
      </c>
      <c r="BQ274" s="255">
        <f>IF(AND(ISNUMBER(BQ222),ISNUMBER(BL222)),IFERROR(BQ222/BL222-1,""),"")</f>
        <v>0.220070461792316</v>
      </c>
      <c r="BR274" s="255">
        <f>IF(AND(ISNUMBER(BR222),ISNUMBER(BM222)),IFERROR(BR222/BM222-1,""),"")</f>
        <v>0.135973229224763</v>
      </c>
      <c r="BS274" s="255">
        <f>IF(AND(ISNUMBER(BS222),ISNUMBER(BN222)),IFERROR(BS222/BN222-1,""),"")</f>
        <v>0.170945546019532</v>
      </c>
      <c r="BT274" s="255">
        <f>IF(AND(ISNUMBER(BT222),ISNUMBER(BO222)),IFERROR(BT222/BO222-1,""),"")</f>
        <v>0.160218991334614</v>
      </c>
      <c r="BU274" s="255">
        <f>IF(AND(ISNUMBER(BU222),ISNUMBER(BP222)),IFERROR(BU222/BP222-1,""),"")</f>
        <v>0.22911369740376</v>
      </c>
      <c r="BV274" s="255">
        <f>IF(AND(ISNUMBER(BV222),ISNUMBER(BQ222)),IFERROR(BV222/BQ222-1,""),"")</f>
        <v>0.174490327414948</v>
      </c>
      <c r="BW274" s="255">
        <f>IF(AND(ISNUMBER(BW222),ISNUMBER(BR222)),IFERROR(BW222/BR222-1,""),"")</f>
        <v>0.242504582351401</v>
      </c>
      <c r="BX274" s="255">
        <f>IF(AND(ISNUMBER(BX222),ISNUMBER(BS222)),IFERROR(BX222/BS222-1,""),"")</f>
        <v>0.209206078412789</v>
      </c>
      <c r="BY274" s="255">
        <f>IF(AND(ISNUMBER(BY222),ISNUMBER(BT222)),IFERROR(BY222/BT222-1,""),"")</f>
        <v>0.1999375</v>
      </c>
      <c r="BZ274" s="255">
        <f>IF(AND(ISNUMBER(BZ222),ISNUMBER(BU222)),IFERROR(BZ222/BU222-1,""),"")</f>
        <v>0.182967689304548</v>
      </c>
      <c r="CA274" s="255">
        <f>IF(AND(ISNUMBER(CA222),ISNUMBER(BV222)),IFERROR(CA222/BV222-1,""),"")</f>
        <v>0.207806859205776</v>
      </c>
      <c r="CB274" s="256">
        <f>IF(AND(ISNUMBER(CB222),ISNUMBER(BW222)),IFERROR(CB222/BW222-1,""),"")</f>
        <v>0.155132899554806</v>
      </c>
      <c r="CC274" s="256">
        <f>IF(AND(ISNUMBER(CC222),ISNUMBER(BX222)),IFERROR(CC222/BX222-1,""),"")</f>
        <v>0.158613835493677</v>
      </c>
      <c r="CD274" s="256">
        <f>IF(AND(ISNUMBER(CD222),ISNUMBER(BY222)),IFERROR(CD222/BY222-1,""),"")</f>
        <v>0.164434250079145</v>
      </c>
      <c r="CE274" s="256">
        <f>IF(AND(ISNUMBER(CE222),ISNUMBER(BZ222)),IFERROR(CE222/BZ222-1,""),"")</f>
        <v>0.172160769160409</v>
      </c>
      <c r="CF274" s="256">
        <f>IF(AND(ISNUMBER(CF222),ISNUMBER(CA222)),IFERROR(CF222/CA222-1,""),"")</f>
        <v>0.162745573531308</v>
      </c>
      <c r="CG274" s="256">
        <f>IF(AND(ISNUMBER(CG222),ISNUMBER(CF222)),IFERROR(CG222/CF222-1,""),"")</f>
        <v>0.123506255313255</v>
      </c>
      <c r="CH274" s="256">
        <f>IF(AND(ISNUMBER(CH222),ISNUMBER(CG222)),IFERROR(CH222/CG222-1,""),"")</f>
        <v>0.151097081536053</v>
      </c>
      <c r="CI274" s="256">
        <f>IF(AND(ISNUMBER(CI222),ISNUMBER(CH222)),IFERROR(CI222/CH222-1,""),"")</f>
        <v>0.154577674193482</v>
      </c>
      <c r="CJ274" s="256">
        <f>IF(AND(ISNUMBER(CJ222),ISNUMBER(CI222)),IFERROR(CJ222/CI222-1,""),"")</f>
        <v>0.136163645844437</v>
      </c>
      <c r="CK274" s="153" t="n"/>
    </row>
    <row r="275" ht="15" customHeight="1" s="251">
      <c r="B275" s="22" t="inlineStr">
        <is>
          <t xml:space="preserve">  Adjusted EBITDA y/y %</t>
        </is>
      </c>
      <c r="C275" s="23" t="n"/>
      <c r="D275" s="255">
        <f>IF(AND(ISNUMBER(D242),ISNUMBER(C242)),IFERROR(D242/C242-1,""),"")</f>
        <v>0.149007194244604</v>
      </c>
      <c r="E275" s="255">
        <f>IF(AND(ISNUMBER(E242),ISNUMBER(D242)),IFERROR(E242/D242-1,""),"")</f>
        <v>0.229613303947105</v>
      </c>
      <c r="F275" s="255">
        <f>IF(AND(ISNUMBER(F242),ISNUMBER(E242)),IFERROR(F242/E242-1,""),"")</f>
        <v>-0.0661153658139156</v>
      </c>
      <c r="G275" s="255">
        <f>IF(AND(ISNUMBER(G242),ISNUMBER(F242)),IFERROR(G242/F242-1,""),"")</f>
        <v>0.167764449291167</v>
      </c>
      <c r="H275" s="255">
        <f>IF(AND(ISNUMBER(H242),ISNUMBER(G242)),IFERROR(H242/G242-1,""),"")</f>
        <v>0.117888760225617</v>
      </c>
      <c r="I275" s="255">
        <f>IF(AND(ISNUMBER(I242),ISNUMBER(H242)),IFERROR(I242/H242-1,""),"")</f>
        <v>0.0513248905670465</v>
      </c>
      <c r="J275" s="23" t="n"/>
      <c r="K275" s="23" t="n"/>
      <c r="L275" s="23" t="n"/>
      <c r="M275" s="23" t="n"/>
      <c r="N275" s="255">
        <f>IF(AND(ISNUMBER(N242),ISNUMBER(I242)),IFERROR(N242/I242-1,""),"")</f>
        <v>-0.0238693068048184</v>
      </c>
      <c r="O275" s="255">
        <f>IF(AND(ISNUMBER(O242),ISNUMBER(J242)),IFERROR(O242/J242-1,""),"")</f>
        <v>0.00366151342554932</v>
      </c>
      <c r="P275" s="255">
        <f>IF(AND(ISNUMBER(P242),ISNUMBER(K242)),IFERROR(P242/K242-1,""),"")</f>
        <v>-0.0102938022732146</v>
      </c>
      <c r="Q275" s="255">
        <f>IF(AND(ISNUMBER(Q242),ISNUMBER(L242)),IFERROR(Q242/L242-1,""),"")</f>
        <v>0.0631782945736434</v>
      </c>
      <c r="R275" s="255">
        <f>IF(AND(ISNUMBER(R242),ISNUMBER(M242)),IFERROR(R242/M242-1,""),"")</f>
        <v>0.310806503028371</v>
      </c>
      <c r="S275" s="255">
        <f>IF(AND(ISNUMBER(S242),ISNUMBER(N242)),IFERROR(S242/N242-1,""),"")</f>
        <v>0.0735543110184944</v>
      </c>
      <c r="T275" s="255">
        <f>IF(AND(ISNUMBER(T242),ISNUMBER(O242)),IFERROR(T242/O242-1,""),"")</f>
        <v>0.136603161734901</v>
      </c>
      <c r="U275" s="255">
        <f>IF(AND(ISNUMBER(U242),ISNUMBER(P242)),IFERROR(U242/P242-1,""),"")</f>
        <v>-0.00173347778981581</v>
      </c>
      <c r="V275" s="255">
        <f>IF(AND(ISNUMBER(V242),ISNUMBER(Q242)),IFERROR(V242/Q242-1,""),"")</f>
        <v>0.00850650139749676</v>
      </c>
      <c r="W275" s="255">
        <f>IF(AND(ISNUMBER(W242),ISNUMBER(R242)),IFERROR(W242/R242-1,""),"")</f>
        <v>-0.0420719844357976</v>
      </c>
      <c r="X275" s="255">
        <f>IF(AND(ISNUMBER(X242),ISNUMBER(S242)),IFERROR(X242/S242-1,""),"")</f>
        <v>0.0351217736799006</v>
      </c>
      <c r="Y275" s="255">
        <f>IF(AND(ISNUMBER(Y242),ISNUMBER(T242)),IFERROR(Y242/T242-1,""),"")</f>
        <v>0.0146219686162625</v>
      </c>
      <c r="Z275" s="255">
        <f>IF(AND(ISNUMBER(Z242),ISNUMBER(U242)),IFERROR(Z242/U242-1,""),"")</f>
        <v>0.0274582157586283</v>
      </c>
      <c r="AA275" s="255">
        <f>IF(AND(ISNUMBER(AA242),ISNUMBER(V242)),IFERROR(AA242/V242-1,""),"")</f>
        <v>0.0284371611037475</v>
      </c>
      <c r="AB275" s="255">
        <f>IF(AND(ISNUMBER(AB242),ISNUMBER(W242)),IFERROR(AB242/W242-1,""),"")</f>
        <v>0.0317339426250318</v>
      </c>
      <c r="AC275" s="255">
        <f>IF(AND(ISNUMBER(AC242),ISNUMBER(X242)),IFERROR(AC242/X242-1,""),"")</f>
        <v>0.012540654575288</v>
      </c>
      <c r="AD275" s="255">
        <f>IF(AND(ISNUMBER(AD242),ISNUMBER(Y242)),IFERROR(AD242/Y242-1,""),"")</f>
        <v>0.0453427065026362</v>
      </c>
      <c r="AE275" s="255">
        <f>IF(AND(ISNUMBER(AE242),ISNUMBER(Z242)),IFERROR(AE242/Z242-1,""),"")</f>
        <v>0.0899968310974966</v>
      </c>
      <c r="AF275" s="255">
        <f>IF(AND(ISNUMBER(AF242),ISNUMBER(AA242)),IFERROR(AF242/AA242-1,""),"")</f>
        <v>0.114704159343878</v>
      </c>
      <c r="AG275" s="255">
        <f>IF(AND(ISNUMBER(AG242),ISNUMBER(AB242)),IFERROR(AG242/AB242-1,""),"")</f>
        <v>0.151820866141732</v>
      </c>
      <c r="AH275" s="255">
        <f>IF(AND(ISNUMBER(AH242),ISNUMBER(AC242)),IFERROR(AH242/AC242-1,""),"")</f>
        <v>0.1030182018115</v>
      </c>
      <c r="AI275" s="255">
        <f>IF(AND(ISNUMBER(AI242),ISNUMBER(AD242)),IFERROR(AI242/AD242-1,""),"")</f>
        <v>0.14402600313831</v>
      </c>
      <c r="AJ275" s="255">
        <f>IF(AND(ISNUMBER(AJ242),ISNUMBER(AE242)),IFERROR(AJ242/AE242-1,""),"")</f>
        <v>0.0868301191975966</v>
      </c>
      <c r="AK275" s="255">
        <f>IF(AND(ISNUMBER(AK242),ISNUMBER(AF242)),IFERROR(AK242/AF242-1,""),"")</f>
        <v>0.15640109312592</v>
      </c>
      <c r="AL275" s="255">
        <f>IF(AND(ISNUMBER(AL242),ISNUMBER(AG242)),IFERROR(AL242/AG242-1,""),"")</f>
        <v>0.377376628925443</v>
      </c>
      <c r="AM275" s="255">
        <f>IF(AND(ISNUMBER(AM242),ISNUMBER(AH242)),IFERROR(AM242/AH242-1,""),"")</f>
        <v>0.188944565417005</v>
      </c>
      <c r="AN275" s="255">
        <f>IF(AND(ISNUMBER(AN242),ISNUMBER(AI242)),IFERROR(AN242/AI242-1,""),"")</f>
        <v>0.253257568335456</v>
      </c>
      <c r="AO275" s="255">
        <f>IF(AND(ISNUMBER(AO242),ISNUMBER(AJ242)),IFERROR(AO242/AJ242-1,""),"")</f>
        <v>0.18172090949621</v>
      </c>
      <c r="AP275" s="255">
        <f>IF(AND(ISNUMBER(AP242),ISNUMBER(AK242)),IFERROR(AP242/AK242-1,""),"")</f>
        <v>0.205871659698237</v>
      </c>
      <c r="AQ275" s="255">
        <f>IF(AND(ISNUMBER(AQ242),ISNUMBER(AL242)),IFERROR(AQ242/AL242-1,""),"")</f>
        <v>0.188755331523846</v>
      </c>
      <c r="AR275" s="255">
        <f>IF(AND(ISNUMBER(AR242),ISNUMBER(AM242)),IFERROR(AR242/AM242-1,""),"")</f>
        <v>0.205697389615835</v>
      </c>
      <c r="AS275" s="255">
        <f>IF(AND(ISNUMBER(AS242),ISNUMBER(AN242)),IFERROR(AS242/AN242-1,""),"")</f>
        <v>0.223968105065666</v>
      </c>
      <c r="AT275" s="255">
        <f>IF(AND(ISNUMBER(AT242),ISNUMBER(AO242)),IFERROR(AT242/AO242-1,""),"")</f>
        <v>0.289821172564702</v>
      </c>
      <c r="AU275" s="255">
        <f>IF(AND(ISNUMBER(AU242),ISNUMBER(AP242)),IFERROR(AU242/AP242-1,""),"")</f>
        <v>0.213009723373785</v>
      </c>
      <c r="AV275" s="255">
        <f>IF(AND(ISNUMBER(AV242),ISNUMBER(AQ242)),IFERROR(AV242/AQ242-1,""),"")</f>
        <v>0.103203079131059</v>
      </c>
      <c r="AW275" s="255">
        <f>IF(AND(ISNUMBER(AW242),ISNUMBER(AR242)),IFERROR(AW242/AR242-1,""),"")</f>
        <v>0.203400377006277</v>
      </c>
      <c r="AX275" s="255">
        <f>IF(AND(ISNUMBER(AX242),ISNUMBER(AS242)),IFERROR(AX242/AS242-1,""),"")</f>
        <v>0.182921377019863</v>
      </c>
      <c r="AY275" s="255">
        <f>IF(AND(ISNUMBER(AY242),ISNUMBER(AT242)),IFERROR(AY242/AT242-1,""),"")</f>
        <v>0.208494208494209</v>
      </c>
      <c r="AZ275" s="255">
        <f>IF(AND(ISNUMBER(AZ242),ISNUMBER(AU242)),IFERROR(AZ242/AU242-1,""),"")</f>
        <v>0.241782141303672</v>
      </c>
      <c r="BA275" s="255">
        <f>IF(AND(ISNUMBER(BA242),ISNUMBER(AV242)),IFERROR(BA242/AV242-1,""),"")</f>
        <v>0.326887824492934</v>
      </c>
      <c r="BB275" s="255">
        <f>IF(AND(ISNUMBER(BB242),ISNUMBER(AW242)),IFERROR(BB242/AW242-1,""),"")</f>
        <v>0.241000684358604</v>
      </c>
      <c r="BC275" s="255">
        <f>IF(AND(ISNUMBER(BC242),ISNUMBER(AX242)),IFERROR(BC242/AX242-1,""),"")</f>
        <v>0.266130338534636</v>
      </c>
      <c r="BD275" s="255">
        <f>IF(AND(ISNUMBER(BD242),ISNUMBER(AY242)),IFERROR(BD242/AY242-1,""),"")</f>
        <v>0.246151611966309</v>
      </c>
      <c r="BE275" s="255">
        <f>IF(AND(ISNUMBER(BE242),ISNUMBER(AZ242)),IFERROR(BE242/AZ242-1,""),"")</f>
        <v>0.207816253002402</v>
      </c>
      <c r="BF275" s="255">
        <f>IF(AND(ISNUMBER(BF242),ISNUMBER(BA242)),IFERROR(BF242/BA242-1,""),"")</f>
        <v>0.0924283613351753</v>
      </c>
      <c r="BG275" s="255">
        <f>IF(AND(ISNUMBER(BG242),ISNUMBER(BB242)),IFERROR(BG242/BB242-1,""),"")</f>
        <v>0.19902698463273</v>
      </c>
      <c r="BH275" s="255">
        <f>IF(AND(ISNUMBER(BH242),ISNUMBER(BC242)),IFERROR(BH242/BC242-1,""),"")</f>
        <v>0.0365884861407249</v>
      </c>
      <c r="BI275" s="255">
        <f>IF(AND(ISNUMBER(BI242),ISNUMBER(BD242)),IFERROR(BI242/BD242-1,""),"")</f>
        <v>-0.0203938934856077</v>
      </c>
      <c r="BJ275" s="255">
        <f>IF(AND(ISNUMBER(BJ242),ISNUMBER(BE242)),IFERROR(BJ242/BE242-1,""),"")</f>
        <v>0.0730828189087294</v>
      </c>
      <c r="BK275" s="255">
        <f>IF(AND(ISNUMBER(BK242),ISNUMBER(BF242)),IFERROR(BK242/BF242-1,""),"")</f>
        <v>0.147472769550851</v>
      </c>
      <c r="BL275" s="255">
        <f>IF(AND(ISNUMBER(BL242),ISNUMBER(BG242)),IFERROR(BL242/BG242-1,""),"")</f>
        <v>0.058379240211359</v>
      </c>
      <c r="BM275" s="255">
        <f>IF(AND(ISNUMBER(BM242),ISNUMBER(BH242)),IFERROR(BM242/BH242-1,""),"")</f>
        <v>0.267730788217871</v>
      </c>
      <c r="BN275" s="255">
        <f>IF(AND(ISNUMBER(BN242),ISNUMBER(BI242)),IFERROR(BN242/BI242-1,""),"")</f>
        <v>0.308232215084463</v>
      </c>
      <c r="BO275" s="255">
        <f>IF(AND(ISNUMBER(BO242),ISNUMBER(BJ242)),IFERROR(BO242/BJ242-1,""),"")</f>
        <v>0.297556078915872</v>
      </c>
      <c r="BP275" s="255">
        <f>IF(AND(ISNUMBER(BP242),ISNUMBER(BK242)),IFERROR(BP242/BK242-1,""),"")</f>
        <v>0.219603242320819</v>
      </c>
      <c r="BQ275" s="255">
        <f>IF(AND(ISNUMBER(BQ242),ISNUMBER(BL242)),IFERROR(BQ242/BL242-1,""),"")</f>
        <v>0.271981072859833</v>
      </c>
      <c r="BR275" s="255">
        <f>IF(AND(ISNUMBER(BR242),ISNUMBER(BM242)),IFERROR(BR242/BM242-1,""),"")</f>
        <v>0.231016355140187</v>
      </c>
      <c r="BS275" s="255">
        <f>IF(AND(ISNUMBER(BS242),ISNUMBER(BN242)),IFERROR(BS242/BN242-1,""),"")</f>
        <v>0.166378709344973</v>
      </c>
      <c r="BT275" s="255">
        <f>IF(AND(ISNUMBER(BT242),ISNUMBER(BO242)),IFERROR(BT242/BO242-1,""),"")</f>
        <v>0.212211378243276</v>
      </c>
      <c r="BU275" s="255">
        <f>IF(AND(ISNUMBER(BU242),ISNUMBER(BP242)),IFERROR(BU242/BP242-1,""),"")</f>
        <v>0.327095175630375</v>
      </c>
      <c r="BV275" s="255">
        <f>IF(AND(ISNUMBER(BV242),ISNUMBER(BQ242)),IFERROR(BV242/BQ242-1,""),"")</f>
        <v>0.235051624658366</v>
      </c>
      <c r="BW275" s="255">
        <f>IF(AND(ISNUMBER(BW242),ISNUMBER(BR242)),IFERROR(BW242/BR242-1,""),"")</f>
        <v>0.215447475945697</v>
      </c>
      <c r="BX275" s="255">
        <f>IF(AND(ISNUMBER(BX242),ISNUMBER(BS242)),IFERROR(BX242/BS242-1,""),"")</f>
        <v>0.233705821205821</v>
      </c>
      <c r="BY275" s="255">
        <f>IF(AND(ISNUMBER(BY242),ISNUMBER(BT242)),IFERROR(BY242/BT242-1,""),"")</f>
        <v>0.192071674030437</v>
      </c>
      <c r="BZ275" s="255">
        <f>IF(AND(ISNUMBER(BZ242),ISNUMBER(BU242)),IFERROR(BZ242/BU242-1,""),"")</f>
        <v>0.133967403242103</v>
      </c>
      <c r="CA275" s="255">
        <f>IF(AND(ISNUMBER(CA242),ISNUMBER(BV242)),IFERROR(CA242/BV242-1,""),"")</f>
        <v>0.191110209551208</v>
      </c>
      <c r="CB275" s="256">
        <f>IF(AND(ISNUMBER(CB242),ISNUMBER(BW242)),IFERROR(CB242/BW242-1,""),"")</f>
        <v>0.256397588271016</v>
      </c>
      <c r="CC275" s="256">
        <f>IF(AND(ISNUMBER(CC242),ISNUMBER(BX242)),IFERROR(CC242/BX242-1,""),"")</f>
        <v>0.230719030891675</v>
      </c>
      <c r="CD275" s="256">
        <f>IF(AND(ISNUMBER(CD242),ISNUMBER(BY242)),IFERROR(CD242/BY242-1,""),"")</f>
        <v>0.210582236889509</v>
      </c>
      <c r="CE275" s="256">
        <f>IF(AND(ISNUMBER(CE242),ISNUMBER(BZ242)),IFERROR(CE242/BZ242-1,""),"")</f>
        <v>0.194638715936467</v>
      </c>
      <c r="CF275" s="256">
        <f>IF(AND(ISNUMBER(CF242),ISNUMBER(CA242)),IFERROR(CF242/CA242-1,""),"")</f>
        <v>0.222169749850492</v>
      </c>
      <c r="CG275" s="256">
        <f>IF(AND(ISNUMBER(CG242),ISNUMBER(CF242)),IFERROR(CG242/CF242-1,""),"")</f>
        <v>0.195731788319845</v>
      </c>
      <c r="CH275" s="256">
        <f>IF(AND(ISNUMBER(CH242),ISNUMBER(CG242)),IFERROR(CH242/CG242-1,""),"")</f>
        <v>0.184099370013437</v>
      </c>
      <c r="CI275" s="256">
        <f>IF(AND(ISNUMBER(CI242),ISNUMBER(CH242)),IFERROR(CI242/CH242-1,""),"")</f>
        <v>0.162920208730526</v>
      </c>
      <c r="CJ275" s="256">
        <f>IF(AND(ISNUMBER(CJ242),ISNUMBER(CI242)),IFERROR(CJ242/CI242-1,""),"")</f>
        <v>0.133318240635483</v>
      </c>
      <c r="CK275" s="153" t="n"/>
    </row>
    <row r="276" ht="15" customHeight="1" s="251">
      <c r="B276" s="22" t="inlineStr">
        <is>
          <t xml:space="preserve">  Operating income (GAAP) y/y %</t>
        </is>
      </c>
      <c r="C276" s="23" t="n"/>
      <c r="D276" s="255">
        <f>IF(AND(ISNUMBER(D190),ISNUMBER(C190)),IFERROR(D190/C190-1,""),"")</f>
        <v>0.124575036425449</v>
      </c>
      <c r="E276" s="255">
        <f>IF(AND(ISNUMBER(E190),ISNUMBER(D190)),IFERROR(E190/D190-1,""),"")</f>
        <v>0.2142085942561</v>
      </c>
      <c r="F276" s="255">
        <f>IF(AND(ISNUMBER(F190),ISNUMBER(E190)),IFERROR(F190/E190-1,""),"")</f>
        <v>-0.0946558776453851</v>
      </c>
      <c r="G276" s="255">
        <f>IF(AND(ISNUMBER(G190),ISNUMBER(F190)),IFERROR(G190/F190-1,""),"")</f>
        <v>0.183420910474881</v>
      </c>
      <c r="H276" s="255">
        <f>IF(AND(ISNUMBER(H190),ISNUMBER(G190)),IFERROR(H190/G190-1,""),"")</f>
        <v>0.127105983899079</v>
      </c>
      <c r="I276" s="255">
        <f>IF(AND(ISNUMBER(I190),ISNUMBER(H190)),IFERROR(I190/H190-1,""),"")</f>
        <v>-0.198740841647951</v>
      </c>
      <c r="J276" s="23" t="n"/>
      <c r="K276" s="23" t="n"/>
      <c r="L276" s="23" t="n"/>
      <c r="M276" s="23" t="n"/>
      <c r="N276" s="255">
        <f>IF(AND(ISNUMBER(N190),ISNUMBER(I190)),IFERROR(N190/I190-1,""),"")</f>
        <v>0.229793686532188</v>
      </c>
      <c r="O276" s="255">
        <f>IF(AND(ISNUMBER(O190),ISNUMBER(J190)),IFERROR(O190/J190-1,""),"")</f>
        <v>0.193293142426526</v>
      </c>
      <c r="P276" s="255">
        <f>IF(AND(ISNUMBER(P190),ISNUMBER(K190)),IFERROR(P190/K190-1,""),"")</f>
        <v>0.0254793462874792</v>
      </c>
      <c r="Q276" s="255">
        <f>IF(AND(ISNUMBER(Q190),ISNUMBER(L190)),IFERROR(Q190/L190-1,""),"")</f>
        <v>-0.0838150289017341</v>
      </c>
      <c r="R276" s="255">
        <f>IF(AND(ISNUMBER(R190),ISNUMBER(M190)),IFERROR(R190/M190-1,""),"")</f>
        <v>0.0673472748229871</v>
      </c>
      <c r="S276" s="255">
        <f>IF(AND(ISNUMBER(S190),ISNUMBER(N190)),IFERROR(S190/N190-1,""),"")</f>
        <v>0.0371768046629801</v>
      </c>
      <c r="T276" s="255">
        <f>IF(AND(ISNUMBER(T190),ISNUMBER(O190)),IFERROR(T190/O190-1,""),"")</f>
        <v>-0.0773602778654878</v>
      </c>
      <c r="U276" s="255">
        <f>IF(AND(ISNUMBER(U190),ISNUMBER(P190)),IFERROR(U190/P190-1,""),"")</f>
        <v>-0.0242188480361401</v>
      </c>
      <c r="V276" s="255">
        <f>IF(AND(ISNUMBER(V190),ISNUMBER(Q190)),IFERROR(V190/Q190-1,""),"")</f>
        <v>-0.0544880986521366</v>
      </c>
      <c r="W276" s="255">
        <f>IF(AND(ISNUMBER(W190),ISNUMBER(R190)),IFERROR(W190/R190-1,""),"")</f>
        <v>-1.31672323356989</v>
      </c>
      <c r="X276" s="255">
        <f>IF(AND(ISNUMBER(X190),ISNUMBER(S190)),IFERROR(X190/S190-1,""),"")</f>
        <v>-0.345761734932815</v>
      </c>
      <c r="Y276" s="255">
        <f>IF(AND(ISNUMBER(Y190),ISNUMBER(T190)),IFERROR(Y190/T190-1,""),"")</f>
        <v>-0.00872689938398352</v>
      </c>
      <c r="Z276" s="255">
        <f>IF(AND(ISNUMBER(Z190),ISNUMBER(U190)),IFERROR(Z190/U190-1,""),"")</f>
        <v>-0.225051440329218</v>
      </c>
      <c r="AA276" s="255">
        <f>IF(AND(ISNUMBER(AA190),ISNUMBER(V190)),IFERROR(AA190/V190-1,""),"")</f>
        <v>-0.198817106460419</v>
      </c>
      <c r="AB276" s="255">
        <f>IF(AND(ISNUMBER(AB190),ISNUMBER(W190)),IFERROR(AB190/W190-1,""),"")</f>
        <v>-2.5002435460302</v>
      </c>
      <c r="AC276" s="255">
        <f>IF(AND(ISNUMBER(AC190),ISNUMBER(X190)),IFERROR(AC190/X190-1,""),"")</f>
        <v>0.111282418369033</v>
      </c>
      <c r="AD276" s="255">
        <f>IF(AND(ISNUMBER(AD190),ISNUMBER(Y190)),IFERROR(AD190/Y190-1,""),"")</f>
        <v>-0.098049369929225</v>
      </c>
      <c r="AE276" s="255">
        <f>IF(AND(ISNUMBER(AE190),ISNUMBER(Z190)),IFERROR(AE190/Z190-1,""),"")</f>
        <v>0.0250580816461998</v>
      </c>
      <c r="AF276" s="255">
        <f>IF(AND(ISNUMBER(AF190),ISNUMBER(AA190)),IFERROR(AF190/AA190-1,""),"")</f>
        <v>0.058868067385955</v>
      </c>
      <c r="AG276" s="255">
        <f>IF(AND(ISNUMBER(AG190),ISNUMBER(AB190)),IFERROR(AG190/AB190-1,""),"")</f>
        <v>0.730519480519481</v>
      </c>
      <c r="AH276" s="255">
        <f>IF(AND(ISNUMBER(AH190),ISNUMBER(AC190)),IFERROR(AH190/AC190-1,""),"")</f>
        <v>0.106233277177683</v>
      </c>
      <c r="AI276" s="255">
        <f>IF(AND(ISNUMBER(AI190),ISNUMBER(AD190)),IFERROR(AI190/AD190-1,""),"")</f>
        <v>0.475215311004785</v>
      </c>
      <c r="AJ276" s="255">
        <f>IF(AND(ISNUMBER(AJ190),ISNUMBER(AE190)),IFERROR(AJ190/AE190-1,""),"")</f>
        <v>0.405050995628946</v>
      </c>
      <c r="AK276" s="255">
        <f>IF(AND(ISNUMBER(AK190),ISNUMBER(AF190)),IFERROR(AK190/AF190-1,""),"")</f>
        <v>0.482302466928852</v>
      </c>
      <c r="AL276" s="255">
        <f>IF(AND(ISNUMBER(AL190),ISNUMBER(AG190)),IFERROR(AL190/AG190-1,""),"")</f>
        <v>0.947279549718574</v>
      </c>
      <c r="AM276" s="255">
        <f>IF(AND(ISNUMBER(AM190),ISNUMBER(AH190)),IFERROR(AM190/AH190-1,""),"")</f>
        <v>0.570276807309863</v>
      </c>
      <c r="AN276" s="255">
        <f>IF(AND(ISNUMBER(AN190),ISNUMBER(AI190)),IFERROR(AN190/AI190-1,""),"")</f>
        <v>0.291515308770109</v>
      </c>
      <c r="AO276" s="255">
        <f>IF(AND(ISNUMBER(AO190),ISNUMBER(AJ190)),IFERROR(AO190/AJ190-1,""),"")</f>
        <v>0.181933402465722</v>
      </c>
      <c r="AP276" s="255">
        <f>IF(AND(ISNUMBER(AP190),ISNUMBER(AK190)),IFERROR(AP190/AK190-1,""),"")</f>
        <v>0.247105643994211</v>
      </c>
      <c r="AQ276" s="255">
        <f>IF(AND(ISNUMBER(AQ190),ISNUMBER(AL190)),IFERROR(AQ190/AL190-1,""),"")</f>
        <v>0.195201849889199</v>
      </c>
      <c r="AR276" s="255">
        <f>IF(AND(ISNUMBER(AR190),ISNUMBER(AM190)),IFERROR(AR190/AM190-1,""),"")</f>
        <v>0.225369387871527</v>
      </c>
      <c r="AS276" s="255">
        <f>IF(AND(ISNUMBER(AS190),ISNUMBER(AN190)),IFERROR(AS190/AN190-1,""),"")</f>
        <v>0.274334505273732</v>
      </c>
      <c r="AT276" s="255">
        <f>IF(AND(ISNUMBER(AT190),ISNUMBER(AO190)),IFERROR(AT190/AO190-1,""),"")</f>
        <v>0.354162604796257</v>
      </c>
      <c r="AU276" s="255">
        <f>IF(AND(ISNUMBER(AU190),ISNUMBER(AP190)),IFERROR(AU190/AP190-1,""),"")</f>
        <v>0.25471424427038</v>
      </c>
      <c r="AV276" s="255">
        <f>IF(AND(ISNUMBER(AV190),ISNUMBER(AQ190)),IFERROR(AV190/AQ190-1,""),"")</f>
        <v>0.0807738814993955</v>
      </c>
      <c r="AW276" s="255">
        <f>IF(AND(ISNUMBER(AW190),ISNUMBER(AR190)),IFERROR(AW190/AR190-1,""),"")</f>
        <v>0.232780092646477</v>
      </c>
      <c r="AX276" s="255">
        <f>IF(AND(ISNUMBER(AX190),ISNUMBER(AS190)),IFERROR(AX190/AS190-1,""),"")</f>
        <v>0.251458300488728</v>
      </c>
      <c r="AY276" s="255">
        <f>IF(AND(ISNUMBER(AY190),ISNUMBER(AT190)),IFERROR(AY190/AT190-1,""),"")</f>
        <v>0.28838816499892</v>
      </c>
      <c r="AZ276" s="255">
        <f>IF(AND(ISNUMBER(AZ190),ISNUMBER(AU190)),IFERROR(AZ190/AU190-1,""),"")</f>
        <v>0.313911368015414</v>
      </c>
      <c r="BA276" s="255">
        <f>IF(AND(ISNUMBER(BA190),ISNUMBER(AV190)),IFERROR(BA190/AV190-1,""),"")</f>
        <v>0.424255985679123</v>
      </c>
      <c r="BB276" s="255">
        <f>IF(AND(ISNUMBER(BB190),ISNUMBER(AW190)),IFERROR(BB190/AW190-1,""),"")</f>
        <v>0.320191091221511</v>
      </c>
      <c r="BC276" s="255">
        <f>IF(AND(ISNUMBER(BC190),ISNUMBER(AX190)),IFERROR(BC190/AX190-1,""),"")</f>
        <v>0.274754346182918</v>
      </c>
      <c r="BD276" s="255">
        <f>IF(AND(ISNUMBER(BD190),ISNUMBER(AY190)),IFERROR(BD190/AY190-1,""),"")</f>
        <v>0.243057495669665</v>
      </c>
      <c r="BE276" s="255">
        <f>IF(AND(ISNUMBER(BE190),ISNUMBER(AZ190)),IFERROR(BE190/AZ190-1,""),"")</f>
        <v>0.194509619896762</v>
      </c>
      <c r="BF276" s="255">
        <f>IF(AND(ISNUMBER(BF190),ISNUMBER(BA190)),IFERROR(BF190/BA190-1,""),"")</f>
        <v>0.0753600418957843</v>
      </c>
      <c r="BG276" s="255">
        <f>IF(AND(ISNUMBER(BG190),ISNUMBER(BB190)),IFERROR(BG190/BB190-1,""),"")</f>
        <v>0.192616854511128</v>
      </c>
      <c r="BH276" s="255">
        <f>IF(AND(ISNUMBER(BH190),ISNUMBER(BC190)),IFERROR(BH190/BC190-1,""),"")</f>
        <v>0.0632473564581479</v>
      </c>
      <c r="BI276" s="255">
        <f>IF(AND(ISNUMBER(BI190),ISNUMBER(BD190)),IFERROR(BI190/BD190-1,""),"")</f>
        <v>-0.0830673798714433</v>
      </c>
      <c r="BJ276" s="255">
        <f>IF(AND(ISNUMBER(BJ190),ISNUMBER(BE190)),IFERROR(BJ190/BE190-1,""),"")</f>
        <v>0.0976232567275583</v>
      </c>
      <c r="BK276" s="255">
        <f>IF(AND(ISNUMBER(BK190),ISNUMBER(BF190)),IFERROR(BK190/BF190-1,""),"")</f>
        <v>0.181162949254894</v>
      </c>
      <c r="BL276" s="255">
        <f>IF(AND(ISNUMBER(BL190),ISNUMBER(BG190)),IFERROR(BL190/BG190-1,""),"")</f>
        <v>0.0616432606166724</v>
      </c>
      <c r="BM276" s="255">
        <f>IF(AND(ISNUMBER(BM190),ISNUMBER(BH190)),IFERROR(BM190/BH190-1,""),"")</f>
        <v>0.249883818198717</v>
      </c>
      <c r="BN276" s="255">
        <f>IF(AND(ISNUMBER(BN190),ISNUMBER(BI190)),IFERROR(BN190/BI190-1,""),"")</f>
        <v>0.325162998186186</v>
      </c>
      <c r="BO276" s="255">
        <f>IF(AND(ISNUMBER(BO190),ISNUMBER(BJ190)),IFERROR(BO190/BJ190-1,""),"")</f>
        <v>0.233938797423049</v>
      </c>
      <c r="BP276" s="255">
        <f>IF(AND(ISNUMBER(BP190),ISNUMBER(BK190)),IFERROR(BP190/BK190-1,""),"")</f>
        <v>0.151356477282098</v>
      </c>
      <c r="BQ276" s="255">
        <f>IF(AND(ISNUMBER(BQ190),ISNUMBER(BL190)),IFERROR(BQ190/BL190-1,""),"")</f>
        <v>0.236209798583419</v>
      </c>
      <c r="BR276" s="255">
        <f>IF(AND(ISNUMBER(BR190),ISNUMBER(BM190)),IFERROR(BR190/BM190-1,""),"")</f>
        <v>0.135973229224763</v>
      </c>
      <c r="BS276" s="255">
        <f>IF(AND(ISNUMBER(BS190),ISNUMBER(BN190)),IFERROR(BS190/BN190-1,""),"")</f>
        <v>0.170945546019532</v>
      </c>
      <c r="BT276" s="255">
        <f>IF(AND(ISNUMBER(BT190),ISNUMBER(BO190)),IFERROR(BT190/BO190-1,""),"")</f>
        <v>0.160218991334614</v>
      </c>
      <c r="BU276" s="255">
        <f>IF(AND(ISNUMBER(BU190),ISNUMBER(BP190)),IFERROR(BU190/BP190-1,""),"")</f>
        <v>0.22911369740376</v>
      </c>
      <c r="BV276" s="255">
        <f>IF(AND(ISNUMBER(BV190),ISNUMBER(BQ190)),IFERROR(BV190/BQ190-1,""),"")</f>
        <v>0.174490327414948</v>
      </c>
      <c r="BW276" s="255">
        <f>IF(AND(ISNUMBER(BW190),ISNUMBER(BR190)),IFERROR(BW190/BR190-1,""),"")</f>
        <v>0.242504582351401</v>
      </c>
      <c r="BX276" s="255">
        <f>IF(AND(ISNUMBER(BX190),ISNUMBER(BS190)),IFERROR(BX190/BS190-1,""),"")</f>
        <v>0.209206078412789</v>
      </c>
      <c r="BY276" s="255">
        <f>IF(AND(ISNUMBER(BY190),ISNUMBER(BT190)),IFERROR(BY190/BT190-1,""),"")</f>
        <v>0.1999375</v>
      </c>
      <c r="BZ276" s="255">
        <f>IF(AND(ISNUMBER(BZ190),ISNUMBER(BU190)),IFERROR(BZ190/BU190-1,""),"")</f>
        <v>0.182967689304548</v>
      </c>
      <c r="CA276" s="255">
        <f>IF(AND(ISNUMBER(CA190),ISNUMBER(BV190)),IFERROR(CA190/BV190-1,""),"")</f>
        <v>0.207806859205776</v>
      </c>
      <c r="CB276" s="256">
        <f>IF(AND(ISNUMBER(CB190),ISNUMBER(BW190)),IFERROR(CB190/BW190-1,""),"")</f>
        <v>0.155132899554806</v>
      </c>
      <c r="CC276" s="256">
        <f>IF(AND(ISNUMBER(CC190),ISNUMBER(BX190)),IFERROR(CC190/BX190-1,""),"")</f>
        <v>0.158613835493677</v>
      </c>
      <c r="CD276" s="256">
        <f>IF(AND(ISNUMBER(CD190),ISNUMBER(BY190)),IFERROR(CD190/BY190-1,""),"")</f>
        <v>0.164434250079145</v>
      </c>
      <c r="CE276" s="256">
        <f>IF(AND(ISNUMBER(CE190),ISNUMBER(BZ190)),IFERROR(CE190/BZ190-1,""),"")</f>
        <v>0.172160769160409</v>
      </c>
      <c r="CF276" s="256">
        <f>IF(AND(ISNUMBER(CF190),ISNUMBER(CA190)),IFERROR(CF190/CA190-1,""),"")</f>
        <v>0.162745573531308</v>
      </c>
      <c r="CG276" s="256">
        <f>IF(AND(ISNUMBER(CG190),ISNUMBER(CF190)),IFERROR(CG190/CF190-1,""),"")</f>
        <v>0.123506255313255</v>
      </c>
      <c r="CH276" s="256">
        <f>IF(AND(ISNUMBER(CH190),ISNUMBER(CG190)),IFERROR(CH190/CG190-1,""),"")</f>
        <v>0.151097081536053</v>
      </c>
      <c r="CI276" s="256">
        <f>IF(AND(ISNUMBER(CI190),ISNUMBER(CH190)),IFERROR(CI190/CH190-1,""),"")</f>
        <v>0.154577674193482</v>
      </c>
      <c r="CJ276" s="256">
        <f>IF(AND(ISNUMBER(CJ190),ISNUMBER(CI190)),IFERROR(CJ190/CI190-1,""),"")</f>
        <v>0.136163645844437</v>
      </c>
      <c r="CK276" s="153" t="n"/>
    </row>
    <row r="277" ht="15" customHeight="1" s="251">
      <c r="B277" s="22" t="inlineStr">
        <is>
          <t xml:space="preserve">  Net income y/y %</t>
        </is>
      </c>
      <c r="C277" s="23" t="n"/>
      <c r="D277" s="255">
        <f>IF(AND(ISNUMBER(D201),ISNUMBER(C201)),IFERROR(D201/C201-1,""),"")</f>
        <v>0.116358441146123</v>
      </c>
      <c r="E277" s="255">
        <f>IF(AND(ISNUMBER(E201),ISNUMBER(D201)),IFERROR(E201/D201-1,""),"")</f>
        <v>0.257092072520441</v>
      </c>
      <c r="F277" s="255">
        <f>IF(AND(ISNUMBER(F201),ISNUMBER(E201)),IFERROR(F201/E201-1,""),"")</f>
        <v>-0.176008144335728</v>
      </c>
      <c r="G277" s="255">
        <f>IF(AND(ISNUMBER(G201),ISNUMBER(F201)),IFERROR(G201/F201-1,""),"")</f>
        <v>0.287665591324044</v>
      </c>
      <c r="H277" s="255">
        <f>IF(AND(ISNUMBER(H201),ISNUMBER(G201)),IFERROR(H201/G201-1,""),"")</f>
        <v>0.234008528784648</v>
      </c>
      <c r="I277" s="255">
        <f>IF(AND(ISNUMBER(I201),ISNUMBER(H201)),IFERROR(I201/H201-1,""),"")</f>
        <v>-0.266609071274298</v>
      </c>
      <c r="J277" s="23" t="n"/>
      <c r="K277" s="23" t="n"/>
      <c r="L277" s="23" t="n"/>
      <c r="M277" s="23" t="n"/>
      <c r="N277" s="255">
        <f>IF(AND(ISNUMBER(N201),ISNUMBER(I201)),IFERROR(N201/I201-1,""),"")</f>
        <v>0.287725291553776</v>
      </c>
      <c r="O277" s="255">
        <f>IF(AND(ISNUMBER(O201),ISNUMBER(J201)),IFERROR(O201/J201-1,""),"")</f>
        <v>0.174205105239588</v>
      </c>
      <c r="P277" s="255">
        <f>IF(AND(ISNUMBER(P201),ISNUMBER(K201)),IFERROR(P201/K201-1,""),"")</f>
        <v>0.0283832523129999</v>
      </c>
      <c r="Q277" s="255">
        <f>IF(AND(ISNUMBER(Q201),ISNUMBER(L201)),IFERROR(Q201/L201-1,""),"")</f>
        <v>-0.0652353426919901</v>
      </c>
      <c r="R277" s="255">
        <f>IF(AND(ISNUMBER(R201),ISNUMBER(M201)),IFERROR(R201/M201-1,""),"")</f>
        <v>-0.0710976837865055</v>
      </c>
      <c r="S277" s="255">
        <f>IF(AND(ISNUMBER(S201),ISNUMBER(N201)),IFERROR(S201/N201-1,""),"")</f>
        <v>0.00965100855326351</v>
      </c>
      <c r="T277" s="255">
        <f>IF(AND(ISNUMBER(T201),ISNUMBER(O201)),IFERROR(T201/O201-1,""),"")</f>
        <v>-0.134248665141114</v>
      </c>
      <c r="U277" s="255">
        <f>IF(AND(ISNUMBER(U201),ISNUMBER(P201)),IFERROR(U201/P201-1,""),"")</f>
        <v>-0.105977432143946</v>
      </c>
      <c r="V277" s="255">
        <f>IF(AND(ISNUMBER(V201),ISNUMBER(Q201)),IFERROR(V201/Q201-1,""),"")</f>
        <v>-0.119257950530035</v>
      </c>
      <c r="W277" s="255">
        <f>IF(AND(ISNUMBER(W201),ISNUMBER(R201)),IFERROR(W201/R201-1,""),"")</f>
        <v>-1.69275802254987</v>
      </c>
      <c r="X277" s="255">
        <f>IF(AND(ISNUMBER(X201),ISNUMBER(S201)),IFERROR(X201/S201-1,""),"")</f>
        <v>-0.447630696747305</v>
      </c>
      <c r="Y277" s="255">
        <f>IF(AND(ISNUMBER(Y201),ISNUMBER(T201)),IFERROR(Y201/T201-1,""),"")</f>
        <v>0.0176211453744493</v>
      </c>
      <c r="Z277" s="255">
        <f>IF(AND(ISNUMBER(Z201),ISNUMBER(U201)),IFERROR(Z201/U201-1,""),"")</f>
        <v>-0.14753539143783</v>
      </c>
      <c r="AA277" s="255">
        <f>IF(AND(ISNUMBER(AA201),ISNUMBER(V201)),IFERROR(AA201/V201-1,""),"")</f>
        <v>-0.24653961885657</v>
      </c>
      <c r="AB277" s="255">
        <f>IF(AND(ISNUMBER(AB201),ISNUMBER(W201)),IFERROR(AB201/W201-1,""),"")</f>
        <v>-1.97715179968701</v>
      </c>
      <c r="AC277" s="255">
        <f>IF(AND(ISNUMBER(AC201),ISNUMBER(X201)),IFERROR(AC201/X201-1,""),"")</f>
        <v>0.37767571557451</v>
      </c>
      <c r="AD277" s="255">
        <f>IF(AND(ISNUMBER(AD201),ISNUMBER(Y201)),IFERROR(AD201/Y201-1,""),"")</f>
        <v>0.0151515151515151</v>
      </c>
      <c r="AE277" s="255">
        <f>IF(AND(ISNUMBER(AE201),ISNUMBER(Z201)),IFERROR(AE201/Z201-1,""),"")</f>
        <v>0.0404161664665867</v>
      </c>
      <c r="AF277" s="255">
        <f>IF(AND(ISNUMBER(AF201),ISNUMBER(AA201)),IFERROR(AF201/AA201-1,""),"")</f>
        <v>0.278221512247071</v>
      </c>
      <c r="AG277" s="255">
        <f>IF(AND(ISNUMBER(AG201),ISNUMBER(AB201)),IFERROR(AG201/AB201-1,""),"")</f>
        <v>1.08616271620756</v>
      </c>
      <c r="AH277" s="255">
        <f>IF(AND(ISNUMBER(AH201),ISNUMBER(AC201)),IFERROR(AH201/AC201-1,""),"")</f>
        <v>0.26229313013454</v>
      </c>
      <c r="AI277" s="255">
        <f>IF(AND(ISNUMBER(AI201),ISNUMBER(AD201)),IFERROR(AI201/AD201-1,""),"")</f>
        <v>0.402132196162047</v>
      </c>
      <c r="AJ277" s="255">
        <f>IF(AND(ISNUMBER(AJ201),ISNUMBER(AE201)),IFERROR(AJ201/AE201-1,""),"")</f>
        <v>-2.21192307692308</v>
      </c>
      <c r="AK277" s="255">
        <f>IF(AND(ISNUMBER(AK201),ISNUMBER(AF201)),IFERROR(AK201/AF201-1,""),"")</f>
        <v>0.546344511560092</v>
      </c>
      <c r="AL277" s="255">
        <f>IF(AND(ISNUMBER(AL201),ISNUMBER(AG201)),IFERROR(AL201/AG201-1,""),"")</f>
        <v>0.362352218639644</v>
      </c>
      <c r="AM277" s="255">
        <f>IF(AND(ISNUMBER(AM201),ISNUMBER(AH201)),IFERROR(AM201/AH201-1,""),"")</f>
        <v>-0.218496510092435</v>
      </c>
      <c r="AN277" s="255">
        <f>IF(AND(ISNUMBER(AN201),ISNUMBER(AI201)),IFERROR(AN201/AI201-1,""),"")</f>
        <v>0.341849148418492</v>
      </c>
      <c r="AO277" s="255">
        <f>IF(AND(ISNUMBER(AO201),ISNUMBER(AJ201)),IFERROR(AO201/AJ201-1,""),"")</f>
        <v>-2.33608378292606</v>
      </c>
      <c r="AP277" s="255">
        <f>IF(AND(ISNUMBER(AP201),ISNUMBER(AK201)),IFERROR(AP201/AK201-1,""),"")</f>
        <v>0.186557112068966</v>
      </c>
      <c r="AQ277" s="255">
        <f>IF(AND(ISNUMBER(AQ201),ISNUMBER(AL201)),IFERROR(AQ201/AL201-1,""),"")</f>
        <v>0.486194071903528</v>
      </c>
      <c r="AR277" s="255">
        <f>IF(AND(ISNUMBER(AR201),ISNUMBER(AM201)),IFERROR(AR201/AM201-1,""),"")</f>
        <v>1.3679922756623</v>
      </c>
      <c r="AS277" s="255">
        <f>IF(AND(ISNUMBER(AS201),ISNUMBER(AN201)),IFERROR(AS201/AN201-1,""),"")</f>
        <v>0.210108794197643</v>
      </c>
      <c r="AT277" s="255">
        <f>IF(AND(ISNUMBER(AT201),ISNUMBER(AO201)),IFERROR(AT201/AO201-1,""),"")</f>
        <v>0.383491686460808</v>
      </c>
      <c r="AU277" s="255">
        <f>IF(AND(ISNUMBER(AU201),ISNUMBER(AP201)),IFERROR(AU201/AP201-1,""),"")</f>
        <v>0.220569871722102</v>
      </c>
      <c r="AV277" s="255">
        <f>IF(AND(ISNUMBER(AV201),ISNUMBER(AQ201)),IFERROR(AV201/AQ201-1,""),"")</f>
        <v>-0.150527034200349</v>
      </c>
      <c r="AW277" s="255">
        <f>IF(AND(ISNUMBER(AW201),ISNUMBER(AR201)),IFERROR(AW201/AR201-1,""),"")</f>
        <v>0.128465851172273</v>
      </c>
      <c r="AX277" s="255">
        <f>IF(AND(ISNUMBER(AX201),ISNUMBER(AS201)),IFERROR(AX201/AS201-1,""),"")</f>
        <v>0.301086345757633</v>
      </c>
      <c r="AY277" s="255">
        <f>IF(AND(ISNUMBER(AY201),ISNUMBER(AT201)),IFERROR(AY201/AT201-1,""),"")</f>
        <v>0.327410078118293</v>
      </c>
      <c r="AZ277" s="255">
        <f>IF(AND(ISNUMBER(AZ201),ISNUMBER(AU201)),IFERROR(AZ201/AU201-1,""),"")</f>
        <v>0.437593005952381</v>
      </c>
      <c r="BA277" s="255">
        <f>IF(AND(ISNUMBER(BA201),ISNUMBER(AV201)),IFERROR(BA201/AV201-1,""),"")</f>
        <v>0.469201928227102</v>
      </c>
      <c r="BB277" s="255">
        <f>IF(AND(ISNUMBER(BB201),ISNUMBER(AW201)),IFERROR(BB201/AW201-1,""),"")</f>
        <v>0.383686005284434</v>
      </c>
      <c r="BC277" s="255">
        <f>IF(AND(ISNUMBER(BC201),ISNUMBER(AX201)),IFERROR(BC201/AX201-1,""),"")</f>
        <v>0.475923126754481</v>
      </c>
      <c r="BD277" s="255">
        <f>IF(AND(ISNUMBER(BD201),ISNUMBER(AY201)),IFERROR(BD201/AY201-1,""),"")</f>
        <v>0.213542003492207</v>
      </c>
      <c r="BE277" s="255">
        <f>IF(AND(ISNUMBER(BE201),ISNUMBER(AZ201)),IFERROR(BE201/AZ201-1,""),"")</f>
        <v>0.0822281167108754</v>
      </c>
      <c r="BF277" s="255">
        <f>IF(AND(ISNUMBER(BF201),ISNUMBER(BA201)),IFERROR(BF201/BA201-1,""),"")</f>
        <v>0.017134524243529</v>
      </c>
      <c r="BG277" s="255">
        <f>IF(AND(ISNUMBER(BG201),ISNUMBER(BB201)),IFERROR(BG201/BB201-1,""),"")</f>
        <v>0.187152160075729</v>
      </c>
      <c r="BH277" s="255">
        <f>IF(AND(ISNUMBER(BH201),ISNUMBER(BC201)),IFERROR(BH201/BC201-1,""),"")</f>
        <v>-0.143818580833943</v>
      </c>
      <c r="BI277" s="255">
        <f>IF(AND(ISNUMBER(BI201),ISNUMBER(BD201)),IFERROR(BI201/BD201-1,""),"")</f>
        <v>-0.124700239808153</v>
      </c>
      <c r="BJ277" s="255">
        <f>IF(AND(ISNUMBER(BJ201),ISNUMBER(BE201)),IFERROR(BJ201/BE201-1,""),"")</f>
        <v>0.0939143950263033</v>
      </c>
      <c r="BK277" s="255">
        <f>IF(AND(ISNUMBER(BK201),ISNUMBER(BF201)),IFERROR(BK201/BF201-1,""),"")</f>
        <v>0.19958183990442</v>
      </c>
      <c r="BL277" s="255">
        <f>IF(AND(ISNUMBER(BL201),ISNUMBER(BG201)),IFERROR(BL201/BG201-1,""),"")</f>
        <v>-0.00518298550963736</v>
      </c>
      <c r="BM277" s="255">
        <f>IF(AND(ISNUMBER(BM201),ISNUMBER(BH201)),IFERROR(BM201/BH201-1,""),"")</f>
        <v>0.269708361813625</v>
      </c>
      <c r="BN277" s="255">
        <f>IF(AND(ISNUMBER(BN201),ISNUMBER(BI201)),IFERROR(BN201/BI201-1,""),"")</f>
        <v>0.331506849315069</v>
      </c>
      <c r="BO277" s="255">
        <f>IF(AND(ISNUMBER(BO201),ISNUMBER(BJ201)),IFERROR(BO201/BJ201-1,""),"")</f>
        <v>0.198917973659763</v>
      </c>
      <c r="BP277" s="255">
        <f>IF(AND(ISNUMBER(BP201),ISNUMBER(BK201)),IFERROR(BP201/BK201-1,""),"")</f>
        <v>0.097355709377023</v>
      </c>
      <c r="BQ277" s="255">
        <f>IF(AND(ISNUMBER(BQ201),ISNUMBER(BL201)),IFERROR(BQ201/BL201-1,""),"")</f>
        <v>0.218004173518884</v>
      </c>
      <c r="BR277" s="255">
        <f>IF(AND(ISNUMBER(BR201),ISNUMBER(BM201)),IFERROR(BR201/BM201-1,""),"")</f>
        <v>0.106590103629267</v>
      </c>
      <c r="BS277" s="255">
        <f>IF(AND(ISNUMBER(BS201),ISNUMBER(BN201)),IFERROR(BS201/BN201-1,""),"")</f>
        <v>0.102331961591221</v>
      </c>
      <c r="BT277" s="255">
        <f>IF(AND(ISNUMBER(BT201),ISNUMBER(BO201)),IFERROR(BT201/BO201-1,""),"")</f>
        <v>0.177081908929304</v>
      </c>
      <c r="BU277" s="255">
        <f>IF(AND(ISNUMBER(BU201),ISNUMBER(BP201)),IFERROR(BU201/BP201-1,""),"")</f>
        <v>0.235841350517335</v>
      </c>
      <c r="BV277" s="255">
        <f>IF(AND(ISNUMBER(BV201),ISNUMBER(BQ201)),IFERROR(BV201/BQ201-1,""),"")</f>
        <v>0.155396205863665</v>
      </c>
      <c r="BW277" s="255">
        <f>IF(AND(ISNUMBER(BW201),ISNUMBER(BR201)),IFERROR(BW201/BR201-1,""),"")</f>
        <v>0.124863177524628</v>
      </c>
      <c r="BX277" s="255">
        <f>IF(AND(ISNUMBER(BX201),ISNUMBER(BS201)),IFERROR(BX201/BS201-1,""),"")</f>
        <v>0.595238095238095</v>
      </c>
      <c r="BY277" s="255">
        <f>IF(AND(ISNUMBER(BY201),ISNUMBER(BT201)),IFERROR(BY201/BT201-1,""),"")</f>
        <v>0.230560718711276</v>
      </c>
      <c r="BZ277" s="255">
        <f>IF(AND(ISNUMBER(BZ201),ISNUMBER(BU201)),IFERROR(BZ201/BU201-1,""),"")</f>
        <v>0.313333088532295</v>
      </c>
      <c r="CA277" s="255">
        <f>IF(AND(ISNUMBER(CA201),ISNUMBER(BV201)),IFERROR(CA201/BV201-1,""),"")</f>
        <v>0.313427999057271</v>
      </c>
      <c r="CB277" s="256">
        <f>IF(AND(ISNUMBER(CB201),ISNUMBER(BW201)),IFERROR(CB201/BW201-1,""),"")</f>
        <v>0.261397628572459</v>
      </c>
      <c r="CC277" s="256">
        <f>IF(AND(ISNUMBER(CC201),ISNUMBER(BX201)),IFERROR(CC201/BX201-1,""),"")</f>
        <v>-0.0795996764570082</v>
      </c>
      <c r="CD277" s="256">
        <f>IF(AND(ISNUMBER(CD201),ISNUMBER(BY201)),IFERROR(CD201/BY201-1,""),"")</f>
        <v>0.123090095903808</v>
      </c>
      <c r="CE277" s="256">
        <f>IF(AND(ISNUMBER(CE201),ISNUMBER(BZ201)),IFERROR(CE201/BZ201-1,""),"")</f>
        <v>0.0623104336010758</v>
      </c>
      <c r="CF277" s="256">
        <f>IF(AND(ISNUMBER(CF201),ISNUMBER(CA201)),IFERROR(CF201/CA201-1,""),"")</f>
        <v>0.0772484854363298</v>
      </c>
      <c r="CG277" s="256">
        <f>IF(AND(ISNUMBER(CG201),ISNUMBER(CF201)),IFERROR(CG201/CF201-1,""),"")</f>
        <v>0.126659415466414</v>
      </c>
      <c r="CH277" s="256">
        <f>IF(AND(ISNUMBER(CH201),ISNUMBER(CG201)),IFERROR(CH201/CG201-1,""),"")</f>
        <v>0.146304924173989</v>
      </c>
      <c r="CI277" s="256">
        <f>IF(AND(ISNUMBER(CI201),ISNUMBER(CH201)),IFERROR(CI201/CH201-1,""),"")</f>
        <v>0.151638725207514</v>
      </c>
      <c r="CJ277" s="256">
        <f>IF(AND(ISNUMBER(CJ201),ISNUMBER(CI201)),IFERROR(CJ201/CI201-1,""),"")</f>
        <v>0.134235332160155</v>
      </c>
      <c r="CK277" s="153" t="n"/>
    </row>
    <row r="278" ht="15" customHeight="1" s="251">
      <c r="B278" s="22" t="inlineStr">
        <is>
          <t xml:space="preserve">  Adjusted diluted EPS y/y %</t>
        </is>
      </c>
      <c r="C278" s="23" t="n"/>
      <c r="D278" s="255">
        <f>IF(AND(ISNUMBER(D262),ISNUMBER(C262)),IFERROR(D262/C262-1,""),"")</f>
        <v>0.189193884656061</v>
      </c>
      <c r="E278" s="255">
        <f>IF(AND(ISNUMBER(E262),ISNUMBER(D262)),IFERROR(E262/D262-1,""),"")</f>
        <v>0.312313857332321</v>
      </c>
      <c r="F278" s="255">
        <f>IF(AND(ISNUMBER(F262),ISNUMBER(E262)),IFERROR(F262/E262-1,""),"")</f>
        <v>-0.132591943848304</v>
      </c>
      <c r="G278" s="255">
        <f>IF(AND(ISNUMBER(G262),ISNUMBER(F262)),IFERROR(G262/F262-1,""),"")</f>
        <v>0.297618422712121</v>
      </c>
      <c r="H278" s="255">
        <f>IF(AND(ISNUMBER(H262),ISNUMBER(G262)),IFERROR(H262/G262-1,""),"")</f>
        <v>0.281973017160544</v>
      </c>
      <c r="I278" s="255">
        <f>IF(AND(ISNUMBER(I262),ISNUMBER(H262)),IFERROR(I262/H262-1,""),"")</f>
        <v>0.0341418965344753</v>
      </c>
      <c r="J278" s="23" t="n"/>
      <c r="K278" s="23" t="n"/>
      <c r="L278" s="23" t="n"/>
      <c r="M278" s="23" t="n"/>
      <c r="N278" s="255">
        <f>IF(AND(ISNUMBER(N262),ISNUMBER(I262)),IFERROR(N262/I262-1,""),"")</f>
        <v>-0.0591457062567015</v>
      </c>
      <c r="O278" s="255">
        <f>IF(AND(ISNUMBER(O262),ISNUMBER(J262)),IFERROR(O262/J262-1,""),"")</f>
        <v>-0.0366420604980524</v>
      </c>
      <c r="P278" s="255">
        <f>IF(AND(ISNUMBER(P262),ISNUMBER(K262)),IFERROR(P262/K262-1,""),"")</f>
        <v>-0.0298164753058577</v>
      </c>
      <c r="Q278" s="255">
        <f>IF(AND(ISNUMBER(Q262),ISNUMBER(L262)),IFERROR(Q262/L262-1,""),"")</f>
        <v>0.0433560765832661</v>
      </c>
      <c r="R278" s="255">
        <f>IF(AND(ISNUMBER(R262),ISNUMBER(M262)),IFERROR(R262/M262-1,""),"")</f>
        <v>0.0666686392137428</v>
      </c>
      <c r="S278" s="255">
        <f>IF(AND(ISNUMBER(S262),ISNUMBER(N262)),IFERROR(S262/N262-1,""),"")</f>
        <v>0.00263940507328497</v>
      </c>
      <c r="T278" s="255">
        <f>IF(AND(ISNUMBER(T262),ISNUMBER(O262)),IFERROR(T262/O262-1,""),"")</f>
        <v>0.0328748548572522</v>
      </c>
      <c r="U278" s="255">
        <f>IF(AND(ISNUMBER(U262),ISNUMBER(P262)),IFERROR(U262/P262-1,""),"")</f>
        <v>-0.106680607779286</v>
      </c>
      <c r="V278" s="255">
        <f>IF(AND(ISNUMBER(V262),ISNUMBER(Q262)),IFERROR(V262/Q262-1,""),"")</f>
        <v>-0.0840011308106874</v>
      </c>
      <c r="W278" s="255">
        <f>IF(AND(ISNUMBER(W262),ISNUMBER(R262)),IFERROR(W262/R262-1,""),"")</f>
        <v>0.13736281559957</v>
      </c>
      <c r="X278" s="255">
        <f>IF(AND(ISNUMBER(X262),ISNUMBER(S262)),IFERROR(X262/S262-1,""),"")</f>
        <v>-0.000272685665826167</v>
      </c>
      <c r="Y278" s="255">
        <f>IF(AND(ISNUMBER(Y262),ISNUMBER(T262)),IFERROR(Y262/T262-1,""),"")</f>
        <v>0.0222232010759829</v>
      </c>
      <c r="Z278" s="255">
        <f>IF(AND(ISNUMBER(Z262),ISNUMBER(U262)),IFERROR(Z262/U262-1,""),"")</f>
        <v>0.120079613408338</v>
      </c>
      <c r="AA278" s="255">
        <f>IF(AND(ISNUMBER(AA262),ISNUMBER(V262)),IFERROR(AA262/V262-1,""),"")</f>
        <v>0.00508302695296625</v>
      </c>
      <c r="AB278" s="255">
        <f>IF(AND(ISNUMBER(AB262),ISNUMBER(W262)),IFERROR(AB262/W262-1,""),"")</f>
        <v>0.100315029456587</v>
      </c>
      <c r="AC278" s="255">
        <f>IF(AND(ISNUMBER(AC262),ISNUMBER(X262)),IFERROR(AC262/X262-1,""),"")</f>
        <v>0.0605219600640774</v>
      </c>
      <c r="AD278" s="255">
        <f>IF(AND(ISNUMBER(AD262),ISNUMBER(Y262)),IFERROR(AD262/Y262-1,""),"")</f>
        <v>0.140051702881654</v>
      </c>
      <c r="AE278" s="255">
        <f>IF(AND(ISNUMBER(AE262),ISNUMBER(Z262)),IFERROR(AE262/Z262-1,""),"")</f>
        <v>0.0645015340935111</v>
      </c>
      <c r="AF278" s="255">
        <f>IF(AND(ISNUMBER(AF262),ISNUMBER(AA262)),IFERROR(AF262/AA262-1,""),"")</f>
        <v>0.174505004613547</v>
      </c>
      <c r="AG278" s="255">
        <f>IF(AND(ISNUMBER(AG262),ISNUMBER(AB262)),IFERROR(AG262/AB262-1,""),"")</f>
        <v>0.41972615745841</v>
      </c>
      <c r="AH278" s="255">
        <f>IF(AND(ISNUMBER(AH262),ISNUMBER(AC262)),IFERROR(AH262/AC262-1,""),"")</f>
        <v>0.186052823188792</v>
      </c>
      <c r="AI278" s="255">
        <f>IF(AND(ISNUMBER(AI262),ISNUMBER(AD262)),IFERROR(AI262/AD262-1,""),"")</f>
        <v>0.10885377305502</v>
      </c>
      <c r="AJ278" s="255">
        <f>IF(AND(ISNUMBER(AJ262),ISNUMBER(AE262)),IFERROR(AJ262/AE262-1,""),"")</f>
        <v>0.168795147982357</v>
      </c>
      <c r="AK278" s="255">
        <f>IF(AND(ISNUMBER(AK262),ISNUMBER(AF262)),IFERROR(AK262/AF262-1,""),"")</f>
        <v>0.302204378673862</v>
      </c>
      <c r="AL278" s="255">
        <f>IF(AND(ISNUMBER(AL262),ISNUMBER(AG262)),IFERROR(AL262/AG262-1,""),"")</f>
        <v>0.148592722170135</v>
      </c>
      <c r="AM278" s="255">
        <f>IF(AND(ISNUMBER(AM262),ISNUMBER(AH262)),IFERROR(AM262/AH262-1,""),"")</f>
        <v>0.175033539226173</v>
      </c>
      <c r="AN278" s="255">
        <f>IF(AND(ISNUMBER(AN262),ISNUMBER(AI262)),IFERROR(AN262/AI262-1,""),"")</f>
        <v>0.347551056981176</v>
      </c>
      <c r="AO278" s="255">
        <f>IF(AND(ISNUMBER(AO262),ISNUMBER(AJ262)),IFERROR(AO262/AJ262-1,""),"")</f>
        <v>0.135364040778193</v>
      </c>
      <c r="AP278" s="255">
        <f>IF(AND(ISNUMBER(AP262),ISNUMBER(AK262)),IFERROR(AP262/AK262-1,""),"")</f>
        <v>0.19421825044751</v>
      </c>
      <c r="AQ278" s="255">
        <f>IF(AND(ISNUMBER(AQ262),ISNUMBER(AL262)),IFERROR(AQ262/AL262-1,""),"")</f>
        <v>0.218134800102147</v>
      </c>
      <c r="AR278" s="255">
        <f>IF(AND(ISNUMBER(AR262),ISNUMBER(AM262)),IFERROR(AR262/AM262-1,""),"")</f>
        <v>0.223271787322675</v>
      </c>
      <c r="AS278" s="255">
        <f>IF(AND(ISNUMBER(AS262),ISNUMBER(AN262)),IFERROR(AS262/AN262-1,""),"")</f>
        <v>0.218898170653553</v>
      </c>
      <c r="AT278" s="255">
        <f>IF(AND(ISNUMBER(AT262),ISNUMBER(AO262)),IFERROR(AT262/AO262-1,""),"")</f>
        <v>0.371764756496887</v>
      </c>
      <c r="AU278" s="255">
        <f>IF(AND(ISNUMBER(AU262),ISNUMBER(AP262)),IFERROR(AU262/AP262-1,""),"")</f>
        <v>0.231543073174718</v>
      </c>
      <c r="AV278" s="255">
        <f>IF(AND(ISNUMBER(AV262),ISNUMBER(AQ262)),IFERROR(AV262/AQ262-1,""),"")</f>
        <v>0.0658328717551051</v>
      </c>
      <c r="AW278" s="255">
        <f>IF(AND(ISNUMBER(AW262),ISNUMBER(AR262)),IFERROR(AW262/AR262-1,""),"")</f>
        <v>0.213262157718578</v>
      </c>
      <c r="AX278" s="255">
        <f>IF(AND(ISNUMBER(AX262),ISNUMBER(AS262)),IFERROR(AX262/AS262-1,""),"")</f>
        <v>0.313523075264023</v>
      </c>
      <c r="AY278" s="255">
        <f>IF(AND(ISNUMBER(AY262),ISNUMBER(AT262)),IFERROR(AY262/AT262-1,""),"")</f>
        <v>0.340481999843461</v>
      </c>
      <c r="AZ278" s="255">
        <f>IF(AND(ISNUMBER(AZ262),ISNUMBER(AU262)),IFERROR(AZ262/AU262-1,""),"")</f>
        <v>0.394097340565982</v>
      </c>
      <c r="BA278" s="255">
        <f>IF(AND(ISNUMBER(BA262),ISNUMBER(AV262)),IFERROR(BA262/AV262-1,""),"")</f>
        <v>0.482574165800993</v>
      </c>
      <c r="BB278" s="255">
        <f>IF(AND(ISNUMBER(BB262),ISNUMBER(AW262)),IFERROR(BB262/AW262-1,""),"")</f>
        <v>0.383186925240917</v>
      </c>
      <c r="BC278" s="255">
        <f>IF(AND(ISNUMBER(BC262),ISNUMBER(AX262)),IFERROR(BC262/AX262-1,""),"")</f>
        <v>0.250503234946249</v>
      </c>
      <c r="BD278" s="255">
        <f>IF(AND(ISNUMBER(BD262),ISNUMBER(AY262)),IFERROR(BD262/AY262-1,""),"")</f>
        <v>0.223340291012131</v>
      </c>
      <c r="BE278" s="255">
        <f>IF(AND(ISNUMBER(BE262),ISNUMBER(AZ262)),IFERROR(BE262/AZ262-1,""),"")</f>
        <v>0.136879495347541</v>
      </c>
      <c r="BF278" s="255">
        <f>IF(AND(ISNUMBER(BF262),ISNUMBER(BA262)),IFERROR(BF262/BA262-1,""),"")</f>
        <v>0.0272977389142277</v>
      </c>
      <c r="BG278" s="255">
        <f>IF(AND(ISNUMBER(BG262),ISNUMBER(BB262)),IFERROR(BG262/BB262-1,""),"")</f>
        <v>0.155352961481979</v>
      </c>
      <c r="BH278" s="255">
        <f>IF(AND(ISNUMBER(BH262),ISNUMBER(BC262)),IFERROR(BH262/BC262-1,""),"")</f>
        <v>0.0310404473405972</v>
      </c>
      <c r="BI278" s="255">
        <f>IF(AND(ISNUMBER(BI262),ISNUMBER(BD262)),IFERROR(BI262/BD262-1,""),"")</f>
        <v>-0.0641295429689524</v>
      </c>
      <c r="BJ278" s="255">
        <f>IF(AND(ISNUMBER(BJ262),ISNUMBER(BE262)),IFERROR(BJ262/BE262-1,""),"")</f>
        <v>0.10417350644804</v>
      </c>
      <c r="BK278" s="255">
        <f>IF(AND(ISNUMBER(BK262),ISNUMBER(BF262)),IFERROR(BK262/BF262-1,""),"")</f>
        <v>0.205847233202435</v>
      </c>
      <c r="BL278" s="255">
        <f>IF(AND(ISNUMBER(BL262),ISNUMBER(BG262)),IFERROR(BL262/BG262-1,""),"")</f>
        <v>0.0651884284748256</v>
      </c>
      <c r="BM278" s="255">
        <f>IF(AND(ISNUMBER(BM262),ISNUMBER(BH262)),IFERROR(BM262/BH262-1,""),"")</f>
        <v>0.273621963036047</v>
      </c>
      <c r="BN278" s="255">
        <f>IF(AND(ISNUMBER(BN262),ISNUMBER(BI262)),IFERROR(BN262/BI262-1,""),"")</f>
        <v>0.259837802922003</v>
      </c>
      <c r="BO278" s="255">
        <f>IF(AND(ISNUMBER(BO262),ISNUMBER(BJ262)),IFERROR(BO262/BJ262-1,""),"")</f>
        <v>0.197634335572333</v>
      </c>
      <c r="BP278" s="255">
        <f>IF(AND(ISNUMBER(BP262),ISNUMBER(BK262)),IFERROR(BP262/BK262-1,""),"")</f>
        <v>0.0966213974729968</v>
      </c>
      <c r="BQ278" s="255">
        <f>IF(AND(ISNUMBER(BQ262),ISNUMBER(BL262)),IFERROR(BQ262/BL262-1,""),"")</f>
        <v>0.202769186066656</v>
      </c>
      <c r="BR278" s="255">
        <f>IF(AND(ISNUMBER(BR262),ISNUMBER(BM262)),IFERROR(BR262/BM262-1,""),"")</f>
        <v>0.128842257310011</v>
      </c>
      <c r="BS278" s="255">
        <f>IF(AND(ISNUMBER(BS262),ISNUMBER(BN262)),IFERROR(BS262/BN262-1,""),"")</f>
        <v>0.145267489711934</v>
      </c>
      <c r="BT278" s="255">
        <f>IF(AND(ISNUMBER(BT262),ISNUMBER(BO262)),IFERROR(BT262/BO262-1,""),"")</f>
        <v>0.205430179898537</v>
      </c>
      <c r="BU278" s="255">
        <f>IF(AND(ISNUMBER(BU262),ISNUMBER(BP262)),IFERROR(BU262/BP262-1,""),"")</f>
        <v>0.309242720584749</v>
      </c>
      <c r="BV278" s="255">
        <f>IF(AND(ISNUMBER(BV262),ISNUMBER(BQ262)),IFERROR(BV262/BQ262-1,""),"")</f>
        <v>0.197110201909841</v>
      </c>
      <c r="BW278" s="255">
        <f>IF(AND(ISNUMBER(BW262),ISNUMBER(BR262)),IFERROR(BW262/BR262-1,""),"")</f>
        <v>0.224673249444059</v>
      </c>
      <c r="BX278" s="255">
        <f>IF(AND(ISNUMBER(BX262),ISNUMBER(BS262)),IFERROR(BX262/BS262-1,""),"")</f>
        <v>0.234004468382283</v>
      </c>
      <c r="BY278" s="255">
        <f>IF(AND(ISNUMBER(BY262),ISNUMBER(BT262)),IFERROR(BY262/BT262-1,""),"")</f>
        <v>0.206510545530454</v>
      </c>
      <c r="BZ278" s="255">
        <f>IF(AND(ISNUMBER(BZ262),ISNUMBER(BU262)),IFERROR(BZ262/BU262-1,""),"")</f>
        <v>0.227830288308333</v>
      </c>
      <c r="CA278" s="255">
        <f>IF(AND(ISNUMBER(CA262),ISNUMBER(BV262)),IFERROR(CA262/BV262-1,""),"")</f>
        <v>0.223242394999</v>
      </c>
      <c r="CB278" s="256">
        <f>IF(AND(ISNUMBER(CB262),ISNUMBER(BW262)),IFERROR(CB262/BW262-1,""),"")</f>
        <v>0.138837714761072</v>
      </c>
      <c r="CC278" s="256">
        <f>IF(AND(ISNUMBER(CC262),ISNUMBER(BX262)),IFERROR(CC262/BX262-1,""),"")</f>
        <v>0.1496249297414</v>
      </c>
      <c r="CD278" s="256">
        <f>IF(AND(ISNUMBER(CD262),ISNUMBER(BY262)),IFERROR(CD262/BY262-1,""),"")</f>
        <v>0.123797777531718</v>
      </c>
      <c r="CE278" s="256">
        <f>IF(AND(ISNUMBER(CE262),ISNUMBER(BZ262)),IFERROR(CE262/BZ262-1,""),"")</f>
        <v>0.0779705993636715</v>
      </c>
      <c r="CF278" s="256">
        <f>IF(AND(ISNUMBER(CF262),ISNUMBER(CA262)),IFERROR(CF262/CA262-1,""),"")</f>
        <v>0.120983972223805</v>
      </c>
      <c r="CG278" s="256">
        <f>IF(AND(ISNUMBER(CG262),ISNUMBER(CF262)),IFERROR(CG262/CF262-1,""),"")</f>
        <v>0.131338657709756</v>
      </c>
      <c r="CH278" s="256">
        <f>IF(AND(ISNUMBER(CH262),ISNUMBER(CG262)),IFERROR(CH262/CG262-1,""),"")</f>
        <v>0.160951843757244</v>
      </c>
      <c r="CI278" s="256">
        <f>IF(AND(ISNUMBER(CI262),ISNUMBER(CH262)),IFERROR(CI262/CH262-1,""),"")</f>
        <v>0.175469022600783</v>
      </c>
      <c r="CJ278" s="256">
        <f>IF(AND(ISNUMBER(CJ262),ISNUMBER(CI262)),IFERROR(CJ262/CI262-1,""),"")</f>
        <v>0.166019955282902</v>
      </c>
      <c r="CK278" s="153" t="n"/>
    </row>
    <row r="279" ht="15" customHeight="1" s="251">
      <c r="B279" s="25" t="inlineStr">
        <is>
          <t xml:space="preserve">  Gross margin %</t>
        </is>
      </c>
      <c r="C279" s="215">
        <f>IF(AND(ISNUMBER(C183),ISNUMBER(C179)),IFERROR(C183/C179,""),"")</f>
        <v>0.827243575267603</v>
      </c>
      <c r="D279" s="215">
        <f>IF(AND(ISNUMBER(D183),ISNUMBER(D179)),IFERROR(D183/D179,""),"")</f>
        <v>0.790833691952584</v>
      </c>
      <c r="E279" s="215">
        <f>IF(AND(ISNUMBER(E183),ISNUMBER(E179)),IFERROR(E183/E179,""),"")</f>
        <v>0.808043694141013</v>
      </c>
      <c r="F279" s="215">
        <f>IF(AND(ISNUMBER(F183),ISNUMBER(F179)),IFERROR(F183/F179,""),"")</f>
        <v>0.791998220305628</v>
      </c>
      <c r="G279" s="215">
        <f>IF(AND(ISNUMBER(G183),ISNUMBER(G179)),IFERROR(G183/G179,""),"")</f>
        <v>0.801629217079572</v>
      </c>
      <c r="H279" s="215">
        <f>IF(AND(ISNUMBER(H183),ISNUMBER(H179)),IFERROR(H183/H179,""),"")</f>
        <v>0.777290079064381</v>
      </c>
      <c r="I279" s="215">
        <f>IF(AND(ISNUMBER(I183),ISNUMBER(I179)),IFERROR(I183/I179,""),"")</f>
        <v>0.762218032364391</v>
      </c>
      <c r="J279" s="215">
        <f>IF(AND(ISNUMBER(J183),ISNUMBER(J179)),IFERROR(J183/J179,""),"")</f>
        <v>0.739630184907546</v>
      </c>
      <c r="K279" s="215">
        <f>IF(AND(ISNUMBER(K183),ISNUMBER(K179)),IFERROR(K183/K179,""),"")</f>
        <v>0.734712900820283</v>
      </c>
      <c r="L279" s="215">
        <f>IF(AND(ISNUMBER(L183),ISNUMBER(L179)),IFERROR(L183/L179,""),"")</f>
        <v>0.766362438381571</v>
      </c>
      <c r="M279" s="215">
        <f>IF(AND(ISNUMBER(M183),ISNUMBER(M179)),IFERROR(M183/M179,""),"")</f>
        <v>0.71843586650583</v>
      </c>
      <c r="N279" s="215">
        <f>IF(AND(ISNUMBER(N183),ISNUMBER(N179)),IFERROR(N183/N179,""),"")</f>
        <v>0.739893897159886</v>
      </c>
      <c r="O279" s="215">
        <f>IF(AND(ISNUMBER(O183),ISNUMBER(O179)),IFERROR(O183/O179,""),"")</f>
        <v>0.724000215877813</v>
      </c>
      <c r="P279" s="215">
        <f>IF(AND(ISNUMBER(P183),ISNUMBER(P179)),IFERROR(P183/P179,""),"")</f>
        <v>0.662139565235124</v>
      </c>
      <c r="Q279" s="215">
        <f>IF(AND(ISNUMBER(Q183),ISNUMBER(Q179)),IFERROR(Q183/Q179,""),"")</f>
        <v>0.708817330784689</v>
      </c>
      <c r="R279" s="215">
        <f>IF(AND(ISNUMBER(R183),ISNUMBER(R179)),IFERROR(R183/R179,""),"")</f>
        <v>0.675177486955778</v>
      </c>
      <c r="S279" s="215">
        <f>IF(AND(ISNUMBER(S183),ISNUMBER(S179)),IFERROR(S183/S179,""),"")</f>
        <v>0.68981838701876</v>
      </c>
      <c r="T279" s="215">
        <f>IF(AND(ISNUMBER(T183),ISNUMBER(T179)),IFERROR(T183/T179,""),"")</f>
        <v>0.643420542218008</v>
      </c>
      <c r="U279" s="215">
        <f>IF(AND(ISNUMBER(U183),ISNUMBER(U179)),IFERROR(U183/U179,""),"")</f>
        <v>0.617075935020778</v>
      </c>
      <c r="V279" s="215">
        <f>IF(AND(ISNUMBER(V183),ISNUMBER(V179)),IFERROR(V183/V179,""),"")</f>
        <v>0.670440425238161</v>
      </c>
      <c r="W279" s="215">
        <f>IF(AND(ISNUMBER(W183),ISNUMBER(W179)),IFERROR(W183/W179,""),"")</f>
        <v>0.663300270513977</v>
      </c>
      <c r="X279" s="215">
        <f>IF(AND(ISNUMBER(X183),ISNUMBER(X179)),IFERROR(X183/X179,""),"")</f>
        <v>0.646954477452447</v>
      </c>
      <c r="Y279" s="215">
        <f>IF(AND(ISNUMBER(Y183),ISNUMBER(Y179)),IFERROR(Y183/Y179,""),"")</f>
        <v>0.646351636488542</v>
      </c>
      <c r="Z279" s="215">
        <f>IF(AND(ISNUMBER(Z183),ISNUMBER(Z179)),IFERROR(Z183/Z179,""),"")</f>
        <v>0.585140359724323</v>
      </c>
      <c r="AA279" s="215">
        <f>IF(AND(ISNUMBER(AA183),ISNUMBER(AA179)),IFERROR(AA183/AA179,""),"")</f>
        <v>0.623885831182115</v>
      </c>
      <c r="AB279" s="215">
        <f>IF(AND(ISNUMBER(AB183),ISNUMBER(AB179)),IFERROR(AB183/AB179,""),"")</f>
        <v>0.612932958183759</v>
      </c>
      <c r="AC279" s="215">
        <f>IF(AND(ISNUMBER(AC183),ISNUMBER(AC179)),IFERROR(AC183/AC179,""),"")</f>
        <v>0.615799343647445</v>
      </c>
      <c r="AD279" s="215">
        <f>IF(AND(ISNUMBER(AD183),ISNUMBER(AD179)),IFERROR(AD183/AD179,""),"")</f>
        <v>0.616486578985968</v>
      </c>
      <c r="AE279" s="215">
        <f>IF(AND(ISNUMBER(AE183),ISNUMBER(AE179)),IFERROR(AE183/AE179,""),"")</f>
        <v>0.588999584889996</v>
      </c>
      <c r="AF279" s="215">
        <f>IF(AND(ISNUMBER(AF183),ISNUMBER(AF179)),IFERROR(AF183/AF179,""),"")</f>
        <v>0.635129017655048</v>
      </c>
      <c r="AG279" s="215">
        <f>IF(AND(ISNUMBER(AG183),ISNUMBER(AG179)),IFERROR(AG183/AG179,""),"")</f>
        <v>0.63734614229961</v>
      </c>
      <c r="AH279" s="215">
        <f>IF(AND(ISNUMBER(AH183),ISNUMBER(AH179)),IFERROR(AH183/AH179,""),"")</f>
        <v>0.61911061700945</v>
      </c>
      <c r="AI279" s="215">
        <f>IF(AND(ISNUMBER(AI183),ISNUMBER(AI179)),IFERROR(AI183/AI179,""),"")</f>
        <v>0.662645692395468</v>
      </c>
      <c r="AJ279" s="215">
        <f>IF(AND(ISNUMBER(AJ183),ISNUMBER(AJ179)),IFERROR(AJ183/AJ179,""),"")</f>
        <v>0.61740092675842</v>
      </c>
      <c r="AK279" s="215">
        <f>IF(AND(ISNUMBER(AK183),ISNUMBER(AK179)),IFERROR(AK183/AK179,""),"")</f>
        <v>0.654386815317499</v>
      </c>
      <c r="AL279" s="215">
        <f>IF(AND(ISNUMBER(AL183),ISNUMBER(AL179)),IFERROR(AL183/AL179,""),"")</f>
        <v>0.676184144922719</v>
      </c>
      <c r="AM279" s="215">
        <f>IF(AND(ISNUMBER(AM183),ISNUMBER(AM179)),IFERROR(AM183/AM179,""),"")</f>
        <v>0.652473722363175</v>
      </c>
      <c r="AN279" s="215">
        <f>IF(AND(ISNUMBER(AN183),ISNUMBER(AN179)),IFERROR(AN183/AN179,""),"")</f>
        <v>0.659434740750928</v>
      </c>
      <c r="AO279" s="215">
        <f>IF(AND(ISNUMBER(AO183),ISNUMBER(AO179)),IFERROR(AO183/AO179,""),"")</f>
        <v>0.617412460349235</v>
      </c>
      <c r="AP279" s="215">
        <f>IF(AND(ISNUMBER(AP183),ISNUMBER(AP179)),IFERROR(AP183/AP179,""),"")</f>
        <v>0.667331785025024</v>
      </c>
      <c r="AQ279" s="215">
        <f>IF(AND(ISNUMBER(AQ183),ISNUMBER(AQ179)),IFERROR(AQ183/AQ179,""),"")</f>
        <v>0.691194352997005</v>
      </c>
      <c r="AR279" s="215">
        <f>IF(AND(ISNUMBER(AR183),ISNUMBER(AR179)),IFERROR(AR183/AR179,""),"")</f>
        <v>0.659019572006389</v>
      </c>
      <c r="AS279" s="215">
        <f>IF(AND(ISNUMBER(AS183),ISNUMBER(AS179)),IFERROR(AS183/AS179,""),"")</f>
        <v>0.685191347753744</v>
      </c>
      <c r="AT279" s="215">
        <f>IF(AND(ISNUMBER(AT183),ISNUMBER(AT179)),IFERROR(AT183/AT179,""),"")</f>
        <v>0.665149298217092</v>
      </c>
      <c r="AU279" s="215">
        <f>IF(AND(ISNUMBER(AU183),ISNUMBER(AU179)),IFERROR(AU183/AU179,""),"")</f>
        <v>0.686616601467691</v>
      </c>
      <c r="AV279" s="215">
        <f>IF(AND(ISNUMBER(AV183),ISNUMBER(AV179)),IFERROR(AV183/AV179,""),"")</f>
        <v>0.675571214471643</v>
      </c>
      <c r="AW279" s="215">
        <f>IF(AND(ISNUMBER(AW183),ISNUMBER(AW179)),IFERROR(AW183/AW179,""),"")</f>
        <v>0.67781001992798</v>
      </c>
      <c r="AX279" s="215">
        <f>IF(AND(ISNUMBER(AX183),ISNUMBER(AX179)),IFERROR(AX183/AX179,""),"")</f>
        <v>0.703881143349303</v>
      </c>
      <c r="AY279" s="215">
        <f>IF(AND(ISNUMBER(AY183),ISNUMBER(AY179)),IFERROR(AY183/AY179,""),"")</f>
        <v>0.670489367629306</v>
      </c>
      <c r="AZ279" s="215">
        <f>IF(AND(ISNUMBER(AZ183),ISNUMBER(AZ179)),IFERROR(AZ183/AZ179,""),"")</f>
        <v>0.687215268786266</v>
      </c>
      <c r="BA279" s="215">
        <f>IF(AND(ISNUMBER(BA183),ISNUMBER(BA179)),IFERROR(BA183/BA179,""),"")</f>
        <v>0.696849540648293</v>
      </c>
      <c r="BB279" s="215">
        <f>IF(AND(ISNUMBER(BB183),ISNUMBER(BB179)),IFERROR(BB183/BB179,""),"")</f>
        <v>0.689258007710247</v>
      </c>
      <c r="BC279" s="215">
        <f>IF(AND(ISNUMBER(BC183),ISNUMBER(BC179)),IFERROR(BC183/BC179,""),"")</f>
        <v>0.698876801200433</v>
      </c>
      <c r="BD279" s="215">
        <f>IF(AND(ISNUMBER(BD183),ISNUMBER(BD179)),IFERROR(BD183/BD179,""),"")</f>
        <v>0.672131147540984</v>
      </c>
      <c r="BE279" s="215">
        <f>IF(AND(ISNUMBER(BE183),ISNUMBER(BE179)),IFERROR(BE183/BE179,""),"")</f>
        <v>0.683650729335494</v>
      </c>
      <c r="BF279" s="215">
        <f>IF(AND(ISNUMBER(BF183),ISNUMBER(BF179)),IFERROR(BF183/BF179,""),"")</f>
        <v>0.683235322471802</v>
      </c>
      <c r="BG279" s="215">
        <f>IF(AND(ISNUMBER(BG183),ISNUMBER(BG179)),IFERROR(BG183/BG179,""),"")</f>
        <v>0.684016744842891</v>
      </c>
      <c r="BH279" s="215">
        <f>IF(AND(ISNUMBER(BH183),ISNUMBER(BH179)),IFERROR(BH183/BH179,""),"")</f>
        <v>0.691712222177886</v>
      </c>
      <c r="BI279" s="215">
        <f>IF(AND(ISNUMBER(BI183),ISNUMBER(BI179)),IFERROR(BI183/BI179,""),"")</f>
        <v>0.668455078013916</v>
      </c>
      <c r="BJ279" s="215">
        <f>IF(AND(ISNUMBER(BJ183),ISNUMBER(BJ179)),IFERROR(BJ183/BJ179,""),"")</f>
        <v>0.694874851013111</v>
      </c>
      <c r="BK279" s="215">
        <f>IF(AND(ISNUMBER(BK183),ISNUMBER(BK179)),IFERROR(BK183/BK179,""),"")</f>
        <v>0.701098079695314</v>
      </c>
      <c r="BL279" s="215">
        <f>IF(AND(ISNUMBER(BL183),ISNUMBER(BL179)),IFERROR(BL183/BL179,""),"")</f>
        <v>0.68920085883491</v>
      </c>
      <c r="BM279" s="215">
        <f>IF(AND(ISNUMBER(BM183),ISNUMBER(BM179)),IFERROR(BM183/BM179,""),"")</f>
        <v>0.711555815064494</v>
      </c>
      <c r="BN279" s="215">
        <f>IF(AND(ISNUMBER(BN183),ISNUMBER(BN179)),IFERROR(BN183/BN179,""),"")</f>
        <v>0.683602063850371</v>
      </c>
      <c r="BO279" s="215">
        <f>IF(AND(ISNUMBER(BO183),ISNUMBER(BO179)),IFERROR(BO183/BO179,""),"")</f>
        <v>0.700847101425846</v>
      </c>
      <c r="BP279" s="215">
        <f>IF(AND(ISNUMBER(BP183),ISNUMBER(BP179)),IFERROR(BP183/BP179,""),"")</f>
        <v>0.695891977072937</v>
      </c>
      <c r="BQ279" s="215">
        <f>IF(AND(ISNUMBER(BQ183),ISNUMBER(BQ179)),IFERROR(BQ183/BQ179,""),"")</f>
        <v>0.697644438279714</v>
      </c>
      <c r="BR279" s="215">
        <f>IF(AND(ISNUMBER(BR183),ISNUMBER(BR179)),IFERROR(BR183/BR179,""),"")</f>
        <v>0.693542730807349</v>
      </c>
      <c r="BS279" s="215">
        <f>IF(AND(ISNUMBER(BS183),ISNUMBER(BS179)),IFERROR(BS183/BS179,""),"")</f>
        <v>0.686939912683824</v>
      </c>
      <c r="BT279" s="215">
        <f>IF(AND(ISNUMBER(BT183),ISNUMBER(BT179)),IFERROR(BT183/BT179,""),"")</f>
        <v>0.687166385978934</v>
      </c>
      <c r="BU279" s="215">
        <f>IF(AND(ISNUMBER(BU183),ISNUMBER(BU179)),IFERROR(BU183/BU179,""),"")</f>
        <v>0.68584921704321</v>
      </c>
      <c r="BV279" s="215">
        <f>IF(AND(ISNUMBER(BV183),ISNUMBER(BV179)),IFERROR(BV183/BV179,""),"")</f>
        <v>0.688237423861652</v>
      </c>
      <c r="BW279" s="215">
        <f>IF(AND(ISNUMBER(BW183),ISNUMBER(BW179)),IFERROR(BW183/BW179,""),"")</f>
        <v>0.690458717958621</v>
      </c>
      <c r="BX279" s="215">
        <f>IF(AND(ISNUMBER(BX183),ISNUMBER(BX179)),IFERROR(BX183/BX179,""),"")</f>
        <v>0.680361251584167</v>
      </c>
      <c r="BY279" s="215">
        <f>IF(AND(ISNUMBER(BY183),ISNUMBER(BY179)),IFERROR(BY183/BY179,""),"")</f>
        <v>0.676326520763458</v>
      </c>
      <c r="BZ279" s="215">
        <f>IF(AND(ISNUMBER(BZ183),ISNUMBER(BZ179)),IFERROR(BZ183/BZ179,""),"")</f>
        <v>0.671969957892164</v>
      </c>
      <c r="CA279" s="215">
        <f>IF(AND(ISNUMBER(CA183),ISNUMBER(CA179)),IFERROR(CA183/CA179,""),"")</f>
        <v>0.679440933705803</v>
      </c>
      <c r="CB279" s="256">
        <f>IF(AND(ISNUMBER(CB183),ISNUMBER(CB179)),IFERROR(CB183/CB179,""),"")</f>
        <v>0.671460176991151</v>
      </c>
      <c r="CC279" s="256">
        <f>IF(AND(ISNUMBER(CC183),ISNUMBER(CC179)),IFERROR(CC183/CC179,""),"")</f>
        <v>0.660749447054764</v>
      </c>
      <c r="CD279" s="256">
        <f>IF(AND(ISNUMBER(CD183),ISNUMBER(CD179)),IFERROR(CD183/CD179,""),"")</f>
        <v>0.653482591928086</v>
      </c>
      <c r="CE279" s="256">
        <f>IF(AND(ISNUMBER(CE183),ISNUMBER(CE179)),IFERROR(CE183/CE179,""),"")</f>
        <v>0.648102183857714</v>
      </c>
      <c r="CF279" s="256">
        <f>IF(AND(ISNUMBER(CF183),ISNUMBER(CF179)),IFERROR(CF183/CF179,""),"")</f>
        <v>0.657958372882998</v>
      </c>
      <c r="CG279" s="256">
        <f>IF(AND(ISNUMBER(CG183),ISNUMBER(CG179)),IFERROR(CG183/CG179,""),"")</f>
        <v>0.647303333846645</v>
      </c>
      <c r="CH279" s="256">
        <f>IF(AND(ISNUMBER(CH183),ISNUMBER(CH179)),IFERROR(CH183/CH179,""),"")</f>
        <v>0.645059605320308</v>
      </c>
      <c r="CI279" s="256">
        <f>IF(AND(ISNUMBER(CI183),ISNUMBER(CI179)),IFERROR(CI183/CI179,""),"")</f>
        <v>0.651681484635452</v>
      </c>
      <c r="CJ279" s="256">
        <f>IF(AND(ISNUMBER(CJ183),ISNUMBER(CJ179)),IFERROR(CJ183/CJ179,""),"")</f>
        <v>0.657886520836348</v>
      </c>
      <c r="CK279" s="153" t="n"/>
      <c r="CM279" s="37">
        <f>IFERROR(AVERAGE(CF279,CG279,CH279,CI279,CJ279),"n/m")</f>
        <v>0.65197786350435</v>
      </c>
      <c r="CN279" s="37">
        <f>IFERROR(AVERAGE(BG279,BL279,BQ279,BV279,CA279),"n/m")</f>
        <v>0.687708079904994</v>
      </c>
      <c r="CO279" s="37">
        <f>IFERROR(AVERAGE(AH279,AM279,AR279,AW279,BB279,BG279,BL279,BQ279,BV279,CA279),"n/m")</f>
        <v>0.673621233854221</v>
      </c>
      <c r="CP279" s="37">
        <f>IFERROR(AVERAGE(C279,D279,E279,F279,G279,H279,I279,N279,S279,X279,AC279,AH279,AM279,AR279,AW279,BB279,BG279,BL279,BQ279,BV279,CA279),"n/m")</f>
        <v>0.71371118828552</v>
      </c>
    </row>
    <row r="280" ht="15" customHeight="1" s="251">
      <c r="B280" s="25" t="inlineStr">
        <is>
          <t xml:space="preserve">  Adjusted operating margin %</t>
        </is>
      </c>
      <c r="C280" s="215">
        <f>IF(AND(ISNUMBER(C222),ISNUMBER(C179)),IFERROR(C222/C179,""),"")</f>
        <v>0.371979585384581</v>
      </c>
      <c r="D280" s="215">
        <f>IF(AND(ISNUMBER(D222),ISNUMBER(D179)),IFERROR(D222/D179,""),"")</f>
        <v>0.362348890888463</v>
      </c>
      <c r="E280" s="215">
        <f>IF(AND(ISNUMBER(E222),ISNUMBER(E179)),IFERROR(E222/E179,""),"")</f>
        <v>0.372260840781198</v>
      </c>
      <c r="F280" s="215">
        <f>IF(AND(ISNUMBER(F222),ISNUMBER(F179)),IFERROR(F222/F179,""),"")</f>
        <v>0.348460735492924</v>
      </c>
      <c r="G280" s="215">
        <f>IF(AND(ISNUMBER(G222),ISNUMBER(G179)),IFERROR(G222/G179,""),"")</f>
        <v>0.385666730683055</v>
      </c>
      <c r="H280" s="215">
        <f>IF(AND(ISNUMBER(H222),ISNUMBER(H179)),IFERROR(H222/H179,""),"")</f>
        <v>0.388330497690977</v>
      </c>
      <c r="I280" s="215">
        <f>IF(AND(ISNUMBER(I222),ISNUMBER(I179)),IFERROR(I222/I179,""),"")</f>
        <v>0.386527949215306</v>
      </c>
      <c r="J280" s="215">
        <f>IF(AND(ISNUMBER(J222),ISNUMBER(J179)),IFERROR(J222/J179,""),"")</f>
        <v>0.416291854072964</v>
      </c>
      <c r="K280" s="215">
        <f>IF(AND(ISNUMBER(K222),ISNUMBER(K179)),IFERROR(K222/K179,""),"")</f>
        <v>0.387630499627144</v>
      </c>
      <c r="L280" s="215">
        <f>IF(AND(ISNUMBER(L222),ISNUMBER(L179)),IFERROR(L222/L179,""),"")</f>
        <v>0.326370247449851</v>
      </c>
      <c r="M280" s="215">
        <f>IF(AND(ISNUMBER(M222),ISNUMBER(M179)),IFERROR(M222/M179,""),"")</f>
        <v>0.265932850824286</v>
      </c>
      <c r="N280" s="215">
        <f>IF(AND(ISNUMBER(N222),ISNUMBER(N179)),IFERROR(N222/N179,""),"")</f>
        <v>0.346272912946859</v>
      </c>
      <c r="O280" s="215">
        <f>IF(AND(ISNUMBER(O222),ISNUMBER(O179)),IFERROR(O222/O179,""),"")</f>
        <v>0.347941065357008</v>
      </c>
      <c r="P280" s="215">
        <f>IF(AND(ISNUMBER(P222),ISNUMBER(P179)),IFERROR(P222/P179,""),"")</f>
        <v>0.325013255026714</v>
      </c>
      <c r="Q280" s="215">
        <f>IF(AND(ISNUMBER(Q222),ISNUMBER(Q179)),IFERROR(Q222/Q179,""),"")</f>
        <v>0.341812478557075</v>
      </c>
      <c r="R280" s="215">
        <f>IF(AND(ISNUMBER(R222),ISNUMBER(R179)),IFERROR(R222/R179,""),"")</f>
        <v>0.277221794542811</v>
      </c>
      <c r="S280" s="215">
        <f>IF(AND(ISNUMBER(S222),ISNUMBER(S179)),IFERROR(S222/S179,""),"")</f>
        <v>0.319682609146292</v>
      </c>
      <c r="T280" s="215">
        <f>IF(AND(ISNUMBER(T222),ISNUMBER(T179)),IFERROR(T222/T179,""),"")</f>
        <v>0.301021507693634</v>
      </c>
      <c r="U280" s="215">
        <f>IF(AND(ISNUMBER(U222),ISNUMBER(U179)),IFERROR(U222/U179,""),"")</f>
        <v>0.290630902908954</v>
      </c>
      <c r="V280" s="215">
        <f>IF(AND(ISNUMBER(V222),ISNUMBER(V179)),IFERROR(V222/V179,""),"")</f>
        <v>0.312209489622164</v>
      </c>
      <c r="W280" s="215">
        <f>IF(AND(ISNUMBER(W222),ISNUMBER(W179)),IFERROR(W222/W179,""),"")</f>
        <v>0.287871956717764</v>
      </c>
      <c r="X280" s="215">
        <f>IF(AND(ISNUMBER(X222),ISNUMBER(X179)),IFERROR(X222/X179,""),"")</f>
        <v>0.301047232314597</v>
      </c>
      <c r="Y280" s="215">
        <f>IF(AND(ISNUMBER(Y222),ISNUMBER(Y179)),IFERROR(Y222/Y179,""),"")</f>
        <v>0.347122037391432</v>
      </c>
      <c r="Z280" s="215">
        <f>IF(AND(ISNUMBER(Z222),ISNUMBER(Z179)),IFERROR(Z222/Z179,""),"")</f>
        <v>0.332955118507312</v>
      </c>
      <c r="AA280" s="215">
        <f>IF(AND(ISNUMBER(AA222),ISNUMBER(AA179)),IFERROR(AA222/AA179,""),"")</f>
        <v>0.332570259607423</v>
      </c>
      <c r="AB280" s="215">
        <f>IF(AND(ISNUMBER(AB222),ISNUMBER(AB179)),IFERROR(AB222/AB179,""),"")</f>
        <v>0.301639662365383</v>
      </c>
      <c r="AC280" s="215">
        <f>IF(AND(ISNUMBER(AC222),ISNUMBER(AC179)),IFERROR(AC222/AC179,""),"")</f>
        <v>0.327414439756212</v>
      </c>
      <c r="AD280" s="215">
        <f>IF(AND(ISNUMBER(AD222),ISNUMBER(AD179)),IFERROR(AD222/AD179,""),"")</f>
        <v>0.347430694763604</v>
      </c>
      <c r="AE280" s="215">
        <f>IF(AND(ISNUMBER(AE222),ISNUMBER(AE179)),IFERROR(AE222/AE179,""),"")</f>
        <v>0.338439186384392</v>
      </c>
      <c r="AF280" s="215">
        <f>IF(AND(ISNUMBER(AF222),ISNUMBER(AF179)),IFERROR(AF222/AF179,""),"")</f>
        <v>0.319646899049344</v>
      </c>
      <c r="AG280" s="215">
        <f>IF(AND(ISNUMBER(AG222),ISNUMBER(AG179)),IFERROR(AG222/AG179,""),"")</f>
        <v>0.301025003216537</v>
      </c>
      <c r="AH280" s="215">
        <f>IF(AND(ISNUMBER(AH222),ISNUMBER(AH179)),IFERROR(AH222/AH179,""),"")</f>
        <v>0.326170094496943</v>
      </c>
      <c r="AI280" s="215">
        <f>IF(AND(ISNUMBER(AI222),ISNUMBER(AI179)),IFERROR(AI222/AI179,""),"")</f>
        <v>0.314125030564838</v>
      </c>
      <c r="AJ280" s="215">
        <f>IF(AND(ISNUMBER(AJ222),ISNUMBER(AJ179)),IFERROR(AJ222/AJ179,""),"")</f>
        <v>0.300124489937063</v>
      </c>
      <c r="AK280" s="215">
        <f>IF(AND(ISNUMBER(AK222),ISNUMBER(AK179)),IFERROR(AK222/AK179,""),"")</f>
        <v>0.309183787613259</v>
      </c>
      <c r="AL280" s="215">
        <f>IF(AND(ISNUMBER(AL222),ISNUMBER(AL179)),IFERROR(AL222/AL179,""),"")</f>
        <v>0.344989197274389</v>
      </c>
      <c r="AM280" s="215">
        <f>IF(AND(ISNUMBER(AM222),ISNUMBER(AM179)),IFERROR(AM222/AM179,""),"")</f>
        <v>0.317669445451251</v>
      </c>
      <c r="AN280" s="215">
        <f>IF(AND(ISNUMBER(AN222),ISNUMBER(AN179)),IFERROR(AN222/AN179,""),"")</f>
        <v>0.342284417549168</v>
      </c>
      <c r="AO280" s="215">
        <f>IF(AND(ISNUMBER(AO222),ISNUMBER(AO179)),IFERROR(AO222/AO179,""),"")</f>
        <v>0.315912660527856</v>
      </c>
      <c r="AP280" s="215">
        <f>IF(AND(ISNUMBER(AP222),ISNUMBER(AP179)),IFERROR(AP222/AP179,""),"")</f>
        <v>0.338261751332963</v>
      </c>
      <c r="AQ280" s="215">
        <f>IF(AND(ISNUMBER(AQ222),ISNUMBER(AQ179)),IFERROR(AQ222/AQ179,""),"")</f>
        <v>0.367915294955067</v>
      </c>
      <c r="AR280" s="215">
        <f>IF(AND(ISNUMBER(AR222),ISNUMBER(AR179)),IFERROR(AR222/AR179,""),"")</f>
        <v>0.341369802054942</v>
      </c>
      <c r="AS280" s="215">
        <f>IF(AND(ISNUMBER(AS222),ISNUMBER(AS179)),IFERROR(AS222/AS179,""),"")</f>
        <v>0.383784601421873</v>
      </c>
      <c r="AT280" s="215">
        <f>IF(AND(ISNUMBER(AT222),ISNUMBER(AT179)),IFERROR(AT222/AT179,""),"")</f>
        <v>0.376388663090012</v>
      </c>
      <c r="AU280" s="215">
        <f>IF(AND(ISNUMBER(AU222),ISNUMBER(AU179)),IFERROR(AU222/AU179,""),"")</f>
        <v>0.370491990519974</v>
      </c>
      <c r="AV280" s="215">
        <f>IF(AND(ISNUMBER(AV222),ISNUMBER(AV179)),IFERROR(AV222/AV179,""),"")</f>
        <v>0.352509662661373</v>
      </c>
      <c r="AW280" s="215">
        <f>IF(AND(ISNUMBER(AW222),ISNUMBER(AW179)),IFERROR(AW222/AW179,""),"")</f>
        <v>0.370303814285215</v>
      </c>
      <c r="AX280" s="215">
        <f>IF(AND(ISNUMBER(AX222),ISNUMBER(AX179)),IFERROR(AX222/AX179,""),"")</f>
        <v>0.427302578457232</v>
      </c>
      <c r="AY280" s="215">
        <f>IF(AND(ISNUMBER(AY222),ISNUMBER(AY179)),IFERROR(AY222/AY179,""),"")</f>
        <v>0.415474974463739</v>
      </c>
      <c r="AZ280" s="215">
        <f>IF(AND(ISNUMBER(AZ222),ISNUMBER(AZ179)),IFERROR(AZ222/AZ179,""),"")</f>
        <v>0.408766124778209</v>
      </c>
      <c r="BA280" s="215">
        <f>IF(AND(ISNUMBER(BA222),ISNUMBER(BA179)),IFERROR(BA222/BA179,""),"")</f>
        <v>0.413741549661986</v>
      </c>
      <c r="BB280" s="215">
        <f>IF(AND(ISNUMBER(BB222),ISNUMBER(BB179)),IFERROR(BB222/BB179,""),"")</f>
        <v>0.415948788729713</v>
      </c>
      <c r="BC280" s="215">
        <f>IF(AND(ISNUMBER(BC222),ISNUMBER(BC179)),IFERROR(BC222/BC179,""),"")</f>
        <v>0.446587373391884</v>
      </c>
      <c r="BD280" s="215">
        <f>IF(AND(ISNUMBER(BD222),ISNUMBER(BD179)),IFERROR(BD222/BD179,""),"")</f>
        <v>0.430076554283947</v>
      </c>
      <c r="BE280" s="215">
        <f>IF(AND(ISNUMBER(BE222),ISNUMBER(BE179)),IFERROR(BE222/BE179,""),"")</f>
        <v>0.412560777957861</v>
      </c>
      <c r="BF280" s="215">
        <f>IF(AND(ISNUMBER(BF222),ISNUMBER(BF179)),IFERROR(BF222/BF179,""),"")</f>
        <v>0.395912465053504</v>
      </c>
      <c r="BG280" s="215">
        <f>IF(AND(ISNUMBER(BG222),ISNUMBER(BG179)),IFERROR(BG222/BG179,""),"")</f>
        <v>0.420552781560498</v>
      </c>
      <c r="BH280" s="215">
        <f>IF(AND(ISNUMBER(BH222),ISNUMBER(BH179)),IFERROR(BH222/BH179,""),"")</f>
        <v>0.429312477554766</v>
      </c>
      <c r="BI280" s="215">
        <f>IF(AND(ISNUMBER(BI222),ISNUMBER(BI179)),IFERROR(BI222/BI179,""),"")</f>
        <v>0.408933209471629</v>
      </c>
      <c r="BJ280" s="215">
        <f>IF(AND(ISNUMBER(BJ222),ISNUMBER(BJ179)),IFERROR(BJ222/BJ179,""),"")</f>
        <v>0.422876818585996</v>
      </c>
      <c r="BK280" s="215">
        <f>IF(AND(ISNUMBER(BK222),ISNUMBER(BK179)),IFERROR(BK222/BK179,""),"")</f>
        <v>0.431650323016961</v>
      </c>
      <c r="BL280" s="215">
        <f>IF(AND(ISNUMBER(BL222),ISNUMBER(BL179)),IFERROR(BL222/BL179,""),"")</f>
        <v>0.423254606799896</v>
      </c>
      <c r="BM280" s="215">
        <f>IF(AND(ISNUMBER(BM222),ISNUMBER(BM179)),IFERROR(BM222/BM179,""),"")</f>
        <v>0.475874515632465</v>
      </c>
      <c r="BN280" s="215">
        <f>IF(AND(ISNUMBER(BN222),ISNUMBER(BN179)),IFERROR(BN222/BN179,""),"")</f>
        <v>0.435859400193486</v>
      </c>
      <c r="BO280" s="215">
        <f>IF(AND(ISNUMBER(BO222),ISNUMBER(BO179)),IFERROR(BO222/BO179,""),"")</f>
        <v>0.44587603866921</v>
      </c>
      <c r="BP280" s="215">
        <f>IF(AND(ISNUMBER(BP222),ISNUMBER(BP179)),IFERROR(BP222/BP179,""),"")</f>
        <v>0.431427379609746</v>
      </c>
      <c r="BQ280" s="215">
        <f>IF(AND(ISNUMBER(BQ222),ISNUMBER(BQ179)),IFERROR(BQ222/BQ179,""),"")</f>
        <v>0.446442995732737</v>
      </c>
      <c r="BR280" s="215">
        <f>IF(AND(ISNUMBER(BR222),ISNUMBER(BR179)),IFERROR(BR222/BR179,""),"")</f>
        <v>0.465838225203934</v>
      </c>
      <c r="BS280" s="215">
        <f>IF(AND(ISNUMBER(BS222),ISNUMBER(BS179)),IFERROR(BS222/BS179,""),"")</f>
        <v>0.454575482536765</v>
      </c>
      <c r="BT280" s="215">
        <f>IF(AND(ISNUMBER(BT222),ISNUMBER(BT179)),IFERROR(BT222/BT179,""),"")</f>
        <v>0.456712242742557</v>
      </c>
      <c r="BU280" s="215">
        <f>IF(AND(ISNUMBER(BU222),ISNUMBER(BU179)),IFERROR(BU222/BU179,""),"")</f>
        <v>0.449012964246936</v>
      </c>
      <c r="BV280" s="215">
        <f>IF(AND(ISNUMBER(BV222),ISNUMBER(BV179)),IFERROR(BV222/BV179,""),"")</f>
        <v>0.456219562408599</v>
      </c>
      <c r="BW280" s="215">
        <f>IF(AND(ISNUMBER(BW222),ISNUMBER(BW179)),IFERROR(BW222/BW179,""),"")</f>
        <v>0.48872838695557</v>
      </c>
      <c r="BX280" s="215">
        <f>IF(AND(ISNUMBER(BX222),ISNUMBER(BX179)),IFERROR(BX222/BX179,""),"")</f>
        <v>0.470943609808916</v>
      </c>
      <c r="BY280" s="215">
        <f>IF(AND(ISNUMBER(BY222),ISNUMBER(BY179)),IFERROR(BY222/BY179,""),"")</f>
        <v>0.463262794681852</v>
      </c>
      <c r="BZ280" s="215">
        <f>IF(AND(ISNUMBER(BZ222),ISNUMBER(BZ179)),IFERROR(BZ222/BZ179,""),"")</f>
        <v>0.451109358161032</v>
      </c>
      <c r="CA280" s="215">
        <f>IF(AND(ISNUMBER(CA222),ISNUMBER(CA179)),IFERROR(CA222/CA179,""),"")</f>
        <v>0.467808184089272</v>
      </c>
      <c r="CB280" s="256">
        <f>IF(AND(ISNUMBER(CB222),ISNUMBER(CB179)),IFERROR(CB222/CB179,""),"")</f>
        <v>0.485066371681416</v>
      </c>
      <c r="CC280" s="256">
        <f>IF(AND(ISNUMBER(CC222),ISNUMBER(CC179)),IFERROR(CC222/CC179,""),"")</f>
        <v>0.467711616759799</v>
      </c>
      <c r="CD280" s="256">
        <f>IF(AND(ISNUMBER(CD222),ISNUMBER(CD179)),IFERROR(CD222/CD179,""),"")</f>
        <v>0.458667147676618</v>
      </c>
      <c r="CE280" s="256">
        <f>IF(AND(ISNUMBER(CE222),ISNUMBER(CE179)),IFERROR(CE222/CE179,""),"")</f>
        <v>0.447223942014983</v>
      </c>
      <c r="CF280" s="256">
        <f>IF(AND(ISNUMBER(CF222),ISNUMBER(CF179)),IFERROR(CF222/CF179,""),"")</f>
        <v>0.463874487905548</v>
      </c>
      <c r="CG280" s="256">
        <f>IF(AND(ISNUMBER(CG222),ISNUMBER(CG179)),IFERROR(CG222/CG179,""),"")</f>
        <v>0.445303333846645</v>
      </c>
      <c r="CH280" s="256">
        <f>IF(AND(ISNUMBER(CH222),ISNUMBER(CH179)),IFERROR(CH222/CH179,""),"")</f>
        <v>0.443059605320308</v>
      </c>
      <c r="CI280" s="256">
        <f>IF(AND(ISNUMBER(CI222),ISNUMBER(CI179)),IFERROR(CI222/CI179,""),"")</f>
        <v>0.449681484635452</v>
      </c>
      <c r="CJ280" s="256">
        <f>IF(AND(ISNUMBER(CJ222),ISNUMBER(CJ179)),IFERROR(CJ222/CJ179,""),"")</f>
        <v>0.455886520836348</v>
      </c>
      <c r="CK280" s="153" t="n"/>
      <c r="CM280" s="37">
        <f>IFERROR(AVERAGE(CF280,CG280,CH280,CI280,CJ280),"n/m")</f>
        <v>0.45156108650886</v>
      </c>
      <c r="CN280" s="37">
        <f>IFERROR(AVERAGE(BG280,BL280,BQ280,BV280,CA280),"n/m")</f>
        <v>0.4428556261182</v>
      </c>
      <c r="CO280" s="37">
        <f>IFERROR(AVERAGE(AH280,AM280,AR280,AW280,BB280,BG280,BL280,BQ280,BV280,CA280),"n/m")</f>
        <v>0.398574007560907</v>
      </c>
      <c r="CP280" s="37">
        <f>IFERROR(AVERAGE(C280,D280,E280,F280,G280,H280,I280,N280,S280,X280,AC280,AH280,AM280,AR280,AW280,BB280,BG280,BL280,BQ280,BV280,CA280),"n/m")</f>
        <v>0.375987261900454</v>
      </c>
    </row>
    <row r="281" ht="15" customHeight="1" s="251">
      <c r="B281" s="25" t="inlineStr">
        <is>
          <t xml:space="preserve">  Incremental adjusted operating margin (Δ adjusted OI / Δ revenue)</t>
        </is>
      </c>
      <c r="C281" s="36" t="n"/>
      <c r="D281" s="215">
        <f>IFERROR((D222-C222)/(D179-C179),"")</f>
        <v>0.3</v>
      </c>
      <c r="E281" s="215">
        <f>IFERROR((E222-D222)/(E179-D179),"")</f>
        <v>0.426758442675844</v>
      </c>
      <c r="F281" s="215">
        <f>IFERROR((F222-E222)/(F179-E179),"")</f>
        <v>1.07362581946546</v>
      </c>
      <c r="G281" s="215">
        <f>IFERROR((G222-F222)/(G179-F179),"")</f>
        <v>0.92290585618977</v>
      </c>
      <c r="H281" s="215">
        <f>IFERROR((H222-G222)/(H179-G179),"")</f>
        <v>0.410644858560129</v>
      </c>
      <c r="I281" s="215">
        <f>IFERROR((I222-H222)/(I179-H179),"")</f>
        <v>0.353174603174603</v>
      </c>
      <c r="J281" s="36" t="n"/>
      <c r="K281" s="36" t="n"/>
      <c r="L281" s="36" t="n"/>
      <c r="M281" s="36" t="n"/>
      <c r="N281" s="215">
        <f>IFERROR((N222-I222)/(N179-I179),"")</f>
        <v>-0.373000484730974</v>
      </c>
      <c r="O281" s="215">
        <f>IFERROR((O222-J222)/(O179-J179),"")</f>
        <v>-0.0860769535898453</v>
      </c>
      <c r="P281" s="215">
        <f>IFERROR((P222-K222)/(P179-K179),"")</f>
        <v>-0.113614103819785</v>
      </c>
      <c r="Q281" s="215">
        <f>IFERROR((Q222-L222)/(Q179-L179),"")</f>
        <v>-3.33720930232558</v>
      </c>
      <c r="R281" s="215">
        <f>IFERROR((R222-M222)/(R179-M179),"")</f>
        <v>0.341652323580034</v>
      </c>
      <c r="S281" s="215">
        <f>IFERROR((S222-N222)/(S179-N179),"")</f>
        <v>0.0892698130008905</v>
      </c>
      <c r="T281" s="215">
        <f>IFERROR((T222-O222)/(T179-O179),"")</f>
        <v>0.114940068493151</v>
      </c>
      <c r="U281" s="215">
        <f>IFERROR((U222-P222)/(U179-P179),"")</f>
        <v>-0.141465914915428</v>
      </c>
      <c r="V281" s="215">
        <f>IFERROR((V222-Q222)/(V179-Q179),"")</f>
        <v>-0.143288084464555</v>
      </c>
      <c r="W281" s="215">
        <f>IFERROR((W222-R222)/(W179-R179),"")</f>
        <v>0.0806988352745424</v>
      </c>
      <c r="X281" s="215">
        <f>IFERROR((X222-S222)/(X179-S179),"")</f>
        <v>0.0612123906921595</v>
      </c>
      <c r="Y281" s="215">
        <f>IFERROR((Y222-T222)/(Y179-T179),"")</f>
        <v>-0.0318922749822821</v>
      </c>
      <c r="Z281" s="215">
        <f>IFERROR((Z222-U222)/(Z179-U179),"")</f>
        <v>-0.0860134629768138</v>
      </c>
      <c r="AA281" s="215">
        <f>IFERROR((AA222-V222)/(AA179-V179),"")</f>
        <v>-0.0367278797996661</v>
      </c>
      <c r="AB281" s="215">
        <f>IFERROR((AB222-W222)/(AB179-W179),"")</f>
        <v>0.106641123882503</v>
      </c>
      <c r="AC281" s="215">
        <f>IFERROR((AC222-X222)/(AC179-X179),"")</f>
        <v>0.0286924939467312</v>
      </c>
      <c r="AD281" s="215">
        <f>IFERROR((AD222-Y222)/(AD179-Y179),"")</f>
        <v>0.432432432432432</v>
      </c>
      <c r="AE281" s="215">
        <f>IFERROR((AE222-Z222)/(AE179-Z179),"")</f>
        <v>0.782312925170068</v>
      </c>
      <c r="AF281" s="215">
        <f>IFERROR((AF222-AA222)/(AF179-AA179),"")</f>
        <v>0.149454778704298</v>
      </c>
      <c r="AG281" s="215">
        <f>IFERROR((AG222-AB222)/(AG179-AB179),"")</f>
        <v>0.296337402885683</v>
      </c>
      <c r="AH281" s="215">
        <f>IFERROR((AH222-AC222)/(AH179-AC179),"")</f>
        <v>0.303239740820734</v>
      </c>
      <c r="AI281" s="215">
        <f>IFERROR((AI222-AD222)/(AI179-AD179),"")</f>
        <v>0.147368421052632</v>
      </c>
      <c r="AJ281" s="215">
        <f>IFERROR((AJ222-AE222)/(AJ179-AE179),"")</f>
        <v>0.108947804473902</v>
      </c>
      <c r="AK281" s="215">
        <f>IFERROR((AK222-AF222)/(AK179-AF179),"")</f>
        <v>0.260308733347431</v>
      </c>
      <c r="AL281" s="215">
        <f>IFERROR((AL222-AG222)/(AL179-AG179),"")</f>
        <v>0.49645390070922</v>
      </c>
      <c r="AM281" s="215">
        <f>IFERROR((AM222-AH222)/(AM179-AH179),"")</f>
        <v>0.280205781479667</v>
      </c>
      <c r="AN281" s="215">
        <f>IFERROR((AN222-AI222)/(AN179-AI179),"")</f>
        <v>0.494280686317642</v>
      </c>
      <c r="AO281" s="215">
        <f>IFERROR((AO222-AJ222)/(AO179-AJ179),"")</f>
        <v>0.444413171967352</v>
      </c>
      <c r="AP281" s="215">
        <f>IFERROR((AP222-AK222)/(AP179-AK179),"")</f>
        <v>0.546108742004264</v>
      </c>
      <c r="AQ281" s="215">
        <f>IFERROR((AQ222-AL222)/(AQ179-AL179),"")</f>
        <v>0.557819383259912</v>
      </c>
      <c r="AR281" s="215">
        <f>IFERROR((AR222-AM222)/(AR179-AM179),"")</f>
        <v>0.510301621132855</v>
      </c>
      <c r="AS281" s="215">
        <f>IFERROR((AS222-AN222)/(AS179-AN179),"")</f>
        <v>0.687736086628053</v>
      </c>
      <c r="AT281" s="215">
        <f>IFERROR((AT222-AO222)/(AT179-AO179),"")</f>
        <v>0.819165727170237</v>
      </c>
      <c r="AU281" s="215">
        <f>IFERROR((AU222-AP222)/(AU179-AP179),"")</f>
        <v>0.591910112359551</v>
      </c>
      <c r="AV281" s="215">
        <f>IFERROR((AV222-AQ222)/(AV179-AQ179),"")</f>
        <v>0.232159406858202</v>
      </c>
      <c r="AW281" s="215">
        <f>IFERROR((AW222-AR222)/(AW179-AR179),"")</f>
        <v>0.582343349638947</v>
      </c>
      <c r="AX281" s="215">
        <f>IFERROR((AX222-AS222)/(AX179-AS179),"")</f>
        <v>0.778238594779214</v>
      </c>
      <c r="AY281" s="215">
        <f>IFERROR((AY222-AT222)/(AY179-AT179),"")</f>
        <v>0.649270664505673</v>
      </c>
      <c r="AZ281" s="215">
        <f>IFERROR((AZ222-AU222)/(AZ179-AU179),"")</f>
        <v>0.60927449513837</v>
      </c>
      <c r="BA281" s="215">
        <f>IFERROR((BA222-AV222)/(BA179-AV179),"")</f>
        <v>0.700578889025742</v>
      </c>
      <c r="BB281" s="215">
        <f>IFERROR((BB222-AW222)/(BB179-AW179),"")</f>
        <v>0.676305188848562</v>
      </c>
      <c r="BC281" s="215">
        <f>IFERROR((BC222-AX222)/(BC179-AX179),"")</f>
        <v>0.53436236677692</v>
      </c>
      <c r="BD281" s="215">
        <f>IFERROR((BD222-AY222)/(BD179-AY179),"")</f>
        <v>0.502773925104022</v>
      </c>
      <c r="BE281" s="215">
        <f>IFERROR((BE222-AZ222)/(BE179-AZ179),"")</f>
        <v>0.433237522863862</v>
      </c>
      <c r="BF281" s="215">
        <f>IFERROR((BF222-BA222)/(BF179-BA179),"")</f>
        <v>0.25188167337651</v>
      </c>
      <c r="BG281" s="215">
        <f>IFERROR((BG222-BB222)/(BG179-BB179),"")</f>
        <v>0.446193095222318</v>
      </c>
      <c r="BH281" s="215">
        <f>IFERROR((BH222-BC222)/(BH179-BC179),"")</f>
        <v>0.266389177939646</v>
      </c>
      <c r="BI281" s="215">
        <f>IFERROR((BI222-BD222)/(BI179-BD179),"")</f>
        <v>-0.664376840039254</v>
      </c>
      <c r="BJ281" s="215">
        <f>IFERROR((BJ222-BE222)/(BJ179-BE179),"")</f>
        <v>0.568487274806977</v>
      </c>
      <c r="BK281" s="215">
        <f>IFERROR((BK222-BF222)/(BK179-BF179),"")</f>
        <v>0.860314523589269</v>
      </c>
      <c r="BL281" s="215">
        <f>IFERROR((BL222-BG222)/(BL179-BG179),"")</f>
        <v>0.462513741297178</v>
      </c>
      <c r="BM281" s="215">
        <f>IFERROR((BM222-BH222)/(BM179-BH179),"")</f>
        <v>0.840813135261923</v>
      </c>
      <c r="BN281" s="215">
        <f>IFERROR((BN222-BI222)/(BN179-BI179),"")</f>
        <v>0.589021891512995</v>
      </c>
      <c r="BO281" s="215">
        <f>IFERROR((BO222-BJ222)/(BO179-BJ179),"")</f>
        <v>0.580935451616487</v>
      </c>
      <c r="BP281" s="215">
        <f>IFERROR((BP222-BK222)/(BP179-BK179),"")</f>
        <v>0.429960178027641</v>
      </c>
      <c r="BQ281" s="215">
        <f>IFERROR((BQ222-BL222)/(BQ179-BL179),"")</f>
        <v>0.594422862649441</v>
      </c>
      <c r="BR281" s="215">
        <f>IFERROR((BR222-BM222)/(BR179-BM179),"")</f>
        <v>0.403286281429202</v>
      </c>
      <c r="BS281" s="215">
        <f>IFERROR((BS222-BN222)/(BS179-BN179),"")</f>
        <v>0.607067787703626</v>
      </c>
      <c r="BT281" s="215">
        <f>IFERROR((BT222-BO222)/(BT179-BO179),"")</f>
        <v>0.538377192982456</v>
      </c>
      <c r="BU281" s="215">
        <f>IFERROR((BU222-BP222)/(BU179-BP179),"")</f>
        <v>0.546184053269592</v>
      </c>
      <c r="BV281" s="215">
        <f>IFERROR((BV222-BQ222)/(BV179-BQ179),"")</f>
        <v>0.521692803671931</v>
      </c>
      <c r="BW281" s="215">
        <f>IFERROR((BW222-BR222)/(BW179-BR179),"")</f>
        <v>0.612921906022502</v>
      </c>
      <c r="BX281" s="215">
        <f>IFERROR((BX222-BS222)/(BX179-BS179),"")</f>
        <v>0.568851473241131</v>
      </c>
      <c r="BY281" s="215">
        <f>IFERROR((BY222-BT222)/(BY179-BT179),"")</f>
        <v>0.499063962558502</v>
      </c>
      <c r="BZ281" s="215">
        <f>IFERROR((BZ222-BU222)/(BZ179-BU179),"")</f>
        <v>0.462922010909627</v>
      </c>
      <c r="CA281" s="215">
        <f>IFERROR((CA222-BV222)/(CA179-BV179),"")</f>
        <v>0.532954205327746</v>
      </c>
      <c r="CB281" s="256">
        <f>IFERROR((CB222-BW222)/(CB179-BW179),"")</f>
        <v>0.462717058222677</v>
      </c>
      <c r="CC281" s="256">
        <f>IFERROR((CC222-BX222)/(CC179-BX179),"")</f>
        <v>0.448314241064545</v>
      </c>
      <c r="CD281" s="256">
        <f>IFERROR((CD222-BY222)/(CD179-BY179),"")</f>
        <v>0.432570549060542</v>
      </c>
      <c r="CE281" s="256">
        <f>IFERROR((CE222-BZ222)/(CE179-BZ179),"")</f>
        <v>0.42591581503004</v>
      </c>
      <c r="CF281" s="256">
        <f>IFERROR((CF222-CA222)/(CF179-CA179),"")</f>
        <v>0.441084424358855</v>
      </c>
      <c r="CG281" s="256">
        <f>IFERROR((CG222-CF222)/(CG179-CF179),"")</f>
        <v>0.336293074222476</v>
      </c>
      <c r="CH281" s="256">
        <f>IFERROR((CH222-CG222)/(CH179-CG179),"")</f>
        <v>0.428761640922121</v>
      </c>
      <c r="CI281" s="256">
        <f>IFERROR((CI222-CH222)/(CI179-CH179),"")</f>
        <v>0.497814108525224</v>
      </c>
      <c r="CJ281" s="256">
        <f>IFERROR((CJ222-CI222)/(CJ179-CI179),"")</f>
        <v>0.507295522644428</v>
      </c>
      <c r="CK281" s="153" t="n"/>
    </row>
    <row r="282" ht="15" customHeight="1" s="251">
      <c r="B282" s="25" t="inlineStr">
        <is>
          <t xml:space="preserve">  Adjusted EBITDA margin %</t>
        </is>
      </c>
      <c r="C282" s="215">
        <f>IF(AND(ISNUMBER(C242),ISNUMBER(C179)),IFERROR(C242/C179,""),"")</f>
        <v>0.392371618264758</v>
      </c>
      <c r="D282" s="215">
        <f>IF(AND(ISNUMBER(D242),ISNUMBER(D179)),IFERROR(D242/D179,""),"")</f>
        <v>0.390516802941982</v>
      </c>
      <c r="E282" s="215">
        <f>IF(AND(ISNUMBER(E242),ISNUMBER(E179)),IFERROR(E242/E179,""),"")</f>
        <v>0.406289308176101</v>
      </c>
      <c r="F282" s="215">
        <f>IF(AND(ISNUMBER(F242),ISNUMBER(F179)),IFERROR(F242/F179,""),"")</f>
        <v>0.392302821842326</v>
      </c>
      <c r="G282" s="215">
        <f>IF(AND(ISNUMBER(G242),ISNUMBER(G179)),IFERROR(G242/G179,""),"")</f>
        <v>0.428445682094616</v>
      </c>
      <c r="H282" s="215">
        <f>IF(AND(ISNUMBER(H242),ISNUMBER(H179)),IFERROR(H242/H179,""),"")</f>
        <v>0.427876985545373</v>
      </c>
      <c r="I282" s="215">
        <f>IF(AND(ISNUMBER(I242),ISNUMBER(I179)),IFERROR(I242/I179,""),"")</f>
        <v>0.42677319154131</v>
      </c>
      <c r="J282" s="215">
        <f>IF(AND(ISNUMBER(J242),ISNUMBER(J179)),IFERROR(J242/J179,""),"")</f>
        <v>0.460644677661169</v>
      </c>
      <c r="K282" s="215">
        <f>IF(AND(ISNUMBER(K242),ISNUMBER(K179)),IFERROR(K242/K179,""),"")</f>
        <v>0.43465697240865</v>
      </c>
      <c r="L282" s="215">
        <f>IF(AND(ISNUMBER(L242),ISNUMBER(L179)),IFERROR(L242/L179,""),"")</f>
        <v>0.37776367807116</v>
      </c>
      <c r="M282" s="215">
        <f>IF(AND(ISNUMBER(M242),ISNUMBER(M179)),IFERROR(M242/M179,""),"")</f>
        <v>0.315339766787294</v>
      </c>
      <c r="N282" s="215">
        <f>IF(AND(ISNUMBER(N242),ISNUMBER(N179)),IFERROR(N242/N179,""),"")</f>
        <v>0.394507315444001</v>
      </c>
      <c r="O282" s="215">
        <f>IF(AND(ISNUMBER(O242),ISNUMBER(O179)),IFERROR(O242/O179,""),"")</f>
        <v>0.399427923795132</v>
      </c>
      <c r="P282" s="215">
        <f>IF(AND(ISNUMBER(P242),ISNUMBER(P179)),IFERROR(P242/P179,""),"")</f>
        <v>0.376442758676944</v>
      </c>
      <c r="Q282" s="215">
        <f>IF(AND(ISNUMBER(Q242),ISNUMBER(Q179)),IFERROR(Q242/Q179,""),"")</f>
        <v>0.403323040729305</v>
      </c>
      <c r="R282" s="215">
        <f>IF(AND(ISNUMBER(R242),ISNUMBER(R179)),IFERROR(R242/R179,""),"")</f>
        <v>0.351723548028398</v>
      </c>
      <c r="S282" s="215">
        <f>IF(AND(ISNUMBER(S242),ISNUMBER(S179)),IFERROR(S242/S179,""),"")</f>
        <v>0.379705872191448</v>
      </c>
      <c r="T282" s="215">
        <f>IF(AND(ISNUMBER(T242),ISNUMBER(T179)),IFERROR(T242/T179,""),"")</f>
        <v>0.36257057885436</v>
      </c>
      <c r="U282" s="215">
        <f>IF(AND(ISNUMBER(U242),ISNUMBER(U179)),IFERROR(U242/U179,""),"")</f>
        <v>0.348092179826218</v>
      </c>
      <c r="V282" s="215">
        <f>IF(AND(ISNUMBER(V242),ISNUMBER(V179)),IFERROR(V242/V179,""),"")</f>
        <v>0.381931980302821</v>
      </c>
      <c r="W282" s="215">
        <f>IF(AND(ISNUMBER(W242),ISNUMBER(W179)),IFERROR(W242/W179,""),"")</f>
        <v>0.355184851217313</v>
      </c>
      <c r="X282" s="215">
        <f>IF(AND(ISNUMBER(X242),ISNUMBER(X179)),IFERROR(X242/X179,""),"")</f>
        <v>0.364703996580466</v>
      </c>
      <c r="Y282" s="215">
        <f>IF(AND(ISNUMBER(Y242),ISNUMBER(Y179)),IFERROR(Y242/Y179,""),"")</f>
        <v>0.418813484469307</v>
      </c>
      <c r="Z282" s="215">
        <f>IF(AND(ISNUMBER(Z242),ISNUMBER(Z179)),IFERROR(Z242/Z179,""),"")</f>
        <v>0.397839973104723</v>
      </c>
      <c r="AA282" s="215">
        <f>IF(AND(ISNUMBER(AA242),ISNUMBER(AA179)),IFERROR(AA242/AA179,""),"")</f>
        <v>0.415712824509279</v>
      </c>
      <c r="AB282" s="215">
        <f>IF(AND(ISNUMBER(AB242),ISNUMBER(AB179)),IFERROR(AB242/AB179,""),"")</f>
        <v>0.394295139225769</v>
      </c>
      <c r="AC282" s="215">
        <f>IF(AND(ISNUMBER(AC242),ISNUMBER(AC179)),IFERROR(AC242/AC179,""),"")</f>
        <v>0.405028129395218</v>
      </c>
      <c r="AD282" s="215">
        <f>IF(AND(ISNUMBER(AD242),ISNUMBER(AD179)),IFERROR(AD242/AD179,""),"")</f>
        <v>0.436219625482814</v>
      </c>
      <c r="AE282" s="215">
        <f>IF(AND(ISNUMBER(AE242),ISNUMBER(AE179)),IFERROR(AE242/AE179,""),"")</f>
        <v>0.42835201328352</v>
      </c>
      <c r="AF282" s="215">
        <f>IF(AND(ISNUMBER(AF242),ISNUMBER(AF179)),IFERROR(AF242/AF179,""),"")</f>
        <v>0.430692621095518</v>
      </c>
      <c r="AG282" s="215">
        <f>IF(AND(ISNUMBER(AG242),ISNUMBER(AG179)),IFERROR(AG242/AG179,""),"")</f>
        <v>0.401509628168289</v>
      </c>
      <c r="AH282" s="215">
        <f>IF(AND(ISNUMBER(AH242),ISNUMBER(AH179)),IFERROR(AH242/AH179,""),"")</f>
        <v>0.423757643135075</v>
      </c>
      <c r="AI282" s="215">
        <f>IF(AND(ISNUMBER(AI242),ISNUMBER(AI179)),IFERROR(AI242/AI179,""),"")</f>
        <v>0.415967071480968</v>
      </c>
      <c r="AJ282" s="215">
        <f>IF(AND(ISNUMBER(AJ242),ISNUMBER(AJ179)),IFERROR(AJ242/AJ179,""),"")</f>
        <v>0.387820734490629</v>
      </c>
      <c r="AK282" s="215">
        <f>IF(AND(ISNUMBER(AK242),ISNUMBER(AK179)),IFERROR(AK242/AK179,""),"")</f>
        <v>0.410231552257728</v>
      </c>
      <c r="AL282" s="215">
        <f>IF(AND(ISNUMBER(AL242),ISNUMBER(AL179)),IFERROR(AL242/AL179,""),"")</f>
        <v>0.428618913079608</v>
      </c>
      <c r="AM282" s="215">
        <f>IF(AND(ISNUMBER(AM242),ISNUMBER(AM179)),IFERROR(AM242/AM179,""),"")</f>
        <v>0.410646973541138</v>
      </c>
      <c r="AN282" s="215">
        <f>IF(AND(ISNUMBER(AN242),ISNUMBER(AN179)),IFERROR(AN242/AN179,""),"")</f>
        <v>0.43982945949663</v>
      </c>
      <c r="AO282" s="215">
        <f>IF(AND(ISNUMBER(AO242),ISNUMBER(AO179)),IFERROR(AO242/AO179,""),"")</f>
        <v>0.408148809707123</v>
      </c>
      <c r="AP282" s="215">
        <f>IF(AND(ISNUMBER(AP242),ISNUMBER(AP179)),IFERROR(AP242/AP179,""),"")</f>
        <v>0.433973373458506</v>
      </c>
      <c r="AQ282" s="215">
        <f>IF(AND(ISNUMBER(AQ242),ISNUMBER(AQ179)),IFERROR(AQ242/AQ179,""),"")</f>
        <v>0.454637126672005</v>
      </c>
      <c r="AR282" s="215">
        <f>IF(AND(ISNUMBER(AR242),ISNUMBER(AR179)),IFERROR(AR242/AR179,""),"")</f>
        <v>0.434199756839872</v>
      </c>
      <c r="AS282" s="215">
        <f>IF(AND(ISNUMBER(AS242),ISNUMBER(AS179)),IFERROR(AS242/AS179,""),"")</f>
        <v>0.473665103615187</v>
      </c>
      <c r="AT282" s="215">
        <f>IF(AND(ISNUMBER(AT242),ISNUMBER(AT179)),IFERROR(AT242/AT179,""),"")</f>
        <v>0.463176719232645</v>
      </c>
      <c r="AU282" s="215">
        <f>IF(AND(ISNUMBER(AU242),ISNUMBER(AU179)),IFERROR(AU242/AU179,""),"")</f>
        <v>0.459524285428743</v>
      </c>
      <c r="AV282" s="215">
        <f>IF(AND(ISNUMBER(AV242),ISNUMBER(AV179)),IFERROR(AV242/AV179,""),"")</f>
        <v>0.444640180895538</v>
      </c>
      <c r="AW282" s="215">
        <f>IF(AND(ISNUMBER(AW242),ISNUMBER(AW179)),IFERROR(AW242/AW179,""),"")</f>
        <v>0.459776946474146</v>
      </c>
      <c r="AX282" s="215">
        <f>IF(AND(ISNUMBER(AX242),ISNUMBER(AX179)),IFERROR(AX242/AX179,""),"")</f>
        <v>0.498492759864348</v>
      </c>
      <c r="AY282" s="215">
        <f>IF(AND(ISNUMBER(AY242),ISNUMBER(AY179)),IFERROR(AY242/AY179,""),"")</f>
        <v>0.479570990806946</v>
      </c>
      <c r="AZ282" s="215">
        <f>IF(AND(ISNUMBER(AZ242),ISNUMBER(AZ179)),IFERROR(AZ242/AZ179,""),"")</f>
        <v>0.479163669495996</v>
      </c>
      <c r="BA282" s="215">
        <f>IF(AND(ISNUMBER(BA242),ISNUMBER(BA179)),IFERROR(BA242/BA179,""),"")</f>
        <v>0.486197781244583</v>
      </c>
      <c r="BB282" s="215">
        <f>IF(AND(ISNUMBER(BB242),ISNUMBER(BB179)),IFERROR(BB242/BB179,""),"")</f>
        <v>0.485471895673695</v>
      </c>
      <c r="BC282" s="215">
        <f>IF(AND(ISNUMBER(BC242),ISNUMBER(BC179)),IFERROR(BC242/BC179,""),"")</f>
        <v>0.517465851667145</v>
      </c>
      <c r="BD282" s="215">
        <f>IF(AND(ISNUMBER(BD242),ISNUMBER(BD179)),IFERROR(BD242/BD179,""),"")</f>
        <v>0.497660841323848</v>
      </c>
      <c r="BE282" s="215">
        <f>IF(AND(ISNUMBER(BE242),ISNUMBER(BE179)),IFERROR(BE242/BE179,""),"")</f>
        <v>0.488999189627229</v>
      </c>
      <c r="BF282" s="215">
        <f>IF(AND(ISNUMBER(BF242),ISNUMBER(BF179)),IFERROR(BF242/BF179,""),"")</f>
        <v>0.472630868601176</v>
      </c>
      <c r="BG282" s="215">
        <f>IF(AND(ISNUMBER(BG242),ISNUMBER(BG179)),IFERROR(BG242/BG179,""),"")</f>
        <v>0.493483633429162</v>
      </c>
      <c r="BH282" s="215">
        <f>IF(AND(ISNUMBER(BH242),ISNUMBER(BH179)),IFERROR(BH242/BH179,""),"")</f>
        <v>0.484976656957025</v>
      </c>
      <c r="BI282" s="215">
        <f>IF(AND(ISNUMBER(BI242),ISNUMBER(BI179)),IFERROR(BI242/BI179,""),"")</f>
        <v>0.478093540864883</v>
      </c>
      <c r="BJ282" s="215">
        <f>IF(AND(ISNUMBER(BJ242),ISNUMBER(BJ179)),IFERROR(BJ242/BJ179,""),"")</f>
        <v>0.490020243297955</v>
      </c>
      <c r="BK282" s="215">
        <f>IF(AND(ISNUMBER(BK242),ISNUMBER(BK179)),IFERROR(BK242/BK179,""),"")</f>
        <v>0.500596202103615</v>
      </c>
      <c r="BL282" s="215">
        <f>IF(AND(ISNUMBER(BL242),ISNUMBER(BL179)),IFERROR(BL242/BL179,""),"")</f>
        <v>0.488662907297737</v>
      </c>
      <c r="BM282" s="215">
        <f>IF(AND(ISNUMBER(BM242),ISNUMBER(BM179)),IFERROR(BM242/BM179,""),"")</f>
        <v>0.545251871118425</v>
      </c>
      <c r="BN282" s="215">
        <f>IF(AND(ISNUMBER(BN242),ISNUMBER(BN179)),IFERROR(BN242/BN179,""),"")</f>
        <v>0.531941309255079</v>
      </c>
      <c r="BO282" s="215">
        <f>IF(AND(ISNUMBER(BO242),ISNUMBER(BO179)),IFERROR(BO242/BO179,""),"")</f>
        <v>0.543308868699279</v>
      </c>
      <c r="BP282" s="215">
        <f>IF(AND(ISNUMBER(BP242),ISNUMBER(BP179)),IFERROR(BP242/BP179,""),"")</f>
        <v>0.529995210653978</v>
      </c>
      <c r="BQ282" s="215">
        <f>IF(AND(ISNUMBER(BQ242),ISNUMBER(BQ179)),IFERROR(BQ242/BQ179,""),"")</f>
        <v>0.537365067191031</v>
      </c>
      <c r="BR282" s="215">
        <f>IF(AND(ISNUMBER(BR242),ISNUMBER(BR179)),IFERROR(BR242/BR179,""),"")</f>
        <v>0.578409697339331</v>
      </c>
      <c r="BS282" s="215">
        <f>IF(AND(ISNUMBER(BS242),ISNUMBER(BS179)),IFERROR(BS242/BS179,""),"")</f>
        <v>0.552619485294118</v>
      </c>
      <c r="BT282" s="215">
        <f>IF(AND(ISNUMBER(BT242),ISNUMBER(BT179)),IFERROR(BT242/BT179,""),"")</f>
        <v>0.581451774041618</v>
      </c>
      <c r="BU282" s="215">
        <f>IF(AND(ISNUMBER(BU242),ISNUMBER(BU179)),IFERROR(BU242/BU179,""),"")</f>
        <v>0.595570439947149</v>
      </c>
      <c r="BV282" s="215">
        <f>IF(AND(ISNUMBER(BV242),ISNUMBER(BV179)),IFERROR(BV242/BV179,""),"")</f>
        <v>0.577448140733484</v>
      </c>
      <c r="BW282" s="215">
        <f>IF(AND(ISNUMBER(BW242),ISNUMBER(BW179)),IFERROR(BW242/BW179,""),"")</f>
        <v>0.593616829528923</v>
      </c>
      <c r="BX282" s="215">
        <f>IF(AND(ISNUMBER(BX242),ISNUMBER(BX179)),IFERROR(BX242/BX179,""),"")</f>
        <v>0.584117726674295</v>
      </c>
      <c r="BY282" s="215">
        <f>IF(AND(ISNUMBER(BY242),ISNUMBER(BY179)),IFERROR(BY242/BY179,""),"")</f>
        <v>0.585925246724417</v>
      </c>
      <c r="BZ282" s="215">
        <f>IF(AND(ISNUMBER(BZ242),ISNUMBER(BZ179)),IFERROR(BZ242/BZ179,""),"")</f>
        <v>0.573566500383304</v>
      </c>
      <c r="CA282" s="215">
        <f>IF(AND(ISNUMBER(CA242),ISNUMBER(CA179)),IFERROR(CA242/CA179,""),"")</f>
        <v>0.583930761604272</v>
      </c>
      <c r="CB282" s="256">
        <f>IF(AND(ISNUMBER(CB242),ISNUMBER(CB179)),IFERROR(CB242/CB179,""),"")</f>
        <v>0.640818362831859</v>
      </c>
      <c r="CC282" s="256">
        <f>IF(AND(ISNUMBER(CC242),ISNUMBER(CC179)),IFERROR(CC242/CC179,""),"")</f>
        <v>0.616211559111863</v>
      </c>
      <c r="CD282" s="256">
        <f>IF(AND(ISNUMBER(CD242),ISNUMBER(CD179)),IFERROR(CD242/CD179,""),"")</f>
        <v>0.603103362052622</v>
      </c>
      <c r="CE282" s="256">
        <f>IF(AND(ISNUMBER(CE242),ISNUMBER(CE179)),IFERROR(CE242/CE179,""),"")</f>
        <v>0.579530623976648</v>
      </c>
      <c r="CF282" s="256">
        <f>IF(AND(ISNUMBER(CF242),ISNUMBER(CF179)),IFERROR(CF242/CF179,""),"")</f>
        <v>0.608612492500509</v>
      </c>
      <c r="CG282" s="256">
        <f>IF(AND(ISNUMBER(CG242),ISNUMBER(CG179)),IFERROR(CG242/CG179,""),"")</f>
        <v>0.6218055605647</v>
      </c>
      <c r="CH282" s="256">
        <f>IF(AND(ISNUMBER(CH242),ISNUMBER(CH179)),IFERROR(CH242/CH179,""),"")</f>
        <v>0.636410019413308</v>
      </c>
      <c r="CI282" s="256">
        <f>IF(AND(ISNUMBER(CI242),ISNUMBER(CI179)),IFERROR(CI242/CI179,""),"")</f>
        <v>0.65058885671703</v>
      </c>
      <c r="CJ282" s="256">
        <f>IF(AND(ISNUMBER(CJ242),ISNUMBER(CJ179)),IFERROR(CJ242/CJ179,""),"")</f>
        <v>0.657914345018509</v>
      </c>
      <c r="CK282" s="153" t="n"/>
      <c r="CM282" s="37">
        <f>IFERROR(AVERAGE(CF282,CG282,CH282,CI282,CJ282),"n/m")</f>
        <v>0.635066254842811</v>
      </c>
      <c r="CN282" s="37">
        <f>IFERROR(AVERAGE(BG282,BL282,BQ282,BV282,CA282),"n/m")</f>
        <v>0.536178102051137</v>
      </c>
      <c r="CO282" s="37">
        <f>IFERROR(AVERAGE(AH282,AM282,AR282,AW282,BB282,BG282,BL282,BQ282,BV282,CA282),"n/m")</f>
        <v>0.489474372591961</v>
      </c>
      <c r="CP282" s="37">
        <f>IFERROR(AVERAGE(C282,D282,E282,F282,G282,H282,I282,N282,S282,X282,AC282,AH282,AM282,AR282,AW282,BB282,BG282,BL282,BQ282,BV282,CA282),"n/m")</f>
        <v>0.443012640473201</v>
      </c>
    </row>
    <row r="283" ht="15" customHeight="1" s="251">
      <c r="B283" s="25" t="inlineStr">
        <is>
          <t xml:space="preserve">  Operating margin (GAAP) %</t>
        </is>
      </c>
      <c r="C283" s="215">
        <f>IF(AND(ISNUMBER(C190),ISNUMBER(C179)),IFERROR(C190/C179,""),"")</f>
        <v>0.371979585384581</v>
      </c>
      <c r="D283" s="215">
        <f>IF(AND(ISNUMBER(D190),ISNUMBER(D179)),IFERROR(D190/D179,""),"")</f>
        <v>0.362348890888463</v>
      </c>
      <c r="E283" s="215">
        <f>IF(AND(ISNUMBER(E190),ISNUMBER(E179)),IFERROR(E190/E179,""),"")</f>
        <v>0.372260840781198</v>
      </c>
      <c r="F283" s="215">
        <f>IF(AND(ISNUMBER(F190),ISNUMBER(F179)),IFERROR(F190/F179,""),"")</f>
        <v>0.348460735492924</v>
      </c>
      <c r="G283" s="215">
        <f>IF(AND(ISNUMBER(G190),ISNUMBER(G179)),IFERROR(G190/G179,""),"")</f>
        <v>0.385666730683055</v>
      </c>
      <c r="H283" s="215">
        <f>IF(AND(ISNUMBER(H190),ISNUMBER(H179)),IFERROR(H190/H179,""),"")</f>
        <v>0.388330497690977</v>
      </c>
      <c r="I283" s="215">
        <f>IF(AND(ISNUMBER(I190),ISNUMBER(I179)),IFERROR(I190/I179,""),"")</f>
        <v>0.295199598497077</v>
      </c>
      <c r="J283" s="215">
        <f>IF(AND(ISNUMBER(J190),ISNUMBER(J179)),IFERROR(J190/J179,""),"")</f>
        <v>0.331584207896052</v>
      </c>
      <c r="K283" s="215">
        <f>IF(AND(ISNUMBER(K190),ISNUMBER(K179)),IFERROR(K190/K179,""),"")</f>
        <v>0.362183072334079</v>
      </c>
      <c r="L283" s="215">
        <f>IF(AND(ISNUMBER(L190),ISNUMBER(L179)),IFERROR(L190/L179,""),"")</f>
        <v>0.371516423446728</v>
      </c>
      <c r="M283" s="215">
        <f>IF(AND(ISNUMBER(M190),ISNUMBER(M179)),IFERROR(M190/M179,""),"")</f>
        <v>0.305237233614797</v>
      </c>
      <c r="N283" s="215">
        <f>IF(AND(ISNUMBER(N190),ISNUMBER(N179)),IFERROR(N190/N179,""),"")</f>
        <v>0.343793754576167</v>
      </c>
      <c r="O283" s="215">
        <f>IF(AND(ISNUMBER(O190),ISNUMBER(O179)),IFERROR(O190/O179,""),"")</f>
        <v>0.341842517135301</v>
      </c>
      <c r="P283" s="215">
        <f>IF(AND(ISNUMBER(P190),ISNUMBER(P179)),IFERROR(P190/P179,""),"")</f>
        <v>0.325013255026714</v>
      </c>
      <c r="Q283" s="215">
        <f>IF(AND(ISNUMBER(Q190),ISNUMBER(Q179)),IFERROR(Q190/Q179,""),"")</f>
        <v>0.341812478557075</v>
      </c>
      <c r="R283" s="215">
        <f>IF(AND(ISNUMBER(R190),ISNUMBER(R179)),IFERROR(R190/R179,""),"")</f>
        <v>0.277221794542811</v>
      </c>
      <c r="S283" s="215">
        <f>IF(AND(ISNUMBER(S190),ISNUMBER(S179)),IFERROR(S190/S179,""),"")</f>
        <v>0.319682609146292</v>
      </c>
      <c r="T283" s="215">
        <f>IF(AND(ISNUMBER(T190),ISNUMBER(T179)),IFERROR(T190/T179,""),"")</f>
        <v>0.25188569458213</v>
      </c>
      <c r="U283" s="215">
        <f>IF(AND(ISNUMBER(U190),ISNUMBER(U179)),IFERROR(U190/U179,""),"")</f>
        <v>0.29376652814507</v>
      </c>
      <c r="V283" s="215">
        <f>IF(AND(ISNUMBER(V190),ISNUMBER(V179)),IFERROR(V190/V179,""),"")</f>
        <v>0.303465414883336</v>
      </c>
      <c r="W283" s="215">
        <f>IF(AND(ISNUMBER(W190),ISNUMBER(W179)),IFERROR(W190/W179,""),"")</f>
        <v>-0.092560865644725</v>
      </c>
      <c r="X283" s="215">
        <f>IF(AND(ISNUMBER(X190),ISNUMBER(X179)),IFERROR(X190/X179,""),"")</f>
        <v>0.194069245565292</v>
      </c>
      <c r="Y283" s="215">
        <f>IF(AND(ISNUMBER(Y190),ISNUMBER(Y179)),IFERROR(Y190/Y179,""),"")</f>
        <v>0.284263212130134</v>
      </c>
      <c r="Z283" s="215">
        <f>IF(AND(ISNUMBER(Z190),ISNUMBER(Z179)),IFERROR(Z190/Z179,""),"")</f>
        <v>0.253235837955959</v>
      </c>
      <c r="AA283" s="215">
        <f>IF(AND(ISNUMBER(AA190),ISNUMBER(AA179)),IFERROR(AA190/AA179,""),"")</f>
        <v>0.257318201743705</v>
      </c>
      <c r="AB283" s="215">
        <f>IF(AND(ISNUMBER(AB190),ISNUMBER(AB179)),IFERROR(AB190/AB179,""),"")</f>
        <v>0.149413020277481</v>
      </c>
      <c r="AC283" s="215">
        <f>IF(AND(ISNUMBER(AC190),ISNUMBER(AC179)),IFERROR(AC190/AC179,""),"")</f>
        <v>0.236544772620722</v>
      </c>
      <c r="AD283" s="215">
        <f>IF(AND(ISNUMBER(AD190),ISNUMBER(AD179)),IFERROR(AD190/AD179,""),"")</f>
        <v>0.255463746149709</v>
      </c>
      <c r="AE283" s="215">
        <f>IF(AND(ISNUMBER(AE190),ISNUMBER(AE179)),IFERROR(AE190/AE179,""),"")</f>
        <v>0.256413449564135</v>
      </c>
      <c r="AF283" s="215">
        <f>IF(AND(ISNUMBER(AF190),ISNUMBER(AF179)),IFERROR(AF190/AF179,""),"")</f>
        <v>0.25323675871435</v>
      </c>
      <c r="AG283" s="215">
        <f>IF(AND(ISNUMBER(AG190),ISNUMBER(AG179)),IFERROR(AG190/AG179,""),"")</f>
        <v>0.228588583436977</v>
      </c>
      <c r="AH283" s="215">
        <f>IF(AND(ISNUMBER(AH190),ISNUMBER(AH179)),IFERROR(AH190/AH179,""),"")</f>
        <v>0.248204558087827</v>
      </c>
      <c r="AI283" s="215">
        <f>IF(AND(ISNUMBER(AI190),ISNUMBER(AI179)),IFERROR(AI190/AI179,""),"")</f>
        <v>0.314125030564838</v>
      </c>
      <c r="AJ283" s="215">
        <f>IF(AND(ISNUMBER(AJ190),ISNUMBER(AJ179)),IFERROR(AJ190/AJ179,""),"")</f>
        <v>0.300124489937063</v>
      </c>
      <c r="AK283" s="215">
        <f>IF(AND(ISNUMBER(AK190),ISNUMBER(AK179)),IFERROR(AK190/AK179,""),"")</f>
        <v>0.309183787613259</v>
      </c>
      <c r="AL283" s="215">
        <f>IF(AND(ISNUMBER(AL190),ISNUMBER(AL179)),IFERROR(AL190/AL179,""),"")</f>
        <v>0.344989197274389</v>
      </c>
      <c r="AM283" s="215">
        <f>IF(AND(ISNUMBER(AM190),ISNUMBER(AM179)),IFERROR(AM190/AM179,""),"")</f>
        <v>0.317669445451251</v>
      </c>
      <c r="AN283" s="215">
        <f>IF(AND(ISNUMBER(AN190),ISNUMBER(AN179)),IFERROR(AN190/AN179,""),"")</f>
        <v>0.342284417549168</v>
      </c>
      <c r="AO283" s="215">
        <f>IF(AND(ISNUMBER(AO190),ISNUMBER(AO179)),IFERROR(AO190/AO179,""),"")</f>
        <v>0.315912660527856</v>
      </c>
      <c r="AP283" s="215">
        <f>IF(AND(ISNUMBER(AP190),ISNUMBER(AP179)),IFERROR(AP190/AP179,""),"")</f>
        <v>0.338261751332963</v>
      </c>
      <c r="AQ283" s="215">
        <f>IF(AND(ISNUMBER(AQ190),ISNUMBER(AQ179)),IFERROR(AQ190/AQ179,""),"")</f>
        <v>0.367915294955067</v>
      </c>
      <c r="AR283" s="215">
        <f>IF(AND(ISNUMBER(AR190),ISNUMBER(AR179)),IFERROR(AR190/AR179,""),"")</f>
        <v>0.341369802054942</v>
      </c>
      <c r="AS283" s="215">
        <f>IF(AND(ISNUMBER(AS190),ISNUMBER(AS179)),IFERROR(AS190/AS179,""),"")</f>
        <v>0.383784601421873</v>
      </c>
      <c r="AT283" s="215">
        <f>IF(AND(ISNUMBER(AT190),ISNUMBER(AT179)),IFERROR(AT190/AT179,""),"")</f>
        <v>0.376388663090012</v>
      </c>
      <c r="AU283" s="215">
        <f>IF(AND(ISNUMBER(AU190),ISNUMBER(AU179)),IFERROR(AU190/AU179,""),"")</f>
        <v>0.370491990519974</v>
      </c>
      <c r="AV283" s="215">
        <f>IF(AND(ISNUMBER(AV190),ISNUMBER(AV179)),IFERROR(AV190/AV179,""),"")</f>
        <v>0.352509662661373</v>
      </c>
      <c r="AW283" s="215">
        <f>IF(AND(ISNUMBER(AW190),ISNUMBER(AW179)),IFERROR(AW190/AW179,""),"")</f>
        <v>0.370303814285215</v>
      </c>
      <c r="AX283" s="215">
        <f>IF(AND(ISNUMBER(AX190),ISNUMBER(AX179)),IFERROR(AX190/AX179,""),"")</f>
        <v>0.427302578457232</v>
      </c>
      <c r="AY283" s="215">
        <f>IF(AND(ISNUMBER(AY190),ISNUMBER(AY179)),IFERROR(AY190/AY179,""),"")</f>
        <v>0.415474974463739</v>
      </c>
      <c r="AZ283" s="215">
        <f>IF(AND(ISNUMBER(AZ190),ISNUMBER(AZ179)),IFERROR(AZ190/AZ179,""),"")</f>
        <v>0.408766124778209</v>
      </c>
      <c r="BA283" s="215">
        <f>IF(AND(ISNUMBER(BA190),ISNUMBER(BA179)),IFERROR(BA190/BA179,""),"")</f>
        <v>0.413741549661986</v>
      </c>
      <c r="BB283" s="215">
        <f>IF(AND(ISNUMBER(BB190),ISNUMBER(BB179)),IFERROR(BB190/BB179,""),"")</f>
        <v>0.415948788729713</v>
      </c>
      <c r="BC283" s="215">
        <f>IF(AND(ISNUMBER(BC190),ISNUMBER(BC179)),IFERROR(BC190/BC179,""),"")</f>
        <v>0.446587373391884</v>
      </c>
      <c r="BD283" s="215">
        <f>IF(AND(ISNUMBER(BD190),ISNUMBER(BD179)),IFERROR(BD190/BD179,""),"")</f>
        <v>0.430076554283947</v>
      </c>
      <c r="BE283" s="215">
        <f>IF(AND(ISNUMBER(BE190),ISNUMBER(BE179)),IFERROR(BE190/BE179,""),"")</f>
        <v>0.412560777957861</v>
      </c>
      <c r="BF283" s="215">
        <f>IF(AND(ISNUMBER(BF190),ISNUMBER(BF179)),IFERROR(BF190/BF179,""),"")</f>
        <v>0.395912465053504</v>
      </c>
      <c r="BG283" s="215">
        <f>IF(AND(ISNUMBER(BG190),ISNUMBER(BG179)),IFERROR(BG190/BG179,""),"")</f>
        <v>0.420552781560498</v>
      </c>
      <c r="BH283" s="215">
        <f>IF(AND(ISNUMBER(BH190),ISNUMBER(BH179)),IFERROR(BH190/BH179,""),"")</f>
        <v>0.429312477554766</v>
      </c>
      <c r="BI283" s="215">
        <f>IF(AND(ISNUMBER(BI190),ISNUMBER(BI179)),IFERROR(BI190/BI179,""),"")</f>
        <v>0.386732894761787</v>
      </c>
      <c r="BJ283" s="215">
        <f>IF(AND(ISNUMBER(BJ190),ISNUMBER(BJ179)),IFERROR(BJ190/BJ179,""),"")</f>
        <v>0.422876818585996</v>
      </c>
      <c r="BK283" s="215">
        <f>IF(AND(ISNUMBER(BK190),ISNUMBER(BK179)),IFERROR(BK190/BK179,""),"")</f>
        <v>0.431650323016961</v>
      </c>
      <c r="BL283" s="215">
        <f>IF(AND(ISNUMBER(BL190),ISNUMBER(BL179)),IFERROR(BL190/BL179,""),"")</f>
        <v>0.417728806361041</v>
      </c>
      <c r="BM283" s="215">
        <f>IF(AND(ISNUMBER(BM190),ISNUMBER(BM179)),IFERROR(BM190/BM179,""),"")</f>
        <v>0.475874515632465</v>
      </c>
      <c r="BN283" s="215">
        <f>IF(AND(ISNUMBER(BN190),ISNUMBER(BN179)),IFERROR(BN190/BN179,""),"")</f>
        <v>0.435859400193486</v>
      </c>
      <c r="BO283" s="215">
        <f>IF(AND(ISNUMBER(BO190),ISNUMBER(BO179)),IFERROR(BO190/BO179,""),"")</f>
        <v>0.44587603866921</v>
      </c>
      <c r="BP283" s="215">
        <f>IF(AND(ISNUMBER(BP190),ISNUMBER(BP179)),IFERROR(BP190/BP179,""),"")</f>
        <v>0.431427379609746</v>
      </c>
      <c r="BQ283" s="215">
        <f>IF(AND(ISNUMBER(BQ190),ISNUMBER(BQ179)),IFERROR(BQ190/BQ179,""),"")</f>
        <v>0.446442995732737</v>
      </c>
      <c r="BR283" s="215">
        <f>IF(AND(ISNUMBER(BR190),ISNUMBER(BR179)),IFERROR(BR190/BR179,""),"")</f>
        <v>0.465838225203934</v>
      </c>
      <c r="BS283" s="215">
        <f>IF(AND(ISNUMBER(BS190),ISNUMBER(BS179)),IFERROR(BS190/BS179,""),"")</f>
        <v>0.454575482536765</v>
      </c>
      <c r="BT283" s="215">
        <f>IF(AND(ISNUMBER(BT190),ISNUMBER(BT179)),IFERROR(BT190/BT179,""),"")</f>
        <v>0.456712242742557</v>
      </c>
      <c r="BU283" s="215">
        <f>IF(AND(ISNUMBER(BU190),ISNUMBER(BU179)),IFERROR(BU190/BU179,""),"")</f>
        <v>0.449012964246936</v>
      </c>
      <c r="BV283" s="215">
        <f>IF(AND(ISNUMBER(BV190),ISNUMBER(BV179)),IFERROR(BV190/BV179,""),"")</f>
        <v>0.456219562408599</v>
      </c>
      <c r="BW283" s="215">
        <f>IF(AND(ISNUMBER(BW190),ISNUMBER(BW179)),IFERROR(BW190/BW179,""),"")</f>
        <v>0.48872838695557</v>
      </c>
      <c r="BX283" s="215">
        <f>IF(AND(ISNUMBER(BX190),ISNUMBER(BX179)),IFERROR(BX190/BX179,""),"")</f>
        <v>0.470943609808916</v>
      </c>
      <c r="BY283" s="215">
        <f>IF(AND(ISNUMBER(BY190),ISNUMBER(BY179)),IFERROR(BY190/BY179,""),"")</f>
        <v>0.463262794681852</v>
      </c>
      <c r="BZ283" s="215">
        <f>IF(AND(ISNUMBER(BZ190),ISNUMBER(BZ179)),IFERROR(BZ190/BZ179,""),"")</f>
        <v>0.451109358161032</v>
      </c>
      <c r="CA283" s="215">
        <f>IF(AND(ISNUMBER(CA190),ISNUMBER(CA179)),IFERROR(CA190/CA179,""),"")</f>
        <v>0.467808184089272</v>
      </c>
      <c r="CB283" s="256">
        <f>IF(AND(ISNUMBER(CB190),ISNUMBER(CB179)),IFERROR(CB190/CB179,""),"")</f>
        <v>0.485066371681416</v>
      </c>
      <c r="CC283" s="256">
        <f>IF(AND(ISNUMBER(CC190),ISNUMBER(CC179)),IFERROR(CC190/CC179,""),"")</f>
        <v>0.467711616759799</v>
      </c>
      <c r="CD283" s="256">
        <f>IF(AND(ISNUMBER(CD190),ISNUMBER(CD179)),IFERROR(CD190/CD179,""),"")</f>
        <v>0.458667147676618</v>
      </c>
      <c r="CE283" s="256">
        <f>IF(AND(ISNUMBER(CE190),ISNUMBER(CE179)),IFERROR(CE190/CE179,""),"")</f>
        <v>0.447223942014983</v>
      </c>
      <c r="CF283" s="256">
        <f>IF(AND(ISNUMBER(CF190),ISNUMBER(CF179)),IFERROR(CF190/CF179,""),"")</f>
        <v>0.463874487905548</v>
      </c>
      <c r="CG283" s="256">
        <f>IF(AND(ISNUMBER(CG190),ISNUMBER(CG179)),IFERROR(CG190/CG179,""),"")</f>
        <v>0.445303333846645</v>
      </c>
      <c r="CH283" s="256">
        <f>IF(AND(ISNUMBER(CH190),ISNUMBER(CH179)),IFERROR(CH190/CH179,""),"")</f>
        <v>0.443059605320308</v>
      </c>
      <c r="CI283" s="256">
        <f>IF(AND(ISNUMBER(CI190),ISNUMBER(CI179)),IFERROR(CI190/CI179,""),"")</f>
        <v>0.449681484635452</v>
      </c>
      <c r="CJ283" s="256">
        <f>IF(AND(ISNUMBER(CJ190),ISNUMBER(CJ179)),IFERROR(CJ190/CJ179,""),"")</f>
        <v>0.455886520836348</v>
      </c>
      <c r="CK283" s="153" t="n"/>
      <c r="CM283" s="37">
        <f>IFERROR(AVERAGE(CF283,CG283,CH283,CI283,CJ283),"n/m")</f>
        <v>0.45156108650886</v>
      </c>
      <c r="CN283" s="37">
        <f>IFERROR(AVERAGE(BG283,BL283,BQ283,BV283,CA283),"n/m")</f>
        <v>0.441750466030429</v>
      </c>
      <c r="CO283" s="37">
        <f>IFERROR(AVERAGE(AH283,AM283,AR283,AW283,BB283,BG283,BL283,BQ283,BV283,CA283),"n/m")</f>
        <v>0.390224873876109</v>
      </c>
      <c r="CP283" s="37">
        <f>IFERROR(AVERAGE(C283,D283,E283,F283,G283,H283,I283,N283,S283,X283,AC283,AH283,AM283,AR283,AW283,BB283,BG283,BL283,BQ283,BV283,CA283),"n/m")</f>
        <v>0.358123142861326</v>
      </c>
    </row>
    <row r="284" ht="15" customHeight="1" s="251">
      <c r="B284" s="25" t="inlineStr">
        <is>
          <t xml:space="preserve">  Net margin %</t>
        </is>
      </c>
      <c r="C284" s="215">
        <f>IF(AND(ISNUMBER(C201),ISNUMBER(C179)),IFERROR(C201/C179,""),"")</f>
        <v>0.284517411137708</v>
      </c>
      <c r="D284" s="215">
        <f>IF(AND(ISNUMBER(D201),ISNUMBER(D179)),IFERROR(D201/D179,""),"")</f>
        <v>0.27512616877274</v>
      </c>
      <c r="E284" s="215">
        <f>IF(AND(ISNUMBER(E201),ISNUMBER(E179)),IFERROR(E201/E179,""),"")</f>
        <v>0.292634889109566</v>
      </c>
      <c r="F284" s="215">
        <f>IF(AND(ISNUMBER(F201),ISNUMBER(F179)),IFERROR(F201/F179,""),"")</f>
        <v>0.249311224053254</v>
      </c>
      <c r="G284" s="215">
        <f>IF(AND(ISNUMBER(G201),ISNUMBER(G179)),IFERROR(G201/G179,""),"")</f>
        <v>0.300236860636323</v>
      </c>
      <c r="H284" s="215">
        <f>IF(AND(ISNUMBER(H201),ISNUMBER(H179)),IFERROR(H201/H179,""),"")</f>
        <v>0.330983801095178</v>
      </c>
      <c r="I284" s="215">
        <f>IF(AND(ISNUMBER(I201),ISNUMBER(I179)),IFERROR(I201/I179,""),"")</f>
        <v>0.230294480691236</v>
      </c>
      <c r="J284" s="215">
        <f>IF(AND(ISNUMBER(J201),ISNUMBER(J179)),IFERROR(J201/J179,""),"")</f>
        <v>0.278985507246377</v>
      </c>
      <c r="K284" s="215">
        <f>IF(AND(ISNUMBER(K201),ISNUMBER(K179)),IFERROR(K201/K179,""),"")</f>
        <v>0.297212900820283</v>
      </c>
      <c r="L284" s="215">
        <f>IF(AND(ISNUMBER(L201),ISNUMBER(L179)),IFERROR(L201/L179,""),"")</f>
        <v>0.295524427741715</v>
      </c>
      <c r="M284" s="215">
        <f>IF(AND(ISNUMBER(M201),ISNUMBER(M179)),IFERROR(M201/M179,""),"")</f>
        <v>0.249547647768396</v>
      </c>
      <c r="N284" s="215">
        <f>IF(AND(ISNUMBER(N201),ISNUMBER(N179)),IFERROR(N201/N179,""),"")</f>
        <v>0.280838546416781</v>
      </c>
      <c r="O284" s="215">
        <f>IF(AND(ISNUMBER(O201),ISNUMBER(O179)),IFERROR(O201/O179,""),"")</f>
        <v>0.283015813049814</v>
      </c>
      <c r="P284" s="215">
        <f>IF(AND(ISNUMBER(P201),ISNUMBER(P179)),IFERROR(P201/P179,""),"")</f>
        <v>0.267466046739263</v>
      </c>
      <c r="Q284" s="215">
        <f>IF(AND(ISNUMBER(Q201),ISNUMBER(Q179)),IFERROR(Q201/Q179,""),"")</f>
        <v>0.277410184776749</v>
      </c>
      <c r="R284" s="215">
        <f>IF(AND(ISNUMBER(R201),ISNUMBER(R179)),IFERROR(R201/R179,""),"")</f>
        <v>0.197245744589855</v>
      </c>
      <c r="S284" s="215">
        <f>IF(AND(ISNUMBER(S201),ISNUMBER(S179)),IFERROR(S201/S179,""),"")</f>
        <v>0.25421210829984</v>
      </c>
      <c r="T284" s="215">
        <f>IF(AND(ISNUMBER(T201),ISNUMBER(T179)),IFERROR(T201/T179,""),"")</f>
        <v>0.195681220637042</v>
      </c>
      <c r="U284" s="215">
        <f>IF(AND(ISNUMBER(U201),ISNUMBER(U179)),IFERROR(U201/U179,""),"")</f>
        <v>0.221496033245183</v>
      </c>
      <c r="V284" s="215">
        <f>IF(AND(ISNUMBER(V201),ISNUMBER(V179)),IFERROR(V201/V179,""),"")</f>
        <v>0.229416908279258</v>
      </c>
      <c r="W284" s="215">
        <f>IF(AND(ISNUMBER(W201),ISNUMBER(W179)),IFERROR(W201/W179,""),"")</f>
        <v>-0.14404869251578</v>
      </c>
      <c r="X284" s="215">
        <f>IF(AND(ISNUMBER(X201),ISNUMBER(X179)),IFERROR(X201/X179,""),"")</f>
        <v>0.130294934815131</v>
      </c>
      <c r="Y284" s="215">
        <f>IF(AND(ISNUMBER(Y201),ISNUMBER(Y179)),IFERROR(Y201/Y179,""),"")</f>
        <v>0.226703959958781</v>
      </c>
      <c r="Z284" s="215">
        <f>IF(AND(ISNUMBER(Z201),ISNUMBER(Z179)),IFERROR(Z201/Z179,""),"")</f>
        <v>0.210035300050429</v>
      </c>
      <c r="AA284" s="215">
        <f>IF(AND(ISNUMBER(AA201),ISNUMBER(AA179)),IFERROR(AA201/AA179,""),"")</f>
        <v>0.182942866884224</v>
      </c>
      <c r="AB284" s="215">
        <f>IF(AND(ISNUMBER(AB201),ISNUMBER(AB179)),IFERROR(AB201/AB179,""),"")</f>
        <v>0.151450470553992</v>
      </c>
      <c r="AC284" s="215">
        <f>IF(AND(ISNUMBER(AC201),ISNUMBER(AC179)),IFERROR(AC201/AC179,""),"")</f>
        <v>0.196882325363338</v>
      </c>
      <c r="AD284" s="215">
        <f>IF(AND(ISNUMBER(AD201),ISNUMBER(AD179)),IFERROR(AD201/AD179,""),"")</f>
        <v>0.229306214247299</v>
      </c>
      <c r="AE284" s="215">
        <f>IF(AND(ISNUMBER(AE201),ISNUMBER(AE179)),IFERROR(AE201/AE179,""),"")</f>
        <v>0.215857202158572</v>
      </c>
      <c r="AF284" s="215">
        <f>IF(AND(ISNUMBER(AF201),ISNUMBER(AF179)),IFERROR(AF201/AF179,""),"")</f>
        <v>0.217338162064282</v>
      </c>
      <c r="AG284" s="215">
        <f>IF(AND(ISNUMBER(AG201),ISNUMBER(AG179)),IFERROR(AG201/AG179,""),"")</f>
        <v>0.27932409829738</v>
      </c>
      <c r="AH284" s="215">
        <f>IF(AND(ISNUMBER(AH201),ISNUMBER(AH179)),IFERROR(AH201/AH179,""),"")</f>
        <v>0.235730961645359</v>
      </c>
      <c r="AI284" s="215">
        <f>IF(AND(ISNUMBER(AI201),ISNUMBER(AI179)),IFERROR(AI201/AI179,""),"")</f>
        <v>0.267992501426359</v>
      </c>
      <c r="AJ284" s="215">
        <f>IF(AND(ISNUMBER(AJ201),ISNUMBER(AJ179)),IFERROR(AJ201/AJ179,""),"")</f>
        <v>-0.217926550937133</v>
      </c>
      <c r="AK284" s="215">
        <f>IF(AND(ISNUMBER(AK201),ISNUMBER(AK179)),IFERROR(AK201/AK179,""),"")</f>
        <v>0.27681867332861</v>
      </c>
      <c r="AL284" s="215">
        <f>IF(AND(ISNUMBER(AL201),ISNUMBER(AL179)),IFERROR(AL201/AL179,""),"")</f>
        <v>0.29493102875187</v>
      </c>
      <c r="AM284" s="215">
        <f>IF(AND(ISNUMBER(AM201),ISNUMBER(AM179)),IFERROR(AM201/AM179,""),"")</f>
        <v>0.150154041319319</v>
      </c>
      <c r="AN284" s="215">
        <f>IF(AND(ISNUMBER(AN201),ISNUMBER(AN179)),IFERROR(AN201/AN179,""),"")</f>
        <v>0.30339705680099</v>
      </c>
      <c r="AO284" s="215">
        <f>IF(AND(ISNUMBER(AO201),ISNUMBER(AO179)),IFERROR(AO201/AO179,""),"")</f>
        <v>0.259308305872933</v>
      </c>
      <c r="AP284" s="215">
        <f>IF(AND(ISNUMBER(AP201),ISNUMBER(AP179)),IFERROR(AP201/AP179,""),"")</f>
        <v>0.288148899283635</v>
      </c>
      <c r="AQ284" s="215">
        <f>IF(AND(ISNUMBER(AQ201),ISNUMBER(AQ179)),IFERROR(AQ201/AQ179,""),"")</f>
        <v>0.391108342972388</v>
      </c>
      <c r="AR284" s="215">
        <f>IF(AND(ISNUMBER(AR201),ISNUMBER(AR179)),IFERROR(AR201/AR179,""),"")</f>
        <v>0.311817105440907</v>
      </c>
      <c r="AS284" s="215">
        <f>IF(AND(ISNUMBER(AS201),ISNUMBER(AS179)),IFERROR(AS201/AS179,""),"")</f>
        <v>0.32303736197247</v>
      </c>
      <c r="AT284" s="215">
        <f>IF(AND(ISNUMBER(AT201),ISNUMBER(AT179)),IFERROR(AT201/AT179,""),"")</f>
        <v>0.315639733376687</v>
      </c>
      <c r="AU284" s="215">
        <f>IF(AND(ISNUMBER(AU201),ISNUMBER(AU179)),IFERROR(AU201/AU179,""),"")</f>
        <v>0.307015790525685</v>
      </c>
      <c r="AV284" s="215">
        <f>IF(AND(ISNUMBER(AV201),ISNUMBER(AV179)),IFERROR(AV201/AV179,""),"")</f>
        <v>0.294533694423264</v>
      </c>
      <c r="AW284" s="215">
        <f>IF(AND(ISNUMBER(AW201),ISNUMBER(AW179)),IFERROR(AW201/AW179,""),"")</f>
        <v>0.3096248645247</v>
      </c>
      <c r="AX284" s="215">
        <f>IF(AND(ISNUMBER(AX201),ISNUMBER(AX179)),IFERROR(AX201/AX179,""),"")</f>
        <v>0.373930128653712</v>
      </c>
      <c r="AY284" s="215">
        <f>IF(AND(ISNUMBER(AY201),ISNUMBER(AY179)),IFERROR(AY201/AY179,""),"")</f>
        <v>0.358970192218405</v>
      </c>
      <c r="AZ284" s="215">
        <f>IF(AND(ISNUMBER(AZ201),ISNUMBER(AZ179)),IFERROR(AZ201/AZ179,""),"")</f>
        <v>0.370618136479164</v>
      </c>
      <c r="BA284" s="215">
        <f>IF(AND(ISNUMBER(BA201),ISNUMBER(BA179)),IFERROR(BA201/BA179,""),"")</f>
        <v>0.356604264170567</v>
      </c>
      <c r="BB284" s="215">
        <f>IF(AND(ISNUMBER(BB201),ISNUMBER(BB179)),IFERROR(BB201/BB179,""),"")</f>
        <v>0.364517395649898</v>
      </c>
      <c r="BC284" s="215">
        <f>IF(AND(ISNUMBER(BC201),ISNUMBER(BC179)),IFERROR(BC201/BC179,""),"")</f>
        <v>0.45247920206545</v>
      </c>
      <c r="BD284" s="215">
        <f>IF(AND(ISNUMBER(BD201),ISNUMBER(BD179)),IFERROR(BD201/BD179,""),"")</f>
        <v>0.362762913702444</v>
      </c>
      <c r="BE284" s="215">
        <f>IF(AND(ISNUMBER(BE201),ISNUMBER(BE179)),IFERROR(BE201/BE179,""),"")</f>
        <v>0.338897893030794</v>
      </c>
      <c r="BF284" s="215">
        <f>IF(AND(ISNUMBER(BF201),ISNUMBER(BF179)),IFERROR(BF201/BF179,""),"")</f>
        <v>0.322761014171407</v>
      </c>
      <c r="BG284" s="215">
        <f>IF(AND(ISNUMBER(BG201),ISNUMBER(BG179)),IFERROR(BG201/BG179,""),"")</f>
        <v>0.366863368134362</v>
      </c>
      <c r="BH284" s="215">
        <f>IF(AND(ISNUMBER(BH201),ISNUMBER(BH179)),IFERROR(BH201/BH179,""),"")</f>
        <v>0.350265352539803</v>
      </c>
      <c r="BI284" s="215">
        <f>IF(AND(ISNUMBER(BI201),ISNUMBER(BI179)),IFERROR(BI201/BI179,""),"")</f>
        <v>0.311392117087228</v>
      </c>
      <c r="BJ284" s="215">
        <f>IF(AND(ISNUMBER(BJ201),ISNUMBER(BJ179)),IFERROR(BJ201/BJ179,""),"")</f>
        <v>0.346198232968197</v>
      </c>
      <c r="BK284" s="215">
        <f>IF(AND(ISNUMBER(BK201),ISNUMBER(BK179)),IFERROR(BK201/BK179,""),"")</f>
        <v>0.357383117692075</v>
      </c>
      <c r="BL284" s="215">
        <f>IF(AND(ISNUMBER(BL201),ISNUMBER(BL179)),IFERROR(BL201/BL179,""),"")</f>
        <v>0.341462378783946</v>
      </c>
      <c r="BM284" s="215">
        <f>IF(AND(ISNUMBER(BM201),ISNUMBER(BM179)),IFERROR(BM201/BM179,""),"")</f>
        <v>0.394412300723676</v>
      </c>
      <c r="BN284" s="215">
        <f>IF(AND(ISNUMBER(BN201),ISNUMBER(BN179)),IFERROR(BN201/BN179,""),"")</f>
        <v>0.352628184456627</v>
      </c>
      <c r="BO284" s="215">
        <f>IF(AND(ISNUMBER(BO201),ISNUMBER(BO179)),IFERROR(BO201/BO179,""),"")</f>
        <v>0.354667140871027</v>
      </c>
      <c r="BP284" s="215">
        <f>IF(AND(ISNUMBER(BP201),ISNUMBER(BP179)),IFERROR(BP201/BP179,""),"")</f>
        <v>0.340445254685062</v>
      </c>
      <c r="BQ284" s="215">
        <f>IF(AND(ISNUMBER(BQ201),ISNUMBER(BQ179)),IFERROR(BQ201/BQ179,""),"")</f>
        <v>0.35955972944085</v>
      </c>
      <c r="BR284" s="215">
        <f>IF(AND(ISNUMBER(BR201),ISNUMBER(BR179)),IFERROR(BR201/BR179,""),"")</f>
        <v>0.376107341617748</v>
      </c>
      <c r="BS284" s="215">
        <f>IF(AND(ISNUMBER(BS201),ISNUMBER(BS179)),IFERROR(BS201/BS179,""),"")</f>
        <v>0.346220128676471</v>
      </c>
      <c r="BT284" s="215">
        <f>IF(AND(ISNUMBER(BT201),ISNUMBER(BT179)),IFERROR(BT201/BT179,""),"")</f>
        <v>0.368566779893244</v>
      </c>
      <c r="BU284" s="215">
        <f>IF(AND(ISNUMBER(BU201),ISNUMBER(BU179)),IFERROR(BU201/BU179,""),"")</f>
        <v>0.356261692023914</v>
      </c>
      <c r="BV284" s="215">
        <f>IF(AND(ISNUMBER(BV201),ISNUMBER(BV179)),IFERROR(BV201/BV179,""),"")</f>
        <v>0.361460152489671</v>
      </c>
      <c r="BW284" s="215">
        <f>IF(AND(ISNUMBER(BW201),ISNUMBER(BW179)),IFERROR(BW201/BW179,""),"")</f>
        <v>0.357228380518327</v>
      </c>
      <c r="BX284" s="215">
        <f>IF(AND(ISNUMBER(BX201),ISNUMBER(BX179)),IFERROR(BX201/BX179,""),"")</f>
        <v>0.473195280105324</v>
      </c>
      <c r="BY284" s="215">
        <f>IF(AND(ISNUMBER(BY201),ISNUMBER(BY179)),IFERROR(BY201/BY179,""),"")</f>
        <v>0.383394059310378</v>
      </c>
      <c r="BZ284" s="215">
        <f>IF(AND(ISNUMBER(BZ201),ISNUMBER(BZ179)),IFERROR(BZ201/BZ179,""),"")</f>
        <v>0.397369093514949</v>
      </c>
      <c r="CA284" s="215">
        <f>IF(AND(ISNUMBER(CA201),ISNUMBER(CA179)),IFERROR(CA201/CA179,""),"")</f>
        <v>0.403053890591522</v>
      </c>
      <c r="CB284" s="256">
        <f>IF(AND(ISNUMBER(CB201),ISNUMBER(CB179)),IFERROR(CB201/CB179,""),"")</f>
        <v>0.38716814159292</v>
      </c>
      <c r="CC284" s="256">
        <f>IF(AND(ISNUMBER(CC201),ISNUMBER(CC179)),IFERROR(CC201/CC179,""),"")</f>
        <v>0.373325542536874</v>
      </c>
      <c r="CD284" s="256">
        <f>IF(AND(ISNUMBER(CD201),ISNUMBER(CD179)),IFERROR(CD201/CD179,""),"")</f>
        <v>0.366113056666628</v>
      </c>
      <c r="CE284" s="256">
        <f>IF(AND(ISNUMBER(CE201),ISNUMBER(CE179)),IFERROR(CE201/CE179,""),"")</f>
        <v>0.357027410033023</v>
      </c>
      <c r="CF284" s="256">
        <f>IF(AND(ISNUMBER(CF201),ISNUMBER(CF179)),IFERROR(CF201/CF179,""),"")</f>
        <v>0.370277214130183</v>
      </c>
      <c r="CG284" s="256">
        <f>IF(AND(ISNUMBER(CG201),ISNUMBER(CG179)),IFERROR(CG201/CG179,""),"")</f>
        <v>0.356450806659462</v>
      </c>
      <c r="CH284" s="256">
        <f>IF(AND(ISNUMBER(CH201),ISNUMBER(CH179)),IFERROR(CH201/CH179,""),"")</f>
        <v>0.353178304067333</v>
      </c>
      <c r="CI284" s="256">
        <f>IF(AND(ISNUMBER(CI201),ISNUMBER(CI179)),IFERROR(CI201/CI179,""),"")</f>
        <v>0.357544392587838</v>
      </c>
      <c r="CJ284" s="256">
        <f>IF(AND(ISNUMBER(CJ201),ISNUMBER(CJ179)),IFERROR(CJ201/CJ179,""),"")</f>
        <v>0.36186285026287</v>
      </c>
      <c r="CK284" s="153" t="n"/>
      <c r="CM284" s="37">
        <f>IFERROR(AVERAGE(CF284,CG284,CH284,CI284,CJ284),"n/m")</f>
        <v>0.359862713541537</v>
      </c>
      <c r="CN284" s="37">
        <f>IFERROR(AVERAGE(BG284,BL284,BQ284,BV284,CA284),"n/m")</f>
        <v>0.36647990388807</v>
      </c>
      <c r="CO284" s="37">
        <f>IFERROR(AVERAGE(AH284,AM284,AR284,AW284,BB284,BG284,BL284,BQ284,BV284,CA284),"n/m")</f>
        <v>0.320424388802053</v>
      </c>
      <c r="CP284" s="37">
        <f>IFERROR(AVERAGE(C284,D284,E284,F284,G284,H284,I284,N284,S284,X284,AC284,AH284,AM284,AR284,AW284,BB284,BG284,BL284,BQ284,BV284,CA284),"n/m")</f>
        <v>0.28712269706722</v>
      </c>
    </row>
    <row r="285" ht="15" customHeight="1" s="251">
      <c r="B285" s="25" t="inlineStr">
        <is>
          <t xml:space="preserve">  R&amp;D % of revenue</t>
        </is>
      </c>
      <c r="C285" s="215">
        <f>IF(AND(ISNUMBER(C185),ISNUMBER(C179)),IFERROR(C185/C179,""),"")</f>
        <v>0.148683437965765</v>
      </c>
      <c r="D285" s="215">
        <f>IF(AND(ISNUMBER(D185),ISNUMBER(D179)),IFERROR(D185/D179,""),"")</f>
        <v>0.139294237314659</v>
      </c>
      <c r="E285" s="215">
        <f>IF(AND(ISNUMBER(E185),ISNUMBER(E179)),IFERROR(E185/E179,""),"")</f>
        <v>0.135120820920225</v>
      </c>
      <c r="F285" s="215">
        <f>IF(AND(ISNUMBER(F185),ISNUMBER(F179)),IFERROR(F185/F179,""),"")</f>
        <v>0.154183137395828</v>
      </c>
      <c r="G285" s="215">
        <f>IF(AND(ISNUMBER(G185),ISNUMBER(G179)),IFERROR(G185/G179,""),"")</f>
        <v>0.139459701683631</v>
      </c>
      <c r="H285" s="215">
        <f>IF(AND(ISNUMBER(H185),ISNUMBER(H179)),IFERROR(H185/H179,""),"")</f>
        <v>0.129290994095192</v>
      </c>
      <c r="I285" s="215">
        <f>IF(AND(ISNUMBER(I185),ISNUMBER(I179)),IFERROR(I185/I179,""),"")</f>
        <v>0.133079229005873</v>
      </c>
      <c r="J285" s="215">
        <f>IF(AND(ISNUMBER(J185),ISNUMBER(J179)),IFERROR(J185/J179,""),"")</f>
        <v>0.153673163418291</v>
      </c>
      <c r="K285" s="215">
        <f>IF(AND(ISNUMBER(K185),ISNUMBER(K179)),IFERROR(K185/K179,""),"")</f>
        <v>0.117822520507084</v>
      </c>
      <c r="L285" s="215">
        <f>IF(AND(ISNUMBER(L185),ISNUMBER(L179)),IFERROR(L185/L179,""),"")</f>
        <v>0.128849626628923</v>
      </c>
      <c r="M285" s="215">
        <f>IF(AND(ISNUMBER(M185),ISNUMBER(M179)),IFERROR(M185/M179,""),"")</f>
        <v>0.139877362283876</v>
      </c>
      <c r="N285" s="215">
        <f>IF(AND(ISNUMBER(N185),ISNUMBER(N179)),IFERROR(N185/N179,""),"")</f>
        <v>0.133733252835618</v>
      </c>
      <c r="O285" s="215">
        <f>IF(AND(ISNUMBER(O185),ISNUMBER(O179)),IFERROR(O185/O179,""),"")</f>
        <v>0.149333477251875</v>
      </c>
      <c r="P285" s="215">
        <f>IF(AND(ISNUMBER(P185),ISNUMBER(P179)),IFERROR(P185/P179,""),"")</f>
        <v>0.112076348953873</v>
      </c>
      <c r="Q285" s="215">
        <f>IF(AND(ISNUMBER(Q185),ISNUMBER(Q179)),IFERROR(Q185/Q179,""),"")</f>
        <v>0.134441013576435</v>
      </c>
      <c r="R285" s="215">
        <f>IF(AND(ISNUMBER(R185),ISNUMBER(R179)),IFERROR(R185/R179,""),"")</f>
        <v>0.13356428021555</v>
      </c>
      <c r="S285" s="215">
        <f>IF(AND(ISNUMBER(S185),ISNUMBER(S179)),IFERROR(S185/S179,""),"")</f>
        <v>0.131067681641772</v>
      </c>
      <c r="T285" s="215">
        <f>IF(AND(ISNUMBER(T185),ISNUMBER(T179)),IFERROR(T185/T179,""),"")</f>
        <v>0.132106374725227</v>
      </c>
      <c r="U285" s="215">
        <f>IF(AND(ISNUMBER(U185),ISNUMBER(U179)),IFERROR(U185/U179,""),"")</f>
        <v>0.109671326029467</v>
      </c>
      <c r="V285" s="215">
        <f>IF(AND(ISNUMBER(V185),ISNUMBER(V179)),IFERROR(V185/V179,""),"")</f>
        <v>0.137327994845598</v>
      </c>
      <c r="W285" s="215">
        <f>IF(AND(ISNUMBER(W185),ISNUMBER(W179)),IFERROR(W185/W179,""),"")</f>
        <v>0.139495040577097</v>
      </c>
      <c r="X285" s="215">
        <f>IF(AND(ISNUMBER(X185),ISNUMBER(X179)),IFERROR(X185/X179,""),"")</f>
        <v>0.128724086343236</v>
      </c>
      <c r="Y285" s="215">
        <f>IF(AND(ISNUMBER(Y185),ISNUMBER(Y179)),IFERROR(Y185/Y179,""),"")</f>
        <v>0.145345699003877</v>
      </c>
      <c r="Z285" s="215">
        <f>IF(AND(ISNUMBER(Z185),ISNUMBER(Z179)),IFERROR(Z185/Z179,""),"")</f>
        <v>0.121869221717936</v>
      </c>
      <c r="AA285" s="215">
        <f>IF(AND(ISNUMBER(AA185),ISNUMBER(AA179)),IFERROR(AA185/AA179,""),"")</f>
        <v>0.145146364034874</v>
      </c>
      <c r="AB285" s="215">
        <f>IF(AND(ISNUMBER(AB185),ISNUMBER(AB179)),IFERROR(AB185/AB179,""),"")</f>
        <v>0.152614727854856</v>
      </c>
      <c r="AC285" s="215">
        <f>IF(AND(ISNUMBER(AC185),ISNUMBER(AC179)),IFERROR(AC185/AC179,""),"")</f>
        <v>0.140506329113924</v>
      </c>
      <c r="AD285" s="215">
        <f>IF(AND(ISNUMBER(AD185),ISNUMBER(AD179)),IFERROR(AD185/AD179,""),"")</f>
        <v>0.151860362782966</v>
      </c>
      <c r="AE285" s="215">
        <f>IF(AND(ISNUMBER(AE185),ISNUMBER(AE179)),IFERROR(AE185/AE179,""),"")</f>
        <v>0.127106683271067</v>
      </c>
      <c r="AF285" s="215">
        <f>IF(AND(ISNUMBER(AF185),ISNUMBER(AF179)),IFERROR(AF185/AF179,""),"")</f>
        <v>0.151878678134903</v>
      </c>
      <c r="AG285" s="215">
        <f>IF(AND(ISNUMBER(AG185),ISNUMBER(AG179)),IFERROR(AG185/AG179,""),"")</f>
        <v>0.150705493845692</v>
      </c>
      <c r="AH285" s="215">
        <f>IF(AND(ISNUMBER(AH185),ISNUMBER(AH179)),IFERROR(AH185/AH179,""),"")</f>
        <v>0.144936075597554</v>
      </c>
      <c r="AI285" s="215">
        <f>IF(AND(ISNUMBER(AI185),ISNUMBER(AI179)),IFERROR(AI185/AI179,""),"")</f>
        <v>0.14565164235064</v>
      </c>
      <c r="AJ285" s="215">
        <f>IF(AND(ISNUMBER(AJ185),ISNUMBER(AJ179)),IFERROR(AJ185/AJ179,""),"")</f>
        <v>0.121170205408396</v>
      </c>
      <c r="AK285" s="215">
        <f>IF(AND(ISNUMBER(AK185),ISNUMBER(AK179)),IFERROR(AK185/AK179,""),"")</f>
        <v>0.138521197658377</v>
      </c>
      <c r="AL285" s="215">
        <f>IF(AND(ISNUMBER(AL185),ISNUMBER(AL179)),IFERROR(AL185/AL179,""),"")</f>
        <v>0.130729599468174</v>
      </c>
      <c r="AM285" s="215">
        <f>IF(AND(ISNUMBER(AM185),ISNUMBER(AM179)),IFERROR(AM185/AM179,""),"")</f>
        <v>0.133436027546212</v>
      </c>
      <c r="AN285" s="215">
        <f>IF(AND(ISNUMBER(AN185),ISNUMBER(AN179)),IFERROR(AN185/AN179,""),"")</f>
        <v>0.136741851189658</v>
      </c>
      <c r="AO285" s="215">
        <f>IF(AND(ISNUMBER(AO185),ISNUMBER(AO179)),IFERROR(AO185/AO179,""),"")</f>
        <v>0.125342613408888</v>
      </c>
      <c r="AP285" s="215">
        <f>IF(AND(ISNUMBER(AP185),ISNUMBER(AP179)),IFERROR(AP185/AP179,""),"")</f>
        <v>0.141179549246017</v>
      </c>
      <c r="AQ285" s="215">
        <f>IF(AND(ISNUMBER(AQ185),ISNUMBER(AQ179)),IFERROR(AQ185/AQ179,""),"")</f>
        <v>0.133849393481033</v>
      </c>
      <c r="AR285" s="215">
        <f>IF(AND(ISNUMBER(AR185),ISNUMBER(AR179)),IFERROR(AR185/AR179,""),"")</f>
        <v>0.134103605285952</v>
      </c>
      <c r="AS285" s="215">
        <f>IF(AND(ISNUMBER(AS185),ISNUMBER(AS179)),IFERROR(AS185/AS179,""),"")</f>
        <v>0.138103161397671</v>
      </c>
      <c r="AT285" s="215">
        <f>IF(AND(ISNUMBER(AT185),ISNUMBER(AT179)),IFERROR(AT185/AT179,""),"")</f>
        <v>0.124722267381998</v>
      </c>
      <c r="AU285" s="215">
        <f>IF(AND(ISNUMBER(AU185),ISNUMBER(AU179)),IFERROR(AU185/AU179,""),"")</f>
        <v>0.139544844521858</v>
      </c>
      <c r="AV285" s="215">
        <f>IF(AND(ISNUMBER(AV185),ISNUMBER(AV179)),IFERROR(AV185/AV179,""),"")</f>
        <v>0.137091473194331</v>
      </c>
      <c r="AW285" s="215">
        <f>IF(AND(ISNUMBER(AW185),ISNUMBER(AW179)),IFERROR(AW185/AW179,""),"")</f>
        <v>0.134734118798727</v>
      </c>
      <c r="AX285" s="215">
        <f>IF(AND(ISNUMBER(AX185),ISNUMBER(AX179)),IFERROR(AX185/AX179,""),"")</f>
        <v>0.132583301932497</v>
      </c>
      <c r="AY285" s="215">
        <f>IF(AND(ISNUMBER(AY185),ISNUMBER(AY179)),IFERROR(AY185/AY179,""),"")</f>
        <v>0.113729222769059</v>
      </c>
      <c r="AZ285" s="215">
        <f>IF(AND(ISNUMBER(AZ185),ISNUMBER(AZ179)),IFERROR(AZ185/AZ179,""),"")</f>
        <v>0.124778209370354</v>
      </c>
      <c r="BA285" s="215">
        <f>IF(AND(ISNUMBER(BA185),ISNUMBER(BA179)),IFERROR(BA185/BA179,""),"")</f>
        <v>0.123223262263824</v>
      </c>
      <c r="BB285" s="215">
        <f>IF(AND(ISNUMBER(BB185),ISNUMBER(BB179)),IFERROR(BB185/BB179,""),"")</f>
        <v>0.123244966922088</v>
      </c>
      <c r="BC285" s="215">
        <f>IF(AND(ISNUMBER(BC185),ISNUMBER(BC179)),IFERROR(BC185/BC179,""),"")</f>
        <v>0.123551867952424</v>
      </c>
      <c r="BD285" s="215">
        <f>IF(AND(ISNUMBER(BD185),ISNUMBER(BD179)),IFERROR(BD185/BD179,""),"")</f>
        <v>0.111313021961027</v>
      </c>
      <c r="BE285" s="215">
        <f>IF(AND(ISNUMBER(BE185),ISNUMBER(BE179)),IFERROR(BE185/BE179,""),"")</f>
        <v>0.127755267423015</v>
      </c>
      <c r="BF285" s="215">
        <f>IF(AND(ISNUMBER(BF185),ISNUMBER(BF179)),IFERROR(BF185/BF179,""),"")</f>
        <v>0.132054371927118</v>
      </c>
      <c r="BG285" s="215">
        <f>IF(AND(ISNUMBER(BG185),ISNUMBER(BG179)),IFERROR(BG185/BG179,""),"")</f>
        <v>0.123629394260352</v>
      </c>
      <c r="BH285" s="215">
        <f>IF(AND(ISNUMBER(BH185),ISNUMBER(BH179)),IFERROR(BH185/BH179,""),"")</f>
        <v>0.132237340888233</v>
      </c>
      <c r="BI285" s="215">
        <f>IF(AND(ISNUMBER(BI185),ISNUMBER(BI179)),IFERROR(BI185/BI179,""),"")</f>
        <v>0.129751455059056</v>
      </c>
      <c r="BJ285" s="215">
        <f>IF(AND(ISNUMBER(BJ185),ISNUMBER(BJ179)),IFERROR(BJ185/BJ179,""),"")</f>
        <v>0.132130086838073</v>
      </c>
      <c r="BK285" s="215">
        <f>IF(AND(ISNUMBER(BK185),ISNUMBER(BK179)),IFERROR(BK185/BK179,""),"")</f>
        <v>0.119934506753991</v>
      </c>
      <c r="BL285" s="215">
        <f>IF(AND(ISNUMBER(BL185),ISNUMBER(BL179)),IFERROR(BL185/BL179,""),"")</f>
        <v>0.128329754854541</v>
      </c>
      <c r="BM285" s="215">
        <f>IF(AND(ISNUMBER(BM185),ISNUMBER(BM179)),IFERROR(BM185/BM179,""),"")</f>
        <v>0.117822955924766</v>
      </c>
      <c r="BN285" s="215">
        <f>IF(AND(ISNUMBER(BN185),ISNUMBER(BN179)),IFERROR(BN185/BN179,""),"")</f>
        <v>0.115156401160916</v>
      </c>
      <c r="BO285" s="215">
        <f>IF(AND(ISNUMBER(BO185),ISNUMBER(BO179)),IFERROR(BO185/BO179,""),"")</f>
        <v>0.123718839923696</v>
      </c>
      <c r="BP285" s="215">
        <f>IF(AND(ISNUMBER(BP185),ISNUMBER(BP179)),IFERROR(BP185/BP179,""),"")</f>
        <v>0.124461198572466</v>
      </c>
      <c r="BQ285" s="215">
        <f>IF(AND(ISNUMBER(BQ185),ISNUMBER(BQ179)),IFERROR(BQ185/BQ179,""),"")</f>
        <v>0.120389030768352</v>
      </c>
      <c r="BR285" s="215">
        <f>IF(AND(ISNUMBER(BR185),ISNUMBER(BR179)),IFERROR(BR185/BR179,""),"")</f>
        <v>0.115026301745826</v>
      </c>
      <c r="BS285" s="215">
        <f>IF(AND(ISNUMBER(BS185),ISNUMBER(BS179)),IFERROR(BS185/BS179,""),"")</f>
        <v>0.113697725183824</v>
      </c>
      <c r="BT285" s="215">
        <f>IF(AND(ISNUMBER(BT185),ISNUMBER(BT179)),IFERROR(BT185/BT179,""),"")</f>
        <v>0.117003967687609</v>
      </c>
      <c r="BU285" s="215">
        <f>IF(AND(ISNUMBER(BU185),ISNUMBER(BU179)),IFERROR(BU185/BU179,""),"")</f>
        <v>0.11550084378802</v>
      </c>
      <c r="BV285" s="215">
        <f>IF(AND(ISNUMBER(BV185),ISNUMBER(BV179)),IFERROR(BV185/BV179,""),"")</f>
        <v>0.115318538711647</v>
      </c>
      <c r="BW285" s="215">
        <f>IF(AND(ISNUMBER(BW185),ISNUMBER(BW179)),IFERROR(BW185/BW179,""),"")</f>
        <v>0.104875568086723</v>
      </c>
      <c r="BX285" s="215">
        <f>IF(AND(ISNUMBER(BX185),ISNUMBER(BX179)),IFERROR(BX185/BX179,""),"")</f>
        <v>0.104634995632006</v>
      </c>
      <c r="BY285" s="215">
        <f>IF(AND(ISNUMBER(BY185),ISNUMBER(BY179)),IFERROR(BY185/BY179,""),"")</f>
        <v>0.107557367951162</v>
      </c>
      <c r="BZ285" s="215">
        <f>IF(AND(ISNUMBER(BZ185),ISNUMBER(BZ179)),IFERROR(BZ185/BZ179,""),"")</f>
        <v>0.111069139066961</v>
      </c>
      <c r="CA285" s="215">
        <f>IF(AND(ISNUMBER(CA185),ISNUMBER(CA179)),IFERROR(CA185/CA179,""),"")</f>
        <v>0.107166427092656</v>
      </c>
      <c r="CB285" s="256">
        <f>IF(AND(ISNUMBER(CB185),ISNUMBER(CB179)),IFERROR(CB185/CB179,""),"")</f>
        <v>0.0969024148352222</v>
      </c>
      <c r="CC285" s="256">
        <f>IF(AND(ISNUMBER(CC185),ISNUMBER(CC179)),IFERROR(CC185/CC179,""),"")</f>
        <v>0.0964508642084833</v>
      </c>
      <c r="CD285" s="256">
        <f>IF(AND(ISNUMBER(CD185),ISNUMBER(CD179)),IFERROR(CD185/CD179,""),"")</f>
        <v>0.0983453955550304</v>
      </c>
      <c r="CE285" s="256">
        <f>IF(AND(ISNUMBER(CE185),ISNUMBER(CE179)),IFERROR(CE185/CE179,""),"")</f>
        <v>0.101020161160107</v>
      </c>
      <c r="CF285" s="256">
        <f>IF(AND(ISNUMBER(CF185),ISNUMBER(CF179)),IFERROR(CF185/CF179,""),"")</f>
        <v>0.0982800466703888</v>
      </c>
      <c r="CG285" s="256">
        <f>IF(AND(ISNUMBER(CG185),ISNUMBER(CG179)),IFERROR(CG185/CG179,""),"")</f>
        <v>0.105</v>
      </c>
      <c r="CH285" s="256">
        <f>IF(AND(ISNUMBER(CH185),ISNUMBER(CH179)),IFERROR(CH185/CH179,""),"")</f>
        <v>0.105</v>
      </c>
      <c r="CI285" s="256">
        <f>IF(AND(ISNUMBER(CI185),ISNUMBER(CI179)),IFERROR(CI185/CI179,""),"")</f>
        <v>0.105</v>
      </c>
      <c r="CJ285" s="256">
        <f>IF(AND(ISNUMBER(CJ185),ISNUMBER(CJ179)),IFERROR(CJ185/CJ179,""),"")</f>
        <v>0.105</v>
      </c>
      <c r="CK285" s="153" t="n"/>
      <c r="CM285" s="37">
        <f>IFERROR(AVERAGE(CF285,CG285,CH285,CI285,CJ285),"n/m")</f>
        <v>0.103656009334078</v>
      </c>
      <c r="CN285" s="37">
        <f>IFERROR(AVERAGE(BG285,BL285,BQ285,BV285,CA285),"n/m")</f>
        <v>0.11896662913751</v>
      </c>
      <c r="CO285" s="37">
        <f>IFERROR(AVERAGE(AH285,AM285,AR285,AW285,BB285,BG285,BL285,BQ285,BV285,CA285),"n/m")</f>
        <v>0.126528793983808</v>
      </c>
      <c r="CP285" s="37">
        <f>IFERROR(AVERAGE(C285,D285,E285,F285,G285,H285,I285,N285,S285,X285,AC285,AH285,AM285,AR285,AW285,BB285,BG285,BL285,BQ285,BV285,CA285),"n/m")</f>
        <v>0.132306230864467</v>
      </c>
    </row>
    <row r="286" ht="15" customHeight="1" s="251">
      <c r="B286" s="25" t="inlineStr">
        <is>
          <t xml:space="preserve">  Sales &amp; marketing % of revenue</t>
        </is>
      </c>
      <c r="C286" s="215">
        <f>IF(AND(ISNUMBER(C186),ISNUMBER(C179)),IFERROR(C186/C179,""),"")</f>
        <v>0.221715369676166</v>
      </c>
      <c r="D286" s="215">
        <f>IF(AND(ISNUMBER(D186),ISNUMBER(D179)),IFERROR(D186/D179,""),"")</f>
        <v>0.224071828175736</v>
      </c>
      <c r="E286" s="215">
        <f>IF(AND(ISNUMBER(E186),ISNUMBER(E179)),IFERROR(E186/E179,""),"")</f>
        <v>0.2158060244952</v>
      </c>
      <c r="F286" s="215">
        <f>IF(AND(ISNUMBER(F186),ISNUMBER(F179)),IFERROR(F186/F179,""),"")</f>
        <v>0.22039119051286</v>
      </c>
      <c r="G286" s="215">
        <f>IF(AND(ISNUMBER(G186),ISNUMBER(G179)),IFERROR(G186/G179,""),"")</f>
        <v>0.211478138403431</v>
      </c>
      <c r="H286" s="215">
        <f>IF(AND(ISNUMBER(H186),ISNUMBER(H179)),IFERROR(H186/H179,""),"")</f>
        <v>0.199305148478046</v>
      </c>
      <c r="I286" s="215">
        <f>IF(AND(ISNUMBER(I186),ISNUMBER(I179)),IFERROR(I186/I179,""),"")</f>
        <v>0.187960338022056</v>
      </c>
      <c r="J286" s="215">
        <f>IF(AND(ISNUMBER(J186),ISNUMBER(J179)),IFERROR(J186/J179,""),"")</f>
        <v>0.183970514742629</v>
      </c>
      <c r="K286" s="215">
        <f>IF(AND(ISNUMBER(K186),ISNUMBER(K179)),IFERROR(K186/K179,""),"")</f>
        <v>0.200829604772558</v>
      </c>
      <c r="L286" s="215">
        <f>IF(AND(ISNUMBER(L186),ISNUMBER(L179)),IFERROR(L186/L179,""),"")</f>
        <v>0.185172531602323</v>
      </c>
      <c r="M286" s="215">
        <f>IF(AND(ISNUMBER(M186),ISNUMBER(M179)),IFERROR(M186/M179,""),"")</f>
        <v>0.212505026135907</v>
      </c>
      <c r="N286" s="215">
        <f>IF(AND(ISNUMBER(N186),ISNUMBER(N179)),IFERROR(N186/N179,""),"")</f>
        <v>0.196226027309278</v>
      </c>
      <c r="O286" s="215">
        <f>IF(AND(ISNUMBER(O186),ISNUMBER(O179)),IFERROR(O186/O179,""),"")</f>
        <v>0.178315073668304</v>
      </c>
      <c r="P286" s="215">
        <f>IF(AND(ISNUMBER(P186),ISNUMBER(P179)),IFERROR(P186/P179,""),"")</f>
        <v>0.174680859741425</v>
      </c>
      <c r="Q286" s="215">
        <f>IF(AND(ISNUMBER(Q186),ISNUMBER(Q179)),IFERROR(Q186/Q179,""),"")</f>
        <v>0.173601921286085</v>
      </c>
      <c r="R286" s="215">
        <f>IF(AND(ISNUMBER(R186),ISNUMBER(R179)),IFERROR(R186/R179,""),"")</f>
        <v>0.200239500470447</v>
      </c>
      <c r="S286" s="215">
        <f>IF(AND(ISNUMBER(S186),ISNUMBER(S179)),IFERROR(S186/S179,""),"")</f>
        <v>0.182085151958357</v>
      </c>
      <c r="T286" s="215">
        <f>IF(AND(ISNUMBER(T186),ISNUMBER(T179)),IFERROR(T186/T179,""),"")</f>
        <v>0.160682729192707</v>
      </c>
      <c r="U286" s="215">
        <f>IF(AND(ISNUMBER(U186),ISNUMBER(U179)),IFERROR(U186/U179,""),"")</f>
        <v>0.163014733660748</v>
      </c>
      <c r="V286" s="215">
        <f>IF(AND(ISNUMBER(V186),ISNUMBER(V179)),IFERROR(V186/V179,""),"")</f>
        <v>0.170693543191127</v>
      </c>
      <c r="W286" s="215">
        <f>IF(AND(ISNUMBER(W186),ISNUMBER(W179)),IFERROR(W186/W179,""),"")</f>
        <v>0.17858431018936</v>
      </c>
      <c r="X286" s="215">
        <f>IF(AND(ISNUMBER(X186),ISNUMBER(X179)),IFERROR(X186/X179,""),"")</f>
        <v>0.167909809788416</v>
      </c>
      <c r="Y286" s="215">
        <f>IF(AND(ISNUMBER(Y186),ISNUMBER(Y179)),IFERROR(Y186/Y179,""),"")</f>
        <v>0.163550713970264</v>
      </c>
      <c r="Z286" s="215">
        <f>IF(AND(ISNUMBER(Z186),ISNUMBER(Z179)),IFERROR(Z186/Z179,""),"")</f>
        <v>0.166414523449319</v>
      </c>
      <c r="AA286" s="215">
        <f>IF(AND(ISNUMBER(AA186),ISNUMBER(AA179)),IFERROR(AA186/AA179,""),"")</f>
        <v>0.165895475135161</v>
      </c>
      <c r="AB286" s="215">
        <f>IF(AND(ISNUMBER(AB186),ISNUMBER(AB179)),IFERROR(AB186/AB179,""),"")</f>
        <v>0.19394586203551</v>
      </c>
      <c r="AC286" s="215">
        <f>IF(AND(ISNUMBER(AC186),ISNUMBER(AC179)),IFERROR(AC186/AC179,""),"")</f>
        <v>0.172257383966245</v>
      </c>
      <c r="AD286" s="215">
        <f>IF(AND(ISNUMBER(AD186),ISNUMBER(AD179)),IFERROR(AD186/AD179,""),"")</f>
        <v>0.158069720823351</v>
      </c>
      <c r="AE286" s="215">
        <f>IF(AND(ISNUMBER(AE186),ISNUMBER(AE179)),IFERROR(AE186/AE179,""),"")</f>
        <v>0.168991282689913</v>
      </c>
      <c r="AF286" s="215">
        <f>IF(AND(ISNUMBER(AF186),ISNUMBER(AF179)),IFERROR(AF186/AF179,""),"")</f>
        <v>0.175599818922589</v>
      </c>
      <c r="AG286" s="215">
        <f>IF(AND(ISNUMBER(AG186),ISNUMBER(AG179)),IFERROR(AG186/AG179,""),"")</f>
        <v>0.186816485825792</v>
      </c>
      <c r="AH286" s="215">
        <f>IF(AND(ISNUMBER(AH186),ISNUMBER(AH179)),IFERROR(AH186/AH179,""),"")</f>
        <v>0.172751528627015</v>
      </c>
      <c r="AI286" s="215">
        <f>IF(AND(ISNUMBER(AI186),ISNUMBER(AI179)),IFERROR(AI186/AI179,""),"")</f>
        <v>0.155350884342652</v>
      </c>
      <c r="AJ286" s="215">
        <f>IF(AND(ISNUMBER(AJ186),ISNUMBER(AJ179)),IFERROR(AJ186/AJ179,""),"")</f>
        <v>0.157756414689813</v>
      </c>
      <c r="AK286" s="215">
        <f>IF(AND(ISNUMBER(AK186),ISNUMBER(AK179)),IFERROR(AK186/AK179,""),"")</f>
        <v>0.161639136433126</v>
      </c>
      <c r="AL286" s="215">
        <f>IF(AND(ISNUMBER(AL186),ISNUMBER(AL179)),IFERROR(AL186/AL179,""),"")</f>
        <v>0.158218381253116</v>
      </c>
      <c r="AM286" s="215">
        <f>IF(AND(ISNUMBER(AM186),ISNUMBER(AM179)),IFERROR(AM186/AM179,""),"")</f>
        <v>0.158291047480971</v>
      </c>
      <c r="AN286" s="215">
        <f>IF(AND(ISNUMBER(AN186),ISNUMBER(AN179)),IFERROR(AN186/AN179,""),"")</f>
        <v>0.140902214275891</v>
      </c>
      <c r="AO286" s="215">
        <f>IF(AND(ISNUMBER(AO186),ISNUMBER(AO179)),IFERROR(AO186/AO179,""),"")</f>
        <v>0.141295309660928</v>
      </c>
      <c r="AP286" s="215">
        <f>IF(AND(ISNUMBER(AP186),ISNUMBER(AP179)),IFERROR(AP186/AP179,""),"")</f>
        <v>0.14932452324098</v>
      </c>
      <c r="AQ286" s="215">
        <f>IF(AND(ISNUMBER(AQ186),ISNUMBER(AQ179)),IFERROR(AQ186/AQ179,""),"")</f>
        <v>0.147166117982027</v>
      </c>
      <c r="AR286" s="215">
        <f>IF(AND(ISNUMBER(AR186),ISNUMBER(AR179)),IFERROR(AR186/AR179,""),"")</f>
        <v>0.144727954673681</v>
      </c>
      <c r="AS286" s="215">
        <f>IF(AND(ISNUMBER(AS186),ISNUMBER(AS179)),IFERROR(AS186/AS179,""),"")</f>
        <v>0.131205566480109</v>
      </c>
      <c r="AT286" s="215">
        <f>IF(AND(ISNUMBER(AT186),ISNUMBER(AT179)),IFERROR(AT186/AT179,""),"")</f>
        <v>0.133663902888419</v>
      </c>
      <c r="AU286" s="215">
        <f>IF(AND(ISNUMBER(AU186),ISNUMBER(AU179)),IFERROR(AU186/AU179,""),"")</f>
        <v>0.14023014762571</v>
      </c>
      <c r="AV286" s="215">
        <f>IF(AND(ISNUMBER(AV186),ISNUMBER(AV179)),IFERROR(AV186/AV179,""),"")</f>
        <v>0.142428943286094</v>
      </c>
      <c r="AW286" s="215">
        <f>IF(AND(ISNUMBER(AW186),ISNUMBER(AW179)),IFERROR(AW186/AW179,""),"")</f>
        <v>0.137034576792644</v>
      </c>
      <c r="AX286" s="215">
        <f>IF(AND(ISNUMBER(AX186),ISNUMBER(AX179)),IFERROR(AX186/AX179,""),"")</f>
        <v>0.113877375248964</v>
      </c>
      <c r="AY286" s="215">
        <f>IF(AND(ISNUMBER(AY186),ISNUMBER(AY179)),IFERROR(AY186/AY179,""),"")</f>
        <v>0.114843532361408</v>
      </c>
      <c r="AZ286" s="215">
        <f>IF(AND(ISNUMBER(AZ186),ISNUMBER(AZ179)),IFERROR(AZ186/AZ179,""),"")</f>
        <v>0.121852970795569</v>
      </c>
      <c r="BA286" s="215">
        <f>IF(AND(ISNUMBER(BA186),ISNUMBER(BA179)),IFERROR(BA186/BA179,""),"")</f>
        <v>0.126906742936384</v>
      </c>
      <c r="BB286" s="215">
        <f>IF(AND(ISNUMBER(BB186),ISNUMBER(BB179)),IFERROR(BB186/BB179,""),"")</f>
        <v>0.119681357384227</v>
      </c>
      <c r="BC286" s="215">
        <f>IF(AND(ISNUMBER(BC186),ISNUMBER(BC179)),IFERROR(BC186/BC179,""),"")</f>
        <v>0.100337621643092</v>
      </c>
      <c r="BD286" s="215">
        <f>IF(AND(ISNUMBER(BD186),ISNUMBER(BD179)),IFERROR(BD186/BD179,""),"")</f>
        <v>0.103986235694401</v>
      </c>
      <c r="BE286" s="215">
        <f>IF(AND(ISNUMBER(BE186),ISNUMBER(BE179)),IFERROR(BE186/BE179,""),"")</f>
        <v>0.113350891410049</v>
      </c>
      <c r="BF286" s="215">
        <f>IF(AND(ISNUMBER(BF186),ISNUMBER(BF179)),IFERROR(BF186/BF179,""),"")</f>
        <v>0.121546322182589</v>
      </c>
      <c r="BG286" s="215">
        <f>IF(AND(ISNUMBER(BG186),ISNUMBER(BG179)),IFERROR(BG186/BG179,""),"")</f>
        <v>0.110077167498865</v>
      </c>
      <c r="BH286" s="215">
        <f>IF(AND(ISNUMBER(BH186),ISNUMBER(BH179)),IFERROR(BH186/BH179,""),"")</f>
        <v>0.102270460077411</v>
      </c>
      <c r="BI286" s="215">
        <f>IF(AND(ISNUMBER(BI186),ISNUMBER(BI179)),IFERROR(BI186/BI179,""),"")</f>
        <v>0.107664890894269</v>
      </c>
      <c r="BJ286" s="215">
        <f>IF(AND(ISNUMBER(BJ186),ISNUMBER(BJ179)),IFERROR(BJ186/BJ179,""),"")</f>
        <v>0.108784077794805</v>
      </c>
      <c r="BK286" s="215">
        <f>IF(AND(ISNUMBER(BK186),ISNUMBER(BK179)),IFERROR(BK186/BK179,""),"")</f>
        <v>0.110413070173877</v>
      </c>
      <c r="BL286" s="215">
        <f>IF(AND(ISNUMBER(BL186),ISNUMBER(BL179)),IFERROR(BL186/BL179,""),"")</f>
        <v>0.107396833636128</v>
      </c>
      <c r="BM286" s="215">
        <f>IF(AND(ISNUMBER(BM186),ISNUMBER(BM179)),IFERROR(BM186/BM179,""),"")</f>
        <v>0.091777695206752</v>
      </c>
      <c r="BN286" s="215">
        <f>IF(AND(ISNUMBER(BN186),ISNUMBER(BN179)),IFERROR(BN186/BN179,""),"")</f>
        <v>0.100709448564979</v>
      </c>
      <c r="BO286" s="215">
        <f>IF(AND(ISNUMBER(BO186),ISNUMBER(BO179)),IFERROR(BO186/BO179,""),"")</f>
        <v>0.100342720424197</v>
      </c>
      <c r="BP286" s="215">
        <f>IF(AND(ISNUMBER(BP186),ISNUMBER(BP179)),IFERROR(BP186/BP179,""),"")</f>
        <v>0.105303814482364</v>
      </c>
      <c r="BQ286" s="215">
        <f>IF(AND(ISNUMBER(BQ186),ISNUMBER(BQ179)),IFERROR(BQ186/BQ179,""),"")</f>
        <v>0.0997707264137858</v>
      </c>
      <c r="BR286" s="215">
        <f>IF(AND(ISNUMBER(BR186),ISNUMBER(BR179)),IFERROR(BR186/BR179,""),"")</f>
        <v>0.0871693222535641</v>
      </c>
      <c r="BS286" s="215">
        <f>IF(AND(ISNUMBER(BS186),ISNUMBER(BS179)),IFERROR(BS186/BS179,""),"")</f>
        <v>0.0924862132352941</v>
      </c>
      <c r="BT286" s="215">
        <f>IF(AND(ISNUMBER(BT186),ISNUMBER(BT179)),IFERROR(BT186/BT179,""),"")</f>
        <v>0.0886592641223989</v>
      </c>
      <c r="BU286" s="215">
        <f>IF(AND(ISNUMBER(BU186),ISNUMBER(BU179)),IFERROR(BU186/BU179,""),"")</f>
        <v>0.0953022592587747</v>
      </c>
      <c r="BV286" s="215">
        <f>IF(AND(ISNUMBER(BV186),ISNUMBER(BV179)),IFERROR(BV186/BV179,""),"")</f>
        <v>0.0910607544973094</v>
      </c>
      <c r="BW286" s="215">
        <f>IF(AND(ISNUMBER(BW186),ISNUMBER(BW179)),IFERROR(BW186/BW179,""),"")</f>
        <v>0.0736034400628275</v>
      </c>
      <c r="BX286" s="215">
        <f>IF(AND(ISNUMBER(BX186),ISNUMBER(BX179)),IFERROR(BX186/BX179,""),"")</f>
        <v>0.0810109138336225</v>
      </c>
      <c r="BY286" s="215">
        <f>IF(AND(ISNUMBER(BY186),ISNUMBER(BY179)),IFERROR(BY186/BY179,""),"")</f>
        <v>0.0822092995198224</v>
      </c>
      <c r="BZ286" s="215">
        <f>IF(AND(ISNUMBER(BZ186),ISNUMBER(BZ179)),IFERROR(BZ186/BZ179,""),"")</f>
        <v>0.084382325819103</v>
      </c>
      <c r="CA286" s="215">
        <f>IF(AND(ISNUMBER(CA186),ISNUMBER(CA179)),IFERROR(CA186/CA179,""),"")</f>
        <v>0.0804908404376821</v>
      </c>
      <c r="CB286" s="256">
        <f>IF(AND(ISNUMBER(CB186),ISNUMBER(CB179)),IFERROR(CB186/CB179,""),"")</f>
        <v>0.0680077468221171</v>
      </c>
      <c r="CC286" s="256">
        <f>IF(AND(ISNUMBER(CC186),ISNUMBER(CC179)),IFERROR(CC186/CC179,""),"")</f>
        <v>0.0746745637286752</v>
      </c>
      <c r="CD286" s="256">
        <f>IF(AND(ISNUMBER(CD186),ISNUMBER(CD179)),IFERROR(CD186/CD179,""),"")</f>
        <v>0.0751683146732448</v>
      </c>
      <c r="CE286" s="256">
        <f>IF(AND(ISNUMBER(CE186),ISNUMBER(CE179)),IFERROR(CE186/CE179,""),"")</f>
        <v>0.0767478367521273</v>
      </c>
      <c r="CF286" s="256">
        <f>IF(AND(ISNUMBER(CF186),ISNUMBER(CF179)),IFERROR(CF186/CF179,""),"")</f>
        <v>0.0738164345809034</v>
      </c>
      <c r="CG286" s="256">
        <f>IF(AND(ISNUMBER(CG186),ISNUMBER(CG179)),IFERROR(CG186/CG179,""),"")</f>
        <v>0.075</v>
      </c>
      <c r="CH286" s="256">
        <f>IF(AND(ISNUMBER(CH186),ISNUMBER(CH179)),IFERROR(CH186/CH179,""),"")</f>
        <v>0.075</v>
      </c>
      <c r="CI286" s="256">
        <f>IF(AND(ISNUMBER(CI186),ISNUMBER(CI179)),IFERROR(CI186/CI179,""),"")</f>
        <v>0.075</v>
      </c>
      <c r="CJ286" s="256">
        <f>IF(AND(ISNUMBER(CJ186),ISNUMBER(CJ179)),IFERROR(CJ186/CJ179,""),"")</f>
        <v>0.075</v>
      </c>
      <c r="CK286" s="153" t="n"/>
      <c r="CM286" s="37">
        <f>IFERROR(AVERAGE(CF286,CG286,CH286,CI286,CJ286),"n/m")</f>
        <v>0.0747632869161807</v>
      </c>
      <c r="CN286" s="37">
        <f>IFERROR(AVERAGE(BG286,BL286,BQ286,BV286,CA286),"n/m")</f>
        <v>0.0977592644967541</v>
      </c>
      <c r="CO286" s="37">
        <f>IFERROR(AVERAGE(AH286,AM286,AR286,AW286,BB286,BG286,BL286,BQ286,BV286,CA286),"n/m")</f>
        <v>0.122128278744231</v>
      </c>
      <c r="CP286" s="37">
        <f>IFERROR(AVERAGE(C286,D286,E286,F286,G286,H286,I286,N286,S286,X286,AC286,AH286,AM286,AR286,AW286,BB286,BG286,BL286,BQ286,BV286,CA286),"n/m")</f>
        <v>0.162880438010862</v>
      </c>
    </row>
    <row r="287" ht="15" customHeight="1" s="251">
      <c r="B287" s="25" t="inlineStr">
        <is>
          <t xml:space="preserve">  G&amp;A % of revenue</t>
        </is>
      </c>
      <c r="C287" s="215">
        <f>IF(AND(ISNUMBER(C187),ISNUMBER(C179)),IFERROR(C187/C179,""),"")</f>
        <v>0.0848651822410912</v>
      </c>
      <c r="D287" s="215">
        <f>IF(AND(ISNUMBER(D187),ISNUMBER(D179)),IFERROR(D187/D179,""),"")</f>
        <v>0.0651187355737256</v>
      </c>
      <c r="E287" s="215">
        <f>IF(AND(ISNUMBER(E187),ISNUMBER(E179)),IFERROR(E187/E179,""),"")</f>
        <v>0.0848560079443893</v>
      </c>
      <c r="F287" s="215">
        <f>IF(AND(ISNUMBER(F187),ISNUMBER(F179)),IFERROR(F187/F179,""),"")</f>
        <v>0.0633160497629926</v>
      </c>
      <c r="G287" s="215">
        <f>IF(AND(ISNUMBER(G187),ISNUMBER(G179)),IFERROR(G187/G179,""),"")</f>
        <v>0.0640804045835734</v>
      </c>
      <c r="H287" s="215">
        <f>IF(AND(ISNUMBER(H187),ISNUMBER(H179)),IFERROR(H187/H179,""),"")</f>
        <v>0.0603634388001659</v>
      </c>
      <c r="I287" s="215">
        <f>IF(AND(ISNUMBER(I187),ISNUMBER(I179)),IFERROR(I187/I179,""),"")</f>
        <v>0.0619752316102166</v>
      </c>
      <c r="J287" s="215">
        <f>IF(AND(ISNUMBER(J187),ISNUMBER(J179)),IFERROR(J187/J179,""),"")</f>
        <v>0.0704022988505747</v>
      </c>
      <c r="K287" s="215">
        <f>IF(AND(ISNUMBER(K187),ISNUMBER(K179)),IFERROR(K187/K179,""),"")</f>
        <v>0.0538777032065623</v>
      </c>
      <c r="L287" s="215">
        <f>IF(AND(ISNUMBER(L187),ISNUMBER(L179)),IFERROR(L187/L179,""),"")</f>
        <v>0.0808238567035971</v>
      </c>
      <c r="M287" s="215">
        <f>IF(AND(ISNUMBER(M187),ISNUMBER(M179)),IFERROR(M187/M179,""),"")</f>
        <v>0.0608162444712505</v>
      </c>
      <c r="N287" s="215">
        <f>IF(AND(ISNUMBER(N187),ISNUMBER(N179)),IFERROR(N187/N179,""),"")</f>
        <v>0.0661408624388239</v>
      </c>
      <c r="O287" s="215">
        <f>IF(AND(ISNUMBER(O187),ISNUMBER(O179)),IFERROR(O187/O179,""),"")</f>
        <v>0.0545091478223326</v>
      </c>
      <c r="P287" s="215">
        <f>IF(AND(ISNUMBER(P187),ISNUMBER(P179)),IFERROR(P187/P179,""),"")</f>
        <v>0.0503691015131123</v>
      </c>
      <c r="Q287" s="215">
        <f>IF(AND(ISNUMBER(Q187),ISNUMBER(Q179)),IFERROR(Q187/Q179,""),"")</f>
        <v>0.0589619173650934</v>
      </c>
      <c r="R287" s="215">
        <f>IF(AND(ISNUMBER(R187),ISNUMBER(R179)),IFERROR(R187/R179,""),"")</f>
        <v>0.0587203832007527</v>
      </c>
      <c r="S287" s="215">
        <f>IF(AND(ISNUMBER(S187),ISNUMBER(S179)),IFERROR(S187/S179,""),"")</f>
        <v>0.0555203666808702</v>
      </c>
      <c r="T287" s="215">
        <f>IF(AND(ISNUMBER(T187),ISNUMBER(T179)),IFERROR(T187/T179,""),"")</f>
        <v>0.0496099306064394</v>
      </c>
      <c r="U287" s="215">
        <f>IF(AND(ISNUMBER(U187),ISNUMBER(U179)),IFERROR(U187/U179,""),"")</f>
        <v>0.0414431431809596</v>
      </c>
      <c r="V287" s="215">
        <f>IF(AND(ISNUMBER(V187),ISNUMBER(V179)),IFERROR(V187/V179,""),"")</f>
        <v>0.0502093975792719</v>
      </c>
      <c r="W287" s="215">
        <f>IF(AND(ISNUMBER(W187),ISNUMBER(W179)),IFERROR(W187/W179,""),"")</f>
        <v>0.0573489630297565</v>
      </c>
      <c r="X287" s="215">
        <f>IF(AND(ISNUMBER(X187),ISNUMBER(X179)),IFERROR(X187/X179,""),"")</f>
        <v>0.0492733490061979</v>
      </c>
      <c r="Y287" s="215">
        <f>IF(AND(ISNUMBER(Y187),ISNUMBER(Y179)),IFERROR(Y187/Y179,""),"")</f>
        <v>0.0531920113842681</v>
      </c>
      <c r="Z287" s="215">
        <f>IF(AND(ISNUMBER(Z187),ISNUMBER(Z179)),IFERROR(Z187/Z179,""),"")</f>
        <v>0.0436207766011094</v>
      </c>
      <c r="AA287" s="215">
        <f>IF(AND(ISNUMBER(AA187),ISNUMBER(AA179)),IFERROR(AA187/AA179,""),"")</f>
        <v>0.0555257902683747</v>
      </c>
      <c r="AB287" s="215">
        <f>IF(AND(ISNUMBER(AB187),ISNUMBER(AB179)),IFERROR(AB187/AB179,""),"")</f>
        <v>0.0631124478509751</v>
      </c>
      <c r="AC287" s="215">
        <f>IF(AND(ISNUMBER(AC187),ISNUMBER(AC179)),IFERROR(AC187/AC179,""),"")</f>
        <v>0.0534810126582279</v>
      </c>
      <c r="AD287" s="215">
        <f>IF(AND(ISNUMBER(AD187),ISNUMBER(AD179)),IFERROR(AD187/AD179,""),"")</f>
        <v>0.0510927492299418</v>
      </c>
      <c r="AE287" s="215">
        <f>IF(AND(ISNUMBER(AE187),ISNUMBER(AE179)),IFERROR(AE187/AE179,""),"")</f>
        <v>0.0364881693648817</v>
      </c>
      <c r="AF287" s="215">
        <f>IF(AND(ISNUMBER(AF187),ISNUMBER(AF179)),IFERROR(AF187/AF179,""),"")</f>
        <v>0.0544137618832051</v>
      </c>
      <c r="AG287" s="215">
        <f>IF(AND(ISNUMBER(AG187),ISNUMBER(AG179)),IFERROR(AG187/AG179,""),"")</f>
        <v>0.058112107046361</v>
      </c>
      <c r="AH287" s="215">
        <f>IF(AND(ISNUMBER(AH187),ISNUMBER(AH179)),IFERROR(AH187/AH179,""),"")</f>
        <v>0.049816564758199</v>
      </c>
      <c r="AI287" s="215">
        <f>IF(AND(ISNUMBER(AI187),ISNUMBER(AI179)),IFERROR(AI187/AI179,""),"")</f>
        <v>0.047518135137338</v>
      </c>
      <c r="AJ287" s="215">
        <f>IF(AND(ISNUMBER(AJ187),ISNUMBER(AJ179)),IFERROR(AJ187/AJ179,""),"")</f>
        <v>0.0383498167231482</v>
      </c>
      <c r="AK287" s="215">
        <f>IF(AND(ISNUMBER(AK187),ISNUMBER(AK179)),IFERROR(AK187/AK179,""),"")</f>
        <v>0.0450426936127372</v>
      </c>
      <c r="AL287" s="215">
        <f>IF(AND(ISNUMBER(AL187),ISNUMBER(AL179)),IFERROR(AL187/AL179,""),"")</f>
        <v>0.0422469669270401</v>
      </c>
      <c r="AM287" s="215">
        <f>IF(AND(ISNUMBER(AM187),ISNUMBER(AM179)),IFERROR(AM187/AM179,""),"")</f>
        <v>0.0430772018847408</v>
      </c>
      <c r="AN287" s="215">
        <f>IF(AND(ISNUMBER(AN187),ISNUMBER(AN179)),IFERROR(AN187/AN179,""),"")</f>
        <v>0.0395062577362124</v>
      </c>
      <c r="AO287" s="215">
        <f>IF(AND(ISNUMBER(AO187),ISNUMBER(AO179)),IFERROR(AO187/AO179,""),"")</f>
        <v>0.0348618767515629</v>
      </c>
      <c r="AP287" s="215">
        <f>IF(AND(ISNUMBER(AP187),ISNUMBER(AP179)),IFERROR(AP187/AP179,""),"")</f>
        <v>0.0385659612050636</v>
      </c>
      <c r="AQ287" s="215">
        <f>IF(AND(ISNUMBER(AQ187),ISNUMBER(AQ179)),IFERROR(AQ187/AQ179,""),"")</f>
        <v>0.0422635465788771</v>
      </c>
      <c r="AR287" s="215">
        <f>IF(AND(ISNUMBER(AR187),ISNUMBER(AR179)),IFERROR(AR187/AR179,""),"")</f>
        <v>0.0388182099918152</v>
      </c>
      <c r="AS287" s="215">
        <f>IF(AND(ISNUMBER(AS187),ISNUMBER(AS179)),IFERROR(AS187/AS179,""),"")</f>
        <v>0.0320980184540917</v>
      </c>
      <c r="AT287" s="215">
        <f>IF(AND(ISNUMBER(AT187),ISNUMBER(AT179)),IFERROR(AT187/AT179,""),"")</f>
        <v>0.0303744648566629</v>
      </c>
      <c r="AU287" s="215">
        <f>IF(AND(ISNUMBER(AU187),ISNUMBER(AU179)),IFERROR(AU187/AU179,""),"")</f>
        <v>0.0363496188001485</v>
      </c>
      <c r="AV287" s="215">
        <f>IF(AND(ISNUMBER(AV187),ISNUMBER(AV179)),IFERROR(AV187/AV179,""),"")</f>
        <v>0.0435411353298451</v>
      </c>
      <c r="AW287" s="215">
        <f>IF(AND(ISNUMBER(AW187),ISNUMBER(AW179)),IFERROR(AW187/AW179,""),"")</f>
        <v>0.0357375100513932</v>
      </c>
      <c r="AX287" s="215">
        <f>IF(AND(ISNUMBER(AX187),ISNUMBER(AX179)),IFERROR(AX187/AX179,""),"")</f>
        <v>0.0301178877106099</v>
      </c>
      <c r="AY287" s="215">
        <f>IF(AND(ISNUMBER(AY187),ISNUMBER(AY179)),IFERROR(AY187/AY179,""),"")</f>
        <v>0.0264416380351008</v>
      </c>
      <c r="AZ287" s="215">
        <f>IF(AND(ISNUMBER(AZ187),ISNUMBER(AZ179)),IFERROR(AZ187/AZ179,""),"")</f>
        <v>0.031817963842133</v>
      </c>
      <c r="BA287" s="215">
        <f>IF(AND(ISNUMBER(BA187),ISNUMBER(BA179)),IFERROR(BA187/BA179,""),"")</f>
        <v>0.0329779857860981</v>
      </c>
      <c r="BB287" s="215">
        <f>IF(AND(ISNUMBER(BB187),ISNUMBER(BB179)),IFERROR(BB187/BB179,""),"")</f>
        <v>0.0303828946742183</v>
      </c>
      <c r="BC287" s="215">
        <f>IF(AND(ISNUMBER(BC187),ISNUMBER(BC179)),IFERROR(BC187/BC179,""),"")</f>
        <v>0.0283999382130326</v>
      </c>
      <c r="BD287" s="215">
        <f>IF(AND(ISNUMBER(BD187),ISNUMBER(BD179)),IFERROR(BD187/BD179,""),"")</f>
        <v>0.0267553356016084</v>
      </c>
      <c r="BE287" s="215">
        <f>IF(AND(ISNUMBER(BE187),ISNUMBER(BE179)),IFERROR(BE187/BE179,""),"")</f>
        <v>0.0299837925445705</v>
      </c>
      <c r="BF287" s="215">
        <f>IF(AND(ISNUMBER(BF187),ISNUMBER(BF179)),IFERROR(BF187/BF179,""),"")</f>
        <v>0.0337221633085896</v>
      </c>
      <c r="BG287" s="215">
        <f>IF(AND(ISNUMBER(BG187),ISNUMBER(BG179)),IFERROR(BG187/BG179,""),"")</f>
        <v>0.0297574015231755</v>
      </c>
      <c r="BH287" s="215">
        <f>IF(AND(ISNUMBER(BH187),ISNUMBER(BH179)),IFERROR(BH187/BH179,""),"")</f>
        <v>0.0278919436574758</v>
      </c>
      <c r="BI287" s="215">
        <f>IF(AND(ISNUMBER(BI187),ISNUMBER(BI179)),IFERROR(BI187/BI179,""),"")</f>
        <v>0.0443058372988037</v>
      </c>
      <c r="BJ287" s="215">
        <f>IF(AND(ISNUMBER(BJ187),ISNUMBER(BJ179)),IFERROR(BJ187/BJ179,""),"")</f>
        <v>0.0310838677942373</v>
      </c>
      <c r="BK287" s="215">
        <f>IF(AND(ISNUMBER(BK187),ISNUMBER(BK179)),IFERROR(BK187/BK179,""),"")</f>
        <v>0.039100179750485</v>
      </c>
      <c r="BL287" s="215">
        <f>IF(AND(ISNUMBER(BL187),ISNUMBER(BL179)),IFERROR(BL187/BL179,""),"")</f>
        <v>0.0357454639832008</v>
      </c>
      <c r="BM287" s="215">
        <f>IF(AND(ISNUMBER(BM187),ISNUMBER(BM179)),IFERROR(BM187/BM179,""),"")</f>
        <v>0.0260806483005114</v>
      </c>
      <c r="BN287" s="215">
        <f>IF(AND(ISNUMBER(BN187),ISNUMBER(BN179)),IFERROR(BN187/BN179,""),"")</f>
        <v>0.03187681393099</v>
      </c>
      <c r="BO287" s="215">
        <f>IF(AND(ISNUMBER(BO187),ISNUMBER(BO179)),IFERROR(BO187/BO179,""),"")</f>
        <v>0.0309095024087426</v>
      </c>
      <c r="BP287" s="215">
        <f>IF(AND(ISNUMBER(BP187),ISNUMBER(BP179)),IFERROR(BP187/BP179,""),"")</f>
        <v>0.0346995844083613</v>
      </c>
      <c r="BQ287" s="215">
        <f>IF(AND(ISNUMBER(BQ187),ISNUMBER(BQ179)),IFERROR(BQ187/BQ179,""),"")</f>
        <v>0.0310416853648387</v>
      </c>
      <c r="BR287" s="215">
        <f>IF(AND(ISNUMBER(BR187),ISNUMBER(BR179)),IFERROR(BR187/BR179,""),"")</f>
        <v>0.0255088816040253</v>
      </c>
      <c r="BS287" s="215">
        <f>IF(AND(ISNUMBER(BS187),ISNUMBER(BS179)),IFERROR(BS187/BS179,""),"")</f>
        <v>0.0261804917279412</v>
      </c>
      <c r="BT287" s="215">
        <f>IF(AND(ISNUMBER(BT187),ISNUMBER(BT179)),IFERROR(BT187/BT179,""),"")</f>
        <v>0.0247909114263694</v>
      </c>
      <c r="BU287" s="215">
        <f>IF(AND(ISNUMBER(BU187),ISNUMBER(BU179)),IFERROR(BU187/BU179,""),"")</f>
        <v>0.02603314974948</v>
      </c>
      <c r="BV287" s="215">
        <f>IF(AND(ISNUMBER(BV187),ISNUMBER(BV179)),IFERROR(BV187/BV179,""),"")</f>
        <v>0.0256385682440971</v>
      </c>
      <c r="BW287" s="215">
        <f>IF(AND(ISNUMBER(BW187),ISNUMBER(BW179)),IFERROR(BW187/BW179,""),"")</f>
        <v>0.0232513228535012</v>
      </c>
      <c r="BX287" s="215">
        <f>IF(AND(ISNUMBER(BX187),ISNUMBER(BX179)),IFERROR(BX187/BX179,""),"")</f>
        <v>0.0237717323096231</v>
      </c>
      <c r="BY287" s="215">
        <f>IF(AND(ISNUMBER(BY187),ISNUMBER(BY179)),IFERROR(BY187/BY179,""),"")</f>
        <v>0.0232970586106218</v>
      </c>
      <c r="BZ287" s="215">
        <f>IF(AND(ISNUMBER(BZ187),ISNUMBER(BZ179)),IFERROR(BZ187/BZ179,""),"")</f>
        <v>0.0254091348450676</v>
      </c>
      <c r="CA287" s="215">
        <f>IF(AND(ISNUMBER(CA187),ISNUMBER(CA179)),IFERROR(CA187/CA179,""),"")</f>
        <v>0.0239754820861924</v>
      </c>
      <c r="CB287" s="256">
        <f>IF(AND(ISNUMBER(CB187),ISNUMBER(CB179)),IFERROR(CB187/CB179,""),"")</f>
        <v>0.0214836436523952</v>
      </c>
      <c r="CC287" s="256">
        <f>IF(AND(ISNUMBER(CC187),ISNUMBER(CC179)),IFERROR(CC187/CC179,""),"")</f>
        <v>0.0219124023578069</v>
      </c>
      <c r="CD287" s="256">
        <f>IF(AND(ISNUMBER(CD187),ISNUMBER(CD179)),IFERROR(CD187/CD179,""),"")</f>
        <v>0.0213017340231928</v>
      </c>
      <c r="CE287" s="256">
        <f>IF(AND(ISNUMBER(CE187),ISNUMBER(CE179)),IFERROR(CE187/CE179,""),"")</f>
        <v>0.0231102439304957</v>
      </c>
      <c r="CF287" s="256">
        <f>IF(AND(ISNUMBER(CF187),ISNUMBER(CF179)),IFERROR(CF187/CF179,""),"")</f>
        <v>0.0219874037261575</v>
      </c>
      <c r="CG287" s="256">
        <f>IF(AND(ISNUMBER(CG187),ISNUMBER(CG179)),IFERROR(CG187/CG179,""),"")</f>
        <v>0.022</v>
      </c>
      <c r="CH287" s="256">
        <f>IF(AND(ISNUMBER(CH187),ISNUMBER(CH179)),IFERROR(CH187/CH179,""),"")</f>
        <v>0.022</v>
      </c>
      <c r="CI287" s="256">
        <f>IF(AND(ISNUMBER(CI187),ISNUMBER(CI179)),IFERROR(CI187/CI179,""),"")</f>
        <v>0.022</v>
      </c>
      <c r="CJ287" s="256">
        <f>IF(AND(ISNUMBER(CJ187),ISNUMBER(CJ179)),IFERROR(CJ187/CJ179,""),"")</f>
        <v>0.022</v>
      </c>
      <c r="CK287" s="153" t="n"/>
      <c r="CM287" s="37">
        <f>IFERROR(AVERAGE(CF287,CG287,CH287,CI287,CJ287),"n/m")</f>
        <v>0.0219974807452315</v>
      </c>
      <c r="CN287" s="37">
        <f>IFERROR(AVERAGE(BG287,BL287,BQ287,BV287,CA287),"n/m")</f>
        <v>0.0292317202403009</v>
      </c>
      <c r="CO287" s="37">
        <f>IFERROR(AVERAGE(AH287,AM287,AR287,AW287,BB287,BG287,BL287,BQ287,BV287,CA287),"n/m")</f>
        <v>0.0343990982561871</v>
      </c>
      <c r="CP287" s="37">
        <f>IFERROR(AVERAGE(C287,D287,E287,F287,G287,H287,I287,N287,S287,X287,AC287,AH287,AM287,AR287,AW287,BB287,BG287,BL287,BQ287,BV287,CA287),"n/m")</f>
        <v>0.0501419820886736</v>
      </c>
    </row>
    <row r="288" ht="15" customHeight="1" s="251">
      <c r="CS288" s="11" t="n"/>
      <c r="CT288" s="12" t="n"/>
      <c r="CU288" s="12" t="n"/>
      <c r="CV288" s="12" t="n"/>
      <c r="CW288" s="13" t="n"/>
    </row>
    <row r="289" ht="15" customHeight="1" s="251">
      <c r="B289" s="10" t="inlineStr">
        <is>
          <t>CASH FLOWS STATEMENTS</t>
        </is>
      </c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  <c r="AD289" s="10" t="n"/>
      <c r="AE289" s="10" t="n"/>
      <c r="AF289" s="10" t="n"/>
      <c r="AG289" s="10" t="n"/>
      <c r="AH289" s="10" t="n"/>
      <c r="AI289" s="10" t="n"/>
      <c r="AJ289" s="10" t="n"/>
      <c r="AK289" s="10" t="n"/>
      <c r="AL289" s="10" t="n"/>
      <c r="AM289" s="10" t="n"/>
      <c r="AN289" s="10" t="n"/>
      <c r="AO289" s="10" t="n"/>
      <c r="AP289" s="10" t="n"/>
      <c r="AQ289" s="10" t="n"/>
      <c r="AR289" s="10" t="n"/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0" t="n"/>
      <c r="BC289" s="10" t="n"/>
      <c r="BD289" s="10" t="n"/>
      <c r="BE289" s="10" t="n"/>
      <c r="BF289" s="10" t="n"/>
      <c r="BG289" s="10" t="n"/>
      <c r="BH289" s="10" t="n"/>
      <c r="BI289" s="10" t="n"/>
      <c r="BJ289" s="10" t="n"/>
      <c r="BK289" s="10" t="n"/>
      <c r="BL289" s="10" t="n"/>
      <c r="BM289" s="10" t="n"/>
      <c r="BN289" s="10" t="n"/>
      <c r="BO289" s="10" t="n"/>
      <c r="BP289" s="10" t="n"/>
      <c r="BQ289" s="10" t="n"/>
      <c r="BR289" s="10" t="n"/>
      <c r="BS289" s="10" t="n"/>
      <c r="BT289" s="10" t="n"/>
      <c r="BU289" s="10" t="n"/>
      <c r="BV289" s="10" t="n"/>
      <c r="BW289" s="10" t="n"/>
      <c r="BX289" s="10" t="n"/>
      <c r="BY289" s="10" t="n"/>
      <c r="BZ289" s="10" t="n"/>
      <c r="CA289" s="10" t="n"/>
      <c r="CB289" s="10" t="n"/>
      <c r="CC289" s="10" t="n"/>
      <c r="CD289" s="10" t="n"/>
      <c r="CE289" s="10" t="n"/>
      <c r="CF289" s="10" t="n"/>
      <c r="CG289" s="10" t="n"/>
      <c r="CH289" s="10" t="n"/>
      <c r="CI289" s="10" t="n"/>
      <c r="CJ289" s="10" t="n"/>
      <c r="CK289" s="10" t="inlineStr">
        <is>
          <t>CASH FLOW — forecast logic (annual; FY2027E from the FY2027E P&amp;L and the 30-Jun-2027 balance sheet; quarters = the releases' three-month columns)</t>
        </is>
      </c>
    </row>
    <row r="290" ht="15" customHeight="1" s="251">
      <c r="B290" s="25" t="inlineStr">
        <is>
          <t>Net income</t>
        </is>
      </c>
      <c r="C290" s="253" t="n">
        <v>12599</v>
      </c>
      <c r="D290" s="253" t="n">
        <v>14065</v>
      </c>
      <c r="E290" s="253" t="n">
        <v>17681</v>
      </c>
      <c r="F290" s="253" t="n">
        <v>14569</v>
      </c>
      <c r="G290" s="253" t="n">
        <v>18760</v>
      </c>
      <c r="H290" s="253" t="n">
        <v>23150</v>
      </c>
      <c r="I290" s="253" t="n">
        <v>16978</v>
      </c>
      <c r="J290" s="253" t="n">
        <v>4466</v>
      </c>
      <c r="K290" s="253" t="n">
        <v>6377</v>
      </c>
      <c r="L290" s="253" t="n">
        <v>6055</v>
      </c>
      <c r="M290" s="253" t="n">
        <v>4965</v>
      </c>
      <c r="N290" s="253" t="n">
        <v>21863</v>
      </c>
      <c r="O290" s="253" t="n">
        <v>5244</v>
      </c>
      <c r="P290" s="253" t="n">
        <v>6558</v>
      </c>
      <c r="Q290" s="253" t="n">
        <v>5660</v>
      </c>
      <c r="R290" s="253" t="n">
        <v>4612</v>
      </c>
      <c r="S290" s="253" t="n">
        <v>22074</v>
      </c>
      <c r="T290" s="253" t="n">
        <v>4540</v>
      </c>
      <c r="U290" s="253" t="n">
        <v>5863</v>
      </c>
      <c r="V290" s="253" t="n">
        <v>4985</v>
      </c>
      <c r="W290" s="253" t="n">
        <v>-3195</v>
      </c>
      <c r="X290" s="253" t="n">
        <v>12193</v>
      </c>
      <c r="Y290" s="253" t="n">
        <v>4620</v>
      </c>
      <c r="Z290" s="253" t="n">
        <v>4998</v>
      </c>
      <c r="AA290" s="253" t="n">
        <v>3756</v>
      </c>
      <c r="AB290" s="253" t="n">
        <v>3122</v>
      </c>
      <c r="AC290" s="253" t="n">
        <v>16798</v>
      </c>
      <c r="AD290" s="253" t="n">
        <v>4690</v>
      </c>
      <c r="AE290" s="253" t="n">
        <v>5200</v>
      </c>
      <c r="AF290" s="253" t="n">
        <v>4801</v>
      </c>
      <c r="AG290" s="253" t="n">
        <v>6513</v>
      </c>
      <c r="AH290" s="253" t="n">
        <v>21204</v>
      </c>
      <c r="AI290" s="253" t="n">
        <v>6576</v>
      </c>
      <c r="AJ290" s="253" t="n">
        <v>-6302</v>
      </c>
      <c r="AK290" s="253" t="n">
        <v>7424</v>
      </c>
      <c r="AL290" s="253" t="n">
        <v>8873</v>
      </c>
      <c r="AM290" s="253" t="n">
        <v>16571</v>
      </c>
      <c r="AN290" s="253" t="n">
        <v>8824</v>
      </c>
      <c r="AO290" s="253" t="n">
        <v>8420</v>
      </c>
      <c r="AP290" s="253" t="n">
        <v>8809</v>
      </c>
      <c r="AQ290" s="253" t="n">
        <v>13187</v>
      </c>
      <c r="AR290" s="253" t="n">
        <v>39240</v>
      </c>
      <c r="AS290" s="253" t="n">
        <v>10678</v>
      </c>
      <c r="AT290" s="253" t="n">
        <v>11649</v>
      </c>
      <c r="AU290" s="253" t="n">
        <v>10752</v>
      </c>
      <c r="AV290" s="253" t="n">
        <v>11202</v>
      </c>
      <c r="AW290" s="253" t="n">
        <v>44281</v>
      </c>
      <c r="AX290" s="253" t="n">
        <v>13893</v>
      </c>
      <c r="AY290" s="253" t="n">
        <v>15463</v>
      </c>
      <c r="AZ290" s="253" t="n">
        <v>15457</v>
      </c>
      <c r="BA290" s="253" t="n">
        <v>16458</v>
      </c>
      <c r="BB290" s="253" t="n">
        <v>61271</v>
      </c>
      <c r="BC290" s="253" t="n">
        <v>20505</v>
      </c>
      <c r="BD290" s="253" t="n">
        <v>18765</v>
      </c>
      <c r="BE290" s="253" t="n">
        <v>16728</v>
      </c>
      <c r="BF290" s="253" t="n">
        <v>16740</v>
      </c>
      <c r="BG290" s="253" t="n">
        <v>72738</v>
      </c>
      <c r="BH290" s="253" t="n">
        <v>17556</v>
      </c>
      <c r="BI290" s="253" t="n">
        <v>16425</v>
      </c>
      <c r="BJ290" s="253" t="n">
        <v>18299</v>
      </c>
      <c r="BK290" s="253" t="n">
        <v>20081</v>
      </c>
      <c r="BL290" s="253" t="n">
        <v>72361</v>
      </c>
      <c r="BM290" s="253" t="n">
        <v>22291</v>
      </c>
      <c r="BN290" s="253" t="n">
        <v>21870</v>
      </c>
      <c r="BO290" s="253" t="n">
        <v>21939</v>
      </c>
      <c r="BP290" s="253" t="n">
        <v>22036</v>
      </c>
      <c r="BQ290" s="253" t="n">
        <v>88136</v>
      </c>
      <c r="BR290" s="253" t="n">
        <v>24667</v>
      </c>
      <c r="BS290" s="253" t="n">
        <v>24108</v>
      </c>
      <c r="BT290" s="253" t="n">
        <v>25824</v>
      </c>
      <c r="BU290" s="253" t="n">
        <v>27233</v>
      </c>
      <c r="BV290" s="253" t="n">
        <v>101832</v>
      </c>
      <c r="BW290" s="253" t="n">
        <v>27747</v>
      </c>
      <c r="BX290" s="253" t="n">
        <v>38458</v>
      </c>
      <c r="BY290" s="253" t="n">
        <v>31778</v>
      </c>
      <c r="BZ290" s="253" t="n">
        <v>35766</v>
      </c>
      <c r="CA290" s="253" t="n">
        <v>133749</v>
      </c>
      <c r="CB290" s="35" t="n"/>
      <c r="CC290" s="35" t="n"/>
      <c r="CD290" s="35" t="n"/>
      <c r="CE290" s="35" t="n"/>
      <c r="CF290" s="254">
        <f>CF201</f>
        <v>144080.907678624</v>
      </c>
      <c r="CG290" s="254">
        <f>CG201</f>
        <v>162330.111225069</v>
      </c>
      <c r="CH290" s="254">
        <f>CH201</f>
        <v>186079.805839007</v>
      </c>
      <c r="CI290" s="254">
        <f>CI201</f>
        <v>214296.710383296</v>
      </c>
      <c r="CJ290" s="254">
        <f>CJ201</f>
        <v>243062.900482427</v>
      </c>
      <c r="CK290" s="19" t="n"/>
    </row>
    <row r="291" ht="15" customHeight="1" s="251">
      <c r="B291" s="25" t="inlineStr">
        <is>
          <t>Adjustments to reconcile net income to net cash from operations:</t>
        </is>
      </c>
      <c r="CK291" s="153" t="n"/>
    </row>
    <row r="292" ht="15" customHeight="1" s="251">
      <c r="B292" s="25" t="inlineStr">
        <is>
          <t xml:space="preserve">  Depreciation, amortization, and other</t>
        </is>
      </c>
      <c r="C292" s="253" t="n">
        <v>903</v>
      </c>
      <c r="D292" s="253" t="n">
        <v>1440</v>
      </c>
      <c r="E292" s="253" t="n">
        <v>2056</v>
      </c>
      <c r="F292" s="253" t="n">
        <v>2562</v>
      </c>
      <c r="G292" s="253" t="n">
        <v>2673</v>
      </c>
      <c r="H292" s="253" t="n">
        <v>2766</v>
      </c>
      <c r="I292" s="253" t="n">
        <v>2967</v>
      </c>
      <c r="J292" s="253" t="n">
        <v>710</v>
      </c>
      <c r="K292" s="253" t="n">
        <v>1009</v>
      </c>
      <c r="L292" s="253" t="n">
        <v>1053</v>
      </c>
      <c r="M292" s="253" t="n">
        <v>983</v>
      </c>
      <c r="N292" s="253" t="n">
        <v>3755</v>
      </c>
      <c r="O292" s="253" t="n">
        <v>954</v>
      </c>
      <c r="P292" s="253" t="n">
        <v>1261</v>
      </c>
      <c r="Q292" s="253" t="n">
        <v>1255</v>
      </c>
      <c r="R292" s="253" t="n">
        <v>1742</v>
      </c>
      <c r="S292" s="253" t="n">
        <v>5212</v>
      </c>
      <c r="T292" s="253" t="n">
        <v>1428</v>
      </c>
      <c r="U292" s="253" t="n">
        <v>1521</v>
      </c>
      <c r="V292" s="253" t="n">
        <v>1515</v>
      </c>
      <c r="W292" s="253" t="n">
        <v>1493</v>
      </c>
      <c r="X292" s="253" t="n">
        <v>5957</v>
      </c>
      <c r="Y292" s="253" t="n">
        <v>1461</v>
      </c>
      <c r="Z292" s="253" t="n">
        <v>1544</v>
      </c>
      <c r="AA292" s="253" t="n">
        <v>1707</v>
      </c>
      <c r="AB292" s="253" t="n">
        <v>1910</v>
      </c>
      <c r="AC292" s="253" t="n">
        <v>6622</v>
      </c>
      <c r="AD292" s="253" t="n">
        <v>1816</v>
      </c>
      <c r="AE292" s="253" t="n">
        <v>2166</v>
      </c>
      <c r="AF292" s="253" t="n">
        <v>2453</v>
      </c>
      <c r="AG292" s="253" t="n">
        <v>2343</v>
      </c>
      <c r="AH292" s="253" t="n">
        <v>8778</v>
      </c>
      <c r="AI292" s="253" t="n">
        <v>2499</v>
      </c>
      <c r="AJ292" s="253" t="n">
        <v>2536</v>
      </c>
      <c r="AK292" s="253" t="n">
        <v>2710</v>
      </c>
      <c r="AL292" s="253" t="n">
        <v>2516</v>
      </c>
      <c r="AM292" s="253" t="n">
        <v>10261</v>
      </c>
      <c r="AN292" s="253" t="n">
        <v>2837</v>
      </c>
      <c r="AO292" s="253" t="n">
        <v>2995</v>
      </c>
      <c r="AP292" s="253" t="n">
        <v>2926</v>
      </c>
      <c r="AQ292" s="253" t="n">
        <v>2924</v>
      </c>
      <c r="AR292" s="253" t="n">
        <v>11682</v>
      </c>
      <c r="AS292" s="253" t="n">
        <v>2971</v>
      </c>
      <c r="AT292" s="253" t="n">
        <v>3203</v>
      </c>
      <c r="AU292" s="253" t="n">
        <v>3118</v>
      </c>
      <c r="AV292" s="253" t="n">
        <v>3504</v>
      </c>
      <c r="AW292" s="253" t="n">
        <v>12796</v>
      </c>
      <c r="AX292" s="253" t="n">
        <v>2645</v>
      </c>
      <c r="AY292" s="253" t="n">
        <v>2761</v>
      </c>
      <c r="AZ292" s="253" t="n">
        <v>2936</v>
      </c>
      <c r="BA292" s="253" t="n">
        <v>3344</v>
      </c>
      <c r="BB292" s="253" t="n">
        <v>11686</v>
      </c>
      <c r="BC292" s="253" t="n">
        <v>3212</v>
      </c>
      <c r="BD292" s="253" t="n">
        <v>3496</v>
      </c>
      <c r="BE292" s="253" t="n">
        <v>3773</v>
      </c>
      <c r="BF292" s="253" t="n">
        <v>3979</v>
      </c>
      <c r="BG292" s="253" t="n">
        <v>14460</v>
      </c>
      <c r="BH292" s="253" t="n">
        <v>2790</v>
      </c>
      <c r="BI292" s="253" t="n">
        <v>3648</v>
      </c>
      <c r="BJ292" s="253" t="n">
        <v>3549</v>
      </c>
      <c r="BK292" s="253" t="n">
        <v>3874</v>
      </c>
      <c r="BL292" s="253" t="n">
        <v>13861</v>
      </c>
      <c r="BM292" s="253" t="n">
        <v>3921</v>
      </c>
      <c r="BN292" s="253" t="n">
        <v>5959</v>
      </c>
      <c r="BO292" s="253" t="n">
        <v>6027</v>
      </c>
      <c r="BP292" s="253" t="n">
        <v>6380</v>
      </c>
      <c r="BQ292" s="253" t="n">
        <v>22287</v>
      </c>
      <c r="BR292" s="253" t="n">
        <v>7383</v>
      </c>
      <c r="BS292" s="253" t="n">
        <v>6827</v>
      </c>
      <c r="BT292" s="253" t="n">
        <v>8740</v>
      </c>
      <c r="BU292" s="253" t="n">
        <v>11203</v>
      </c>
      <c r="BV292" s="253" t="n">
        <v>34153</v>
      </c>
      <c r="BW292" s="253" t="n">
        <v>8147</v>
      </c>
      <c r="BX292" s="253" t="n">
        <v>9198</v>
      </c>
      <c r="BY292" s="253" t="n">
        <v>10167</v>
      </c>
      <c r="BZ292" s="253" t="n">
        <v>11022</v>
      </c>
      <c r="CA292" s="253" t="n">
        <v>38534</v>
      </c>
      <c r="CB292" s="35" t="n"/>
      <c r="CC292" s="35" t="n"/>
      <c r="CD292" s="35" t="n"/>
      <c r="CE292" s="35" t="n"/>
      <c r="CF292" s="254">
        <f>CF204</f>
        <v>56319.92</v>
      </c>
      <c r="CG292" s="254">
        <f>CG204</f>
        <v>80380.3093142857</v>
      </c>
      <c r="CH292" s="254">
        <f>CH204</f>
        <v>101870.944786172</v>
      </c>
      <c r="CI292" s="254">
        <f>CI204</f>
        <v>120415.226252662</v>
      </c>
      <c r="CJ292" s="254">
        <f>CJ204</f>
        <v>135701.879560717</v>
      </c>
      <c r="CK292" s="19" t="inlineStr">
        <is>
          <t>Q1 FY26 restated from the Q2 FY26 year-to-date statement ($4,914m reclassified to investment gains; manual_items.json).</t>
        </is>
      </c>
    </row>
    <row r="293" ht="15" customHeight="1" s="251">
      <c r="B293" s="25" t="inlineStr">
        <is>
          <t xml:space="preserve">  Stock-based compensation expense</t>
        </is>
      </c>
      <c r="C293" s="253" t="n">
        <v>1715</v>
      </c>
      <c r="D293" s="253" t="n">
        <v>1550</v>
      </c>
      <c r="E293" s="253" t="n">
        <v>1479</v>
      </c>
      <c r="F293" s="253" t="n">
        <v>1708</v>
      </c>
      <c r="G293" s="253" t="n">
        <v>1891</v>
      </c>
      <c r="H293" s="253" t="n">
        <v>2166</v>
      </c>
      <c r="I293" s="253" t="n">
        <v>2244</v>
      </c>
      <c r="J293" s="253" t="n">
        <v>603</v>
      </c>
      <c r="K293" s="253" t="n">
        <v>603</v>
      </c>
      <c r="L293" s="253" t="n">
        <v>599</v>
      </c>
      <c r="M293" s="253" t="n">
        <v>601</v>
      </c>
      <c r="N293" s="253" t="n">
        <v>2406</v>
      </c>
      <c r="O293" s="253" t="n">
        <v>635</v>
      </c>
      <c r="P293" s="253" t="n">
        <v>591</v>
      </c>
      <c r="Q293" s="253" t="n">
        <v>602</v>
      </c>
      <c r="R293" s="253" t="n">
        <v>618</v>
      </c>
      <c r="S293" s="253" t="n">
        <v>2446</v>
      </c>
      <c r="T293" s="253" t="n">
        <v>646</v>
      </c>
      <c r="U293" s="253" t="n">
        <v>633</v>
      </c>
      <c r="V293" s="253" t="n">
        <v>641</v>
      </c>
      <c r="W293" s="253" t="n">
        <v>654</v>
      </c>
      <c r="X293" s="253" t="n">
        <v>2574</v>
      </c>
      <c r="Y293" s="253" t="n">
        <v>674</v>
      </c>
      <c r="Z293" s="253" t="n">
        <v>658</v>
      </c>
      <c r="AA293" s="253" t="n">
        <v>672</v>
      </c>
      <c r="AB293" s="253" t="n">
        <v>664</v>
      </c>
      <c r="AC293" s="253" t="n">
        <v>2668</v>
      </c>
      <c r="AD293" s="253" t="n">
        <v>703</v>
      </c>
      <c r="AE293" s="253" t="n">
        <v>767</v>
      </c>
      <c r="AF293" s="253" t="n">
        <v>883</v>
      </c>
      <c r="AG293" s="253" t="n">
        <v>913</v>
      </c>
      <c r="AH293" s="253" t="n">
        <v>3266</v>
      </c>
      <c r="AI293" s="253" t="n">
        <v>973</v>
      </c>
      <c r="AJ293" s="253" t="n">
        <v>986</v>
      </c>
      <c r="AK293" s="253" t="n">
        <v>969</v>
      </c>
      <c r="AL293" s="253" t="n">
        <v>1012</v>
      </c>
      <c r="AM293" s="253" t="n">
        <v>3940</v>
      </c>
      <c r="AN293" s="253" t="n">
        <v>1107</v>
      </c>
      <c r="AO293" s="253" t="n">
        <v>1183</v>
      </c>
      <c r="AP293" s="253" t="n">
        <v>1172</v>
      </c>
      <c r="AQ293" s="253" t="n">
        <v>1190</v>
      </c>
      <c r="AR293" s="253" t="n">
        <v>4652</v>
      </c>
      <c r="AS293" s="253" t="n">
        <v>1262</v>
      </c>
      <c r="AT293" s="253" t="n">
        <v>1340</v>
      </c>
      <c r="AU293" s="253" t="n">
        <v>1338</v>
      </c>
      <c r="AV293" s="253" t="n">
        <v>1349</v>
      </c>
      <c r="AW293" s="253" t="n">
        <v>5289</v>
      </c>
      <c r="AX293" s="253" t="n">
        <v>1456</v>
      </c>
      <c r="AY293" s="253" t="n">
        <v>1566</v>
      </c>
      <c r="AZ293" s="253" t="n">
        <v>1525</v>
      </c>
      <c r="BA293" s="253" t="n">
        <v>1571</v>
      </c>
      <c r="BB293" s="253" t="n">
        <v>6118</v>
      </c>
      <c r="BC293" s="253" t="n">
        <v>1702</v>
      </c>
      <c r="BD293" s="253" t="n">
        <v>1897</v>
      </c>
      <c r="BE293" s="253" t="n">
        <v>1906</v>
      </c>
      <c r="BF293" s="253" t="n">
        <v>1997</v>
      </c>
      <c r="BG293" s="253" t="n">
        <v>7502</v>
      </c>
      <c r="BH293" s="253" t="n">
        <v>2192</v>
      </c>
      <c r="BI293" s="253" t="n">
        <v>2538</v>
      </c>
      <c r="BJ293" s="253" t="n">
        <v>2465</v>
      </c>
      <c r="BK293" s="253" t="n">
        <v>2416</v>
      </c>
      <c r="BL293" s="253" t="n">
        <v>9611</v>
      </c>
      <c r="BM293" s="253" t="n">
        <v>2507</v>
      </c>
      <c r="BN293" s="253" t="n">
        <v>2828</v>
      </c>
      <c r="BO293" s="253" t="n">
        <v>2703</v>
      </c>
      <c r="BP293" s="253" t="n">
        <v>2696</v>
      </c>
      <c r="BQ293" s="253" t="n">
        <v>10734</v>
      </c>
      <c r="BR293" s="253" t="n">
        <v>2832</v>
      </c>
      <c r="BS293" s="253" t="n">
        <v>3089</v>
      </c>
      <c r="BT293" s="253" t="n">
        <v>2980</v>
      </c>
      <c r="BU293" s="253" t="n">
        <v>3073</v>
      </c>
      <c r="BV293" s="253" t="n">
        <v>11974</v>
      </c>
      <c r="BW293" s="253" t="n">
        <v>2983</v>
      </c>
      <c r="BX293" s="253" t="n">
        <v>3219</v>
      </c>
      <c r="BY293" s="253" t="n">
        <v>3081</v>
      </c>
      <c r="BZ293" s="253" t="n">
        <v>3122</v>
      </c>
      <c r="CA293" s="253" t="n">
        <v>12405</v>
      </c>
      <c r="CB293" s="35" t="n"/>
      <c r="CC293" s="35" t="n"/>
      <c r="CD293" s="35" t="n"/>
      <c r="CE293" s="35" t="n"/>
      <c r="CF293" s="254">
        <f>CF205</f>
        <v>14541.9727746864</v>
      </c>
      <c r="CG293" s="254">
        <f>CG205</f>
        <v>16850.0505627011</v>
      </c>
      <c r="CH293" s="254">
        <f>CH205</f>
        <v>19494.2688629329</v>
      </c>
      <c r="CI293" s="254">
        <f>CI205</f>
        <v>22176.2065034597</v>
      </c>
      <c r="CJ293" s="254">
        <f>CJ205</f>
        <v>24852.8615504927</v>
      </c>
      <c r="CK293" s="19" t="n"/>
    </row>
    <row r="294" ht="15" customHeight="1" s="251">
      <c r="B294" s="25" t="inlineStr">
        <is>
          <t xml:space="preserve">  Deferred income taxes</t>
        </is>
      </c>
      <c r="C294" s="253" t="n">
        <v>219</v>
      </c>
      <c r="D294" s="253" t="n">
        <v>421</v>
      </c>
      <c r="E294" s="253" t="n">
        <v>935</v>
      </c>
      <c r="F294" s="253" t="n">
        <v>762</v>
      </c>
      <c r="G294" s="253" t="n">
        <v>-220</v>
      </c>
      <c r="H294" s="253" t="n">
        <v>2</v>
      </c>
      <c r="I294" s="253" t="n">
        <v>954</v>
      </c>
      <c r="J294" s="253" t="n">
        <v>38</v>
      </c>
      <c r="K294" s="253" t="n">
        <v>140</v>
      </c>
      <c r="L294" s="253" t="n">
        <v>226</v>
      </c>
      <c r="M294" s="253" t="n">
        <v>-423</v>
      </c>
      <c r="N294" s="253" t="n">
        <v>-19</v>
      </c>
      <c r="O294" s="253" t="n">
        <v>404</v>
      </c>
      <c r="P294" s="253" t="n">
        <v>-176</v>
      </c>
      <c r="Q294" s="253" t="n">
        <v>-190</v>
      </c>
      <c r="R294" s="253" t="n">
        <v>-369</v>
      </c>
      <c r="S294" s="253" t="n">
        <v>-331</v>
      </c>
      <c r="T294" s="253" t="n">
        <v>301</v>
      </c>
      <c r="U294" s="253" t="n">
        <v>314</v>
      </c>
      <c r="V294" s="253" t="n">
        <v>253</v>
      </c>
      <c r="W294" s="253" t="n">
        <v>-644</v>
      </c>
      <c r="X294" s="253" t="n">
        <v>224</v>
      </c>
      <c r="Y294" s="253" t="n">
        <v>73</v>
      </c>
      <c r="Z294" s="253" t="n">
        <v>-247</v>
      </c>
      <c r="AA294" s="253" t="n">
        <v>351</v>
      </c>
      <c r="AB294" s="253" t="n">
        <v>-625</v>
      </c>
      <c r="AC294" s="253" t="n">
        <v>-448</v>
      </c>
      <c r="AD294" s="253" t="n">
        <v>15</v>
      </c>
      <c r="AE294" s="253" t="n">
        <v>-587</v>
      </c>
      <c r="AF294" s="253" t="n">
        <v>-777</v>
      </c>
      <c r="AG294" s="253" t="n">
        <v>-1947</v>
      </c>
      <c r="AH294" s="253" t="n">
        <v>-3296</v>
      </c>
      <c r="AI294" s="253" t="n">
        <v>-53</v>
      </c>
      <c r="AJ294" s="253" t="n">
        <v>-2305</v>
      </c>
      <c r="AK294" s="253" t="n">
        <v>-396</v>
      </c>
      <c r="AL294" s="253" t="n">
        <v>-2389</v>
      </c>
      <c r="AM294" s="253" t="n">
        <v>-5143</v>
      </c>
      <c r="AN294" s="253" t="n">
        <v>-247</v>
      </c>
      <c r="AO294" s="253" t="n">
        <v>-173</v>
      </c>
      <c r="AP294" s="253" t="n">
        <v>-320</v>
      </c>
      <c r="AQ294" s="253" t="n">
        <v>-5723</v>
      </c>
      <c r="AR294" s="253" t="n">
        <v>-6463</v>
      </c>
      <c r="AS294" s="253" t="n">
        <v>-177</v>
      </c>
      <c r="AT294" s="253" t="n">
        <v>-53</v>
      </c>
      <c r="AU294" s="253" t="n">
        <v>-206</v>
      </c>
      <c r="AV294" s="253" t="n">
        <v>447</v>
      </c>
      <c r="AW294" s="253" t="n">
        <v>11</v>
      </c>
      <c r="AX294" s="253" t="n">
        <v>-11</v>
      </c>
      <c r="AY294" s="253" t="n">
        <v>-17</v>
      </c>
      <c r="AZ294" s="253" t="n">
        <v>-88</v>
      </c>
      <c r="BA294" s="253" t="n">
        <v>-34</v>
      </c>
      <c r="BB294" s="253" t="n">
        <v>-150</v>
      </c>
      <c r="BC294" s="253" t="n">
        <v>-5970</v>
      </c>
      <c r="BD294" s="253" t="n">
        <v>183</v>
      </c>
      <c r="BE294" s="253" t="n">
        <v>-198</v>
      </c>
      <c r="BF294" s="253" t="n">
        <v>283</v>
      </c>
      <c r="BG294" s="253" t="n">
        <v>-5702</v>
      </c>
      <c r="BH294" s="253" t="n">
        <v>-1191</v>
      </c>
      <c r="BI294" s="253" t="n">
        <v>-1305</v>
      </c>
      <c r="BJ294" s="253" t="n">
        <v>-1675</v>
      </c>
      <c r="BK294" s="253" t="n">
        <v>-1888</v>
      </c>
      <c r="BL294" s="253" t="n">
        <v>-6059</v>
      </c>
      <c r="BM294" s="253" t="n">
        <v>-568</v>
      </c>
      <c r="BN294" s="253" t="n">
        <v>-1702</v>
      </c>
      <c r="BO294" s="253" t="n">
        <v>-1323</v>
      </c>
      <c r="BP294" s="253" t="n">
        <v>-1145</v>
      </c>
      <c r="BQ294" s="253" t="n">
        <v>-4738</v>
      </c>
      <c r="BR294" s="253" t="n">
        <v>-1433</v>
      </c>
      <c r="BS294" s="253" t="n">
        <v>-1158</v>
      </c>
      <c r="BT294" s="253" t="n">
        <v>-2244</v>
      </c>
      <c r="BU294" s="253" t="n">
        <v>-2221</v>
      </c>
      <c r="BV294" s="253" t="n">
        <v>-7056</v>
      </c>
      <c r="BW294" s="253" t="n">
        <v>2491</v>
      </c>
      <c r="BX294" s="253" t="n">
        <v>4446</v>
      </c>
      <c r="BY294" s="253" t="n">
        <v>2602</v>
      </c>
      <c r="BZ294" s="253" t="n">
        <v>4650</v>
      </c>
      <c r="CA294" s="253" t="n">
        <v>14189</v>
      </c>
      <c r="CB294" s="35" t="n"/>
      <c r="CC294" s="35" t="n"/>
      <c r="CD294" s="35" t="n"/>
      <c r="CE294" s="35" t="n"/>
      <c r="CF294" s="262" t="n">
        <v>0</v>
      </c>
      <c r="CG294" s="262" t="n">
        <v>0</v>
      </c>
      <c r="CH294" s="262" t="n">
        <v>0</v>
      </c>
      <c r="CI294" s="262" t="n">
        <v>0</v>
      </c>
      <c r="CJ294" s="262" t="n">
        <v>0</v>
      </c>
      <c r="CK294" s="19" t="inlineStr">
        <is>
          <t>Forecast input (assumption).</t>
        </is>
      </c>
    </row>
    <row r="295" ht="15" customHeight="1" s="251">
      <c r="B295" s="25" t="inlineStr">
        <is>
          <t xml:space="preserve">  Investment (gains) losses, working capital &amp; other operating items, net (derived)</t>
        </is>
      </c>
      <c r="C295" s="253" t="n">
        <v>-1032</v>
      </c>
      <c r="D295" s="253" t="n">
        <v>320</v>
      </c>
      <c r="E295" s="253" t="n">
        <v>-539</v>
      </c>
      <c r="F295" s="253" t="n">
        <v>-564</v>
      </c>
      <c r="G295" s="253" t="n">
        <v>969</v>
      </c>
      <c r="H295" s="253" t="n">
        <v>-1090</v>
      </c>
      <c r="I295" s="253" t="n">
        <v>8483</v>
      </c>
      <c r="J295" s="253" t="n">
        <v>2667</v>
      </c>
      <c r="K295" s="253" t="n">
        <v>-3349</v>
      </c>
      <c r="L295" s="253" t="n">
        <v>1733</v>
      </c>
      <c r="M295" s="253" t="n">
        <v>-223</v>
      </c>
      <c r="N295" s="253" t="n">
        <v>828</v>
      </c>
      <c r="O295" s="253" t="n">
        <v>968</v>
      </c>
      <c r="P295" s="253" t="n">
        <v>-3821</v>
      </c>
      <c r="Q295" s="253" t="n">
        <v>2772</v>
      </c>
      <c r="R295" s="253" t="n">
        <v>2911</v>
      </c>
      <c r="S295" s="253" t="n">
        <v>2830</v>
      </c>
      <c r="T295" s="253" t="n">
        <v>1439</v>
      </c>
      <c r="U295" s="253" t="n">
        <v>-3991</v>
      </c>
      <c r="V295" s="253" t="n">
        <v>2176</v>
      </c>
      <c r="W295" s="253" t="n">
        <v>8508</v>
      </c>
      <c r="X295" s="253" t="n">
        <v>8132</v>
      </c>
      <c r="Y295" s="253" t="n">
        <v>1766</v>
      </c>
      <c r="Z295" s="253" t="n">
        <v>-1355</v>
      </c>
      <c r="AA295" s="253" t="n">
        <v>3881</v>
      </c>
      <c r="AB295" s="253" t="n">
        <v>3393</v>
      </c>
      <c r="AC295" s="253" t="n">
        <v>7685</v>
      </c>
      <c r="AD295" s="253" t="n">
        <v>4325</v>
      </c>
      <c r="AE295" s="253" t="n">
        <v>-1253</v>
      </c>
      <c r="AF295" s="253" t="n">
        <v>3300</v>
      </c>
      <c r="AG295" s="253" t="n">
        <v>3183</v>
      </c>
      <c r="AH295" s="253" t="n">
        <v>9555</v>
      </c>
      <c r="AI295" s="253" t="n">
        <v>2445</v>
      </c>
      <c r="AJ295" s="253" t="n">
        <v>12960</v>
      </c>
      <c r="AK295" s="253" t="n">
        <v>1444</v>
      </c>
      <c r="AL295" s="253" t="n">
        <v>1406</v>
      </c>
      <c r="AM295" s="253" t="n">
        <v>18255</v>
      </c>
      <c r="AN295" s="253" t="n">
        <v>1136</v>
      </c>
      <c r="AO295" s="253" t="n">
        <v>-3525</v>
      </c>
      <c r="AP295" s="253" t="n">
        <v>933</v>
      </c>
      <c r="AQ295" s="253" t="n">
        <v>4530</v>
      </c>
      <c r="AR295" s="253" t="n">
        <v>3074</v>
      </c>
      <c r="AS295" s="253" t="n">
        <v>-916</v>
      </c>
      <c r="AT295" s="253" t="n">
        <v>-5459</v>
      </c>
      <c r="AU295" s="253" t="n">
        <v>2502</v>
      </c>
      <c r="AV295" s="253" t="n">
        <v>2171</v>
      </c>
      <c r="AW295" s="253" t="n">
        <v>-1702</v>
      </c>
      <c r="AX295" s="253" t="n">
        <v>1352</v>
      </c>
      <c r="AY295" s="253" t="n">
        <v>-7257</v>
      </c>
      <c r="AZ295" s="253" t="n">
        <v>2349</v>
      </c>
      <c r="BA295" s="253" t="n">
        <v>1371</v>
      </c>
      <c r="BB295" s="253" t="n">
        <v>-2185</v>
      </c>
      <c r="BC295" s="253" t="n">
        <v>5091</v>
      </c>
      <c r="BD295" s="253" t="n">
        <v>-9861</v>
      </c>
      <c r="BE295" s="253" t="n">
        <v>3177</v>
      </c>
      <c r="BF295" s="253" t="n">
        <v>1630</v>
      </c>
      <c r="BG295" s="253" t="n">
        <v>37</v>
      </c>
      <c r="BH295" s="253" t="n">
        <v>1851</v>
      </c>
      <c r="BI295" s="253" t="n">
        <v>-10133</v>
      </c>
      <c r="BJ295" s="253" t="n">
        <v>1803</v>
      </c>
      <c r="BK295" s="253" t="n">
        <v>4287</v>
      </c>
      <c r="BL295" s="253" t="n">
        <v>-2192</v>
      </c>
      <c r="BM295" s="253" t="n">
        <v>2432</v>
      </c>
      <c r="BN295" s="253" t="n">
        <v>-10102</v>
      </c>
      <c r="BO295" s="253" t="n">
        <v>2571</v>
      </c>
      <c r="BP295" s="253" t="n">
        <v>7228</v>
      </c>
      <c r="BQ295" s="253" t="n">
        <v>2129</v>
      </c>
      <c r="BR295" s="253" t="n">
        <v>731</v>
      </c>
      <c r="BS295" s="253" t="n">
        <v>-10575</v>
      </c>
      <c r="BT295" s="253" t="n">
        <v>1744</v>
      </c>
      <c r="BU295" s="253" t="n">
        <v>3359</v>
      </c>
      <c r="BV295" s="253" t="n">
        <v>-4741</v>
      </c>
      <c r="BW295" s="253" t="n">
        <v>3689</v>
      </c>
      <c r="BX295" s="253" t="n">
        <v>-19563</v>
      </c>
      <c r="BY295" s="253" t="n">
        <v>-949</v>
      </c>
      <c r="BZ295" s="253" t="n">
        <v>881</v>
      </c>
      <c r="CA295" s="253" t="n">
        <v>-15942</v>
      </c>
      <c r="CB295" s="35" t="n"/>
      <c r="CC295" s="35" t="n"/>
      <c r="CD295" s="35" t="n"/>
      <c r="CE295" s="35" t="n"/>
      <c r="CF295" s="254">
        <f>-(CF340-CA340)-(CF341-CA341)-(CF342-CA342)+(CF351-CA351)+(CF353-CA353)+(CF354-CA354)</f>
        <v>6027.06181374527</v>
      </c>
      <c r="CG295" s="254">
        <f>-(CG340-CF340)-(CG341-CF341)-(CG342-CF342)+(CG351-CF351)+(CG353-CF353)+(CG354-CF354)</f>
        <v>6905.10385777619</v>
      </c>
      <c r="CH295" s="254">
        <f>-(CH340-CG340)-(CH341-CG341)-(CH342-CG342)+(CH351-CG351)+(CH353-CG353)+(CH354-CG354)</f>
        <v>7444.14511475841</v>
      </c>
      <c r="CI295" s="254">
        <f>-(CI340-CH340)-(CI341-CH341)-(CI342-CH342)+(CI351-CH351)+(CI353-CH353)+(CI354-CH354)</f>
        <v>7550.33462368223</v>
      </c>
      <c r="CJ295" s="254">
        <f>-(CJ340-CI340)-(CJ341-CI341)-(CJ342-CI342)+(CJ351-CI351)+(CJ353-CI353)+(CJ354-CI354)</f>
        <v>7535.46278327999</v>
      </c>
      <c r="CK295" s="19" t="inlineStr">
        <is>
          <t>History: net cash from operations − net income − D&amp;A &amp; other − stock-based compensation − deferred taxes (incl. investment gains / losses and unearned-revenue deferrals). Forecast linked to the balance sheet: −Δ(receivables, inventories, other current assets) + Δ(payables, unearned revenue, other current liabilities).</t>
        </is>
      </c>
    </row>
    <row r="296" ht="15" customHeight="1" s="251">
      <c r="B296" s="16" t="inlineStr">
        <is>
          <t>Net cash from operations</t>
        </is>
      </c>
      <c r="C296" s="277" t="n">
        <v>14404</v>
      </c>
      <c r="D296" s="277" t="n">
        <v>17796</v>
      </c>
      <c r="E296" s="277" t="n">
        <v>21612</v>
      </c>
      <c r="F296" s="277" t="n">
        <v>19037</v>
      </c>
      <c r="G296" s="277" t="n">
        <v>24073</v>
      </c>
      <c r="H296" s="277" t="n">
        <v>26994</v>
      </c>
      <c r="I296" s="277" t="n">
        <v>31626</v>
      </c>
      <c r="J296" s="277" t="n">
        <v>8484</v>
      </c>
      <c r="K296" s="277" t="n">
        <v>4780</v>
      </c>
      <c r="L296" s="277" t="n">
        <v>9666</v>
      </c>
      <c r="M296" s="277" t="n">
        <v>5903</v>
      </c>
      <c r="N296" s="277" t="n">
        <v>28833</v>
      </c>
      <c r="O296" s="277" t="n">
        <v>8205</v>
      </c>
      <c r="P296" s="277" t="n">
        <v>4413</v>
      </c>
      <c r="Q296" s="277" t="n">
        <v>10099</v>
      </c>
      <c r="R296" s="277" t="n">
        <v>9514</v>
      </c>
      <c r="S296" s="277" t="n">
        <v>32231</v>
      </c>
      <c r="T296" s="277" t="n">
        <v>8354</v>
      </c>
      <c r="U296" s="277" t="n">
        <v>4340</v>
      </c>
      <c r="V296" s="277" t="n">
        <v>9570</v>
      </c>
      <c r="W296" s="277" t="n">
        <v>6816</v>
      </c>
      <c r="X296" s="277" t="n">
        <v>29080</v>
      </c>
      <c r="Y296" s="277" t="n">
        <v>8594</v>
      </c>
      <c r="Z296" s="277" t="n">
        <v>5598</v>
      </c>
      <c r="AA296" s="277" t="n">
        <v>10367</v>
      </c>
      <c r="AB296" s="277" t="n">
        <v>8464</v>
      </c>
      <c r="AC296" s="277" t="n">
        <v>33325</v>
      </c>
      <c r="AD296" s="277" t="n">
        <v>11549</v>
      </c>
      <c r="AE296" s="277" t="n">
        <v>6293</v>
      </c>
      <c r="AF296" s="277" t="n">
        <v>10660</v>
      </c>
      <c r="AG296" s="277" t="n">
        <v>11005</v>
      </c>
      <c r="AH296" s="277" t="n">
        <v>39507</v>
      </c>
      <c r="AI296" s="277" t="n">
        <v>12440</v>
      </c>
      <c r="AJ296" s="277" t="n">
        <v>7875</v>
      </c>
      <c r="AK296" s="277" t="n">
        <v>12151</v>
      </c>
      <c r="AL296" s="277" t="n">
        <v>11418</v>
      </c>
      <c r="AM296" s="277" t="n">
        <v>43884</v>
      </c>
      <c r="AN296" s="277" t="n">
        <v>13657</v>
      </c>
      <c r="AO296" s="277" t="n">
        <v>8900</v>
      </c>
      <c r="AP296" s="277" t="n">
        <v>13520</v>
      </c>
      <c r="AQ296" s="277" t="n">
        <v>16108</v>
      </c>
      <c r="AR296" s="277" t="n">
        <v>52185</v>
      </c>
      <c r="AS296" s="277" t="n">
        <v>13818</v>
      </c>
      <c r="AT296" s="277" t="n">
        <v>10680</v>
      </c>
      <c r="AU296" s="277" t="n">
        <v>17504</v>
      </c>
      <c r="AV296" s="277" t="n">
        <v>18673</v>
      </c>
      <c r="AW296" s="277" t="n">
        <v>60675</v>
      </c>
      <c r="AX296" s="277" t="n">
        <v>19335</v>
      </c>
      <c r="AY296" s="277" t="n">
        <v>12516</v>
      </c>
      <c r="AZ296" s="277" t="n">
        <v>22179</v>
      </c>
      <c r="BA296" s="277" t="n">
        <v>22710</v>
      </c>
      <c r="BB296" s="277" t="n">
        <v>76740</v>
      </c>
      <c r="BC296" s="277" t="n">
        <v>24540</v>
      </c>
      <c r="BD296" s="277" t="n">
        <v>14480</v>
      </c>
      <c r="BE296" s="277" t="n">
        <v>25386</v>
      </c>
      <c r="BF296" s="277" t="n">
        <v>24629</v>
      </c>
      <c r="BG296" s="277" t="n">
        <v>89035</v>
      </c>
      <c r="BH296" s="277" t="n">
        <v>23198</v>
      </c>
      <c r="BI296" s="277" t="n">
        <v>11173</v>
      </c>
      <c r="BJ296" s="277" t="n">
        <v>24441</v>
      </c>
      <c r="BK296" s="277" t="n">
        <v>28770</v>
      </c>
      <c r="BL296" s="277" t="n">
        <v>87582</v>
      </c>
      <c r="BM296" s="277" t="n">
        <v>30583</v>
      </c>
      <c r="BN296" s="277" t="n">
        <v>18853</v>
      </c>
      <c r="BO296" s="277" t="n">
        <v>31917</v>
      </c>
      <c r="BP296" s="277" t="n">
        <v>37195</v>
      </c>
      <c r="BQ296" s="277" t="n">
        <v>118548</v>
      </c>
      <c r="BR296" s="277" t="n">
        <v>34180</v>
      </c>
      <c r="BS296" s="277" t="n">
        <v>22291</v>
      </c>
      <c r="BT296" s="277" t="n">
        <v>37044</v>
      </c>
      <c r="BU296" s="277" t="n">
        <v>42647</v>
      </c>
      <c r="BV296" s="277" t="n">
        <v>136162</v>
      </c>
      <c r="BW296" s="277" t="n">
        <v>45057</v>
      </c>
      <c r="BX296" s="277" t="n">
        <v>35758</v>
      </c>
      <c r="BY296" s="277" t="n">
        <v>46679</v>
      </c>
      <c r="BZ296" s="277" t="n">
        <v>55441</v>
      </c>
      <c r="CA296" s="277" t="n">
        <v>182935</v>
      </c>
      <c r="CB296" s="32" t="n"/>
      <c r="CC296" s="32" t="n"/>
      <c r="CD296" s="32" t="n"/>
      <c r="CE296" s="32" t="n"/>
      <c r="CF296" s="261">
        <f>SUM(CF290:CF295)</f>
        <v>220969.862267055</v>
      </c>
      <c r="CG296" s="261">
        <f>SUM(CG290:CG295)</f>
        <v>266465.574959832</v>
      </c>
      <c r="CH296" s="261">
        <f>SUM(CH290:CH295)</f>
        <v>314889.16460287</v>
      </c>
      <c r="CI296" s="261">
        <f>SUM(CI290:CI295)</f>
        <v>364438.4777631</v>
      </c>
      <c r="CJ296" s="261">
        <f>SUM(CJ290:CJ295)</f>
        <v>411153.104376916</v>
      </c>
      <c r="CK296" s="153" t="n"/>
      <c r="CM296" s="20">
        <f>IFERROR((CJ296/CA296)^(1/5)-1,"n/m")</f>
        <v>0.175821382926837</v>
      </c>
      <c r="CN296" s="20">
        <f>IFERROR((CA296/BB296)^(1/5)-1,"n/m")</f>
        <v>0.189748050852021</v>
      </c>
      <c r="CO296" s="20">
        <f>IFERROR((CA296/AC296)^(1/10)-1,"n/m")</f>
        <v>0.185639513959132</v>
      </c>
      <c r="CP296" s="20">
        <f>IFERROR((CA296/C296)^(1/20)-1,"n/m")</f>
        <v>0.135509271476714</v>
      </c>
    </row>
    <row r="297" ht="15" customHeight="1" s="251">
      <c r="B297" s="25" t="inlineStr">
        <is>
          <t>Additions to property and equipment</t>
        </is>
      </c>
      <c r="C297" s="253" t="n">
        <v>-1578</v>
      </c>
      <c r="D297" s="253" t="n">
        <v>-2264</v>
      </c>
      <c r="E297" s="253" t="n">
        <v>-3182</v>
      </c>
      <c r="F297" s="253" t="n">
        <v>-3119</v>
      </c>
      <c r="G297" s="253" t="n">
        <v>-1977</v>
      </c>
      <c r="H297" s="253" t="n">
        <v>-2355</v>
      </c>
      <c r="I297" s="253" t="n">
        <v>-2305</v>
      </c>
      <c r="J297" s="253" t="n">
        <v>-603</v>
      </c>
      <c r="K297" s="253" t="n">
        <v>-930</v>
      </c>
      <c r="L297" s="253" t="n">
        <v>-930</v>
      </c>
      <c r="M297" s="253" t="n">
        <v>-1794</v>
      </c>
      <c r="N297" s="253" t="n">
        <v>-4257</v>
      </c>
      <c r="O297" s="253" t="n">
        <v>-1231</v>
      </c>
      <c r="P297" s="253" t="n">
        <v>-1732</v>
      </c>
      <c r="Q297" s="253" t="n">
        <v>-1192</v>
      </c>
      <c r="R297" s="253" t="n">
        <v>-1330</v>
      </c>
      <c r="S297" s="253" t="n">
        <v>-5485</v>
      </c>
      <c r="T297" s="253" t="n">
        <v>-1282</v>
      </c>
      <c r="U297" s="253" t="n">
        <v>-1490</v>
      </c>
      <c r="V297" s="253" t="n">
        <v>-1391</v>
      </c>
      <c r="W297" s="253" t="n">
        <v>-1781</v>
      </c>
      <c r="X297" s="253" t="n">
        <v>-5944</v>
      </c>
      <c r="Y297" s="253" t="n">
        <v>-1356</v>
      </c>
      <c r="Z297" s="253" t="n">
        <v>-2024</v>
      </c>
      <c r="AA297" s="253" t="n">
        <v>-2308</v>
      </c>
      <c r="AB297" s="253" t="n">
        <v>-2655</v>
      </c>
      <c r="AC297" s="253" t="n">
        <v>-8343</v>
      </c>
      <c r="AD297" s="253" t="n">
        <v>-2163</v>
      </c>
      <c r="AE297" s="253" t="n">
        <v>-1988</v>
      </c>
      <c r="AF297" s="253" t="n">
        <v>-1695</v>
      </c>
      <c r="AG297" s="253" t="n">
        <v>-2283</v>
      </c>
      <c r="AH297" s="253" t="n">
        <v>-8129</v>
      </c>
      <c r="AI297" s="253" t="n">
        <v>-2132</v>
      </c>
      <c r="AJ297" s="253" t="n">
        <v>-2586</v>
      </c>
      <c r="AK297" s="253" t="n">
        <v>-2934</v>
      </c>
      <c r="AL297" s="253" t="n">
        <v>-3980</v>
      </c>
      <c r="AM297" s="253" t="n">
        <v>-11632</v>
      </c>
      <c r="AN297" s="253" t="n">
        <v>-3602</v>
      </c>
      <c r="AO297" s="253" t="n">
        <v>-3707</v>
      </c>
      <c r="AP297" s="253" t="n">
        <v>-2565</v>
      </c>
      <c r="AQ297" s="253" t="n">
        <v>-4051</v>
      </c>
      <c r="AR297" s="253" t="n">
        <v>-13925</v>
      </c>
      <c r="AS297" s="253" t="n">
        <v>-3385</v>
      </c>
      <c r="AT297" s="253" t="n">
        <v>-3545</v>
      </c>
      <c r="AU297" s="253" t="n">
        <v>-3767</v>
      </c>
      <c r="AV297" s="253" t="n">
        <v>-4744</v>
      </c>
      <c r="AW297" s="253" t="n">
        <v>-15441</v>
      </c>
      <c r="AX297" s="253" t="n">
        <v>-4907</v>
      </c>
      <c r="AY297" s="253" t="n">
        <v>-4174</v>
      </c>
      <c r="AZ297" s="253" t="n">
        <v>-5089</v>
      </c>
      <c r="BA297" s="253" t="n">
        <v>-6452</v>
      </c>
      <c r="BB297" s="253" t="n">
        <v>-20622</v>
      </c>
      <c r="BC297" s="253" t="n">
        <v>-5810</v>
      </c>
      <c r="BD297" s="253" t="n">
        <v>-5865</v>
      </c>
      <c r="BE297" s="253" t="n">
        <v>-5340</v>
      </c>
      <c r="BF297" s="253" t="n">
        <v>-6871</v>
      </c>
      <c r="BG297" s="253" t="n">
        <v>-23886</v>
      </c>
      <c r="BH297" s="253" t="n">
        <v>-6283</v>
      </c>
      <c r="BI297" s="253" t="n">
        <v>-6274</v>
      </c>
      <c r="BJ297" s="253" t="n">
        <v>-6607</v>
      </c>
      <c r="BK297" s="253" t="n">
        <v>-8943</v>
      </c>
      <c r="BL297" s="253" t="n">
        <v>-28107</v>
      </c>
      <c r="BM297" s="253" t="n">
        <v>-9917</v>
      </c>
      <c r="BN297" s="253" t="n">
        <v>-9735</v>
      </c>
      <c r="BO297" s="253" t="n">
        <v>-10952</v>
      </c>
      <c r="BP297" s="253" t="n">
        <v>-13873</v>
      </c>
      <c r="BQ297" s="253" t="n">
        <v>-44477</v>
      </c>
      <c r="BR297" s="253" t="n">
        <v>-14923</v>
      </c>
      <c r="BS297" s="253" t="n">
        <v>-15804</v>
      </c>
      <c r="BT297" s="253" t="n">
        <v>-16745</v>
      </c>
      <c r="BU297" s="253" t="n">
        <v>-17079</v>
      </c>
      <c r="BV297" s="253" t="n">
        <v>-64551</v>
      </c>
      <c r="BW297" s="253" t="n">
        <v>-19394</v>
      </c>
      <c r="BX297" s="253" t="n">
        <v>-29876</v>
      </c>
      <c r="BY297" s="253" t="n">
        <v>-30876</v>
      </c>
      <c r="BZ297" s="253" t="n">
        <v>-35802</v>
      </c>
      <c r="CA297" s="253" t="n">
        <v>-115948</v>
      </c>
      <c r="CB297" s="35" t="n"/>
      <c r="CC297" s="35" t="n"/>
      <c r="CD297" s="35" t="n"/>
      <c r="CE297" s="35" t="n"/>
      <c r="CF297" s="254">
        <f>-(CF167-CF168)</f>
        <v>-165000</v>
      </c>
      <c r="CG297" s="254">
        <f>-(CG167-CG168)</f>
        <v>-169069.764091968</v>
      </c>
      <c r="CH297" s="254">
        <f>-(CH167-CH168)</f>
        <v>-173867.803372104</v>
      </c>
      <c r="CI297" s="254">
        <f>-(CI167-CI168)</f>
        <v>-173064.314266865</v>
      </c>
      <c r="CJ297" s="254">
        <f>-(CJ167-CJ168)</f>
        <v>-177328.52565757</v>
      </c>
      <c r="CK297" s="19" t="inlineStr">
        <is>
          <t>Cash capex = capital expenditures incl. finance leases − finance-lease assets obtained (non-cash).</t>
        </is>
      </c>
    </row>
    <row r="298" ht="15" customHeight="1" s="251">
      <c r="B298" s="25" t="inlineStr">
        <is>
          <t>Acquisition of companies, net of cash acquired, and purchases of intangible and other assets</t>
        </is>
      </c>
      <c r="C298" s="253" t="n">
        <v>-649</v>
      </c>
      <c r="D298" s="253" t="n">
        <v>-1150</v>
      </c>
      <c r="E298" s="253" t="n">
        <v>-8053</v>
      </c>
      <c r="F298" s="253" t="n">
        <v>-868</v>
      </c>
      <c r="G298" s="253" t="n">
        <v>-245</v>
      </c>
      <c r="H298" s="253" t="n">
        <v>-71</v>
      </c>
      <c r="I298" s="253" t="n">
        <v>-10112</v>
      </c>
      <c r="J298" s="253" t="n">
        <v>-1145</v>
      </c>
      <c r="K298" s="253" t="n">
        <v>-311</v>
      </c>
      <c r="L298" s="253" t="n">
        <v>-108</v>
      </c>
      <c r="M298" s="253" t="n">
        <v>-20</v>
      </c>
      <c r="N298" s="253" t="n">
        <v>-1584</v>
      </c>
      <c r="O298" s="253" t="n">
        <v>-15</v>
      </c>
      <c r="P298" s="253" t="n">
        <v>-139</v>
      </c>
      <c r="Q298" s="253" t="n">
        <v>-157</v>
      </c>
      <c r="R298" s="253" t="n">
        <v>-5626</v>
      </c>
      <c r="S298" s="253" t="n">
        <v>-5937</v>
      </c>
      <c r="T298" s="253" t="n">
        <v>-141</v>
      </c>
      <c r="U298" s="253" t="n">
        <v>-2794</v>
      </c>
      <c r="V298" s="253" t="n">
        <v>-162</v>
      </c>
      <c r="W298" s="253" t="n">
        <v>-626</v>
      </c>
      <c r="X298" s="253" t="n">
        <v>-3723</v>
      </c>
      <c r="Y298" s="253" t="n">
        <v>-390</v>
      </c>
      <c r="Z298" s="253" t="n">
        <v>-381</v>
      </c>
      <c r="AA298" s="253" t="n">
        <v>-559</v>
      </c>
      <c r="AB298" s="253" t="n">
        <v>-63</v>
      </c>
      <c r="AC298" s="253" t="n">
        <v>-1393</v>
      </c>
      <c r="AD298" s="253" t="n">
        <v>-24</v>
      </c>
      <c r="AE298" s="253" t="n">
        <v>-24760</v>
      </c>
      <c r="AF298" s="253" t="n">
        <v>-802</v>
      </c>
      <c r="AG298" s="253" t="n">
        <v>-358</v>
      </c>
      <c r="AH298" s="253" t="n">
        <v>-25944</v>
      </c>
      <c r="AI298" s="253" t="n">
        <v>-179</v>
      </c>
      <c r="AJ298" s="253" t="n">
        <v>-27</v>
      </c>
      <c r="AK298" s="253" t="n">
        <v>-248</v>
      </c>
      <c r="AL298" s="253" t="n">
        <v>-434</v>
      </c>
      <c r="AM298" s="253" t="n">
        <v>-888</v>
      </c>
      <c r="AN298" s="253" t="n">
        <v>-245</v>
      </c>
      <c r="AO298" s="253" t="n">
        <v>-1593</v>
      </c>
      <c r="AP298" s="253" t="n">
        <v>-269</v>
      </c>
      <c r="AQ298" s="253" t="n">
        <v>-281</v>
      </c>
      <c r="AR298" s="253" t="n">
        <v>-2388</v>
      </c>
      <c r="AS298" s="253" t="n">
        <v>-462</v>
      </c>
      <c r="AT298" s="253" t="n">
        <v>-80</v>
      </c>
      <c r="AU298" s="253" t="n">
        <v>-329</v>
      </c>
      <c r="AV298" s="253" t="n">
        <v>-1650</v>
      </c>
      <c r="AW298" s="253" t="n">
        <v>-2521</v>
      </c>
      <c r="AX298" s="253" t="n">
        <v>-481</v>
      </c>
      <c r="AY298" s="253" t="n">
        <v>-415</v>
      </c>
      <c r="AZ298" s="253" t="n">
        <v>-7512</v>
      </c>
      <c r="BA298" s="253" t="n">
        <v>-501</v>
      </c>
      <c r="BB298" s="253" t="n">
        <v>-8909</v>
      </c>
      <c r="BC298" s="253" t="n">
        <v>-1206</v>
      </c>
      <c r="BD298" s="253" t="n">
        <v>-850</v>
      </c>
      <c r="BE298" s="253" t="n">
        <v>-18719</v>
      </c>
      <c r="BF298" s="253" t="n">
        <v>-1263</v>
      </c>
      <c r="BG298" s="253" t="n">
        <v>-22038</v>
      </c>
      <c r="BH298" s="253" t="n">
        <v>-349</v>
      </c>
      <c r="BI298" s="253" t="n">
        <v>-679</v>
      </c>
      <c r="BJ298" s="253" t="n">
        <v>-301</v>
      </c>
      <c r="BK298" s="253" t="n">
        <v>-341</v>
      </c>
      <c r="BL298" s="253" t="n">
        <v>-1670</v>
      </c>
      <c r="BM298" s="253" t="n">
        <v>-1186</v>
      </c>
      <c r="BN298" s="253" t="n">
        <v>-65029</v>
      </c>
      <c r="BO298" s="253" t="n">
        <v>-1575</v>
      </c>
      <c r="BP298" s="253" t="n">
        <v>-1342</v>
      </c>
      <c r="BQ298" s="253" t="n">
        <v>-69132</v>
      </c>
      <c r="BR298" s="253" t="n">
        <v>-1849</v>
      </c>
      <c r="BS298" s="253" t="n">
        <v>-1405</v>
      </c>
      <c r="BT298" s="253" t="n">
        <v>-981</v>
      </c>
      <c r="BU298" s="253" t="n">
        <v>-1743</v>
      </c>
      <c r="BV298" s="253" t="n">
        <v>-5978</v>
      </c>
      <c r="BW298" s="253" t="n">
        <v>-578</v>
      </c>
      <c r="BX298" s="253" t="n">
        <v>-455</v>
      </c>
      <c r="BY298" s="253" t="n">
        <v>-258</v>
      </c>
      <c r="BZ298" s="253" t="n">
        <v>-452</v>
      </c>
      <c r="CA298" s="253" t="n">
        <v>-1743</v>
      </c>
      <c r="CB298" s="35" t="n"/>
      <c r="CC298" s="35" t="n"/>
      <c r="CD298" s="35" t="n"/>
      <c r="CE298" s="35" t="n"/>
      <c r="CF298" s="254">
        <f>-CF115</f>
        <v>0</v>
      </c>
      <c r="CG298" s="254">
        <f>-CG115</f>
        <v>-3000</v>
      </c>
      <c r="CH298" s="254">
        <f>-CH115</f>
        <v>-3000</v>
      </c>
      <c r="CI298" s="254">
        <f>-CI115</f>
        <v>-3000</v>
      </c>
      <c r="CJ298" s="254">
        <f>-CJ115</f>
        <v>-3000</v>
      </c>
      <c r="CK298" s="19" t="inlineStr">
        <is>
          <t>FY2017 LinkedIn; FY2022 Nuance; FY2024 Activision Blizzard (net of cash acquired). 2028E+: M&amp;A lever.</t>
        </is>
      </c>
    </row>
    <row r="299" ht="15" customHeight="1" s="251">
      <c r="B299" s="25" t="inlineStr">
        <is>
          <t>Purchases, maturities &amp; sales of investments and other investing, net (derived)</t>
        </is>
      </c>
      <c r="C299" s="253" t="n">
        <v>10230</v>
      </c>
      <c r="D299" s="253" t="n">
        <v>9503</v>
      </c>
      <c r="E299" s="253" t="n">
        <v>6648</v>
      </c>
      <c r="F299" s="253" t="n">
        <v>-11783</v>
      </c>
      <c r="G299" s="253" t="n">
        <v>-9092</v>
      </c>
      <c r="H299" s="253" t="n">
        <v>-12190</v>
      </c>
      <c r="I299" s="253" t="n">
        <v>-12369</v>
      </c>
      <c r="J299" s="253" t="n">
        <v>-5971</v>
      </c>
      <c r="K299" s="253" t="n">
        <v>-1352</v>
      </c>
      <c r="L299" s="253" t="n">
        <v>-6622</v>
      </c>
      <c r="M299" s="253" t="n">
        <v>-4025</v>
      </c>
      <c r="N299" s="253" t="n">
        <v>-17970</v>
      </c>
      <c r="O299" s="253" t="n">
        <v>-3368</v>
      </c>
      <c r="P299" s="253" t="n">
        <v>846</v>
      </c>
      <c r="Q299" s="253" t="n">
        <v>-2935</v>
      </c>
      <c r="R299" s="253" t="n">
        <v>-1954</v>
      </c>
      <c r="S299" s="253" t="n">
        <v>-7411</v>
      </c>
      <c r="T299" s="253" t="n">
        <v>-6314</v>
      </c>
      <c r="U299" s="253" t="n">
        <v>-432</v>
      </c>
      <c r="V299" s="253" t="n">
        <v>-3928</v>
      </c>
      <c r="W299" s="253" t="n">
        <v>-2660</v>
      </c>
      <c r="X299" s="253" t="n">
        <v>-13334</v>
      </c>
      <c r="Y299" s="253" t="n">
        <v>-3320</v>
      </c>
      <c r="Z299" s="253" t="n">
        <v>-923</v>
      </c>
      <c r="AA299" s="253" t="n">
        <v>-2616</v>
      </c>
      <c r="AB299" s="253" t="n">
        <v>-7355</v>
      </c>
      <c r="AC299" s="253" t="n">
        <v>-14214</v>
      </c>
      <c r="AD299" s="253" t="n">
        <v>-16283</v>
      </c>
      <c r="AE299" s="253" t="n">
        <v>11997</v>
      </c>
      <c r="AF299" s="253" t="n">
        <v>-3694</v>
      </c>
      <c r="AG299" s="253" t="n">
        <v>-4728</v>
      </c>
      <c r="AH299" s="253" t="n">
        <v>-12708</v>
      </c>
      <c r="AI299" s="253" t="n">
        <v>-4593</v>
      </c>
      <c r="AJ299" s="253" t="n">
        <v>2282</v>
      </c>
      <c r="AK299" s="253" t="n">
        <v>7026</v>
      </c>
      <c r="AL299" s="253" t="n">
        <v>1744</v>
      </c>
      <c r="AM299" s="253" t="n">
        <v>6459</v>
      </c>
      <c r="AN299" s="253" t="n">
        <v>894</v>
      </c>
      <c r="AO299" s="253" t="n">
        <v>1100</v>
      </c>
      <c r="AP299" s="253" t="n">
        <v>1471</v>
      </c>
      <c r="AQ299" s="253" t="n">
        <v>-2925</v>
      </c>
      <c r="AR299" s="253" t="n">
        <v>540</v>
      </c>
      <c r="AS299" s="253" t="n">
        <v>2071</v>
      </c>
      <c r="AT299" s="253" t="n">
        <v>-2411</v>
      </c>
      <c r="AU299" s="253" t="n">
        <v>4147</v>
      </c>
      <c r="AV299" s="253" t="n">
        <v>1932</v>
      </c>
      <c r="AW299" s="253" t="n">
        <v>5739</v>
      </c>
      <c r="AX299" s="253" t="n">
        <v>17</v>
      </c>
      <c r="AY299" s="253" t="n">
        <v>2920</v>
      </c>
      <c r="AZ299" s="253" t="n">
        <v>2917</v>
      </c>
      <c r="BA299" s="253" t="n">
        <v>-3900</v>
      </c>
      <c r="BB299" s="253" t="n">
        <v>1954</v>
      </c>
      <c r="BC299" s="253" t="n">
        <v>3766</v>
      </c>
      <c r="BD299" s="253" t="n">
        <v>5554</v>
      </c>
      <c r="BE299" s="253" t="n">
        <v>7888</v>
      </c>
      <c r="BF299" s="253" t="n">
        <v>-1595</v>
      </c>
      <c r="BG299" s="253" t="n">
        <v>15613</v>
      </c>
      <c r="BH299" s="253" t="n">
        <v>3500</v>
      </c>
      <c r="BI299" s="253" t="n">
        <v>-197</v>
      </c>
      <c r="BJ299" s="253" t="n">
        <v>3644</v>
      </c>
      <c r="BK299" s="253" t="n">
        <v>150</v>
      </c>
      <c r="BL299" s="253" t="n">
        <v>7097</v>
      </c>
      <c r="BM299" s="253" t="n">
        <v>11606</v>
      </c>
      <c r="BN299" s="253" t="n">
        <v>2839</v>
      </c>
      <c r="BO299" s="253" t="n">
        <v>1827</v>
      </c>
      <c r="BP299" s="253" t="n">
        <v>367</v>
      </c>
      <c r="BQ299" s="253" t="n">
        <v>16639</v>
      </c>
      <c r="BR299" s="253" t="n">
        <v>1571</v>
      </c>
      <c r="BS299" s="253" t="n">
        <v>3097</v>
      </c>
      <c r="BT299" s="253" t="n">
        <v>5012</v>
      </c>
      <c r="BU299" s="253" t="n">
        <v>-11750</v>
      </c>
      <c r="BV299" s="253" t="n">
        <v>-2070</v>
      </c>
      <c r="BW299" s="253" t="n">
        <v>-14587</v>
      </c>
      <c r="BX299" s="253" t="n">
        <v>7626</v>
      </c>
      <c r="BY299" s="253" t="n">
        <v>3729</v>
      </c>
      <c r="BZ299" s="253" t="n">
        <v>-18577</v>
      </c>
      <c r="CA299" s="253" t="n">
        <v>-21809</v>
      </c>
      <c r="CB299" s="35" t="n"/>
      <c r="CC299" s="35" t="n"/>
      <c r="CD299" s="35" t="n"/>
      <c r="CE299" s="35" t="n"/>
      <c r="CF299" s="262" t="n">
        <v>0</v>
      </c>
      <c r="CG299" s="262" t="n">
        <v>0</v>
      </c>
      <c r="CH299" s="262" t="n">
        <v>0</v>
      </c>
      <c r="CI299" s="262" t="n">
        <v>0</v>
      </c>
      <c r="CJ299" s="262" t="n">
        <v>0</v>
      </c>
      <c r="CK299" s="19" t="inlineStr">
        <is>
          <t>Forecast nil: short-term investments held flat; all liquidity changes go through cash.</t>
        </is>
      </c>
    </row>
    <row r="300" ht="15" customHeight="1" s="251">
      <c r="B300" s="16" t="inlineStr">
        <is>
          <t>Net cash used in investing</t>
        </is>
      </c>
      <c r="C300" s="277" t="n">
        <v>8003</v>
      </c>
      <c r="D300" s="277" t="n">
        <v>6089</v>
      </c>
      <c r="E300" s="277" t="n">
        <v>-4587</v>
      </c>
      <c r="F300" s="277" t="n">
        <v>-15770</v>
      </c>
      <c r="G300" s="277" t="n">
        <v>-11314</v>
      </c>
      <c r="H300" s="277" t="n">
        <v>-14616</v>
      </c>
      <c r="I300" s="277" t="n">
        <v>-24786</v>
      </c>
      <c r="J300" s="277" t="n">
        <v>-7719</v>
      </c>
      <c r="K300" s="277" t="n">
        <v>-2593</v>
      </c>
      <c r="L300" s="277" t="n">
        <v>-7660</v>
      </c>
      <c r="M300" s="277" t="n">
        <v>-5839</v>
      </c>
      <c r="N300" s="277" t="n">
        <v>-23811</v>
      </c>
      <c r="O300" s="277" t="n">
        <v>-4614</v>
      </c>
      <c r="P300" s="277" t="n">
        <v>-1025</v>
      </c>
      <c r="Q300" s="277" t="n">
        <v>-4284</v>
      </c>
      <c r="R300" s="277" t="n">
        <v>-8910</v>
      </c>
      <c r="S300" s="277" t="n">
        <v>-18833</v>
      </c>
      <c r="T300" s="277" t="n">
        <v>-7737</v>
      </c>
      <c r="U300" s="277" t="n">
        <v>-4716</v>
      </c>
      <c r="V300" s="277" t="n">
        <v>-5481</v>
      </c>
      <c r="W300" s="277" t="n">
        <v>-5067</v>
      </c>
      <c r="X300" s="277" t="n">
        <v>-23001</v>
      </c>
      <c r="Y300" s="277" t="n">
        <v>-5066</v>
      </c>
      <c r="Z300" s="277" t="n">
        <v>-3328</v>
      </c>
      <c r="AA300" s="277" t="n">
        <v>-5483</v>
      </c>
      <c r="AB300" s="277" t="n">
        <v>-10073</v>
      </c>
      <c r="AC300" s="277" t="n">
        <v>-23950</v>
      </c>
      <c r="AD300" s="277" t="n">
        <v>-18470</v>
      </c>
      <c r="AE300" s="277" t="n">
        <v>-14751</v>
      </c>
      <c r="AF300" s="277" t="n">
        <v>-6191</v>
      </c>
      <c r="AG300" s="277" t="n">
        <v>-7369</v>
      </c>
      <c r="AH300" s="277" t="n">
        <v>-46781</v>
      </c>
      <c r="AI300" s="277" t="n">
        <v>-6904</v>
      </c>
      <c r="AJ300" s="277" t="n">
        <v>-331</v>
      </c>
      <c r="AK300" s="277" t="n">
        <v>3844</v>
      </c>
      <c r="AL300" s="277" t="n">
        <v>-2670</v>
      </c>
      <c r="AM300" s="277" t="n">
        <v>-6061</v>
      </c>
      <c r="AN300" s="277" t="n">
        <v>-2953</v>
      </c>
      <c r="AO300" s="277" t="n">
        <v>-4200</v>
      </c>
      <c r="AP300" s="277" t="n">
        <v>-1363</v>
      </c>
      <c r="AQ300" s="277" t="n">
        <v>-7257</v>
      </c>
      <c r="AR300" s="277" t="n">
        <v>-15773</v>
      </c>
      <c r="AS300" s="277" t="n">
        <v>-1776</v>
      </c>
      <c r="AT300" s="277" t="n">
        <v>-6036</v>
      </c>
      <c r="AU300" s="277" t="n">
        <v>51</v>
      </c>
      <c r="AV300" s="277" t="n">
        <v>-4462</v>
      </c>
      <c r="AW300" s="277" t="n">
        <v>-12223</v>
      </c>
      <c r="AX300" s="277" t="n">
        <v>-5371</v>
      </c>
      <c r="AY300" s="277" t="n">
        <v>-1669</v>
      </c>
      <c r="AZ300" s="277" t="n">
        <v>-9684</v>
      </c>
      <c r="BA300" s="277" t="n">
        <v>-10853</v>
      </c>
      <c r="BB300" s="277" t="n">
        <v>-27577</v>
      </c>
      <c r="BC300" s="277" t="n">
        <v>-3250</v>
      </c>
      <c r="BD300" s="277" t="n">
        <v>-1161</v>
      </c>
      <c r="BE300" s="277" t="n">
        <v>-16171</v>
      </c>
      <c r="BF300" s="277" t="n">
        <v>-9729</v>
      </c>
      <c r="BG300" s="277" t="n">
        <v>-30311</v>
      </c>
      <c r="BH300" s="277" t="n">
        <v>-3132</v>
      </c>
      <c r="BI300" s="277" t="n">
        <v>-7150</v>
      </c>
      <c r="BJ300" s="277" t="n">
        <v>-3264</v>
      </c>
      <c r="BK300" s="277" t="n">
        <v>-9134</v>
      </c>
      <c r="BL300" s="277" t="n">
        <v>-22680</v>
      </c>
      <c r="BM300" s="277" t="n">
        <v>503</v>
      </c>
      <c r="BN300" s="277" t="n">
        <v>-71925</v>
      </c>
      <c r="BO300" s="277" t="n">
        <v>-10700</v>
      </c>
      <c r="BP300" s="277" t="n">
        <v>-14848</v>
      </c>
      <c r="BQ300" s="277" t="n">
        <v>-96970</v>
      </c>
      <c r="BR300" s="277" t="n">
        <v>-15201</v>
      </c>
      <c r="BS300" s="277" t="n">
        <v>-14112</v>
      </c>
      <c r="BT300" s="277" t="n">
        <v>-12714</v>
      </c>
      <c r="BU300" s="277" t="n">
        <v>-30572</v>
      </c>
      <c r="BV300" s="277" t="n">
        <v>-72599</v>
      </c>
      <c r="BW300" s="277" t="n">
        <v>-34559</v>
      </c>
      <c r="BX300" s="277" t="n">
        <v>-22705</v>
      </c>
      <c r="BY300" s="277" t="n">
        <v>-27405</v>
      </c>
      <c r="BZ300" s="277" t="n">
        <v>-54831</v>
      </c>
      <c r="CA300" s="277" t="n">
        <v>-139500</v>
      </c>
      <c r="CB300" s="32" t="n"/>
      <c r="CC300" s="32" t="n"/>
      <c r="CD300" s="32" t="n"/>
      <c r="CE300" s="32" t="n"/>
      <c r="CF300" s="261">
        <f>SUM(CF297:CF299)</f>
        <v>-165000</v>
      </c>
      <c r="CG300" s="261">
        <f>SUM(CG297:CG299)</f>
        <v>-172069.764091968</v>
      </c>
      <c r="CH300" s="261">
        <f>SUM(CH297:CH299)</f>
        <v>-176867.803372104</v>
      </c>
      <c r="CI300" s="261">
        <f>SUM(CI297:CI299)</f>
        <v>-176064.314266865</v>
      </c>
      <c r="CJ300" s="261">
        <f>SUM(CJ297:CJ299)</f>
        <v>-180328.52565757</v>
      </c>
      <c r="CK300" s="153" t="n"/>
    </row>
    <row r="301" ht="15" customHeight="1" s="251">
      <c r="B301" s="25" t="inlineStr">
        <is>
          <t>Common stock repurchased</t>
        </is>
      </c>
      <c r="C301" s="253" t="n">
        <v>-19207</v>
      </c>
      <c r="D301" s="253" t="n">
        <v>-27575</v>
      </c>
      <c r="E301" s="253" t="n">
        <v>-12533</v>
      </c>
      <c r="F301" s="253" t="n">
        <v>-9353</v>
      </c>
      <c r="G301" s="253" t="n">
        <v>-11269</v>
      </c>
      <c r="H301" s="253" t="n">
        <v>-11555</v>
      </c>
      <c r="I301" s="253" t="n">
        <v>-5029</v>
      </c>
      <c r="J301" s="253" t="n">
        <v>-1632</v>
      </c>
      <c r="K301" s="253" t="n">
        <v>-1658</v>
      </c>
      <c r="L301" s="253" t="n">
        <v>-1028</v>
      </c>
      <c r="M301" s="253" t="n">
        <v>-1042</v>
      </c>
      <c r="N301" s="253" t="n">
        <v>-5360</v>
      </c>
      <c r="O301" s="253" t="n">
        <v>-2188</v>
      </c>
      <c r="P301" s="253" t="n">
        <v>-2113</v>
      </c>
      <c r="Q301" s="253" t="n">
        <v>-1845</v>
      </c>
      <c r="R301" s="253" t="n">
        <v>-1170</v>
      </c>
      <c r="S301" s="253" t="n">
        <v>-7316</v>
      </c>
      <c r="T301" s="253" t="n">
        <v>-2888</v>
      </c>
      <c r="U301" s="253" t="n">
        <v>-2145</v>
      </c>
      <c r="V301" s="253" t="n">
        <v>-5131</v>
      </c>
      <c r="W301" s="253" t="n">
        <v>-4279</v>
      </c>
      <c r="X301" s="253" t="n">
        <v>-14443</v>
      </c>
      <c r="Y301" s="253" t="n">
        <v>-4757</v>
      </c>
      <c r="Z301" s="253" t="n">
        <v>-3678</v>
      </c>
      <c r="AA301" s="253" t="n">
        <v>-3857</v>
      </c>
      <c r="AB301" s="253" t="n">
        <v>-3677</v>
      </c>
      <c r="AC301" s="253" t="n">
        <v>-15969</v>
      </c>
      <c r="AD301" s="253" t="n">
        <v>-4362</v>
      </c>
      <c r="AE301" s="253" t="n">
        <v>-3599</v>
      </c>
      <c r="AF301" s="253" t="n">
        <v>-2062</v>
      </c>
      <c r="AG301" s="253" t="n">
        <v>-1765</v>
      </c>
      <c r="AH301" s="253" t="n">
        <v>-11788</v>
      </c>
      <c r="AI301" s="253" t="n">
        <v>-2570</v>
      </c>
      <c r="AJ301" s="253" t="n">
        <v>-2008</v>
      </c>
      <c r="AK301" s="253" t="n">
        <v>-3781</v>
      </c>
      <c r="AL301" s="253" t="n">
        <v>-2362</v>
      </c>
      <c r="AM301" s="253" t="n">
        <v>-10721</v>
      </c>
      <c r="AN301" s="253" t="n">
        <v>-3744</v>
      </c>
      <c r="AO301" s="253" t="n">
        <v>-6413</v>
      </c>
      <c r="AP301" s="253" t="n">
        <v>-4753</v>
      </c>
      <c r="AQ301" s="253" t="n">
        <v>-4633</v>
      </c>
      <c r="AR301" s="253" t="n">
        <v>-19543</v>
      </c>
      <c r="AS301" s="253" t="n">
        <v>-4912</v>
      </c>
      <c r="AT301" s="253" t="n">
        <v>-5206</v>
      </c>
      <c r="AU301" s="253" t="n">
        <v>-7059</v>
      </c>
      <c r="AV301" s="253" t="n">
        <v>-5791</v>
      </c>
      <c r="AW301" s="253" t="n">
        <v>-22968</v>
      </c>
      <c r="AX301" s="253" t="n">
        <v>-6743</v>
      </c>
      <c r="AY301" s="253" t="n">
        <v>-6535</v>
      </c>
      <c r="AZ301" s="253" t="n">
        <v>-6930</v>
      </c>
      <c r="BA301" s="253" t="n">
        <v>-7177</v>
      </c>
      <c r="BB301" s="253" t="n">
        <v>-27385</v>
      </c>
      <c r="BC301" s="253" t="n">
        <v>-7684</v>
      </c>
      <c r="BD301" s="253" t="n">
        <v>-7433</v>
      </c>
      <c r="BE301" s="253" t="n">
        <v>-8822</v>
      </c>
      <c r="BF301" s="253" t="n">
        <v>-8757</v>
      </c>
      <c r="BG301" s="253" t="n">
        <v>-32696</v>
      </c>
      <c r="BH301" s="253" t="n">
        <v>-5573</v>
      </c>
      <c r="BI301" s="253" t="n">
        <v>-5459</v>
      </c>
      <c r="BJ301" s="253" t="n">
        <v>-5509</v>
      </c>
      <c r="BK301" s="253" t="n">
        <v>-5704</v>
      </c>
      <c r="BL301" s="253" t="n">
        <v>-22245</v>
      </c>
      <c r="BM301" s="253" t="n">
        <v>-4831</v>
      </c>
      <c r="BN301" s="253" t="n">
        <v>-4000</v>
      </c>
      <c r="BO301" s="253" t="n">
        <v>-4213</v>
      </c>
      <c r="BP301" s="253" t="n">
        <v>-4210</v>
      </c>
      <c r="BQ301" s="253" t="n">
        <v>-17254</v>
      </c>
      <c r="BR301" s="253" t="n">
        <v>-4107</v>
      </c>
      <c r="BS301" s="253" t="n">
        <v>-4986</v>
      </c>
      <c r="BT301" s="253" t="n">
        <v>-4781</v>
      </c>
      <c r="BU301" s="253" t="n">
        <v>-4546</v>
      </c>
      <c r="BV301" s="253" t="n">
        <v>-18420</v>
      </c>
      <c r="BW301" s="253" t="n">
        <v>-5650</v>
      </c>
      <c r="BX301" s="253" t="n">
        <v>-7415</v>
      </c>
      <c r="BY301" s="253" t="n">
        <v>-4627</v>
      </c>
      <c r="BZ301" s="253" t="n">
        <v>-4579</v>
      </c>
      <c r="CA301" s="253" t="n">
        <v>-22271</v>
      </c>
      <c r="CB301" s="35" t="n"/>
      <c r="CC301" s="35" t="n"/>
      <c r="CD301" s="35" t="n"/>
      <c r="CE301" s="35" t="n"/>
      <c r="CF301" s="254">
        <f>-CF411</f>
        <v>-21393.0642670554</v>
      </c>
      <c r="CG301" s="254">
        <f>-CG411</f>
        <v>-57251.1449840952</v>
      </c>
      <c r="CH301" s="254">
        <f>-CH411</f>
        <v>-93974.2522727985</v>
      </c>
      <c r="CI301" s="254">
        <f>-CI411</f>
        <v>-141500.833712265</v>
      </c>
      <c r="CJ301" s="254">
        <f>-CJ411</f>
        <v>-178877.687325952</v>
      </c>
      <c r="CK301" s="19" t="inlineStr">
        <is>
          <t>Includes shares withheld for employee taxes. Forecast = liquidity-target plug (schedule below), with a scenario minimum.</t>
        </is>
      </c>
    </row>
    <row r="302" ht="15" customHeight="1" s="251">
      <c r="B302" s="25" t="inlineStr">
        <is>
          <t>Common stock cash dividends paid</t>
        </is>
      </c>
      <c r="C302" s="253" t="n">
        <v>-3545</v>
      </c>
      <c r="D302" s="253" t="n">
        <v>-3805</v>
      </c>
      <c r="E302" s="253" t="n">
        <v>-4015</v>
      </c>
      <c r="F302" s="253" t="n">
        <v>-4468</v>
      </c>
      <c r="G302" s="253" t="n">
        <v>-4578</v>
      </c>
      <c r="H302" s="253" t="n">
        <v>-5180</v>
      </c>
      <c r="I302" s="253" t="n">
        <v>-6385</v>
      </c>
      <c r="J302" s="253" t="n">
        <v>-1676</v>
      </c>
      <c r="K302" s="253" t="n">
        <v>-1933</v>
      </c>
      <c r="L302" s="253" t="n">
        <v>-1925</v>
      </c>
      <c r="M302" s="253" t="n">
        <v>-1921</v>
      </c>
      <c r="N302" s="253" t="n">
        <v>-7455</v>
      </c>
      <c r="O302" s="253" t="n">
        <v>-1916</v>
      </c>
      <c r="P302" s="253" t="n">
        <v>-2332</v>
      </c>
      <c r="Q302" s="253" t="n">
        <v>-2322</v>
      </c>
      <c r="R302" s="253" t="n">
        <v>-2309</v>
      </c>
      <c r="S302" s="253" t="n">
        <v>-8879</v>
      </c>
      <c r="T302" s="253" t="n">
        <v>-2307</v>
      </c>
      <c r="U302" s="253" t="n">
        <v>-2547</v>
      </c>
      <c r="V302" s="253" t="n">
        <v>-2532</v>
      </c>
      <c r="W302" s="253" t="n">
        <v>-2496</v>
      </c>
      <c r="X302" s="253" t="n">
        <v>-9882</v>
      </c>
      <c r="Y302" s="253" t="n">
        <v>-2475</v>
      </c>
      <c r="Z302" s="253" t="n">
        <v>-2868</v>
      </c>
      <c r="AA302" s="253" t="n">
        <v>-2842</v>
      </c>
      <c r="AB302" s="253" t="n">
        <v>-2821</v>
      </c>
      <c r="AC302" s="253" t="n">
        <v>-11006</v>
      </c>
      <c r="AD302" s="253" t="n">
        <v>-2800</v>
      </c>
      <c r="AE302" s="253" t="n">
        <v>-3024</v>
      </c>
      <c r="AF302" s="253" t="n">
        <v>-3012</v>
      </c>
      <c r="AG302" s="253" t="n">
        <v>-3009</v>
      </c>
      <c r="AH302" s="253" t="n">
        <v>-11845</v>
      </c>
      <c r="AI302" s="253" t="n">
        <v>-3003</v>
      </c>
      <c r="AJ302" s="253" t="n">
        <v>-3238</v>
      </c>
      <c r="AK302" s="253" t="n">
        <v>-3232</v>
      </c>
      <c r="AL302" s="253" t="n">
        <v>-3226</v>
      </c>
      <c r="AM302" s="253" t="n">
        <v>-12699</v>
      </c>
      <c r="AN302" s="253" t="n">
        <v>-3220</v>
      </c>
      <c r="AO302" s="253" t="n">
        <v>-3544</v>
      </c>
      <c r="AP302" s="253" t="n">
        <v>-3526</v>
      </c>
      <c r="AQ302" s="253" t="n">
        <v>-3521</v>
      </c>
      <c r="AR302" s="253" t="n">
        <v>-13811</v>
      </c>
      <c r="AS302" s="253" t="n">
        <v>-3510</v>
      </c>
      <c r="AT302" s="253" t="n">
        <v>-3886</v>
      </c>
      <c r="AU302" s="253" t="n">
        <v>-3876</v>
      </c>
      <c r="AV302" s="253" t="n">
        <v>-3865</v>
      </c>
      <c r="AW302" s="253" t="n">
        <v>-15137</v>
      </c>
      <c r="AX302" s="253" t="n">
        <v>-3856</v>
      </c>
      <c r="AY302" s="253" t="n">
        <v>-4230</v>
      </c>
      <c r="AZ302" s="253" t="n">
        <v>-4221</v>
      </c>
      <c r="BA302" s="253" t="n">
        <v>-4214</v>
      </c>
      <c r="BB302" s="253" t="n">
        <v>-16521</v>
      </c>
      <c r="BC302" s="253" t="n">
        <v>-4206</v>
      </c>
      <c r="BD302" s="253" t="n">
        <v>-4652</v>
      </c>
      <c r="BE302" s="253" t="n">
        <v>-4645</v>
      </c>
      <c r="BF302" s="253" t="n">
        <v>-4632</v>
      </c>
      <c r="BG302" s="253" t="n">
        <v>-18135</v>
      </c>
      <c r="BH302" s="253" t="n">
        <v>-4621</v>
      </c>
      <c r="BI302" s="253" t="n">
        <v>-5066</v>
      </c>
      <c r="BJ302" s="253" t="n">
        <v>-5059</v>
      </c>
      <c r="BK302" s="253" t="n">
        <v>-5054</v>
      </c>
      <c r="BL302" s="253" t="n">
        <v>-19800</v>
      </c>
      <c r="BM302" s="253" t="n">
        <v>-5051</v>
      </c>
      <c r="BN302" s="253" t="n">
        <v>-5574</v>
      </c>
      <c r="BO302" s="253" t="n">
        <v>-5572</v>
      </c>
      <c r="BP302" s="253" t="n">
        <v>-5574</v>
      </c>
      <c r="BQ302" s="253" t="n">
        <v>-21771</v>
      </c>
      <c r="BR302" s="253" t="n">
        <v>-5574</v>
      </c>
      <c r="BS302" s="253" t="n">
        <v>-6170</v>
      </c>
      <c r="BT302" s="253" t="n">
        <v>-6169</v>
      </c>
      <c r="BU302" s="253" t="n">
        <v>-6169</v>
      </c>
      <c r="BV302" s="253" t="n">
        <v>-24082</v>
      </c>
      <c r="BW302" s="253" t="n">
        <v>-6169</v>
      </c>
      <c r="BX302" s="253" t="n">
        <v>-6762</v>
      </c>
      <c r="BY302" s="253" t="n">
        <v>-6756</v>
      </c>
      <c r="BZ302" s="253" t="n">
        <v>-6758</v>
      </c>
      <c r="CA302" s="253" t="n">
        <v>-26445</v>
      </c>
      <c r="CB302" s="35" t="n"/>
      <c r="CC302" s="35" t="n"/>
      <c r="CD302" s="35" t="n"/>
      <c r="CE302" s="35" t="n"/>
      <c r="CF302" s="254">
        <f>-CF213*CF331</f>
        <v>-29708</v>
      </c>
      <c r="CG302" s="254">
        <f>-CG213*CG331</f>
        <v>-32636.8083497689</v>
      </c>
      <c r="CH302" s="254">
        <f>-CH213*CH331</f>
        <v>-35571.4378981657</v>
      </c>
      <c r="CI302" s="254">
        <f>-CI213*CI331</f>
        <v>-38495.4313887656</v>
      </c>
      <c r="CJ302" s="254">
        <f>-CJ213*CJ331</f>
        <v>-41304.701178815</v>
      </c>
      <c r="CK302" s="19" t="inlineStr">
        <is>
          <t>Forecast = dividends declared per share × beginning shares (the one-quarter payment lag is ignored).</t>
        </is>
      </c>
    </row>
    <row r="303" ht="15" customHeight="1" s="251">
      <c r="B303" s="25" t="inlineStr">
        <is>
          <t>Common stock issued</t>
        </is>
      </c>
      <c r="C303" s="253" t="n">
        <v>2101</v>
      </c>
      <c r="D303" s="253" t="n">
        <v>6782</v>
      </c>
      <c r="E303" s="253" t="n">
        <v>3494</v>
      </c>
      <c r="F303" s="253" t="n">
        <v>579</v>
      </c>
      <c r="G303" s="253" t="n">
        <v>2311</v>
      </c>
      <c r="H303" s="253" t="n">
        <v>2422</v>
      </c>
      <c r="I303" s="253" t="n">
        <v>1913</v>
      </c>
      <c r="J303" s="253" t="n">
        <v>417</v>
      </c>
      <c r="K303" s="253" t="n">
        <v>145</v>
      </c>
      <c r="L303" s="253" t="n">
        <v>203</v>
      </c>
      <c r="M303" s="253" t="n">
        <v>166</v>
      </c>
      <c r="N303" s="253" t="n">
        <v>931</v>
      </c>
      <c r="O303" s="253" t="n">
        <v>203</v>
      </c>
      <c r="P303" s="253" t="n">
        <v>117</v>
      </c>
      <c r="Q303" s="253" t="n">
        <v>141</v>
      </c>
      <c r="R303" s="253" t="n">
        <v>146</v>
      </c>
      <c r="S303" s="253" t="n">
        <v>607</v>
      </c>
      <c r="T303" s="253" t="n">
        <v>216</v>
      </c>
      <c r="U303" s="253" t="n">
        <v>121</v>
      </c>
      <c r="V303" s="253" t="n">
        <v>146</v>
      </c>
      <c r="W303" s="253" t="n">
        <v>151</v>
      </c>
      <c r="X303" s="253" t="n">
        <v>634</v>
      </c>
      <c r="Y303" s="253" t="n">
        <v>219</v>
      </c>
      <c r="Z303" s="253" t="n">
        <v>117</v>
      </c>
      <c r="AA303" s="253" t="n">
        <v>159</v>
      </c>
      <c r="AB303" s="253" t="n">
        <v>173</v>
      </c>
      <c r="AC303" s="253" t="n">
        <v>668</v>
      </c>
      <c r="AD303" s="253" t="n">
        <v>241</v>
      </c>
      <c r="AE303" s="253" t="n">
        <v>131</v>
      </c>
      <c r="AF303" s="253" t="n">
        <v>179</v>
      </c>
      <c r="AG303" s="253" t="n">
        <v>221</v>
      </c>
      <c r="AH303" s="253" t="n">
        <v>772</v>
      </c>
      <c r="AI303" s="253" t="n">
        <v>307</v>
      </c>
      <c r="AJ303" s="253" t="n">
        <v>189</v>
      </c>
      <c r="AK303" s="253" t="n">
        <v>251</v>
      </c>
      <c r="AL303" s="253" t="n">
        <v>255</v>
      </c>
      <c r="AM303" s="253" t="n">
        <v>1002</v>
      </c>
      <c r="AN303" s="253" t="n">
        <v>360</v>
      </c>
      <c r="AO303" s="253" t="n">
        <v>200</v>
      </c>
      <c r="AP303" s="253" t="n">
        <v>274</v>
      </c>
      <c r="AQ303" s="253" t="n">
        <v>308</v>
      </c>
      <c r="AR303" s="253" t="n">
        <v>1142</v>
      </c>
      <c r="AS303" s="253" t="n">
        <v>427</v>
      </c>
      <c r="AT303" s="253" t="n">
        <v>234</v>
      </c>
      <c r="AU303" s="253" t="n">
        <v>342</v>
      </c>
      <c r="AV303" s="253" t="n">
        <v>340</v>
      </c>
      <c r="AW303" s="253" t="n">
        <v>1343</v>
      </c>
      <c r="AX303" s="253" t="n">
        <v>545</v>
      </c>
      <c r="AY303" s="253" t="n">
        <v>302</v>
      </c>
      <c r="AZ303" s="253" t="n">
        <v>396</v>
      </c>
      <c r="BA303" s="253" t="n">
        <v>450</v>
      </c>
      <c r="BB303" s="253" t="n">
        <v>1693</v>
      </c>
      <c r="BC303" s="253" t="n">
        <v>612</v>
      </c>
      <c r="BD303" s="253" t="n">
        <v>291</v>
      </c>
      <c r="BE303" s="253" t="n">
        <v>477</v>
      </c>
      <c r="BF303" s="253" t="n">
        <v>461</v>
      </c>
      <c r="BG303" s="253" t="n">
        <v>1841</v>
      </c>
      <c r="BH303" s="253" t="n">
        <v>575</v>
      </c>
      <c r="BI303" s="253" t="n">
        <v>243</v>
      </c>
      <c r="BJ303" s="253" t="n">
        <v>536</v>
      </c>
      <c r="BK303" s="253" t="n">
        <v>512</v>
      </c>
      <c r="BL303" s="253" t="n">
        <v>1866</v>
      </c>
      <c r="BM303" s="253" t="n">
        <v>685</v>
      </c>
      <c r="BN303" s="253" t="n">
        <v>261</v>
      </c>
      <c r="BO303" s="253" t="n">
        <v>522</v>
      </c>
      <c r="BP303" s="253" t="n">
        <v>534</v>
      </c>
      <c r="BQ303" s="253" t="n">
        <v>2002</v>
      </c>
      <c r="BR303" s="253" t="n">
        <v>706</v>
      </c>
      <c r="BS303" s="253" t="n">
        <v>256</v>
      </c>
      <c r="BT303" s="253" t="n">
        <v>546</v>
      </c>
      <c r="BU303" s="253" t="n">
        <v>548</v>
      </c>
      <c r="BV303" s="253" t="n">
        <v>2056</v>
      </c>
      <c r="BW303" s="253" t="n">
        <v>689</v>
      </c>
      <c r="BX303" s="253" t="n">
        <v>259</v>
      </c>
      <c r="BY303" s="253" t="n">
        <v>541</v>
      </c>
      <c r="BZ303" s="253" t="n">
        <v>520</v>
      </c>
      <c r="CA303" s="253" t="n">
        <v>2009</v>
      </c>
      <c r="CB303" s="35" t="n"/>
      <c r="CC303" s="35" t="n"/>
      <c r="CD303" s="35" t="n"/>
      <c r="CE303" s="35" t="n"/>
      <c r="CF303" s="262" t="n">
        <v>2000</v>
      </c>
      <c r="CG303" s="262" t="n">
        <v>2000</v>
      </c>
      <c r="CH303" s="262" t="n">
        <v>2000</v>
      </c>
      <c r="CI303" s="262" t="n">
        <v>2000</v>
      </c>
      <c r="CJ303" s="262" t="n">
        <v>2000</v>
      </c>
      <c r="CK303" s="19" t="n"/>
    </row>
    <row r="304" ht="15" customHeight="1" s="251">
      <c r="B304" s="25" t="inlineStr">
        <is>
          <t>Debt issued / (repaid), net (incl. short-term debt)</t>
        </is>
      </c>
      <c r="C304" s="253" t="n">
        <v>0</v>
      </c>
      <c r="D304" s="253" t="n">
        <v>0</v>
      </c>
      <c r="E304" s="253" t="n">
        <v>0</v>
      </c>
      <c r="F304" s="253" t="n">
        <v>5746</v>
      </c>
      <c r="G304" s="253" t="n">
        <v>190</v>
      </c>
      <c r="H304" s="253" t="n">
        <v>5960</v>
      </c>
      <c r="I304" s="253" t="n">
        <v>0</v>
      </c>
      <c r="J304" s="253" t="n">
        <v>0</v>
      </c>
      <c r="K304" s="253" t="n">
        <v>2232</v>
      </c>
      <c r="L304" s="253" t="n">
        <v>0</v>
      </c>
      <c r="M304" s="253" t="n">
        <v>1305</v>
      </c>
      <c r="N304" s="253" t="n">
        <v>3537</v>
      </c>
      <c r="O304" s="253" t="n">
        <v>300</v>
      </c>
      <c r="P304" s="253" t="n">
        <v>6962</v>
      </c>
      <c r="Q304" s="253" t="n">
        <v>-300</v>
      </c>
      <c r="R304" s="253" t="n">
        <v>0</v>
      </c>
      <c r="S304" s="253" t="n">
        <v>6962</v>
      </c>
      <c r="T304" s="253" t="n">
        <v>1499</v>
      </c>
      <c r="U304" s="253" t="n">
        <v>4798</v>
      </c>
      <c r="V304" s="253" t="n">
        <v>4105</v>
      </c>
      <c r="W304" s="253" t="n">
        <v>3259</v>
      </c>
      <c r="X304" s="253" t="n">
        <v>13661</v>
      </c>
      <c r="Y304" s="253" t="n">
        <v>3261</v>
      </c>
      <c r="Z304" s="253" t="n">
        <v>5976</v>
      </c>
      <c r="AA304" s="253" t="n">
        <v>1747</v>
      </c>
      <c r="AB304" s="253" t="n">
        <v>7299</v>
      </c>
      <c r="AC304" s="253" t="n">
        <v>18283</v>
      </c>
      <c r="AD304" s="253" t="n">
        <v>21362</v>
      </c>
      <c r="AE304" s="253" t="n">
        <v>9196</v>
      </c>
      <c r="AF304" s="253" t="n">
        <v>-966</v>
      </c>
      <c r="AG304" s="253" t="n">
        <v>1867</v>
      </c>
      <c r="AH304" s="253" t="n">
        <v>31459</v>
      </c>
      <c r="AI304" s="253" t="n">
        <v>-925</v>
      </c>
      <c r="AJ304" s="253" t="n">
        <v>3661</v>
      </c>
      <c r="AK304" s="253" t="n">
        <v>-12256</v>
      </c>
      <c r="AL304" s="253" t="n">
        <v>-681</v>
      </c>
      <c r="AM304" s="253" t="n">
        <v>-10201</v>
      </c>
      <c r="AN304" s="253" t="n">
        <v>0</v>
      </c>
      <c r="AO304" s="253" t="n">
        <v>-3000</v>
      </c>
      <c r="AP304" s="253" t="n">
        <v>0</v>
      </c>
      <c r="AQ304" s="253" t="n">
        <v>-1000</v>
      </c>
      <c r="AR304" s="253" t="n">
        <v>-4000</v>
      </c>
      <c r="AS304" s="253" t="n">
        <v>-2500</v>
      </c>
      <c r="AT304" s="253" t="n">
        <v>-18</v>
      </c>
      <c r="AU304" s="253" t="n">
        <v>-3000</v>
      </c>
      <c r="AV304" s="253" t="n">
        <v>0</v>
      </c>
      <c r="AW304" s="253" t="n">
        <v>-5518</v>
      </c>
      <c r="AX304" s="253" t="n">
        <v>0</v>
      </c>
      <c r="AY304" s="253" t="n">
        <v>-3250</v>
      </c>
      <c r="AZ304" s="253" t="n">
        <v>-500</v>
      </c>
      <c r="BA304" s="253" t="n">
        <v>0</v>
      </c>
      <c r="BB304" s="253" t="n">
        <v>-3750</v>
      </c>
      <c r="BC304" s="253" t="n">
        <v>-4826</v>
      </c>
      <c r="BD304" s="253" t="n">
        <v>0</v>
      </c>
      <c r="BE304" s="253" t="n">
        <v>-4197</v>
      </c>
      <c r="BF304" s="253" t="n">
        <v>0</v>
      </c>
      <c r="BG304" s="253" t="n">
        <v>-9023</v>
      </c>
      <c r="BH304" s="253" t="n">
        <v>-1000</v>
      </c>
      <c r="BI304" s="253" t="n">
        <v>-750</v>
      </c>
      <c r="BJ304" s="253" t="n">
        <v>0</v>
      </c>
      <c r="BK304" s="253" t="n">
        <v>-1000</v>
      </c>
      <c r="BL304" s="253" t="n">
        <v>-2750</v>
      </c>
      <c r="BM304" s="253" t="n">
        <v>24265</v>
      </c>
      <c r="BN304" s="253" t="n">
        <v>-633</v>
      </c>
      <c r="BO304" s="253" t="n">
        <v>-9047</v>
      </c>
      <c r="BP304" s="253" t="n">
        <v>-14010</v>
      </c>
      <c r="BQ304" s="253" t="n">
        <v>575</v>
      </c>
      <c r="BR304" s="253" t="n">
        <v>-6712</v>
      </c>
      <c r="BS304" s="253" t="n">
        <v>0</v>
      </c>
      <c r="BT304" s="253" t="n">
        <v>-2250</v>
      </c>
      <c r="BU304" s="253" t="n">
        <v>0</v>
      </c>
      <c r="BV304" s="253" t="n">
        <v>-8962</v>
      </c>
      <c r="BW304" s="253" t="n">
        <v>0</v>
      </c>
      <c r="BX304" s="253" t="n">
        <v>-3000</v>
      </c>
      <c r="BY304" s="253" t="n">
        <v>0</v>
      </c>
      <c r="BZ304" s="253" t="n">
        <v>0</v>
      </c>
      <c r="CA304" s="253" t="n">
        <v>-3000</v>
      </c>
      <c r="CB304" s="35" t="n"/>
      <c r="CC304" s="35" t="n"/>
      <c r="CD304" s="35" t="n"/>
      <c r="CE304" s="35" t="n"/>
      <c r="CF304" s="254">
        <f>CF398-CA398-CF396</f>
        <v>-9250</v>
      </c>
      <c r="CG304" s="254">
        <f>CG398-CF398-CG396</f>
        <v>0</v>
      </c>
      <c r="CH304" s="254">
        <f>CH398-CG398-CH396</f>
        <v>-2001</v>
      </c>
      <c r="CI304" s="254">
        <f>CI398-CH398-CI396</f>
        <v>0</v>
      </c>
      <c r="CJ304" s="254">
        <f>CJ398-CI398-CJ396</f>
        <v>-500</v>
      </c>
      <c r="CK304" s="19" t="inlineStr">
        <is>
          <t>Notes repaid at maturity (face); short-term borrowing drawn / repaid to the minimum liquidity balance.</t>
        </is>
      </c>
    </row>
    <row r="305" ht="15" customHeight="1" s="251">
      <c r="B305" s="25" t="inlineStr">
        <is>
          <t>Other financing, net (incl. finance-lease principal; derived historically)</t>
        </is>
      </c>
      <c r="C305" s="253" t="n">
        <v>89</v>
      </c>
      <c r="D305" s="253" t="n">
        <v>54</v>
      </c>
      <c r="E305" s="253" t="n">
        <v>120</v>
      </c>
      <c r="F305" s="253" t="n">
        <v>33</v>
      </c>
      <c r="G305" s="253" t="n">
        <v>55</v>
      </c>
      <c r="H305" s="253" t="n">
        <v>-23</v>
      </c>
      <c r="I305" s="253" t="n">
        <v>93</v>
      </c>
      <c r="J305" s="253" t="n">
        <v>177</v>
      </c>
      <c r="K305" s="253" t="n">
        <v>-7</v>
      </c>
      <c r="L305" s="253" t="n">
        <v>6</v>
      </c>
      <c r="M305" s="253" t="n">
        <v>23</v>
      </c>
      <c r="N305" s="253" t="n">
        <v>199</v>
      </c>
      <c r="O305" s="253" t="n">
        <v>205</v>
      </c>
      <c r="P305" s="253" t="n">
        <v>-19</v>
      </c>
      <c r="Q305" s="253" t="n">
        <v>22</v>
      </c>
      <c r="R305" s="253" t="n">
        <v>24</v>
      </c>
      <c r="S305" s="253" t="n">
        <v>232</v>
      </c>
      <c r="T305" s="253" t="n">
        <v>502</v>
      </c>
      <c r="U305" s="253" t="n">
        <v>307</v>
      </c>
      <c r="V305" s="253" t="n">
        <v>347</v>
      </c>
      <c r="W305" s="253" t="n">
        <v>-206</v>
      </c>
      <c r="X305" s="253" t="n">
        <v>950</v>
      </c>
      <c r="Y305" s="253" t="n">
        <v>104</v>
      </c>
      <c r="Z305" s="253" t="n">
        <v>-45</v>
      </c>
      <c r="AA305" s="253" t="n">
        <v>-123</v>
      </c>
      <c r="AB305" s="253" t="n">
        <v>-3</v>
      </c>
      <c r="AC305" s="253" t="n">
        <v>-369</v>
      </c>
      <c r="AD305" s="253" t="n">
        <v>-112</v>
      </c>
      <c r="AE305" s="253" t="n">
        <v>312</v>
      </c>
      <c r="AF305" s="253" t="n">
        <v>-375</v>
      </c>
      <c r="AG305" s="253" t="n">
        <v>-15</v>
      </c>
      <c r="AH305" s="253" t="n">
        <v>-190</v>
      </c>
      <c r="AI305" s="253" t="n">
        <v>-150</v>
      </c>
      <c r="AJ305" s="253" t="n">
        <v>-156</v>
      </c>
      <c r="AK305" s="253" t="n">
        <v>-640</v>
      </c>
      <c r="AL305" s="253" t="n">
        <v>-25</v>
      </c>
      <c r="AM305" s="253" t="n">
        <v>-971</v>
      </c>
      <c r="AN305" s="253" t="n">
        <v>-780</v>
      </c>
      <c r="AO305" s="253" t="n">
        <v>-459</v>
      </c>
      <c r="AP305" s="253" t="n">
        <v>404</v>
      </c>
      <c r="AQ305" s="253" t="n">
        <v>160</v>
      </c>
      <c r="AR305" s="253" t="n">
        <v>-675</v>
      </c>
      <c r="AS305" s="253" t="n">
        <v>286</v>
      </c>
      <c r="AT305" s="253" t="n">
        <v>-39</v>
      </c>
      <c r="AU305" s="253" t="n">
        <v>-1052</v>
      </c>
      <c r="AV305" s="253" t="n">
        <v>-2946</v>
      </c>
      <c r="AW305" s="253" t="n">
        <v>-3751</v>
      </c>
      <c r="AX305" s="253" t="n">
        <v>-235</v>
      </c>
      <c r="AY305" s="253" t="n">
        <v>79</v>
      </c>
      <c r="AZ305" s="253" t="n">
        <v>-1937</v>
      </c>
      <c r="BA305" s="253" t="n">
        <v>-430</v>
      </c>
      <c r="BB305" s="253" t="n">
        <v>-2523</v>
      </c>
      <c r="BC305" s="253" t="n">
        <v>-172</v>
      </c>
      <c r="BD305" s="253" t="n">
        <v>-192</v>
      </c>
      <c r="BE305" s="253" t="n">
        <v>-158</v>
      </c>
      <c r="BF305" s="253" t="n">
        <v>-341</v>
      </c>
      <c r="BG305" s="253" t="n">
        <v>-863</v>
      </c>
      <c r="BH305" s="253" t="n">
        <v>-264</v>
      </c>
      <c r="BI305" s="253" t="n">
        <v>-317</v>
      </c>
      <c r="BJ305" s="253" t="n">
        <v>-258</v>
      </c>
      <c r="BK305" s="253" t="n">
        <v>-167</v>
      </c>
      <c r="BL305" s="253" t="n">
        <v>-1006</v>
      </c>
      <c r="BM305" s="253" t="n">
        <v>-307</v>
      </c>
      <c r="BN305" s="253" t="n">
        <v>-201</v>
      </c>
      <c r="BO305" s="253" t="n">
        <v>-498</v>
      </c>
      <c r="BP305" s="253" t="n">
        <v>-303</v>
      </c>
      <c r="BQ305" s="253" t="n">
        <v>-1309</v>
      </c>
      <c r="BR305" s="253" t="n">
        <v>-889</v>
      </c>
      <c r="BS305" s="253" t="n">
        <v>-343</v>
      </c>
      <c r="BT305" s="253" t="n">
        <v>-382</v>
      </c>
      <c r="BU305" s="253" t="n">
        <v>-677</v>
      </c>
      <c r="BV305" s="253" t="n">
        <v>-2291</v>
      </c>
      <c r="BW305" s="253" t="n">
        <v>-669</v>
      </c>
      <c r="BX305" s="253" t="n">
        <v>-699</v>
      </c>
      <c r="BY305" s="253" t="n">
        <v>-509</v>
      </c>
      <c r="BZ305" s="253" t="n">
        <v>-962</v>
      </c>
      <c r="CA305" s="253" t="n">
        <v>-2839</v>
      </c>
      <c r="CB305" s="35" t="n"/>
      <c r="CC305" s="35" t="n"/>
      <c r="CD305" s="35" t="n"/>
      <c r="CE305" s="35" t="n"/>
      <c r="CF305" s="254">
        <f>-CF403</f>
        <v>-4461.798</v>
      </c>
      <c r="CG305" s="254">
        <f>-CG403</f>
        <v>-6507.857534</v>
      </c>
      <c r="CH305" s="254">
        <f>-CH403</f>
        <v>-8474.67105980178</v>
      </c>
      <c r="CI305" s="254">
        <f>-CI403</f>
        <v>-10377.8983952047</v>
      </c>
      <c r="CJ305" s="254">
        <f>-CJ403</f>
        <v>-12142.1902145793</v>
      </c>
      <c r="CK305" s="19" t="inlineStr">
        <is>
          <t>Forecast = finance-lease principal repayments (schedule below).</t>
        </is>
      </c>
    </row>
    <row r="306" ht="15" customHeight="1" s="251">
      <c r="B306" s="16" t="inlineStr">
        <is>
          <t>Net cash used in financing</t>
        </is>
      </c>
      <c r="C306" s="277" t="n">
        <v>-20562</v>
      </c>
      <c r="D306" s="277" t="n">
        <v>-24544</v>
      </c>
      <c r="E306" s="277" t="n">
        <v>-12934</v>
      </c>
      <c r="F306" s="277" t="n">
        <v>-7463</v>
      </c>
      <c r="G306" s="277" t="n">
        <v>-13291</v>
      </c>
      <c r="H306" s="277" t="n">
        <v>-8376</v>
      </c>
      <c r="I306" s="277" t="n">
        <v>-9408</v>
      </c>
      <c r="J306" s="277" t="n">
        <v>-2714</v>
      </c>
      <c r="K306" s="277" t="n">
        <v>-1221</v>
      </c>
      <c r="L306" s="277" t="n">
        <v>-2744</v>
      </c>
      <c r="M306" s="277" t="n">
        <v>-1469</v>
      </c>
      <c r="N306" s="277" t="n">
        <v>-8148</v>
      </c>
      <c r="O306" s="277" t="n">
        <v>-3396</v>
      </c>
      <c r="P306" s="277" t="n">
        <v>2615</v>
      </c>
      <c r="Q306" s="277" t="n">
        <v>-4304</v>
      </c>
      <c r="R306" s="277" t="n">
        <v>-3309</v>
      </c>
      <c r="S306" s="277" t="n">
        <v>-8394</v>
      </c>
      <c r="T306" s="277" t="n">
        <v>-2978</v>
      </c>
      <c r="U306" s="277" t="n">
        <v>534</v>
      </c>
      <c r="V306" s="277" t="n">
        <v>-3065</v>
      </c>
      <c r="W306" s="277" t="n">
        <v>-3571</v>
      </c>
      <c r="X306" s="277" t="n">
        <v>-9080</v>
      </c>
      <c r="Y306" s="277" t="n">
        <v>-3648</v>
      </c>
      <c r="Z306" s="277" t="n">
        <v>-498</v>
      </c>
      <c r="AA306" s="277" t="n">
        <v>-4916</v>
      </c>
      <c r="AB306" s="277" t="n">
        <v>971</v>
      </c>
      <c r="AC306" s="277" t="n">
        <v>-8393</v>
      </c>
      <c r="AD306" s="277" t="n">
        <v>14329</v>
      </c>
      <c r="AE306" s="277" t="n">
        <v>3016</v>
      </c>
      <c r="AF306" s="277" t="n">
        <v>-6236</v>
      </c>
      <c r="AG306" s="277" t="n">
        <v>-2701</v>
      </c>
      <c r="AH306" s="277" t="n">
        <v>8408</v>
      </c>
      <c r="AI306" s="277" t="n">
        <v>-6341</v>
      </c>
      <c r="AJ306" s="277" t="n">
        <v>-1552</v>
      </c>
      <c r="AK306" s="277" t="n">
        <v>-19658</v>
      </c>
      <c r="AL306" s="277" t="n">
        <v>-6039</v>
      </c>
      <c r="AM306" s="277" t="n">
        <v>-33590</v>
      </c>
      <c r="AN306" s="277" t="n">
        <v>-7384</v>
      </c>
      <c r="AO306" s="277" t="n">
        <v>-13216</v>
      </c>
      <c r="AP306" s="277" t="n">
        <v>-7601</v>
      </c>
      <c r="AQ306" s="277" t="n">
        <v>-8686</v>
      </c>
      <c r="AR306" s="277" t="n">
        <v>-36887</v>
      </c>
      <c r="AS306" s="277" t="n">
        <v>-10209</v>
      </c>
      <c r="AT306" s="277" t="n">
        <v>-8915</v>
      </c>
      <c r="AU306" s="277" t="n">
        <v>-14645</v>
      </c>
      <c r="AV306" s="277" t="n">
        <v>-12262</v>
      </c>
      <c r="AW306" s="277" t="n">
        <v>-46031</v>
      </c>
      <c r="AX306" s="277" t="n">
        <v>-10289</v>
      </c>
      <c r="AY306" s="277" t="n">
        <v>-13634</v>
      </c>
      <c r="AZ306" s="277" t="n">
        <v>-13192</v>
      </c>
      <c r="BA306" s="277" t="n">
        <v>-11371</v>
      </c>
      <c r="BB306" s="277" t="n">
        <v>-48486</v>
      </c>
      <c r="BC306" s="277" t="n">
        <v>-16276</v>
      </c>
      <c r="BD306" s="277" t="n">
        <v>-11986</v>
      </c>
      <c r="BE306" s="277" t="n">
        <v>-17345</v>
      </c>
      <c r="BF306" s="277" t="n">
        <v>-13269</v>
      </c>
      <c r="BG306" s="277" t="n">
        <v>-58876</v>
      </c>
      <c r="BH306" s="277" t="n">
        <v>-10883</v>
      </c>
      <c r="BI306" s="277" t="n">
        <v>-11349</v>
      </c>
      <c r="BJ306" s="277" t="n">
        <v>-10290</v>
      </c>
      <c r="BK306" s="277" t="n">
        <v>-11413</v>
      </c>
      <c r="BL306" s="277" t="n">
        <v>-43935</v>
      </c>
      <c r="BM306" s="277" t="n">
        <v>14761</v>
      </c>
      <c r="BN306" s="277" t="n">
        <v>-10147</v>
      </c>
      <c r="BO306" s="277" t="n">
        <v>-18808</v>
      </c>
      <c r="BP306" s="277" t="n">
        <v>-23563</v>
      </c>
      <c r="BQ306" s="277" t="n">
        <v>-37757</v>
      </c>
      <c r="BR306" s="277" t="n">
        <v>-16576</v>
      </c>
      <c r="BS306" s="277" t="n">
        <v>-11243</v>
      </c>
      <c r="BT306" s="277" t="n">
        <v>-13036</v>
      </c>
      <c r="BU306" s="277" t="n">
        <v>-10844</v>
      </c>
      <c r="BV306" s="277" t="n">
        <v>-51699</v>
      </c>
      <c r="BW306" s="277" t="n">
        <v>-11799</v>
      </c>
      <c r="BX306" s="277" t="n">
        <v>-17617</v>
      </c>
      <c r="BY306" s="277" t="n">
        <v>-11351</v>
      </c>
      <c r="BZ306" s="277" t="n">
        <v>-11779</v>
      </c>
      <c r="CA306" s="277" t="n">
        <v>-52546</v>
      </c>
      <c r="CB306" s="32" t="n"/>
      <c r="CC306" s="32" t="n"/>
      <c r="CD306" s="32" t="n"/>
      <c r="CE306" s="32" t="n"/>
      <c r="CF306" s="261">
        <f>SUM(CF301:CF305)</f>
        <v>-62812.8622670554</v>
      </c>
      <c r="CG306" s="261">
        <f>SUM(CG301:CG305)</f>
        <v>-94395.8108678641</v>
      </c>
      <c r="CH306" s="261">
        <f>SUM(CH301:CH305)</f>
        <v>-138021.361230766</v>
      </c>
      <c r="CI306" s="261">
        <f>SUM(CI301:CI305)</f>
        <v>-188374.163496235</v>
      </c>
      <c r="CJ306" s="261">
        <f>SUM(CJ301:CJ305)</f>
        <v>-230824.578719346</v>
      </c>
      <c r="CK306" s="153" t="n"/>
    </row>
    <row r="307" ht="15" customHeight="1" s="251">
      <c r="B307" s="25" t="inlineStr">
        <is>
          <t>Effect of foreign exchange rates on cash and cash equivalents</t>
        </is>
      </c>
      <c r="C307" s="253" t="n">
        <v>18</v>
      </c>
      <c r="D307" s="253" t="n">
        <v>56</v>
      </c>
      <c r="E307" s="253" t="n">
        <v>137</v>
      </c>
      <c r="F307" s="253" t="n">
        <v>-67</v>
      </c>
      <c r="G307" s="253" t="n">
        <v>-39</v>
      </c>
      <c r="H307" s="253" t="n">
        <v>103</v>
      </c>
      <c r="I307" s="253" t="n">
        <v>-104</v>
      </c>
      <c r="J307" s="253" t="n">
        <v>47</v>
      </c>
      <c r="K307" s="253" t="n">
        <v>15</v>
      </c>
      <c r="L307" s="253" t="n">
        <v>-39</v>
      </c>
      <c r="M307" s="253" t="n">
        <v>-31</v>
      </c>
      <c r="N307" s="253" t="n">
        <v>-8</v>
      </c>
      <c r="O307" s="253" t="n">
        <v>24</v>
      </c>
      <c r="P307" s="253" t="n">
        <v>33</v>
      </c>
      <c r="Q307" s="253" t="n">
        <v>2</v>
      </c>
      <c r="R307" s="253" t="n">
        <v>-198</v>
      </c>
      <c r="S307" s="253" t="n">
        <v>-139</v>
      </c>
      <c r="T307" s="253" t="n">
        <v>-6</v>
      </c>
      <c r="U307" s="253" t="n">
        <v>-34</v>
      </c>
      <c r="V307" s="253" t="n">
        <v>-36</v>
      </c>
      <c r="W307" s="253" t="n">
        <v>3</v>
      </c>
      <c r="X307" s="253" t="n">
        <v>-73</v>
      </c>
      <c r="Y307" s="253" t="n">
        <v>-44</v>
      </c>
      <c r="Z307" s="253" t="n">
        <v>-18</v>
      </c>
      <c r="AA307" s="253" t="n">
        <v>17</v>
      </c>
      <c r="AB307" s="253" t="n">
        <v>-22</v>
      </c>
      <c r="AC307" s="253" t="n">
        <v>-67</v>
      </c>
      <c r="AD307" s="253" t="n">
        <v>10</v>
      </c>
      <c r="AE307" s="253" t="n">
        <v>-18</v>
      </c>
      <c r="AF307" s="253" t="n">
        <v>12</v>
      </c>
      <c r="AG307" s="253" t="n">
        <v>15</v>
      </c>
      <c r="AH307" s="253" t="n">
        <v>19</v>
      </c>
      <c r="AI307" s="253" t="n">
        <v>26</v>
      </c>
      <c r="AJ307" s="253" t="n">
        <v>-17</v>
      </c>
      <c r="AK307" s="253" t="n">
        <v>25</v>
      </c>
      <c r="AL307" s="253" t="n">
        <v>16</v>
      </c>
      <c r="AM307" s="253" t="n">
        <v>50</v>
      </c>
      <c r="AN307" s="253" t="n">
        <v>-129</v>
      </c>
      <c r="AO307" s="253" t="n">
        <v>17</v>
      </c>
      <c r="AP307" s="253" t="n">
        <v>18</v>
      </c>
      <c r="AQ307" s="253" t="n">
        <v>-21</v>
      </c>
      <c r="AR307" s="253" t="n">
        <v>-115</v>
      </c>
      <c r="AS307" s="253" t="n">
        <v>-72</v>
      </c>
      <c r="AT307" s="253" t="n">
        <v>18</v>
      </c>
      <c r="AU307" s="253" t="n">
        <v>-64</v>
      </c>
      <c r="AV307" s="253" t="n">
        <v>-83</v>
      </c>
      <c r="AW307" s="253" t="n">
        <v>-201</v>
      </c>
      <c r="AX307" s="253" t="n">
        <v>-46</v>
      </c>
      <c r="AY307" s="253" t="n">
        <v>14</v>
      </c>
      <c r="AZ307" s="253" t="n">
        <v>-33</v>
      </c>
      <c r="BA307" s="253" t="n">
        <v>36</v>
      </c>
      <c r="BB307" s="253" t="n">
        <v>-29</v>
      </c>
      <c r="BC307" s="253" t="n">
        <v>-73</v>
      </c>
      <c r="BD307" s="253" t="n">
        <v>106</v>
      </c>
      <c r="BE307" s="253" t="n">
        <v>24</v>
      </c>
      <c r="BF307" s="253" t="n">
        <v>-198</v>
      </c>
      <c r="BG307" s="253" t="n">
        <v>-141</v>
      </c>
      <c r="BH307" s="253" t="n">
        <v>-230</v>
      </c>
      <c r="BI307" s="253" t="n">
        <v>88</v>
      </c>
      <c r="BJ307" s="253" t="n">
        <v>29</v>
      </c>
      <c r="BK307" s="253" t="n">
        <v>-81</v>
      </c>
      <c r="BL307" s="253" t="n">
        <v>-194</v>
      </c>
      <c r="BM307" s="253" t="n">
        <v>-99</v>
      </c>
      <c r="BN307" s="253" t="n">
        <v>72</v>
      </c>
      <c r="BO307" s="253" t="n">
        <v>-80</v>
      </c>
      <c r="BP307" s="253" t="n">
        <v>-103</v>
      </c>
      <c r="BQ307" s="253" t="n">
        <v>-210</v>
      </c>
      <c r="BR307" s="253" t="n">
        <v>122</v>
      </c>
      <c r="BS307" s="253" t="n">
        <v>-294</v>
      </c>
      <c r="BT307" s="253" t="n">
        <v>52</v>
      </c>
      <c r="BU307" s="253" t="n">
        <v>183</v>
      </c>
      <c r="BV307" s="253" t="n">
        <v>63</v>
      </c>
      <c r="BW307" s="253" t="n">
        <v>-92</v>
      </c>
      <c r="BX307" s="253" t="n">
        <v>11</v>
      </c>
      <c r="BY307" s="253" t="n">
        <v>-114</v>
      </c>
      <c r="BZ307" s="253" t="n">
        <v>-1</v>
      </c>
      <c r="CA307" s="253" t="n">
        <v>-196</v>
      </c>
      <c r="CB307" s="35" t="n"/>
      <c r="CC307" s="35" t="n"/>
      <c r="CD307" s="35" t="n"/>
      <c r="CE307" s="35" t="n"/>
      <c r="CF307" s="262" t="n">
        <v>0</v>
      </c>
      <c r="CG307" s="262" t="n">
        <v>0</v>
      </c>
      <c r="CH307" s="262" t="n">
        <v>0</v>
      </c>
      <c r="CI307" s="262" t="n">
        <v>0</v>
      </c>
      <c r="CJ307" s="262" t="n">
        <v>0</v>
      </c>
      <c r="CK307" s="19" t="n"/>
    </row>
    <row r="308" ht="15" customHeight="1" s="251">
      <c r="B308" s="25" t="inlineStr">
        <is>
          <t>Net change in cash and cash equivalents</t>
        </is>
      </c>
      <c r="C308" s="253" t="n">
        <v>1863</v>
      </c>
      <c r="D308" s="253" t="n">
        <v>-603</v>
      </c>
      <c r="E308" s="253" t="n">
        <v>4228</v>
      </c>
      <c r="F308" s="253" t="n">
        <v>-4263</v>
      </c>
      <c r="G308" s="253" t="n">
        <v>-571</v>
      </c>
      <c r="H308" s="253" t="n">
        <v>4105</v>
      </c>
      <c r="I308" s="253" t="n">
        <v>-2672</v>
      </c>
      <c r="J308" s="253" t="n">
        <v>-1902</v>
      </c>
      <c r="K308" s="253" t="n">
        <v>981</v>
      </c>
      <c r="L308" s="253" t="n">
        <v>-777</v>
      </c>
      <c r="M308" s="253" t="n">
        <v>-1436</v>
      </c>
      <c r="N308" s="253" t="n">
        <v>-3134</v>
      </c>
      <c r="O308" s="253" t="n">
        <v>219</v>
      </c>
      <c r="P308" s="253" t="n">
        <v>6036</v>
      </c>
      <c r="Q308" s="253" t="n">
        <v>1513</v>
      </c>
      <c r="R308" s="253" t="n">
        <v>-2903</v>
      </c>
      <c r="S308" s="253" t="n">
        <v>4865</v>
      </c>
      <c r="T308" s="253" t="n">
        <v>-2367</v>
      </c>
      <c r="U308" s="253" t="n">
        <v>124</v>
      </c>
      <c r="V308" s="253" t="n">
        <v>988</v>
      </c>
      <c r="W308" s="253" t="n">
        <v>-1819</v>
      </c>
      <c r="X308" s="253" t="n">
        <v>-3074</v>
      </c>
      <c r="Y308" s="253" t="n">
        <v>-164</v>
      </c>
      <c r="Z308" s="253" t="n">
        <v>1754</v>
      </c>
      <c r="AA308" s="253" t="n">
        <v>-15</v>
      </c>
      <c r="AB308" s="253" t="n">
        <v>-660</v>
      </c>
      <c r="AC308" s="253" t="n">
        <v>915</v>
      </c>
      <c r="AD308" s="253" t="n">
        <v>7418</v>
      </c>
      <c r="AE308" s="253" t="n">
        <v>-5460</v>
      </c>
      <c r="AF308" s="253" t="n">
        <v>-1755</v>
      </c>
      <c r="AG308" s="253" t="n">
        <v>950</v>
      </c>
      <c r="AH308" s="253" t="n">
        <v>1153</v>
      </c>
      <c r="AI308" s="253" t="n">
        <v>-779</v>
      </c>
      <c r="AJ308" s="253" t="n">
        <v>5975</v>
      </c>
      <c r="AK308" s="253" t="n">
        <v>-3638</v>
      </c>
      <c r="AL308" s="253" t="n">
        <v>2725</v>
      </c>
      <c r="AM308" s="253" t="n">
        <v>4283</v>
      </c>
      <c r="AN308" s="253" t="n">
        <v>3191</v>
      </c>
      <c r="AO308" s="253" t="n">
        <v>-8499</v>
      </c>
      <c r="AP308" s="253" t="n">
        <v>4574</v>
      </c>
      <c r="AQ308" s="253" t="n">
        <v>144</v>
      </c>
      <c r="AR308" s="253" t="n">
        <v>-590</v>
      </c>
      <c r="AS308" s="253" t="n">
        <v>1761</v>
      </c>
      <c r="AT308" s="253" t="n">
        <v>-4253</v>
      </c>
      <c r="AU308" s="253" t="n">
        <v>2846</v>
      </c>
      <c r="AV308" s="253" t="n">
        <v>1866</v>
      </c>
      <c r="AW308" s="253" t="n">
        <v>2220</v>
      </c>
      <c r="AX308" s="253" t="n">
        <v>3629</v>
      </c>
      <c r="AY308" s="253" t="n">
        <v>-2773</v>
      </c>
      <c r="AZ308" s="253" t="n">
        <v>-730</v>
      </c>
      <c r="BA308" s="253" t="n">
        <v>522</v>
      </c>
      <c r="BB308" s="253" t="n">
        <v>648</v>
      </c>
      <c r="BC308" s="253" t="n">
        <v>4941</v>
      </c>
      <c r="BD308" s="253" t="n">
        <v>1439</v>
      </c>
      <c r="BE308" s="253" t="n">
        <v>-8106</v>
      </c>
      <c r="BF308" s="253" t="n">
        <v>1433</v>
      </c>
      <c r="BG308" s="253" t="n">
        <v>-293</v>
      </c>
      <c r="BH308" s="253" t="n">
        <v>8953</v>
      </c>
      <c r="BI308" s="253" t="n">
        <v>-7238</v>
      </c>
      <c r="BJ308" s="253" t="n">
        <v>10916</v>
      </c>
      <c r="BK308" s="253" t="n">
        <v>8142</v>
      </c>
      <c r="BL308" s="253" t="n">
        <v>20773</v>
      </c>
      <c r="BM308" s="253" t="n">
        <v>45748</v>
      </c>
      <c r="BN308" s="253" t="n">
        <v>-63147</v>
      </c>
      <c r="BO308" s="253" t="n">
        <v>2329</v>
      </c>
      <c r="BP308" s="253" t="n">
        <v>-1319</v>
      </c>
      <c r="BQ308" s="253" t="n">
        <v>-16389</v>
      </c>
      <c r="BR308" s="253" t="n">
        <v>2525</v>
      </c>
      <c r="BS308" s="253" t="n">
        <v>-3358</v>
      </c>
      <c r="BT308" s="253" t="n">
        <v>11346</v>
      </c>
      <c r="BU308" s="253" t="n">
        <v>1414</v>
      </c>
      <c r="BV308" s="253" t="n">
        <v>11927</v>
      </c>
      <c r="BW308" s="253" t="n">
        <v>-1393</v>
      </c>
      <c r="BX308" s="253" t="n">
        <v>-4553</v>
      </c>
      <c r="BY308" s="253" t="n">
        <v>7809</v>
      </c>
      <c r="BZ308" s="253" t="n">
        <v>-11170</v>
      </c>
      <c r="CA308" s="253" t="n">
        <v>-9307</v>
      </c>
      <c r="CB308" s="35" t="n"/>
      <c r="CC308" s="35" t="n"/>
      <c r="CD308" s="35" t="n"/>
      <c r="CE308" s="35" t="n"/>
      <c r="CF308" s="254">
        <f>CF296+CF300+CF306+CF307</f>
        <v>-6843.00000000001</v>
      </c>
      <c r="CG308" s="254">
        <f>CG296+CG300+CG306+CG307</f>
        <v>0</v>
      </c>
      <c r="CH308" s="254">
        <f>CH296+CH300+CH306+CH307</f>
        <v>0</v>
      </c>
      <c r="CI308" s="254">
        <f>CI296+CI300+CI306+CI307</f>
        <v>0</v>
      </c>
      <c r="CJ308" s="254">
        <f>CJ296+CJ300+CJ306+CJ307</f>
        <v>0</v>
      </c>
      <c r="CK308" s="19" t="n"/>
    </row>
    <row r="309" ht="15" customHeight="1" s="251">
      <c r="B309" s="25" t="inlineStr">
        <is>
          <t>Cash and cash equivalents, beginning of period</t>
        </is>
      </c>
      <c r="C309" s="253" t="n">
        <v>4851</v>
      </c>
      <c r="D309" s="253" t="n">
        <v>6714</v>
      </c>
      <c r="E309" s="253" t="n">
        <v>6111</v>
      </c>
      <c r="F309" s="253" t="n">
        <v>10339</v>
      </c>
      <c r="G309" s="253" t="n">
        <v>6076</v>
      </c>
      <c r="H309" s="253" t="n">
        <v>5505</v>
      </c>
      <c r="I309" s="253" t="n">
        <v>9610</v>
      </c>
      <c r="J309" s="253" t="n">
        <v>6938</v>
      </c>
      <c r="K309" s="253" t="n">
        <v>5036</v>
      </c>
      <c r="L309" s="253" t="n">
        <v>6017</v>
      </c>
      <c r="M309" s="253" t="n">
        <v>5240</v>
      </c>
      <c r="N309" s="253" t="n">
        <v>6938</v>
      </c>
      <c r="O309" s="253" t="n">
        <v>3804</v>
      </c>
      <c r="P309" s="253" t="n">
        <v>4023</v>
      </c>
      <c r="Q309" s="253" t="n">
        <v>10059</v>
      </c>
      <c r="R309" s="253" t="n">
        <v>11572</v>
      </c>
      <c r="S309" s="253" t="n">
        <v>3804</v>
      </c>
      <c r="T309" s="253" t="n">
        <v>8669</v>
      </c>
      <c r="U309" s="253" t="n">
        <v>6302</v>
      </c>
      <c r="V309" s="253" t="n">
        <v>6426</v>
      </c>
      <c r="W309" s="253" t="n">
        <v>7414</v>
      </c>
      <c r="X309" s="253" t="n">
        <v>8669</v>
      </c>
      <c r="Y309" s="253" t="n">
        <v>5595</v>
      </c>
      <c r="Z309" s="253" t="n">
        <v>5431</v>
      </c>
      <c r="AA309" s="253" t="n">
        <v>7185</v>
      </c>
      <c r="AB309" s="253" t="n">
        <v>7170</v>
      </c>
      <c r="AC309" s="253" t="n">
        <v>5595</v>
      </c>
      <c r="AD309" s="253" t="n">
        <v>6510</v>
      </c>
      <c r="AE309" s="253" t="n">
        <v>13928</v>
      </c>
      <c r="AF309" s="253" t="n">
        <v>8468</v>
      </c>
      <c r="AG309" s="253" t="n">
        <v>6713</v>
      </c>
      <c r="AH309" s="253" t="n">
        <v>6510</v>
      </c>
      <c r="AI309" s="253" t="n">
        <v>7663</v>
      </c>
      <c r="AJ309" s="253" t="n">
        <v>6884</v>
      </c>
      <c r="AK309" s="253" t="n">
        <v>12859</v>
      </c>
      <c r="AL309" s="253" t="n">
        <v>9221</v>
      </c>
      <c r="AM309" s="253" t="n">
        <v>7663</v>
      </c>
      <c r="AN309" s="253" t="n">
        <v>11946</v>
      </c>
      <c r="AO309" s="253" t="n">
        <v>15137</v>
      </c>
      <c r="AP309" s="253" t="n">
        <v>6638</v>
      </c>
      <c r="AQ309" s="253" t="n">
        <v>11212</v>
      </c>
      <c r="AR309" s="253" t="n">
        <v>11946</v>
      </c>
      <c r="AS309" s="253" t="n">
        <v>11356</v>
      </c>
      <c r="AT309" s="253" t="n">
        <v>13117</v>
      </c>
      <c r="AU309" s="253" t="n">
        <v>8864</v>
      </c>
      <c r="AV309" s="253" t="n">
        <v>11710</v>
      </c>
      <c r="AW309" s="253" t="n">
        <v>11356</v>
      </c>
      <c r="AX309" s="253" t="n">
        <v>13576</v>
      </c>
      <c r="AY309" s="253" t="n">
        <v>17205</v>
      </c>
      <c r="AZ309" s="253" t="n">
        <v>14432</v>
      </c>
      <c r="BA309" s="253" t="n">
        <v>13702</v>
      </c>
      <c r="BB309" s="253" t="n">
        <v>13576</v>
      </c>
      <c r="BC309" s="253" t="n">
        <v>14224</v>
      </c>
      <c r="BD309" s="253" t="n">
        <v>19165</v>
      </c>
      <c r="BE309" s="253" t="n">
        <v>20604</v>
      </c>
      <c r="BF309" s="253" t="n">
        <v>12498</v>
      </c>
      <c r="BG309" s="253" t="n">
        <v>14224</v>
      </c>
      <c r="BH309" s="253" t="n">
        <v>13931</v>
      </c>
      <c r="BI309" s="253" t="n">
        <v>22884</v>
      </c>
      <c r="BJ309" s="253" t="n">
        <v>15646</v>
      </c>
      <c r="BK309" s="253" t="n">
        <v>26562</v>
      </c>
      <c r="BL309" s="253" t="n">
        <v>13931</v>
      </c>
      <c r="BM309" s="253" t="n">
        <v>34704</v>
      </c>
      <c r="BN309" s="253" t="n">
        <v>80452</v>
      </c>
      <c r="BO309" s="253" t="n">
        <v>17305</v>
      </c>
      <c r="BP309" s="253" t="n">
        <v>19634</v>
      </c>
      <c r="BQ309" s="253" t="n">
        <v>34704</v>
      </c>
      <c r="BR309" s="253" t="n">
        <v>18315</v>
      </c>
      <c r="BS309" s="253" t="n">
        <v>20840</v>
      </c>
      <c r="BT309" s="253" t="n">
        <v>17482</v>
      </c>
      <c r="BU309" s="253" t="n">
        <v>28828</v>
      </c>
      <c r="BV309" s="253" t="n">
        <v>18315</v>
      </c>
      <c r="BW309" s="253" t="n">
        <v>30242</v>
      </c>
      <c r="BX309" s="253" t="n">
        <v>28849</v>
      </c>
      <c r="BY309" s="253" t="n">
        <v>24296</v>
      </c>
      <c r="BZ309" s="253" t="n">
        <v>32105</v>
      </c>
      <c r="CA309" s="253" t="n">
        <v>30242</v>
      </c>
      <c r="CB309" s="35" t="n"/>
      <c r="CC309" s="35" t="n"/>
      <c r="CD309" s="35" t="n"/>
      <c r="CE309" s="35" t="n"/>
      <c r="CF309" s="254">
        <f>CA310</f>
        <v>20935</v>
      </c>
      <c r="CG309" s="254">
        <f>CF310</f>
        <v>14092</v>
      </c>
      <c r="CH309" s="254">
        <f>CG310</f>
        <v>14092</v>
      </c>
      <c r="CI309" s="254">
        <f>CH310</f>
        <v>14092</v>
      </c>
      <c r="CJ309" s="254">
        <f>CI310</f>
        <v>14092</v>
      </c>
      <c r="CK309" s="19" t="n"/>
    </row>
    <row r="310" ht="15" customHeight="1" s="251">
      <c r="B310" s="16" t="inlineStr">
        <is>
          <t>Cash and cash equivalents, end of period</t>
        </is>
      </c>
      <c r="C310" s="277" t="n">
        <v>6714</v>
      </c>
      <c r="D310" s="277" t="n">
        <v>6111</v>
      </c>
      <c r="E310" s="277" t="n">
        <v>10339</v>
      </c>
      <c r="F310" s="277" t="n">
        <v>6076</v>
      </c>
      <c r="G310" s="277" t="n">
        <v>5505</v>
      </c>
      <c r="H310" s="277" t="n">
        <v>9610</v>
      </c>
      <c r="I310" s="277" t="n">
        <v>6938</v>
      </c>
      <c r="J310" s="277" t="n">
        <v>5036</v>
      </c>
      <c r="K310" s="277" t="n">
        <v>6017</v>
      </c>
      <c r="L310" s="277" t="n">
        <v>5240</v>
      </c>
      <c r="M310" s="277" t="n">
        <v>3804</v>
      </c>
      <c r="N310" s="277" t="n">
        <v>3804</v>
      </c>
      <c r="O310" s="277" t="n">
        <v>4023</v>
      </c>
      <c r="P310" s="277" t="n">
        <v>10059</v>
      </c>
      <c r="Q310" s="277" t="n">
        <v>11572</v>
      </c>
      <c r="R310" s="277" t="n">
        <v>8669</v>
      </c>
      <c r="S310" s="277" t="n">
        <v>8669</v>
      </c>
      <c r="T310" s="277" t="n">
        <v>6302</v>
      </c>
      <c r="U310" s="277" t="n">
        <v>6426</v>
      </c>
      <c r="V310" s="277" t="n">
        <v>7414</v>
      </c>
      <c r="W310" s="277" t="n">
        <v>5595</v>
      </c>
      <c r="X310" s="277" t="n">
        <v>5595</v>
      </c>
      <c r="Y310" s="277" t="n">
        <v>5431</v>
      </c>
      <c r="Z310" s="277" t="n">
        <v>7185</v>
      </c>
      <c r="AA310" s="277" t="n">
        <v>7170</v>
      </c>
      <c r="AB310" s="277" t="n">
        <v>6510</v>
      </c>
      <c r="AC310" s="277" t="n">
        <v>6510</v>
      </c>
      <c r="AD310" s="277" t="n">
        <v>13928</v>
      </c>
      <c r="AE310" s="277" t="n">
        <v>8468</v>
      </c>
      <c r="AF310" s="277" t="n">
        <v>6713</v>
      </c>
      <c r="AG310" s="277" t="n">
        <v>7663</v>
      </c>
      <c r="AH310" s="277" t="n">
        <v>7663</v>
      </c>
      <c r="AI310" s="277" t="n">
        <v>6884</v>
      </c>
      <c r="AJ310" s="277" t="n">
        <v>12859</v>
      </c>
      <c r="AK310" s="277" t="n">
        <v>9221</v>
      </c>
      <c r="AL310" s="277" t="n">
        <v>11946</v>
      </c>
      <c r="AM310" s="277" t="n">
        <v>11946</v>
      </c>
      <c r="AN310" s="277" t="n">
        <v>15137</v>
      </c>
      <c r="AO310" s="277" t="n">
        <v>6638</v>
      </c>
      <c r="AP310" s="277" t="n">
        <v>11212</v>
      </c>
      <c r="AQ310" s="277" t="n">
        <v>11356</v>
      </c>
      <c r="AR310" s="277" t="n">
        <v>11356</v>
      </c>
      <c r="AS310" s="277" t="n">
        <v>13117</v>
      </c>
      <c r="AT310" s="277" t="n">
        <v>8864</v>
      </c>
      <c r="AU310" s="277" t="n">
        <v>11710</v>
      </c>
      <c r="AV310" s="277" t="n">
        <v>13576</v>
      </c>
      <c r="AW310" s="277" t="n">
        <v>13576</v>
      </c>
      <c r="AX310" s="277" t="n">
        <v>17205</v>
      </c>
      <c r="AY310" s="277" t="n">
        <v>14432</v>
      </c>
      <c r="AZ310" s="277" t="n">
        <v>13702</v>
      </c>
      <c r="BA310" s="277" t="n">
        <v>14224</v>
      </c>
      <c r="BB310" s="277" t="n">
        <v>14224</v>
      </c>
      <c r="BC310" s="277" t="n">
        <v>19165</v>
      </c>
      <c r="BD310" s="277" t="n">
        <v>20604</v>
      </c>
      <c r="BE310" s="277" t="n">
        <v>12498</v>
      </c>
      <c r="BF310" s="277" t="n">
        <v>13931</v>
      </c>
      <c r="BG310" s="277" t="n">
        <v>13931</v>
      </c>
      <c r="BH310" s="277" t="n">
        <v>22884</v>
      </c>
      <c r="BI310" s="277" t="n">
        <v>15646</v>
      </c>
      <c r="BJ310" s="277" t="n">
        <v>26562</v>
      </c>
      <c r="BK310" s="277" t="n">
        <v>34704</v>
      </c>
      <c r="BL310" s="277" t="n">
        <v>34704</v>
      </c>
      <c r="BM310" s="277" t="n">
        <v>80452</v>
      </c>
      <c r="BN310" s="277" t="n">
        <v>17305</v>
      </c>
      <c r="BO310" s="277" t="n">
        <v>19634</v>
      </c>
      <c r="BP310" s="277" t="n">
        <v>18315</v>
      </c>
      <c r="BQ310" s="277" t="n">
        <v>18315</v>
      </c>
      <c r="BR310" s="277" t="n">
        <v>20840</v>
      </c>
      <c r="BS310" s="277" t="n">
        <v>17482</v>
      </c>
      <c r="BT310" s="277" t="n">
        <v>28828</v>
      </c>
      <c r="BU310" s="277" t="n">
        <v>30242</v>
      </c>
      <c r="BV310" s="277" t="n">
        <v>30242</v>
      </c>
      <c r="BW310" s="277" t="n">
        <v>28849</v>
      </c>
      <c r="BX310" s="277" t="n">
        <v>24296</v>
      </c>
      <c r="BY310" s="277" t="n">
        <v>32105</v>
      </c>
      <c r="BZ310" s="277" t="n">
        <v>20935</v>
      </c>
      <c r="CA310" s="277" t="n">
        <v>20935</v>
      </c>
      <c r="CB310" s="32" t="n"/>
      <c r="CC310" s="32" t="n"/>
      <c r="CD310" s="32" t="n"/>
      <c r="CE310" s="32" t="n"/>
      <c r="CF310" s="261">
        <f>CF309+CF308</f>
        <v>14092</v>
      </c>
      <c r="CG310" s="261">
        <f>CG309+CG308</f>
        <v>14092</v>
      </c>
      <c r="CH310" s="261">
        <f>CH309+CH308</f>
        <v>14092</v>
      </c>
      <c r="CI310" s="261">
        <f>CI309+CI308</f>
        <v>14092</v>
      </c>
      <c r="CJ310" s="261">
        <f>CJ309+CJ308</f>
        <v>14092</v>
      </c>
      <c r="CK310" s="153" t="n"/>
    </row>
    <row r="311" ht="15" customHeight="1" s="251">
      <c r="B311" s="57" t="inlineStr">
        <is>
          <t xml:space="preserve">  Check: beginning cash + CFO + CFI + CFF + FX = ending cash (should be 0)</t>
        </is>
      </c>
      <c r="C311" s="211">
        <f>IF(AND(ISNUMBER(C309),ISNUMBER(C296)),IF(ABS(C309+C308-C310)&lt;=1,0,ROUND(C309+C308-C310,0)),"")</f>
        <v>0</v>
      </c>
      <c r="D311" s="211">
        <f>IF(AND(ISNUMBER(D309),ISNUMBER(D296)),IF(ABS(D309+D308-D310)&lt;=1,0,ROUND(D309+D308-D310,0)),"")</f>
        <v>0</v>
      </c>
      <c r="E311" s="211">
        <f>IF(AND(ISNUMBER(E309),ISNUMBER(E296)),IF(ABS(E309+E308-E310)&lt;=1,0,ROUND(E309+E308-E310,0)),"")</f>
        <v>0</v>
      </c>
      <c r="F311" s="211">
        <f>IF(AND(ISNUMBER(F309),ISNUMBER(F296)),IF(ABS(F309+F308-F310)&lt;=1,0,ROUND(F309+F308-F310,0)),"")</f>
        <v>0</v>
      </c>
      <c r="G311" s="211">
        <f>IF(AND(ISNUMBER(G309),ISNUMBER(G296)),IF(ABS(G309+G308-G310)&lt;=1,0,ROUND(G309+G308-G310,0)),"")</f>
        <v>0</v>
      </c>
      <c r="H311" s="211">
        <f>IF(AND(ISNUMBER(H309),ISNUMBER(H296)),IF(ABS(H309+H308-H310)&lt;=1,0,ROUND(H309+H308-H310,0)),"")</f>
        <v>0</v>
      </c>
      <c r="I311" s="211">
        <f>IF(AND(ISNUMBER(I309),ISNUMBER(I296)),IF(ABS(I309+I308-I310)&lt;=1,0,ROUND(I309+I308-I310,0)),"")</f>
        <v>0</v>
      </c>
      <c r="J311" s="211">
        <f>IF(AND(ISNUMBER(J309),ISNUMBER(J296)),IF(ABS(J309+J308-J310)&lt;=1,0,ROUND(J309+J308-J310,0)),"")</f>
        <v>0</v>
      </c>
      <c r="K311" s="211">
        <f>IF(AND(ISNUMBER(K309),ISNUMBER(K296)),IF(ABS(K309+K308-K310)&lt;=1,0,ROUND(K309+K308-K310,0)),"")</f>
        <v>0</v>
      </c>
      <c r="L311" s="211">
        <f>IF(AND(ISNUMBER(L309),ISNUMBER(L296)),IF(ABS(L309+L308-L310)&lt;=1,0,ROUND(L309+L308-L310,0)),"")</f>
        <v>0</v>
      </c>
      <c r="M311" s="211">
        <f>IF(AND(ISNUMBER(M309),ISNUMBER(M296)),IF(ABS(M309+M308-M310)&lt;=1,0,ROUND(M309+M308-M310,0)),"")</f>
        <v>0</v>
      </c>
      <c r="N311" s="211">
        <f>IF(AND(ISNUMBER(N309),ISNUMBER(N296)),IF(ABS(N309+N308-N310)&lt;=1,0,ROUND(N309+N308-N310,0)),"")</f>
        <v>0</v>
      </c>
      <c r="O311" s="211">
        <f>IF(AND(ISNUMBER(O309),ISNUMBER(O296)),IF(ABS(O309+O308-O310)&lt;=1,0,ROUND(O309+O308-O310,0)),"")</f>
        <v>0</v>
      </c>
      <c r="P311" s="211">
        <f>IF(AND(ISNUMBER(P309),ISNUMBER(P296)),IF(ABS(P309+P308-P310)&lt;=1,0,ROUND(P309+P308-P310,0)),"")</f>
        <v>0</v>
      </c>
      <c r="Q311" s="211">
        <f>IF(AND(ISNUMBER(Q309),ISNUMBER(Q296)),IF(ABS(Q309+Q308-Q310)&lt;=1,0,ROUND(Q309+Q308-Q310,0)),"")</f>
        <v>0</v>
      </c>
      <c r="R311" s="211">
        <f>IF(AND(ISNUMBER(R309),ISNUMBER(R296)),IF(ABS(R309+R308-R310)&lt;=1,0,ROUND(R309+R308-R310,0)),"")</f>
        <v>0</v>
      </c>
      <c r="S311" s="211">
        <f>IF(AND(ISNUMBER(S309),ISNUMBER(S296)),IF(ABS(S309+S308-S310)&lt;=1,0,ROUND(S309+S308-S310,0)),"")</f>
        <v>0</v>
      </c>
      <c r="T311" s="211">
        <f>IF(AND(ISNUMBER(T309),ISNUMBER(T296)),IF(ABS(T309+T308-T310)&lt;=1,0,ROUND(T309+T308-T310,0)),"")</f>
        <v>0</v>
      </c>
      <c r="U311" s="211">
        <f>IF(AND(ISNUMBER(U309),ISNUMBER(U296)),IF(ABS(U309+U308-U310)&lt;=1,0,ROUND(U309+U308-U310,0)),"")</f>
        <v>0</v>
      </c>
      <c r="V311" s="211">
        <f>IF(AND(ISNUMBER(V309),ISNUMBER(V296)),IF(ABS(V309+V308-V310)&lt;=1,0,ROUND(V309+V308-V310,0)),"")</f>
        <v>0</v>
      </c>
      <c r="W311" s="211">
        <f>IF(AND(ISNUMBER(W309),ISNUMBER(W296)),IF(ABS(W309+W308-W310)&lt;=1,0,ROUND(W309+W308-W310,0)),"")</f>
        <v>0</v>
      </c>
      <c r="X311" s="211">
        <f>IF(AND(ISNUMBER(X309),ISNUMBER(X296)),IF(ABS(X309+X308-X310)&lt;=1,0,ROUND(X309+X308-X310,0)),"")</f>
        <v>0</v>
      </c>
      <c r="Y311" s="211">
        <f>IF(AND(ISNUMBER(Y309),ISNUMBER(Y296)),IF(ABS(Y309+Y308-Y310)&lt;=1,0,ROUND(Y309+Y308-Y310,0)),"")</f>
        <v>0</v>
      </c>
      <c r="Z311" s="211">
        <f>IF(AND(ISNUMBER(Z309),ISNUMBER(Z296)),IF(ABS(Z309+Z308-Z310)&lt;=1,0,ROUND(Z309+Z308-Z310,0)),"")</f>
        <v>0</v>
      </c>
      <c r="AA311" s="211">
        <f>IF(AND(ISNUMBER(AA309),ISNUMBER(AA296)),IF(ABS(AA309+AA308-AA310)&lt;=1,0,ROUND(AA309+AA308-AA310,0)),"")</f>
        <v>0</v>
      </c>
      <c r="AB311" s="211">
        <f>IF(AND(ISNUMBER(AB309),ISNUMBER(AB296)),IF(ABS(AB309+AB308-AB310)&lt;=1,0,ROUND(AB309+AB308-AB310,0)),"")</f>
        <v>0</v>
      </c>
      <c r="AC311" s="211">
        <f>IF(AND(ISNUMBER(AC309),ISNUMBER(AC296)),IF(ABS(AC309+AC308-AC310)&lt;=1,0,ROUND(AC309+AC308-AC310,0)),"")</f>
        <v>0</v>
      </c>
      <c r="AD311" s="211">
        <f>IF(AND(ISNUMBER(AD309),ISNUMBER(AD296)),IF(ABS(AD309+AD308-AD310)&lt;=1,0,ROUND(AD309+AD308-AD310,0)),"")</f>
        <v>0</v>
      </c>
      <c r="AE311" s="211">
        <f>IF(AND(ISNUMBER(AE309),ISNUMBER(AE296)),IF(ABS(AE309+AE308-AE310)&lt;=1,0,ROUND(AE309+AE308-AE310,0)),"")</f>
        <v>0</v>
      </c>
      <c r="AF311" s="211">
        <f>IF(AND(ISNUMBER(AF309),ISNUMBER(AF296)),IF(ABS(AF309+AF308-AF310)&lt;=1,0,ROUND(AF309+AF308-AF310,0)),"")</f>
        <v>0</v>
      </c>
      <c r="AG311" s="211">
        <f>IF(AND(ISNUMBER(AG309),ISNUMBER(AG296)),IF(ABS(AG309+AG308-AG310)&lt;=1,0,ROUND(AG309+AG308-AG310,0)),"")</f>
        <v>0</v>
      </c>
      <c r="AH311" s="211">
        <f>IF(AND(ISNUMBER(AH309),ISNUMBER(AH296)),IF(ABS(AH309+AH308-AH310)&lt;=1,0,ROUND(AH309+AH308-AH310,0)),"")</f>
        <v>0</v>
      </c>
      <c r="AI311" s="211">
        <f>IF(AND(ISNUMBER(AI309),ISNUMBER(AI296)),IF(ABS(AI309+AI308-AI310)&lt;=1,0,ROUND(AI309+AI308-AI310,0)),"")</f>
        <v>0</v>
      </c>
      <c r="AJ311" s="211">
        <f>IF(AND(ISNUMBER(AJ309),ISNUMBER(AJ296)),IF(ABS(AJ309+AJ308-AJ310)&lt;=1,0,ROUND(AJ309+AJ308-AJ310,0)),"")</f>
        <v>0</v>
      </c>
      <c r="AK311" s="211">
        <f>IF(AND(ISNUMBER(AK309),ISNUMBER(AK296)),IF(ABS(AK309+AK308-AK310)&lt;=1,0,ROUND(AK309+AK308-AK310,0)),"")</f>
        <v>0</v>
      </c>
      <c r="AL311" s="211">
        <f>IF(AND(ISNUMBER(AL309),ISNUMBER(AL296)),IF(ABS(AL309+AL308-AL310)&lt;=1,0,ROUND(AL309+AL308-AL310,0)),"")</f>
        <v>0</v>
      </c>
      <c r="AM311" s="211">
        <f>IF(AND(ISNUMBER(AM309),ISNUMBER(AM296)),IF(ABS(AM309+AM308-AM310)&lt;=1,0,ROUND(AM309+AM308-AM310,0)),"")</f>
        <v>0</v>
      </c>
      <c r="AN311" s="211">
        <f>IF(AND(ISNUMBER(AN309),ISNUMBER(AN296)),IF(ABS(AN309+AN308-AN310)&lt;=1,0,ROUND(AN309+AN308-AN310,0)),"")</f>
        <v>0</v>
      </c>
      <c r="AO311" s="211">
        <f>IF(AND(ISNUMBER(AO309),ISNUMBER(AO296)),IF(ABS(AO309+AO308-AO310)&lt;=1,0,ROUND(AO309+AO308-AO310,0)),"")</f>
        <v>0</v>
      </c>
      <c r="AP311" s="211">
        <f>IF(AND(ISNUMBER(AP309),ISNUMBER(AP296)),IF(ABS(AP309+AP308-AP310)&lt;=1,0,ROUND(AP309+AP308-AP310,0)),"")</f>
        <v>0</v>
      </c>
      <c r="AQ311" s="211">
        <f>IF(AND(ISNUMBER(AQ309),ISNUMBER(AQ296)),IF(ABS(AQ309+AQ308-AQ310)&lt;=1,0,ROUND(AQ309+AQ308-AQ310,0)),"")</f>
        <v>0</v>
      </c>
      <c r="AR311" s="211">
        <f>IF(AND(ISNUMBER(AR309),ISNUMBER(AR296)),IF(ABS(AR309+AR308-AR310)&lt;=1,0,ROUND(AR309+AR308-AR310,0)),"")</f>
        <v>0</v>
      </c>
      <c r="AS311" s="211">
        <f>IF(AND(ISNUMBER(AS309),ISNUMBER(AS296)),IF(ABS(AS309+AS308-AS310)&lt;=1,0,ROUND(AS309+AS308-AS310,0)),"")</f>
        <v>0</v>
      </c>
      <c r="AT311" s="211">
        <f>IF(AND(ISNUMBER(AT309),ISNUMBER(AT296)),IF(ABS(AT309+AT308-AT310)&lt;=1,0,ROUND(AT309+AT308-AT310,0)),"")</f>
        <v>0</v>
      </c>
      <c r="AU311" s="211">
        <f>IF(AND(ISNUMBER(AU309),ISNUMBER(AU296)),IF(ABS(AU309+AU308-AU310)&lt;=1,0,ROUND(AU309+AU308-AU310,0)),"")</f>
        <v>0</v>
      </c>
      <c r="AV311" s="211">
        <f>IF(AND(ISNUMBER(AV309),ISNUMBER(AV296)),IF(ABS(AV309+AV308-AV310)&lt;=1,0,ROUND(AV309+AV308-AV310,0)),"")</f>
        <v>0</v>
      </c>
      <c r="AW311" s="211">
        <f>IF(AND(ISNUMBER(AW309),ISNUMBER(AW296)),IF(ABS(AW309+AW308-AW310)&lt;=1,0,ROUND(AW309+AW308-AW310,0)),"")</f>
        <v>0</v>
      </c>
      <c r="AX311" s="211">
        <f>IF(AND(ISNUMBER(AX309),ISNUMBER(AX296)),IF(ABS(AX309+AX308-AX310)&lt;=1,0,ROUND(AX309+AX308-AX310,0)),"")</f>
        <v>0</v>
      </c>
      <c r="AY311" s="211">
        <f>IF(AND(ISNUMBER(AY309),ISNUMBER(AY296)),IF(ABS(AY309+AY308-AY310)&lt;=1,0,ROUND(AY309+AY308-AY310,0)),"")</f>
        <v>0</v>
      </c>
      <c r="AZ311" s="211">
        <f>IF(AND(ISNUMBER(AZ309),ISNUMBER(AZ296)),IF(ABS(AZ309+AZ308-AZ310)&lt;=1,0,ROUND(AZ309+AZ308-AZ310,0)),"")</f>
        <v>0</v>
      </c>
      <c r="BA311" s="211">
        <f>IF(AND(ISNUMBER(BA309),ISNUMBER(BA296)),IF(ABS(BA309+BA308-BA310)&lt;=1,0,ROUND(BA309+BA308-BA310,0)),"")</f>
        <v>0</v>
      </c>
      <c r="BB311" s="211">
        <f>IF(AND(ISNUMBER(BB309),ISNUMBER(BB296)),IF(ABS(BB309+BB308-BB310)&lt;=1,0,ROUND(BB309+BB308-BB310,0)),"")</f>
        <v>0</v>
      </c>
      <c r="BC311" s="211">
        <f>IF(AND(ISNUMBER(BC309),ISNUMBER(BC296)),IF(ABS(BC309+BC308-BC310)&lt;=1,0,ROUND(BC309+BC308-BC310,0)),"")</f>
        <v>0</v>
      </c>
      <c r="BD311" s="211">
        <f>IF(AND(ISNUMBER(BD309),ISNUMBER(BD296)),IF(ABS(BD309+BD308-BD310)&lt;=1,0,ROUND(BD309+BD308-BD310,0)),"")</f>
        <v>0</v>
      </c>
      <c r="BE311" s="211">
        <f>IF(AND(ISNUMBER(BE309),ISNUMBER(BE296)),IF(ABS(BE309+BE308-BE310)&lt;=1,0,ROUND(BE309+BE308-BE310,0)),"")</f>
        <v>0</v>
      </c>
      <c r="BF311" s="211">
        <f>IF(AND(ISNUMBER(BF309),ISNUMBER(BF296)),IF(ABS(BF309+BF308-BF310)&lt;=1,0,ROUND(BF309+BF308-BF310,0)),"")</f>
        <v>0</v>
      </c>
      <c r="BG311" s="211">
        <f>IF(AND(ISNUMBER(BG309),ISNUMBER(BG296)),IF(ABS(BG309+BG308-BG310)&lt;=1,0,ROUND(BG309+BG308-BG310,0)),"")</f>
        <v>0</v>
      </c>
      <c r="BH311" s="211">
        <f>IF(AND(ISNUMBER(BH309),ISNUMBER(BH296)),IF(ABS(BH309+BH308-BH310)&lt;=1,0,ROUND(BH309+BH308-BH310,0)),"")</f>
        <v>0</v>
      </c>
      <c r="BI311" s="211">
        <f>IF(AND(ISNUMBER(BI309),ISNUMBER(BI296)),IF(ABS(BI309+BI308-BI310)&lt;=1,0,ROUND(BI309+BI308-BI310,0)),"")</f>
        <v>0</v>
      </c>
      <c r="BJ311" s="211">
        <f>IF(AND(ISNUMBER(BJ309),ISNUMBER(BJ296)),IF(ABS(BJ309+BJ308-BJ310)&lt;=1,0,ROUND(BJ309+BJ308-BJ310,0)),"")</f>
        <v>0</v>
      </c>
      <c r="BK311" s="211">
        <f>IF(AND(ISNUMBER(BK309),ISNUMBER(BK296)),IF(ABS(BK309+BK308-BK310)&lt;=1,0,ROUND(BK309+BK308-BK310,0)),"")</f>
        <v>0</v>
      </c>
      <c r="BL311" s="211">
        <f>IF(AND(ISNUMBER(BL309),ISNUMBER(BL296)),IF(ABS(BL309+BL308-BL310)&lt;=1,0,ROUND(BL309+BL308-BL310,0)),"")</f>
        <v>0</v>
      </c>
      <c r="BM311" s="211">
        <f>IF(AND(ISNUMBER(BM309),ISNUMBER(BM296)),IF(ABS(BM309+BM308-BM310)&lt;=1,0,ROUND(BM309+BM308-BM310,0)),"")</f>
        <v>0</v>
      </c>
      <c r="BN311" s="211">
        <f>IF(AND(ISNUMBER(BN309),ISNUMBER(BN296)),IF(ABS(BN309+BN308-BN310)&lt;=1,0,ROUND(BN309+BN308-BN310,0)),"")</f>
        <v>0</v>
      </c>
      <c r="BO311" s="211">
        <f>IF(AND(ISNUMBER(BO309),ISNUMBER(BO296)),IF(ABS(BO309+BO308-BO310)&lt;=1,0,ROUND(BO309+BO308-BO310,0)),"")</f>
        <v>0</v>
      </c>
      <c r="BP311" s="211">
        <f>IF(AND(ISNUMBER(BP309),ISNUMBER(BP296)),IF(ABS(BP309+BP308-BP310)&lt;=1,0,ROUND(BP309+BP308-BP310,0)),"")</f>
        <v>0</v>
      </c>
      <c r="BQ311" s="211">
        <f>IF(AND(ISNUMBER(BQ309),ISNUMBER(BQ296)),IF(ABS(BQ309+BQ308-BQ310)&lt;=1,0,ROUND(BQ309+BQ308-BQ310,0)),"")</f>
        <v>0</v>
      </c>
      <c r="BR311" s="211">
        <f>IF(AND(ISNUMBER(BR309),ISNUMBER(BR296)),IF(ABS(BR309+BR308-BR310)&lt;=1,0,ROUND(BR309+BR308-BR310,0)),"")</f>
        <v>0</v>
      </c>
      <c r="BS311" s="211">
        <f>IF(AND(ISNUMBER(BS309),ISNUMBER(BS296)),IF(ABS(BS309+BS308-BS310)&lt;=1,0,ROUND(BS309+BS308-BS310,0)),"")</f>
        <v>0</v>
      </c>
      <c r="BT311" s="211">
        <f>IF(AND(ISNUMBER(BT309),ISNUMBER(BT296)),IF(ABS(BT309+BT308-BT310)&lt;=1,0,ROUND(BT309+BT308-BT310,0)),"")</f>
        <v>0</v>
      </c>
      <c r="BU311" s="211">
        <f>IF(AND(ISNUMBER(BU309),ISNUMBER(BU296)),IF(ABS(BU309+BU308-BU310)&lt;=1,0,ROUND(BU309+BU308-BU310,0)),"")</f>
        <v>0</v>
      </c>
      <c r="BV311" s="211">
        <f>IF(AND(ISNUMBER(BV309),ISNUMBER(BV296)),IF(ABS(BV309+BV308-BV310)&lt;=1,0,ROUND(BV309+BV308-BV310,0)),"")</f>
        <v>0</v>
      </c>
      <c r="BW311" s="211">
        <f>IF(AND(ISNUMBER(BW309),ISNUMBER(BW296)),IF(ABS(BW309+BW308-BW310)&lt;=1,0,ROUND(BW309+BW308-BW310,0)),"")</f>
        <v>0</v>
      </c>
      <c r="BX311" s="211">
        <f>IF(AND(ISNUMBER(BX309),ISNUMBER(BX296)),IF(ABS(BX309+BX308-BX310)&lt;=1,0,ROUND(BX309+BX308-BX310,0)),"")</f>
        <v>0</v>
      </c>
      <c r="BY311" s="211">
        <f>IF(AND(ISNUMBER(BY309),ISNUMBER(BY296)),IF(ABS(BY309+BY308-BY310)&lt;=1,0,ROUND(BY309+BY308-BY310,0)),"")</f>
        <v>0</v>
      </c>
      <c r="BZ311" s="211">
        <f>IF(AND(ISNUMBER(BZ309),ISNUMBER(BZ296)),IF(ABS(BZ309+BZ308-BZ310)&lt;=1,0,ROUND(BZ309+BZ308-BZ310,0)),"")</f>
        <v>0</v>
      </c>
      <c r="CA311" s="211">
        <f>IF(AND(ISNUMBER(CA309),ISNUMBER(CA296)),IF(ABS(CA309+CA308-CA310)&lt;=1,0,ROUND(CA309+CA308-CA310,0)),"")</f>
        <v>0</v>
      </c>
      <c r="CB311" s="153" t="n"/>
      <c r="CC311" s="153" t="n"/>
      <c r="CD311" s="153" t="n"/>
      <c r="CE311" s="153" t="n"/>
      <c r="CF311" s="268">
        <f>IF(AND(ISNUMBER(CF309),ISNUMBER(CF296)),IF(ABS(CF309+CF308-CF310)&lt;=1,0,ROUND(CF309+CF308-CF310,0)),"")</f>
        <v>0</v>
      </c>
      <c r="CG311" s="268">
        <f>IF(AND(ISNUMBER(CG309),ISNUMBER(CG296)),IF(ABS(CG309+CG308-CG310)&lt;=1,0,ROUND(CG309+CG308-CG310,0)),"")</f>
        <v>0</v>
      </c>
      <c r="CH311" s="268">
        <f>IF(AND(ISNUMBER(CH309),ISNUMBER(CH296)),IF(ABS(CH309+CH308-CH310)&lt;=1,0,ROUND(CH309+CH308-CH310,0)),"")</f>
        <v>0</v>
      </c>
      <c r="CI311" s="268">
        <f>IF(AND(ISNUMBER(CI309),ISNUMBER(CI296)),IF(ABS(CI309+CI308-CI310)&lt;=1,0,ROUND(CI309+CI308-CI310,0)),"")</f>
        <v>0</v>
      </c>
      <c r="CJ311" s="268">
        <f>IF(AND(ISNUMBER(CJ309),ISNUMBER(CJ296)),IF(ABS(CJ309+CJ308-CJ310)&lt;=1,0,ROUND(CJ309+CJ308-CJ310,0)),"")</f>
        <v>0</v>
      </c>
      <c r="CK311" s="153" t="n"/>
    </row>
    <row r="312" ht="15" customHeight="1" s="251">
      <c r="B312" s="57" t="inlineStr">
        <is>
          <t xml:space="preserve">  Check: CFO = sum of operating lines (should be 0)</t>
        </is>
      </c>
      <c r="C312" s="211">
        <f>IF(ISNUMBER(C290),IF(ABS(SUM(C290:C295)-C296)&lt;=1,0,ROUND(SUM(C290:C295)-C296,0)),"")</f>
        <v>0</v>
      </c>
      <c r="D312" s="211">
        <f>IF(ISNUMBER(D290),IF(ABS(SUM(D290:D295)-D296)&lt;=1,0,ROUND(SUM(D290:D295)-D296,0)),"")</f>
        <v>0</v>
      </c>
      <c r="E312" s="211">
        <f>IF(ISNUMBER(E290),IF(ABS(SUM(E290:E295)-E296)&lt;=1,0,ROUND(SUM(E290:E295)-E296,0)),"")</f>
        <v>0</v>
      </c>
      <c r="F312" s="211">
        <f>IF(ISNUMBER(F290),IF(ABS(SUM(F290:F295)-F296)&lt;=1,0,ROUND(SUM(F290:F295)-F296,0)),"")</f>
        <v>0</v>
      </c>
      <c r="G312" s="211">
        <f>IF(ISNUMBER(G290),IF(ABS(SUM(G290:G295)-G296)&lt;=1,0,ROUND(SUM(G290:G295)-G296,0)),"")</f>
        <v>0</v>
      </c>
      <c r="H312" s="211">
        <f>IF(ISNUMBER(H290),IF(ABS(SUM(H290:H295)-H296)&lt;=1,0,ROUND(SUM(H290:H295)-H296,0)),"")</f>
        <v>0</v>
      </c>
      <c r="I312" s="211">
        <f>IF(ISNUMBER(I290),IF(ABS(SUM(I290:I295)-I296)&lt;=1,0,ROUND(SUM(I290:I295)-I296,0)),"")</f>
        <v>0</v>
      </c>
      <c r="J312" s="211">
        <f>IF(ISNUMBER(J290),IF(ABS(SUM(J290:J295)-J296)&lt;=1,0,ROUND(SUM(J290:J295)-J296,0)),"")</f>
        <v>0</v>
      </c>
      <c r="K312" s="211">
        <f>IF(ISNUMBER(K290),IF(ABS(SUM(K290:K295)-K296)&lt;=1,0,ROUND(SUM(K290:K295)-K296,0)),"")</f>
        <v>0</v>
      </c>
      <c r="L312" s="211">
        <f>IF(ISNUMBER(L290),IF(ABS(SUM(L290:L295)-L296)&lt;=1,0,ROUND(SUM(L290:L295)-L296,0)),"")</f>
        <v>0</v>
      </c>
      <c r="M312" s="211">
        <f>IF(ISNUMBER(M290),IF(ABS(SUM(M290:M295)-M296)&lt;=1,0,ROUND(SUM(M290:M295)-M296,0)),"")</f>
        <v>0</v>
      </c>
      <c r="N312" s="211">
        <f>IF(ISNUMBER(N290),IF(ABS(SUM(N290:N295)-N296)&lt;=1,0,ROUND(SUM(N290:N295)-N296,0)),"")</f>
        <v>0</v>
      </c>
      <c r="O312" s="211">
        <f>IF(ISNUMBER(O290),IF(ABS(SUM(O290:O295)-O296)&lt;=1,0,ROUND(SUM(O290:O295)-O296,0)),"")</f>
        <v>0</v>
      </c>
      <c r="P312" s="211">
        <f>IF(ISNUMBER(P290),IF(ABS(SUM(P290:P295)-P296)&lt;=1,0,ROUND(SUM(P290:P295)-P296,0)),"")</f>
        <v>0</v>
      </c>
      <c r="Q312" s="211">
        <f>IF(ISNUMBER(Q290),IF(ABS(SUM(Q290:Q295)-Q296)&lt;=1,0,ROUND(SUM(Q290:Q295)-Q296,0)),"")</f>
        <v>0</v>
      </c>
      <c r="R312" s="211">
        <f>IF(ISNUMBER(R290),IF(ABS(SUM(R290:R295)-R296)&lt;=1,0,ROUND(SUM(R290:R295)-R296,0)),"")</f>
        <v>0</v>
      </c>
      <c r="S312" s="211">
        <f>IF(ISNUMBER(S290),IF(ABS(SUM(S290:S295)-S296)&lt;=1,0,ROUND(SUM(S290:S295)-S296,0)),"")</f>
        <v>0</v>
      </c>
      <c r="T312" s="211">
        <f>IF(ISNUMBER(T290),IF(ABS(SUM(T290:T295)-T296)&lt;=1,0,ROUND(SUM(T290:T295)-T296,0)),"")</f>
        <v>0</v>
      </c>
      <c r="U312" s="211">
        <f>IF(ISNUMBER(U290),IF(ABS(SUM(U290:U295)-U296)&lt;=1,0,ROUND(SUM(U290:U295)-U296,0)),"")</f>
        <v>0</v>
      </c>
      <c r="V312" s="211">
        <f>IF(ISNUMBER(V290),IF(ABS(SUM(V290:V295)-V296)&lt;=1,0,ROUND(SUM(V290:V295)-V296,0)),"")</f>
        <v>0</v>
      </c>
      <c r="W312" s="211">
        <f>IF(ISNUMBER(W290),IF(ABS(SUM(W290:W295)-W296)&lt;=1,0,ROUND(SUM(W290:W295)-W296,0)),"")</f>
        <v>0</v>
      </c>
      <c r="X312" s="211">
        <f>IF(ISNUMBER(X290),IF(ABS(SUM(X290:X295)-X296)&lt;=1,0,ROUND(SUM(X290:X295)-X296,0)),"")</f>
        <v>0</v>
      </c>
      <c r="Y312" s="211">
        <f>IF(ISNUMBER(Y290),IF(ABS(SUM(Y290:Y295)-Y296)&lt;=1,0,ROUND(SUM(Y290:Y295)-Y296,0)),"")</f>
        <v>0</v>
      </c>
      <c r="Z312" s="211">
        <f>IF(ISNUMBER(Z290),IF(ABS(SUM(Z290:Z295)-Z296)&lt;=1,0,ROUND(SUM(Z290:Z295)-Z296,0)),"")</f>
        <v>0</v>
      </c>
      <c r="AA312" s="211">
        <f>IF(ISNUMBER(AA290),IF(ABS(SUM(AA290:AA295)-AA296)&lt;=1,0,ROUND(SUM(AA290:AA295)-AA296,0)),"")</f>
        <v>0</v>
      </c>
      <c r="AB312" s="211">
        <f>IF(ISNUMBER(AB290),IF(ABS(SUM(AB290:AB295)-AB296)&lt;=1,0,ROUND(SUM(AB290:AB295)-AB296,0)),"")</f>
        <v>0</v>
      </c>
      <c r="AC312" s="211">
        <f>IF(ISNUMBER(AC290),IF(ABS(SUM(AC290:AC295)-AC296)&lt;=1,0,ROUND(SUM(AC290:AC295)-AC296,0)),"")</f>
        <v>0</v>
      </c>
      <c r="AD312" s="211">
        <f>IF(ISNUMBER(AD290),IF(ABS(SUM(AD290:AD295)-AD296)&lt;=1,0,ROUND(SUM(AD290:AD295)-AD296,0)),"")</f>
        <v>0</v>
      </c>
      <c r="AE312" s="211">
        <f>IF(ISNUMBER(AE290),IF(ABS(SUM(AE290:AE295)-AE296)&lt;=1,0,ROUND(SUM(AE290:AE295)-AE296,0)),"")</f>
        <v>0</v>
      </c>
      <c r="AF312" s="211">
        <f>IF(ISNUMBER(AF290),IF(ABS(SUM(AF290:AF295)-AF296)&lt;=1,0,ROUND(SUM(AF290:AF295)-AF296,0)),"")</f>
        <v>0</v>
      </c>
      <c r="AG312" s="211">
        <f>IF(ISNUMBER(AG290),IF(ABS(SUM(AG290:AG295)-AG296)&lt;=1,0,ROUND(SUM(AG290:AG295)-AG296,0)),"")</f>
        <v>0</v>
      </c>
      <c r="AH312" s="211">
        <f>IF(ISNUMBER(AH290),IF(ABS(SUM(AH290:AH295)-AH296)&lt;=1,0,ROUND(SUM(AH290:AH295)-AH296,0)),"")</f>
        <v>0</v>
      </c>
      <c r="AI312" s="211">
        <f>IF(ISNUMBER(AI290),IF(ABS(SUM(AI290:AI295)-AI296)&lt;=1,0,ROUND(SUM(AI290:AI295)-AI296,0)),"")</f>
        <v>0</v>
      </c>
      <c r="AJ312" s="211">
        <f>IF(ISNUMBER(AJ290),IF(ABS(SUM(AJ290:AJ295)-AJ296)&lt;=1,0,ROUND(SUM(AJ290:AJ295)-AJ296,0)),"")</f>
        <v>0</v>
      </c>
      <c r="AK312" s="211">
        <f>IF(ISNUMBER(AK290),IF(ABS(SUM(AK290:AK295)-AK296)&lt;=1,0,ROUND(SUM(AK290:AK295)-AK296,0)),"")</f>
        <v>0</v>
      </c>
      <c r="AL312" s="211">
        <f>IF(ISNUMBER(AL290),IF(ABS(SUM(AL290:AL295)-AL296)&lt;=1,0,ROUND(SUM(AL290:AL295)-AL296,0)),"")</f>
        <v>0</v>
      </c>
      <c r="AM312" s="211">
        <f>IF(ISNUMBER(AM290),IF(ABS(SUM(AM290:AM295)-AM296)&lt;=1,0,ROUND(SUM(AM290:AM295)-AM296,0)),"")</f>
        <v>0</v>
      </c>
      <c r="AN312" s="211">
        <f>IF(ISNUMBER(AN290),IF(ABS(SUM(AN290:AN295)-AN296)&lt;=1,0,ROUND(SUM(AN290:AN295)-AN296,0)),"")</f>
        <v>0</v>
      </c>
      <c r="AO312" s="211">
        <f>IF(ISNUMBER(AO290),IF(ABS(SUM(AO290:AO295)-AO296)&lt;=1,0,ROUND(SUM(AO290:AO295)-AO296,0)),"")</f>
        <v>0</v>
      </c>
      <c r="AP312" s="211">
        <f>IF(ISNUMBER(AP290),IF(ABS(SUM(AP290:AP295)-AP296)&lt;=1,0,ROUND(SUM(AP290:AP295)-AP296,0)),"")</f>
        <v>0</v>
      </c>
      <c r="AQ312" s="211">
        <f>IF(ISNUMBER(AQ290),IF(ABS(SUM(AQ290:AQ295)-AQ296)&lt;=1,0,ROUND(SUM(AQ290:AQ295)-AQ296,0)),"")</f>
        <v>0</v>
      </c>
      <c r="AR312" s="211">
        <f>IF(ISNUMBER(AR290),IF(ABS(SUM(AR290:AR295)-AR296)&lt;=1,0,ROUND(SUM(AR290:AR295)-AR296,0)),"")</f>
        <v>0</v>
      </c>
      <c r="AS312" s="211">
        <f>IF(ISNUMBER(AS290),IF(ABS(SUM(AS290:AS295)-AS296)&lt;=1,0,ROUND(SUM(AS290:AS295)-AS296,0)),"")</f>
        <v>0</v>
      </c>
      <c r="AT312" s="211">
        <f>IF(ISNUMBER(AT290),IF(ABS(SUM(AT290:AT295)-AT296)&lt;=1,0,ROUND(SUM(AT290:AT295)-AT296,0)),"")</f>
        <v>0</v>
      </c>
      <c r="AU312" s="211">
        <f>IF(ISNUMBER(AU290),IF(ABS(SUM(AU290:AU295)-AU296)&lt;=1,0,ROUND(SUM(AU290:AU295)-AU296,0)),"")</f>
        <v>0</v>
      </c>
      <c r="AV312" s="211">
        <f>IF(ISNUMBER(AV290),IF(ABS(SUM(AV290:AV295)-AV296)&lt;=1,0,ROUND(SUM(AV290:AV295)-AV296,0)),"")</f>
        <v>0</v>
      </c>
      <c r="AW312" s="211">
        <f>IF(ISNUMBER(AW290),IF(ABS(SUM(AW290:AW295)-AW296)&lt;=1,0,ROUND(SUM(AW290:AW295)-AW296,0)),"")</f>
        <v>0</v>
      </c>
      <c r="AX312" s="211">
        <f>IF(ISNUMBER(AX290),IF(ABS(SUM(AX290:AX295)-AX296)&lt;=1,0,ROUND(SUM(AX290:AX295)-AX296,0)),"")</f>
        <v>0</v>
      </c>
      <c r="AY312" s="211">
        <f>IF(ISNUMBER(AY290),IF(ABS(SUM(AY290:AY295)-AY296)&lt;=1,0,ROUND(SUM(AY290:AY295)-AY296,0)),"")</f>
        <v>0</v>
      </c>
      <c r="AZ312" s="211">
        <f>IF(ISNUMBER(AZ290),IF(ABS(SUM(AZ290:AZ295)-AZ296)&lt;=1,0,ROUND(SUM(AZ290:AZ295)-AZ296,0)),"")</f>
        <v>0</v>
      </c>
      <c r="BA312" s="211">
        <f>IF(ISNUMBER(BA290),IF(ABS(SUM(BA290:BA295)-BA296)&lt;=1,0,ROUND(SUM(BA290:BA295)-BA296,0)),"")</f>
        <v>0</v>
      </c>
      <c r="BB312" s="211">
        <f>IF(ISNUMBER(BB290),IF(ABS(SUM(BB290:BB295)-BB296)&lt;=1,0,ROUND(SUM(BB290:BB295)-BB296,0)),"")</f>
        <v>0</v>
      </c>
      <c r="BC312" s="211">
        <f>IF(ISNUMBER(BC290),IF(ABS(SUM(BC290:BC295)-BC296)&lt;=1,0,ROUND(SUM(BC290:BC295)-BC296,0)),"")</f>
        <v>0</v>
      </c>
      <c r="BD312" s="211">
        <f>IF(ISNUMBER(BD290),IF(ABS(SUM(BD290:BD295)-BD296)&lt;=1,0,ROUND(SUM(BD290:BD295)-BD296,0)),"")</f>
        <v>0</v>
      </c>
      <c r="BE312" s="211">
        <f>IF(ISNUMBER(BE290),IF(ABS(SUM(BE290:BE295)-BE296)&lt;=1,0,ROUND(SUM(BE290:BE295)-BE296,0)),"")</f>
        <v>0</v>
      </c>
      <c r="BF312" s="211">
        <f>IF(ISNUMBER(BF290),IF(ABS(SUM(BF290:BF295)-BF296)&lt;=1,0,ROUND(SUM(BF290:BF295)-BF296,0)),"")</f>
        <v>0</v>
      </c>
      <c r="BG312" s="211">
        <f>IF(ISNUMBER(BG290),IF(ABS(SUM(BG290:BG295)-BG296)&lt;=1,0,ROUND(SUM(BG290:BG295)-BG296,0)),"")</f>
        <v>0</v>
      </c>
      <c r="BH312" s="211">
        <f>IF(ISNUMBER(BH290),IF(ABS(SUM(BH290:BH295)-BH296)&lt;=1,0,ROUND(SUM(BH290:BH295)-BH296,0)),"")</f>
        <v>0</v>
      </c>
      <c r="BI312" s="211">
        <f>IF(ISNUMBER(BI290),IF(ABS(SUM(BI290:BI295)-BI296)&lt;=1,0,ROUND(SUM(BI290:BI295)-BI296,0)),"")</f>
        <v>0</v>
      </c>
      <c r="BJ312" s="211">
        <f>IF(ISNUMBER(BJ290),IF(ABS(SUM(BJ290:BJ295)-BJ296)&lt;=1,0,ROUND(SUM(BJ290:BJ295)-BJ296,0)),"")</f>
        <v>0</v>
      </c>
      <c r="BK312" s="211">
        <f>IF(ISNUMBER(BK290),IF(ABS(SUM(BK290:BK295)-BK296)&lt;=1,0,ROUND(SUM(BK290:BK295)-BK296,0)),"")</f>
        <v>0</v>
      </c>
      <c r="BL312" s="211">
        <f>IF(ISNUMBER(BL290),IF(ABS(SUM(BL290:BL295)-BL296)&lt;=1,0,ROUND(SUM(BL290:BL295)-BL296,0)),"")</f>
        <v>0</v>
      </c>
      <c r="BM312" s="211">
        <f>IF(ISNUMBER(BM290),IF(ABS(SUM(BM290:BM295)-BM296)&lt;=1,0,ROUND(SUM(BM290:BM295)-BM296,0)),"")</f>
        <v>0</v>
      </c>
      <c r="BN312" s="211">
        <f>IF(ISNUMBER(BN290),IF(ABS(SUM(BN290:BN295)-BN296)&lt;=1,0,ROUND(SUM(BN290:BN295)-BN296,0)),"")</f>
        <v>0</v>
      </c>
      <c r="BO312" s="211">
        <f>IF(ISNUMBER(BO290),IF(ABS(SUM(BO290:BO295)-BO296)&lt;=1,0,ROUND(SUM(BO290:BO295)-BO296,0)),"")</f>
        <v>0</v>
      </c>
      <c r="BP312" s="211">
        <f>IF(ISNUMBER(BP290),IF(ABS(SUM(BP290:BP295)-BP296)&lt;=1,0,ROUND(SUM(BP290:BP295)-BP296,0)),"")</f>
        <v>0</v>
      </c>
      <c r="BQ312" s="211">
        <f>IF(ISNUMBER(BQ290),IF(ABS(SUM(BQ290:BQ295)-BQ296)&lt;=1,0,ROUND(SUM(BQ290:BQ295)-BQ296,0)),"")</f>
        <v>0</v>
      </c>
      <c r="BR312" s="211">
        <f>IF(ISNUMBER(BR290),IF(ABS(SUM(BR290:BR295)-BR296)&lt;=1,0,ROUND(SUM(BR290:BR295)-BR296,0)),"")</f>
        <v>0</v>
      </c>
      <c r="BS312" s="211">
        <f>IF(ISNUMBER(BS290),IF(ABS(SUM(BS290:BS295)-BS296)&lt;=1,0,ROUND(SUM(BS290:BS295)-BS296,0)),"")</f>
        <v>0</v>
      </c>
      <c r="BT312" s="211">
        <f>IF(ISNUMBER(BT290),IF(ABS(SUM(BT290:BT295)-BT296)&lt;=1,0,ROUND(SUM(BT290:BT295)-BT296,0)),"")</f>
        <v>0</v>
      </c>
      <c r="BU312" s="211">
        <f>IF(ISNUMBER(BU290),IF(ABS(SUM(BU290:BU295)-BU296)&lt;=1,0,ROUND(SUM(BU290:BU295)-BU296,0)),"")</f>
        <v>0</v>
      </c>
      <c r="BV312" s="211">
        <f>IF(ISNUMBER(BV290),IF(ABS(SUM(BV290:BV295)-BV296)&lt;=1,0,ROUND(SUM(BV290:BV295)-BV296,0)),"")</f>
        <v>0</v>
      </c>
      <c r="BW312" s="211">
        <f>IF(ISNUMBER(BW290),IF(ABS(SUM(BW290:BW295)-BW296)&lt;=1,0,ROUND(SUM(BW290:BW295)-BW296,0)),"")</f>
        <v>0</v>
      </c>
      <c r="BX312" s="211">
        <f>IF(ISNUMBER(BX290),IF(ABS(SUM(BX290:BX295)-BX296)&lt;=1,0,ROUND(SUM(BX290:BX295)-BX296,0)),"")</f>
        <v>0</v>
      </c>
      <c r="BY312" s="211">
        <f>IF(ISNUMBER(BY290),IF(ABS(SUM(BY290:BY295)-BY296)&lt;=1,0,ROUND(SUM(BY290:BY295)-BY296,0)),"")</f>
        <v>0</v>
      </c>
      <c r="BZ312" s="211">
        <f>IF(ISNUMBER(BZ290),IF(ABS(SUM(BZ290:BZ295)-BZ296)&lt;=1,0,ROUND(SUM(BZ290:BZ295)-BZ296,0)),"")</f>
        <v>0</v>
      </c>
      <c r="CA312" s="211">
        <f>IF(ISNUMBER(CA290),IF(ABS(SUM(CA290:CA295)-CA296)&lt;=1,0,ROUND(SUM(CA290:CA295)-CA296,0)),"")</f>
        <v>0</v>
      </c>
      <c r="CB312" s="153" t="n"/>
      <c r="CC312" s="153" t="n"/>
      <c r="CD312" s="153" t="n"/>
      <c r="CE312" s="153" t="n"/>
      <c r="CF312" s="268">
        <f>IF(ISNUMBER(CF290),IF(ABS(SUM(CF290:CF295)-CF296)&lt;=1,0,ROUND(SUM(CF290:CF295)-CF296,0)),"")</f>
        <v>0</v>
      </c>
      <c r="CG312" s="268">
        <f>IF(ISNUMBER(CG290),IF(ABS(SUM(CG290:CG295)-CG296)&lt;=1,0,ROUND(SUM(CG290:CG295)-CG296,0)),"")</f>
        <v>0</v>
      </c>
      <c r="CH312" s="268">
        <f>IF(ISNUMBER(CH290),IF(ABS(SUM(CH290:CH295)-CH296)&lt;=1,0,ROUND(SUM(CH290:CH295)-CH296,0)),"")</f>
        <v>0</v>
      </c>
      <c r="CI312" s="268">
        <f>IF(ISNUMBER(CI290),IF(ABS(SUM(CI290:CI295)-CI296)&lt;=1,0,ROUND(SUM(CI290:CI295)-CI296,0)),"")</f>
        <v>0</v>
      </c>
      <c r="CJ312" s="268">
        <f>IF(ISNUMBER(CJ290),IF(ABS(SUM(CJ290:CJ295)-CJ296)&lt;=1,0,ROUND(SUM(CJ290:CJ295)-CJ296,0)),"")</f>
        <v>0</v>
      </c>
      <c r="CK312" s="153" t="n"/>
    </row>
    <row r="313" ht="15" customHeight="1" s="251">
      <c r="B313" s="25" t="inlineStr">
        <is>
          <t>(Memo)</t>
        </is>
      </c>
      <c r="CK313" s="153" t="n"/>
    </row>
    <row r="314" ht="15" customHeight="1" s="251">
      <c r="B314" s="55" t="inlineStr">
        <is>
          <t>Free cash flow (model: net cash from operations − additions to property and equipment)</t>
        </is>
      </c>
      <c r="C314" s="267">
        <f>IF(AND(ISNUMBER(C296),ISNUMBER(C297)),C296+C297,"")</f>
        <v>12826</v>
      </c>
      <c r="D314" s="267">
        <f>IF(AND(ISNUMBER(D296),ISNUMBER(D297)),D296+D297,"")</f>
        <v>15532</v>
      </c>
      <c r="E314" s="267">
        <f>IF(AND(ISNUMBER(E296),ISNUMBER(E297)),E296+E297,"")</f>
        <v>18430</v>
      </c>
      <c r="F314" s="267">
        <f>IF(AND(ISNUMBER(F296),ISNUMBER(F297)),F296+F297,"")</f>
        <v>15918</v>
      </c>
      <c r="G314" s="267">
        <f>IF(AND(ISNUMBER(G296),ISNUMBER(G297)),G296+G297,"")</f>
        <v>22096</v>
      </c>
      <c r="H314" s="267">
        <f>IF(AND(ISNUMBER(H296),ISNUMBER(H297)),H296+H297,"")</f>
        <v>24639</v>
      </c>
      <c r="I314" s="267">
        <f>IF(AND(ISNUMBER(I296),ISNUMBER(I297)),I296+I297,"")</f>
        <v>29321</v>
      </c>
      <c r="J314" s="267">
        <f>IF(AND(ISNUMBER(J296),ISNUMBER(J297)),J296+J297,"")</f>
        <v>7881</v>
      </c>
      <c r="K314" s="267">
        <f>IF(AND(ISNUMBER(K296),ISNUMBER(K297)),K296+K297,"")</f>
        <v>3850</v>
      </c>
      <c r="L314" s="267">
        <f>IF(AND(ISNUMBER(L296),ISNUMBER(L297)),L296+L297,"")</f>
        <v>8736</v>
      </c>
      <c r="M314" s="267">
        <f>IF(AND(ISNUMBER(M296),ISNUMBER(M297)),M296+M297,"")</f>
        <v>4109</v>
      </c>
      <c r="N314" s="267">
        <f>IF(AND(ISNUMBER(N296),ISNUMBER(N297)),N296+N297,"")</f>
        <v>24576</v>
      </c>
      <c r="O314" s="267">
        <f>IF(AND(ISNUMBER(O296),ISNUMBER(O297)),O296+O297,"")</f>
        <v>6974</v>
      </c>
      <c r="P314" s="267">
        <f>IF(AND(ISNUMBER(P296),ISNUMBER(P297)),P296+P297,"")</f>
        <v>2681</v>
      </c>
      <c r="Q314" s="267">
        <f>IF(AND(ISNUMBER(Q296),ISNUMBER(Q297)),Q296+Q297,"")</f>
        <v>8907</v>
      </c>
      <c r="R314" s="267">
        <f>IF(AND(ISNUMBER(R296),ISNUMBER(R297)),R296+R297,"")</f>
        <v>8184</v>
      </c>
      <c r="S314" s="267">
        <f>IF(AND(ISNUMBER(S296),ISNUMBER(S297)),S296+S297,"")</f>
        <v>26746</v>
      </c>
      <c r="T314" s="267">
        <f>IF(AND(ISNUMBER(T296),ISNUMBER(T297)),T296+T297,"")</f>
        <v>7072</v>
      </c>
      <c r="U314" s="267">
        <f>IF(AND(ISNUMBER(U296),ISNUMBER(U297)),U296+U297,"")</f>
        <v>2850</v>
      </c>
      <c r="V314" s="267">
        <f>IF(AND(ISNUMBER(V296),ISNUMBER(V297)),V296+V297,"")</f>
        <v>8179</v>
      </c>
      <c r="W314" s="267">
        <f>IF(AND(ISNUMBER(W296),ISNUMBER(W297)),W296+W297,"")</f>
        <v>5035</v>
      </c>
      <c r="X314" s="267">
        <f>IF(AND(ISNUMBER(X296),ISNUMBER(X297)),X296+X297,"")</f>
        <v>23136</v>
      </c>
      <c r="Y314" s="267">
        <f>IF(AND(ISNUMBER(Y296),ISNUMBER(Y297)),Y296+Y297,"")</f>
        <v>7238</v>
      </c>
      <c r="Z314" s="267">
        <f>IF(AND(ISNUMBER(Z296),ISNUMBER(Z297)),Z296+Z297,"")</f>
        <v>3574</v>
      </c>
      <c r="AA314" s="267">
        <f>IF(AND(ISNUMBER(AA296),ISNUMBER(AA297)),AA296+AA297,"")</f>
        <v>8059</v>
      </c>
      <c r="AB314" s="267">
        <f>IF(AND(ISNUMBER(AB296),ISNUMBER(AB297)),AB296+AB297,"")</f>
        <v>5809</v>
      </c>
      <c r="AC314" s="267">
        <f>IF(AND(ISNUMBER(AC296),ISNUMBER(AC297)),AC296+AC297,"")</f>
        <v>24982</v>
      </c>
      <c r="AD314" s="267">
        <f>IF(AND(ISNUMBER(AD296),ISNUMBER(AD297)),AD296+AD297,"")</f>
        <v>9386</v>
      </c>
      <c r="AE314" s="267">
        <f>IF(AND(ISNUMBER(AE296),ISNUMBER(AE297)),AE296+AE297,"")</f>
        <v>4305</v>
      </c>
      <c r="AF314" s="267">
        <f>IF(AND(ISNUMBER(AF296),ISNUMBER(AF297)),AF296+AF297,"")</f>
        <v>8965</v>
      </c>
      <c r="AG314" s="267">
        <f>IF(AND(ISNUMBER(AG296),ISNUMBER(AG297)),AG296+AG297,"")</f>
        <v>8722</v>
      </c>
      <c r="AH314" s="267">
        <f>IF(AND(ISNUMBER(AH296),ISNUMBER(AH297)),AH296+AH297,"")</f>
        <v>31378</v>
      </c>
      <c r="AI314" s="267">
        <f>IF(AND(ISNUMBER(AI296),ISNUMBER(AI297)),AI296+AI297,"")</f>
        <v>10308</v>
      </c>
      <c r="AJ314" s="267">
        <f>IF(AND(ISNUMBER(AJ296),ISNUMBER(AJ297)),AJ296+AJ297,"")</f>
        <v>5289</v>
      </c>
      <c r="AK314" s="267">
        <f>IF(AND(ISNUMBER(AK296),ISNUMBER(AK297)),AK296+AK297,"")</f>
        <v>9217</v>
      </c>
      <c r="AL314" s="267">
        <f>IF(AND(ISNUMBER(AL296),ISNUMBER(AL297)),AL296+AL297,"")</f>
        <v>7438</v>
      </c>
      <c r="AM314" s="267">
        <f>IF(AND(ISNUMBER(AM296),ISNUMBER(AM297)),AM296+AM297,"")</f>
        <v>32252</v>
      </c>
      <c r="AN314" s="267">
        <f>IF(AND(ISNUMBER(AN296),ISNUMBER(AN297)),AN296+AN297,"")</f>
        <v>10055</v>
      </c>
      <c r="AO314" s="267">
        <f>IF(AND(ISNUMBER(AO296),ISNUMBER(AO297)),AO296+AO297,"")</f>
        <v>5193</v>
      </c>
      <c r="AP314" s="267">
        <f>IF(AND(ISNUMBER(AP296),ISNUMBER(AP297)),AP296+AP297,"")</f>
        <v>10955</v>
      </c>
      <c r="AQ314" s="267">
        <f>IF(AND(ISNUMBER(AQ296),ISNUMBER(AQ297)),AQ296+AQ297,"")</f>
        <v>12057</v>
      </c>
      <c r="AR314" s="267">
        <f>IF(AND(ISNUMBER(AR296),ISNUMBER(AR297)),AR296+AR297,"")</f>
        <v>38260</v>
      </c>
      <c r="AS314" s="267">
        <f>IF(AND(ISNUMBER(AS296),ISNUMBER(AS297)),AS296+AS297,"")</f>
        <v>10433</v>
      </c>
      <c r="AT314" s="267">
        <f>IF(AND(ISNUMBER(AT296),ISNUMBER(AT297)),AT296+AT297,"")</f>
        <v>7135</v>
      </c>
      <c r="AU314" s="267">
        <f>IF(AND(ISNUMBER(AU296),ISNUMBER(AU297)),AU296+AU297,"")</f>
        <v>13737</v>
      </c>
      <c r="AV314" s="267">
        <f>IF(AND(ISNUMBER(AV296),ISNUMBER(AV297)),AV296+AV297,"")</f>
        <v>13929</v>
      </c>
      <c r="AW314" s="267">
        <f>IF(AND(ISNUMBER(AW296),ISNUMBER(AW297)),AW296+AW297,"")</f>
        <v>45234</v>
      </c>
      <c r="AX314" s="267">
        <f>IF(AND(ISNUMBER(AX296),ISNUMBER(AX297)),AX296+AX297,"")</f>
        <v>14428</v>
      </c>
      <c r="AY314" s="267">
        <f>IF(AND(ISNUMBER(AY296),ISNUMBER(AY297)),AY296+AY297,"")</f>
        <v>8342</v>
      </c>
      <c r="AZ314" s="267">
        <f>IF(AND(ISNUMBER(AZ296),ISNUMBER(AZ297)),AZ296+AZ297,"")</f>
        <v>17090</v>
      </c>
      <c r="BA314" s="267">
        <f>IF(AND(ISNUMBER(BA296),ISNUMBER(BA297)),BA296+BA297,"")</f>
        <v>16258</v>
      </c>
      <c r="BB314" s="267">
        <f>IF(AND(ISNUMBER(BB296),ISNUMBER(BB297)),BB296+BB297,"")</f>
        <v>56118</v>
      </c>
      <c r="BC314" s="267">
        <f>IF(AND(ISNUMBER(BC296),ISNUMBER(BC297)),BC296+BC297,"")</f>
        <v>18730</v>
      </c>
      <c r="BD314" s="267">
        <f>IF(AND(ISNUMBER(BD296),ISNUMBER(BD297)),BD296+BD297,"")</f>
        <v>8615</v>
      </c>
      <c r="BE314" s="267">
        <f>IF(AND(ISNUMBER(BE296),ISNUMBER(BE297)),BE296+BE297,"")</f>
        <v>20046</v>
      </c>
      <c r="BF314" s="267">
        <f>IF(AND(ISNUMBER(BF296),ISNUMBER(BF297)),BF296+BF297,"")</f>
        <v>17758</v>
      </c>
      <c r="BG314" s="267">
        <f>IF(AND(ISNUMBER(BG296),ISNUMBER(BG297)),BG296+BG297,"")</f>
        <v>65149</v>
      </c>
      <c r="BH314" s="267">
        <f>IF(AND(ISNUMBER(BH296),ISNUMBER(BH297)),BH296+BH297,"")</f>
        <v>16915</v>
      </c>
      <c r="BI314" s="267">
        <f>IF(AND(ISNUMBER(BI296),ISNUMBER(BI297)),BI296+BI297,"")</f>
        <v>4899</v>
      </c>
      <c r="BJ314" s="267">
        <f>IF(AND(ISNUMBER(BJ296),ISNUMBER(BJ297)),BJ296+BJ297,"")</f>
        <v>17834</v>
      </c>
      <c r="BK314" s="267">
        <f>IF(AND(ISNUMBER(BK296),ISNUMBER(BK297)),BK296+BK297,"")</f>
        <v>19827</v>
      </c>
      <c r="BL314" s="267">
        <f>IF(AND(ISNUMBER(BL296),ISNUMBER(BL297)),BL296+BL297,"")</f>
        <v>59475</v>
      </c>
      <c r="BM314" s="267">
        <f>IF(AND(ISNUMBER(BM296),ISNUMBER(BM297)),BM296+BM297,"")</f>
        <v>20666</v>
      </c>
      <c r="BN314" s="267">
        <f>IF(AND(ISNUMBER(BN296),ISNUMBER(BN297)),BN296+BN297,"")</f>
        <v>9118</v>
      </c>
      <c r="BO314" s="267">
        <f>IF(AND(ISNUMBER(BO296),ISNUMBER(BO297)),BO296+BO297,"")</f>
        <v>20965</v>
      </c>
      <c r="BP314" s="267">
        <f>IF(AND(ISNUMBER(BP296),ISNUMBER(BP297)),BP296+BP297,"")</f>
        <v>23322</v>
      </c>
      <c r="BQ314" s="267">
        <f>IF(AND(ISNUMBER(BQ296),ISNUMBER(BQ297)),BQ296+BQ297,"")</f>
        <v>74071</v>
      </c>
      <c r="BR314" s="267">
        <f>IF(AND(ISNUMBER(BR296),ISNUMBER(BR297)),BR296+BR297,"")</f>
        <v>19257</v>
      </c>
      <c r="BS314" s="267">
        <f>IF(AND(ISNUMBER(BS296),ISNUMBER(BS297)),BS296+BS297,"")</f>
        <v>6487</v>
      </c>
      <c r="BT314" s="267">
        <f>IF(AND(ISNUMBER(BT296),ISNUMBER(BT297)),BT296+BT297,"")</f>
        <v>20299</v>
      </c>
      <c r="BU314" s="267">
        <f>IF(AND(ISNUMBER(BU296),ISNUMBER(BU297)),BU296+BU297,"")</f>
        <v>25568</v>
      </c>
      <c r="BV314" s="267">
        <f>IF(AND(ISNUMBER(BV296),ISNUMBER(BV297)),BV296+BV297,"")</f>
        <v>71611</v>
      </c>
      <c r="BW314" s="267">
        <f>IF(AND(ISNUMBER(BW296),ISNUMBER(BW297)),BW296+BW297,"")</f>
        <v>25663</v>
      </c>
      <c r="BX314" s="267">
        <f>IF(AND(ISNUMBER(BX296),ISNUMBER(BX297)),BX296+BX297,"")</f>
        <v>5882</v>
      </c>
      <c r="BY314" s="267">
        <f>IF(AND(ISNUMBER(BY296),ISNUMBER(BY297)),BY296+BY297,"")</f>
        <v>15803</v>
      </c>
      <c r="BZ314" s="267">
        <f>IF(AND(ISNUMBER(BZ296),ISNUMBER(BZ297)),BZ296+BZ297,"")</f>
        <v>19639</v>
      </c>
      <c r="CA314" s="267">
        <f>IF(AND(ISNUMBER(CA296),ISNUMBER(CA297)),CA296+CA297,"")</f>
        <v>66987</v>
      </c>
      <c r="CB314" s="56" t="n"/>
      <c r="CC314" s="56" t="n"/>
      <c r="CD314" s="56" t="n"/>
      <c r="CE314" s="56" t="n"/>
      <c r="CF314" s="267">
        <f>IF(AND(ISNUMBER(CF296),ISNUMBER(CF297)),CF296+CF297,"")</f>
        <v>55969.8622670554</v>
      </c>
      <c r="CG314" s="267">
        <f>IF(AND(ISNUMBER(CG296),ISNUMBER(CG297)),CG296+CG297,"")</f>
        <v>97395.8108678641</v>
      </c>
      <c r="CH314" s="267">
        <f>IF(AND(ISNUMBER(CH296),ISNUMBER(CH297)),CH296+CH297,"")</f>
        <v>141021.361230766</v>
      </c>
      <c r="CI314" s="267">
        <f>IF(AND(ISNUMBER(CI296),ISNUMBER(CI297)),CI296+CI297,"")</f>
        <v>191374.163496235</v>
      </c>
      <c r="CJ314" s="267">
        <f>IF(AND(ISNUMBER(CJ296),ISNUMBER(CJ297)),CJ296+CJ297,"")</f>
        <v>233824.578719346</v>
      </c>
      <c r="CK314" s="153" t="inlineStr">
        <is>
          <t>Microsoft does not reconcile a free-cash-flow measure in its releases; model definition (labelled).</t>
        </is>
      </c>
      <c r="CM314" s="20">
        <f>IFERROR((CJ314/CA314)^(1/5)-1,"n/m")</f>
        <v>0.284044060849782</v>
      </c>
      <c r="CN314" s="20">
        <f>IFERROR((CA314/BB314)^(1/5)-1,"n/m")</f>
        <v>0.0360427327416044</v>
      </c>
      <c r="CO314" s="20">
        <f>IFERROR((CA314/AC314)^(1/10)-1,"n/m")</f>
        <v>0.103662616901734</v>
      </c>
      <c r="CP314" s="20">
        <f>IFERROR((CA314/C314)^(1/20)-1,"n/m")</f>
        <v>0.0861629002568749</v>
      </c>
    </row>
    <row r="315" ht="15" customHeight="1" s="251">
      <c r="B315" s="25" t="inlineStr">
        <is>
          <t xml:space="preserve">  FCF after finance-lease assets obtained (FCF − finance-lease right-of-use assets; annual)</t>
        </is>
      </c>
      <c r="C315" s="211">
        <f>IF(AND(ISNUMBER(C314),ISNUMBER(C168)),C314-C168,"")</f>
      </c>
      <c r="D315" s="211">
        <f>IF(AND(ISNUMBER(D314),ISNUMBER(D168)),D314-D168,"")</f>
      </c>
      <c r="E315" s="211">
        <f>IF(AND(ISNUMBER(E314),ISNUMBER(E168)),E314-E168,"")</f>
      </c>
      <c r="F315" s="211">
        <f>IF(AND(ISNUMBER(F314),ISNUMBER(F168)),F314-F168,"")</f>
      </c>
      <c r="G315" s="211">
        <f>IF(AND(ISNUMBER(G314),ISNUMBER(G168)),G314-G168,"")</f>
      </c>
      <c r="H315" s="211">
        <f>IF(AND(ISNUMBER(H314),ISNUMBER(H168)),H314-H168,"")</f>
      </c>
      <c r="I315" s="211">
        <f>IF(AND(ISNUMBER(I314),ISNUMBER(I168)),I314-I168,"")</f>
      </c>
      <c r="J315" s="34" t="n"/>
      <c r="K315" s="34" t="n"/>
      <c r="L315" s="34" t="n"/>
      <c r="M315" s="34" t="n"/>
      <c r="N315" s="211">
        <f>IF(AND(ISNUMBER(N314),ISNUMBER(N168)),N314-N168,"")</f>
      </c>
      <c r="O315" s="34" t="n"/>
      <c r="P315" s="34" t="n"/>
      <c r="Q315" s="34" t="n"/>
      <c r="R315" s="34" t="n"/>
      <c r="S315" s="211">
        <f>IF(AND(ISNUMBER(S314),ISNUMBER(S168)),S314-S168,"")</f>
      </c>
      <c r="T315" s="34" t="n"/>
      <c r="U315" s="34" t="n"/>
      <c r="V315" s="34" t="n"/>
      <c r="W315" s="34" t="n"/>
      <c r="X315" s="211">
        <f>IF(AND(ISNUMBER(X314),ISNUMBER(X168)),X314-X168,"")</f>
      </c>
      <c r="Y315" s="34" t="n"/>
      <c r="Z315" s="34" t="n"/>
      <c r="AA315" s="34" t="n"/>
      <c r="AB315" s="34" t="n"/>
      <c r="AC315" s="211">
        <f>IF(AND(ISNUMBER(AC314),ISNUMBER(AC168)),AC314-AC168,"")</f>
        <v>24569</v>
      </c>
      <c r="AD315" s="34" t="n"/>
      <c r="AE315" s="34" t="n"/>
      <c r="AF315" s="34" t="n"/>
      <c r="AG315" s="34" t="n"/>
      <c r="AH315" s="211">
        <f>IF(AND(ISNUMBER(AH314),ISNUMBER(AH168)),AH314-AH168,"")</f>
        <v>29605</v>
      </c>
      <c r="AI315" s="34" t="n"/>
      <c r="AJ315" s="34" t="n"/>
      <c r="AK315" s="34" t="n"/>
      <c r="AL315" s="34" t="n"/>
      <c r="AM315" s="211">
        <f>IF(AND(ISNUMBER(AM314),ISNUMBER(AM168)),AM314-AM168,"")</f>
        <v>30319</v>
      </c>
      <c r="AN315" s="34" t="n"/>
      <c r="AO315" s="34" t="n"/>
      <c r="AP315" s="34" t="n"/>
      <c r="AQ315" s="34" t="n"/>
      <c r="AR315" s="211">
        <f>IF(AND(ISNUMBER(AR314),ISNUMBER(AR168)),AR314-AR168,"")</f>
        <v>35728</v>
      </c>
      <c r="AS315" s="34" t="n"/>
      <c r="AT315" s="34" t="n"/>
      <c r="AU315" s="34" t="n"/>
      <c r="AV315" s="34" t="n"/>
      <c r="AW315" s="211">
        <f>IF(AND(ISNUMBER(AW314),ISNUMBER(AW168)),AW314-AW168,"")</f>
        <v>41767</v>
      </c>
      <c r="AX315" s="34" t="n"/>
      <c r="AY315" s="34" t="n"/>
      <c r="AZ315" s="34" t="n"/>
      <c r="BA315" s="34" t="n"/>
      <c r="BB315" s="211">
        <f>IF(AND(ISNUMBER(BB314),ISNUMBER(BB168)),BB314-BB168,"")</f>
        <v>52828</v>
      </c>
      <c r="BC315" s="34" t="n"/>
      <c r="BD315" s="34" t="n"/>
      <c r="BE315" s="34" t="n"/>
      <c r="BF315" s="34" t="n"/>
      <c r="BG315" s="211">
        <f>IF(AND(ISNUMBER(BG314),ISNUMBER(BG168)),BG314-BG168,"")</f>
        <v>60915</v>
      </c>
      <c r="BH315" s="34" t="n"/>
      <c r="BI315" s="34" t="n"/>
      <c r="BJ315" s="34" t="n"/>
      <c r="BK315" s="34" t="n"/>
      <c r="BL315" s="211">
        <f>IF(AND(ISNUMBER(BL314),ISNUMBER(BL168)),BL314-BL168,"")</f>
        <v>56347</v>
      </c>
      <c r="BM315" s="34" t="n"/>
      <c r="BN315" s="34" t="n"/>
      <c r="BO315" s="34" t="n"/>
      <c r="BP315" s="34" t="n"/>
      <c r="BQ315" s="211">
        <f>IF(AND(ISNUMBER(BQ314),ISNUMBER(BQ168)),BQ314-BQ168,"")</f>
        <v>62438</v>
      </c>
      <c r="BR315" s="34" t="n"/>
      <c r="BS315" s="34" t="n"/>
      <c r="BT315" s="34" t="n"/>
      <c r="BU315" s="34" t="n"/>
      <c r="BV315" s="211">
        <f>IF(AND(ISNUMBER(BV314),ISNUMBER(BV168)),BV314-BV168,"")</f>
        <v>51100</v>
      </c>
      <c r="BW315" s="34" t="n"/>
      <c r="BX315" s="34" t="n"/>
      <c r="BY315" s="34" t="n"/>
      <c r="BZ315" s="34" t="n"/>
      <c r="CA315" s="211">
        <f>IF(AND(ISNUMBER(CA314),ISNUMBER(CA168)),CA314-CA168,"")</f>
        <v>42379</v>
      </c>
      <c r="CB315" s="35" t="n"/>
      <c r="CC315" s="35" t="n"/>
      <c r="CD315" s="35" t="n"/>
      <c r="CE315" s="35" t="n"/>
      <c r="CF315" s="254">
        <f>IF(AND(ISNUMBER(CF314),ISNUMBER(CF168)),CF314-CF168,"")</f>
        <v>20969.8622670554</v>
      </c>
      <c r="CG315" s="254">
        <f>IF(AND(ISNUMBER(CG314),ISNUMBER(CG168)),CG314-CG168,"")</f>
        <v>61532.5275756285</v>
      </c>
      <c r="CH315" s="254">
        <f>IF(AND(ISNUMBER(CH314),ISNUMBER(CH168)),CH314-CH168,"")</f>
        <v>104140.312030623</v>
      </c>
      <c r="CI315" s="254">
        <f>IF(AND(ISNUMBER(CI314),ISNUMBER(CI168)),CI314-CI168,"")</f>
        <v>154663.551379022</v>
      </c>
      <c r="CJ315" s="254">
        <f>IF(AND(ISNUMBER(CJ314),ISNUMBER(CJ168)),CJ314-CJ168,"")</f>
        <v>196209.436913195</v>
      </c>
      <c r="CK315" s="19" t="n"/>
    </row>
    <row r="316" ht="15" customHeight="1" s="251">
      <c r="B316" s="22" t="inlineStr">
        <is>
          <t xml:space="preserve">  FCF y/y %</t>
        </is>
      </c>
      <c r="C316" s="23" t="n"/>
      <c r="D316" s="255">
        <f>IF(AND(ISNUMBER(D314),ISNUMBER(C314)),IFERROR(D314/C314-1,""),"")</f>
        <v>0.210977701543739</v>
      </c>
      <c r="E316" s="255">
        <f>IF(AND(ISNUMBER(E314),ISNUMBER(D314)),IFERROR(E314/D314-1,""),"")</f>
        <v>0.186582539273757</v>
      </c>
      <c r="F316" s="255">
        <f>IF(AND(ISNUMBER(F314),ISNUMBER(E314)),IFERROR(F314/E314-1,""),"")</f>
        <v>-0.136299511665762</v>
      </c>
      <c r="G316" s="255">
        <f>IF(AND(ISNUMBER(G314),ISNUMBER(F314)),IFERROR(G314/F314-1,""),"")</f>
        <v>0.388114084684005</v>
      </c>
      <c r="H316" s="255">
        <f>IF(AND(ISNUMBER(H314),ISNUMBER(G314)),IFERROR(H314/G314-1,""),"")</f>
        <v>0.115088703837799</v>
      </c>
      <c r="I316" s="255">
        <f>IF(AND(ISNUMBER(I314),ISNUMBER(H314)),IFERROR(I314/H314-1,""),"")</f>
        <v>0.19002394577702</v>
      </c>
      <c r="J316" s="23" t="n"/>
      <c r="K316" s="23" t="n"/>
      <c r="L316" s="23" t="n"/>
      <c r="M316" s="23" t="n"/>
      <c r="N316" s="255">
        <f>IF(AND(ISNUMBER(N314),ISNUMBER(I314)),IFERROR(N314/I314-1,""),"")</f>
        <v>-0.161829405545514</v>
      </c>
      <c r="O316" s="255">
        <f>IF(AND(ISNUMBER(O314),ISNUMBER(J314)),IFERROR(O314/J314-1,""),"")</f>
        <v>-0.115086917903819</v>
      </c>
      <c r="P316" s="255">
        <f>IF(AND(ISNUMBER(P314),ISNUMBER(K314)),IFERROR(P314/K314-1,""),"")</f>
        <v>-0.303636363636364</v>
      </c>
      <c r="Q316" s="255">
        <f>IF(AND(ISNUMBER(Q314),ISNUMBER(L314)),IFERROR(Q314/L314-1,""),"")</f>
        <v>0.0195741758241759</v>
      </c>
      <c r="R316" s="255">
        <f>IF(AND(ISNUMBER(R314),ISNUMBER(M314)),IFERROR(R314/M314-1,""),"")</f>
        <v>0.991725480652227</v>
      </c>
      <c r="S316" s="255">
        <f>IF(AND(ISNUMBER(S314),ISNUMBER(N314)),IFERROR(S314/N314-1,""),"")</f>
        <v>0.0882975260416667</v>
      </c>
      <c r="T316" s="255">
        <f>IF(AND(ISNUMBER(T314),ISNUMBER(O314)),IFERROR(T314/O314-1,""),"")</f>
        <v>0.0140521938629194</v>
      </c>
      <c r="U316" s="255">
        <f>IF(AND(ISNUMBER(U314),ISNUMBER(P314)),IFERROR(U314/P314-1,""),"")</f>
        <v>0.0630361805296531</v>
      </c>
      <c r="V316" s="255">
        <f>IF(AND(ISNUMBER(V314),ISNUMBER(Q314)),IFERROR(V314/Q314-1,""),"")</f>
        <v>-0.0817334680588301</v>
      </c>
      <c r="W316" s="255">
        <f>IF(AND(ISNUMBER(W314),ISNUMBER(R314)),IFERROR(W314/R314-1,""),"")</f>
        <v>-0.384775171065494</v>
      </c>
      <c r="X316" s="255">
        <f>IF(AND(ISNUMBER(X314),ISNUMBER(S314)),IFERROR(X314/S314-1,""),"")</f>
        <v>-0.134973453974426</v>
      </c>
      <c r="Y316" s="255">
        <f>IF(AND(ISNUMBER(Y314),ISNUMBER(T314)),IFERROR(Y314/T314-1,""),"")</f>
        <v>0.023472850678733</v>
      </c>
      <c r="Z316" s="255">
        <f>IF(AND(ISNUMBER(Z314),ISNUMBER(U314)),IFERROR(Z314/U314-1,""),"")</f>
        <v>0.254035087719298</v>
      </c>
      <c r="AA316" s="255">
        <f>IF(AND(ISNUMBER(AA314),ISNUMBER(V314)),IFERROR(AA314/V314-1,""),"")</f>
        <v>-0.0146717202592004</v>
      </c>
      <c r="AB316" s="255">
        <f>IF(AND(ISNUMBER(AB314),ISNUMBER(W314)),IFERROR(AB314/W314-1,""),"")</f>
        <v>0.153723932472691</v>
      </c>
      <c r="AC316" s="255">
        <f>IF(AND(ISNUMBER(AC314),ISNUMBER(X314)),IFERROR(AC314/X314-1,""),"")</f>
        <v>0.0797890733056708</v>
      </c>
      <c r="AD316" s="255">
        <f>IF(AND(ISNUMBER(AD314),ISNUMBER(Y314)),IFERROR(AD314/Y314-1,""),"")</f>
        <v>0.29676706272451</v>
      </c>
      <c r="AE316" s="255">
        <f>IF(AND(ISNUMBER(AE314),ISNUMBER(Z314)),IFERROR(AE314/Z314-1,""),"")</f>
        <v>0.204532736429771</v>
      </c>
      <c r="AF316" s="255">
        <f>IF(AND(ISNUMBER(AF314),ISNUMBER(AA314)),IFERROR(AF314/AA314-1,""),"")</f>
        <v>0.112420895892791</v>
      </c>
      <c r="AG316" s="255">
        <f>IF(AND(ISNUMBER(AG314),ISNUMBER(AB314)),IFERROR(AG314/AB314-1,""),"")</f>
        <v>0.501463246686177</v>
      </c>
      <c r="AH316" s="255">
        <f>IF(AND(ISNUMBER(AH314),ISNUMBER(AC314)),IFERROR(AH314/AC314-1,""),"")</f>
        <v>0.256024337523017</v>
      </c>
      <c r="AI316" s="255">
        <f>IF(AND(ISNUMBER(AI314),ISNUMBER(AD314)),IFERROR(AI314/AD314-1,""),"")</f>
        <v>0.0982314084807159</v>
      </c>
      <c r="AJ316" s="255">
        <f>IF(AND(ISNUMBER(AJ314),ISNUMBER(AE314)),IFERROR(AJ314/AE314-1,""),"")</f>
        <v>0.228571428571429</v>
      </c>
      <c r="AK316" s="255">
        <f>IF(AND(ISNUMBER(AK314),ISNUMBER(AF314)),IFERROR(AK314/AF314-1,""),"")</f>
        <v>0.0281093139988846</v>
      </c>
      <c r="AL316" s="255">
        <f>IF(AND(ISNUMBER(AL314),ISNUMBER(AG314)),IFERROR(AL314/AG314-1,""),"")</f>
        <v>-0.147213941756478</v>
      </c>
      <c r="AM316" s="255">
        <f>IF(AND(ISNUMBER(AM314),ISNUMBER(AH314)),IFERROR(AM314/AH314-1,""),"")</f>
        <v>0.0278539103830708</v>
      </c>
      <c r="AN316" s="255">
        <f>IF(AND(ISNUMBER(AN314),ISNUMBER(AI314)),IFERROR(AN314/AI314-1,""),"")</f>
        <v>-0.0245440434613892</v>
      </c>
      <c r="AO316" s="255">
        <f>IF(AND(ISNUMBER(AO314),ISNUMBER(AJ314)),IFERROR(AO314/AJ314-1,""),"")</f>
        <v>-0.0181508791832105</v>
      </c>
      <c r="AP316" s="255">
        <f>IF(AND(ISNUMBER(AP314),ISNUMBER(AK314)),IFERROR(AP314/AK314-1,""),"")</f>
        <v>0.188564608874905</v>
      </c>
      <c r="AQ316" s="255">
        <f>IF(AND(ISNUMBER(AQ314),ISNUMBER(AL314)),IFERROR(AQ314/AL314-1,""),"")</f>
        <v>0.621000268889487</v>
      </c>
      <c r="AR316" s="255">
        <f>IF(AND(ISNUMBER(AR314),ISNUMBER(AM314)),IFERROR(AR314/AM314-1,""),"")</f>
        <v>0.186283021207987</v>
      </c>
      <c r="AS316" s="255">
        <f>IF(AND(ISNUMBER(AS314),ISNUMBER(AN314)),IFERROR(AS314/AN314-1,""),"")</f>
        <v>0.0375932371954251</v>
      </c>
      <c r="AT316" s="255">
        <f>IF(AND(ISNUMBER(AT314),ISNUMBER(AO314)),IFERROR(AT314/AO314-1,""),"")</f>
        <v>0.373964952821105</v>
      </c>
      <c r="AU316" s="255">
        <f>IF(AND(ISNUMBER(AU314),ISNUMBER(AP314)),IFERROR(AU314/AP314-1,""),"")</f>
        <v>0.253947968963943</v>
      </c>
      <c r="AV316" s="255">
        <f>IF(AND(ISNUMBER(AV314),ISNUMBER(AQ314)),IFERROR(AV314/AQ314-1,""),"")</f>
        <v>0.155262503110226</v>
      </c>
      <c r="AW316" s="255">
        <f>IF(AND(ISNUMBER(AW314),ISNUMBER(AR314)),IFERROR(AW314/AR314-1,""),"")</f>
        <v>0.182279142707789</v>
      </c>
      <c r="AX316" s="255">
        <f>IF(AND(ISNUMBER(AX314),ISNUMBER(AS314)),IFERROR(AX314/AS314-1,""),"")</f>
        <v>0.382919582095275</v>
      </c>
      <c r="AY316" s="255">
        <f>IF(AND(ISNUMBER(AY314),ISNUMBER(AT314)),IFERROR(AY314/AT314-1,""),"")</f>
        <v>0.16916608269096</v>
      </c>
      <c r="AZ316" s="255">
        <f>IF(AND(ISNUMBER(AZ314),ISNUMBER(AU314)),IFERROR(AZ314/AU314-1,""),"")</f>
        <v>0.244085317027007</v>
      </c>
      <c r="BA316" s="255">
        <f>IF(AND(ISNUMBER(BA314),ISNUMBER(AV314)),IFERROR(BA314/AV314-1,""),"")</f>
        <v>0.167205111637591</v>
      </c>
      <c r="BB316" s="255">
        <f>IF(AND(ISNUMBER(BB314),ISNUMBER(AW314)),IFERROR(BB314/AW314-1,""),"")</f>
        <v>0.240615466242207</v>
      </c>
      <c r="BC316" s="255">
        <f>IF(AND(ISNUMBER(BC314),ISNUMBER(AX314)),IFERROR(BC314/AX314-1,""),"")</f>
        <v>0.298170224563349</v>
      </c>
      <c r="BD316" s="255">
        <f>IF(AND(ISNUMBER(BD314),ISNUMBER(AY314)),IFERROR(BD314/AY314-1,""),"")</f>
        <v>0.0327259649964038</v>
      </c>
      <c r="BE316" s="255">
        <f>IF(AND(ISNUMBER(BE314),ISNUMBER(AZ314)),IFERROR(BE314/AZ314-1,""),"")</f>
        <v>0.172966647162083</v>
      </c>
      <c r="BF316" s="255">
        <f>IF(AND(ISNUMBER(BF314),ISNUMBER(BA314)),IFERROR(BF314/BA314-1,""),"")</f>
        <v>0.0922622708820273</v>
      </c>
      <c r="BG316" s="255">
        <f>IF(AND(ISNUMBER(BG314),ISNUMBER(BB314)),IFERROR(BG314/BB314-1,""),"")</f>
        <v>0.160928757261485</v>
      </c>
      <c r="BH316" s="255">
        <f>IF(AND(ISNUMBER(BH314),ISNUMBER(BC314)),IFERROR(BH314/BC314-1,""),"")</f>
        <v>-0.096903363587827</v>
      </c>
      <c r="BI316" s="255">
        <f>IF(AND(ISNUMBER(BI314),ISNUMBER(BD314)),IFERROR(BI314/BD314-1,""),"")</f>
        <v>-0.431340684852002</v>
      </c>
      <c r="BJ316" s="255">
        <f>IF(AND(ISNUMBER(BJ314),ISNUMBER(BE314)),IFERROR(BJ314/BE314-1,""),"")</f>
        <v>-0.110346203731418</v>
      </c>
      <c r="BK316" s="255">
        <f>IF(AND(ISNUMBER(BK314),ISNUMBER(BF314)),IFERROR(BK314/BF314-1,""),"")</f>
        <v>0.116510868341029</v>
      </c>
      <c r="BL316" s="255">
        <f>IF(AND(ISNUMBER(BL314),ISNUMBER(BG314)),IFERROR(BL314/BG314-1,""),"")</f>
        <v>-0.0870926645075135</v>
      </c>
      <c r="BM316" s="255">
        <f>IF(AND(ISNUMBER(BM314),ISNUMBER(BH314)),IFERROR(BM314/BH314-1,""),"")</f>
        <v>0.221755838013597</v>
      </c>
      <c r="BN316" s="255">
        <f>IF(AND(ISNUMBER(BN314),ISNUMBER(BI314)),IFERROR(BN314/BI314-1,""),"")</f>
        <v>0.861196162482139</v>
      </c>
      <c r="BO316" s="255">
        <f>IF(AND(ISNUMBER(BO314),ISNUMBER(BJ314)),IFERROR(BO314/BJ314-1,""),"")</f>
        <v>0.175563530335314</v>
      </c>
      <c r="BP316" s="255">
        <f>IF(AND(ISNUMBER(BP314),ISNUMBER(BK314)),IFERROR(BP314/BK314-1,""),"")</f>
        <v>0.176274776819489</v>
      </c>
      <c r="BQ316" s="255">
        <f>IF(AND(ISNUMBER(BQ314),ISNUMBER(BL314)),IFERROR(BQ314/BL314-1,""),"")</f>
        <v>0.2454140395124</v>
      </c>
      <c r="BR316" s="255">
        <f>IF(AND(ISNUMBER(BR314),ISNUMBER(BM314)),IFERROR(BR314/BM314-1,""),"")</f>
        <v>-0.0681796186973773</v>
      </c>
      <c r="BS316" s="255">
        <f>IF(AND(ISNUMBER(BS314),ISNUMBER(BN314)),IFERROR(BS314/BN314-1,""),"")</f>
        <v>-0.288550120640491</v>
      </c>
      <c r="BT316" s="255">
        <f>IF(AND(ISNUMBER(BT314),ISNUMBER(BO314)),IFERROR(BT314/BO314-1,""),"")</f>
        <v>-0.0317672310994515</v>
      </c>
      <c r="BU316" s="255">
        <f>IF(AND(ISNUMBER(BU314),ISNUMBER(BP314)),IFERROR(BU314/BP314-1,""),"")</f>
        <v>0.0963039190463939</v>
      </c>
      <c r="BV316" s="255">
        <f>IF(AND(ISNUMBER(BV314),ISNUMBER(BQ314)),IFERROR(BV314/BQ314-1,""),"")</f>
        <v>-0.0332113782721983</v>
      </c>
      <c r="BW316" s="255">
        <f>IF(AND(ISNUMBER(BW314),ISNUMBER(BR314)),IFERROR(BW314/BR314-1,""),"")</f>
        <v>0.332658254141351</v>
      </c>
      <c r="BX316" s="255">
        <f>IF(AND(ISNUMBER(BX314),ISNUMBER(BS314)),IFERROR(BX314/BS314-1,""),"")</f>
        <v>-0.0932634499768769</v>
      </c>
      <c r="BY316" s="255">
        <f>IF(AND(ISNUMBER(BY314),ISNUMBER(BT314)),IFERROR(BY314/BT314-1,""),"")</f>
        <v>-0.221488743287847</v>
      </c>
      <c r="BZ316" s="255">
        <f>IF(AND(ISNUMBER(BZ314),ISNUMBER(BU314)),IFERROR(BZ314/BU314-1,""),"")</f>
        <v>-0.231891426783479</v>
      </c>
      <c r="CA316" s="255">
        <f>IF(AND(ISNUMBER(CA314),ISNUMBER(BV314)),IFERROR(CA314/BV314-1,""),"")</f>
        <v>-0.0645710854477664</v>
      </c>
      <c r="CB316" s="24" t="n"/>
      <c r="CC316" s="24" t="n"/>
      <c r="CD316" s="24" t="n"/>
      <c r="CE316" s="24" t="n"/>
      <c r="CF316" s="256">
        <f>IF(AND(ISNUMBER(CF314),ISNUMBER(CA314)),IFERROR(CF314/CA314-1,""),"")</f>
        <v>-0.164466803005727</v>
      </c>
      <c r="CG316" s="256">
        <f>IF(AND(ISNUMBER(CG314),ISNUMBER(CF314)),IFERROR(CG314/CF314-1,""),"")</f>
        <v>0.740147410103465</v>
      </c>
      <c r="CH316" s="256">
        <f>IF(AND(ISNUMBER(CH314),ISNUMBER(CG314)),IFERROR(CH314/CG314-1,""),"")</f>
        <v>0.447920192605494</v>
      </c>
      <c r="CI316" s="256">
        <f>IF(AND(ISNUMBER(CI314),ISNUMBER(CH314)),IFERROR(CI314/CH314-1,""),"")</f>
        <v>0.357057979202686</v>
      </c>
      <c r="CJ316" s="256">
        <f>IF(AND(ISNUMBER(CJ314),ISNUMBER(CI314)),IFERROR(CJ314/CI314-1,""),"")</f>
        <v>0.221818945920284</v>
      </c>
      <c r="CK316" s="153" t="n"/>
    </row>
    <row r="317" ht="15" customHeight="1" s="251">
      <c r="B317" s="25" t="inlineStr">
        <is>
          <t xml:space="preserve">  FCF % of revenue</t>
        </is>
      </c>
      <c r="C317" s="215">
        <f>IF(AND(ISNUMBER(C314),ISNUMBER(C179)),IFERROR(C314/C179,""),"")</f>
        <v>0.289643647531728</v>
      </c>
      <c r="D317" s="215">
        <f>IF(AND(ISNUMBER(D314),ISNUMBER(D179)),IFERROR(D314/D179,""),"")</f>
        <v>0.303822229177262</v>
      </c>
      <c r="E317" s="215">
        <f>IF(AND(ISNUMBER(E314),ISNUMBER(E179)),IFERROR(E314/E179,""),"")</f>
        <v>0.305031446540881</v>
      </c>
      <c r="F317" s="215">
        <f>IF(AND(ISNUMBER(F314),ISNUMBER(F179)),IFERROR(F314/F179,""),"")</f>
        <v>0.272395913547923</v>
      </c>
      <c r="G317" s="215">
        <f>IF(AND(ISNUMBER(G314),ISNUMBER(G179)),IFERROR(G314/G179,""),"")</f>
        <v>0.353626528391268</v>
      </c>
      <c r="H317" s="215">
        <f>IF(AND(ISNUMBER(H314),ISNUMBER(H179)),IFERROR(H314/H179,""),"")</f>
        <v>0.352272564802768</v>
      </c>
      <c r="I317" s="215">
        <f>IF(AND(ISNUMBER(I314),ISNUMBER(I179)),IFERROR(I314/I179,""),"")</f>
        <v>0.397718486768037</v>
      </c>
      <c r="J317" s="215">
        <f>IF(AND(ISNUMBER(J314),ISNUMBER(J179)),IFERROR(J314/J179,""),"")</f>
        <v>0.492316341829085</v>
      </c>
      <c r="K317" s="215">
        <f>IF(AND(ISNUMBER(K314),ISNUMBER(K179)),IFERROR(K314/K179,""),"")</f>
        <v>0.179436987322893</v>
      </c>
      <c r="L317" s="215">
        <f>IF(AND(ISNUMBER(L314),ISNUMBER(L179)),IFERROR(L314/L179,""),"")</f>
        <v>0.426375128117527</v>
      </c>
      <c r="M317" s="215">
        <f>IF(AND(ISNUMBER(M314),ISNUMBER(M179)),IFERROR(M314/M179,""),"")</f>
        <v>0.206523924406916</v>
      </c>
      <c r="N317" s="215">
        <f>IF(AND(ISNUMBER(N314),ISNUMBER(N179)),IFERROR(N314/N179,""),"")</f>
        <v>0.315688062788218</v>
      </c>
      <c r="O317" s="215">
        <f>IF(AND(ISNUMBER(O314),ISNUMBER(O179)),IFERROR(O314/O179,""),"")</f>
        <v>0.376382967240542</v>
      </c>
      <c r="P317" s="215">
        <f>IF(AND(ISNUMBER(P314),ISNUMBER(P179)),IFERROR(P314/P179,""),"")</f>
        <v>0.109343774215914</v>
      </c>
      <c r="Q317" s="215">
        <f>IF(AND(ISNUMBER(Q314),ISNUMBER(Q179)),IFERROR(Q314/Q179,""),"")</f>
        <v>0.43655344802235</v>
      </c>
      <c r="R317" s="215">
        <f>IF(AND(ISNUMBER(R314),ISNUMBER(R179)),IFERROR(R314/R179,""),"")</f>
        <v>0.350012830382345</v>
      </c>
      <c r="S317" s="215">
        <f>IF(AND(ISNUMBER(S314),ISNUMBER(S179)),IFERROR(S314/S179,""),"")</f>
        <v>0.308016537491507</v>
      </c>
      <c r="T317" s="215">
        <f>IF(AND(ISNUMBER(T314),ISNUMBER(T179)),IFERROR(T314/T179,""),"")</f>
        <v>0.304814447653118</v>
      </c>
      <c r="U317" s="215">
        <f>IF(AND(ISNUMBER(U314),ISNUMBER(U179)),IFERROR(U314/U179,""),"")</f>
        <v>0.107669059312429</v>
      </c>
      <c r="V317" s="215">
        <f>IF(AND(ISNUMBER(V314),ISNUMBER(V179)),IFERROR(V314/V179,""),"")</f>
        <v>0.376409406783561</v>
      </c>
      <c r="W317" s="215">
        <f>IF(AND(ISNUMBER(W314),ISNUMBER(W179)),IFERROR(W314/W179,""),"")</f>
        <v>0.227006311992786</v>
      </c>
      <c r="X317" s="215">
        <f>IF(AND(ISNUMBER(X314),ISNUMBER(X179)),IFERROR(X314/X179,""),"")</f>
        <v>0.247232314597136</v>
      </c>
      <c r="Y317" s="215">
        <f>IF(AND(ISNUMBER(Y314),ISNUMBER(Y179)),IFERROR(Y314/Y179,""),"")</f>
        <v>0.355169537268757</v>
      </c>
      <c r="Z317" s="215">
        <f>IF(AND(ISNUMBER(Z314),ISNUMBER(Z179)),IFERROR(Z314/Z179,""),"")</f>
        <v>0.150193309799966</v>
      </c>
      <c r="AA317" s="215">
        <f>IF(AND(ISNUMBER(AA314),ISNUMBER(AA179)),IFERROR(AA314/AA179,""),"")</f>
        <v>0.392528371730554</v>
      </c>
      <c r="AB317" s="215">
        <f>IF(AND(ISNUMBER(AB314),ISNUMBER(AB179)),IFERROR(AB314/AB179,""),"")</f>
        <v>0.281798777529834</v>
      </c>
      <c r="AC317" s="215">
        <f>IF(AND(ISNUMBER(AC314),ISNUMBER(AC179)),IFERROR(AC314/AC179,""),"")</f>
        <v>0.292803563056728</v>
      </c>
      <c r="AD317" s="215">
        <f>IF(AND(ISNUMBER(AD314),ISNUMBER(AD179)),IFERROR(AD314/AD179,""),"")</f>
        <v>0.458905783992568</v>
      </c>
      <c r="AE317" s="215">
        <f>IF(AND(ISNUMBER(AE314),ISNUMBER(AE179)),IFERROR(AE314/AE179,""),"")</f>
        <v>0.178704856787049</v>
      </c>
      <c r="AF317" s="215">
        <f>IF(AND(ISNUMBER(AF314),ISNUMBER(AF179)),IFERROR(AF314/AF179,""),"")</f>
        <v>0.405839746491625</v>
      </c>
      <c r="AG317" s="215">
        <f>IF(AND(ISNUMBER(AG314),ISNUMBER(AG179)),IFERROR(AG314/AG179,""),"")</f>
        <v>0.374061843290303</v>
      </c>
      <c r="AH317" s="215">
        <f>IF(AND(ISNUMBER(AH314),ISNUMBER(AH179)),IFERROR(AH314/AH179,""),"")</f>
        <v>0.348838243468594</v>
      </c>
      <c r="AI317" s="215">
        <f>IF(AND(ISNUMBER(AI314),ISNUMBER(AI179)),IFERROR(AI314/AI179,""),"")</f>
        <v>0.420083136359932</v>
      </c>
      <c r="AJ317" s="215">
        <f>IF(AND(ISNUMBER(AJ314),ISNUMBER(AJ179)),IFERROR(AJ314/AJ179,""),"")</f>
        <v>0.182896465869009</v>
      </c>
      <c r="AK317" s="215">
        <f>IF(AND(ISNUMBER(AK314),ISNUMBER(AK179)),IFERROR(AK314/AK179,""),"")</f>
        <v>0.343674260785264</v>
      </c>
      <c r="AL317" s="215">
        <f>IF(AND(ISNUMBER(AL314),ISNUMBER(AL179)),IFERROR(AL314/AL179,""),"")</f>
        <v>0.247232840285857</v>
      </c>
      <c r="AM317" s="215">
        <f>IF(AND(ISNUMBER(AM314),ISNUMBER(AM179)),IFERROR(AM314/AM179,""),"")</f>
        <v>0.292243566509605</v>
      </c>
      <c r="AN317" s="215">
        <f>IF(AND(ISNUMBER(AN314),ISNUMBER(AN179)),IFERROR(AN314/AN179,""),"")</f>
        <v>0.345722734149361</v>
      </c>
      <c r="AO317" s="215">
        <f>IF(AND(ISNUMBER(AO314),ISNUMBER(AO179)),IFERROR(AO314/AO179,""),"")</f>
        <v>0.159927319762249</v>
      </c>
      <c r="AP317" s="215">
        <f>IF(AND(ISNUMBER(AP314),ISNUMBER(AP179)),IFERROR(AP314/AP179,""),"")</f>
        <v>0.358346145039416</v>
      </c>
      <c r="AQ317" s="215">
        <f>IF(AND(ISNUMBER(AQ314),ISNUMBER(AQ179)),IFERROR(AQ314/AQ179,""),"")</f>
        <v>0.357594092001068</v>
      </c>
      <c r="AR317" s="215">
        <f>IF(AND(ISNUMBER(AR314),ISNUMBER(AR179)),IFERROR(AR314/AR179,""),"")</f>
        <v>0.304029624214299</v>
      </c>
      <c r="AS317" s="215">
        <f>IF(AND(ISNUMBER(AS314),ISNUMBER(AS179)),IFERROR(AS314/AS179,""),"")</f>
        <v>0.31562547269702</v>
      </c>
      <c r="AT317" s="215">
        <f>IF(AND(ISNUMBER(AT314),ISNUMBER(AT179)),IFERROR(AT314/AT179,""),"")</f>
        <v>0.193328997994906</v>
      </c>
      <c r="AU317" s="215">
        <f>IF(AND(ISNUMBER(AU314),ISNUMBER(AU179)),IFERROR(AU314/AU179,""),"")</f>
        <v>0.392250364067274</v>
      </c>
      <c r="AV317" s="215">
        <f>IF(AND(ISNUMBER(AV314),ISNUMBER(AV179)),IFERROR(AV314/AV179,""),"")</f>
        <v>0.366234585754476</v>
      </c>
      <c r="AW317" s="215">
        <f>IF(AND(ISNUMBER(AW314),ISNUMBER(AW179)),IFERROR(AW314/AW179,""),"")</f>
        <v>0.316288501206167</v>
      </c>
      <c r="AX317" s="215">
        <f>IF(AND(ISNUMBER(AX314),ISNUMBER(AX179)),IFERROR(AX314/AX179,""),"")</f>
        <v>0.388329654949669</v>
      </c>
      <c r="AY317" s="215">
        <f>IF(AND(ISNUMBER(AY314),ISNUMBER(AY179)),IFERROR(AY314/AY179,""),"")</f>
        <v>0.193657721236884</v>
      </c>
      <c r="AZ317" s="215">
        <f>IF(AND(ISNUMBER(AZ314),ISNUMBER(AZ179)),IFERROR(AZ314/AZ179,""),"")</f>
        <v>0.409773174123627</v>
      </c>
      <c r="BA317" s="215">
        <f>IF(AND(ISNUMBER(BA314),ISNUMBER(BA179)),IFERROR(BA314/BA179,""),"")</f>
        <v>0.352270757496967</v>
      </c>
      <c r="BB317" s="215">
        <f>IF(AND(ISNUMBER(BB314),ISNUMBER(BB179)),IFERROR(BB314/BB179,""),"")</f>
        <v>0.333860834800819</v>
      </c>
      <c r="BC317" s="215">
        <f>IF(AND(ISNUMBER(BC314),ISNUMBER(BC179)),IFERROR(BC314/BC179,""),"")</f>
        <v>0.413310678111967</v>
      </c>
      <c r="BD317" s="215">
        <f>IF(AND(ISNUMBER(BD314),ISNUMBER(BD179)),IFERROR(BD314/BD179,""),"")</f>
        <v>0.166544231364058</v>
      </c>
      <c r="BE317" s="215">
        <f>IF(AND(ISNUMBER(BE314),ISNUMBER(BE179)),IFERROR(BE314/BE179,""),"")</f>
        <v>0.406118314424635</v>
      </c>
      <c r="BF317" s="215">
        <f>IF(AND(ISNUMBER(BF314),ISNUMBER(BF179)),IFERROR(BF314/BF179,""),"")</f>
        <v>0.342388894244674</v>
      </c>
      <c r="BG317" s="215">
        <f>IF(AND(ISNUMBER(BG314),ISNUMBER(BG179)),IFERROR(BG314/BG179,""),"")</f>
        <v>0.328587279971756</v>
      </c>
      <c r="BH317" s="215">
        <f>IF(AND(ISNUMBER(BH314),ISNUMBER(BH179)),IFERROR(BH314/BH179,""),"")</f>
        <v>0.337476557200431</v>
      </c>
      <c r="BI317" s="215">
        <f>IF(AND(ISNUMBER(BI314),ISNUMBER(BI179)),IFERROR(BI314/BI179,""),"")</f>
        <v>0.0928773200371585</v>
      </c>
      <c r="BJ317" s="215">
        <f>IF(AND(ISNUMBER(BJ314),ISNUMBER(BJ179)),IFERROR(BJ314/BJ179,""),"")</f>
        <v>0.337400911894356</v>
      </c>
      <c r="BK317" s="215">
        <f>IF(AND(ISNUMBER(BK314),ISNUMBER(BK179)),IFERROR(BK314/BK179,""),"")</f>
        <v>0.352862659951236</v>
      </c>
      <c r="BL317" s="215">
        <f>IF(AND(ISNUMBER(BL314),ISNUMBER(BL179)),IFERROR(BL314/BL179,""),"")</f>
        <v>0.280654979590874</v>
      </c>
      <c r="BM317" s="215">
        <f>IF(AND(ISNUMBER(BM314),ISNUMBER(BM179)),IFERROR(BM314/BM179,""),"")</f>
        <v>0.365659889944618</v>
      </c>
      <c r="BN317" s="215">
        <f>IF(AND(ISNUMBER(BN314),ISNUMBER(BN179)),IFERROR(BN314/BN179,""),"")</f>
        <v>0.147017091260884</v>
      </c>
      <c r="BO317" s="215">
        <f>IF(AND(ISNUMBER(BO314),ISNUMBER(BO179)),IFERROR(BO314/BO179,""),"")</f>
        <v>0.338921400627243</v>
      </c>
      <c r="BP317" s="215">
        <f>IF(AND(ISNUMBER(BP314),ISNUMBER(BP179)),IFERROR(BP314/BP179,""),"")</f>
        <v>0.360313315926893</v>
      </c>
      <c r="BQ317" s="215">
        <f>IF(AND(ISNUMBER(BQ314),ISNUMBER(BQ179)),IFERROR(BQ314/BQ179,""),"")</f>
        <v>0.302180138869624</v>
      </c>
      <c r="BR317" s="215">
        <f>IF(AND(ISNUMBER(BR314),ISNUMBER(BR179)),IFERROR(BR314/BR179,""),"")</f>
        <v>0.293618967751773</v>
      </c>
      <c r="BS317" s="215">
        <f>IF(AND(ISNUMBER(BS314),ISNUMBER(BS179)),IFERROR(BS314/BS179,""),"")</f>
        <v>0.0931611902573529</v>
      </c>
      <c r="BT317" s="215">
        <f>IF(AND(ISNUMBER(BT314),ISNUMBER(BT179)),IFERROR(BT314/BT179,""),"")</f>
        <v>0.289712556732224</v>
      </c>
      <c r="BU317" s="215">
        <f>IF(AND(ISNUMBER(BU314),ISNUMBER(BU179)),IFERROR(BU314/BU179,""),"")</f>
        <v>0.334480187334022</v>
      </c>
      <c r="BV317" s="215">
        <f>IF(AND(ISNUMBER(BV314),ISNUMBER(BV179)),IFERROR(BV314/BV179,""),"")</f>
        <v>0.254188496542716</v>
      </c>
      <c r="BW317" s="215">
        <f>IF(AND(ISNUMBER(BW314),ISNUMBER(BW179)),IFERROR(BW314/BW179,""),"")</f>
        <v>0.330397950381729</v>
      </c>
      <c r="BX317" s="215">
        <f>IF(AND(ISNUMBER(BX314),ISNUMBER(BX179)),IFERROR(BX314/BX179,""),"")</f>
        <v>0.0723733589260886</v>
      </c>
      <c r="BY317" s="215">
        <f>IF(AND(ISNUMBER(BY314),ISNUMBER(BY179)),IFERROR(BY314/BY179,""),"")</f>
        <v>0.190659459981179</v>
      </c>
      <c r="BZ317" s="215">
        <f>IF(AND(ISNUMBER(BZ314),ISNUMBER(BZ179)),IFERROR(BZ314/BZ179,""),"")</f>
        <v>0.218194140455742</v>
      </c>
      <c r="CA317" s="215">
        <f>IF(AND(ISNUMBER(CA314),ISNUMBER(CA179)),IFERROR(CA314/CA179,""),"")</f>
        <v>0.20186596512164</v>
      </c>
      <c r="CB317" s="24" t="n"/>
      <c r="CC317" s="24" t="n"/>
      <c r="CD317" s="24" t="n"/>
      <c r="CE317" s="24" t="n"/>
      <c r="CF317" s="256">
        <f>IF(AND(ISNUMBER(CF314),ISNUMBER(CF179)),IFERROR(CF314/CF179,""),"")</f>
        <v>0.143838382263121</v>
      </c>
      <c r="CG317" s="256">
        <f>IF(AND(ISNUMBER(CG314),ISNUMBER(CG179)),IFERROR(CG314/CG179,""),"")</f>
        <v>0.213865530474307</v>
      </c>
      <c r="CH317" s="256">
        <f>IF(AND(ISNUMBER(CH314),ISNUMBER(CH179)),IFERROR(CH314/CH179,""),"")</f>
        <v>0.267657658885562</v>
      </c>
      <c r="CI317" s="256">
        <f>IF(AND(ISNUMBER(CI314),ISNUMBER(CI179)),IFERROR(CI314/CI179,""),"")</f>
        <v>0.319299157331351</v>
      </c>
      <c r="CJ317" s="256">
        <f>IF(AND(ISNUMBER(CJ314),ISNUMBER(CJ179)),IFERROR(CJ314/CJ179,""),"")</f>
        <v>0.348109186342137</v>
      </c>
      <c r="CK317" s="153" t="n"/>
      <c r="CM317" s="37">
        <f>IFERROR(AVERAGE(CF317,CG317,CH317,CI317,CJ317),"n/m")</f>
        <v>0.258553983059296</v>
      </c>
      <c r="CN317" s="37">
        <f>IFERROR(AVERAGE(BG317,BL317,BQ317,BV317,CA317),"n/m")</f>
        <v>0.273495372019322</v>
      </c>
      <c r="CO317" s="37">
        <f>IFERROR(AVERAGE(AH317,AM317,AR317,AW317,BB317,BG317,BL317,BQ317,BV317,CA317),"n/m")</f>
        <v>0.296273763029609</v>
      </c>
      <c r="CP317" s="37">
        <f>IFERROR(AVERAGE(C317,D317,E317,F317,G317,H317,I317,N317,S317,X317,AC317,AH317,AM317,AR317,AW317,BB317,BG317,BL317,BQ317,BV317,CA317),"n/m")</f>
        <v>0.304808996428074</v>
      </c>
    </row>
    <row r="318" ht="15" customHeight="1" s="251">
      <c r="B318" s="25" t="inlineStr">
        <is>
          <t xml:space="preserve">  FCF / adjusted net income conversion %</t>
        </is>
      </c>
      <c r="C318" s="215">
        <f>IF(AND(ISNUMBER(C314),ISNUMBER(C258)),IFERROR(C314/C258,""),"")</f>
        <v>1.01801730296055</v>
      </c>
      <c r="D318" s="215">
        <f>IF(AND(ISNUMBER(D314),ISNUMBER(D258)),IFERROR(D314/D258,""),"")</f>
        <v>1.10430145751866</v>
      </c>
      <c r="E318" s="215">
        <f>IF(AND(ISNUMBER(E314),ISNUMBER(E258)),IFERROR(E314/E258,""),"")</f>
        <v>1.04236185736101</v>
      </c>
      <c r="F318" s="215">
        <f>IF(AND(ISNUMBER(F314),ISNUMBER(F258)),IFERROR(F314/F258,""),"")</f>
        <v>1.09259386368316</v>
      </c>
      <c r="G318" s="215">
        <f>IF(AND(ISNUMBER(G314),ISNUMBER(G258)),IFERROR(G314/G258,""),"")</f>
        <v>1.17782515991471</v>
      </c>
      <c r="H318" s="215">
        <f>IF(AND(ISNUMBER(H314),ISNUMBER(H258)),IFERROR(H314/H258,""),"")</f>
        <v>1.06431965442765</v>
      </c>
      <c r="I318" s="215">
        <f>IF(AND(ISNUMBER(I314),ISNUMBER(I258)),IFERROR(I314/I258,""),"")</f>
        <v>1.23727740737615</v>
      </c>
      <c r="J318" s="215">
        <f>IF(AND(ISNUMBER(J314),ISNUMBER(J258)),IFERROR(J314/J258,""),"")</f>
        <v>1.4149012567325</v>
      </c>
      <c r="K318" s="215">
        <f>IF(AND(ISNUMBER(K314),ISNUMBER(K258)),IFERROR(K314/K258,""),"")</f>
        <v>0.566259744080012</v>
      </c>
      <c r="L318" s="215">
        <f>IF(AND(ISNUMBER(L314),ISNUMBER(L258)),IFERROR(L314/L258,""),"")</f>
        <v>1.59853613906679</v>
      </c>
      <c r="M318" s="215">
        <f>IF(AND(ISNUMBER(M314),ISNUMBER(M258)),IFERROR(M314/M258,""),"")</f>
        <v>0.939414723365341</v>
      </c>
      <c r="N318" s="215">
        <f>IF(AND(ISNUMBER(N314),ISNUMBER(N258)),IFERROR(N314/N258,""),"")</f>
        <v>1.1069273038465</v>
      </c>
      <c r="O318" s="215">
        <f>IF(AND(ISNUMBER(O314),ISNUMBER(O258)),IFERROR(O314/O258,""),"")</f>
        <v>1.30893393393393</v>
      </c>
      <c r="P318" s="215">
        <f>IF(AND(ISNUMBER(P314),ISNUMBER(P258)),IFERROR(P314/P258,""),"")</f>
        <v>0.408813662702043</v>
      </c>
      <c r="Q318" s="215">
        <f>IF(AND(ISNUMBER(Q314),ISNUMBER(Q258)),IFERROR(Q314/Q258,""),"")</f>
        <v>1.57367491166078</v>
      </c>
      <c r="R318" s="215">
        <f>IF(AND(ISNUMBER(R314),ISNUMBER(R258)),IFERROR(R314/R258,""),"")</f>
        <v>1.77450130095403</v>
      </c>
      <c r="S318" s="215">
        <f>IF(AND(ISNUMBER(S314),ISNUMBER(S258)),IFERROR(S314/S258,""),"")</f>
        <v>1.21165171695207</v>
      </c>
      <c r="T318" s="215">
        <f>IF(AND(ISNUMBER(T314),ISNUMBER(T258)),IFERROR(T314/T258,""),"")</f>
        <v>1.29785281703065</v>
      </c>
      <c r="U318" s="215">
        <f>IF(AND(ISNUMBER(U314),ISNUMBER(U258)),IFERROR(U314/U258,""),"")</f>
        <v>0.492227979274611</v>
      </c>
      <c r="V318" s="215">
        <f>IF(AND(ISNUMBER(V314),ISNUMBER(V258)),IFERROR(V314/V258,""),"")</f>
        <v>1.60246865203762</v>
      </c>
      <c r="W318" s="215">
        <f>IF(AND(ISNUMBER(W314),ISNUMBER(W258)),IFERROR(W314/W258,""),"")</f>
        <v>0.993684626011447</v>
      </c>
      <c r="X318" s="215">
        <f>IF(AND(ISNUMBER(X314),ISNUMBER(X258)),IFERROR(X314/X258,""),"")</f>
        <v>1.06681422050076</v>
      </c>
      <c r="Y318" s="215">
        <f>IF(AND(ISNUMBER(Y314),ISNUMBER(Y258)),IFERROR(Y314/Y258,""),"")</f>
        <v>1.3453531598513</v>
      </c>
      <c r="Z318" s="215">
        <f>IF(AND(ISNUMBER(Z314),ISNUMBER(Z258)),IFERROR(Z314/Z258,""),"")</f>
        <v>0.569561752988048</v>
      </c>
      <c r="AA318" s="215">
        <f>IF(AND(ISNUMBER(AA314),ISNUMBER(AA258)),IFERROR(AA314/AA258,""),"")</f>
        <v>1.62055097526644</v>
      </c>
      <c r="AB318" s="215">
        <f>IF(AND(ISNUMBER(AB314),ISNUMBER(AB258)),IFERROR(AB314/AB258,""),"")</f>
        <v>1.0592633114515</v>
      </c>
      <c r="AC318" s="215">
        <f>IF(AND(ISNUMBER(AC314),ISNUMBER(AC258)),IFERROR(AC314/AC258,""),"")</f>
        <v>1.11886420637764</v>
      </c>
      <c r="AD318" s="215">
        <f>IF(AND(ISNUMBER(AD314),ISNUMBER(AD258)),IFERROR(AD314/AD258,""),"")</f>
        <v>1.56720654533311</v>
      </c>
      <c r="AE318" s="215">
        <f>IF(AND(ISNUMBER(AE314),ISNUMBER(AE258)),IFERROR(AE314/AE258,""),"")</f>
        <v>0.660782808902533</v>
      </c>
      <c r="AF318" s="215">
        <f>IF(AND(ISNUMBER(AF314),ISNUMBER(AF258)),IFERROR(AF314/AF258,""),"")</f>
        <v>1.56867891513561</v>
      </c>
      <c r="AG318" s="215">
        <f>IF(AND(ISNUMBER(AG314),ISNUMBER(AG258)),IFERROR(AG314/AG258,""),"")</f>
        <v>1.137899543379</v>
      </c>
      <c r="AH318" s="215">
        <f>IF(AND(ISNUMBER(AH314),ISNUMBER(AH258)),IFERROR(AH314/AH258,""),"")</f>
        <v>1.21225467470252</v>
      </c>
      <c r="AI318" s="215">
        <f>IF(AND(ISNUMBER(AI314),ISNUMBER(AI258)),IFERROR(AI314/AI258,""),"")</f>
        <v>1.56751824817518</v>
      </c>
      <c r="AJ318" s="215">
        <f>IF(AND(ISNUMBER(AJ314),ISNUMBER(AJ258)),IFERROR(AJ314/AJ258,""),"")</f>
        <v>0.705388103494265</v>
      </c>
      <c r="AK318" s="215">
        <f>IF(AND(ISNUMBER(AK314),ISNUMBER(AK258)),IFERROR(AK314/AK258,""),"")</f>
        <v>1.24151400862069</v>
      </c>
      <c r="AL318" s="215">
        <f>IF(AND(ISNUMBER(AL314),ISNUMBER(AL258)),IFERROR(AL314/AL258,""),"")</f>
        <v>0.848215303911507</v>
      </c>
      <c r="AM318" s="215">
        <f>IF(AND(ISNUMBER(AM314),ISNUMBER(AM258)),IFERROR(AM314/AM258,""),"")</f>
        <v>1.06558297816103</v>
      </c>
      <c r="AN318" s="215">
        <f>IF(AND(ISNUMBER(AN314),ISNUMBER(AN258)),IFERROR(AN314/AN258,""),"")</f>
        <v>1.13950589301904</v>
      </c>
      <c r="AO318" s="215">
        <f>IF(AND(ISNUMBER(AO314),ISNUMBER(AO258)),IFERROR(AO314/AO258,""),"")</f>
        <v>0.605456453305352</v>
      </c>
      <c r="AP318" s="215">
        <f>IF(AND(ISNUMBER(AP314),ISNUMBER(AP258)),IFERROR(AP314/AP258,""),"")</f>
        <v>1.24361448518561</v>
      </c>
      <c r="AQ318" s="215">
        <f>IF(AND(ISNUMBER(AQ314),ISNUMBER(AQ258)),IFERROR(AQ314/AQ258,""),"")</f>
        <v>1.13531073446328</v>
      </c>
      <c r="AR318" s="215">
        <f>IF(AND(ISNUMBER(AR314),ISNUMBER(AR258)),IFERROR(AR314/AR258,""),"")</f>
        <v>1.03882704317133</v>
      </c>
      <c r="AS318" s="215">
        <f>IF(AND(ISNUMBER(AS314),ISNUMBER(AS258)),IFERROR(AS314/AS258,""),"")</f>
        <v>0.977055628394831</v>
      </c>
      <c r="AT318" s="215">
        <f>IF(AND(ISNUMBER(AT314),ISNUMBER(AT258)),IFERROR(AT314/AT258,""),"")</f>
        <v>0.612498926946519</v>
      </c>
      <c r="AU318" s="215">
        <f>IF(AND(ISNUMBER(AU314),ISNUMBER(AU258)),IFERROR(AU314/AU258,""),"")</f>
        <v>1.27762276785714</v>
      </c>
      <c r="AV318" s="215">
        <f>IF(AND(ISNUMBER(AV314),ISNUMBER(AV258)),IFERROR(AV314/AV258,""),"")</f>
        <v>1.24343867166577</v>
      </c>
      <c r="AW318" s="215">
        <f>IF(AND(ISNUMBER(AW314),ISNUMBER(AW258)),IFERROR(AW314/AW258,""),"")</f>
        <v>1.02152164585262</v>
      </c>
      <c r="AX318" s="215">
        <f>IF(AND(ISNUMBER(AX314),ISNUMBER(AX258)),IFERROR(AX314/AX258,""),"")</f>
        <v>1.03850860145397</v>
      </c>
      <c r="AY318" s="215">
        <f>IF(AND(ISNUMBER(AY314),ISNUMBER(AY258)),IFERROR(AY314/AY258,""),"")</f>
        <v>0.539481342559659</v>
      </c>
      <c r="AZ318" s="215">
        <f>IF(AND(ISNUMBER(AZ314),ISNUMBER(AZ258)),IFERROR(AZ314/AZ258,""),"")</f>
        <v>1.15185010446856</v>
      </c>
      <c r="BA318" s="215">
        <f>IF(AND(ISNUMBER(BA314),ISNUMBER(BA258)),IFERROR(BA314/BA258,""),"")</f>
        <v>0.987847855146433</v>
      </c>
      <c r="BB318" s="215">
        <f>IF(AND(ISNUMBER(BB314),ISNUMBER(BB258)),IFERROR(BB314/BB258,""),"")</f>
        <v>0.92526091902854</v>
      </c>
      <c r="BC318" s="215">
        <f>IF(AND(ISNUMBER(BC314),ISNUMBER(BC258)),IFERROR(BC314/BC258,""),"")</f>
        <v>1.08806785174858</v>
      </c>
      <c r="BD318" s="215">
        <f>IF(AND(ISNUMBER(BD314),ISNUMBER(BD258)),IFERROR(BD314/BD258,""),"")</f>
        <v>0.459099387156941</v>
      </c>
      <c r="BE318" s="215">
        <f>IF(AND(ISNUMBER(BE314),ISNUMBER(BE258)),IFERROR(BE314/BE258,""),"")</f>
        <v>1.19835007173601</v>
      </c>
      <c r="BF318" s="215">
        <f>IF(AND(ISNUMBER(BF314),ISNUMBER(BF258)),IFERROR(BF314/BF258,""),"")</f>
        <v>1.06081242532855</v>
      </c>
      <c r="BG318" s="215">
        <f>IF(AND(ISNUMBER(BG314),ISNUMBER(BG258)),IFERROR(BG314/BG258,""),"")</f>
        <v>0.938111077512348</v>
      </c>
      <c r="BH318" s="215">
        <f>IF(AND(ISNUMBER(BH314),ISNUMBER(BH258)),IFERROR(BH314/BH258,""),"")</f>
        <v>0.963488266119845</v>
      </c>
      <c r="BI318" s="215">
        <f>IF(AND(ISNUMBER(BI314),ISNUMBER(BI258)),IFERROR(BI314/BI258,""),"")</f>
        <v>0.282021760405273</v>
      </c>
      <c r="BJ318" s="215">
        <f>IF(AND(ISNUMBER(BJ314),ISNUMBER(BJ258)),IFERROR(BJ314/BJ258,""),"")</f>
        <v>0.974588775342915</v>
      </c>
      <c r="BK318" s="215">
        <f>IF(AND(ISNUMBER(BK314),ISNUMBER(BK258)),IFERROR(BK314/BK258,""),"")</f>
        <v>0.98735122752851</v>
      </c>
      <c r="BL318" s="215">
        <f>IF(AND(ISNUMBER(BL314),ISNUMBER(BL258)),IFERROR(BL314/BL258,""),"")</f>
        <v>0.811314062777088</v>
      </c>
      <c r="BM318" s="215">
        <f>IF(AND(ISNUMBER(BM314),ISNUMBER(BM258)),IFERROR(BM314/BM258,""),"")</f>
        <v>0.927100623570051</v>
      </c>
      <c r="BN318" s="215">
        <f>IF(AND(ISNUMBER(BN314),ISNUMBER(BN258)),IFERROR(BN314/BN258,""),"")</f>
        <v>0.416918152720622</v>
      </c>
      <c r="BO318" s="215">
        <f>IF(AND(ISNUMBER(BO314),ISNUMBER(BO258)),IFERROR(BO314/BO258,""),"")</f>
        <v>0.955604175213091</v>
      </c>
      <c r="BP318" s="215">
        <f>IF(AND(ISNUMBER(BP314),ISNUMBER(BP258)),IFERROR(BP314/BP258,""),"")</f>
        <v>1.05835904882919</v>
      </c>
      <c r="BQ318" s="215">
        <f>IF(AND(ISNUMBER(BQ314),ISNUMBER(BQ258)),IFERROR(BQ314/BQ258,""),"")</f>
        <v>0.840417082690388</v>
      </c>
      <c r="BR318" s="215">
        <f>IF(AND(ISNUMBER(BR314),ISNUMBER(BR258)),IFERROR(BR314/BR258,""),"")</f>
        <v>0.764470027788805</v>
      </c>
      <c r="BS318" s="215">
        <f>IF(AND(ISNUMBER(BS314),ISNUMBER(BS258)),IFERROR(BS314/BS258,""),"")</f>
        <v>0.258993092985188</v>
      </c>
      <c r="BT318" s="215">
        <f>IF(AND(ISNUMBER(BT314),ISNUMBER(BT258)),IFERROR(BT314/BT258,""),"")</f>
        <v>0.768697693793312</v>
      </c>
      <c r="BU318" s="215">
        <f>IF(AND(ISNUMBER(BU314),ISNUMBER(BU258)),IFERROR(BU314/BU258,""),"")</f>
        <v>0.887531241321855</v>
      </c>
      <c r="BV318" s="215">
        <f>IF(AND(ISNUMBER(BV314),ISNUMBER(BV258)),IFERROR(BV314/BV258,""),"")</f>
        <v>0.679086219322535</v>
      </c>
      <c r="BW318" s="215">
        <f>IF(AND(ISNUMBER(BW314),ISNUMBER(BW258)),IFERROR(BW314/BW258,""),"")</f>
        <v>0.83232251159472</v>
      </c>
      <c r="BX318" s="215">
        <f>IF(AND(ISNUMBER(BX314),ISNUMBER(BX258)),IFERROR(BX314/BX258,""),"")</f>
        <v>0.19051012145749</v>
      </c>
      <c r="BY318" s="215">
        <f>IF(AND(ISNUMBER(BY314),ISNUMBER(BY258)),IFERROR(BY314/BY258,""),"")</f>
        <v>0.497074735782587</v>
      </c>
      <c r="BZ318" s="215">
        <f>IF(AND(ISNUMBER(BZ314),ISNUMBER(BZ258)),IFERROR(BZ314/BZ258,""),"")</f>
        <v>0.55656634359236</v>
      </c>
      <c r="CA318" s="215">
        <f>IF(AND(ISNUMBER(CA314),ISNUMBER(CA258)),IFERROR(CA314/CA258,""),"")</f>
        <v>0.520141940894197</v>
      </c>
      <c r="CB318" s="24" t="n"/>
      <c r="CC318" s="24" t="n"/>
      <c r="CD318" s="24" t="n"/>
      <c r="CE318" s="24" t="n"/>
      <c r="CF318" s="256">
        <f>IF(AND(ISNUMBER(CF314),ISNUMBER(CF258)),IFERROR(CF314/CF258,""),"")</f>
        <v>0.388461338624391</v>
      </c>
      <c r="CG318" s="256">
        <f>IF(AND(ISNUMBER(CG314),ISNUMBER(CG258)),IFERROR(CG314/CG258,""),"")</f>
        <v>0.599986103211782</v>
      </c>
      <c r="CH318" s="256">
        <f>IF(AND(ISNUMBER(CH314),ISNUMBER(CH258)),IFERROR(CH314/CH258,""),"")</f>
        <v>0.757854193768747</v>
      </c>
      <c r="CI318" s="256">
        <f>IF(AND(ISNUMBER(CI314),ISNUMBER(CI258)),IFERROR(CI314/CI258,""),"")</f>
        <v>0.89303360352074</v>
      </c>
      <c r="CJ318" s="256">
        <f>IF(AND(ISNUMBER(CJ314),ISNUMBER(CJ258)),IFERROR(CJ314/CJ258,""),"")</f>
        <v>0.961992053313179</v>
      </c>
      <c r="CK318" s="153" t="n"/>
      <c r="CM318" s="37">
        <f>IFERROR(AVERAGE(CF318,CG318,CH318,CI318,CJ318),"n/m")</f>
        <v>0.720265458487768</v>
      </c>
      <c r="CN318" s="37">
        <f>IFERROR(AVERAGE(BG318,BL318,BQ318,BV318,CA318),"n/m")</f>
        <v>0.757814076639311</v>
      </c>
      <c r="CO318" s="37">
        <f>IFERROR(AVERAGE(AH318,AM318,AR318,AW318,BB318,BG318,BL318,BQ318,BV318,CA318),"n/m")</f>
        <v>0.90525176441126</v>
      </c>
      <c r="CP318" s="37">
        <f>IFERROR(AVERAGE(C318,D318,E318,F318,G318,H318,I318,N318,S318,X318,AC318,AH318,AM318,AR318,AW318,BB318,BG318,BL318,BQ318,BV318,CA318),"n/m")</f>
        <v>1.01397484738245</v>
      </c>
    </row>
    <row r="319" ht="15" customHeight="1" s="251">
      <c r="B319" s="25" t="inlineStr">
        <is>
          <t xml:space="preserve">  FCF per diluted share ($)</t>
        </is>
      </c>
      <c r="C319" s="274">
        <f>IF(AND(ISNUMBER(C314),ISNUMBER(C208)),IFERROR(C314/C208,""),"")</f>
        <v>1.2179280220302</v>
      </c>
      <c r="D319" s="274">
        <f>IF(AND(ISNUMBER(D314),ISNUMBER(D208)),IFERROR(D314/D208,""),"")</f>
        <v>1.57111066154157</v>
      </c>
      <c r="E319" s="274">
        <f>IF(AND(ISNUMBER(E314),ISNUMBER(E208)),IFERROR(E314/E208,""),"")</f>
        <v>1.94614572333685</v>
      </c>
      <c r="F319" s="274">
        <f>IF(AND(ISNUMBER(F314),ISNUMBER(F208)),IFERROR(F314/F208,""),"")</f>
        <v>1.76945309026234</v>
      </c>
      <c r="G319" s="274">
        <f>IF(AND(ISNUMBER(G314),ISNUMBER(G208)),IFERROR(G314/G208,""),"")</f>
        <v>2.47518763302341</v>
      </c>
      <c r="H319" s="274">
        <f>IF(AND(ISNUMBER(H314),ISNUMBER(H208)),IFERROR(H314/H208,""),"")</f>
        <v>2.86733387641103</v>
      </c>
      <c r="I319" s="274">
        <f>IF(AND(ISNUMBER(I314),ISNUMBER(I208)),IFERROR(I314/I208,""),"")</f>
        <v>3.44709616741124</v>
      </c>
      <c r="J319" s="274">
        <f>IF(AND(ISNUMBER(J314),ISNUMBER(J208)),IFERROR(J314/J208,""),"")</f>
        <v>0.927831410407346</v>
      </c>
      <c r="K319" s="274">
        <f>IF(AND(ISNUMBER(K314),ISNUMBER(K208)),IFERROR(K314/K208,""),"")</f>
        <v>0.45594504973946</v>
      </c>
      <c r="L319" s="274">
        <f>IF(AND(ISNUMBER(L314),ISNUMBER(L208)),IFERROR(L314/L208,""),"")</f>
        <v>1.03642187685372</v>
      </c>
      <c r="M319" s="274">
        <f>IF(AND(ISNUMBER(M314),ISNUMBER(M208)),IFERROR(M314/M208,""),"")</f>
        <v>0.486733001658375</v>
      </c>
      <c r="N319" s="274">
        <f>IF(AND(ISNUMBER(N314),ISNUMBER(N208)),IFERROR(N314/N208,""),"")</f>
        <v>2.90153482880756</v>
      </c>
      <c r="O319" s="274">
        <f>IF(AND(ISNUMBER(O314),ISNUMBER(O208)),IFERROR(O314/O208,""),"")</f>
        <v>0.826891154849419</v>
      </c>
      <c r="P319" s="274">
        <f>IF(AND(ISNUMBER(P314),ISNUMBER(P208)),IFERROR(P314/P208,""),"")</f>
        <v>0.319356759976176</v>
      </c>
      <c r="Q319" s="274">
        <f>IF(AND(ISNUMBER(Q314),ISNUMBER(Q208)),IFERROR(Q314/Q208,""),"")</f>
        <v>1.06453926138401</v>
      </c>
      <c r="R319" s="274">
        <f>IF(AND(ISNUMBER(R314),ISNUMBER(R208)),IFERROR(R314/R208,""),"")</f>
        <v>0.98070701018574</v>
      </c>
      <c r="S319" s="274">
        <f>IF(AND(ISNUMBER(S314),ISNUMBER(S208)),IFERROR(S314/S208,""),"")</f>
        <v>3.18442671746637</v>
      </c>
      <c r="T319" s="274">
        <f>IF(AND(ISNUMBER(T314),ISNUMBER(T208)),IFERROR(T314/T208,""),"")</f>
        <v>0.846844689258771</v>
      </c>
      <c r="U319" s="274">
        <f>IF(AND(ISNUMBER(U314),ISNUMBER(U208)),IFERROR(U314/U208,""),"")</f>
        <v>0.343497649752923</v>
      </c>
      <c r="V319" s="274">
        <f>IF(AND(ISNUMBER(V314),ISNUMBER(V208)),IFERROR(V314/V208,""),"")</f>
        <v>0.99295860143256</v>
      </c>
      <c r="W319" s="274">
        <f>IF(AND(ISNUMBER(W314),ISNUMBER(W208)),IFERROR(W314/W208,""),"")</f>
        <v>0.624612330976306</v>
      </c>
      <c r="X319" s="274">
        <f>IF(AND(ISNUMBER(X314),ISNUMBER(X208)),IFERROR(X314/X208,""),"")</f>
        <v>2.80300460382845</v>
      </c>
      <c r="Y319" s="274">
        <f>IF(AND(ISNUMBER(Y314),ISNUMBER(Y208)),IFERROR(Y314/Y208,""),"")</f>
        <v>0.897346888172576</v>
      </c>
      <c r="Z319" s="274">
        <f>IF(AND(ISNUMBER(Z314),ISNUMBER(Z208)),IFERROR(Z314/Z208,""),"")</f>
        <v>0.4451918285999</v>
      </c>
      <c r="AA319" s="274">
        <f>IF(AND(ISNUMBER(AA314),ISNUMBER(AA208)),IFERROR(AA314/AA208,""),"")</f>
        <v>1.00926737633062</v>
      </c>
      <c r="AB319" s="274">
        <f>IF(AND(ISNUMBER(AB314),ISNUMBER(AB208)),IFERROR(AB314/AB208,""),"")</f>
        <v>0.732627065203683</v>
      </c>
      <c r="AC319" s="274">
        <f>IF(AND(ISNUMBER(AC314),ISNUMBER(AC208)),IFERROR(AC314/AC208,""),"")</f>
        <v>3.11768376388369</v>
      </c>
      <c r="AD319" s="274">
        <f>IF(AND(ISNUMBER(AD314),ISNUMBER(AD208)),IFERROR(AD314/AD208,""),"")</f>
        <v>1.19172168613509</v>
      </c>
      <c r="AE319" s="274">
        <f>IF(AND(ISNUMBER(AE314),ISNUMBER(AE208)),IFERROR(AE314/AE208,""),"")</f>
        <v>0.549808429118774</v>
      </c>
      <c r="AF319" s="274">
        <f>IF(AND(ISNUMBER(AF314),ISNUMBER(AF208)),IFERROR(AF314/AF208,""),"")</f>
        <v>1.14744656341994</v>
      </c>
      <c r="AG319" s="274">
        <f>IF(AND(ISNUMBER(AG314),ISNUMBER(AG208)),IFERROR(AG314/AG208,""),"")</f>
        <v>1.11734563156546</v>
      </c>
      <c r="AH319" s="274">
        <f>IF(AND(ISNUMBER(AH314),ISNUMBER(AH208)),IFERROR(AH314/AH208,""),"")</f>
        <v>4.00638406537283</v>
      </c>
      <c r="AI319" s="274">
        <f>IF(AND(ISNUMBER(AI314),ISNUMBER(AI208)),IFERROR(AI314/AI208,""),"")</f>
        <v>1.32170791127068</v>
      </c>
      <c r="AJ319" s="274">
        <f>IF(AND(ISNUMBER(AJ314),ISNUMBER(AJ208)),IFERROR(AJ314/AJ208,""),"")</f>
        <v>0.685992217898833</v>
      </c>
      <c r="AK319" s="274">
        <f>IF(AND(ISNUMBER(AK314),ISNUMBER(AK208)),IFERROR(AK314/AK208,""),"")</f>
        <v>1.18257634077496</v>
      </c>
      <c r="AL319" s="274">
        <f>IF(AND(ISNUMBER(AL314),ISNUMBER(AL208)),IFERROR(AL314/AL208,""),"")</f>
        <v>0.956655948553055</v>
      </c>
      <c r="AM319" s="274">
        <f>IF(AND(ISNUMBER(AM314),ISNUMBER(AM208)),IFERROR(AM314/AM208,""),"")</f>
        <v>4.13805491403644</v>
      </c>
      <c r="AN319" s="274">
        <f>IF(AND(ISNUMBER(AN314),ISNUMBER(AN208)),IFERROR(AN314/AN208,""),"")</f>
        <v>1.2947463301571</v>
      </c>
      <c r="AO319" s="274">
        <f>IF(AND(ISNUMBER(AO314),ISNUMBER(AO208)),IFERROR(AO314/AO208,""),"")</f>
        <v>0.66851184346035</v>
      </c>
      <c r="AP319" s="274">
        <f>IF(AND(ISNUMBER(AP314),ISNUMBER(AP208)),IFERROR(AP314/AP208,""),"")</f>
        <v>1.41464359504132</v>
      </c>
      <c r="AQ319" s="274">
        <f>IF(AND(ISNUMBER(AQ314),ISNUMBER(AQ208)),IFERROR(AQ314/AQ208,""),"")</f>
        <v>1.55976714100906</v>
      </c>
      <c r="AR319" s="274">
        <f>IF(AND(ISNUMBER(AR314),ISNUMBER(AR208)),IFERROR(AR314/AR208,""),"")</f>
        <v>4.93486392364246</v>
      </c>
      <c r="AS319" s="274">
        <f>IF(AND(ISNUMBER(AS314),ISNUMBER(AS208)),IFERROR(AS314/AS208,""),"")</f>
        <v>1.35317769130999</v>
      </c>
      <c r="AT319" s="274">
        <f>IF(AND(ISNUMBER(AT314),ISNUMBER(AT208)),IFERROR(AT314/AT208,""),"")</f>
        <v>0.927707710310753</v>
      </c>
      <c r="AU319" s="274">
        <f>IF(AND(ISNUMBER(AU314),ISNUMBER(AU208)),IFERROR(AU314/AU208,""),"")</f>
        <v>1.78983713355049</v>
      </c>
      <c r="AV319" s="274">
        <f>IF(AND(ISNUMBER(AV314),ISNUMBER(AV208)),IFERROR(AV314/AV208,""),"")</f>
        <v>1.82078431372549</v>
      </c>
      <c r="AW319" s="274">
        <f>IF(AND(ISNUMBER(AW314),ISNUMBER(AW208)),IFERROR(AW314/AW208,""),"")</f>
        <v>5.88754392815307</v>
      </c>
      <c r="AX319" s="274">
        <f>IF(AND(ISNUMBER(AX314),ISNUMBER(AX208)),IFERROR(AX314/AX208,""),"")</f>
        <v>1.88922351708786</v>
      </c>
      <c r="AY319" s="274">
        <f>IF(AND(ISNUMBER(AY314),ISNUMBER(AY208)),IFERROR(AY314/AY208,""),"")</f>
        <v>1.0953256302521</v>
      </c>
      <c r="AZ319" s="274">
        <f>IF(AND(ISNUMBER(AZ314),ISNUMBER(AZ208)),IFERROR(AZ314/AZ208,""),"")</f>
        <v>2.24957219955246</v>
      </c>
      <c r="BA319" s="274">
        <f>IF(AND(ISNUMBER(BA314),ISNUMBER(BA208)),IFERROR(BA314/BA208,""),"")</f>
        <v>2.14457195620631</v>
      </c>
      <c r="BB319" s="274">
        <f>IF(AND(ISNUMBER(BB314),ISNUMBER(BB208)),IFERROR(BB314/BB208,""),"")</f>
        <v>7.37618296529969</v>
      </c>
      <c r="BC319" s="274">
        <f>IF(AND(ISNUMBER(BC314),ISNUMBER(BC208)),IFERROR(BC314/BC208,""),"")</f>
        <v>2.47522135588741</v>
      </c>
      <c r="BD319" s="274">
        <f>IF(AND(ISNUMBER(BD314),ISNUMBER(BD208)),IFERROR(BD314/BD208,""),"")</f>
        <v>1.14030443414957</v>
      </c>
      <c r="BE319" s="274">
        <f>IF(AND(ISNUMBER(BE314),ISNUMBER(BE208)),IFERROR(BE314/BE208,""),"")</f>
        <v>2.66073798778869</v>
      </c>
      <c r="BF319" s="274">
        <f>IF(AND(ISNUMBER(BF314),ISNUMBER(BF208)),IFERROR(BF314/BF208,""),"")</f>
        <v>2.36584066080469</v>
      </c>
      <c r="BG319" s="274">
        <f>IF(AND(ISNUMBER(BG314),ISNUMBER(BG208)),IFERROR(BG314/BG208,""),"")</f>
        <v>8.64045092838196</v>
      </c>
      <c r="BH319" s="274">
        <f>IF(AND(ISNUMBER(BH314),ISNUMBER(BH208)),IFERROR(BH314/BH208,""),"")</f>
        <v>2.25985303941216</v>
      </c>
      <c r="BI319" s="274">
        <f>IF(AND(ISNUMBER(BI314),ISNUMBER(BI208)),IFERROR(BI314/BI208,""),"")</f>
        <v>0.655560016057808</v>
      </c>
      <c r="BJ319" s="274">
        <f>IF(AND(ISNUMBER(BJ314),ISNUMBER(BJ208)),IFERROR(BJ314/BJ208,""),"")</f>
        <v>2.38933547695606</v>
      </c>
      <c r="BK319" s="274">
        <f>IF(AND(ISNUMBER(BK314),ISNUMBER(BK208)),IFERROR(BK314/BK208,""),"")</f>
        <v>2.65528324628365</v>
      </c>
      <c r="BL319" s="274">
        <f>IF(AND(ISNUMBER(BL314),ISNUMBER(BL208)),IFERROR(BL314/BL208,""),"")</f>
        <v>7.95971627408994</v>
      </c>
      <c r="BM319" s="274">
        <f>IF(AND(ISNUMBER(BM314),ISNUMBER(BM208)),IFERROR(BM314/BM208,""),"")</f>
        <v>2.76949879388904</v>
      </c>
      <c r="BN319" s="274">
        <f>IF(AND(ISNUMBER(BN314),ISNUMBER(BN208)),IFERROR(BN314/BN208,""),"")</f>
        <v>1.22094268880557</v>
      </c>
      <c r="BO319" s="274">
        <f>IF(AND(ISNUMBER(BO314),ISNUMBER(BO208)),IFERROR(BO314/BO208,""),"")</f>
        <v>2.80580835117773</v>
      </c>
      <c r="BP319" s="274">
        <f>IF(AND(ISNUMBER(BP314),ISNUMBER(BP208)),IFERROR(BP314/BP208,""),"")</f>
        <v>3.12125267665953</v>
      </c>
      <c r="BQ319" s="274">
        <f>IF(AND(ISNUMBER(BQ314),ISNUMBER(BQ208)),IFERROR(BQ314/BQ208,""),"")</f>
        <v>9.9171241130004</v>
      </c>
      <c r="BR319" s="274">
        <f>IF(AND(ISNUMBER(BR314),ISNUMBER(BR208)),IFERROR(BR314/BR208,""),"")</f>
        <v>2.57791164658635</v>
      </c>
      <c r="BS319" s="274">
        <f>IF(AND(ISNUMBER(BS314),ISNUMBER(BS208)),IFERROR(BS314/BS208,""),"")</f>
        <v>0.868639528655597</v>
      </c>
      <c r="BT319" s="274">
        <f>IF(AND(ISNUMBER(BT314),ISNUMBER(BT208)),IFERROR(BT314/BT208,""),"")</f>
        <v>2.7206808738775</v>
      </c>
      <c r="BU319" s="274">
        <f>IF(AND(ISNUMBER(BU314),ISNUMBER(BU208)),IFERROR(BU314/BU208,""),"")</f>
        <v>3.42688647634365</v>
      </c>
      <c r="BV319" s="274">
        <f>IF(AND(ISNUMBER(BV314),ISNUMBER(BV208)),IFERROR(BV314/BV208,""),"")</f>
        <v>9.59290020093771</v>
      </c>
      <c r="BW319" s="274">
        <f>IF(AND(ISNUMBER(BW314),ISNUMBER(BW208)),IFERROR(BW314/BW208,""),"")</f>
        <v>3.43731583177069</v>
      </c>
      <c r="BX319" s="274">
        <f>IF(AND(ISNUMBER(BX314),ISNUMBER(BX208)),IFERROR(BX314/BX208,""),"")</f>
        <v>0.788471849865952</v>
      </c>
      <c r="BY319" s="274">
        <f>IF(AND(ISNUMBER(BY314),ISNUMBER(BY208)),IFERROR(BY314/BY208,""),"")</f>
        <v>2.12263263935527</v>
      </c>
      <c r="BZ319" s="274">
        <f>IF(AND(ISNUMBER(BZ314),ISNUMBER(BZ208)),IFERROR(BZ314/BZ208,""),"")</f>
        <v>2.63858659142819</v>
      </c>
      <c r="CA319" s="274">
        <f>IF(AND(ISNUMBER(CA314),ISNUMBER(CA208)),IFERROR(CA314/CA208,""),"")</f>
        <v>8.98792432577486</v>
      </c>
      <c r="CB319" s="35" t="n"/>
      <c r="CC319" s="35" t="n"/>
      <c r="CD319" s="35" t="n"/>
      <c r="CE319" s="35" t="n"/>
      <c r="CF319" s="275">
        <f>IF(AND(ISNUMBER(CF314),ISNUMBER(CF208)),IFERROR(CF314/CF208,""),"")</f>
        <v>7.52462288059266</v>
      </c>
      <c r="CG319" s="275">
        <f>IF(AND(ISNUMBER(CG314),ISNUMBER(CG208)),IFERROR(CG314/CG208,""),"")</f>
        <v>13.1483348275142</v>
      </c>
      <c r="CH319" s="275">
        <f>IF(AND(ISNUMBER(CH314),ISNUMBER(CH208)),IFERROR(CH314/CH208,""),"")</f>
        <v>19.280994352054</v>
      </c>
      <c r="CI319" s="275">
        <f>IF(AND(ISNUMBER(CI314),ISNUMBER(CI208)),IFERROR(CI314/CI208,""),"")</f>
        <v>26.7068556324197</v>
      </c>
      <c r="CJ319" s="275">
        <f>IF(AND(ISNUMBER(CJ314),ISNUMBER(CJ208)),IFERROR(CJ314/CJ208,""),"")</f>
        <v>33.5453575491054</v>
      </c>
      <c r="CK319" s="19" t="n"/>
    </row>
    <row r="320" ht="15" customHeight="1" s="251">
      <c r="B320" s="25" t="inlineStr">
        <is>
          <t xml:space="preserve">  FCF / adjusted EBITDA %</t>
        </is>
      </c>
      <c r="C320" s="215">
        <f>IF(AND(ISNUMBER(C314),ISNUMBER(C242)),IFERROR(C314/C242,""),"")</f>
        <v>0.738187050359712</v>
      </c>
      <c r="D320" s="215">
        <f>IF(AND(ISNUMBER(D314),ISNUMBER(D242)),IFERROR(D314/D242,""),"")</f>
        <v>0.778000400721298</v>
      </c>
      <c r="E320" s="215">
        <f>IF(AND(ISNUMBER(E314),ISNUMBER(E242)),IFERROR(E314/E242,""),"")</f>
        <v>0.75077399380805</v>
      </c>
      <c r="F320" s="215">
        <f>IF(AND(ISNUMBER(F314),ISNUMBER(F242)),IFERROR(F314/F242,""),"")</f>
        <v>0.694351145038168</v>
      </c>
      <c r="G320" s="215">
        <f>IF(AND(ISNUMBER(G314),ISNUMBER(G242)),IFERROR(G314/G242,""),"")</f>
        <v>0.825370736991521</v>
      </c>
      <c r="H320" s="215">
        <f>IF(AND(ISNUMBER(H314),ISNUMBER(H242)),IFERROR(H314/H242,""),"")</f>
        <v>0.823303371537408</v>
      </c>
      <c r="I320" s="215">
        <f>IF(AND(ISNUMBER(I314),ISNUMBER(I242)),IFERROR(I314/I242,""),"")</f>
        <v>0.931920033054699</v>
      </c>
      <c r="J320" s="215">
        <f>IF(AND(ISNUMBER(J314),ISNUMBER(J242)),IFERROR(J314/J242,""),"")</f>
        <v>1.06875508543531</v>
      </c>
      <c r="K320" s="215">
        <f>IF(AND(ISNUMBER(K314),ISNUMBER(K242)),IFERROR(K314/K242,""),"")</f>
        <v>0.412824361998713</v>
      </c>
      <c r="L320" s="215">
        <f>IF(AND(ISNUMBER(L314),ISNUMBER(L242)),IFERROR(L314/L242,""),"")</f>
        <v>1.12868217054264</v>
      </c>
      <c r="M320" s="215">
        <f>IF(AND(ISNUMBER(M314),ISNUMBER(M242)),IFERROR(M314/M242,""),"")</f>
        <v>0.654925087663373</v>
      </c>
      <c r="N320" s="215">
        <f>IF(AND(ISNUMBER(N314),ISNUMBER(N242)),IFERROR(N314/N242,""),"")</f>
        <v>0.800208387600938</v>
      </c>
      <c r="O320" s="215">
        <f>IF(AND(ISNUMBER(O314),ISNUMBER(O242)),IFERROR(O314/O242,""),"")</f>
        <v>0.942305093906229</v>
      </c>
      <c r="P320" s="215">
        <f>IF(AND(ISNUMBER(P314),ISNUMBER(P242)),IFERROR(P314/P242,""),"")</f>
        <v>0.290465872156013</v>
      </c>
      <c r="Q320" s="215">
        <f>IF(AND(ISNUMBER(Q314),ISNUMBER(Q242)),IFERROR(Q314/Q242,""),"")</f>
        <v>1.08239154210718</v>
      </c>
      <c r="R320" s="215">
        <f>IF(AND(ISNUMBER(R314),ISNUMBER(R242)),IFERROR(R314/R242,""),"")</f>
        <v>0.995136186770428</v>
      </c>
      <c r="S320" s="215">
        <f>IF(AND(ISNUMBER(S314),ISNUMBER(S242)),IFERROR(S314/S242,""),"")</f>
        <v>0.811197719207789</v>
      </c>
      <c r="T320" s="215">
        <f>IF(AND(ISNUMBER(T314),ISNUMBER(T242)),IFERROR(T314/T242,""),"")</f>
        <v>0.840703756538279</v>
      </c>
      <c r="U320" s="215">
        <f>IF(AND(ISNUMBER(U314),ISNUMBER(U242)),IFERROR(U314/U242,""),"")</f>
        <v>0.309311916648578</v>
      </c>
      <c r="V320" s="215">
        <f>IF(AND(ISNUMBER(V314),ISNUMBER(V242)),IFERROR(V314/V242,""),"")</f>
        <v>0.985540426557417</v>
      </c>
      <c r="W320" s="215">
        <f>IF(AND(ISNUMBER(W314),ISNUMBER(W242)),IFERROR(W314/W242,""),"")</f>
        <v>0.639121604468139</v>
      </c>
      <c r="X320" s="215">
        <f>IF(AND(ISNUMBER(X314),ISNUMBER(X242)),IFERROR(X314/X242,""),"")</f>
        <v>0.677898561340795</v>
      </c>
      <c r="Y320" s="215">
        <f>IF(AND(ISNUMBER(Y314),ISNUMBER(Y242)),IFERROR(Y314/Y242,""),"")</f>
        <v>0.848037492677212</v>
      </c>
      <c r="Z320" s="215">
        <f>IF(AND(ISNUMBER(Z314),ISNUMBER(Z242)),IFERROR(Z314/Z242,""),"")</f>
        <v>0.377521918242315</v>
      </c>
      <c r="AA320" s="215">
        <f>IF(AND(ISNUMBER(AA314),ISNUMBER(AA242)),IFERROR(AA314/AA242,""),"")</f>
        <v>0.94422964264792</v>
      </c>
      <c r="AB320" s="215">
        <f>IF(AND(ISNUMBER(AB314),ISNUMBER(AB242)),IFERROR(AB314/AB242,""),"")</f>
        <v>0.714689960629921</v>
      </c>
      <c r="AC320" s="215">
        <f>IF(AND(ISNUMBER(AC314),ISNUMBER(AC242)),IFERROR(AC314/AC242,""),"")</f>
        <v>0.722921549903059</v>
      </c>
      <c r="AD320" s="215">
        <f>IF(AND(ISNUMBER(AD314),ISNUMBER(AD242)),IFERROR(AD314/AD242,""),"")</f>
        <v>1.05200627661959</v>
      </c>
      <c r="AE320" s="215">
        <f>IF(AND(ISNUMBER(AE314),ISNUMBER(AE242)),IFERROR(AE314/AE242,""),"")</f>
        <v>0.417191588332203</v>
      </c>
      <c r="AF320" s="215">
        <f>IF(AND(ISNUMBER(AF314),ISNUMBER(AF242)),IFERROR(AF314/AF242,""),"")</f>
        <v>0.942295564431364</v>
      </c>
      <c r="AG320" s="215">
        <f>IF(AND(ISNUMBER(AG314),ISNUMBER(AG242)),IFERROR(AG314/AG242,""),"")</f>
        <v>0.931638538773766</v>
      </c>
      <c r="AH320" s="215">
        <f>IF(AND(ISNUMBER(AH314),ISNUMBER(AH242)),IFERROR(AH314/AH242,""),"")</f>
        <v>0.823202245717134</v>
      </c>
      <c r="AI320" s="215">
        <f>IF(AND(ISNUMBER(AI314),ISNUMBER(AI242)),IFERROR(AI314/AI242,""),"")</f>
        <v>1.00989516998139</v>
      </c>
      <c r="AJ320" s="215">
        <f>IF(AND(ISNUMBER(AJ314),ISNUMBER(AJ242)),IFERROR(AJ314/AJ242,""),"")</f>
        <v>0.471600534997771</v>
      </c>
      <c r="AK320" s="215">
        <f>IF(AND(ISNUMBER(AK314),ISNUMBER(AK242)),IFERROR(AK314/AK242,""),"")</f>
        <v>0.837756771496092</v>
      </c>
      <c r="AL320" s="215">
        <f>IF(AND(ISNUMBER(AL314),ISNUMBER(AL242)),IFERROR(AL314/AL242,""),"")</f>
        <v>0.576812718107794</v>
      </c>
      <c r="AM320" s="215">
        <f>IF(AND(ISNUMBER(AM314),ISNUMBER(AM242)),IFERROR(AM314/AM242,""),"")</f>
        <v>0.711666188574329</v>
      </c>
      <c r="AN320" s="215">
        <f>IF(AND(ISNUMBER(AN314),ISNUMBER(AN242)),IFERROR(AN314/AN242,""),"")</f>
        <v>0.786038148843027</v>
      </c>
      <c r="AO320" s="215">
        <f>IF(AND(ISNUMBER(AO314),ISNUMBER(AO242)),IFERROR(AO314/AO242,""),"")</f>
        <v>0.391835810759828</v>
      </c>
      <c r="AP320" s="215">
        <f>IF(AND(ISNUMBER(AP314),ISNUMBER(AP242)),IFERROR(AP314/AP242,""),"")</f>
        <v>0.825733021783372</v>
      </c>
      <c r="AQ320" s="215">
        <f>IF(AND(ISNUMBER(AQ314),ISNUMBER(AQ242)),IFERROR(AQ314/AQ242,""),"")</f>
        <v>0.786548372366103</v>
      </c>
      <c r="AR320" s="215">
        <f>IF(AND(ISNUMBER(AR314),ISNUMBER(AR242)),IFERROR(AR314/AR242,""),"")</f>
        <v>0.700206804414268</v>
      </c>
      <c r="AS320" s="215">
        <f>IF(AND(ISNUMBER(AS314),ISNUMBER(AS242)),IFERROR(AS314/AS242,""),"")</f>
        <v>0.666347320687233</v>
      </c>
      <c r="AT320" s="215">
        <f>IF(AND(ISNUMBER(AT314),ISNUMBER(AT242)),IFERROR(AT314/AT242,""),"")</f>
        <v>0.417397917397917</v>
      </c>
      <c r="AU320" s="215">
        <f>IF(AND(ISNUMBER(AU314),ISNUMBER(AU242)),IFERROR(AU314/AU242,""),"")</f>
        <v>0.853600944510035</v>
      </c>
      <c r="AV320" s="215">
        <f>IF(AND(ISNUMBER(AV314),ISNUMBER(AV242)),IFERROR(AV314/AV242,""),"")</f>
        <v>0.823665070072734</v>
      </c>
      <c r="AW320" s="215">
        <f>IF(AND(ISNUMBER(AW314),ISNUMBER(AW242)),IFERROR(AW314/AW242,""),"")</f>
        <v>0.687917268648772</v>
      </c>
      <c r="AX320" s="215">
        <f>IF(AND(ISNUMBER(AX314),ISNUMBER(AX242)),IFERROR(AX314/AX242,""),"")</f>
        <v>0.779007612979861</v>
      </c>
      <c r="AY320" s="215">
        <f>IF(AND(ISNUMBER(AY314),ISNUMBER(AY242)),IFERROR(AY314/AY242,""),"")</f>
        <v>0.403814502856036</v>
      </c>
      <c r="AZ320" s="215">
        <f>IF(AND(ISNUMBER(AZ314),ISNUMBER(AZ242)),IFERROR(AZ314/AZ242,""),"")</f>
        <v>0.855184147317854</v>
      </c>
      <c r="BA320" s="215">
        <f>IF(AND(ISNUMBER(BA314),ISNUMBER(BA242)),IFERROR(BA314/BA242,""),"")</f>
        <v>0.724542091893578</v>
      </c>
      <c r="BB320" s="215">
        <f>IF(AND(ISNUMBER(BB314),ISNUMBER(BB242)),IFERROR(BB314/BB242,""),"")</f>
        <v>0.687703732751648</v>
      </c>
      <c r="BC320" s="215">
        <f>IF(AND(ISNUMBER(BC314),ISNUMBER(BC242)),IFERROR(BC314/BC242,""),"")</f>
        <v>0.798720682302772</v>
      </c>
      <c r="BD320" s="215">
        <f>IF(AND(ISNUMBER(BD314),ISNUMBER(BD242)),IFERROR(BD314/BD242,""),"")</f>
        <v>0.334654080720973</v>
      </c>
      <c r="BE320" s="215">
        <f>IF(AND(ISNUMBER(BE314),ISNUMBER(BE242)),IFERROR(BE314/BE242,""),"")</f>
        <v>0.830509176782533</v>
      </c>
      <c r="BF320" s="215">
        <f>IF(AND(ISNUMBER(BF314),ISNUMBER(BF242)),IFERROR(BF314/BF242,""),"")</f>
        <v>0.724431934075797</v>
      </c>
      <c r="BG320" s="215">
        <f>IF(AND(ISNUMBER(BG314),ISNUMBER(BG242)),IFERROR(BG314/BG242,""),"")</f>
        <v>0.665852437067547</v>
      </c>
      <c r="BH320" s="215">
        <f>IF(AND(ISNUMBER(BH314),ISNUMBER(BH242)),IFERROR(BH314/BH242,""),"")</f>
        <v>0.695861444791838</v>
      </c>
      <c r="BI320" s="215">
        <f>IF(AND(ISNUMBER(BI314),ISNUMBER(BI242)),IFERROR(BI314/BI242,""),"")</f>
        <v>0.194266000475851</v>
      </c>
      <c r="BJ320" s="215">
        <f>IF(AND(ISNUMBER(BJ314),ISNUMBER(BJ242)),IFERROR(BJ314/BJ242,""),"")</f>
        <v>0.688544843828424</v>
      </c>
      <c r="BK320" s="215">
        <f>IF(AND(ISNUMBER(BK314),ISNUMBER(BK242)),IFERROR(BK314/BK242,""),"")</f>
        <v>0.704884812286689</v>
      </c>
      <c r="BL320" s="215">
        <f>IF(AND(ISNUMBER(BL314),ISNUMBER(BL242)),IFERROR(BL314/BL242,""),"")</f>
        <v>0.574332480324465</v>
      </c>
      <c r="BM320" s="215">
        <f>IF(AND(ISNUMBER(BM314),ISNUMBER(BM242)),IFERROR(BM314/BM242,""),"")</f>
        <v>0.6706256490135</v>
      </c>
      <c r="BN320" s="215">
        <f>IF(AND(ISNUMBER(BN314),ISNUMBER(BN242)),IFERROR(BN314/BN242,""),"")</f>
        <v>0.276378406232003</v>
      </c>
      <c r="BO320" s="215">
        <f>IF(AND(ISNUMBER(BO314),ISNUMBER(BO242)),IFERROR(BO314/BO242,""),"")</f>
        <v>0.623809807188765</v>
      </c>
      <c r="BP320" s="215">
        <f>IF(AND(ISNUMBER(BP314),ISNUMBER(BP242)),IFERROR(BP314/BP242,""),"")</f>
        <v>0.679842588543944</v>
      </c>
      <c r="BQ320" s="215">
        <f>IF(AND(ISNUMBER(BQ314),ISNUMBER(BQ242)),IFERROR(BQ314/BQ242,""),"")</f>
        <v>0.562336774977225</v>
      </c>
      <c r="BR320" s="215">
        <f>IF(AND(ISNUMBER(BR314),ISNUMBER(BR242)),IFERROR(BR314/BR242,""),"")</f>
        <v>0.507631474891261</v>
      </c>
      <c r="BS320" s="215">
        <f>IF(AND(ISNUMBER(BS314),ISNUMBER(BS242)),IFERROR(BS314/BS242,""),"")</f>
        <v>0.168581081081081</v>
      </c>
      <c r="BT320" s="215">
        <f>IF(AND(ISNUMBER(BT314),ISNUMBER(BT242)),IFERROR(BT314/BT242,""),"")</f>
        <v>0.498257241040746</v>
      </c>
      <c r="BU320" s="215">
        <f>IF(AND(ISNUMBER(BU314),ISNUMBER(BU242)),IFERROR(BU314/BU242,""),"")</f>
        <v>0.561613144137416</v>
      </c>
      <c r="BV320" s="215">
        <f>IF(AND(ISNUMBER(BV314),ISNUMBER(BV242)),IFERROR(BV314/BV242,""),"")</f>
        <v>0.440192769899374</v>
      </c>
      <c r="BW320" s="215">
        <f>IF(AND(ISNUMBER(BW314),ISNUMBER(BW242)),IFERROR(BW314/BW242,""),"")</f>
        <v>0.556584540643706</v>
      </c>
      <c r="BX320" s="215">
        <f>IF(AND(ISNUMBER(BX314),ISNUMBER(BX242)),IFERROR(BX314/BX242,""),"")</f>
        <v>0.12390200745687</v>
      </c>
      <c r="BY320" s="215">
        <f>IF(AND(ISNUMBER(BY314),ISNUMBER(BY242)),IFERROR(BY314/BY242,""),"")</f>
        <v>0.325398949861011</v>
      </c>
      <c r="BZ320" s="215">
        <f>IF(AND(ISNUMBER(BZ314),ISNUMBER(BZ242)),IFERROR(BZ314/BZ242,""),"")</f>
        <v>0.380416464891041</v>
      </c>
      <c r="CA320" s="215">
        <f>IF(AND(ISNUMBER(CA314),ISNUMBER(CA242)),IFERROR(CA314/CA242,""),"")</f>
        <v>0.345701885215022</v>
      </c>
      <c r="CB320" s="24" t="n"/>
      <c r="CC320" s="24" t="n"/>
      <c r="CD320" s="24" t="n"/>
      <c r="CE320" s="24" t="n"/>
      <c r="CF320" s="256">
        <f>IF(AND(ISNUMBER(CF314),ISNUMBER(CF242)),IFERROR(CF314/CF242,""),"")</f>
        <v>0.23633820211635</v>
      </c>
      <c r="CG320" s="256">
        <f>IF(AND(ISNUMBER(CG314),ISNUMBER(CG242)),IFERROR(CG314/CG242,""),"")</f>
        <v>0.343942775745013</v>
      </c>
      <c r="CH320" s="256">
        <f>IF(AND(ISNUMBER(CH314),ISNUMBER(CH242)),IFERROR(CH314/CH242,""),"")</f>
        <v>0.420574237866824</v>
      </c>
      <c r="CI320" s="256">
        <f>IF(AND(ISNUMBER(CI314),ISNUMBER(CI242)),IFERROR(CI314/CI242,""),"")</f>
        <v>0.490784854420322</v>
      </c>
      <c r="CJ320" s="256">
        <f>IF(AND(ISNUMBER(CJ314),ISNUMBER(CJ242)),IFERROR(CJ314/CJ242,""),"")</f>
        <v>0.529110193413314</v>
      </c>
      <c r="CK320" s="153" t="n"/>
      <c r="CM320" s="37">
        <f>IFERROR(AVERAGE(CF320,CG320,CH320,CI320,CJ320),"n/m")</f>
        <v>0.404150052712365</v>
      </c>
      <c r="CN320" s="37">
        <f>IFERROR(AVERAGE(BG320,BL320,BQ320,BV320,CA320),"n/m")</f>
        <v>0.517683269496726</v>
      </c>
      <c r="CO320" s="37">
        <f>IFERROR(AVERAGE(AH320,AM320,AR320,AW320,BB320,BG320,BL320,BQ320,BV320,CA320),"n/m")</f>
        <v>0.619911258758978</v>
      </c>
      <c r="CP320" s="37">
        <f>IFERROR(AVERAGE(C320,D320,E320,F320,G320,H320,I320,N320,S320,X320,AC320,AH320,AM320,AR320,AW320,BB320,BG320,BL320,BQ320,BV320,CA320),"n/m")</f>
        <v>0.702535501769201</v>
      </c>
    </row>
    <row r="321" ht="15" customHeight="1" s="251">
      <c r="B321" s="25" t="inlineStr">
        <is>
          <t>Capex ratios</t>
        </is>
      </c>
      <c r="CK321" s="153" t="n"/>
    </row>
    <row r="322" ht="15" customHeight="1" s="251">
      <c r="B322" s="25" t="inlineStr">
        <is>
          <t xml:space="preserve">  Additions to property and equipment % of revenue</t>
        </is>
      </c>
      <c r="C322" s="215">
        <f>IF(ISNUMBER(C297),IFERROR(-C297/C179,""),"")</f>
        <v>0.0356352468271532</v>
      </c>
      <c r="D322" s="215">
        <f>IF(ISNUMBER(D297),IFERROR(-D297/D179,""),"")</f>
        <v>0.0442862172841438</v>
      </c>
      <c r="E322" s="215">
        <f>IF(ISNUMBER(E297),IFERROR(-E297/E179,""),"")</f>
        <v>0.0526646805693479</v>
      </c>
      <c r="F322" s="215">
        <f>IF(ISNUMBER(F297),IFERROR(-F297/F179,""),"")</f>
        <v>0.0533737187056146</v>
      </c>
      <c r="G322" s="215">
        <f>IF(ISNUMBER(G297),IFERROR(-G297/G179,""),"")</f>
        <v>0.0316400998655656</v>
      </c>
      <c r="H322" s="215">
        <f>IF(ISNUMBER(H297),IFERROR(-H297/H179,""),"")</f>
        <v>0.0336702743662697</v>
      </c>
      <c r="I322" s="215">
        <f>IF(ISNUMBER(I297),IFERROR(-I297/I179,""),"")</f>
        <v>0.0312656837079338</v>
      </c>
      <c r="J322" s="215">
        <f>IF(ISNUMBER(J297),IFERROR(-J297/J179,""),"")</f>
        <v>0.0376686656671664</v>
      </c>
      <c r="K322" s="215">
        <f>IF(ISNUMBER(K297),IFERROR(-K297/K179,""),"")</f>
        <v>0.04334451901566</v>
      </c>
      <c r="L322" s="215">
        <f>IF(ISNUMBER(L297),IFERROR(-L297/L179,""),"")</f>
        <v>0.0453902093806433</v>
      </c>
      <c r="M322" s="215">
        <f>IF(ISNUMBER(M297),IFERROR(-M297/M179,""),"")</f>
        <v>0.0901688781664656</v>
      </c>
      <c r="N322" s="215">
        <f>IF(ISNUMBER(N297),IFERROR(-N297/N179,""),"")</f>
        <v>0.0546827833369729</v>
      </c>
      <c r="O322" s="215">
        <f>IF(ISNUMBER(O297),IFERROR(-O297/O179,""),"")</f>
        <v>0.0664363969992984</v>
      </c>
      <c r="P322" s="215">
        <f>IF(ISNUMBER(P297),IFERROR(-P297/P179,""),"")</f>
        <v>0.0706390962111016</v>
      </c>
      <c r="Q322" s="215">
        <f>IF(ISNUMBER(Q297),IFERROR(-Q297/Q179,""),"")</f>
        <v>0.0584227809635838</v>
      </c>
      <c r="R322" s="215">
        <f>IF(ISNUMBER(R297),IFERROR(-R297/R179,""),"")</f>
        <v>0.0568813617312463</v>
      </c>
      <c r="S322" s="215">
        <f>IF(ISNUMBER(S297),IFERROR(-S297/S179,""),"")</f>
        <v>0.0631672290488639</v>
      </c>
      <c r="T322" s="215">
        <f>IF(ISNUMBER(T297),IFERROR(-T297/T179,""),"")</f>
        <v>0.0552562389552174</v>
      </c>
      <c r="U322" s="215">
        <f>IF(ISNUMBER(U297),IFERROR(-U297/U179,""),"")</f>
        <v>0.056290139780884</v>
      </c>
      <c r="V322" s="215">
        <f>IF(ISNUMBER(V297),IFERROR(-V297/V179,""),"")</f>
        <v>0.0640158313774219</v>
      </c>
      <c r="W322" s="215">
        <f>IF(ISNUMBER(W297),IFERROR(-W297/W179,""),"")</f>
        <v>0.080297565374211</v>
      </c>
      <c r="X322" s="215">
        <f>IF(ISNUMBER(X297),IFERROR(-X297/X179,""),"")</f>
        <v>0.0635178456935243</v>
      </c>
      <c r="Y322" s="215">
        <f>IF(ISNUMBER(Y297),IFERROR(-Y297/Y179,""),"")</f>
        <v>0.0665390843515384</v>
      </c>
      <c r="Z322" s="215">
        <f>IF(ISNUMBER(Z297),IFERROR(-Z297/Z179,""),"")</f>
        <v>0.0850563119852076</v>
      </c>
      <c r="AA322" s="215">
        <f>IF(ISNUMBER(AA297),IFERROR(-AA297/AA179,""),"")</f>
        <v>0.112415371876674</v>
      </c>
      <c r="AB322" s="215">
        <f>IF(ISNUMBER(AB297),IFERROR(-AB297/AB179,""),"")</f>
        <v>0.128795963908024</v>
      </c>
      <c r="AC322" s="215">
        <f>IF(ISNUMBER(AC297),IFERROR(-AC297/AC179,""),"")</f>
        <v>0.0977848101265823</v>
      </c>
      <c r="AD322" s="215">
        <f>IF(ISNUMBER(AD297),IFERROR(-AD297/AD179,""),"")</f>
        <v>0.10575465701853</v>
      </c>
      <c r="AE322" s="215">
        <f>IF(ISNUMBER(AE297),IFERROR(-AE297/AE179,""),"")</f>
        <v>0.0825238688252387</v>
      </c>
      <c r="AF322" s="215">
        <f>IF(ISNUMBER(AF297),IFERROR(-AF297/AF179,""),"")</f>
        <v>0.0767315527387958</v>
      </c>
      <c r="AG322" s="215">
        <f>IF(ISNUMBER(AG297),IFERROR(-AG297/AG179,""),"")</f>
        <v>0.0979113951194408</v>
      </c>
      <c r="AH322" s="215">
        <f>IF(ISNUMBER(AH297),IFERROR(-AH297/AH179,""),"")</f>
        <v>0.0903724291272929</v>
      </c>
      <c r="AI322" s="215">
        <f>IF(ISNUMBER(AI297),IFERROR(-AI297/AI179,""),"")</f>
        <v>0.0868856467519765</v>
      </c>
      <c r="AJ322" s="215">
        <f>IF(ISNUMBER(AJ297),IFERROR(-AJ297/AJ179,""),"")</f>
        <v>0.0894252714572239</v>
      </c>
      <c r="AK322" s="215">
        <f>IF(ISNUMBER(AK297),IFERROR(-AK297/AK179,""),"")</f>
        <v>0.109400052201797</v>
      </c>
      <c r="AL322" s="215">
        <f>IF(ISNUMBER(AL297),IFERROR(-AL297/AL179,""),"")</f>
        <v>0.132291839787269</v>
      </c>
      <c r="AM322" s="215">
        <f>IF(ISNUMBER(AM297),IFERROR(-AM297/AM179,""),"")</f>
        <v>0.105400507430228</v>
      </c>
      <c r="AN322" s="215">
        <f>IF(ISNUMBER(AN297),IFERROR(-AN297/AN179,""),"")</f>
        <v>0.123848163938936</v>
      </c>
      <c r="AO322" s="215">
        <f>IF(ISNUMBER(AO297),IFERROR(-AO297/AO179,""),"")</f>
        <v>0.114163407348095</v>
      </c>
      <c r="AP322" s="215">
        <f>IF(ISNUMBER(AP297),IFERROR(-AP297/AP179,""),"")</f>
        <v>0.0839030453697949</v>
      </c>
      <c r="AQ322" s="215">
        <f>IF(ISNUMBER(AQ297),IFERROR(-AQ297/AQ179,""),"")</f>
        <v>0.120147106800724</v>
      </c>
      <c r="AR322" s="215">
        <f>IF(ISNUMBER(AR297),IFERROR(-AR297/AR179,""),"")</f>
        <v>0.110653751102564</v>
      </c>
      <c r="AS322" s="215">
        <f>IF(ISNUMBER(AS297),IFERROR(-AS297/AS179,""),"")</f>
        <v>0.10240508243836</v>
      </c>
      <c r="AT322" s="215">
        <f>IF(ISNUMBER(AT297),IFERROR(-AT297/AT179,""),"")</f>
        <v>0.0960548420311061</v>
      </c>
      <c r="AU322" s="215">
        <f>IF(ISNUMBER(AU297),IFERROR(-AU297/AU179,""),"")</f>
        <v>0.107564033008766</v>
      </c>
      <c r="AV322" s="215">
        <f>IF(ISNUMBER(AV297),IFERROR(-AV297/AV179,""),"")</f>
        <v>0.124733783819315</v>
      </c>
      <c r="AW322" s="215">
        <f>IF(ISNUMBER(AW297),IFERROR(-AW297/AW179,""),"")</f>
        <v>0.107967695696256</v>
      </c>
      <c r="AX322" s="215">
        <f>IF(ISNUMBER(AX297),IFERROR(-AX297/AX179,""),"")</f>
        <v>0.132071916886473</v>
      </c>
      <c r="AY322" s="215">
        <f>IF(ISNUMBER(AY297),IFERROR(-AY297/AY179,""),"")</f>
        <v>0.0968985049679636</v>
      </c>
      <c r="AZ322" s="215">
        <f>IF(ISNUMBER(AZ297),IFERROR(-AZ297/AZ179,""),"")</f>
        <v>0.122020812353139</v>
      </c>
      <c r="BA322" s="215">
        <f>IF(ISNUMBER(BA297),IFERROR(-BA297/BA179,""),"")</f>
        <v>0.139798925290345</v>
      </c>
      <c r="BB322" s="215">
        <f>IF(ISNUMBER(BB297),IFERROR(-BB297/BB179,""),"")</f>
        <v>0.122685736043025</v>
      </c>
      <c r="BC322" s="215">
        <f>IF(ISNUMBER(BC297),IFERROR(-BC297/BC179,""),"")</f>
        <v>0.128207957278725</v>
      </c>
      <c r="BD322" s="215">
        <f>IF(ISNUMBER(BD297),IFERROR(-BD297/BD179,""),"")</f>
        <v>0.113381534178781</v>
      </c>
      <c r="BE322" s="215">
        <f>IF(ISNUMBER(BE297),IFERROR(-BE297/BE179,""),"")</f>
        <v>0.108184764991896</v>
      </c>
      <c r="BF322" s="215">
        <f>IF(ISNUMBER(BF297),IFERROR(-BF297/BF179,""),"")</f>
        <v>0.132478550081944</v>
      </c>
      <c r="BG322" s="215">
        <f>IF(ISNUMBER(BG297),IFERROR(-BG297/BG179,""),"")</f>
        <v>0.120472083522469</v>
      </c>
      <c r="BH322" s="215">
        <f>IF(ISNUMBER(BH297),IFERROR(-BH297/BH179,""),"")</f>
        <v>0.125354135908384</v>
      </c>
      <c r="BI322" s="215">
        <f>IF(ISNUMBER(BI297),IFERROR(-BI297/BI179,""),"")</f>
        <v>0.118945153278859</v>
      </c>
      <c r="BJ322" s="215">
        <f>IF(ISNUMBER(BJ297),IFERROR(-BJ297/BJ179,""),"")</f>
        <v>0.124997635128744</v>
      </c>
      <c r="BK322" s="215">
        <f>IF(ISNUMBER(BK297),IFERROR(-BK297/BK179,""),"")</f>
        <v>0.159159266048515</v>
      </c>
      <c r="BL322" s="215">
        <f>IF(ISNUMBER(BL297),IFERROR(-BL297/BL179,""),"")</f>
        <v>0.132633367151924</v>
      </c>
      <c r="BM322" s="215">
        <f>IF(ISNUMBER(BM297),IFERROR(-BM297/BM179,""),"")</f>
        <v>0.17546932781287</v>
      </c>
      <c r="BN322" s="215">
        <f>IF(ISNUMBER(BN297),IFERROR(-BN297/BN179,""),"")</f>
        <v>0.156965495001612</v>
      </c>
      <c r="BO322" s="215">
        <f>IF(ISNUMBER(BO297),IFERROR(-BO297/BO179,""),"")</f>
        <v>0.177050664424973</v>
      </c>
      <c r="BP322" s="215">
        <f>IF(ISNUMBER(BP297),IFERROR(-BP297/BP179,""),"")</f>
        <v>0.21433095925966</v>
      </c>
      <c r="BQ322" s="215">
        <f>IF(ISNUMBER(BQ297),IFERROR(-BQ297/BQ179,""),"")</f>
        <v>0.181448421602304</v>
      </c>
      <c r="BR322" s="215">
        <f>IF(ISNUMBER(BR297),IFERROR(-BR297/BR179,""),"")</f>
        <v>0.227536784325684</v>
      </c>
      <c r="BS322" s="215">
        <f>IF(ISNUMBER(BS297),IFERROR(-BS297/BS179,""),"")</f>
        <v>0.226964613970588</v>
      </c>
      <c r="BT322" s="215">
        <f>IF(ISNUMBER(BT297),IFERROR(-BT297/BT179,""),"")</f>
        <v>0.238988953272629</v>
      </c>
      <c r="BU322" s="215">
        <f>IF(ISNUMBER(BU297),IFERROR(-BU297/BU179,""),"")</f>
        <v>0.223427218377572</v>
      </c>
      <c r="BV322" s="215">
        <f>IF(ISNUMBER(BV297),IFERROR(-BV297/BV179,""),"")</f>
        <v>0.229128508753248</v>
      </c>
      <c r="BW322" s="215">
        <f>IF(ISNUMBER(BW297),IFERROR(-BW297/BW179,""),"")</f>
        <v>0.249687793699226</v>
      </c>
      <c r="BX322" s="215">
        <f>IF(ISNUMBER(BX297),IFERROR(-BX297/BX179,""),"")</f>
        <v>0.367600556150259</v>
      </c>
      <c r="BY322" s="215">
        <f>IF(ISNUMBER(BY297),IFERROR(-BY297/BY179,""),"")</f>
        <v>0.372511642496924</v>
      </c>
      <c r="BZ322" s="215">
        <f>IF(ISNUMBER(BZ297),IFERROR(-BZ297/BZ179,""),"")</f>
        <v>0.397769062406257</v>
      </c>
      <c r="CA322" s="215">
        <f>IF(ISNUMBER(CA297),IFERROR(-CA297/CA179,""),"")</f>
        <v>0.349410406853926</v>
      </c>
      <c r="CB322" s="24" t="n"/>
      <c r="CC322" s="24" t="n"/>
      <c r="CD322" s="24" t="n"/>
      <c r="CE322" s="24" t="n"/>
      <c r="CF322" s="256">
        <f>IF(ISNUMBER(CF297),IFERROR(-CF297/CF179,""),"")</f>
        <v>0.424037725163113</v>
      </c>
      <c r="CG322" s="256">
        <f>IF(ISNUMBER(CG297),IFERROR(-CG297/CG179,""),"")</f>
        <v>0.37125</v>
      </c>
      <c r="CH322" s="256">
        <f>IF(ISNUMBER(CH297),IFERROR(-CH297/CH179,""),"")</f>
        <v>0.33</v>
      </c>
      <c r="CI322" s="256">
        <f>IF(ISNUMBER(CI297),IFERROR(-CI297/CI179,""),"")</f>
        <v>0.28875</v>
      </c>
      <c r="CJ322" s="256">
        <f>IF(ISNUMBER(CJ297),IFERROR(-CJ297/CJ179,""),"")</f>
        <v>0.264</v>
      </c>
      <c r="CK322" s="153" t="n"/>
      <c r="CM322" s="37">
        <f>IFERROR(AVERAGE(CF322,CG322,CH322,CI322,CJ322),"n/m")</f>
        <v>0.335607545032623</v>
      </c>
      <c r="CN322" s="37">
        <f>IFERROR(AVERAGE(BG322,BL322,BQ322,BV322,CA322),"n/m")</f>
        <v>0.202618557576774</v>
      </c>
      <c r="CO322" s="37">
        <f>IFERROR(AVERAGE(AH322,AM322,AR322,AW322,BB322,BG322,BL322,BQ322,BV322,CA322),"n/m")</f>
        <v>0.155017290728324</v>
      </c>
      <c r="CP322" s="37">
        <f>IFERROR(AVERAGE(C322,D322,E322,F322,G322,H322,I322,N322,S322,X322,AC322,AH322,AM322,AR322,AW322,BB322,BG322,BL322,BQ322,BV322,CA322),"n/m")</f>
        <v>0.100564833181677</v>
      </c>
    </row>
    <row r="323" ht="15" customHeight="1" s="251">
      <c r="B323" s="25" t="inlineStr">
        <is>
          <t xml:space="preserve">  Additions to property and equipment / D&amp;A &amp; other (x)</t>
        </is>
      </c>
      <c r="C323" s="278">
        <f>IF(ISNUMBER(C297),IFERROR(-C297/C156,""),"")</f>
        <v>1.74750830564784</v>
      </c>
      <c r="D323" s="278">
        <f>IF(ISNUMBER(D297),IFERROR(-D297/D156,""),"")</f>
        <v>1.57222222222222</v>
      </c>
      <c r="E323" s="278">
        <f>IF(ISNUMBER(E297),IFERROR(-E297/E156,""),"")</f>
        <v>1.54766536964981</v>
      </c>
      <c r="F323" s="278">
        <f>IF(ISNUMBER(F297),IFERROR(-F297/F156,""),"")</f>
        <v>1.21740827478532</v>
      </c>
      <c r="G323" s="278">
        <f>IF(ISNUMBER(G297),IFERROR(-G297/G156,""),"")</f>
        <v>0.739618406285073</v>
      </c>
      <c r="H323" s="278">
        <f>IF(ISNUMBER(H297),IFERROR(-H297/H156,""),"")</f>
        <v>0.851409978308026</v>
      </c>
      <c r="I323" s="278">
        <f>IF(ISNUMBER(I297),IFERROR(-I297/I156,""),"")</f>
        <v>0.776879002359285</v>
      </c>
      <c r="J323" s="278">
        <f>IF(ISNUMBER(J297),IFERROR(-J297/J156,""),"")</f>
        <v>0.849295774647887</v>
      </c>
      <c r="K323" s="278">
        <f>IF(ISNUMBER(K297),IFERROR(-K297/K156,""),"")</f>
        <v>0.921704658077304</v>
      </c>
      <c r="L323" s="278">
        <f>IF(ISNUMBER(L297),IFERROR(-L297/L156,""),"")</f>
        <v>0.883190883190883</v>
      </c>
      <c r="M323" s="278">
        <f>IF(ISNUMBER(M297),IFERROR(-M297/M156,""),"")</f>
        <v>1.82502543234995</v>
      </c>
      <c r="N323" s="278">
        <f>IF(ISNUMBER(N297),IFERROR(-N297/N156,""),"")</f>
        <v>1.13368841544607</v>
      </c>
      <c r="O323" s="278">
        <f>IF(ISNUMBER(O297),IFERROR(-O297/O156,""),"")</f>
        <v>1.29035639412998</v>
      </c>
      <c r="P323" s="278">
        <f>IF(ISNUMBER(P297),IFERROR(-P297/P156,""),"")</f>
        <v>1.37351308485329</v>
      </c>
      <c r="Q323" s="278">
        <f>IF(ISNUMBER(Q297),IFERROR(-Q297/Q156,""),"")</f>
        <v>0.949800796812749</v>
      </c>
      <c r="R323" s="278">
        <f>IF(ISNUMBER(R297),IFERROR(-R297/R156,""),"")</f>
        <v>0.763490241102181</v>
      </c>
      <c r="S323" s="278">
        <f>IF(ISNUMBER(S297),IFERROR(-S297/S156,""),"")</f>
        <v>1.05237912509593</v>
      </c>
      <c r="T323" s="278">
        <f>IF(ISNUMBER(T297),IFERROR(-T297/T156,""),"")</f>
        <v>0.897759103641457</v>
      </c>
      <c r="U323" s="278">
        <f>IF(ISNUMBER(U297),IFERROR(-U297/U156,""),"")</f>
        <v>0.979618671926364</v>
      </c>
      <c r="V323" s="278">
        <f>IF(ISNUMBER(V297),IFERROR(-V297/V156,""),"")</f>
        <v>0.918151815181518</v>
      </c>
      <c r="W323" s="278">
        <f>IF(ISNUMBER(W297),IFERROR(-W297/W156,""),"")</f>
        <v>1.19290020093771</v>
      </c>
      <c r="X323" s="278">
        <f>IF(ISNUMBER(X297),IFERROR(-X297/X156,""),"")</f>
        <v>0.997817693469867</v>
      </c>
      <c r="Y323" s="278">
        <f>IF(ISNUMBER(Y297),IFERROR(-Y297/Y156,""),"")</f>
        <v>0.928131416837782</v>
      </c>
      <c r="Z323" s="278">
        <f>IF(ISNUMBER(Z297),IFERROR(-Z297/Z156,""),"")</f>
        <v>1.31088082901554</v>
      </c>
      <c r="AA323" s="278">
        <f>IF(ISNUMBER(AA297),IFERROR(-AA297/AA156,""),"")</f>
        <v>1.35207967193907</v>
      </c>
      <c r="AB323" s="278">
        <f>IF(ISNUMBER(AB297),IFERROR(-AB297/AB156,""),"")</f>
        <v>1.39005235602094</v>
      </c>
      <c r="AC323" s="278">
        <f>IF(ISNUMBER(AC297),IFERROR(-AC297/AC156,""),"")</f>
        <v>1.25989127151918</v>
      </c>
      <c r="AD323" s="278">
        <f>IF(ISNUMBER(AD297),IFERROR(-AD297/AD156,""),"")</f>
        <v>1.19107929515419</v>
      </c>
      <c r="AE323" s="278">
        <f>IF(ISNUMBER(AE297),IFERROR(-AE297/AE156,""),"")</f>
        <v>0.917820867959372</v>
      </c>
      <c r="AF323" s="278">
        <f>IF(ISNUMBER(AF297),IFERROR(-AF297/AF156,""),"")</f>
        <v>0.69099062372605</v>
      </c>
      <c r="AG323" s="278">
        <f>IF(ISNUMBER(AG297),IFERROR(-AG297/AG156,""),"")</f>
        <v>0.974391805377721</v>
      </c>
      <c r="AH323" s="278">
        <f>IF(ISNUMBER(AH297),IFERROR(-AH297/AH156,""),"")</f>
        <v>0.926065162907268</v>
      </c>
      <c r="AI323" s="278">
        <f>IF(ISNUMBER(AI297),IFERROR(-AI297/AI156,""),"")</f>
        <v>0.853141256502601</v>
      </c>
      <c r="AJ323" s="278">
        <f>IF(ISNUMBER(AJ297),IFERROR(-AJ297/AJ156,""),"")</f>
        <v>1.01971608832808</v>
      </c>
      <c r="AK323" s="278">
        <f>IF(ISNUMBER(AK297),IFERROR(-AK297/AK156,""),"")</f>
        <v>1.08265682656827</v>
      </c>
      <c r="AL323" s="278">
        <f>IF(ISNUMBER(AL297),IFERROR(-AL297/AL156,""),"")</f>
        <v>1.5818759936407</v>
      </c>
      <c r="AM323" s="278">
        <f>IF(ISNUMBER(AM297),IFERROR(-AM297/AM156,""),"")</f>
        <v>1.13361270831303</v>
      </c>
      <c r="AN323" s="278">
        <f>IF(ISNUMBER(AN297),IFERROR(-AN297/AN156,""),"")</f>
        <v>1.26965103983081</v>
      </c>
      <c r="AO323" s="278">
        <f>IF(ISNUMBER(AO297),IFERROR(-AO297/AO156,""),"")</f>
        <v>1.23772954924875</v>
      </c>
      <c r="AP323" s="278">
        <f>IF(ISNUMBER(AP297),IFERROR(-AP297/AP156,""),"")</f>
        <v>0.876623376623377</v>
      </c>
      <c r="AQ323" s="278">
        <f>IF(ISNUMBER(AQ297),IFERROR(-AQ297/AQ156,""),"")</f>
        <v>1.38543091655267</v>
      </c>
      <c r="AR323" s="278">
        <f>IF(ISNUMBER(AR297),IFERROR(-AR297/AR156,""),"")</f>
        <v>1.19200479369971</v>
      </c>
      <c r="AS323" s="278">
        <f>IF(ISNUMBER(AS297),IFERROR(-AS297/AS156,""),"")</f>
        <v>1.13934702120498</v>
      </c>
      <c r="AT323" s="278">
        <f>IF(ISNUMBER(AT297),IFERROR(-AT297/AT156,""),"")</f>
        <v>1.10677489853263</v>
      </c>
      <c r="AU323" s="278">
        <f>IF(ISNUMBER(AU297),IFERROR(-AU297/AU156,""),"")</f>
        <v>1.20814624759461</v>
      </c>
      <c r="AV323" s="278">
        <f>IF(ISNUMBER(AV297),IFERROR(-AV297/AV156,""),"")</f>
        <v>1.35388127853881</v>
      </c>
      <c r="AW323" s="278">
        <f>IF(ISNUMBER(AW297),IFERROR(-AW297/AW156,""),"")</f>
        <v>1.20670522038137</v>
      </c>
      <c r="AX323" s="278">
        <f>IF(ISNUMBER(AX297),IFERROR(-AX297/AX156,""),"")</f>
        <v>1.85519848771267</v>
      </c>
      <c r="AY323" s="278">
        <f>IF(ISNUMBER(AY297),IFERROR(-AY297/AY156,""),"")</f>
        <v>1.51177109742847</v>
      </c>
      <c r="AZ323" s="278">
        <f>IF(ISNUMBER(AZ297),IFERROR(-AZ297/AZ156,""),"")</f>
        <v>1.733310626703</v>
      </c>
      <c r="BA323" s="278">
        <f>IF(ISNUMBER(BA297),IFERROR(-BA297/BA156,""),"")</f>
        <v>1.92942583732057</v>
      </c>
      <c r="BB323" s="278">
        <f>IF(ISNUMBER(BB297),IFERROR(-BB297/BB156,""),"")</f>
        <v>1.76467568030122</v>
      </c>
      <c r="BC323" s="278">
        <f>IF(ISNUMBER(BC297),IFERROR(-BC297/BC156,""),"")</f>
        <v>1.80884184308842</v>
      </c>
      <c r="BD323" s="278">
        <f>IF(ISNUMBER(BD297),IFERROR(-BD297/BD156,""),"")</f>
        <v>1.67763157894737</v>
      </c>
      <c r="BE323" s="278">
        <f>IF(ISNUMBER(BE297),IFERROR(-BE297/BE156,""),"")</f>
        <v>1.41531937450305</v>
      </c>
      <c r="BF323" s="278">
        <f>IF(ISNUMBER(BF297),IFERROR(-BF297/BF156,""),"")</f>
        <v>1.72681578286002</v>
      </c>
      <c r="BG323" s="278">
        <f>IF(ISNUMBER(BG297),IFERROR(-BG297/BG156,""),"")</f>
        <v>1.65186721991701</v>
      </c>
      <c r="BH323" s="278">
        <f>IF(ISNUMBER(BH297),IFERROR(-BH297/BH156,""),"")</f>
        <v>2.25197132616487</v>
      </c>
      <c r="BI323" s="278">
        <f>IF(ISNUMBER(BI297),IFERROR(-BI297/BI156,""),"")</f>
        <v>1.71984649122807</v>
      </c>
      <c r="BJ323" s="278">
        <f>IF(ISNUMBER(BJ297),IFERROR(-BJ297/BJ156,""),"")</f>
        <v>1.86165116934348</v>
      </c>
      <c r="BK323" s="278">
        <f>IF(ISNUMBER(BK297),IFERROR(-BK297/BK156,""),"")</f>
        <v>2.30846670108415</v>
      </c>
      <c r="BL323" s="278">
        <f>IF(ISNUMBER(BL297),IFERROR(-BL297/BL156,""),"")</f>
        <v>2.0277757737537</v>
      </c>
      <c r="BM323" s="278">
        <f>IF(ISNUMBER(BM297),IFERROR(-BM297/BM156,""),"")</f>
        <v>2.52920173425147</v>
      </c>
      <c r="BN323" s="278">
        <f>IF(ISNUMBER(BN297),IFERROR(-BN297/BN156,""),"")</f>
        <v>1.63366336633663</v>
      </c>
      <c r="BO323" s="278">
        <f>IF(ISNUMBER(BO297),IFERROR(-BO297/BO156,""),"")</f>
        <v>1.81715613074498</v>
      </c>
      <c r="BP323" s="278">
        <f>IF(ISNUMBER(BP297),IFERROR(-BP297/BP156,""),"")</f>
        <v>2.17445141065831</v>
      </c>
      <c r="BQ323" s="278">
        <f>IF(ISNUMBER(BQ297),IFERROR(-BQ297/BQ156,""),"")</f>
        <v>1.99564768699242</v>
      </c>
      <c r="BR323" s="278">
        <f>IF(ISNUMBER(BR297),IFERROR(-BR297/BR156,""),"")</f>
        <v>2.02126506840038</v>
      </c>
      <c r="BS323" s="278">
        <f>IF(ISNUMBER(BS297),IFERROR(-BS297/BS156,""),"")</f>
        <v>2.31492602900249</v>
      </c>
      <c r="BT323" s="278">
        <f>IF(ISNUMBER(BT297),IFERROR(-BT297/BT156,""),"")</f>
        <v>1.91590389016018</v>
      </c>
      <c r="BU323" s="278">
        <f>IF(ISNUMBER(BU297),IFERROR(-BU297/BU156,""),"")</f>
        <v>1.52450236543783</v>
      </c>
      <c r="BV323" s="278">
        <f>IF(ISNUMBER(BV297),IFERROR(-BV297/BV156,""),"")</f>
        <v>1.89005358240857</v>
      </c>
      <c r="BW323" s="278">
        <f>IF(ISNUMBER(BW297),IFERROR(-BW297/BW156,""),"")</f>
        <v>2.38050816251381</v>
      </c>
      <c r="BX323" s="278">
        <f>IF(ISNUMBER(BX297),IFERROR(-BX297/BX156,""),"")</f>
        <v>3.24809741248097</v>
      </c>
      <c r="BY323" s="278">
        <f>IF(ISNUMBER(BY297),IFERROR(-BY297/BY156,""),"")</f>
        <v>3.03688403658896</v>
      </c>
      <c r="BZ323" s="278">
        <f>IF(ISNUMBER(BZ297),IFERROR(-BZ297/BZ156,""),"")</f>
        <v>3.24823081110506</v>
      </c>
      <c r="CA323" s="278">
        <f>IF(ISNUMBER(CA297),IFERROR(-CA297/CA156,""),"")</f>
        <v>3.00897908340686</v>
      </c>
      <c r="CB323" s="35" t="n"/>
      <c r="CC323" s="35" t="n"/>
      <c r="CD323" s="35" t="n"/>
      <c r="CE323" s="35" t="n"/>
      <c r="CF323" s="279">
        <f>IF(ISNUMBER(CF297),IFERROR(-CF297/CF156,""),"")</f>
        <v>2.92969166149384</v>
      </c>
      <c r="CG323" s="279">
        <f>IF(ISNUMBER(CG297),IFERROR(-CG297/CG156,""),"")</f>
        <v>2.10337289734613</v>
      </c>
      <c r="CH323" s="279">
        <f>IF(ISNUMBER(CH297),IFERROR(-CH297/CH156,""),"")</f>
        <v>1.70674576285765</v>
      </c>
      <c r="CI323" s="279">
        <f>IF(ISNUMBER(CI297),IFERROR(-CI297/CI156,""),"")</f>
        <v>1.43722949042783</v>
      </c>
      <c r="CJ323" s="279">
        <f>IF(ISNUMBER(CJ297),IFERROR(-CJ297/CJ156,""),"")</f>
        <v>1.30675069668603</v>
      </c>
      <c r="CK323" s="19" t="n"/>
    </row>
    <row r="324" ht="15" customHeight="1" s="251">
      <c r="CS324" s="11" t="n"/>
      <c r="CT324" s="12" t="n"/>
      <c r="CU324" s="12" t="n"/>
      <c r="CV324" s="12" t="n"/>
      <c r="CW324" s="13" t="n"/>
    </row>
    <row r="325" ht="15" customHeight="1" s="251">
      <c r="B325" s="10" t="inlineStr">
        <is>
          <t>SHARE BUYBACK SCHEDULE</t>
        </is>
      </c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0" t="n"/>
      <c r="AP325" s="10" t="n"/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0" t="n"/>
      <c r="BC325" s="10" t="n"/>
      <c r="BD325" s="10" t="n"/>
      <c r="BE325" s="10" t="n"/>
      <c r="BF325" s="10" t="n"/>
      <c r="BG325" s="10" t="n"/>
      <c r="BH325" s="10" t="n"/>
      <c r="BI325" s="10" t="n"/>
      <c r="BJ325" s="10" t="n"/>
      <c r="BK325" s="10" t="n"/>
      <c r="BL325" s="10" t="n"/>
      <c r="BM325" s="10" t="n"/>
      <c r="BN325" s="10" t="n"/>
      <c r="BO325" s="10" t="n"/>
      <c r="BP325" s="10" t="n"/>
      <c r="BQ325" s="10" t="n"/>
      <c r="BR325" s="10" t="n"/>
      <c r="BS325" s="10" t="n"/>
      <c r="BT325" s="10" t="n"/>
      <c r="BU325" s="10" t="n"/>
      <c r="BV325" s="10" t="n"/>
      <c r="BW325" s="10" t="n"/>
      <c r="BX325" s="10" t="n"/>
      <c r="BY325" s="10" t="n"/>
      <c r="BZ325" s="10" t="n"/>
      <c r="CA325" s="10" t="n"/>
      <c r="CB325" s="10" t="n"/>
      <c r="CC325" s="10" t="n"/>
      <c r="CD325" s="10" t="n"/>
      <c r="CE325" s="10" t="n"/>
      <c r="CF325" s="10" t="n"/>
      <c r="CG325" s="10" t="n"/>
      <c r="CH325" s="10" t="n"/>
      <c r="CI325" s="10" t="n"/>
      <c r="CJ325" s="10" t="n"/>
      <c r="CK325" s="10" t="inlineStr">
        <is>
          <t>SHARES — FY2027E from shares outstanding at 30-Jun-2026; buybacks via the liquidity-target plug</t>
        </is>
      </c>
    </row>
    <row r="326" ht="15" customHeight="1" s="251">
      <c r="B326" s="25" t="inlineStr">
        <is>
          <t xml:space="preserve">  Avg buyback price ($)</t>
        </is>
      </c>
      <c r="C326" s="34" t="n"/>
      <c r="D326" s="34" t="n"/>
      <c r="E326" s="34" t="n"/>
      <c r="F326" s="34" t="n"/>
      <c r="G326" s="34" t="n"/>
      <c r="H326" s="34" t="n"/>
      <c r="I326" s="34" t="n"/>
      <c r="J326" s="34" t="n"/>
      <c r="K326" s="34" t="n"/>
      <c r="L326" s="34" t="n"/>
      <c r="M326" s="34" t="n"/>
      <c r="N326" s="34" t="n"/>
      <c r="O326" s="34" t="n"/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  <c r="AA326" s="34" t="n"/>
      <c r="AB326" s="34" t="n"/>
      <c r="AC326" s="34" t="n"/>
      <c r="AD326" s="34" t="n"/>
      <c r="AE326" s="34" t="n"/>
      <c r="AF326" s="34" t="n"/>
      <c r="AG326" s="34" t="n"/>
      <c r="AH326" s="34" t="n"/>
      <c r="AI326" s="34" t="n"/>
      <c r="AJ326" s="34" t="n"/>
      <c r="AK326" s="34" t="n"/>
      <c r="AL326" s="34" t="n"/>
      <c r="AM326" s="34" t="n"/>
      <c r="AN326" s="34" t="n"/>
      <c r="AO326" s="34" t="n"/>
      <c r="AP326" s="34" t="n"/>
      <c r="AQ326" s="34" t="n"/>
      <c r="AR326" s="34" t="n"/>
      <c r="AS326" s="34" t="n"/>
      <c r="AT326" s="34" t="n"/>
      <c r="AU326" s="34" t="n"/>
      <c r="AV326" s="34" t="n"/>
      <c r="AW326" s="34" t="n"/>
      <c r="AX326" s="34" t="n"/>
      <c r="AY326" s="34" t="n"/>
      <c r="AZ326" s="34" t="n"/>
      <c r="BA326" s="34" t="n"/>
      <c r="BB326" s="34" t="n"/>
      <c r="BC326" s="34" t="n"/>
      <c r="BD326" s="34" t="n"/>
      <c r="BE326" s="34" t="n"/>
      <c r="BF326" s="34" t="n"/>
      <c r="BG326" s="34" t="n"/>
      <c r="BH326" s="34" t="n"/>
      <c r="BI326" s="34" t="n"/>
      <c r="BJ326" s="34" t="n"/>
      <c r="BK326" s="34" t="n"/>
      <c r="BL326" s="34" t="n"/>
      <c r="BM326" s="34" t="n"/>
      <c r="BN326" s="34" t="n"/>
      <c r="BO326" s="34" t="n"/>
      <c r="BP326" s="34" t="n"/>
      <c r="BQ326" s="34" t="n"/>
      <c r="BR326" s="34" t="n"/>
      <c r="BS326" s="34" t="n"/>
      <c r="BT326" s="34" t="n"/>
      <c r="BU326" s="34" t="n"/>
      <c r="BV326" s="34" t="n"/>
      <c r="BW326" s="34" t="n"/>
      <c r="BX326" s="34" t="n"/>
      <c r="BY326" s="34" t="n"/>
      <c r="BZ326" s="34" t="n"/>
      <c r="CA326" s="280" t="n">
        <v>464.42</v>
      </c>
      <c r="CB326" s="35" t="n"/>
      <c r="CC326" s="35" t="n"/>
      <c r="CD326" s="35" t="n"/>
      <c r="CE326" s="35" t="n"/>
      <c r="CF326" s="281">
        <f>CF449</f>
        <v>541</v>
      </c>
      <c r="CG326" s="281">
        <f>CF326*(1+CG392)</f>
        <v>584.28</v>
      </c>
      <c r="CH326" s="281">
        <f>CG326*(1+CH392)</f>
        <v>631.0224</v>
      </c>
      <c r="CI326" s="281">
        <f>CH326*(1+CI392)</f>
        <v>681.504192</v>
      </c>
      <c r="CJ326" s="281">
        <f>CI326*(1+CJ392)</f>
        <v>736.02452736</v>
      </c>
      <c r="CK326" s="19" t="inlineStr">
        <is>
          <t>FY2026A: $16,719m ÷ 36m shares repurchased under the program (10-K Note 15). FY2027E: current share price; then + appreciation.</t>
        </is>
      </c>
    </row>
    <row r="327" ht="15" customHeight="1" s="251">
      <c r="B327" s="25" t="inlineStr">
        <is>
          <t xml:space="preserve">  Buyback cash deployed (USDm; incl. tax withholding)</t>
        </is>
      </c>
      <c r="C327" s="34" t="n"/>
      <c r="D327" s="34" t="n"/>
      <c r="E327" s="34" t="n"/>
      <c r="F327" s="34" t="n"/>
      <c r="G327" s="34" t="n"/>
      <c r="H327" s="34" t="n"/>
      <c r="I327" s="34" t="n"/>
      <c r="J327" s="34" t="n"/>
      <c r="K327" s="34" t="n"/>
      <c r="L327" s="34" t="n"/>
      <c r="M327" s="34" t="n"/>
      <c r="N327" s="34" t="n"/>
      <c r="O327" s="34" t="n"/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  <c r="AA327" s="34" t="n"/>
      <c r="AB327" s="34" t="n"/>
      <c r="AC327" s="34" t="n"/>
      <c r="AD327" s="34" t="n"/>
      <c r="AE327" s="34" t="n"/>
      <c r="AF327" s="34" t="n"/>
      <c r="AG327" s="34" t="n"/>
      <c r="AH327" s="34" t="n"/>
      <c r="AI327" s="34" t="n"/>
      <c r="AJ327" s="34" t="n"/>
      <c r="AK327" s="34" t="n"/>
      <c r="AL327" s="34" t="n"/>
      <c r="AM327" s="34" t="n"/>
      <c r="AN327" s="34" t="n"/>
      <c r="AO327" s="34" t="n"/>
      <c r="AP327" s="34" t="n"/>
      <c r="AQ327" s="34" t="n"/>
      <c r="AR327" s="34" t="n"/>
      <c r="AS327" s="34" t="n"/>
      <c r="AT327" s="34" t="n"/>
      <c r="AU327" s="34" t="n"/>
      <c r="AV327" s="34" t="n"/>
      <c r="AW327" s="34" t="n"/>
      <c r="AX327" s="34" t="n"/>
      <c r="AY327" s="34" t="n"/>
      <c r="AZ327" s="34" t="n"/>
      <c r="BA327" s="34" t="n"/>
      <c r="BB327" s="34" t="n"/>
      <c r="BC327" s="34" t="n"/>
      <c r="BD327" s="34" t="n"/>
      <c r="BE327" s="34" t="n"/>
      <c r="BF327" s="34" t="n"/>
      <c r="BG327" s="34" t="n"/>
      <c r="BH327" s="34" t="n"/>
      <c r="BI327" s="34" t="n"/>
      <c r="BJ327" s="34" t="n"/>
      <c r="BK327" s="34" t="n"/>
      <c r="BL327" s="34" t="n"/>
      <c r="BM327" s="34" t="n"/>
      <c r="BN327" s="34" t="n"/>
      <c r="BO327" s="34" t="n"/>
      <c r="BP327" s="34" t="n"/>
      <c r="BQ327" s="34" t="n"/>
      <c r="BR327" s="34" t="n"/>
      <c r="BS327" s="34" t="n"/>
      <c r="BT327" s="34" t="n"/>
      <c r="BU327" s="34" t="n"/>
      <c r="BV327" s="34" t="n"/>
      <c r="BW327" s="34" t="n"/>
      <c r="BX327" s="34" t="n"/>
      <c r="BY327" s="34" t="n"/>
      <c r="BZ327" s="34" t="n"/>
      <c r="CA327" s="211">
        <f>-CA301</f>
        <v>22271</v>
      </c>
      <c r="CB327" s="35" t="n"/>
      <c r="CC327" s="35" t="n"/>
      <c r="CD327" s="35" t="n"/>
      <c r="CE327" s="35" t="n"/>
      <c r="CF327" s="254">
        <f>-CF301</f>
        <v>21393.0642670554</v>
      </c>
      <c r="CG327" s="254">
        <f>-CG301</f>
        <v>57251.1449840952</v>
      </c>
      <c r="CH327" s="254">
        <f>-CH301</f>
        <v>93974.2522727985</v>
      </c>
      <c r="CI327" s="254">
        <f>-CI301</f>
        <v>141500.833712265</v>
      </c>
      <c r="CJ327" s="254">
        <f>-CJ301</f>
        <v>178877.687325952</v>
      </c>
      <c r="CK327" s="19" t="n"/>
    </row>
    <row r="328" ht="15" customHeight="1" s="251">
      <c r="B328" s="156" t="inlineStr">
        <is>
          <t xml:space="preserve">  Memo: shares repurchased under the program (m; 10-K)</t>
        </is>
      </c>
      <c r="C328" s="34" t="n"/>
      <c r="D328" s="34" t="n"/>
      <c r="E328" s="34" t="n"/>
      <c r="F328" s="34" t="n"/>
      <c r="G328" s="34" t="n"/>
      <c r="H328" s="34" t="n"/>
      <c r="I328" s="34" t="n"/>
      <c r="J328" s="34" t="n"/>
      <c r="K328" s="34" t="n"/>
      <c r="L328" s="34" t="n"/>
      <c r="M328" s="34" t="n"/>
      <c r="N328" s="34" t="n"/>
      <c r="O328" s="34" t="n"/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  <c r="AA328" s="34" t="n"/>
      <c r="AB328" s="34" t="n"/>
      <c r="AC328" s="34" t="n"/>
      <c r="AD328" s="34" t="n"/>
      <c r="AE328" s="34" t="n"/>
      <c r="AF328" s="34" t="n"/>
      <c r="AG328" s="34" t="n"/>
      <c r="AH328" s="34" t="n"/>
      <c r="AI328" s="34" t="n"/>
      <c r="AJ328" s="34" t="n"/>
      <c r="AK328" s="34" t="n"/>
      <c r="AL328" s="34" t="n"/>
      <c r="AM328" s="34" t="n"/>
      <c r="AN328" s="34" t="n"/>
      <c r="AO328" s="34" t="n"/>
      <c r="AP328" s="34" t="n"/>
      <c r="AQ328" s="34" t="n"/>
      <c r="AR328" s="34" t="n"/>
      <c r="AS328" s="34" t="n"/>
      <c r="AT328" s="34" t="n"/>
      <c r="AU328" s="34" t="n"/>
      <c r="AV328" s="34" t="n"/>
      <c r="AW328" s="34" t="n"/>
      <c r="AX328" s="34" t="n"/>
      <c r="AY328" s="34" t="n"/>
      <c r="AZ328" s="34" t="n"/>
      <c r="BA328" s="34" t="n"/>
      <c r="BB328" s="34" t="n"/>
      <c r="BC328" s="34" t="n"/>
      <c r="BD328" s="34" t="n"/>
      <c r="BE328" s="34" t="n"/>
      <c r="BF328" s="34" t="n"/>
      <c r="BG328" s="34" t="n"/>
      <c r="BH328" s="34" t="n"/>
      <c r="BI328" s="34" t="n"/>
      <c r="BJ328" s="34" t="n"/>
      <c r="BK328" s="34" t="n"/>
      <c r="BL328" s="34" t="n"/>
      <c r="BM328" s="34" t="n"/>
      <c r="BN328" s="34" t="n"/>
      <c r="BO328" s="34" t="n"/>
      <c r="BP328" s="34" t="n"/>
      <c r="BQ328" s="34" t="n"/>
      <c r="BR328" s="34" t="n"/>
      <c r="BS328" s="34" t="n"/>
      <c r="BT328" s="34" t="n"/>
      <c r="BU328" s="34" t="n"/>
      <c r="BV328" s="34" t="n"/>
      <c r="BW328" s="34" t="n"/>
      <c r="BX328" s="34" t="n"/>
      <c r="BY328" s="34" t="n"/>
      <c r="BZ328" s="34" t="n"/>
      <c r="CA328" s="282" t="n">
        <v>36</v>
      </c>
      <c r="CB328" s="153" t="n"/>
      <c r="CC328" s="153" t="n"/>
      <c r="CD328" s="153" t="n"/>
      <c r="CE328" s="153" t="n"/>
      <c r="CF328" s="153" t="n"/>
      <c r="CG328" s="153" t="n"/>
      <c r="CH328" s="153" t="n"/>
      <c r="CI328" s="153" t="n"/>
      <c r="CJ328" s="153" t="n"/>
      <c r="CK328" s="153" t="n"/>
    </row>
    <row r="329" ht="15" customHeight="1" s="251">
      <c r="B329" s="25" t="inlineStr">
        <is>
          <t xml:space="preserve">  Implied shares repurchased (m)</t>
        </is>
      </c>
      <c r="C329" s="34" t="n"/>
      <c r="D329" s="34" t="n"/>
      <c r="E329" s="34" t="n"/>
      <c r="F329" s="34" t="n"/>
      <c r="G329" s="34" t="n"/>
      <c r="H329" s="34" t="n"/>
      <c r="I329" s="34" t="n"/>
      <c r="J329" s="34" t="n"/>
      <c r="K329" s="34" t="n"/>
      <c r="L329" s="34" t="n"/>
      <c r="M329" s="34" t="n"/>
      <c r="N329" s="34" t="n"/>
      <c r="O329" s="34" t="n"/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  <c r="AA329" s="34" t="n"/>
      <c r="AB329" s="34" t="n"/>
      <c r="AC329" s="34" t="n"/>
      <c r="AD329" s="34" t="n"/>
      <c r="AE329" s="34" t="n"/>
      <c r="AF329" s="34" t="n"/>
      <c r="AG329" s="34" t="n"/>
      <c r="AH329" s="34" t="n"/>
      <c r="AI329" s="34" t="n"/>
      <c r="AJ329" s="34" t="n"/>
      <c r="AK329" s="34" t="n"/>
      <c r="AL329" s="34" t="n"/>
      <c r="AM329" s="34" t="n"/>
      <c r="AN329" s="34" t="n"/>
      <c r="AO329" s="34" t="n"/>
      <c r="AP329" s="34" t="n"/>
      <c r="AQ329" s="34" t="n"/>
      <c r="AR329" s="34" t="n"/>
      <c r="AS329" s="34" t="n"/>
      <c r="AT329" s="34" t="n"/>
      <c r="AU329" s="34" t="n"/>
      <c r="AV329" s="34" t="n"/>
      <c r="AW329" s="34" t="n"/>
      <c r="AX329" s="34" t="n"/>
      <c r="AY329" s="34" t="n"/>
      <c r="AZ329" s="34" t="n"/>
      <c r="BA329" s="34" t="n"/>
      <c r="BB329" s="34" t="n"/>
      <c r="BC329" s="34" t="n"/>
      <c r="BD329" s="34" t="n"/>
      <c r="BE329" s="34" t="n"/>
      <c r="BF329" s="34" t="n"/>
      <c r="BG329" s="34" t="n"/>
      <c r="BH329" s="34" t="n"/>
      <c r="BI329" s="34" t="n"/>
      <c r="BJ329" s="34" t="n"/>
      <c r="BK329" s="34" t="n"/>
      <c r="BL329" s="34" t="n"/>
      <c r="BM329" s="34" t="n"/>
      <c r="BN329" s="34" t="n"/>
      <c r="BO329" s="34" t="n"/>
      <c r="BP329" s="34" t="n"/>
      <c r="BQ329" s="34" t="n"/>
      <c r="BR329" s="34" t="n"/>
      <c r="BS329" s="34" t="n"/>
      <c r="BT329" s="34" t="n"/>
      <c r="BU329" s="34" t="n"/>
      <c r="BV329" s="34" t="n"/>
      <c r="BW329" s="34" t="n"/>
      <c r="BX329" s="34" t="n"/>
      <c r="BY329" s="34" t="n"/>
      <c r="BZ329" s="34" t="n"/>
      <c r="CA329" s="283">
        <f>CA328</f>
        <v>36</v>
      </c>
      <c r="CB329" s="35" t="n"/>
      <c r="CC329" s="35" t="n"/>
      <c r="CD329" s="35" t="n"/>
      <c r="CE329" s="35" t="n"/>
      <c r="CF329" s="281">
        <f>IFERROR(CF327/CF326,0)</f>
        <v>39.5435568707123</v>
      </c>
      <c r="CG329" s="281">
        <f>IFERROR(CG327/CG326,0)</f>
        <v>97.9858030124173</v>
      </c>
      <c r="CH329" s="281">
        <f>IFERROR(CH327/CH326,0)</f>
        <v>148.923797749174</v>
      </c>
      <c r="CI329" s="281">
        <f>IFERROR(CI327/CI326,0)</f>
        <v>207.630173626672</v>
      </c>
      <c r="CJ329" s="281">
        <f>IFERROR(CJ327/CJ326,0)</f>
        <v>243.032236938567</v>
      </c>
      <c r="CK329" s="19" t="n"/>
    </row>
    <row r="330" ht="15" customHeight="1" s="251">
      <c r="B330" s="25" t="inlineStr">
        <is>
          <t xml:space="preserve">  Shares issued under employee plans (m)</t>
        </is>
      </c>
      <c r="C330" s="36" t="n"/>
      <c r="D330" s="3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  <c r="AU330" s="36" t="n"/>
      <c r="AV330" s="36" t="n"/>
      <c r="AW330" s="36" t="n"/>
      <c r="AX330" s="36" t="n"/>
      <c r="AY330" s="36" t="n"/>
      <c r="AZ330" s="36" t="n"/>
      <c r="BA330" s="36" t="n"/>
      <c r="BB330" s="36" t="n"/>
      <c r="BC330" s="36" t="n"/>
      <c r="BD330" s="36" t="n"/>
      <c r="BE330" s="36" t="n"/>
      <c r="BF330" s="36" t="n"/>
      <c r="BG330" s="36" t="n"/>
      <c r="BH330" s="36" t="n"/>
      <c r="BI330" s="36" t="n"/>
      <c r="BJ330" s="36" t="n"/>
      <c r="BK330" s="36" t="n"/>
      <c r="BL330" s="36" t="n"/>
      <c r="BM330" s="36" t="n"/>
      <c r="BN330" s="36" t="n"/>
      <c r="BO330" s="36" t="n"/>
      <c r="BP330" s="36" t="n"/>
      <c r="BQ330" s="36" t="n"/>
      <c r="BR330" s="36" t="n"/>
      <c r="BS330" s="36" t="n"/>
      <c r="BT330" s="36" t="n"/>
      <c r="BU330" s="36" t="n"/>
      <c r="BV330" s="36" t="n"/>
      <c r="BW330" s="36" t="n"/>
      <c r="BX330" s="36" t="n"/>
      <c r="BY330" s="36" t="n"/>
      <c r="BZ330" s="36" t="n"/>
      <c r="CA330" s="36" t="n"/>
      <c r="CB330" s="24" t="n"/>
      <c r="CC330" s="24" t="n"/>
      <c r="CD330" s="24" t="n"/>
      <c r="CE330" s="24" t="n"/>
      <c r="CF330" s="284" t="n">
        <v>30</v>
      </c>
      <c r="CG330" s="284" t="n">
        <v>30</v>
      </c>
      <c r="CH330" s="284" t="n">
        <v>30</v>
      </c>
      <c r="CI330" s="284" t="n">
        <v>30</v>
      </c>
      <c r="CJ330" s="284" t="n">
        <v>30</v>
      </c>
      <c r="CK330" s="19" t="inlineStr">
        <is>
          <t>FY2026 29m, FY2025 31m, FY2024 34m (10-K Note 15).</t>
        </is>
      </c>
    </row>
    <row r="331" ht="15" customHeight="1" s="251">
      <c r="B331" s="25" t="inlineStr">
        <is>
          <t xml:space="preserve">  Beginning shares outstanding (m)</t>
        </is>
      </c>
      <c r="C331" s="34" t="n"/>
      <c r="D331" s="34" t="n"/>
      <c r="E331" s="34" t="n"/>
      <c r="F331" s="34" t="n"/>
      <c r="G331" s="34" t="n"/>
      <c r="H331" s="34" t="n"/>
      <c r="I331" s="34" t="n"/>
      <c r="J331" s="34" t="n"/>
      <c r="K331" s="34" t="n"/>
      <c r="L331" s="34" t="n"/>
      <c r="M331" s="34" t="n"/>
      <c r="N331" s="34" t="n"/>
      <c r="O331" s="34" t="n"/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  <c r="AA331" s="34" t="n"/>
      <c r="AB331" s="34" t="n"/>
      <c r="AC331" s="34" t="n"/>
      <c r="AD331" s="34" t="n"/>
      <c r="AE331" s="34" t="n"/>
      <c r="AF331" s="34" t="n"/>
      <c r="AG331" s="34" t="n"/>
      <c r="AH331" s="34" t="n"/>
      <c r="AI331" s="34" t="n"/>
      <c r="AJ331" s="34" t="n"/>
      <c r="AK331" s="34" t="n"/>
      <c r="AL331" s="34" t="n"/>
      <c r="AM331" s="34" t="n"/>
      <c r="AN331" s="34" t="n"/>
      <c r="AO331" s="34" t="n"/>
      <c r="AP331" s="34" t="n"/>
      <c r="AQ331" s="34" t="n"/>
      <c r="AR331" s="34" t="n"/>
      <c r="AS331" s="34" t="n"/>
      <c r="AT331" s="34" t="n"/>
      <c r="AU331" s="34" t="n"/>
      <c r="AV331" s="34" t="n"/>
      <c r="AW331" s="34" t="n"/>
      <c r="AX331" s="34" t="n"/>
      <c r="AY331" s="34" t="n"/>
      <c r="AZ331" s="34" t="n"/>
      <c r="BA331" s="34" t="n"/>
      <c r="BB331" s="34" t="n"/>
      <c r="BC331" s="34" t="n"/>
      <c r="BD331" s="34" t="n"/>
      <c r="BE331" s="34" t="n"/>
      <c r="BF331" s="34" t="n"/>
      <c r="BG331" s="34" t="n"/>
      <c r="BH331" s="34" t="n"/>
      <c r="BI331" s="34" t="n"/>
      <c r="BJ331" s="34" t="n"/>
      <c r="BK331" s="34" t="n"/>
      <c r="BL331" s="34" t="n"/>
      <c r="BM331" s="34" t="n"/>
      <c r="BN331" s="34" t="n"/>
      <c r="BO331" s="34" t="n"/>
      <c r="BP331" s="34" t="n"/>
      <c r="BQ331" s="34" t="n"/>
      <c r="BR331" s="34" t="n"/>
      <c r="BS331" s="34" t="n"/>
      <c r="BT331" s="34" t="n"/>
      <c r="BU331" s="34" t="n"/>
      <c r="BV331" s="34" t="n"/>
      <c r="BW331" s="34" t="n"/>
      <c r="BX331" s="34" t="n"/>
      <c r="BY331" s="34" t="n"/>
      <c r="BZ331" s="34" t="n"/>
      <c r="CA331" s="34" t="n"/>
      <c r="CB331" s="35" t="n"/>
      <c r="CC331" s="35" t="n"/>
      <c r="CD331" s="35" t="n"/>
      <c r="CE331" s="35" t="n"/>
      <c r="CF331" s="285">
        <f>CA366</f>
        <v>7427</v>
      </c>
      <c r="CG331" s="285">
        <f>CF332</f>
        <v>7417.45644312929</v>
      </c>
      <c r="CH331" s="285">
        <f>CG332</f>
        <v>7349.47064011687</v>
      </c>
      <c r="CI331" s="285">
        <f>CH332</f>
        <v>7230.5468423677</v>
      </c>
      <c r="CJ331" s="285">
        <f>CI332</f>
        <v>7052.91666874102</v>
      </c>
      <c r="CK331" s="19" t="inlineStr">
        <is>
          <t>FY2027E begins from shares outstanding at 30-Jun-2026 (7,427m; 7,425.5m on the 23-Jul-2026 10-K cover).</t>
        </is>
      </c>
    </row>
    <row r="332" ht="15" customHeight="1" s="251">
      <c r="B332" s="25" t="inlineStr">
        <is>
          <t xml:space="preserve">  Ending shares outstanding (m)</t>
        </is>
      </c>
      <c r="C332" s="34" t="n"/>
      <c r="D332" s="34" t="n"/>
      <c r="E332" s="34" t="n"/>
      <c r="F332" s="34" t="n"/>
      <c r="G332" s="34" t="n"/>
      <c r="H332" s="34" t="n"/>
      <c r="I332" s="34" t="n"/>
      <c r="J332" s="34" t="n"/>
      <c r="K332" s="34" t="n"/>
      <c r="L332" s="34" t="n"/>
      <c r="M332" s="34" t="n"/>
      <c r="N332" s="34" t="n"/>
      <c r="O332" s="34" t="n"/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  <c r="AA332" s="34" t="n"/>
      <c r="AB332" s="34" t="n"/>
      <c r="AC332" s="34" t="n"/>
      <c r="AD332" s="34" t="n"/>
      <c r="AE332" s="34" t="n"/>
      <c r="AF332" s="34" t="n"/>
      <c r="AG332" s="34" t="n"/>
      <c r="AH332" s="34" t="n"/>
      <c r="AI332" s="34" t="n"/>
      <c r="AJ332" s="34" t="n"/>
      <c r="AK332" s="34" t="n"/>
      <c r="AL332" s="34" t="n"/>
      <c r="AM332" s="34" t="n"/>
      <c r="AN332" s="34" t="n"/>
      <c r="AO332" s="34" t="n"/>
      <c r="AP332" s="34" t="n"/>
      <c r="AQ332" s="34" t="n"/>
      <c r="AR332" s="34" t="n"/>
      <c r="AS332" s="34" t="n"/>
      <c r="AT332" s="34" t="n"/>
      <c r="AU332" s="34" t="n"/>
      <c r="AV332" s="34" t="n"/>
      <c r="AW332" s="34" t="n"/>
      <c r="AX332" s="34" t="n"/>
      <c r="AY332" s="34" t="n"/>
      <c r="AZ332" s="34" t="n"/>
      <c r="BA332" s="34" t="n"/>
      <c r="BB332" s="34" t="n"/>
      <c r="BC332" s="34" t="n"/>
      <c r="BD332" s="34" t="n"/>
      <c r="BE332" s="34" t="n"/>
      <c r="BF332" s="34" t="n"/>
      <c r="BG332" s="34" t="n"/>
      <c r="BH332" s="34" t="n"/>
      <c r="BI332" s="34" t="n"/>
      <c r="BJ332" s="34" t="n"/>
      <c r="BK332" s="34" t="n"/>
      <c r="BL332" s="34" t="n"/>
      <c r="BM332" s="34" t="n"/>
      <c r="BN332" s="34" t="n"/>
      <c r="BO332" s="34" t="n"/>
      <c r="BP332" s="34" t="n"/>
      <c r="BQ332" s="34" t="n"/>
      <c r="BR332" s="34" t="n"/>
      <c r="BS332" s="34" t="n"/>
      <c r="BT332" s="34" t="n"/>
      <c r="BU332" s="34" t="n"/>
      <c r="BV332" s="34" t="n"/>
      <c r="BW332" s="34" t="n"/>
      <c r="BX332" s="34" t="n"/>
      <c r="BY332" s="34" t="n"/>
      <c r="BZ332" s="34" t="n"/>
      <c r="CA332" s="34" t="n"/>
      <c r="CB332" s="35" t="n"/>
      <c r="CC332" s="35" t="n"/>
      <c r="CD332" s="35" t="n"/>
      <c r="CE332" s="35" t="n"/>
      <c r="CF332" s="285">
        <f>CF331-CF329+CF330</f>
        <v>7417.45644312929</v>
      </c>
      <c r="CG332" s="285">
        <f>CG331-CG329+CG330</f>
        <v>7349.47064011687</v>
      </c>
      <c r="CH332" s="285">
        <f>CH331-CH329+CH330</f>
        <v>7230.5468423677</v>
      </c>
      <c r="CI332" s="285">
        <f>CI331-CI329+CI330</f>
        <v>7052.91666874102</v>
      </c>
      <c r="CJ332" s="285">
        <f>CJ331-CJ329+CJ330</f>
        <v>6839.88443180246</v>
      </c>
      <c r="CK332" s="19" t="n"/>
    </row>
    <row r="333" ht="15" customHeight="1" s="251">
      <c r="B333" s="25" t="inlineStr">
        <is>
          <t xml:space="preserve">  % of shares repurchased</t>
        </is>
      </c>
      <c r="C333" s="36" t="n"/>
      <c r="D333" s="3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  <c r="AU333" s="36" t="n"/>
      <c r="AV333" s="36" t="n"/>
      <c r="AW333" s="36" t="n"/>
      <c r="AX333" s="36" t="n"/>
      <c r="AY333" s="36" t="n"/>
      <c r="AZ333" s="36" t="n"/>
      <c r="BA333" s="36" t="n"/>
      <c r="BB333" s="36" t="n"/>
      <c r="BC333" s="36" t="n"/>
      <c r="BD333" s="36" t="n"/>
      <c r="BE333" s="36" t="n"/>
      <c r="BF333" s="36" t="n"/>
      <c r="BG333" s="36" t="n"/>
      <c r="BH333" s="36" t="n"/>
      <c r="BI333" s="36" t="n"/>
      <c r="BJ333" s="36" t="n"/>
      <c r="BK333" s="36" t="n"/>
      <c r="BL333" s="36" t="n"/>
      <c r="BM333" s="36" t="n"/>
      <c r="BN333" s="36" t="n"/>
      <c r="BO333" s="36" t="n"/>
      <c r="BP333" s="36" t="n"/>
      <c r="BQ333" s="36" t="n"/>
      <c r="BR333" s="36" t="n"/>
      <c r="BS333" s="36" t="n"/>
      <c r="BT333" s="36" t="n"/>
      <c r="BU333" s="36" t="n"/>
      <c r="BV333" s="36" t="n"/>
      <c r="BW333" s="36" t="n"/>
      <c r="BX333" s="36" t="n"/>
      <c r="BY333" s="36" t="n"/>
      <c r="BZ333" s="36" t="n"/>
      <c r="CA333" s="36" t="n"/>
      <c r="CB333" s="24" t="n"/>
      <c r="CC333" s="24" t="n"/>
      <c r="CD333" s="24" t="n"/>
      <c r="CE333" s="24" t="n"/>
      <c r="CF333" s="256">
        <f>IF(AND(ISNUMBER(CF329),ISNUMBER(CF331)),IFERROR(CF329/CF331,""),"")</f>
        <v>0.00532429741089435</v>
      </c>
      <c r="CG333" s="256">
        <f>IF(AND(ISNUMBER(CG329),ISNUMBER(CG331)),IFERROR(CG329/CG331,""),"")</f>
        <v>0.0132101622387255</v>
      </c>
      <c r="CH333" s="256">
        <f>IF(AND(ISNUMBER(CH329),ISNUMBER(CH331)),IFERROR(CH329/CH331,""),"")</f>
        <v>0.0202632005815872</v>
      </c>
      <c r="CI333" s="256">
        <f>IF(AND(ISNUMBER(CI329),ISNUMBER(CI331)),IFERROR(CI329/CI331,""),"")</f>
        <v>0.0287156944216244</v>
      </c>
      <c r="CJ333" s="256">
        <f>IF(AND(ISNUMBER(CJ329),ISNUMBER(CJ331)),IFERROR(CJ329/CJ331,""),"")</f>
        <v>0.0344584018716258</v>
      </c>
      <c r="CK333" s="153" t="n"/>
    </row>
    <row r="334" ht="15" customHeight="1" s="251">
      <c r="B334" s="156" t="inlineStr">
        <is>
          <t xml:space="preserve">  Memo: cumulative shares repurchased from FY2027E (m)</t>
        </is>
      </c>
      <c r="C334" s="34" t="n"/>
      <c r="D334" s="34" t="n"/>
      <c r="E334" s="34" t="n"/>
      <c r="F334" s="34" t="n"/>
      <c r="G334" s="34" t="n"/>
      <c r="H334" s="34" t="n"/>
      <c r="I334" s="34" t="n"/>
      <c r="J334" s="34" t="n"/>
      <c r="K334" s="34" t="n"/>
      <c r="L334" s="34" t="n"/>
      <c r="M334" s="34" t="n"/>
      <c r="N334" s="34" t="n"/>
      <c r="O334" s="34" t="n"/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  <c r="AA334" s="34" t="n"/>
      <c r="AB334" s="34" t="n"/>
      <c r="AC334" s="34" t="n"/>
      <c r="AD334" s="34" t="n"/>
      <c r="AE334" s="34" t="n"/>
      <c r="AF334" s="34" t="n"/>
      <c r="AG334" s="34" t="n"/>
      <c r="AH334" s="34" t="n"/>
      <c r="AI334" s="34" t="n"/>
      <c r="AJ334" s="34" t="n"/>
      <c r="AK334" s="34" t="n"/>
      <c r="AL334" s="34" t="n"/>
      <c r="AM334" s="34" t="n"/>
      <c r="AN334" s="34" t="n"/>
      <c r="AO334" s="34" t="n"/>
      <c r="AP334" s="34" t="n"/>
      <c r="AQ334" s="34" t="n"/>
      <c r="AR334" s="34" t="n"/>
      <c r="AS334" s="34" t="n"/>
      <c r="AT334" s="34" t="n"/>
      <c r="AU334" s="34" t="n"/>
      <c r="AV334" s="34" t="n"/>
      <c r="AW334" s="34" t="n"/>
      <c r="AX334" s="34" t="n"/>
      <c r="AY334" s="34" t="n"/>
      <c r="AZ334" s="34" t="n"/>
      <c r="BA334" s="34" t="n"/>
      <c r="BB334" s="34" t="n"/>
      <c r="BC334" s="34" t="n"/>
      <c r="BD334" s="34" t="n"/>
      <c r="BE334" s="34" t="n"/>
      <c r="BF334" s="34" t="n"/>
      <c r="BG334" s="34" t="n"/>
      <c r="BH334" s="34" t="n"/>
      <c r="BI334" s="34" t="n"/>
      <c r="BJ334" s="34" t="n"/>
      <c r="BK334" s="34" t="n"/>
      <c r="BL334" s="34" t="n"/>
      <c r="BM334" s="34" t="n"/>
      <c r="BN334" s="34" t="n"/>
      <c r="BO334" s="34" t="n"/>
      <c r="BP334" s="34" t="n"/>
      <c r="BQ334" s="34" t="n"/>
      <c r="BR334" s="34" t="n"/>
      <c r="BS334" s="34" t="n"/>
      <c r="BT334" s="34" t="n"/>
      <c r="BU334" s="34" t="n"/>
      <c r="BV334" s="34" t="n"/>
      <c r="BW334" s="34" t="n"/>
      <c r="BX334" s="34" t="n"/>
      <c r="BY334" s="34" t="n"/>
      <c r="BZ334" s="34" t="n"/>
      <c r="CA334" s="34" t="n"/>
      <c r="CB334" s="153" t="n"/>
      <c r="CC334" s="153" t="n"/>
      <c r="CD334" s="153" t="n"/>
      <c r="CE334" s="153" t="n"/>
      <c r="CF334" s="286">
        <f>CF329</f>
        <v>39.5435568707123</v>
      </c>
      <c r="CG334" s="286">
        <f>CF334+CG329</f>
        <v>137.52935988313</v>
      </c>
      <c r="CH334" s="286">
        <f>CG334+CH329</f>
        <v>286.453157632304</v>
      </c>
      <c r="CI334" s="286">
        <f>CH334+CI329</f>
        <v>494.083331258976</v>
      </c>
      <c r="CJ334" s="286">
        <f>CI334+CJ329</f>
        <v>737.115568197543</v>
      </c>
      <c r="CK334" s="153" t="n"/>
    </row>
    <row r="335" ht="15" customHeight="1" s="251">
      <c r="CS335" s="11" t="n"/>
      <c r="CT335" s="12" t="n"/>
      <c r="CU335" s="12" t="n"/>
      <c r="CV335" s="12" t="n"/>
      <c r="CW335" s="13" t="n"/>
    </row>
    <row r="336" ht="15" customHeight="1" s="251">
      <c r="B336" s="10" t="inlineStr">
        <is>
          <t>BALANCE SHEETS (condensed)</t>
        </is>
      </c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  <c r="AD336" s="10" t="n"/>
      <c r="AE336" s="10" t="n"/>
      <c r="AF336" s="10" t="n"/>
      <c r="AG336" s="10" t="n"/>
      <c r="AH336" s="10" t="n"/>
      <c r="AI336" s="10" t="n"/>
      <c r="AJ336" s="10" t="n"/>
      <c r="AK336" s="10" t="n"/>
      <c r="AL336" s="10" t="n"/>
      <c r="AM336" s="10" t="n"/>
      <c r="AN336" s="10" t="n"/>
      <c r="AO336" s="10" t="n"/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0" t="n"/>
      <c r="BC336" s="10" t="n"/>
      <c r="BD336" s="10" t="n"/>
      <c r="BE336" s="10" t="n"/>
      <c r="BF336" s="10" t="n"/>
      <c r="BG336" s="10" t="n"/>
      <c r="BH336" s="10" t="n"/>
      <c r="BI336" s="10" t="n"/>
      <c r="BJ336" s="10" t="n"/>
      <c r="BK336" s="10" t="n"/>
      <c r="BL336" s="10" t="n"/>
      <c r="BM336" s="10" t="n"/>
      <c r="BN336" s="10" t="n"/>
      <c r="BO336" s="10" t="n"/>
      <c r="BP336" s="10" t="n"/>
      <c r="BQ336" s="10" t="n"/>
      <c r="BR336" s="10" t="n"/>
      <c r="BS336" s="10" t="n"/>
      <c r="BT336" s="10" t="n"/>
      <c r="BU336" s="10" t="n"/>
      <c r="BV336" s="10" t="n"/>
      <c r="BW336" s="10" t="n"/>
      <c r="BX336" s="10" t="n"/>
      <c r="BY336" s="10" t="n"/>
      <c r="BZ336" s="10" t="n"/>
      <c r="CA336" s="10" t="n"/>
      <c r="CB336" s="10" t="n"/>
      <c r="CC336" s="10" t="n"/>
      <c r="CD336" s="10" t="n"/>
      <c r="CE336" s="10" t="n"/>
      <c r="CF336" s="10" t="n"/>
      <c r="CG336" s="10" t="n"/>
      <c r="CH336" s="10" t="n"/>
      <c r="CI336" s="10" t="n"/>
      <c r="CJ336" s="10" t="n"/>
      <c r="CK336" s="10" t="inlineStr">
        <is>
          <t>BS FORECAST — fiscal year ends; FY2027E from the 30-Jun-2026 balance sheet</t>
        </is>
      </c>
    </row>
    <row r="337" ht="15" customHeight="1" s="251">
      <c r="B337" s="25" t="inlineStr">
        <is>
          <t>ASSETS</t>
        </is>
      </c>
      <c r="CK337" s="153" t="n"/>
    </row>
    <row r="338" ht="15" customHeight="1" s="251">
      <c r="B338" s="25" t="inlineStr">
        <is>
          <t xml:space="preserve">  Cash and cash equivalents</t>
        </is>
      </c>
      <c r="C338" s="253" t="n">
        <v>6714</v>
      </c>
      <c r="D338" s="253" t="n">
        <v>6111</v>
      </c>
      <c r="E338" s="253" t="n">
        <v>10339</v>
      </c>
      <c r="F338" s="253" t="n">
        <v>6076</v>
      </c>
      <c r="G338" s="253" t="n">
        <v>5505</v>
      </c>
      <c r="H338" s="253" t="n">
        <v>9610</v>
      </c>
      <c r="I338" s="253" t="n">
        <v>6938</v>
      </c>
      <c r="J338" s="253" t="n">
        <v>5036</v>
      </c>
      <c r="K338" s="253" t="n">
        <v>6017</v>
      </c>
      <c r="L338" s="253" t="n">
        <v>5240</v>
      </c>
      <c r="M338" s="253" t="n">
        <v>3804</v>
      </c>
      <c r="N338" s="253" t="n">
        <v>3804</v>
      </c>
      <c r="O338" s="253" t="n">
        <v>4023</v>
      </c>
      <c r="P338" s="253" t="n">
        <v>10059</v>
      </c>
      <c r="Q338" s="253" t="n">
        <v>11572</v>
      </c>
      <c r="R338" s="253" t="n">
        <v>8669</v>
      </c>
      <c r="S338" s="253" t="n">
        <v>8669</v>
      </c>
      <c r="T338" s="253" t="n">
        <v>6302</v>
      </c>
      <c r="U338" s="253" t="n">
        <v>6426</v>
      </c>
      <c r="V338" s="253" t="n">
        <v>7414</v>
      </c>
      <c r="W338" s="253" t="n">
        <v>5595</v>
      </c>
      <c r="X338" s="253" t="n">
        <v>5595</v>
      </c>
      <c r="Y338" s="253" t="n">
        <v>5431</v>
      </c>
      <c r="Z338" s="253" t="n">
        <v>7185</v>
      </c>
      <c r="AA338" s="253" t="n">
        <v>7170</v>
      </c>
      <c r="AB338" s="253" t="n">
        <v>6510</v>
      </c>
      <c r="AC338" s="253" t="n">
        <v>6510</v>
      </c>
      <c r="AD338" s="253" t="n">
        <v>13928</v>
      </c>
      <c r="AE338" s="253" t="n">
        <v>8468</v>
      </c>
      <c r="AF338" s="253" t="n">
        <v>6713</v>
      </c>
      <c r="AG338" s="253" t="n">
        <v>7663</v>
      </c>
      <c r="AH338" s="253" t="n">
        <v>7663</v>
      </c>
      <c r="AI338" s="253" t="n">
        <v>6884</v>
      </c>
      <c r="AJ338" s="253" t="n">
        <v>12859</v>
      </c>
      <c r="AK338" s="253" t="n">
        <v>9221</v>
      </c>
      <c r="AL338" s="253" t="n">
        <v>11946</v>
      </c>
      <c r="AM338" s="253" t="n">
        <v>11946</v>
      </c>
      <c r="AN338" s="253" t="n">
        <v>15137</v>
      </c>
      <c r="AO338" s="253" t="n">
        <v>6638</v>
      </c>
      <c r="AP338" s="253" t="n">
        <v>11212</v>
      </c>
      <c r="AQ338" s="253" t="n">
        <v>11356</v>
      </c>
      <c r="AR338" s="253" t="n">
        <v>11356</v>
      </c>
      <c r="AS338" s="253" t="n">
        <v>13117</v>
      </c>
      <c r="AT338" s="253" t="n">
        <v>8864</v>
      </c>
      <c r="AU338" s="253" t="n">
        <v>11710</v>
      </c>
      <c r="AV338" s="253" t="n">
        <v>13576</v>
      </c>
      <c r="AW338" s="253" t="n">
        <v>13576</v>
      </c>
      <c r="AX338" s="253" t="n">
        <v>17205</v>
      </c>
      <c r="AY338" s="253" t="n">
        <v>14432</v>
      </c>
      <c r="AZ338" s="253" t="n">
        <v>13702</v>
      </c>
      <c r="BA338" s="253" t="n">
        <v>14224</v>
      </c>
      <c r="BB338" s="253" t="n">
        <v>14224</v>
      </c>
      <c r="BC338" s="253" t="n">
        <v>19165</v>
      </c>
      <c r="BD338" s="253" t="n">
        <v>20604</v>
      </c>
      <c r="BE338" s="253" t="n">
        <v>12498</v>
      </c>
      <c r="BF338" s="253" t="n">
        <v>13931</v>
      </c>
      <c r="BG338" s="253" t="n">
        <v>13931</v>
      </c>
      <c r="BH338" s="253" t="n">
        <v>22884</v>
      </c>
      <c r="BI338" s="253" t="n">
        <v>15646</v>
      </c>
      <c r="BJ338" s="253" t="n">
        <v>26562</v>
      </c>
      <c r="BK338" s="253" t="n">
        <v>34704</v>
      </c>
      <c r="BL338" s="253" t="n">
        <v>34704</v>
      </c>
      <c r="BM338" s="253" t="n">
        <v>80452</v>
      </c>
      <c r="BN338" s="253" t="n">
        <v>17305</v>
      </c>
      <c r="BO338" s="253" t="n">
        <v>19634</v>
      </c>
      <c r="BP338" s="253" t="n">
        <v>18315</v>
      </c>
      <c r="BQ338" s="253" t="n">
        <v>18315</v>
      </c>
      <c r="BR338" s="253" t="n">
        <v>20840</v>
      </c>
      <c r="BS338" s="253" t="n">
        <v>17482</v>
      </c>
      <c r="BT338" s="253" t="n">
        <v>28828</v>
      </c>
      <c r="BU338" s="253" t="n">
        <v>30242</v>
      </c>
      <c r="BV338" s="253" t="n">
        <v>30242</v>
      </c>
      <c r="BW338" s="253" t="n">
        <v>28849</v>
      </c>
      <c r="BX338" s="253" t="n">
        <v>24296</v>
      </c>
      <c r="BY338" s="253" t="n">
        <v>32105</v>
      </c>
      <c r="BZ338" s="253" t="n">
        <v>20935</v>
      </c>
      <c r="CA338" s="253" t="n">
        <v>20935</v>
      </c>
      <c r="CB338" s="35" t="n"/>
      <c r="CC338" s="35" t="n"/>
      <c r="CD338" s="35" t="n"/>
      <c r="CE338" s="35" t="n"/>
      <c r="CF338" s="254">
        <f>CF310</f>
        <v>14092</v>
      </c>
      <c r="CG338" s="254">
        <f>CG310</f>
        <v>14092</v>
      </c>
      <c r="CH338" s="254">
        <f>CH310</f>
        <v>14092</v>
      </c>
      <c r="CI338" s="254">
        <f>CI310</f>
        <v>14092</v>
      </c>
      <c r="CJ338" s="254">
        <f>CJ310</f>
        <v>14092</v>
      </c>
      <c r="CK338" s="19" t="n"/>
    </row>
    <row r="339" ht="15" customHeight="1" s="251">
      <c r="B339" s="25" t="inlineStr">
        <is>
          <t xml:space="preserve">  Short-term investments</t>
        </is>
      </c>
      <c r="C339" s="253" t="n">
        <v>27447</v>
      </c>
      <c r="D339" s="253" t="n">
        <v>17300</v>
      </c>
      <c r="E339" s="253" t="n">
        <v>13323</v>
      </c>
      <c r="F339" s="253" t="n">
        <v>25371</v>
      </c>
      <c r="G339" s="253" t="n">
        <v>31283</v>
      </c>
      <c r="H339" s="253" t="n">
        <v>43162</v>
      </c>
      <c r="I339" s="253" t="n">
        <v>56102</v>
      </c>
      <c r="J339" s="253" t="n">
        <v>61608</v>
      </c>
      <c r="K339" s="253" t="n">
        <v>62295</v>
      </c>
      <c r="L339" s="253" t="n">
        <v>69243</v>
      </c>
      <c r="M339" s="253" t="n">
        <v>73218</v>
      </c>
      <c r="N339" s="253" t="n">
        <v>73218</v>
      </c>
      <c r="O339" s="253" t="n">
        <v>76649</v>
      </c>
      <c r="P339" s="253" t="n">
        <v>73885</v>
      </c>
      <c r="Q339" s="253" t="n">
        <v>76853</v>
      </c>
      <c r="R339" s="253" t="n">
        <v>77040</v>
      </c>
      <c r="S339" s="253" t="n">
        <v>77040</v>
      </c>
      <c r="T339" s="253" t="n">
        <v>82891</v>
      </c>
      <c r="U339" s="253" t="n">
        <v>83823</v>
      </c>
      <c r="V339" s="253" t="n">
        <v>88024</v>
      </c>
      <c r="W339" s="253" t="n">
        <v>90931</v>
      </c>
      <c r="X339" s="253" t="n">
        <v>90931</v>
      </c>
      <c r="Y339" s="253" t="n">
        <v>93924</v>
      </c>
      <c r="Z339" s="253" t="n">
        <v>95455</v>
      </c>
      <c r="AA339" s="253" t="n">
        <v>98382</v>
      </c>
      <c r="AB339" s="253" t="n">
        <v>106730</v>
      </c>
      <c r="AC339" s="253" t="n">
        <v>106730</v>
      </c>
      <c r="AD339" s="253" t="n">
        <v>123004</v>
      </c>
      <c r="AE339" s="253" t="n">
        <v>114313</v>
      </c>
      <c r="AF339" s="253" t="n">
        <v>119305</v>
      </c>
      <c r="AG339" s="253" t="n">
        <v>125318</v>
      </c>
      <c r="AH339" s="253" t="n">
        <v>125318</v>
      </c>
      <c r="AI339" s="253" t="n">
        <v>131587</v>
      </c>
      <c r="AJ339" s="253" t="n">
        <v>129921</v>
      </c>
      <c r="AK339" s="253" t="n">
        <v>123049</v>
      </c>
      <c r="AL339" s="253" t="n">
        <v>121822</v>
      </c>
      <c r="AM339" s="253" t="n">
        <v>121822</v>
      </c>
      <c r="AN339" s="253" t="n">
        <v>120743</v>
      </c>
      <c r="AO339" s="253" t="n">
        <v>121024</v>
      </c>
      <c r="AP339" s="253" t="n">
        <v>120406</v>
      </c>
      <c r="AQ339" s="253" t="n">
        <v>122463</v>
      </c>
      <c r="AR339" s="253" t="n">
        <v>122463</v>
      </c>
      <c r="AS339" s="253" t="n">
        <v>123519</v>
      </c>
      <c r="AT339" s="253" t="n">
        <v>125389</v>
      </c>
      <c r="AU339" s="253" t="n">
        <v>125916</v>
      </c>
      <c r="AV339" s="253" t="n">
        <v>122951</v>
      </c>
      <c r="AW339" s="253" t="n">
        <v>122951</v>
      </c>
      <c r="AX339" s="253" t="n">
        <v>120772</v>
      </c>
      <c r="AY339" s="253" t="n">
        <v>117536</v>
      </c>
      <c r="AZ339" s="253" t="n">
        <v>111705</v>
      </c>
      <c r="BA339" s="253" t="n">
        <v>116110</v>
      </c>
      <c r="BB339" s="253" t="n">
        <v>116110</v>
      </c>
      <c r="BC339" s="253" t="n">
        <v>111450</v>
      </c>
      <c r="BD339" s="253" t="n">
        <v>104765</v>
      </c>
      <c r="BE339" s="253" t="n">
        <v>92195</v>
      </c>
      <c r="BF339" s="253" t="n">
        <v>90826</v>
      </c>
      <c r="BG339" s="253" t="n">
        <v>90826</v>
      </c>
      <c r="BH339" s="253" t="n">
        <v>84378</v>
      </c>
      <c r="BI339" s="253" t="n">
        <v>83862</v>
      </c>
      <c r="BJ339" s="253" t="n">
        <v>77865</v>
      </c>
      <c r="BK339" s="253" t="n">
        <v>76558</v>
      </c>
      <c r="BL339" s="253" t="n">
        <v>76558</v>
      </c>
      <c r="BM339" s="253" t="n">
        <v>63499</v>
      </c>
      <c r="BN339" s="253" t="n">
        <v>63712</v>
      </c>
      <c r="BO339" s="253" t="n">
        <v>60387</v>
      </c>
      <c r="BP339" s="253" t="n">
        <v>57228</v>
      </c>
      <c r="BQ339" s="253" t="n">
        <v>57228</v>
      </c>
      <c r="BR339" s="253" t="n">
        <v>57588</v>
      </c>
      <c r="BS339" s="253" t="n">
        <v>54073</v>
      </c>
      <c r="BT339" s="253" t="n">
        <v>50790</v>
      </c>
      <c r="BU339" s="253" t="n">
        <v>64323</v>
      </c>
      <c r="BV339" s="253" t="n">
        <v>64323</v>
      </c>
      <c r="BW339" s="253" t="n">
        <v>73163</v>
      </c>
      <c r="BX339" s="253" t="n">
        <v>65166</v>
      </c>
      <c r="BY339" s="253" t="n">
        <v>46167</v>
      </c>
      <c r="BZ339" s="253" t="n">
        <v>55908</v>
      </c>
      <c r="CA339" s="253" t="n">
        <v>55908</v>
      </c>
      <c r="CB339" s="35" t="n"/>
      <c r="CC339" s="35" t="n"/>
      <c r="CD339" s="35" t="n"/>
      <c r="CE339" s="35" t="n"/>
      <c r="CF339" s="254">
        <f>CA339</f>
        <v>55908</v>
      </c>
      <c r="CG339" s="254">
        <f>CF339</f>
        <v>55908</v>
      </c>
      <c r="CH339" s="254">
        <f>CG339</f>
        <v>55908</v>
      </c>
      <c r="CI339" s="254">
        <f>CH339</f>
        <v>55908</v>
      </c>
      <c r="CJ339" s="254">
        <f>CI339</f>
        <v>55908</v>
      </c>
      <c r="CK339" s="19" t="n"/>
    </row>
    <row r="340" ht="15" customHeight="1" s="251">
      <c r="B340" s="25" t="inlineStr">
        <is>
          <t xml:space="preserve">  Accounts receivable, net</t>
        </is>
      </c>
      <c r="C340" s="253" t="n">
        <v>9316</v>
      </c>
      <c r="D340" s="253" t="n">
        <v>11338</v>
      </c>
      <c r="E340" s="253" t="n">
        <v>13589</v>
      </c>
      <c r="F340" s="253" t="n">
        <v>11192</v>
      </c>
      <c r="G340" s="253" t="n">
        <v>13014</v>
      </c>
      <c r="H340" s="253" t="n">
        <v>14987</v>
      </c>
      <c r="I340" s="253" t="n">
        <v>15780</v>
      </c>
      <c r="J340" s="253" t="n">
        <v>9871</v>
      </c>
      <c r="K340" s="253" t="n">
        <v>14317</v>
      </c>
      <c r="L340" s="253" t="n">
        <v>11991</v>
      </c>
      <c r="M340" s="253" t="n">
        <v>17486</v>
      </c>
      <c r="N340" s="253" t="n">
        <v>17486</v>
      </c>
      <c r="O340" s="253" t="n">
        <v>11007</v>
      </c>
      <c r="P340" s="253" t="n">
        <v>15986</v>
      </c>
      <c r="Q340" s="253" t="n">
        <v>13497</v>
      </c>
      <c r="R340" s="253" t="n">
        <v>19544</v>
      </c>
      <c r="S340" s="253" t="n">
        <v>19544</v>
      </c>
      <c r="T340" s="253" t="n">
        <v>12887</v>
      </c>
      <c r="U340" s="253" t="n">
        <v>16186</v>
      </c>
      <c r="V340" s="253" t="n">
        <v>12427</v>
      </c>
      <c r="W340" s="253" t="n">
        <v>17908</v>
      </c>
      <c r="X340" s="253" t="n">
        <v>17908</v>
      </c>
      <c r="Y340" s="253" t="n">
        <v>11444</v>
      </c>
      <c r="Z340" s="253" t="n">
        <v>14507</v>
      </c>
      <c r="AA340" s="253" t="n">
        <v>12247</v>
      </c>
      <c r="AB340" s="253" t="n">
        <v>18277</v>
      </c>
      <c r="AC340" s="253" t="n">
        <v>18277</v>
      </c>
      <c r="AD340" s="253" t="n">
        <v>11129</v>
      </c>
      <c r="AE340" s="253" t="n">
        <v>14343</v>
      </c>
      <c r="AF340" s="253" t="n">
        <v>12882</v>
      </c>
      <c r="AG340" s="253" t="n">
        <v>19792</v>
      </c>
      <c r="AH340" s="253" t="n">
        <v>19792</v>
      </c>
      <c r="AI340" s="253" t="n">
        <v>14561</v>
      </c>
      <c r="AJ340" s="253" t="n">
        <v>18428</v>
      </c>
      <c r="AK340" s="253" t="n">
        <v>17208</v>
      </c>
      <c r="AL340" s="253" t="n">
        <v>26481</v>
      </c>
      <c r="AM340" s="253" t="n">
        <v>26481</v>
      </c>
      <c r="AN340" s="253" t="n">
        <v>17390</v>
      </c>
      <c r="AO340" s="253" t="n">
        <v>19680</v>
      </c>
      <c r="AP340" s="253" t="n">
        <v>19269</v>
      </c>
      <c r="AQ340" s="253" t="n">
        <v>29524</v>
      </c>
      <c r="AR340" s="253" t="n">
        <v>29524</v>
      </c>
      <c r="AS340" s="253" t="n">
        <v>19087</v>
      </c>
      <c r="AT340" s="253" t="n">
        <v>23525</v>
      </c>
      <c r="AU340" s="253" t="n">
        <v>22699</v>
      </c>
      <c r="AV340" s="253" t="n">
        <v>32011</v>
      </c>
      <c r="AW340" s="253" t="n">
        <v>32011</v>
      </c>
      <c r="AX340" s="253" t="n">
        <v>22851</v>
      </c>
      <c r="AY340" s="253" t="n">
        <v>27312</v>
      </c>
      <c r="AZ340" s="253" t="n">
        <v>26322</v>
      </c>
      <c r="BA340" s="253" t="n">
        <v>38043</v>
      </c>
      <c r="BB340" s="253" t="n">
        <v>38043</v>
      </c>
      <c r="BC340" s="253" t="n">
        <v>27349</v>
      </c>
      <c r="BD340" s="253" t="n">
        <v>33520</v>
      </c>
      <c r="BE340" s="253" t="n">
        <v>32613</v>
      </c>
      <c r="BF340" s="253" t="n">
        <v>44261</v>
      </c>
      <c r="BG340" s="253" t="n">
        <v>44261</v>
      </c>
      <c r="BH340" s="253" t="n">
        <v>31279</v>
      </c>
      <c r="BI340" s="253" t="n">
        <v>35833</v>
      </c>
      <c r="BJ340" s="253" t="n">
        <v>37420</v>
      </c>
      <c r="BK340" s="253" t="n">
        <v>48688</v>
      </c>
      <c r="BL340" s="253" t="n">
        <v>48688</v>
      </c>
      <c r="BM340" s="253" t="n">
        <v>36953</v>
      </c>
      <c r="BN340" s="253" t="n">
        <v>42831</v>
      </c>
      <c r="BO340" s="253" t="n">
        <v>44029</v>
      </c>
      <c r="BP340" s="253" t="n">
        <v>56924</v>
      </c>
      <c r="BQ340" s="253" t="n">
        <v>56924</v>
      </c>
      <c r="BR340" s="253" t="n">
        <v>44148</v>
      </c>
      <c r="BS340" s="253" t="n">
        <v>48188</v>
      </c>
      <c r="BT340" s="253" t="n">
        <v>51700</v>
      </c>
      <c r="BU340" s="253" t="n">
        <v>69905</v>
      </c>
      <c r="BV340" s="253" t="n">
        <v>69905</v>
      </c>
      <c r="BW340" s="253" t="n">
        <v>52894</v>
      </c>
      <c r="BX340" s="253" t="n">
        <v>56535</v>
      </c>
      <c r="BY340" s="253" t="n">
        <v>60041</v>
      </c>
      <c r="BZ340" s="253" t="n">
        <v>80876</v>
      </c>
      <c r="CA340" s="253" t="n">
        <v>80876</v>
      </c>
      <c r="CB340" s="35" t="n"/>
      <c r="CC340" s="35" t="n"/>
      <c r="CD340" s="35" t="n"/>
      <c r="CE340" s="35" t="n"/>
      <c r="CF340" s="254">
        <f>CF369*CF370/365</f>
        <v>94880.4182383832</v>
      </c>
      <c r="CG340" s="254">
        <f>CG369*CG370/365</f>
        <v>111044.390972262</v>
      </c>
      <c r="CH340" s="254">
        <f>CH369*CH370/365</f>
        <v>128470.190951576</v>
      </c>
      <c r="CI340" s="254">
        <f>CI369*CI370/365</f>
        <v>146144.567109064</v>
      </c>
      <c r="CJ340" s="254">
        <f>CJ369*CJ370/365</f>
        <v>163784.130173555</v>
      </c>
      <c r="CK340" s="19" t="n"/>
    </row>
    <row r="341" ht="15" customHeight="1" s="251">
      <c r="B341" s="25" t="inlineStr">
        <is>
          <t xml:space="preserve">  Inventories</t>
        </is>
      </c>
      <c r="C341" s="253" t="n">
        <v>1478</v>
      </c>
      <c r="D341" s="253" t="n">
        <v>1127</v>
      </c>
      <c r="E341" s="253" t="n">
        <v>985</v>
      </c>
      <c r="F341" s="253" t="n">
        <v>717</v>
      </c>
      <c r="G341" s="253" t="n">
        <v>740</v>
      </c>
      <c r="H341" s="253" t="n">
        <v>1372</v>
      </c>
      <c r="I341" s="253" t="n">
        <v>1137</v>
      </c>
      <c r="J341" s="253" t="n">
        <v>1624</v>
      </c>
      <c r="K341" s="253" t="n">
        <v>1661</v>
      </c>
      <c r="L341" s="253" t="n">
        <v>2133</v>
      </c>
      <c r="M341" s="253" t="n">
        <v>1938</v>
      </c>
      <c r="N341" s="253" t="n">
        <v>1938</v>
      </c>
      <c r="O341" s="253" t="n">
        <v>2613</v>
      </c>
      <c r="P341" s="253" t="n">
        <v>1594</v>
      </c>
      <c r="Q341" s="253" t="n">
        <v>1920</v>
      </c>
      <c r="R341" s="253" t="n">
        <v>2660</v>
      </c>
      <c r="S341" s="253" t="n">
        <v>2660</v>
      </c>
      <c r="T341" s="253" t="n">
        <v>3141</v>
      </c>
      <c r="U341" s="253" t="n">
        <v>2053</v>
      </c>
      <c r="V341" s="253" t="n">
        <v>2469</v>
      </c>
      <c r="W341" s="253" t="n">
        <v>2902</v>
      </c>
      <c r="X341" s="253" t="n">
        <v>2902</v>
      </c>
      <c r="Y341" s="253" t="n">
        <v>3816</v>
      </c>
      <c r="Z341" s="253" t="n">
        <v>2702</v>
      </c>
      <c r="AA341" s="253" t="n">
        <v>2450</v>
      </c>
      <c r="AB341" s="253" t="n">
        <v>2251</v>
      </c>
      <c r="AC341" s="253" t="n">
        <v>2251</v>
      </c>
      <c r="AD341" s="253" t="n">
        <v>3122</v>
      </c>
      <c r="AE341" s="253" t="n">
        <v>1961</v>
      </c>
      <c r="AF341" s="253" t="n">
        <v>1979</v>
      </c>
      <c r="AG341" s="253" t="n">
        <v>2181</v>
      </c>
      <c r="AH341" s="253" t="n">
        <v>2181</v>
      </c>
      <c r="AI341" s="253" t="n">
        <v>3211</v>
      </c>
      <c r="AJ341" s="253" t="n">
        <v>2003</v>
      </c>
      <c r="AK341" s="253" t="n">
        <v>2084</v>
      </c>
      <c r="AL341" s="253" t="n">
        <v>2662</v>
      </c>
      <c r="AM341" s="253" t="n">
        <v>2662</v>
      </c>
      <c r="AN341" s="253" t="n">
        <v>3614</v>
      </c>
      <c r="AO341" s="253" t="n">
        <v>1961</v>
      </c>
      <c r="AP341" s="253" t="n">
        <v>1951</v>
      </c>
      <c r="AQ341" s="253" t="n">
        <v>2063</v>
      </c>
      <c r="AR341" s="253" t="n">
        <v>2063</v>
      </c>
      <c r="AS341" s="253" t="n">
        <v>2622</v>
      </c>
      <c r="AT341" s="253" t="n">
        <v>1823</v>
      </c>
      <c r="AU341" s="253" t="n">
        <v>1644</v>
      </c>
      <c r="AV341" s="253" t="n">
        <v>1895</v>
      </c>
      <c r="AW341" s="253" t="n">
        <v>1895</v>
      </c>
      <c r="AX341" s="253" t="n">
        <v>2705</v>
      </c>
      <c r="AY341" s="253" t="n">
        <v>1924</v>
      </c>
      <c r="AZ341" s="253" t="n">
        <v>2245</v>
      </c>
      <c r="BA341" s="253" t="n">
        <v>2636</v>
      </c>
      <c r="BB341" s="253" t="n">
        <v>2636</v>
      </c>
      <c r="BC341" s="253" t="n">
        <v>3411</v>
      </c>
      <c r="BD341" s="253" t="n">
        <v>3019</v>
      </c>
      <c r="BE341" s="253" t="n">
        <v>3296</v>
      </c>
      <c r="BF341" s="253" t="n">
        <v>3742</v>
      </c>
      <c r="BG341" s="253" t="n">
        <v>3742</v>
      </c>
      <c r="BH341" s="253" t="n">
        <v>4268</v>
      </c>
      <c r="BI341" s="253" t="n">
        <v>2980</v>
      </c>
      <c r="BJ341" s="253" t="n">
        <v>2877</v>
      </c>
      <c r="BK341" s="253" t="n">
        <v>2500</v>
      </c>
      <c r="BL341" s="253" t="n">
        <v>2500</v>
      </c>
      <c r="BM341" s="253" t="n">
        <v>3000</v>
      </c>
      <c r="BN341" s="253" t="n">
        <v>1615</v>
      </c>
      <c r="BO341" s="253" t="n">
        <v>1304</v>
      </c>
      <c r="BP341" s="253" t="n">
        <v>1246</v>
      </c>
      <c r="BQ341" s="253" t="n">
        <v>1246</v>
      </c>
      <c r="BR341" s="253" t="n">
        <v>1626</v>
      </c>
      <c r="BS341" s="253" t="n">
        <v>909</v>
      </c>
      <c r="BT341" s="253" t="n">
        <v>848</v>
      </c>
      <c r="BU341" s="253" t="n">
        <v>938</v>
      </c>
      <c r="BV341" s="253" t="n">
        <v>938</v>
      </c>
      <c r="BW341" s="253" t="n">
        <v>1130</v>
      </c>
      <c r="BX341" s="253" t="n">
        <v>1059</v>
      </c>
      <c r="BY341" s="253" t="n">
        <v>1219</v>
      </c>
      <c r="BZ341" s="253" t="n">
        <v>1397</v>
      </c>
      <c r="CA341" s="253" t="n">
        <v>1397</v>
      </c>
      <c r="CB341" s="35" t="n"/>
      <c r="CC341" s="35" t="n"/>
      <c r="CD341" s="35" t="n"/>
      <c r="CE341" s="35" t="n"/>
      <c r="CF341" s="254">
        <f>CA341</f>
        <v>1397</v>
      </c>
      <c r="CG341" s="254">
        <f>CF341</f>
        <v>1397</v>
      </c>
      <c r="CH341" s="254">
        <f>CG341</f>
        <v>1397</v>
      </c>
      <c r="CI341" s="254">
        <f>CH341</f>
        <v>1397</v>
      </c>
      <c r="CJ341" s="254">
        <f>CI341</f>
        <v>1397</v>
      </c>
      <c r="CK341" s="19" t="n"/>
    </row>
    <row r="342" ht="15" customHeight="1" s="251">
      <c r="B342" s="25" t="inlineStr">
        <is>
          <t xml:space="preserve">  Other current assets (incl. deferred taxes to FY2016; derived)</t>
        </is>
      </c>
      <c r="C342" s="253" t="n">
        <v>4055</v>
      </c>
      <c r="D342" s="253" t="n">
        <v>4292</v>
      </c>
      <c r="E342" s="253" t="n">
        <v>5006</v>
      </c>
      <c r="F342" s="253" t="n">
        <v>5924</v>
      </c>
      <c r="G342" s="253" t="n">
        <v>5134</v>
      </c>
      <c r="H342" s="253" t="n">
        <v>5787</v>
      </c>
      <c r="I342" s="253" t="n">
        <v>5127</v>
      </c>
      <c r="J342" s="253" t="n">
        <v>5912</v>
      </c>
      <c r="K342" s="253" t="n">
        <v>5284</v>
      </c>
      <c r="L342" s="253" t="n">
        <v>4917</v>
      </c>
      <c r="M342" s="253" t="n">
        <v>5020</v>
      </c>
      <c r="N342" s="253" t="n">
        <v>5020</v>
      </c>
      <c r="O342" s="253" t="n">
        <v>5158</v>
      </c>
      <c r="P342" s="253" t="n">
        <v>5346</v>
      </c>
      <c r="Q342" s="253" t="n">
        <v>5164</v>
      </c>
      <c r="R342" s="253" t="n">
        <v>6333</v>
      </c>
      <c r="S342" s="253" t="n">
        <v>6333</v>
      </c>
      <c r="T342" s="253" t="n">
        <v>7218</v>
      </c>
      <c r="U342" s="253" t="n">
        <v>7874</v>
      </c>
      <c r="V342" s="253" t="n">
        <v>8064</v>
      </c>
      <c r="W342" s="253" t="n">
        <v>7376</v>
      </c>
      <c r="X342" s="253" t="n">
        <v>7376</v>
      </c>
      <c r="Y342" s="253" t="n">
        <v>7041</v>
      </c>
      <c r="Z342" s="253" t="n">
        <v>7963</v>
      </c>
      <c r="AA342" s="253" t="n">
        <v>8172</v>
      </c>
      <c r="AB342" s="253" t="n">
        <v>5892</v>
      </c>
      <c r="AC342" s="253" t="n">
        <v>5892</v>
      </c>
      <c r="AD342" s="253" t="n">
        <v>6726</v>
      </c>
      <c r="AE342" s="253" t="n">
        <v>5864</v>
      </c>
      <c r="AF342" s="253" t="n">
        <v>5434</v>
      </c>
      <c r="AG342" s="253" t="n">
        <v>4897</v>
      </c>
      <c r="AH342" s="253" t="n">
        <v>4897</v>
      </c>
      <c r="AI342" s="253" t="n">
        <v>4788</v>
      </c>
      <c r="AJ342" s="253" t="n">
        <v>4422</v>
      </c>
      <c r="AK342" s="253" t="n">
        <v>5097</v>
      </c>
      <c r="AL342" s="253" t="n">
        <v>6751</v>
      </c>
      <c r="AM342" s="253" t="n">
        <v>6751</v>
      </c>
      <c r="AN342" s="253" t="n">
        <v>7311</v>
      </c>
      <c r="AO342" s="253" t="n">
        <v>7571</v>
      </c>
      <c r="AP342" s="253" t="n">
        <v>7049</v>
      </c>
      <c r="AQ342" s="253" t="n">
        <v>10146</v>
      </c>
      <c r="AR342" s="253" t="n">
        <v>10146</v>
      </c>
      <c r="AS342" s="253" t="n">
        <v>7551</v>
      </c>
      <c r="AT342" s="253" t="n">
        <v>7473</v>
      </c>
      <c r="AU342" s="253" t="n">
        <v>8536</v>
      </c>
      <c r="AV342" s="253" t="n">
        <v>11482</v>
      </c>
      <c r="AW342" s="253" t="n">
        <v>11482</v>
      </c>
      <c r="AX342" s="253" t="n">
        <v>13544</v>
      </c>
      <c r="AY342" s="253" t="n">
        <v>12769</v>
      </c>
      <c r="AZ342" s="253" t="n">
        <v>11640</v>
      </c>
      <c r="BA342" s="253" t="n">
        <v>13393</v>
      </c>
      <c r="BB342" s="253" t="n">
        <v>13393</v>
      </c>
      <c r="BC342" s="253" t="n">
        <v>12951</v>
      </c>
      <c r="BD342" s="253" t="n">
        <v>12280</v>
      </c>
      <c r="BE342" s="253" t="n">
        <v>13320</v>
      </c>
      <c r="BF342" s="253" t="n">
        <v>16924</v>
      </c>
      <c r="BG342" s="253" t="n">
        <v>16924</v>
      </c>
      <c r="BH342" s="253" t="n">
        <v>18003</v>
      </c>
      <c r="BI342" s="253" t="n">
        <v>19502</v>
      </c>
      <c r="BJ342" s="253" t="n">
        <v>19165</v>
      </c>
      <c r="BK342" s="253" t="n">
        <v>21807</v>
      </c>
      <c r="BL342" s="253" t="n">
        <v>21807</v>
      </c>
      <c r="BM342" s="253" t="n">
        <v>23682</v>
      </c>
      <c r="BN342" s="253" t="n">
        <v>21930</v>
      </c>
      <c r="BO342" s="253" t="n">
        <v>21826</v>
      </c>
      <c r="BP342" s="253" t="n">
        <v>26021</v>
      </c>
      <c r="BQ342" s="253" t="n">
        <v>26021</v>
      </c>
      <c r="BR342" s="253" t="n">
        <v>25724</v>
      </c>
      <c r="BS342" s="253" t="n">
        <v>26428</v>
      </c>
      <c r="BT342" s="253" t="n">
        <v>24478</v>
      </c>
      <c r="BU342" s="253" t="n">
        <v>25723</v>
      </c>
      <c r="BV342" s="253" t="n">
        <v>25723</v>
      </c>
      <c r="BW342" s="253" t="n">
        <v>33030</v>
      </c>
      <c r="BX342" s="253" t="n">
        <v>33134</v>
      </c>
      <c r="BY342" s="253" t="n">
        <v>35797</v>
      </c>
      <c r="BZ342" s="253" t="n">
        <v>48594</v>
      </c>
      <c r="CA342" s="253" t="n">
        <v>48594</v>
      </c>
      <c r="CB342" s="35" t="n"/>
      <c r="CC342" s="35" t="n"/>
      <c r="CD342" s="35" t="n"/>
      <c r="CE342" s="35" t="n"/>
      <c r="CF342" s="254">
        <f>CA342</f>
        <v>48594</v>
      </c>
      <c r="CG342" s="254">
        <f>CF342</f>
        <v>48594</v>
      </c>
      <c r="CH342" s="254">
        <f>CG342</f>
        <v>48594</v>
      </c>
      <c r="CI342" s="254">
        <f>CH342</f>
        <v>48594</v>
      </c>
      <c r="CJ342" s="254">
        <f>CI342</f>
        <v>48594</v>
      </c>
      <c r="CK342" s="19" t="n"/>
    </row>
    <row r="343" ht="15" customHeight="1" s="251">
      <c r="B343" s="16" t="inlineStr">
        <is>
          <t>Total current assets</t>
        </is>
      </c>
      <c r="C343" s="260">
        <f>IF(ISNUMBER(C338),SUM(C338:C342),"")</f>
        <v>49010</v>
      </c>
      <c r="D343" s="260">
        <f>IF(ISNUMBER(D338),SUM(D338:D342),"")</f>
        <v>40168</v>
      </c>
      <c r="E343" s="260">
        <f>IF(ISNUMBER(E338),SUM(E338:E342),"")</f>
        <v>43242</v>
      </c>
      <c r="F343" s="260">
        <f>IF(ISNUMBER(F338),SUM(F338:F342),"")</f>
        <v>49280</v>
      </c>
      <c r="G343" s="260">
        <f>IF(ISNUMBER(G338),SUM(G338:G342),"")</f>
        <v>55676</v>
      </c>
      <c r="H343" s="260">
        <f>IF(ISNUMBER(H338),SUM(H338:H342),"")</f>
        <v>74918</v>
      </c>
      <c r="I343" s="260">
        <f>IF(ISNUMBER(I338),SUM(I338:I342),"")</f>
        <v>85084</v>
      </c>
      <c r="J343" s="260">
        <f>IF(ISNUMBER(J338),SUM(J338:J342),"")</f>
        <v>84051</v>
      </c>
      <c r="K343" s="260">
        <f>IF(ISNUMBER(K338),SUM(K338:K342),"")</f>
        <v>89574</v>
      </c>
      <c r="L343" s="260">
        <f>IF(ISNUMBER(L338),SUM(L338:L342),"")</f>
        <v>93524</v>
      </c>
      <c r="M343" s="260">
        <f>IF(ISNUMBER(M338),SUM(M338:M342),"")</f>
        <v>101466</v>
      </c>
      <c r="N343" s="260">
        <f>IF(ISNUMBER(N338),SUM(N338:N342),"")</f>
        <v>101466</v>
      </c>
      <c r="O343" s="260">
        <f>IF(ISNUMBER(O338),SUM(O338:O342),"")</f>
        <v>99450</v>
      </c>
      <c r="P343" s="260">
        <f>IF(ISNUMBER(P338),SUM(P338:P342),"")</f>
        <v>106870</v>
      </c>
      <c r="Q343" s="260">
        <f>IF(ISNUMBER(Q338),SUM(Q338:Q342),"")</f>
        <v>109006</v>
      </c>
      <c r="R343" s="260">
        <f>IF(ISNUMBER(R338),SUM(R338:R342),"")</f>
        <v>114246</v>
      </c>
      <c r="S343" s="260">
        <f>IF(ISNUMBER(S338),SUM(S338:S342),"")</f>
        <v>114246</v>
      </c>
      <c r="T343" s="260">
        <f>IF(ISNUMBER(T338),SUM(T338:T342),"")</f>
        <v>112439</v>
      </c>
      <c r="U343" s="260">
        <f>IF(ISNUMBER(U338),SUM(U338:U342),"")</f>
        <v>116362</v>
      </c>
      <c r="V343" s="260">
        <f>IF(ISNUMBER(V338),SUM(V338:V342),"")</f>
        <v>118398</v>
      </c>
      <c r="W343" s="260">
        <f>IF(ISNUMBER(W338),SUM(W338:W342),"")</f>
        <v>124712</v>
      </c>
      <c r="X343" s="260">
        <f>IF(ISNUMBER(X338),SUM(X338:X342),"")</f>
        <v>124712</v>
      </c>
      <c r="Y343" s="260">
        <f>IF(ISNUMBER(Y338),SUM(Y338:Y342),"")</f>
        <v>121656</v>
      </c>
      <c r="Z343" s="260">
        <f>IF(ISNUMBER(Z338),SUM(Z338:Z342),"")</f>
        <v>127812</v>
      </c>
      <c r="AA343" s="260">
        <f>IF(ISNUMBER(AA338),SUM(AA338:AA342),"")</f>
        <v>128421</v>
      </c>
      <c r="AB343" s="260">
        <f>IF(ISNUMBER(AB338),SUM(AB338:AB342),"")</f>
        <v>139660</v>
      </c>
      <c r="AC343" s="260">
        <f>IF(ISNUMBER(AC338),SUM(AC338:AC342),"")</f>
        <v>139660</v>
      </c>
      <c r="AD343" s="260">
        <f>IF(ISNUMBER(AD338),SUM(AD338:AD342),"")</f>
        <v>157909</v>
      </c>
      <c r="AE343" s="260">
        <f>IF(ISNUMBER(AE338),SUM(AE338:AE342),"")</f>
        <v>144949</v>
      </c>
      <c r="AF343" s="260">
        <f>IF(ISNUMBER(AF338),SUM(AF338:AF342),"")</f>
        <v>146313</v>
      </c>
      <c r="AG343" s="260">
        <f>IF(ISNUMBER(AG338),SUM(AG338:AG342),"")</f>
        <v>159851</v>
      </c>
      <c r="AH343" s="260">
        <f>IF(ISNUMBER(AH338),SUM(AH338:AH342),"")</f>
        <v>159851</v>
      </c>
      <c r="AI343" s="260">
        <f>IF(ISNUMBER(AI338),SUM(AI338:AI342),"")</f>
        <v>161031</v>
      </c>
      <c r="AJ343" s="260">
        <f>IF(ISNUMBER(AJ338),SUM(AJ338:AJ342),"")</f>
        <v>167633</v>
      </c>
      <c r="AK343" s="260">
        <f>IF(ISNUMBER(AK338),SUM(AK338:AK342),"")</f>
        <v>156659</v>
      </c>
      <c r="AL343" s="260">
        <f>IF(ISNUMBER(AL338),SUM(AL338:AL342),"")</f>
        <v>169662</v>
      </c>
      <c r="AM343" s="260">
        <f>IF(ISNUMBER(AM338),SUM(AM338:AM342),"")</f>
        <v>169662</v>
      </c>
      <c r="AN343" s="260">
        <f>IF(ISNUMBER(AN338),SUM(AN338:AN342),"")</f>
        <v>164195</v>
      </c>
      <c r="AO343" s="260">
        <f>IF(ISNUMBER(AO338),SUM(AO338:AO342),"")</f>
        <v>156874</v>
      </c>
      <c r="AP343" s="260">
        <f>IF(ISNUMBER(AP338),SUM(AP338:AP342),"")</f>
        <v>159887</v>
      </c>
      <c r="AQ343" s="260">
        <f>IF(ISNUMBER(AQ338),SUM(AQ338:AQ342),"")</f>
        <v>175552</v>
      </c>
      <c r="AR343" s="260">
        <f>IF(ISNUMBER(AR338),SUM(AR338:AR342),"")</f>
        <v>175552</v>
      </c>
      <c r="AS343" s="260">
        <f>IF(ISNUMBER(AS338),SUM(AS338:AS342),"")</f>
        <v>165896</v>
      </c>
      <c r="AT343" s="260">
        <f>IF(ISNUMBER(AT338),SUM(AT338:AT342),"")</f>
        <v>167074</v>
      </c>
      <c r="AU343" s="260">
        <f>IF(ISNUMBER(AU338),SUM(AU338:AU342),"")</f>
        <v>170505</v>
      </c>
      <c r="AV343" s="260">
        <f>IF(ISNUMBER(AV338),SUM(AV338:AV342),"")</f>
        <v>181915</v>
      </c>
      <c r="AW343" s="260">
        <f>IF(ISNUMBER(AW338),SUM(AW338:AW342),"")</f>
        <v>181915</v>
      </c>
      <c r="AX343" s="260">
        <f>IF(ISNUMBER(AX338),SUM(AX338:AX342),"")</f>
        <v>177077</v>
      </c>
      <c r="AY343" s="260">
        <f>IF(ISNUMBER(AY338),SUM(AY338:AY342),"")</f>
        <v>173973</v>
      </c>
      <c r="AZ343" s="260">
        <f>IF(ISNUMBER(AZ338),SUM(AZ338:AZ342),"")</f>
        <v>165614</v>
      </c>
      <c r="BA343" s="260">
        <f>IF(ISNUMBER(BA338),SUM(BA338:BA342),"")</f>
        <v>184406</v>
      </c>
      <c r="BB343" s="260">
        <f>IF(ISNUMBER(BB338),SUM(BB338:BB342),"")</f>
        <v>184406</v>
      </c>
      <c r="BC343" s="260">
        <f>IF(ISNUMBER(BC338),SUM(BC338:BC342),"")</f>
        <v>174326</v>
      </c>
      <c r="BD343" s="260">
        <f>IF(ISNUMBER(BD338),SUM(BD338:BD342),"")</f>
        <v>174188</v>
      </c>
      <c r="BE343" s="260">
        <f>IF(ISNUMBER(BE338),SUM(BE338:BE342),"")</f>
        <v>153922</v>
      </c>
      <c r="BF343" s="260">
        <f>IF(ISNUMBER(BF338),SUM(BF338:BF342),"")</f>
        <v>169684</v>
      </c>
      <c r="BG343" s="260">
        <f>IF(ISNUMBER(BG338),SUM(BG338:BG342),"")</f>
        <v>169684</v>
      </c>
      <c r="BH343" s="260">
        <f>IF(ISNUMBER(BH338),SUM(BH338:BH342),"")</f>
        <v>160812</v>
      </c>
      <c r="BI343" s="260">
        <f>IF(ISNUMBER(BI338),SUM(BI338:BI342),"")</f>
        <v>157823</v>
      </c>
      <c r="BJ343" s="260">
        <f>IF(ISNUMBER(BJ338),SUM(BJ338:BJ342),"")</f>
        <v>163889</v>
      </c>
      <c r="BK343" s="260">
        <f>IF(ISNUMBER(BK338),SUM(BK338:BK342),"")</f>
        <v>184257</v>
      </c>
      <c r="BL343" s="260">
        <f>IF(ISNUMBER(BL338),SUM(BL338:BL342),"")</f>
        <v>184257</v>
      </c>
      <c r="BM343" s="260">
        <f>IF(ISNUMBER(BM338),SUM(BM338:BM342),"")</f>
        <v>207586</v>
      </c>
      <c r="BN343" s="260">
        <f>IF(ISNUMBER(BN338),SUM(BN338:BN342),"")</f>
        <v>147393</v>
      </c>
      <c r="BO343" s="260">
        <f>IF(ISNUMBER(BO338),SUM(BO338:BO342),"")</f>
        <v>147180</v>
      </c>
      <c r="BP343" s="260">
        <f>IF(ISNUMBER(BP338),SUM(BP338:BP342),"")</f>
        <v>159734</v>
      </c>
      <c r="BQ343" s="260">
        <f>IF(ISNUMBER(BQ338),SUM(BQ338:BQ342),"")</f>
        <v>159734</v>
      </c>
      <c r="BR343" s="260">
        <f>IF(ISNUMBER(BR338),SUM(BR338:BR342),"")</f>
        <v>149926</v>
      </c>
      <c r="BS343" s="260">
        <f>IF(ISNUMBER(BS338),SUM(BS338:BS342),"")</f>
        <v>147080</v>
      </c>
      <c r="BT343" s="260">
        <f>IF(ISNUMBER(BT338),SUM(BT338:BT342),"")</f>
        <v>156644</v>
      </c>
      <c r="BU343" s="260">
        <f>IF(ISNUMBER(BU338),SUM(BU338:BU342),"")</f>
        <v>191131</v>
      </c>
      <c r="BV343" s="260">
        <f>IF(ISNUMBER(BV338),SUM(BV338:BV342),"")</f>
        <v>191131</v>
      </c>
      <c r="BW343" s="260">
        <f>IF(ISNUMBER(BW338),SUM(BW338:BW342),"")</f>
        <v>189066</v>
      </c>
      <c r="BX343" s="260">
        <f>IF(ISNUMBER(BX338),SUM(BX338:BX342),"")</f>
        <v>180190</v>
      </c>
      <c r="BY343" s="260">
        <f>IF(ISNUMBER(BY338),SUM(BY338:BY342),"")</f>
        <v>175329</v>
      </c>
      <c r="BZ343" s="260">
        <f>IF(ISNUMBER(BZ338),SUM(BZ338:BZ342),"")</f>
        <v>207710</v>
      </c>
      <c r="CA343" s="260">
        <f>IF(ISNUMBER(CA338),SUM(CA338:CA342),"")</f>
        <v>207710</v>
      </c>
      <c r="CB343" s="32" t="n"/>
      <c r="CC343" s="32" t="n"/>
      <c r="CD343" s="32" t="n"/>
      <c r="CE343" s="32" t="n"/>
      <c r="CF343" s="261">
        <f>IF(ISNUMBER(CF338),SUM(CF338:CF342),"")</f>
        <v>214871.418238383</v>
      </c>
      <c r="CG343" s="261">
        <f>IF(ISNUMBER(CG338),SUM(CG338:CG342),"")</f>
        <v>231035.390972262</v>
      </c>
      <c r="CH343" s="261">
        <f>IF(ISNUMBER(CH338),SUM(CH338:CH342),"")</f>
        <v>248461.190951576</v>
      </c>
      <c r="CI343" s="261">
        <f>IF(ISNUMBER(CI338),SUM(CI338:CI342),"")</f>
        <v>266135.567109064</v>
      </c>
      <c r="CJ343" s="261">
        <f>IF(ISNUMBER(CJ338),SUM(CJ338:CJ342),"")</f>
        <v>283775.130173555</v>
      </c>
      <c r="CK343" s="153" t="n"/>
    </row>
    <row r="344" ht="15" customHeight="1" s="251">
      <c r="B344" s="25" t="inlineStr">
        <is>
          <t xml:space="preserve">  Property and equipment, net (incl. finance-lease assets)</t>
        </is>
      </c>
      <c r="C344" s="253" t="n">
        <v>3044</v>
      </c>
      <c r="D344" s="253" t="n">
        <v>4350</v>
      </c>
      <c r="E344" s="253" t="n">
        <v>6242</v>
      </c>
      <c r="F344" s="253" t="n">
        <v>7535</v>
      </c>
      <c r="G344" s="253" t="n">
        <v>7630</v>
      </c>
      <c r="H344" s="253" t="n">
        <v>8162</v>
      </c>
      <c r="I344" s="253" t="n">
        <v>8269</v>
      </c>
      <c r="J344" s="253" t="n">
        <v>8329</v>
      </c>
      <c r="K344" s="253" t="n">
        <v>8698</v>
      </c>
      <c r="L344" s="253" t="n">
        <v>9204</v>
      </c>
      <c r="M344" s="253" t="n">
        <v>9991</v>
      </c>
      <c r="N344" s="253" t="n">
        <v>9991</v>
      </c>
      <c r="O344" s="253" t="n">
        <v>10774</v>
      </c>
      <c r="P344" s="253" t="n">
        <v>11567</v>
      </c>
      <c r="Q344" s="253" t="n">
        <v>11771</v>
      </c>
      <c r="R344" s="253" t="n">
        <v>13011</v>
      </c>
      <c r="S344" s="253" t="n">
        <v>13011</v>
      </c>
      <c r="T344" s="253" t="n">
        <v>13229</v>
      </c>
      <c r="U344" s="253" t="n">
        <v>13607</v>
      </c>
      <c r="V344" s="253" t="n">
        <v>14375</v>
      </c>
      <c r="W344" s="253" t="n">
        <v>14731</v>
      </c>
      <c r="X344" s="253" t="n">
        <v>14731</v>
      </c>
      <c r="Y344" s="253" t="n">
        <v>15046</v>
      </c>
      <c r="Z344" s="253" t="n">
        <v>15789</v>
      </c>
      <c r="AA344" s="253" t="n">
        <v>16831</v>
      </c>
      <c r="AB344" s="253" t="n">
        <v>18356</v>
      </c>
      <c r="AC344" s="253" t="n">
        <v>18356</v>
      </c>
      <c r="AD344" s="253" t="n">
        <v>19224</v>
      </c>
      <c r="AE344" s="253" t="n">
        <v>21379</v>
      </c>
      <c r="AF344" s="253" t="n">
        <v>21962</v>
      </c>
      <c r="AG344" s="253" t="n">
        <v>23734</v>
      </c>
      <c r="AH344" s="253" t="n">
        <v>23734</v>
      </c>
      <c r="AI344" s="253" t="n">
        <v>24809</v>
      </c>
      <c r="AJ344" s="253" t="n">
        <v>26304</v>
      </c>
      <c r="AK344" s="253" t="n">
        <v>27929</v>
      </c>
      <c r="AL344" s="253" t="n">
        <v>29460</v>
      </c>
      <c r="AM344" s="253" t="n">
        <v>29460</v>
      </c>
      <c r="AN344" s="253" t="n">
        <v>31430</v>
      </c>
      <c r="AO344" s="253" t="n">
        <v>32717</v>
      </c>
      <c r="AP344" s="253" t="n">
        <v>33648</v>
      </c>
      <c r="AQ344" s="253" t="n">
        <v>36477</v>
      </c>
      <c r="AR344" s="253" t="n">
        <v>36477</v>
      </c>
      <c r="AS344" s="253" t="n">
        <v>38409</v>
      </c>
      <c r="AT344" s="253" t="n">
        <v>40522</v>
      </c>
      <c r="AU344" s="253" t="n">
        <v>41221</v>
      </c>
      <c r="AV344" s="253" t="n">
        <v>44151</v>
      </c>
      <c r="AW344" s="253" t="n">
        <v>44151</v>
      </c>
      <c r="AX344" s="253" t="n">
        <v>47927</v>
      </c>
      <c r="AY344" s="253" t="n">
        <v>51737</v>
      </c>
      <c r="AZ344" s="253" t="n">
        <v>54945</v>
      </c>
      <c r="BA344" s="253" t="n">
        <v>59715</v>
      </c>
      <c r="BB344" s="253" t="n">
        <v>59715</v>
      </c>
      <c r="BC344" s="253" t="n">
        <v>63772</v>
      </c>
      <c r="BD344" s="253" t="n">
        <v>67214</v>
      </c>
      <c r="BE344" s="253" t="n">
        <v>70298</v>
      </c>
      <c r="BF344" s="253" t="n">
        <v>74398</v>
      </c>
      <c r="BG344" s="253" t="n">
        <v>74398</v>
      </c>
      <c r="BH344" s="253" t="n">
        <v>77037</v>
      </c>
      <c r="BI344" s="253" t="n">
        <v>82755</v>
      </c>
      <c r="BJ344" s="253" t="n">
        <v>88132</v>
      </c>
      <c r="BK344" s="253" t="n">
        <v>95641</v>
      </c>
      <c r="BL344" s="253" t="n">
        <v>95641</v>
      </c>
      <c r="BM344" s="253" t="n">
        <v>102502</v>
      </c>
      <c r="BN344" s="253" t="n">
        <v>112308</v>
      </c>
      <c r="BO344" s="253" t="n">
        <v>121375</v>
      </c>
      <c r="BP344" s="253" t="n">
        <v>135591</v>
      </c>
      <c r="BQ344" s="253" t="n">
        <v>135591</v>
      </c>
      <c r="BR344" s="253" t="n">
        <v>152863</v>
      </c>
      <c r="BS344" s="253" t="n">
        <v>166902</v>
      </c>
      <c r="BT344" s="253" t="n">
        <v>183939</v>
      </c>
      <c r="BU344" s="253" t="n">
        <v>204966</v>
      </c>
      <c r="BV344" s="253" t="n">
        <v>204966</v>
      </c>
      <c r="BW344" s="253" t="n">
        <v>230861</v>
      </c>
      <c r="BX344" s="253" t="n">
        <v>261126</v>
      </c>
      <c r="BY344" s="253" t="n">
        <v>283228</v>
      </c>
      <c r="BZ344" s="253" t="n">
        <v>313076</v>
      </c>
      <c r="CA344" s="253" t="n">
        <v>313076</v>
      </c>
      <c r="CB344" s="35" t="n"/>
      <c r="CC344" s="35" t="n"/>
      <c r="CD344" s="35" t="n"/>
      <c r="CE344" s="35" t="n"/>
      <c r="CF344" s="254">
        <f>CA344+CF167-CF157+CF115*CF123</f>
        <v>459853.08</v>
      </c>
      <c r="CG344" s="254">
        <f>CF344+CG167-CG157+CG115*CG123</f>
        <v>586671.103784203</v>
      </c>
      <c r="CH344" s="254">
        <f>CG344+CH167-CH157+CH115*CH123</f>
        <v>697745.868713136</v>
      </c>
      <c r="CI344" s="254">
        <f>CH344+CI167-CI157+CI115*CI123</f>
        <v>788963.997415982</v>
      </c>
      <c r="CJ344" s="254">
        <f>CI344+CJ167-CJ157+CJ115*CJ123</f>
        <v>869843.785318986</v>
      </c>
      <c r="CK344" s="19" t="inlineStr">
        <is>
          <t>Roll-forward: prior + capital expenditures incl. finance leases − depreciation + acquired PP&amp;E.</t>
        </is>
      </c>
    </row>
    <row r="345" ht="15" customHeight="1" s="251">
      <c r="B345" s="25" t="inlineStr">
        <is>
          <t xml:space="preserve">  Equity and other investments (incl. OpenAI equity-method investment)</t>
        </is>
      </c>
      <c r="C345" s="253" t="n">
        <v>9232</v>
      </c>
      <c r="D345" s="253" t="n">
        <v>10117</v>
      </c>
      <c r="E345" s="253" t="n">
        <v>6588</v>
      </c>
      <c r="F345" s="253" t="n">
        <v>4933</v>
      </c>
      <c r="G345" s="253" t="n">
        <v>7754</v>
      </c>
      <c r="H345" s="253" t="n">
        <v>10865</v>
      </c>
      <c r="I345" s="253" t="n">
        <v>9776</v>
      </c>
      <c r="J345" s="253" t="n">
        <v>10038</v>
      </c>
      <c r="K345" s="253" t="n">
        <v>10707</v>
      </c>
      <c r="L345" s="253" t="n">
        <v>11193</v>
      </c>
      <c r="M345" s="253" t="n">
        <v>10844</v>
      </c>
      <c r="N345" s="253" t="n">
        <v>10844</v>
      </c>
      <c r="O345" s="253" t="n">
        <v>11995</v>
      </c>
      <c r="P345" s="253" t="n">
        <v>14607</v>
      </c>
      <c r="Q345" s="253" t="n">
        <v>14792</v>
      </c>
      <c r="R345" s="253" t="n">
        <v>14597</v>
      </c>
      <c r="S345" s="253" t="n">
        <v>14597</v>
      </c>
      <c r="T345" s="253" t="n">
        <v>13943</v>
      </c>
      <c r="U345" s="253" t="n">
        <v>12665</v>
      </c>
      <c r="V345" s="253" t="n">
        <v>12019</v>
      </c>
      <c r="W345" s="253" t="n">
        <v>12053</v>
      </c>
      <c r="X345" s="253" t="n">
        <v>12053</v>
      </c>
      <c r="Y345" s="253" t="n">
        <v>11438</v>
      </c>
      <c r="Z345" s="253" t="n">
        <v>11514</v>
      </c>
      <c r="AA345" s="253" t="n">
        <v>11315</v>
      </c>
      <c r="AB345" s="253" t="n">
        <v>10431</v>
      </c>
      <c r="AC345" s="253" t="n">
        <v>10431</v>
      </c>
      <c r="AD345" s="253" t="n">
        <v>10486</v>
      </c>
      <c r="AE345" s="253" t="n">
        <v>8912</v>
      </c>
      <c r="AF345" s="253" t="n">
        <v>7381</v>
      </c>
      <c r="AG345" s="253" t="n">
        <v>6023</v>
      </c>
      <c r="AH345" s="253" t="n">
        <v>6023</v>
      </c>
      <c r="AI345" s="253" t="n">
        <v>5343</v>
      </c>
      <c r="AJ345" s="253" t="n">
        <v>3961</v>
      </c>
      <c r="AK345" s="253" t="n">
        <v>2818</v>
      </c>
      <c r="AL345" s="253" t="n">
        <v>1862</v>
      </c>
      <c r="AM345" s="253" t="n">
        <v>1862</v>
      </c>
      <c r="AN345" s="253" t="n">
        <v>2034</v>
      </c>
      <c r="AO345" s="253" t="n">
        <v>2274</v>
      </c>
      <c r="AP345" s="253" t="n">
        <v>2403</v>
      </c>
      <c r="AQ345" s="253" t="n">
        <v>2649</v>
      </c>
      <c r="AR345" s="253" t="n">
        <v>2649</v>
      </c>
      <c r="AS345" s="253" t="n">
        <v>2684</v>
      </c>
      <c r="AT345" s="253" t="n">
        <v>2755</v>
      </c>
      <c r="AU345" s="253" t="n">
        <v>2660</v>
      </c>
      <c r="AV345" s="253" t="n">
        <v>2965</v>
      </c>
      <c r="AW345" s="253" t="n">
        <v>2965</v>
      </c>
      <c r="AX345" s="253" t="n">
        <v>3103</v>
      </c>
      <c r="AY345" s="253" t="n">
        <v>3794</v>
      </c>
      <c r="AZ345" s="253" t="n">
        <v>5395</v>
      </c>
      <c r="BA345" s="253" t="n">
        <v>5984</v>
      </c>
      <c r="BB345" s="253" t="n">
        <v>5984</v>
      </c>
      <c r="BC345" s="253" t="n">
        <v>6393</v>
      </c>
      <c r="BD345" s="253" t="n">
        <v>6994</v>
      </c>
      <c r="BE345" s="253" t="n">
        <v>6907</v>
      </c>
      <c r="BF345" s="253" t="n">
        <v>6891</v>
      </c>
      <c r="BG345" s="253" t="n">
        <v>6891</v>
      </c>
      <c r="BH345" s="253" t="n">
        <v>6839</v>
      </c>
      <c r="BI345" s="253" t="n">
        <v>7097</v>
      </c>
      <c r="BJ345" s="253" t="n">
        <v>9415</v>
      </c>
      <c r="BK345" s="253" t="n">
        <v>9879</v>
      </c>
      <c r="BL345" s="253" t="n">
        <v>9879</v>
      </c>
      <c r="BM345" s="253" t="n">
        <v>11423</v>
      </c>
      <c r="BN345" s="253" t="n">
        <v>13367</v>
      </c>
      <c r="BO345" s="253" t="n">
        <v>14807</v>
      </c>
      <c r="BP345" s="253" t="n">
        <v>14600</v>
      </c>
      <c r="BQ345" s="253" t="n">
        <v>14600</v>
      </c>
      <c r="BR345" s="253" t="n">
        <v>15778</v>
      </c>
      <c r="BS345" s="253" t="n">
        <v>15581</v>
      </c>
      <c r="BT345" s="253" t="n">
        <v>16035</v>
      </c>
      <c r="BU345" s="253" t="n">
        <v>15405</v>
      </c>
      <c r="BV345" s="253" t="n">
        <v>15405</v>
      </c>
      <c r="BW345" s="253" t="n">
        <v>11465</v>
      </c>
      <c r="BX345" s="253" t="n">
        <v>21202</v>
      </c>
      <c r="BY345" s="253" t="n">
        <v>33683</v>
      </c>
      <c r="BZ345" s="253" t="n">
        <v>36348</v>
      </c>
      <c r="CA345" s="253" t="n">
        <v>36348</v>
      </c>
      <c r="CB345" s="35" t="n"/>
      <c r="CC345" s="35" t="n"/>
      <c r="CD345" s="35" t="n"/>
      <c r="CE345" s="35" t="n"/>
      <c r="CF345" s="254">
        <f>CA345</f>
        <v>36348</v>
      </c>
      <c r="CG345" s="254">
        <f>CF345</f>
        <v>36348</v>
      </c>
      <c r="CH345" s="254">
        <f>CG345</f>
        <v>36348</v>
      </c>
      <c r="CI345" s="254">
        <f>CH345</f>
        <v>36348</v>
      </c>
      <c r="CJ345" s="254">
        <f>CI345</f>
        <v>36348</v>
      </c>
      <c r="CK345" s="19" t="n"/>
    </row>
    <row r="346" ht="15" customHeight="1" s="251">
      <c r="B346" s="25" t="inlineStr">
        <is>
          <t xml:space="preserve">  Goodwill</t>
        </is>
      </c>
      <c r="C346" s="253" t="n">
        <v>3866</v>
      </c>
      <c r="D346" s="253" t="n">
        <v>4760</v>
      </c>
      <c r="E346" s="253" t="n">
        <v>12108</v>
      </c>
      <c r="F346" s="253" t="n">
        <v>12503</v>
      </c>
      <c r="G346" s="253" t="n">
        <v>12394</v>
      </c>
      <c r="H346" s="253" t="n">
        <v>12581</v>
      </c>
      <c r="I346" s="253" t="n">
        <v>13452</v>
      </c>
      <c r="J346" s="253" t="n">
        <v>14466</v>
      </c>
      <c r="K346" s="253" t="n">
        <v>14727</v>
      </c>
      <c r="L346" s="253" t="n">
        <v>14682</v>
      </c>
      <c r="M346" s="253" t="n">
        <v>14655</v>
      </c>
      <c r="N346" s="253" t="n">
        <v>14655</v>
      </c>
      <c r="O346" s="253" t="n">
        <v>14667</v>
      </c>
      <c r="P346" s="253" t="n">
        <v>14680</v>
      </c>
      <c r="Q346" s="253" t="n">
        <v>14751</v>
      </c>
      <c r="R346" s="253" t="n">
        <v>20127</v>
      </c>
      <c r="S346" s="253" t="n">
        <v>20127</v>
      </c>
      <c r="T346" s="253" t="n">
        <v>20081</v>
      </c>
      <c r="U346" s="253" t="n">
        <v>21855</v>
      </c>
      <c r="V346" s="253" t="n">
        <v>21728</v>
      </c>
      <c r="W346" s="253" t="n">
        <v>16939</v>
      </c>
      <c r="X346" s="253" t="n">
        <v>16939</v>
      </c>
      <c r="Y346" s="253" t="n">
        <v>17142</v>
      </c>
      <c r="Z346" s="253" t="n">
        <v>17436</v>
      </c>
      <c r="AA346" s="253" t="n">
        <v>17948</v>
      </c>
      <c r="AB346" s="253" t="n">
        <v>17872</v>
      </c>
      <c r="AC346" s="253" t="n">
        <v>17872</v>
      </c>
      <c r="AD346" s="253" t="n">
        <v>17907</v>
      </c>
      <c r="AE346" s="253" t="n">
        <v>34524</v>
      </c>
      <c r="AF346" s="253" t="n">
        <v>34668</v>
      </c>
      <c r="AG346" s="253" t="n">
        <v>35122</v>
      </c>
      <c r="AH346" s="253" t="n">
        <v>35122</v>
      </c>
      <c r="AI346" s="253" t="n">
        <v>35389</v>
      </c>
      <c r="AJ346" s="253" t="n">
        <v>35355</v>
      </c>
      <c r="AK346" s="253" t="n">
        <v>35582</v>
      </c>
      <c r="AL346" s="253" t="n">
        <v>35683</v>
      </c>
      <c r="AM346" s="253" t="n">
        <v>35683</v>
      </c>
      <c r="AN346" s="253" t="n">
        <v>35855</v>
      </c>
      <c r="AO346" s="253" t="n">
        <v>41577</v>
      </c>
      <c r="AP346" s="253" t="n">
        <v>41861</v>
      </c>
      <c r="AQ346" s="253" t="n">
        <v>42026</v>
      </c>
      <c r="AR346" s="253" t="n">
        <v>42026</v>
      </c>
      <c r="AS346" s="253" t="n">
        <v>42113</v>
      </c>
      <c r="AT346" s="253" t="n">
        <v>42248</v>
      </c>
      <c r="AU346" s="253" t="n">
        <v>42064</v>
      </c>
      <c r="AV346" s="253" t="n">
        <v>43351</v>
      </c>
      <c r="AW346" s="253" t="n">
        <v>43351</v>
      </c>
      <c r="AX346" s="253" t="n">
        <v>43890</v>
      </c>
      <c r="AY346" s="253" t="n">
        <v>44219</v>
      </c>
      <c r="AZ346" s="253" t="n">
        <v>49698</v>
      </c>
      <c r="BA346" s="253" t="n">
        <v>49711</v>
      </c>
      <c r="BB346" s="253" t="n">
        <v>49711</v>
      </c>
      <c r="BC346" s="253" t="n">
        <v>50455</v>
      </c>
      <c r="BD346" s="253" t="n">
        <v>50921</v>
      </c>
      <c r="BE346" s="253" t="n">
        <v>67371</v>
      </c>
      <c r="BF346" s="253" t="n">
        <v>67524</v>
      </c>
      <c r="BG346" s="253" t="n">
        <v>67524</v>
      </c>
      <c r="BH346" s="253" t="n">
        <v>67459</v>
      </c>
      <c r="BI346" s="253" t="n">
        <v>67905</v>
      </c>
      <c r="BJ346" s="253" t="n">
        <v>67940</v>
      </c>
      <c r="BK346" s="253" t="n">
        <v>67886</v>
      </c>
      <c r="BL346" s="253" t="n">
        <v>67886</v>
      </c>
      <c r="BM346" s="253" t="n">
        <v>67790</v>
      </c>
      <c r="BN346" s="253" t="n">
        <v>118931</v>
      </c>
      <c r="BO346" s="253" t="n">
        <v>119163</v>
      </c>
      <c r="BP346" s="253" t="n">
        <v>119220</v>
      </c>
      <c r="BQ346" s="253" t="n">
        <v>119220</v>
      </c>
      <c r="BR346" s="253" t="n">
        <v>119374</v>
      </c>
      <c r="BS346" s="253" t="n">
        <v>119191</v>
      </c>
      <c r="BT346" s="253" t="n">
        <v>119329</v>
      </c>
      <c r="BU346" s="253" t="n">
        <v>119509</v>
      </c>
      <c r="BV346" s="253" t="n">
        <v>119509</v>
      </c>
      <c r="BW346" s="253" t="n">
        <v>119497</v>
      </c>
      <c r="BX346" s="253" t="n">
        <v>119622</v>
      </c>
      <c r="BY346" s="253" t="n">
        <v>119661</v>
      </c>
      <c r="BZ346" s="253" t="n">
        <v>119651</v>
      </c>
      <c r="CA346" s="253" t="n">
        <v>119651</v>
      </c>
      <c r="CB346" s="35" t="n"/>
      <c r="CC346" s="35" t="n"/>
      <c r="CD346" s="35" t="n"/>
      <c r="CE346" s="35" t="n"/>
      <c r="CF346" s="254">
        <f>CA346+CF115*(1-CF123-CF124)</f>
        <v>119651</v>
      </c>
      <c r="CG346" s="254">
        <f>CF346+CG115*(1-CG123-CG124)</f>
        <v>121691</v>
      </c>
      <c r="CH346" s="254">
        <f>CG346+CH115*(1-CH123-CH124)</f>
        <v>123731</v>
      </c>
      <c r="CI346" s="254">
        <f>CH346+CI115*(1-CI123-CI124)</f>
        <v>125771</v>
      </c>
      <c r="CJ346" s="254">
        <f>CI346+CJ115*(1-CJ123-CJ124)</f>
        <v>127811</v>
      </c>
      <c r="CK346" s="19" t="n"/>
    </row>
    <row r="347" ht="15" customHeight="1" s="251">
      <c r="B347" s="25" t="inlineStr">
        <is>
          <t xml:space="preserve">  Intangible assets, net</t>
        </is>
      </c>
      <c r="C347" s="253" t="n">
        <v>539</v>
      </c>
      <c r="D347" s="253" t="n">
        <v>878</v>
      </c>
      <c r="E347" s="253" t="n">
        <v>1973</v>
      </c>
      <c r="F347" s="253" t="n">
        <v>1759</v>
      </c>
      <c r="G347" s="253" t="n">
        <v>1158</v>
      </c>
      <c r="H347" s="253" t="n">
        <v>744</v>
      </c>
      <c r="I347" s="253" t="n">
        <v>3170</v>
      </c>
      <c r="J347" s="253" t="n">
        <v>3423</v>
      </c>
      <c r="K347" s="253" t="n">
        <v>3341</v>
      </c>
      <c r="L347" s="253" t="n">
        <v>3240</v>
      </c>
      <c r="M347" s="253" t="n">
        <v>3083</v>
      </c>
      <c r="N347" s="253" t="n">
        <v>3083</v>
      </c>
      <c r="O347" s="253" t="n">
        <v>2982</v>
      </c>
      <c r="P347" s="253" t="n">
        <v>2945</v>
      </c>
      <c r="Q347" s="253" t="n">
        <v>2901</v>
      </c>
      <c r="R347" s="253" t="n">
        <v>6981</v>
      </c>
      <c r="S347" s="253" t="n">
        <v>6981</v>
      </c>
      <c r="T347" s="253" t="n">
        <v>6693</v>
      </c>
      <c r="U347" s="253" t="n">
        <v>7299</v>
      </c>
      <c r="V347" s="253" t="n">
        <v>6963</v>
      </c>
      <c r="W347" s="253" t="n">
        <v>4835</v>
      </c>
      <c r="X347" s="253" t="n">
        <v>4835</v>
      </c>
      <c r="Y347" s="253" t="n">
        <v>4745</v>
      </c>
      <c r="Z347" s="253" t="n">
        <v>4619</v>
      </c>
      <c r="AA347" s="253" t="n">
        <v>4459</v>
      </c>
      <c r="AB347" s="253" t="n">
        <v>3733</v>
      </c>
      <c r="AC347" s="253" t="n">
        <v>3733</v>
      </c>
      <c r="AD347" s="253" t="n">
        <v>3522</v>
      </c>
      <c r="AE347" s="253" t="n">
        <v>11001</v>
      </c>
      <c r="AF347" s="253" t="n">
        <v>10547</v>
      </c>
      <c r="AG347" s="253" t="n">
        <v>10106</v>
      </c>
      <c r="AH347" s="253" t="n">
        <v>10106</v>
      </c>
      <c r="AI347" s="253" t="n">
        <v>9598</v>
      </c>
      <c r="AJ347" s="253" t="n">
        <v>9034</v>
      </c>
      <c r="AK347" s="253" t="n">
        <v>8544</v>
      </c>
      <c r="AL347" s="253" t="n">
        <v>8053</v>
      </c>
      <c r="AM347" s="253" t="n">
        <v>8053</v>
      </c>
      <c r="AN347" s="253" t="n">
        <v>7579</v>
      </c>
      <c r="AO347" s="253" t="n">
        <v>8482</v>
      </c>
      <c r="AP347" s="253" t="n">
        <v>8103</v>
      </c>
      <c r="AQ347" s="253" t="n">
        <v>7750</v>
      </c>
      <c r="AR347" s="253" t="n">
        <v>7750</v>
      </c>
      <c r="AS347" s="253" t="n">
        <v>7508</v>
      </c>
      <c r="AT347" s="253" t="n">
        <v>7126</v>
      </c>
      <c r="AU347" s="253" t="n">
        <v>6855</v>
      </c>
      <c r="AV347" s="253" t="n">
        <v>7038</v>
      </c>
      <c r="AW347" s="253" t="n">
        <v>7038</v>
      </c>
      <c r="AX347" s="253" t="n">
        <v>6923</v>
      </c>
      <c r="AY347" s="253" t="n">
        <v>6555</v>
      </c>
      <c r="AZ347" s="253" t="n">
        <v>8127</v>
      </c>
      <c r="BA347" s="253" t="n">
        <v>7800</v>
      </c>
      <c r="BB347" s="253" t="n">
        <v>7800</v>
      </c>
      <c r="BC347" s="253" t="n">
        <v>7794</v>
      </c>
      <c r="BD347" s="253" t="n">
        <v>7462</v>
      </c>
      <c r="BE347" s="253" t="n">
        <v>11348</v>
      </c>
      <c r="BF347" s="253" t="n">
        <v>11298</v>
      </c>
      <c r="BG347" s="253" t="n">
        <v>11298</v>
      </c>
      <c r="BH347" s="253" t="n">
        <v>10808</v>
      </c>
      <c r="BI347" s="253" t="n">
        <v>10354</v>
      </c>
      <c r="BJ347" s="253" t="n">
        <v>9879</v>
      </c>
      <c r="BK347" s="253" t="n">
        <v>9366</v>
      </c>
      <c r="BL347" s="253" t="n">
        <v>9366</v>
      </c>
      <c r="BM347" s="253" t="n">
        <v>8895</v>
      </c>
      <c r="BN347" s="253" t="n">
        <v>29896</v>
      </c>
      <c r="BO347" s="253" t="n">
        <v>28828</v>
      </c>
      <c r="BP347" s="253" t="n">
        <v>27597</v>
      </c>
      <c r="BQ347" s="253" t="n">
        <v>27597</v>
      </c>
      <c r="BR347" s="253" t="n">
        <v>26751</v>
      </c>
      <c r="BS347" s="253" t="n">
        <v>25385</v>
      </c>
      <c r="BT347" s="253" t="n">
        <v>23968</v>
      </c>
      <c r="BU347" s="253" t="n">
        <v>22604</v>
      </c>
      <c r="BV347" s="253" t="n">
        <v>22604</v>
      </c>
      <c r="BW347" s="253" t="n">
        <v>21236</v>
      </c>
      <c r="BX347" s="253" t="n">
        <v>20289</v>
      </c>
      <c r="BY347" s="253" t="n">
        <v>19325</v>
      </c>
      <c r="BZ347" s="253" t="n">
        <v>18609</v>
      </c>
      <c r="CA347" s="253" t="n">
        <v>18609</v>
      </c>
      <c r="CB347" s="35" t="n"/>
      <c r="CC347" s="35" t="n"/>
      <c r="CD347" s="35" t="n"/>
      <c r="CE347" s="35" t="n"/>
      <c r="CF347" s="254">
        <f>CA347-CF159+CF115*CF124</f>
        <v>15512</v>
      </c>
      <c r="CG347" s="254">
        <f>CF347-CG159+CG115*CG124</f>
        <v>14206.7142857143</v>
      </c>
      <c r="CH347" s="254">
        <f>CG347-CH159+CH115*CH124</f>
        <v>12969.8571428571</v>
      </c>
      <c r="CI347" s="254">
        <f>CH347-CI159+CI115*CI124</f>
        <v>12071.4285714286</v>
      </c>
      <c r="CJ347" s="254">
        <f>CI347-CJ159+CJ115*CJ124</f>
        <v>11393.4285714286</v>
      </c>
      <c r="CK347" s="19" t="inlineStr">
        <is>
          <t>Roll-forward: prior − amortization + acquired intangibles (M&amp;A lever).</t>
        </is>
      </c>
    </row>
    <row r="348" ht="15" customHeight="1" s="251">
      <c r="B348" s="25" t="inlineStr">
        <is>
          <t xml:space="preserve">  Operating lease right-of-use assets &amp; other long-term assets (derived)</t>
        </is>
      </c>
      <c r="C348" s="253" t="n">
        <v>3906</v>
      </c>
      <c r="D348" s="253" t="n">
        <v>2898</v>
      </c>
      <c r="E348" s="253" t="n">
        <v>2640</v>
      </c>
      <c r="F348" s="253" t="n">
        <v>1878</v>
      </c>
      <c r="G348" s="253" t="n">
        <v>1501</v>
      </c>
      <c r="H348" s="253" t="n">
        <v>1434</v>
      </c>
      <c r="I348" s="253" t="n">
        <v>1520</v>
      </c>
      <c r="J348" s="253" t="n">
        <v>1569</v>
      </c>
      <c r="K348" s="253" t="n">
        <v>1636</v>
      </c>
      <c r="L348" s="253" t="n">
        <v>2262</v>
      </c>
      <c r="M348" s="253" t="n">
        <v>2392</v>
      </c>
      <c r="N348" s="253" t="n">
        <v>2392</v>
      </c>
      <c r="O348" s="253" t="n">
        <v>2480</v>
      </c>
      <c r="P348" s="253" t="n">
        <v>2874</v>
      </c>
      <c r="Q348" s="253" t="n">
        <v>2898</v>
      </c>
      <c r="R348" s="253" t="n">
        <v>3422</v>
      </c>
      <c r="S348" s="253" t="n">
        <v>3422</v>
      </c>
      <c r="T348" s="253" t="n">
        <v>3271</v>
      </c>
      <c r="U348" s="253" t="n">
        <v>3060</v>
      </c>
      <c r="V348" s="253" t="n">
        <v>3200</v>
      </c>
      <c r="W348" s="253" t="n">
        <v>2953</v>
      </c>
      <c r="X348" s="253" t="n">
        <v>2953</v>
      </c>
      <c r="Y348" s="253" t="n">
        <v>2869</v>
      </c>
      <c r="Z348" s="253" t="n">
        <v>2928</v>
      </c>
      <c r="AA348" s="253" t="n">
        <v>2895</v>
      </c>
      <c r="AB348" s="253" t="n">
        <v>3642</v>
      </c>
      <c r="AC348" s="253" t="n">
        <v>3642</v>
      </c>
      <c r="AD348" s="253" t="n">
        <v>3476</v>
      </c>
      <c r="AE348" s="253" t="n">
        <v>3845</v>
      </c>
      <c r="AF348" s="253" t="n">
        <v>4146</v>
      </c>
      <c r="AG348" s="253" t="n">
        <v>6250</v>
      </c>
      <c r="AH348" s="253" t="n">
        <v>6250</v>
      </c>
      <c r="AI348" s="253" t="n">
        <v>12927</v>
      </c>
      <c r="AJ348" s="253" t="n">
        <v>13716</v>
      </c>
      <c r="AK348" s="253" t="n">
        <v>13965</v>
      </c>
      <c r="AL348" s="253" t="n">
        <v>14128</v>
      </c>
      <c r="AM348" s="253" t="n">
        <v>14128</v>
      </c>
      <c r="AN348" s="253" t="n">
        <v>16526</v>
      </c>
      <c r="AO348" s="253" t="n">
        <v>16935</v>
      </c>
      <c r="AP348" s="253" t="n">
        <v>17379</v>
      </c>
      <c r="AQ348" s="253" t="n">
        <v>22102</v>
      </c>
      <c r="AR348" s="253" t="n">
        <v>22102</v>
      </c>
      <c r="AS348" s="253" t="n">
        <v>22345</v>
      </c>
      <c r="AT348" s="253" t="n">
        <v>23069</v>
      </c>
      <c r="AU348" s="253" t="n">
        <v>22144</v>
      </c>
      <c r="AV348" s="253" t="n">
        <v>21891</v>
      </c>
      <c r="AW348" s="253" t="n">
        <v>21891</v>
      </c>
      <c r="AX348" s="253" t="n">
        <v>22081</v>
      </c>
      <c r="AY348" s="253" t="n">
        <v>23859</v>
      </c>
      <c r="AZ348" s="253" t="n">
        <v>25100</v>
      </c>
      <c r="BA348" s="253" t="n">
        <v>26163</v>
      </c>
      <c r="BB348" s="253" t="n">
        <v>26163</v>
      </c>
      <c r="BC348" s="253" t="n">
        <v>32678</v>
      </c>
      <c r="BD348" s="253" t="n">
        <v>33610</v>
      </c>
      <c r="BE348" s="253" t="n">
        <v>34761</v>
      </c>
      <c r="BF348" s="253" t="n">
        <v>35045</v>
      </c>
      <c r="BG348" s="253" t="n">
        <v>35045</v>
      </c>
      <c r="BH348" s="253" t="n">
        <v>36829</v>
      </c>
      <c r="BI348" s="253" t="n">
        <v>38618</v>
      </c>
      <c r="BJ348" s="253" t="n">
        <v>40833</v>
      </c>
      <c r="BK348" s="253" t="n">
        <v>44947</v>
      </c>
      <c r="BL348" s="253" t="n">
        <v>44947</v>
      </c>
      <c r="BM348" s="253" t="n">
        <v>47589</v>
      </c>
      <c r="BN348" s="253" t="n">
        <v>48663</v>
      </c>
      <c r="BO348" s="253" t="n">
        <v>52922</v>
      </c>
      <c r="BP348" s="253" t="n">
        <v>55421</v>
      </c>
      <c r="BQ348" s="253" t="n">
        <v>55421</v>
      </c>
      <c r="BR348" s="253" t="n">
        <v>58321</v>
      </c>
      <c r="BS348" s="253" t="n">
        <v>59759</v>
      </c>
      <c r="BT348" s="253" t="n">
        <v>62709</v>
      </c>
      <c r="BU348" s="253" t="n">
        <v>65388</v>
      </c>
      <c r="BV348" s="253" t="n">
        <v>65388</v>
      </c>
      <c r="BW348" s="253" t="n">
        <v>64226</v>
      </c>
      <c r="BX348" s="253" t="n">
        <v>62873</v>
      </c>
      <c r="BY348" s="253" t="n">
        <v>63002</v>
      </c>
      <c r="BZ348" s="253" t="n">
        <v>62982</v>
      </c>
      <c r="CA348" s="253" t="n">
        <v>62982</v>
      </c>
      <c r="CB348" s="35" t="n"/>
      <c r="CC348" s="35" t="n"/>
      <c r="CD348" s="35" t="n"/>
      <c r="CE348" s="35" t="n"/>
      <c r="CF348" s="254">
        <f>CA348</f>
        <v>62982</v>
      </c>
      <c r="CG348" s="254">
        <f>CF348</f>
        <v>62982</v>
      </c>
      <c r="CH348" s="254">
        <f>CG348</f>
        <v>62982</v>
      </c>
      <c r="CI348" s="254">
        <f>CH348</f>
        <v>62982</v>
      </c>
      <c r="CJ348" s="254">
        <f>CI348</f>
        <v>62982</v>
      </c>
      <c r="CK348" s="19" t="n"/>
    </row>
    <row r="349" ht="15" customHeight="1" s="251">
      <c r="B349" s="55" t="inlineStr">
        <is>
          <t>Total assets</t>
        </is>
      </c>
      <c r="C349" s="267">
        <f>IF(ISNUMBER(C338),C343+SUM(C344:C348),"")</f>
        <v>69597</v>
      </c>
      <c r="D349" s="267">
        <f>IF(ISNUMBER(D338),D343+SUM(D344:D348),"")</f>
        <v>63171</v>
      </c>
      <c r="E349" s="267">
        <f>IF(ISNUMBER(E338),E343+SUM(E344:E348),"")</f>
        <v>72793</v>
      </c>
      <c r="F349" s="267">
        <f>IF(ISNUMBER(F338),F343+SUM(F344:F348),"")</f>
        <v>77888</v>
      </c>
      <c r="G349" s="267">
        <f>IF(ISNUMBER(G338),G343+SUM(G344:G348),"")</f>
        <v>86113</v>
      </c>
      <c r="H349" s="267">
        <f>IF(ISNUMBER(H338),H343+SUM(H344:H348),"")</f>
        <v>108704</v>
      </c>
      <c r="I349" s="267">
        <f>IF(ISNUMBER(I338),I343+SUM(I344:I348),"")</f>
        <v>121271</v>
      </c>
      <c r="J349" s="267">
        <f>IF(ISNUMBER(J338),J343+SUM(J344:J348),"")</f>
        <v>121876</v>
      </c>
      <c r="K349" s="267">
        <f>IF(ISNUMBER(K338),K343+SUM(K344:K348),"")</f>
        <v>128683</v>
      </c>
      <c r="L349" s="267">
        <f>IF(ISNUMBER(L338),L343+SUM(L344:L348),"")</f>
        <v>134105</v>
      </c>
      <c r="M349" s="267">
        <f>IF(ISNUMBER(M338),M343+SUM(M344:M348),"")</f>
        <v>142431</v>
      </c>
      <c r="N349" s="267">
        <f>IF(ISNUMBER(N338),N343+SUM(N344:N348),"")</f>
        <v>142431</v>
      </c>
      <c r="O349" s="267">
        <f>IF(ISNUMBER(O338),O343+SUM(O344:O348),"")</f>
        <v>142348</v>
      </c>
      <c r="P349" s="267">
        <f>IF(ISNUMBER(P338),P343+SUM(P344:P348),"")</f>
        <v>153543</v>
      </c>
      <c r="Q349" s="267">
        <f>IF(ISNUMBER(Q338),Q343+SUM(Q344:Q348),"")</f>
        <v>156119</v>
      </c>
      <c r="R349" s="267">
        <f>IF(ISNUMBER(R338),R343+SUM(R344:R348),"")</f>
        <v>172384</v>
      </c>
      <c r="S349" s="267">
        <f>IF(ISNUMBER(S338),S343+SUM(S344:S348),"")</f>
        <v>172384</v>
      </c>
      <c r="T349" s="267">
        <f>IF(ISNUMBER(T338),T343+SUM(T344:T348),"")</f>
        <v>169656</v>
      </c>
      <c r="U349" s="267">
        <f>IF(ISNUMBER(U338),U343+SUM(U344:U348),"")</f>
        <v>174848</v>
      </c>
      <c r="V349" s="267">
        <f>IF(ISNUMBER(V338),V343+SUM(V344:V348),"")</f>
        <v>176683</v>
      </c>
      <c r="W349" s="267">
        <f>IF(ISNUMBER(W338),W343+SUM(W344:W348),"")</f>
        <v>176223</v>
      </c>
      <c r="X349" s="267">
        <f>IF(ISNUMBER(X338),X343+SUM(X344:X348),"")</f>
        <v>176223</v>
      </c>
      <c r="Y349" s="267">
        <f>IF(ISNUMBER(Y338),Y343+SUM(Y344:Y348),"")</f>
        <v>172896</v>
      </c>
      <c r="Z349" s="267">
        <f>IF(ISNUMBER(Z338),Z343+SUM(Z344:Z348),"")</f>
        <v>180098</v>
      </c>
      <c r="AA349" s="267">
        <f>IF(ISNUMBER(AA338),AA343+SUM(AA344:AA348),"")</f>
        <v>181869</v>
      </c>
      <c r="AB349" s="267">
        <f>IF(ISNUMBER(AB338),AB343+SUM(AB344:AB348),"")</f>
        <v>193694</v>
      </c>
      <c r="AC349" s="267">
        <f>IF(ISNUMBER(AC338),AC343+SUM(AC344:AC348),"")</f>
        <v>193694</v>
      </c>
      <c r="AD349" s="267">
        <f>IF(ISNUMBER(AD338),AD343+SUM(AD344:AD348),"")</f>
        <v>212524</v>
      </c>
      <c r="AE349" s="267">
        <f>IF(ISNUMBER(AE338),AE343+SUM(AE344:AE348),"")</f>
        <v>224610</v>
      </c>
      <c r="AF349" s="267">
        <f>IF(ISNUMBER(AF338),AF343+SUM(AF344:AF348),"")</f>
        <v>225017</v>
      </c>
      <c r="AG349" s="267">
        <f>IF(ISNUMBER(AG338),AG343+SUM(AG344:AG348),"")</f>
        <v>241086</v>
      </c>
      <c r="AH349" s="267">
        <f>IF(ISNUMBER(AH338),AH343+SUM(AH344:AH348),"")</f>
        <v>241086</v>
      </c>
      <c r="AI349" s="267">
        <f>IF(ISNUMBER(AI338),AI343+SUM(AI344:AI348),"")</f>
        <v>249097</v>
      </c>
      <c r="AJ349" s="267">
        <f>IF(ISNUMBER(AJ338),AJ343+SUM(AJ344:AJ348),"")</f>
        <v>256003</v>
      </c>
      <c r="AK349" s="267">
        <f>IF(ISNUMBER(AK338),AK343+SUM(AK344:AK348),"")</f>
        <v>245497</v>
      </c>
      <c r="AL349" s="267">
        <f>IF(ISNUMBER(AL338),AL343+SUM(AL344:AL348),"")</f>
        <v>258848</v>
      </c>
      <c r="AM349" s="267">
        <f>IF(ISNUMBER(AM338),AM343+SUM(AM344:AM348),"")</f>
        <v>258848</v>
      </c>
      <c r="AN349" s="267">
        <f>IF(ISNUMBER(AN338),AN343+SUM(AN344:AN348),"")</f>
        <v>257619</v>
      </c>
      <c r="AO349" s="267">
        <f>IF(ISNUMBER(AO338),AO343+SUM(AO344:AO348),"")</f>
        <v>258859</v>
      </c>
      <c r="AP349" s="267">
        <f>IF(ISNUMBER(AP338),AP343+SUM(AP344:AP348),"")</f>
        <v>263281</v>
      </c>
      <c r="AQ349" s="267">
        <f>IF(ISNUMBER(AQ338),AQ343+SUM(AQ344:AQ348),"")</f>
        <v>286556</v>
      </c>
      <c r="AR349" s="267">
        <f>IF(ISNUMBER(AR338),AR343+SUM(AR344:AR348),"")</f>
        <v>286556</v>
      </c>
      <c r="AS349" s="267">
        <f>IF(ISNUMBER(AS338),AS343+SUM(AS344:AS348),"")</f>
        <v>278955</v>
      </c>
      <c r="AT349" s="267">
        <f>IF(ISNUMBER(AT338),AT343+SUM(AT344:AT348),"")</f>
        <v>282794</v>
      </c>
      <c r="AU349" s="267">
        <f>IF(ISNUMBER(AU338),AU343+SUM(AU344:AU348),"")</f>
        <v>285449</v>
      </c>
      <c r="AV349" s="267">
        <f>IF(ISNUMBER(AV338),AV343+SUM(AV344:AV348),"")</f>
        <v>301311</v>
      </c>
      <c r="AW349" s="267">
        <f>IF(ISNUMBER(AW338),AW343+SUM(AW344:AW348),"")</f>
        <v>301311</v>
      </c>
      <c r="AX349" s="267">
        <f>IF(ISNUMBER(AX338),AX343+SUM(AX344:AX348),"")</f>
        <v>301001</v>
      </c>
      <c r="AY349" s="267">
        <f>IF(ISNUMBER(AY338),AY343+SUM(AY344:AY348),"")</f>
        <v>304137</v>
      </c>
      <c r="AZ349" s="267">
        <f>IF(ISNUMBER(AZ338),AZ343+SUM(AZ344:AZ348),"")</f>
        <v>308879</v>
      </c>
      <c r="BA349" s="267">
        <f>IF(ISNUMBER(BA338),BA343+SUM(BA344:BA348),"")</f>
        <v>333779</v>
      </c>
      <c r="BB349" s="267">
        <f>IF(ISNUMBER(BB338),BB343+SUM(BB344:BB348),"")</f>
        <v>333779</v>
      </c>
      <c r="BC349" s="267">
        <f>IF(ISNUMBER(BC338),BC343+SUM(BC344:BC348),"")</f>
        <v>335418</v>
      </c>
      <c r="BD349" s="267">
        <f>IF(ISNUMBER(BD338),BD343+SUM(BD344:BD348),"")</f>
        <v>340389</v>
      </c>
      <c r="BE349" s="267">
        <f>IF(ISNUMBER(BE338),BE343+SUM(BE344:BE348),"")</f>
        <v>344607</v>
      </c>
      <c r="BF349" s="267">
        <f>IF(ISNUMBER(BF338),BF343+SUM(BF344:BF348),"")</f>
        <v>364840</v>
      </c>
      <c r="BG349" s="267">
        <f>IF(ISNUMBER(BG338),BG343+SUM(BG344:BG348),"")</f>
        <v>364840</v>
      </c>
      <c r="BH349" s="267">
        <f>IF(ISNUMBER(BH338),BH343+SUM(BH344:BH348),"")</f>
        <v>359784</v>
      </c>
      <c r="BI349" s="267">
        <f>IF(ISNUMBER(BI338),BI343+SUM(BI344:BI348),"")</f>
        <v>364552</v>
      </c>
      <c r="BJ349" s="267">
        <f>IF(ISNUMBER(BJ338),BJ343+SUM(BJ344:BJ348),"")</f>
        <v>380088</v>
      </c>
      <c r="BK349" s="267">
        <f>IF(ISNUMBER(BK338),BK343+SUM(BK344:BK348),"")</f>
        <v>411976</v>
      </c>
      <c r="BL349" s="267">
        <f>IF(ISNUMBER(BL338),BL343+SUM(BL344:BL348),"")</f>
        <v>411976</v>
      </c>
      <c r="BM349" s="267">
        <f>IF(ISNUMBER(BM338),BM343+SUM(BM344:BM348),"")</f>
        <v>445785</v>
      </c>
      <c r="BN349" s="267">
        <f>IF(ISNUMBER(BN338),BN343+SUM(BN344:BN348),"")</f>
        <v>470558</v>
      </c>
      <c r="BO349" s="267">
        <f>IF(ISNUMBER(BO338),BO343+SUM(BO344:BO348),"")</f>
        <v>484275</v>
      </c>
      <c r="BP349" s="267">
        <f>IF(ISNUMBER(BP338),BP343+SUM(BP344:BP348),"")</f>
        <v>512163</v>
      </c>
      <c r="BQ349" s="267">
        <f>IF(ISNUMBER(BQ338),BQ343+SUM(BQ344:BQ348),"")</f>
        <v>512163</v>
      </c>
      <c r="BR349" s="267">
        <f>IF(ISNUMBER(BR338),BR343+SUM(BR344:BR348),"")</f>
        <v>523013</v>
      </c>
      <c r="BS349" s="267">
        <f>IF(ISNUMBER(BS338),BS343+SUM(BS344:BS348),"")</f>
        <v>533898</v>
      </c>
      <c r="BT349" s="267">
        <f>IF(ISNUMBER(BT338),BT343+SUM(BT344:BT348),"")</f>
        <v>562624</v>
      </c>
      <c r="BU349" s="267">
        <f>IF(ISNUMBER(BU338),BU343+SUM(BU344:BU348),"")</f>
        <v>619003</v>
      </c>
      <c r="BV349" s="267">
        <f>IF(ISNUMBER(BV338),BV343+SUM(BV344:BV348),"")</f>
        <v>619003</v>
      </c>
      <c r="BW349" s="267">
        <f>IF(ISNUMBER(BW338),BW343+SUM(BW344:BW348),"")</f>
        <v>636351</v>
      </c>
      <c r="BX349" s="267">
        <f>IF(ISNUMBER(BX338),BX343+SUM(BX344:BX348),"")</f>
        <v>665302</v>
      </c>
      <c r="BY349" s="267">
        <f>IF(ISNUMBER(BY338),BY343+SUM(BY344:BY348),"")</f>
        <v>694228</v>
      </c>
      <c r="BZ349" s="267">
        <f>IF(ISNUMBER(BZ338),BZ343+SUM(BZ344:BZ348),"")</f>
        <v>758376</v>
      </c>
      <c r="CA349" s="267">
        <f>IF(ISNUMBER(CA338),CA343+SUM(CA344:CA348),"")</f>
        <v>758376</v>
      </c>
      <c r="CB349" s="56" t="n"/>
      <c r="CC349" s="56" t="n"/>
      <c r="CD349" s="56" t="n"/>
      <c r="CE349" s="56" t="n"/>
      <c r="CF349" s="267">
        <f>IF(ISNUMBER(CF338),CF343+SUM(CF344:CF348),"")</f>
        <v>909217.498238383</v>
      </c>
      <c r="CG349" s="267">
        <f>IF(ISNUMBER(CG338),CG343+SUM(CG344:CG348),"")</f>
        <v>1052934.20904218</v>
      </c>
      <c r="CH349" s="267">
        <f>IF(ISNUMBER(CH338),CH343+SUM(CH344:CH348),"")</f>
        <v>1182237.91680757</v>
      </c>
      <c r="CI349" s="267">
        <f>IF(ISNUMBER(CI338),CI343+SUM(CI344:CI348),"")</f>
        <v>1292271.99309647</v>
      </c>
      <c r="CJ349" s="267">
        <f>IF(ISNUMBER(CJ338),CJ343+SUM(CJ344:CJ348),"")</f>
        <v>1392153.34406397</v>
      </c>
      <c r="CK349" s="153" t="n"/>
      <c r="CM349" s="20">
        <f>IFERROR((CJ349/CA349)^(1/5)-1,"n/m")</f>
        <v>0.12917303591488</v>
      </c>
      <c r="CN349" s="20">
        <f>IFERROR((CA349/BB349)^(1/5)-1,"n/m")</f>
        <v>0.178379325557237</v>
      </c>
      <c r="CO349" s="20">
        <f>IFERROR((CA349/AC349)^(1/10)-1,"n/m")</f>
        <v>0.146243382120379</v>
      </c>
      <c r="CP349" s="20">
        <f>IFERROR((CA349/C349)^(1/20)-1,"n/m")</f>
        <v>0.126846351956172</v>
      </c>
    </row>
    <row r="350" ht="15" customHeight="1" s="251">
      <c r="B350" s="25" t="inlineStr">
        <is>
          <t>LIABILITIES AND STOCKHOLDERS' EQUITY</t>
        </is>
      </c>
      <c r="CK350" s="153" t="n"/>
    </row>
    <row r="351" ht="15" customHeight="1" s="251">
      <c r="B351" s="25" t="inlineStr">
        <is>
          <t xml:space="preserve">  Accounts payable</t>
        </is>
      </c>
      <c r="C351" s="253" t="n">
        <v>2909</v>
      </c>
      <c r="D351" s="253" t="n">
        <v>3247</v>
      </c>
      <c r="E351" s="253" t="n">
        <v>4034</v>
      </c>
      <c r="F351" s="253" t="n">
        <v>3324</v>
      </c>
      <c r="G351" s="253" t="n">
        <v>4025</v>
      </c>
      <c r="H351" s="253" t="n">
        <v>4197</v>
      </c>
      <c r="I351" s="253" t="n">
        <v>4175</v>
      </c>
      <c r="J351" s="253" t="n">
        <v>3631</v>
      </c>
      <c r="K351" s="253" t="n">
        <v>4356</v>
      </c>
      <c r="L351" s="253" t="n">
        <v>4532</v>
      </c>
      <c r="M351" s="253" t="n">
        <v>4828</v>
      </c>
      <c r="N351" s="253" t="n">
        <v>4828</v>
      </c>
      <c r="O351" s="253" t="n">
        <v>4841</v>
      </c>
      <c r="P351" s="253" t="n">
        <v>5398</v>
      </c>
      <c r="Q351" s="253" t="n">
        <v>4583</v>
      </c>
      <c r="R351" s="253" t="n">
        <v>7432</v>
      </c>
      <c r="S351" s="253" t="n">
        <v>7432</v>
      </c>
      <c r="T351" s="253" t="n">
        <v>6769</v>
      </c>
      <c r="U351" s="253" t="n">
        <v>6932</v>
      </c>
      <c r="V351" s="253" t="n">
        <v>6690</v>
      </c>
      <c r="W351" s="253" t="n">
        <v>6591</v>
      </c>
      <c r="X351" s="253" t="n">
        <v>6591</v>
      </c>
      <c r="Y351" s="253" t="n">
        <v>6630</v>
      </c>
      <c r="Z351" s="253" t="n">
        <v>6936</v>
      </c>
      <c r="AA351" s="253" t="n">
        <v>6759</v>
      </c>
      <c r="AB351" s="253" t="n">
        <v>6898</v>
      </c>
      <c r="AC351" s="253" t="n">
        <v>6898</v>
      </c>
      <c r="AD351" s="253" t="n">
        <v>6296</v>
      </c>
      <c r="AE351" s="253" t="n">
        <v>6580</v>
      </c>
      <c r="AF351" s="253" t="n">
        <v>6217</v>
      </c>
      <c r="AG351" s="253" t="n">
        <v>7390</v>
      </c>
      <c r="AH351" s="253" t="n">
        <v>7390</v>
      </c>
      <c r="AI351" s="253" t="n">
        <v>6866</v>
      </c>
      <c r="AJ351" s="253" t="n">
        <v>7850</v>
      </c>
      <c r="AK351" s="253" t="n">
        <v>7623</v>
      </c>
      <c r="AL351" s="253" t="n">
        <v>8617</v>
      </c>
      <c r="AM351" s="253" t="n">
        <v>8617</v>
      </c>
      <c r="AN351" s="253" t="n">
        <v>8511</v>
      </c>
      <c r="AO351" s="253" t="n">
        <v>7563</v>
      </c>
      <c r="AP351" s="253" t="n">
        <v>7544</v>
      </c>
      <c r="AQ351" s="253" t="n">
        <v>9382</v>
      </c>
      <c r="AR351" s="253" t="n">
        <v>9382</v>
      </c>
      <c r="AS351" s="253" t="n">
        <v>8574</v>
      </c>
      <c r="AT351" s="253" t="n">
        <v>8811</v>
      </c>
      <c r="AU351" s="253" t="n">
        <v>9246</v>
      </c>
      <c r="AV351" s="253" t="n">
        <v>12530</v>
      </c>
      <c r="AW351" s="253" t="n">
        <v>12530</v>
      </c>
      <c r="AX351" s="253" t="n">
        <v>12509</v>
      </c>
      <c r="AY351" s="253" t="n">
        <v>12770</v>
      </c>
      <c r="AZ351" s="253" t="n">
        <v>13412</v>
      </c>
      <c r="BA351" s="253" t="n">
        <v>15163</v>
      </c>
      <c r="BB351" s="253" t="n">
        <v>15163</v>
      </c>
      <c r="BC351" s="253" t="n">
        <v>14832</v>
      </c>
      <c r="BD351" s="253" t="n">
        <v>15314</v>
      </c>
      <c r="BE351" s="253" t="n">
        <v>16085</v>
      </c>
      <c r="BF351" s="253" t="n">
        <v>19000</v>
      </c>
      <c r="BG351" s="253" t="n">
        <v>19000</v>
      </c>
      <c r="BH351" s="253" t="n">
        <v>16609</v>
      </c>
      <c r="BI351" s="253" t="n">
        <v>15354</v>
      </c>
      <c r="BJ351" s="253" t="n">
        <v>15305</v>
      </c>
      <c r="BK351" s="253" t="n">
        <v>18095</v>
      </c>
      <c r="BL351" s="253" t="n">
        <v>18095</v>
      </c>
      <c r="BM351" s="253" t="n">
        <v>19307</v>
      </c>
      <c r="BN351" s="253" t="n">
        <v>17695</v>
      </c>
      <c r="BO351" s="253" t="n">
        <v>18087</v>
      </c>
      <c r="BP351" s="253" t="n">
        <v>21996</v>
      </c>
      <c r="BQ351" s="253" t="n">
        <v>21996</v>
      </c>
      <c r="BR351" s="253" t="n">
        <v>22768</v>
      </c>
      <c r="BS351" s="253" t="n">
        <v>22608</v>
      </c>
      <c r="BT351" s="253" t="n">
        <v>26250</v>
      </c>
      <c r="BU351" s="253" t="n">
        <v>27724</v>
      </c>
      <c r="BV351" s="253" t="n">
        <v>27724</v>
      </c>
      <c r="BW351" s="253" t="n">
        <v>32580</v>
      </c>
      <c r="BX351" s="253" t="n">
        <v>37328</v>
      </c>
      <c r="BY351" s="253" t="n">
        <v>37513</v>
      </c>
      <c r="BZ351" s="253" t="n">
        <v>42416</v>
      </c>
      <c r="CA351" s="253" t="n">
        <v>42416</v>
      </c>
      <c r="CB351" s="35" t="n"/>
      <c r="CC351" s="35" t="n"/>
      <c r="CD351" s="35" t="n"/>
      <c r="CE351" s="35" t="n"/>
      <c r="CF351" s="254">
        <f>CF369*CF372</f>
        <v>49806.889214576</v>
      </c>
      <c r="CG351" s="254">
        <f>CG369*CG372</f>
        <v>58292.0668115066</v>
      </c>
      <c r="CH351" s="254">
        <f>CH369*CH372</f>
        <v>67439.6328231193</v>
      </c>
      <c r="CI351" s="254">
        <f>CI369*CI372</f>
        <v>76717.6873633201</v>
      </c>
      <c r="CJ351" s="254">
        <f>CJ369*CJ372</f>
        <v>85977.4669854884</v>
      </c>
      <c r="CK351" s="19" t="n"/>
    </row>
    <row r="352" ht="15" customHeight="1" s="251">
      <c r="B352" s="25" t="inlineStr">
        <is>
          <t xml:space="preserve">  Short-term debt &amp; current portion of long-term debt</t>
        </is>
      </c>
      <c r="C352" s="253" t="n">
        <v>0</v>
      </c>
      <c r="D352" s="253" t="n">
        <v>0</v>
      </c>
      <c r="E352" s="253" t="n">
        <v>0</v>
      </c>
      <c r="F352" s="253" t="n">
        <v>2000</v>
      </c>
      <c r="G352" s="253" t="n">
        <v>1000</v>
      </c>
      <c r="H352" s="253" t="n">
        <v>0</v>
      </c>
      <c r="I352" s="253" t="n">
        <v>1231</v>
      </c>
      <c r="J352" s="253" t="n">
        <v>2236</v>
      </c>
      <c r="K352" s="253" t="n">
        <v>2241</v>
      </c>
      <c r="L352" s="253" t="n">
        <v>2246</v>
      </c>
      <c r="M352" s="253" t="n">
        <v>2999</v>
      </c>
      <c r="N352" s="253" t="n">
        <v>2999</v>
      </c>
      <c r="O352" s="253" t="n">
        <v>3300</v>
      </c>
      <c r="P352" s="253" t="n">
        <v>2300</v>
      </c>
      <c r="Q352" s="253" t="n">
        <v>2000</v>
      </c>
      <c r="R352" s="253" t="n">
        <v>2000</v>
      </c>
      <c r="S352" s="253" t="n">
        <v>2000</v>
      </c>
      <c r="T352" s="253" t="n">
        <v>5248</v>
      </c>
      <c r="U352" s="253" t="n">
        <v>10048</v>
      </c>
      <c r="V352" s="253" t="n">
        <v>4224</v>
      </c>
      <c r="W352" s="253" t="n">
        <v>7484</v>
      </c>
      <c r="X352" s="253" t="n">
        <v>7484</v>
      </c>
      <c r="Y352" s="253" t="n">
        <v>10748</v>
      </c>
      <c r="Z352" s="253" t="n">
        <v>3750</v>
      </c>
      <c r="AA352" s="253" t="n">
        <v>5498</v>
      </c>
      <c r="AB352" s="253" t="n">
        <v>12904</v>
      </c>
      <c r="AC352" s="253" t="n">
        <v>12904</v>
      </c>
      <c r="AD352" s="253" t="n">
        <v>14536</v>
      </c>
      <c r="AE352" s="253" t="n">
        <v>25664</v>
      </c>
      <c r="AF352" s="253" t="n">
        <v>7786</v>
      </c>
      <c r="AG352" s="253" t="n">
        <v>10121</v>
      </c>
      <c r="AH352" s="253" t="n">
        <v>10121</v>
      </c>
      <c r="AI352" s="253" t="n">
        <v>9220</v>
      </c>
      <c r="AJ352" s="253" t="n">
        <v>15912</v>
      </c>
      <c r="AK352" s="253" t="n">
        <v>3677</v>
      </c>
      <c r="AL352" s="253" t="n">
        <v>3998</v>
      </c>
      <c r="AM352" s="253" t="n">
        <v>3998</v>
      </c>
      <c r="AN352" s="253" t="n">
        <v>6497</v>
      </c>
      <c r="AO352" s="253" t="n">
        <v>3516</v>
      </c>
      <c r="AP352" s="253" t="n">
        <v>6515</v>
      </c>
      <c r="AQ352" s="253" t="n">
        <v>5516</v>
      </c>
      <c r="AR352" s="253" t="n">
        <v>5516</v>
      </c>
      <c r="AS352" s="253" t="n">
        <v>3017</v>
      </c>
      <c r="AT352" s="253" t="n">
        <v>6247</v>
      </c>
      <c r="AU352" s="253" t="n">
        <v>3748</v>
      </c>
      <c r="AV352" s="253" t="n">
        <v>3749</v>
      </c>
      <c r="AW352" s="253" t="n">
        <v>3749</v>
      </c>
      <c r="AX352" s="253" t="n">
        <v>6497</v>
      </c>
      <c r="AY352" s="253" t="n">
        <v>5387</v>
      </c>
      <c r="AZ352" s="253" t="n">
        <v>8051</v>
      </c>
      <c r="BA352" s="253" t="n">
        <v>8072</v>
      </c>
      <c r="BB352" s="253" t="n">
        <v>8072</v>
      </c>
      <c r="BC352" s="253" t="n">
        <v>3249</v>
      </c>
      <c r="BD352" s="253" t="n">
        <v>4998</v>
      </c>
      <c r="BE352" s="253" t="n">
        <v>1749</v>
      </c>
      <c r="BF352" s="253" t="n">
        <v>2749</v>
      </c>
      <c r="BG352" s="253" t="n">
        <v>2749</v>
      </c>
      <c r="BH352" s="253" t="n">
        <v>3248</v>
      </c>
      <c r="BI352" s="253" t="n">
        <v>3997</v>
      </c>
      <c r="BJ352" s="253" t="n">
        <v>6245</v>
      </c>
      <c r="BK352" s="253" t="n">
        <v>5247</v>
      </c>
      <c r="BL352" s="253" t="n">
        <v>5247</v>
      </c>
      <c r="BM352" s="253" t="n">
        <v>29556</v>
      </c>
      <c r="BN352" s="253" t="n">
        <v>29291</v>
      </c>
      <c r="BO352" s="253" t="n">
        <v>22784</v>
      </c>
      <c r="BP352" s="253" t="n">
        <v>8942</v>
      </c>
      <c r="BQ352" s="253" t="n">
        <v>8942</v>
      </c>
      <c r="BR352" s="253" t="n">
        <v>2249</v>
      </c>
      <c r="BS352" s="253" t="n">
        <v>5248</v>
      </c>
      <c r="BT352" s="253" t="n">
        <v>2999</v>
      </c>
      <c r="BU352" s="253" t="n">
        <v>2999</v>
      </c>
      <c r="BV352" s="253" t="n">
        <v>2999</v>
      </c>
      <c r="BW352" s="253" t="n">
        <v>7832</v>
      </c>
      <c r="BX352" s="253" t="n">
        <v>4837</v>
      </c>
      <c r="BY352" s="253" t="n">
        <v>8839</v>
      </c>
      <c r="BZ352" s="253" t="n">
        <v>9227</v>
      </c>
      <c r="CA352" s="253" t="n">
        <v>9227</v>
      </c>
      <c r="CB352" s="35" t="n"/>
      <c r="CC352" s="35" t="n"/>
      <c r="CD352" s="35" t="n"/>
      <c r="CE352" s="35" t="n"/>
      <c r="CF352" s="254">
        <f>MIN(CF395,CF397)+CF398</f>
        <v>0</v>
      </c>
      <c r="CG352" s="254">
        <f>MIN(CG395,CG397)+CG398</f>
        <v>2001</v>
      </c>
      <c r="CH352" s="254">
        <f>MIN(CH395,CH397)+CH398</f>
        <v>0</v>
      </c>
      <c r="CI352" s="254">
        <f>MIN(CI395,CI397)+CI398</f>
        <v>500</v>
      </c>
      <c r="CJ352" s="254">
        <f>MIN(CJ395,CJ397)+CJ398</f>
        <v>0</v>
      </c>
      <c r="CK352" s="19" t="inlineStr">
        <is>
          <t>Notes maturing in the following fiscal year + short-term borrowing.</t>
        </is>
      </c>
    </row>
    <row r="353" ht="15" customHeight="1" s="251">
      <c r="B353" s="25" t="inlineStr">
        <is>
          <t xml:space="preserve">  Short-term unearned revenue</t>
        </is>
      </c>
      <c r="C353" s="253" t="n">
        <v>9138</v>
      </c>
      <c r="D353" s="253" t="n">
        <v>10779</v>
      </c>
      <c r="E353" s="253" t="n">
        <v>13397</v>
      </c>
      <c r="F353" s="253" t="n">
        <v>13003</v>
      </c>
      <c r="G353" s="253" t="n">
        <v>13652</v>
      </c>
      <c r="H353" s="253" t="n">
        <v>15722</v>
      </c>
      <c r="I353" s="253" t="n">
        <v>18653</v>
      </c>
      <c r="J353" s="253" t="n">
        <v>18295</v>
      </c>
      <c r="K353" s="253" t="n">
        <v>18354</v>
      </c>
      <c r="L353" s="253" t="n">
        <v>16511</v>
      </c>
      <c r="M353" s="253" t="n">
        <v>20639</v>
      </c>
      <c r="N353" s="253" t="n">
        <v>20639</v>
      </c>
      <c r="O353" s="253" t="n">
        <v>18585</v>
      </c>
      <c r="P353" s="253" t="n">
        <v>17616</v>
      </c>
      <c r="Q353" s="253" t="n">
        <v>17670</v>
      </c>
      <c r="R353" s="253" t="n">
        <v>23150</v>
      </c>
      <c r="S353" s="253" t="n">
        <v>23150</v>
      </c>
      <c r="T353" s="253" t="n">
        <v>20713</v>
      </c>
      <c r="U353" s="253" t="n">
        <v>19192</v>
      </c>
      <c r="V353" s="253" t="n">
        <v>18232</v>
      </c>
      <c r="W353" s="253" t="n">
        <v>23223</v>
      </c>
      <c r="X353" s="253" t="n">
        <v>23223</v>
      </c>
      <c r="Y353" s="253" t="n">
        <v>21603</v>
      </c>
      <c r="Z353" s="253" t="n">
        <v>20929</v>
      </c>
      <c r="AA353" s="253" t="n">
        <v>20876</v>
      </c>
      <c r="AB353" s="253" t="n">
        <v>27468</v>
      </c>
      <c r="AC353" s="253" t="n">
        <v>27468</v>
      </c>
      <c r="AD353" s="253" t="n">
        <v>26304</v>
      </c>
      <c r="AE353" s="253" t="n">
        <v>26085</v>
      </c>
      <c r="AF353" s="253" t="n">
        <v>26518</v>
      </c>
      <c r="AG353" s="253" t="n">
        <v>34102</v>
      </c>
      <c r="AH353" s="253" t="n">
        <v>34102</v>
      </c>
      <c r="AI353" s="253" t="n">
        <v>22778</v>
      </c>
      <c r="AJ353" s="253" t="n">
        <v>21309</v>
      </c>
      <c r="AK353" s="253" t="n">
        <v>21370</v>
      </c>
      <c r="AL353" s="253" t="n">
        <v>28905</v>
      </c>
      <c r="AM353" s="253" t="n">
        <v>28905</v>
      </c>
      <c r="AN353" s="253" t="n">
        <v>26704</v>
      </c>
      <c r="AO353" s="253" t="n">
        <v>24285</v>
      </c>
      <c r="AP353" s="253" t="n">
        <v>24251</v>
      </c>
      <c r="AQ353" s="253" t="n">
        <v>32676</v>
      </c>
      <c r="AR353" s="253" t="n">
        <v>32676</v>
      </c>
      <c r="AS353" s="253" t="n">
        <v>29904</v>
      </c>
      <c r="AT353" s="253" t="n">
        <v>27343</v>
      </c>
      <c r="AU353" s="253" t="n">
        <v>27012</v>
      </c>
      <c r="AV353" s="253" t="n">
        <v>36000</v>
      </c>
      <c r="AW353" s="253" t="n">
        <v>36000</v>
      </c>
      <c r="AX353" s="253" t="n">
        <v>33476</v>
      </c>
      <c r="AY353" s="253" t="n">
        <v>30402</v>
      </c>
      <c r="AZ353" s="253" t="n">
        <v>30083</v>
      </c>
      <c r="BA353" s="253" t="n">
        <v>41525</v>
      </c>
      <c r="BB353" s="253" t="n">
        <v>41525</v>
      </c>
      <c r="BC353" s="253" t="n">
        <v>38465</v>
      </c>
      <c r="BD353" s="253" t="n">
        <v>34001</v>
      </c>
      <c r="BE353" s="253" t="n">
        <v>34027</v>
      </c>
      <c r="BF353" s="253" t="n">
        <v>45538</v>
      </c>
      <c r="BG353" s="253" t="n">
        <v>45538</v>
      </c>
      <c r="BH353" s="253" t="n">
        <v>41340</v>
      </c>
      <c r="BI353" s="253" t="n">
        <v>36982</v>
      </c>
      <c r="BJ353" s="253" t="n">
        <v>36903</v>
      </c>
      <c r="BK353" s="253" t="n">
        <v>50901</v>
      </c>
      <c r="BL353" s="253" t="n">
        <v>50901</v>
      </c>
      <c r="BM353" s="253" t="n">
        <v>46429</v>
      </c>
      <c r="BN353" s="253" t="n">
        <v>43068</v>
      </c>
      <c r="BO353" s="253" t="n">
        <v>41888</v>
      </c>
      <c r="BP353" s="253" t="n">
        <v>57582</v>
      </c>
      <c r="BQ353" s="253" t="n">
        <v>57582</v>
      </c>
      <c r="BR353" s="253" t="n">
        <v>53026</v>
      </c>
      <c r="BS353" s="253" t="n">
        <v>45508</v>
      </c>
      <c r="BT353" s="253" t="n">
        <v>44636</v>
      </c>
      <c r="BU353" s="253" t="n">
        <v>64555</v>
      </c>
      <c r="BV353" s="253" t="n">
        <v>64555</v>
      </c>
      <c r="BW353" s="253" t="n">
        <v>58987</v>
      </c>
      <c r="BX353" s="253" t="n">
        <v>51376</v>
      </c>
      <c r="BY353" s="253" t="n">
        <v>50924</v>
      </c>
      <c r="BZ353" s="253" t="n">
        <v>72965</v>
      </c>
      <c r="CA353" s="253" t="n">
        <v>72965</v>
      </c>
      <c r="CB353" s="35" t="n"/>
      <c r="CC353" s="35" t="n"/>
      <c r="CD353" s="35" t="n"/>
      <c r="CE353" s="35" t="n"/>
      <c r="CF353" s="254">
        <f>CF369*CF371</f>
        <v>85605.5908375525</v>
      </c>
      <c r="CG353" s="254">
        <f>CG369*CG371</f>
        <v>100189.489832277</v>
      </c>
      <c r="CH353" s="254">
        <f>CH369*CH371</f>
        <v>115911.868914736</v>
      </c>
      <c r="CI353" s="254">
        <f>CI369*CI371</f>
        <v>131858.525155706</v>
      </c>
      <c r="CJ353" s="254">
        <f>CJ369*CJ371</f>
        <v>147773.771381308</v>
      </c>
      <c r="CK353" s="19" t="n"/>
    </row>
    <row r="354" ht="15" customHeight="1" s="251">
      <c r="B354" s="25" t="inlineStr">
        <is>
          <t xml:space="preserve">  Accrued compensation, income taxes &amp; other current liabilities (derived)</t>
        </is>
      </c>
      <c r="C354" s="253" t="n">
        <v>10395</v>
      </c>
      <c r="D354" s="253" t="n">
        <v>9728</v>
      </c>
      <c r="E354" s="253" t="n">
        <v>12455</v>
      </c>
      <c r="F354" s="253" t="n">
        <v>8707</v>
      </c>
      <c r="G354" s="253" t="n">
        <v>7470</v>
      </c>
      <c r="H354" s="253" t="n">
        <v>8855</v>
      </c>
      <c r="I354" s="253" t="n">
        <v>8629</v>
      </c>
      <c r="J354" s="253" t="n">
        <v>7240</v>
      </c>
      <c r="K354" s="253" t="n">
        <v>6959</v>
      </c>
      <c r="L354" s="253" t="n">
        <v>8640</v>
      </c>
      <c r="M354" s="253" t="n">
        <v>8951</v>
      </c>
      <c r="N354" s="253" t="n">
        <v>8951</v>
      </c>
      <c r="O354" s="253" t="n">
        <v>7897</v>
      </c>
      <c r="P354" s="253" t="n">
        <v>8428</v>
      </c>
      <c r="Q354" s="253" t="n">
        <v>9650</v>
      </c>
      <c r="R354" s="253" t="n">
        <v>13043</v>
      </c>
      <c r="S354" s="253" t="n">
        <v>13043</v>
      </c>
      <c r="T354" s="253" t="n">
        <v>11964</v>
      </c>
      <c r="U354" s="253" t="n">
        <v>11243</v>
      </c>
      <c r="V354" s="253" t="n">
        <v>11602</v>
      </c>
      <c r="W354" s="253" t="n">
        <v>12560</v>
      </c>
      <c r="X354" s="253" t="n">
        <v>12560</v>
      </c>
      <c r="Y354" s="253" t="n">
        <v>10418</v>
      </c>
      <c r="Z354" s="253" t="n">
        <v>11028</v>
      </c>
      <c r="AA354" s="253" t="n">
        <v>11221</v>
      </c>
      <c r="AB354" s="253" t="n">
        <v>12087</v>
      </c>
      <c r="AC354" s="253" t="n">
        <v>12087</v>
      </c>
      <c r="AD354" s="253" t="n">
        <v>11674</v>
      </c>
      <c r="AE354" s="253" t="n">
        <v>12458</v>
      </c>
      <c r="AF354" s="253" t="n">
        <v>11484</v>
      </c>
      <c r="AG354" s="253" t="n">
        <v>12914</v>
      </c>
      <c r="AH354" s="253" t="n">
        <v>12914</v>
      </c>
      <c r="AI354" s="253" t="n">
        <v>12751</v>
      </c>
      <c r="AJ354" s="253" t="n">
        <v>13028</v>
      </c>
      <c r="AK354" s="253" t="n">
        <v>13463</v>
      </c>
      <c r="AL354" s="253" t="n">
        <v>16968</v>
      </c>
      <c r="AM354" s="253" t="n">
        <v>16968</v>
      </c>
      <c r="AN354" s="253" t="n">
        <v>14565</v>
      </c>
      <c r="AO354" s="253" t="n">
        <v>14954</v>
      </c>
      <c r="AP354" s="253" t="n">
        <v>15551</v>
      </c>
      <c r="AQ354" s="253" t="n">
        <v>21846</v>
      </c>
      <c r="AR354" s="253" t="n">
        <v>21846</v>
      </c>
      <c r="AS354" s="253" t="n">
        <v>16623</v>
      </c>
      <c r="AT354" s="253" t="n">
        <v>17239</v>
      </c>
      <c r="AU354" s="253" t="n">
        <v>18701</v>
      </c>
      <c r="AV354" s="253" t="n">
        <v>20031</v>
      </c>
      <c r="AW354" s="253" t="n">
        <v>20031</v>
      </c>
      <c r="AX354" s="253" t="n">
        <v>17574</v>
      </c>
      <c r="AY354" s="253" t="n">
        <v>18927</v>
      </c>
      <c r="AZ354" s="253" t="n">
        <v>20647</v>
      </c>
      <c r="BA354" s="253" t="n">
        <v>23897</v>
      </c>
      <c r="BB354" s="253" t="n">
        <v>23897</v>
      </c>
      <c r="BC354" s="253" t="n">
        <v>23982</v>
      </c>
      <c r="BD354" s="253" t="n">
        <v>23197</v>
      </c>
      <c r="BE354" s="253" t="n">
        <v>25578</v>
      </c>
      <c r="BF354" s="253" t="n">
        <v>27795</v>
      </c>
      <c r="BG354" s="253" t="n">
        <v>27795</v>
      </c>
      <c r="BH354" s="253" t="n">
        <v>26192</v>
      </c>
      <c r="BI354" s="253" t="n">
        <v>25385</v>
      </c>
      <c r="BJ354" s="253" t="n">
        <v>27238</v>
      </c>
      <c r="BK354" s="253" t="n">
        <v>29906</v>
      </c>
      <c r="BL354" s="253" t="n">
        <v>29906</v>
      </c>
      <c r="BM354" s="253" t="n">
        <v>29500</v>
      </c>
      <c r="BN354" s="253" t="n">
        <v>30962</v>
      </c>
      <c r="BO354" s="253" t="n">
        <v>35766</v>
      </c>
      <c r="BP354" s="253" t="n">
        <v>36766</v>
      </c>
      <c r="BQ354" s="253" t="n">
        <v>36766</v>
      </c>
      <c r="BR354" s="253" t="n">
        <v>37157</v>
      </c>
      <c r="BS354" s="253" t="n">
        <v>35518</v>
      </c>
      <c r="BT354" s="253" t="n">
        <v>40321</v>
      </c>
      <c r="BU354" s="253" t="n">
        <v>45940</v>
      </c>
      <c r="BV354" s="253" t="n">
        <v>45940</v>
      </c>
      <c r="BW354" s="253" t="n">
        <v>35597</v>
      </c>
      <c r="BX354" s="253" t="n">
        <v>36464</v>
      </c>
      <c r="BY354" s="253" t="n">
        <v>39385</v>
      </c>
      <c r="BZ354" s="253" t="n">
        <v>44217</v>
      </c>
      <c r="CA354" s="253" t="n">
        <v>44217</v>
      </c>
      <c r="CB354" s="35" t="n"/>
      <c r="CC354" s="35" t="n"/>
      <c r="CD354" s="35" t="n"/>
      <c r="CE354" s="35" t="n"/>
      <c r="CF354" s="254">
        <f>CA354</f>
        <v>44217</v>
      </c>
      <c r="CG354" s="254">
        <f>CF354</f>
        <v>44217</v>
      </c>
      <c r="CH354" s="254">
        <f>CG354</f>
        <v>44217</v>
      </c>
      <c r="CI354" s="254">
        <f>CH354</f>
        <v>44217</v>
      </c>
      <c r="CJ354" s="254">
        <f>CI354</f>
        <v>44217</v>
      </c>
      <c r="CK354" s="19" t="n"/>
    </row>
    <row r="355" ht="15" customHeight="1" s="251">
      <c r="B355" s="16" t="inlineStr">
        <is>
          <t>Total current liabilities</t>
        </is>
      </c>
      <c r="C355" s="260">
        <f>IF(ISNUMBER(C351),SUM(C351:C354),"")</f>
        <v>22442</v>
      </c>
      <c r="D355" s="260">
        <f>IF(ISNUMBER(D351),SUM(D351:D354),"")</f>
        <v>23754</v>
      </c>
      <c r="E355" s="260">
        <f>IF(ISNUMBER(E351),SUM(E351:E354),"")</f>
        <v>29886</v>
      </c>
      <c r="F355" s="260">
        <f>IF(ISNUMBER(F351),SUM(F351:F354),"")</f>
        <v>27034</v>
      </c>
      <c r="G355" s="260">
        <f>IF(ISNUMBER(G351),SUM(G351:G354),"")</f>
        <v>26147</v>
      </c>
      <c r="H355" s="260">
        <f>IF(ISNUMBER(H351),SUM(H351:H354),"")</f>
        <v>28774</v>
      </c>
      <c r="I355" s="260">
        <f>IF(ISNUMBER(I351),SUM(I351:I354),"")</f>
        <v>32688</v>
      </c>
      <c r="J355" s="260">
        <f>IF(ISNUMBER(J351),SUM(J351:J354),"")</f>
        <v>31402</v>
      </c>
      <c r="K355" s="260">
        <f>IF(ISNUMBER(K351),SUM(K351:K354),"")</f>
        <v>31910</v>
      </c>
      <c r="L355" s="260">
        <f>IF(ISNUMBER(L351),SUM(L351:L354),"")</f>
        <v>31929</v>
      </c>
      <c r="M355" s="260">
        <f>IF(ISNUMBER(M351),SUM(M351:M354),"")</f>
        <v>37417</v>
      </c>
      <c r="N355" s="260">
        <f>IF(ISNUMBER(N351),SUM(N351:N354),"")</f>
        <v>37417</v>
      </c>
      <c r="O355" s="260">
        <f>IF(ISNUMBER(O351),SUM(O351:O354),"")</f>
        <v>34623</v>
      </c>
      <c r="P355" s="260">
        <f>IF(ISNUMBER(P351),SUM(P351:P354),"")</f>
        <v>33742</v>
      </c>
      <c r="Q355" s="260">
        <f>IF(ISNUMBER(Q351),SUM(Q351:Q354),"")</f>
        <v>33903</v>
      </c>
      <c r="R355" s="260">
        <f>IF(ISNUMBER(R351),SUM(R351:R354),"")</f>
        <v>45625</v>
      </c>
      <c r="S355" s="260">
        <f>IF(ISNUMBER(S351),SUM(S351:S354),"")</f>
        <v>45625</v>
      </c>
      <c r="T355" s="260">
        <f>IF(ISNUMBER(T351),SUM(T351:T354),"")</f>
        <v>44694</v>
      </c>
      <c r="U355" s="260">
        <f>IF(ISNUMBER(U351),SUM(U351:U354),"")</f>
        <v>47415</v>
      </c>
      <c r="V355" s="260">
        <f>IF(ISNUMBER(V351),SUM(V351:V354),"")</f>
        <v>40748</v>
      </c>
      <c r="W355" s="260">
        <f>IF(ISNUMBER(W351),SUM(W351:W354),"")</f>
        <v>49858</v>
      </c>
      <c r="X355" s="260">
        <f>IF(ISNUMBER(X351),SUM(X351:X354),"")</f>
        <v>49858</v>
      </c>
      <c r="Y355" s="260">
        <f>IF(ISNUMBER(Y351),SUM(Y351:Y354),"")</f>
        <v>49399</v>
      </c>
      <c r="Z355" s="260">
        <f>IF(ISNUMBER(Z351),SUM(Z351:Z354),"")</f>
        <v>42643</v>
      </c>
      <c r="AA355" s="260">
        <f>IF(ISNUMBER(AA351),SUM(AA351:AA354),"")</f>
        <v>44354</v>
      </c>
      <c r="AB355" s="260">
        <f>IF(ISNUMBER(AB351),SUM(AB351:AB354),"")</f>
        <v>59357</v>
      </c>
      <c r="AC355" s="260">
        <f>IF(ISNUMBER(AC351),SUM(AC351:AC354),"")</f>
        <v>59357</v>
      </c>
      <c r="AD355" s="260">
        <f>IF(ISNUMBER(AD351),SUM(AD351:AD354),"")</f>
        <v>58810</v>
      </c>
      <c r="AE355" s="260">
        <f>IF(ISNUMBER(AE351),SUM(AE351:AE354),"")</f>
        <v>70787</v>
      </c>
      <c r="AF355" s="260">
        <f>IF(ISNUMBER(AF351),SUM(AF351:AF354),"")</f>
        <v>52005</v>
      </c>
      <c r="AG355" s="260">
        <f>IF(ISNUMBER(AG351),SUM(AG351:AG354),"")</f>
        <v>64527</v>
      </c>
      <c r="AH355" s="260">
        <f>IF(ISNUMBER(AH351),SUM(AH351:AH354),"")</f>
        <v>64527</v>
      </c>
      <c r="AI355" s="260">
        <f>IF(ISNUMBER(AI351),SUM(AI351:AI354),"")</f>
        <v>51615</v>
      </c>
      <c r="AJ355" s="260">
        <f>IF(ISNUMBER(AJ351),SUM(AJ351:AJ354),"")</f>
        <v>58099</v>
      </c>
      <c r="AK355" s="260">
        <f>IF(ISNUMBER(AK351),SUM(AK351:AK354),"")</f>
        <v>46133</v>
      </c>
      <c r="AL355" s="260">
        <f>IF(ISNUMBER(AL351),SUM(AL351:AL354),"")</f>
        <v>58488</v>
      </c>
      <c r="AM355" s="260">
        <f>IF(ISNUMBER(AM351),SUM(AM351:AM354),"")</f>
        <v>58488</v>
      </c>
      <c r="AN355" s="260">
        <f>IF(ISNUMBER(AN351),SUM(AN351:AN354),"")</f>
        <v>56277</v>
      </c>
      <c r="AO355" s="260">
        <f>IF(ISNUMBER(AO351),SUM(AO351:AO354),"")</f>
        <v>50318</v>
      </c>
      <c r="AP355" s="260">
        <f>IF(ISNUMBER(AP351),SUM(AP351:AP354),"")</f>
        <v>53861</v>
      </c>
      <c r="AQ355" s="260">
        <f>IF(ISNUMBER(AQ351),SUM(AQ351:AQ354),"")</f>
        <v>69420</v>
      </c>
      <c r="AR355" s="260">
        <f>IF(ISNUMBER(AR351),SUM(AR351:AR354),"")</f>
        <v>69420</v>
      </c>
      <c r="AS355" s="260">
        <f>IF(ISNUMBER(AS351),SUM(AS351:AS354),"")</f>
        <v>58118</v>
      </c>
      <c r="AT355" s="260">
        <f>IF(ISNUMBER(AT351),SUM(AT351:AT354),"")</f>
        <v>59640</v>
      </c>
      <c r="AU355" s="260">
        <f>IF(ISNUMBER(AU351),SUM(AU351:AU354),"")</f>
        <v>58707</v>
      </c>
      <c r="AV355" s="260">
        <f>IF(ISNUMBER(AV351),SUM(AV351:AV354),"")</f>
        <v>72310</v>
      </c>
      <c r="AW355" s="260">
        <f>IF(ISNUMBER(AW351),SUM(AW351:AW354),"")</f>
        <v>72310</v>
      </c>
      <c r="AX355" s="260">
        <f>IF(ISNUMBER(AX351),SUM(AX351:AX354),"")</f>
        <v>70056</v>
      </c>
      <c r="AY355" s="260">
        <f>IF(ISNUMBER(AY351),SUM(AY351:AY354),"")</f>
        <v>67486</v>
      </c>
      <c r="AZ355" s="260">
        <f>IF(ISNUMBER(AZ351),SUM(AZ351:AZ354),"")</f>
        <v>72193</v>
      </c>
      <c r="BA355" s="260">
        <f>IF(ISNUMBER(BA351),SUM(BA351:BA354),"")</f>
        <v>88657</v>
      </c>
      <c r="BB355" s="260">
        <f>IF(ISNUMBER(BB351),SUM(BB351:BB354),"")</f>
        <v>88657</v>
      </c>
      <c r="BC355" s="260">
        <f>IF(ISNUMBER(BC351),SUM(BC351:BC354),"")</f>
        <v>80528</v>
      </c>
      <c r="BD355" s="260">
        <f>IF(ISNUMBER(BD351),SUM(BD351:BD354),"")</f>
        <v>77510</v>
      </c>
      <c r="BE355" s="260">
        <f>IF(ISNUMBER(BE351),SUM(BE351:BE354),"")</f>
        <v>77439</v>
      </c>
      <c r="BF355" s="260">
        <f>IF(ISNUMBER(BF351),SUM(BF351:BF354),"")</f>
        <v>95082</v>
      </c>
      <c r="BG355" s="260">
        <f>IF(ISNUMBER(BG351),SUM(BG351:BG354),"")</f>
        <v>95082</v>
      </c>
      <c r="BH355" s="260">
        <f>IF(ISNUMBER(BH351),SUM(BH351:BH354),"")</f>
        <v>87389</v>
      </c>
      <c r="BI355" s="260">
        <f>IF(ISNUMBER(BI351),SUM(BI351:BI354),"")</f>
        <v>81718</v>
      </c>
      <c r="BJ355" s="260">
        <f>IF(ISNUMBER(BJ351),SUM(BJ351:BJ354),"")</f>
        <v>85691</v>
      </c>
      <c r="BK355" s="260">
        <f>IF(ISNUMBER(BK351),SUM(BK351:BK354),"")</f>
        <v>104149</v>
      </c>
      <c r="BL355" s="260">
        <f>IF(ISNUMBER(BL351),SUM(BL351:BL354),"")</f>
        <v>104149</v>
      </c>
      <c r="BM355" s="260">
        <f>IF(ISNUMBER(BM351),SUM(BM351:BM354),"")</f>
        <v>124792</v>
      </c>
      <c r="BN355" s="260">
        <f>IF(ISNUMBER(BN351),SUM(BN351:BN354),"")</f>
        <v>121016</v>
      </c>
      <c r="BO355" s="260">
        <f>IF(ISNUMBER(BO351),SUM(BO351:BO354),"")</f>
        <v>118525</v>
      </c>
      <c r="BP355" s="260">
        <f>IF(ISNUMBER(BP351),SUM(BP351:BP354),"")</f>
        <v>125286</v>
      </c>
      <c r="BQ355" s="260">
        <f>IF(ISNUMBER(BQ351),SUM(BQ351:BQ354),"")</f>
        <v>125286</v>
      </c>
      <c r="BR355" s="260">
        <f>IF(ISNUMBER(BR351),SUM(BR351:BR354),"")</f>
        <v>115200</v>
      </c>
      <c r="BS355" s="260">
        <f>IF(ISNUMBER(BS351),SUM(BS351:BS354),"")</f>
        <v>108882</v>
      </c>
      <c r="BT355" s="260">
        <f>IF(ISNUMBER(BT351),SUM(BT351:BT354),"")</f>
        <v>114206</v>
      </c>
      <c r="BU355" s="260">
        <f>IF(ISNUMBER(BU351),SUM(BU351:BU354),"")</f>
        <v>141218</v>
      </c>
      <c r="BV355" s="260">
        <f>IF(ISNUMBER(BV351),SUM(BV351:BV354),"")</f>
        <v>141218</v>
      </c>
      <c r="BW355" s="260">
        <f>IF(ISNUMBER(BW351),SUM(BW351:BW354),"")</f>
        <v>134996</v>
      </c>
      <c r="BX355" s="260">
        <f>IF(ISNUMBER(BX351),SUM(BX351:BX354),"")</f>
        <v>130005</v>
      </c>
      <c r="BY355" s="260">
        <f>IF(ISNUMBER(BY351),SUM(BY351:BY354),"")</f>
        <v>136661</v>
      </c>
      <c r="BZ355" s="260">
        <f>IF(ISNUMBER(BZ351),SUM(BZ351:BZ354),"")</f>
        <v>168825</v>
      </c>
      <c r="CA355" s="260">
        <f>IF(ISNUMBER(CA351),SUM(CA351:CA354),"")</f>
        <v>168825</v>
      </c>
      <c r="CB355" s="32" t="n"/>
      <c r="CC355" s="32" t="n"/>
      <c r="CD355" s="32" t="n"/>
      <c r="CE355" s="32" t="n"/>
      <c r="CF355" s="261">
        <f>IF(ISNUMBER(CF351),SUM(CF351:CF354),"")</f>
        <v>179629.480052128</v>
      </c>
      <c r="CG355" s="261">
        <f>IF(ISNUMBER(CG351),SUM(CG351:CG354),"")</f>
        <v>204699.556643784</v>
      </c>
      <c r="CH355" s="261">
        <f>IF(ISNUMBER(CH351),SUM(CH351:CH354),"")</f>
        <v>227568.501737856</v>
      </c>
      <c r="CI355" s="261">
        <f>IF(ISNUMBER(CI351),SUM(CI351:CI354),"")</f>
        <v>253293.212519026</v>
      </c>
      <c r="CJ355" s="261">
        <f>IF(ISNUMBER(CJ351),SUM(CJ351:CJ354),"")</f>
        <v>277968.238366797</v>
      </c>
      <c r="CK355" s="153" t="n"/>
    </row>
    <row r="356" ht="15" customHeight="1" s="251">
      <c r="B356" s="25" t="inlineStr">
        <is>
          <t xml:space="preserve">  Long-term debt</t>
        </is>
      </c>
      <c r="C356" s="253" t="n">
        <v>0</v>
      </c>
      <c r="D356" s="253" t="n">
        <v>0</v>
      </c>
      <c r="E356" s="253" t="n">
        <v>0</v>
      </c>
      <c r="F356" s="253" t="n">
        <v>3746</v>
      </c>
      <c r="G356" s="253" t="n">
        <v>4939</v>
      </c>
      <c r="H356" s="253" t="n">
        <v>11921</v>
      </c>
      <c r="I356" s="253" t="n">
        <v>10713</v>
      </c>
      <c r="J356" s="253" t="n">
        <v>9714</v>
      </c>
      <c r="K356" s="253" t="n">
        <v>11947</v>
      </c>
      <c r="L356" s="253" t="n">
        <v>11949</v>
      </c>
      <c r="M356" s="253" t="n">
        <v>12601</v>
      </c>
      <c r="N356" s="253" t="n">
        <v>12601</v>
      </c>
      <c r="O356" s="253" t="n">
        <v>12632</v>
      </c>
      <c r="P356" s="253" t="n">
        <v>20676</v>
      </c>
      <c r="Q356" s="253" t="n">
        <v>20679</v>
      </c>
      <c r="R356" s="253" t="n">
        <v>20645</v>
      </c>
      <c r="S356" s="253" t="n">
        <v>20645</v>
      </c>
      <c r="T356" s="253" t="n">
        <v>18472</v>
      </c>
      <c r="U356" s="253" t="n">
        <v>18260</v>
      </c>
      <c r="V356" s="253" t="n">
        <v>27644</v>
      </c>
      <c r="W356" s="253" t="n">
        <v>27808</v>
      </c>
      <c r="X356" s="253" t="n">
        <v>27808</v>
      </c>
      <c r="Y356" s="253" t="n">
        <v>27819</v>
      </c>
      <c r="Z356" s="253" t="n">
        <v>40679</v>
      </c>
      <c r="AA356" s="253" t="n">
        <v>40896</v>
      </c>
      <c r="AB356" s="253" t="n">
        <v>40783</v>
      </c>
      <c r="AC356" s="253" t="n">
        <v>40783</v>
      </c>
      <c r="AD356" s="253" t="n">
        <v>60154</v>
      </c>
      <c r="AE356" s="253" t="n">
        <v>59306</v>
      </c>
      <c r="AF356" s="253" t="n">
        <v>76222</v>
      </c>
      <c r="AG356" s="253" t="n">
        <v>76073</v>
      </c>
      <c r="AH356" s="253" t="n">
        <v>76073</v>
      </c>
      <c r="AI356" s="253" t="n">
        <v>76255</v>
      </c>
      <c r="AJ356" s="253" t="n">
        <v>73348</v>
      </c>
      <c r="AK356" s="253" t="n">
        <v>73480</v>
      </c>
      <c r="AL356" s="253" t="n">
        <v>72242</v>
      </c>
      <c r="AM356" s="253" t="n">
        <v>72242</v>
      </c>
      <c r="AN356" s="253" t="n">
        <v>69733</v>
      </c>
      <c r="AO356" s="253" t="n">
        <v>69653</v>
      </c>
      <c r="AP356" s="253" t="n">
        <v>66585</v>
      </c>
      <c r="AQ356" s="253" t="n">
        <v>66662</v>
      </c>
      <c r="AR356" s="253" t="n">
        <v>66662</v>
      </c>
      <c r="AS356" s="253" t="n">
        <v>66478</v>
      </c>
      <c r="AT356" s="253" t="n">
        <v>63361</v>
      </c>
      <c r="AU356" s="253" t="n">
        <v>62862</v>
      </c>
      <c r="AV356" s="253" t="n">
        <v>59578</v>
      </c>
      <c r="AW356" s="253" t="n">
        <v>59578</v>
      </c>
      <c r="AX356" s="253" t="n">
        <v>57055</v>
      </c>
      <c r="AY356" s="253" t="n">
        <v>55136</v>
      </c>
      <c r="AZ356" s="253" t="n">
        <v>50007</v>
      </c>
      <c r="BA356" s="253" t="n">
        <v>50074</v>
      </c>
      <c r="BB356" s="253" t="n">
        <v>50074</v>
      </c>
      <c r="BC356" s="253" t="n">
        <v>50039</v>
      </c>
      <c r="BD356" s="253" t="n">
        <v>48260</v>
      </c>
      <c r="BE356" s="253" t="n">
        <v>48177</v>
      </c>
      <c r="BF356" s="253" t="n">
        <v>47032</v>
      </c>
      <c r="BG356" s="253" t="n">
        <v>47032</v>
      </c>
      <c r="BH356" s="253" t="n">
        <v>45374</v>
      </c>
      <c r="BI356" s="253" t="n">
        <v>44119</v>
      </c>
      <c r="BJ356" s="253" t="n">
        <v>41965</v>
      </c>
      <c r="BK356" s="253" t="n">
        <v>41990</v>
      </c>
      <c r="BL356" s="253" t="n">
        <v>41990</v>
      </c>
      <c r="BM356" s="253" t="n">
        <v>41946</v>
      </c>
      <c r="BN356" s="253" t="n">
        <v>44928</v>
      </c>
      <c r="BO356" s="253" t="n">
        <v>42658</v>
      </c>
      <c r="BP356" s="253" t="n">
        <v>42688</v>
      </c>
      <c r="BQ356" s="253" t="n">
        <v>42688</v>
      </c>
      <c r="BR356" s="253" t="n">
        <v>42868</v>
      </c>
      <c r="BS356" s="253" t="n">
        <v>39722</v>
      </c>
      <c r="BT356" s="253" t="n">
        <v>39882</v>
      </c>
      <c r="BU356" s="253" t="n">
        <v>40152</v>
      </c>
      <c r="BV356" s="253" t="n">
        <v>40152</v>
      </c>
      <c r="BW356" s="253" t="n">
        <v>35376</v>
      </c>
      <c r="BX356" s="253" t="n">
        <v>35425</v>
      </c>
      <c r="BY356" s="253" t="n">
        <v>31423</v>
      </c>
      <c r="BZ356" s="253" t="n">
        <v>31067</v>
      </c>
      <c r="CA356" s="253" t="n">
        <v>31067</v>
      </c>
      <c r="CB356" s="35" t="n"/>
      <c r="CC356" s="35" t="n"/>
      <c r="CD356" s="35" t="n"/>
      <c r="CE356" s="35" t="n"/>
      <c r="CF356" s="254">
        <f>CF394-CF352</f>
        <v>31044</v>
      </c>
      <c r="CG356" s="254">
        <f>CG394-CG352</f>
        <v>29043</v>
      </c>
      <c r="CH356" s="254">
        <f>CH394-CH352</f>
        <v>29043</v>
      </c>
      <c r="CI356" s="254">
        <f>CI394-CI352</f>
        <v>28543</v>
      </c>
      <c r="CJ356" s="254">
        <f>CJ394-CJ352</f>
        <v>28543</v>
      </c>
      <c r="CK356" s="19" t="n"/>
    </row>
    <row r="357" ht="15" customHeight="1" s="251">
      <c r="B357" s="25" t="inlineStr">
        <is>
          <t xml:space="preserve">  Long-term income taxes, unearned revenue, deferred taxes, lease liabilities (incl. finance leases) &amp; other (derived)</t>
        </is>
      </c>
      <c r="C357" s="253" t="n">
        <v>7051</v>
      </c>
      <c r="D357" s="253" t="n">
        <v>8320</v>
      </c>
      <c r="E357" s="253" t="n">
        <v>6621</v>
      </c>
      <c r="F357" s="253" t="n">
        <v>7550</v>
      </c>
      <c r="G357" s="253" t="n">
        <v>8852</v>
      </c>
      <c r="H357" s="253" t="n">
        <v>10926</v>
      </c>
      <c r="I357" s="253" t="n">
        <v>11507</v>
      </c>
      <c r="J357" s="253" t="n">
        <v>11924</v>
      </c>
      <c r="K357" s="253" t="n">
        <v>12250</v>
      </c>
      <c r="L357" s="253" t="n">
        <v>13539</v>
      </c>
      <c r="M357" s="253" t="n">
        <v>13469</v>
      </c>
      <c r="N357" s="253" t="n">
        <v>13469</v>
      </c>
      <c r="O357" s="253" t="n">
        <v>13452</v>
      </c>
      <c r="P357" s="253" t="n">
        <v>14025</v>
      </c>
      <c r="Q357" s="253" t="n">
        <v>14113</v>
      </c>
      <c r="R357" s="253" t="n">
        <v>16330</v>
      </c>
      <c r="S357" s="253" t="n">
        <v>16330</v>
      </c>
      <c r="T357" s="253" t="n">
        <v>16320</v>
      </c>
      <c r="U357" s="253" t="n">
        <v>17294</v>
      </c>
      <c r="V357" s="253" t="n">
        <v>18159</v>
      </c>
      <c r="W357" s="253" t="n">
        <v>18474</v>
      </c>
      <c r="X357" s="253" t="n">
        <v>18474</v>
      </c>
      <c r="Y357" s="253" t="n">
        <v>18233</v>
      </c>
      <c r="Z357" s="253" t="n">
        <v>19996</v>
      </c>
      <c r="AA357" s="253" t="n">
        <v>21813</v>
      </c>
      <c r="AB357" s="253" t="n">
        <v>21557</v>
      </c>
      <c r="AC357" s="253" t="n">
        <v>21557</v>
      </c>
      <c r="AD357" s="253" t="n">
        <v>23188</v>
      </c>
      <c r="AE357" s="253" t="n">
        <v>25708</v>
      </c>
      <c r="AF357" s="253" t="n">
        <v>27061</v>
      </c>
      <c r="AG357" s="253" t="n">
        <v>28092</v>
      </c>
      <c r="AH357" s="253" t="n">
        <v>28092</v>
      </c>
      <c r="AI357" s="253" t="n">
        <v>31580</v>
      </c>
      <c r="AJ357" s="253" t="n">
        <v>46196</v>
      </c>
      <c r="AK357" s="253" t="n">
        <v>46645</v>
      </c>
      <c r="AL357" s="253" t="n">
        <v>45400</v>
      </c>
      <c r="AM357" s="253" t="n">
        <v>45400</v>
      </c>
      <c r="AN357" s="253" t="n">
        <v>45642</v>
      </c>
      <c r="AO357" s="253" t="n">
        <v>46760</v>
      </c>
      <c r="AP357" s="253" t="n">
        <v>47971</v>
      </c>
      <c r="AQ357" s="253" t="n">
        <v>48144</v>
      </c>
      <c r="AR357" s="253" t="n">
        <v>48144</v>
      </c>
      <c r="AS357" s="253" t="n">
        <v>48298</v>
      </c>
      <c r="AT357" s="253" t="n">
        <v>49684</v>
      </c>
      <c r="AU357" s="253" t="n">
        <v>49379</v>
      </c>
      <c r="AV357" s="253" t="n">
        <v>51119</v>
      </c>
      <c r="AW357" s="253" t="n">
        <v>51119</v>
      </c>
      <c r="AX357" s="253" t="n">
        <v>50498</v>
      </c>
      <c r="AY357" s="253" t="n">
        <v>51279</v>
      </c>
      <c r="AZ357" s="253" t="n">
        <v>52174</v>
      </c>
      <c r="BA357" s="253" t="n">
        <v>53060</v>
      </c>
      <c r="BB357" s="253" t="n">
        <v>53060</v>
      </c>
      <c r="BC357" s="253" t="n">
        <v>52873</v>
      </c>
      <c r="BD357" s="253" t="n">
        <v>54609</v>
      </c>
      <c r="BE357" s="253" t="n">
        <v>56067</v>
      </c>
      <c r="BF357" s="253" t="n">
        <v>56184</v>
      </c>
      <c r="BG357" s="253" t="n">
        <v>56184</v>
      </c>
      <c r="BH357" s="253" t="n">
        <v>53455</v>
      </c>
      <c r="BI357" s="253" t="n">
        <v>55579</v>
      </c>
      <c r="BJ357" s="253" t="n">
        <v>57749</v>
      </c>
      <c r="BK357" s="253" t="n">
        <v>59614</v>
      </c>
      <c r="BL357" s="253" t="n">
        <v>59614</v>
      </c>
      <c r="BM357" s="253" t="n">
        <v>58333</v>
      </c>
      <c r="BN357" s="253" t="n">
        <v>66346</v>
      </c>
      <c r="BO357" s="253" t="n">
        <v>69940</v>
      </c>
      <c r="BP357" s="253" t="n">
        <v>75712</v>
      </c>
      <c r="BQ357" s="253" t="n">
        <v>75712</v>
      </c>
      <c r="BR357" s="253" t="n">
        <v>77222</v>
      </c>
      <c r="BS357" s="253" t="n">
        <v>82599</v>
      </c>
      <c r="BT357" s="253" t="n">
        <v>86645</v>
      </c>
      <c r="BU357" s="253" t="n">
        <v>94154</v>
      </c>
      <c r="BV357" s="253" t="n">
        <v>94154</v>
      </c>
      <c r="BW357" s="253" t="n">
        <v>102903</v>
      </c>
      <c r="BX357" s="253" t="n">
        <v>108997</v>
      </c>
      <c r="BY357" s="253" t="n">
        <v>111777</v>
      </c>
      <c r="BZ357" s="253" t="n">
        <v>116097</v>
      </c>
      <c r="CA357" s="253" t="n">
        <v>116097</v>
      </c>
      <c r="CB357" s="35" t="n"/>
      <c r="CC357" s="35" t="n"/>
      <c r="CD357" s="35" t="n"/>
      <c r="CE357" s="35" t="n"/>
      <c r="CF357" s="254">
        <f>CA357+CF294+(CF402-CA402)</f>
        <v>146635.202</v>
      </c>
      <c r="CG357" s="254">
        <f>CF357+CG294+(CG402-CF402)</f>
        <v>175990.627758236</v>
      </c>
      <c r="CH357" s="254">
        <f>CG357+CH294+(CH402-CG402)</f>
        <v>204397.005898577</v>
      </c>
      <c r="CI357" s="254">
        <f>CH357+CI294+(CI402-CH402)</f>
        <v>230729.719620586</v>
      </c>
      <c r="CJ357" s="254">
        <f>CI357+CJ294+(CJ402-CI402)</f>
        <v>256202.671212158</v>
      </c>
      <c r="CK357" s="19" t="inlineStr">
        <is>
          <t>Roll-forward: prior + deferred taxes + change in finance-lease liabilities.</t>
        </is>
      </c>
    </row>
    <row r="358" ht="15" customHeight="1" s="251">
      <c r="B358" s="16" t="inlineStr">
        <is>
          <t>Total liabilities</t>
        </is>
      </c>
      <c r="C358" s="260">
        <f>IF(ISNUMBER(C351),C355+SUM(C356:C357),"")</f>
        <v>29493</v>
      </c>
      <c r="D358" s="260">
        <f>IF(ISNUMBER(D351),D355+SUM(D356:D357),"")</f>
        <v>32074</v>
      </c>
      <c r="E358" s="260">
        <f>IF(ISNUMBER(E351),E355+SUM(E356:E357),"")</f>
        <v>36507</v>
      </c>
      <c r="F358" s="260">
        <f>IF(ISNUMBER(F351),F355+SUM(F356:F357),"")</f>
        <v>38330</v>
      </c>
      <c r="G358" s="260">
        <f>IF(ISNUMBER(G351),G355+SUM(G356:G357),"")</f>
        <v>39938</v>
      </c>
      <c r="H358" s="260">
        <f>IF(ISNUMBER(H351),H355+SUM(H356:H357),"")</f>
        <v>51621</v>
      </c>
      <c r="I358" s="260">
        <f>IF(ISNUMBER(I351),I355+SUM(I356:I357),"")</f>
        <v>54908</v>
      </c>
      <c r="J358" s="260">
        <f>IF(ISNUMBER(J351),J355+SUM(J356:J357),"")</f>
        <v>53040</v>
      </c>
      <c r="K358" s="260">
        <f>IF(ISNUMBER(K351),K355+SUM(K356:K357),"")</f>
        <v>56107</v>
      </c>
      <c r="L358" s="260">
        <f>IF(ISNUMBER(L351),L355+SUM(L356:L357),"")</f>
        <v>57417</v>
      </c>
      <c r="M358" s="260">
        <f>IF(ISNUMBER(M351),M355+SUM(M356:M357),"")</f>
        <v>63487</v>
      </c>
      <c r="N358" s="260">
        <f>IF(ISNUMBER(N351),N355+SUM(N356:N357),"")</f>
        <v>63487</v>
      </c>
      <c r="O358" s="260">
        <f>IF(ISNUMBER(O351),O355+SUM(O356:O357),"")</f>
        <v>60707</v>
      </c>
      <c r="P358" s="260">
        <f>IF(ISNUMBER(P351),P355+SUM(P356:P357),"")</f>
        <v>68443</v>
      </c>
      <c r="Q358" s="260">
        <f>IF(ISNUMBER(Q351),Q355+SUM(Q356:Q357),"")</f>
        <v>68695</v>
      </c>
      <c r="R358" s="260">
        <f>IF(ISNUMBER(R351),R355+SUM(R356:R357),"")</f>
        <v>82600</v>
      </c>
      <c r="S358" s="260">
        <f>IF(ISNUMBER(S351),S355+SUM(S356:S357),"")</f>
        <v>82600</v>
      </c>
      <c r="T358" s="260">
        <f>IF(ISNUMBER(T351),T355+SUM(T356:T357),"")</f>
        <v>79486</v>
      </c>
      <c r="U358" s="260">
        <f>IF(ISNUMBER(U351),U355+SUM(U356:U357),"")</f>
        <v>82969</v>
      </c>
      <c r="V358" s="260">
        <f>IF(ISNUMBER(V351),V355+SUM(V356:V357),"")</f>
        <v>86551</v>
      </c>
      <c r="W358" s="260">
        <f>IF(ISNUMBER(W351),W355+SUM(W356:W357),"")</f>
        <v>96140</v>
      </c>
      <c r="X358" s="260">
        <f>IF(ISNUMBER(X351),X355+SUM(X356:X357),"")</f>
        <v>96140</v>
      </c>
      <c r="Y358" s="260">
        <f>IF(ISNUMBER(Y351),Y355+SUM(Y356:Y357),"")</f>
        <v>95451</v>
      </c>
      <c r="Z358" s="260">
        <f>IF(ISNUMBER(Z351),Z355+SUM(Z356:Z357),"")</f>
        <v>103318</v>
      </c>
      <c r="AA358" s="260">
        <f>IF(ISNUMBER(AA351),AA355+SUM(AA356:AA357),"")</f>
        <v>107063</v>
      </c>
      <c r="AB358" s="260">
        <f>IF(ISNUMBER(AB351),AB355+SUM(AB356:AB357),"")</f>
        <v>121697</v>
      </c>
      <c r="AC358" s="260">
        <f>IF(ISNUMBER(AC351),AC355+SUM(AC356:AC357),"")</f>
        <v>121697</v>
      </c>
      <c r="AD358" s="260">
        <f>IF(ISNUMBER(AD351),AD355+SUM(AD356:AD357),"")</f>
        <v>142152</v>
      </c>
      <c r="AE358" s="260">
        <f>IF(ISNUMBER(AE351),AE355+SUM(AE356:AE357),"")</f>
        <v>155801</v>
      </c>
      <c r="AF358" s="260">
        <f>IF(ISNUMBER(AF351),AF355+SUM(AF356:AF357),"")</f>
        <v>155288</v>
      </c>
      <c r="AG358" s="260">
        <f>IF(ISNUMBER(AG351),AG355+SUM(AG356:AG357),"")</f>
        <v>168692</v>
      </c>
      <c r="AH358" s="260">
        <f>IF(ISNUMBER(AH351),AH355+SUM(AH356:AH357),"")</f>
        <v>168692</v>
      </c>
      <c r="AI358" s="260">
        <f>IF(ISNUMBER(AI351),AI355+SUM(AI356:AI357),"")</f>
        <v>159450</v>
      </c>
      <c r="AJ358" s="260">
        <f>IF(ISNUMBER(AJ351),AJ355+SUM(AJ356:AJ357),"")</f>
        <v>177643</v>
      </c>
      <c r="AK358" s="260">
        <f>IF(ISNUMBER(AK351),AK355+SUM(AK356:AK357),"")</f>
        <v>166258</v>
      </c>
      <c r="AL358" s="260">
        <f>IF(ISNUMBER(AL351),AL355+SUM(AL356:AL357),"")</f>
        <v>176130</v>
      </c>
      <c r="AM358" s="260">
        <f>IF(ISNUMBER(AM351),AM355+SUM(AM356:AM357),"")</f>
        <v>176130</v>
      </c>
      <c r="AN358" s="260">
        <f>IF(ISNUMBER(AN351),AN355+SUM(AN356:AN357),"")</f>
        <v>171652</v>
      </c>
      <c r="AO358" s="260">
        <f>IF(ISNUMBER(AO351),AO355+SUM(AO356:AO357),"")</f>
        <v>166731</v>
      </c>
      <c r="AP358" s="260">
        <f>IF(ISNUMBER(AP351),AP355+SUM(AP356:AP357),"")</f>
        <v>168417</v>
      </c>
      <c r="AQ358" s="260">
        <f>IF(ISNUMBER(AQ351),AQ355+SUM(AQ356:AQ357),"")</f>
        <v>184226</v>
      </c>
      <c r="AR358" s="260">
        <f>IF(ISNUMBER(AR351),AR355+SUM(AR356:AR357),"")</f>
        <v>184226</v>
      </c>
      <c r="AS358" s="260">
        <f>IF(ISNUMBER(AS351),AS355+SUM(AS356:AS357),"")</f>
        <v>172894</v>
      </c>
      <c r="AT358" s="260">
        <f>IF(ISNUMBER(AT351),AT355+SUM(AT356:AT357),"")</f>
        <v>172685</v>
      </c>
      <c r="AU358" s="260">
        <f>IF(ISNUMBER(AU351),AU355+SUM(AU356:AU357),"")</f>
        <v>170948</v>
      </c>
      <c r="AV358" s="260">
        <f>IF(ISNUMBER(AV351),AV355+SUM(AV356:AV357),"")</f>
        <v>183007</v>
      </c>
      <c r="AW358" s="260">
        <f>IF(ISNUMBER(AW351),AW355+SUM(AW356:AW357),"")</f>
        <v>183007</v>
      </c>
      <c r="AX358" s="260">
        <f>IF(ISNUMBER(AX351),AX355+SUM(AX356:AX357),"")</f>
        <v>177609</v>
      </c>
      <c r="AY358" s="260">
        <f>IF(ISNUMBER(AY351),AY355+SUM(AY356:AY357),"")</f>
        <v>173901</v>
      </c>
      <c r="AZ358" s="260">
        <f>IF(ISNUMBER(AZ351),AZ355+SUM(AZ356:AZ357),"")</f>
        <v>174374</v>
      </c>
      <c r="BA358" s="260">
        <f>IF(ISNUMBER(BA351),BA355+SUM(BA356:BA357),"")</f>
        <v>191791</v>
      </c>
      <c r="BB358" s="260">
        <f>IF(ISNUMBER(BB351),BB355+SUM(BB356:BB357),"")</f>
        <v>191791</v>
      </c>
      <c r="BC358" s="260">
        <f>IF(ISNUMBER(BC351),BC355+SUM(BC356:BC357),"")</f>
        <v>183440</v>
      </c>
      <c r="BD358" s="260">
        <f>IF(ISNUMBER(BD351),BD355+SUM(BD356:BD357),"")</f>
        <v>180379</v>
      </c>
      <c r="BE358" s="260">
        <f>IF(ISNUMBER(BE351),BE355+SUM(BE356:BE357),"")</f>
        <v>181683</v>
      </c>
      <c r="BF358" s="260">
        <f>IF(ISNUMBER(BF351),BF355+SUM(BF356:BF357),"")</f>
        <v>198298</v>
      </c>
      <c r="BG358" s="260">
        <f>IF(ISNUMBER(BG351),BG355+SUM(BG356:BG357),"")</f>
        <v>198298</v>
      </c>
      <c r="BH358" s="260">
        <f>IF(ISNUMBER(BH351),BH355+SUM(BH356:BH357),"")</f>
        <v>186218</v>
      </c>
      <c r="BI358" s="260">
        <f>IF(ISNUMBER(BI351),BI355+SUM(BI356:BI357),"")</f>
        <v>181416</v>
      </c>
      <c r="BJ358" s="260">
        <f>IF(ISNUMBER(BJ351),BJ355+SUM(BJ356:BJ357),"")</f>
        <v>185405</v>
      </c>
      <c r="BK358" s="260">
        <f>IF(ISNUMBER(BK351),BK355+SUM(BK356:BK357),"")</f>
        <v>205753</v>
      </c>
      <c r="BL358" s="260">
        <f>IF(ISNUMBER(BL351),BL355+SUM(BL356:BL357),"")</f>
        <v>205753</v>
      </c>
      <c r="BM358" s="260">
        <f>IF(ISNUMBER(BM351),BM355+SUM(BM356:BM357),"")</f>
        <v>225071</v>
      </c>
      <c r="BN358" s="260">
        <f>IF(ISNUMBER(BN351),BN355+SUM(BN356:BN357),"")</f>
        <v>232290</v>
      </c>
      <c r="BO358" s="260">
        <f>IF(ISNUMBER(BO351),BO355+SUM(BO356:BO357),"")</f>
        <v>231123</v>
      </c>
      <c r="BP358" s="260">
        <f>IF(ISNUMBER(BP351),BP355+SUM(BP356:BP357),"")</f>
        <v>243686</v>
      </c>
      <c r="BQ358" s="260">
        <f>IF(ISNUMBER(BQ351),BQ355+SUM(BQ356:BQ357),"")</f>
        <v>243686</v>
      </c>
      <c r="BR358" s="260">
        <f>IF(ISNUMBER(BR351),BR355+SUM(BR356:BR357),"")</f>
        <v>235290</v>
      </c>
      <c r="BS358" s="260">
        <f>IF(ISNUMBER(BS351),BS355+SUM(BS356:BS357),"")</f>
        <v>231203</v>
      </c>
      <c r="BT358" s="260">
        <f>IF(ISNUMBER(BT351),BT355+SUM(BT356:BT357),"")</f>
        <v>240733</v>
      </c>
      <c r="BU358" s="260">
        <f>IF(ISNUMBER(BU351),BU355+SUM(BU356:BU357),"")</f>
        <v>275524</v>
      </c>
      <c r="BV358" s="260">
        <f>IF(ISNUMBER(BV351),BV355+SUM(BV356:BV357),"")</f>
        <v>275524</v>
      </c>
      <c r="BW358" s="260">
        <f>IF(ISNUMBER(BW351),BW355+SUM(BW356:BW357),"")</f>
        <v>273275</v>
      </c>
      <c r="BX358" s="260">
        <f>IF(ISNUMBER(BX351),BX355+SUM(BX356:BX357),"")</f>
        <v>274427</v>
      </c>
      <c r="BY358" s="260">
        <f>IF(ISNUMBER(BY351),BY355+SUM(BY356:BY357),"")</f>
        <v>279861</v>
      </c>
      <c r="BZ358" s="260">
        <f>IF(ISNUMBER(BZ351),BZ355+SUM(BZ356:BZ357),"")</f>
        <v>315989</v>
      </c>
      <c r="CA358" s="260">
        <f>IF(ISNUMBER(CA351),CA355+SUM(CA356:CA357),"")</f>
        <v>315989</v>
      </c>
      <c r="CB358" s="32" t="n"/>
      <c r="CC358" s="32" t="n"/>
      <c r="CD358" s="32" t="n"/>
      <c r="CE358" s="32" t="n"/>
      <c r="CF358" s="261">
        <f>IF(ISNUMBER(CF351),CF355+SUM(CF356:CF357),"")</f>
        <v>357308.682052128</v>
      </c>
      <c r="CG358" s="261">
        <f>IF(ISNUMBER(CG351),CG355+SUM(CG356:CG357),"")</f>
        <v>409733.184402019</v>
      </c>
      <c r="CH358" s="261">
        <f>IF(ISNUMBER(CH351),CH355+SUM(CH356:CH357),"")</f>
        <v>461008.507636433</v>
      </c>
      <c r="CI358" s="261">
        <f>IF(ISNUMBER(CI351),CI355+SUM(CI356:CI357),"")</f>
        <v>512565.932139613</v>
      </c>
      <c r="CJ358" s="261">
        <f>IF(ISNUMBER(CJ351),CJ355+SUM(CJ356:CJ357),"")</f>
        <v>562713.909578955</v>
      </c>
      <c r="CK358" s="153" t="n"/>
    </row>
    <row r="359" ht="15" customHeight="1" s="251">
      <c r="B359" s="25" t="inlineStr">
        <is>
          <t xml:space="preserve">  Total stockholders' equity</t>
        </is>
      </c>
      <c r="C359" s="253" t="n">
        <v>40104</v>
      </c>
      <c r="D359" s="253" t="n">
        <v>31097</v>
      </c>
      <c r="E359" s="253" t="n">
        <v>36286</v>
      </c>
      <c r="F359" s="253" t="n">
        <v>39558</v>
      </c>
      <c r="G359" s="253" t="n">
        <v>46175</v>
      </c>
      <c r="H359" s="253" t="n">
        <v>57083</v>
      </c>
      <c r="I359" s="253" t="n">
        <v>66363</v>
      </c>
      <c r="J359" s="253" t="n">
        <v>68836</v>
      </c>
      <c r="K359" s="253" t="n">
        <v>72576</v>
      </c>
      <c r="L359" s="253" t="n">
        <v>76688</v>
      </c>
      <c r="M359" s="253" t="n">
        <v>78944</v>
      </c>
      <c r="N359" s="253" t="n">
        <v>78944</v>
      </c>
      <c r="O359" s="253" t="n">
        <v>81641</v>
      </c>
      <c r="P359" s="253" t="n">
        <v>85100</v>
      </c>
      <c r="Q359" s="253" t="n">
        <v>87424</v>
      </c>
      <c r="R359" s="253" t="n">
        <v>89784</v>
      </c>
      <c r="S359" s="253" t="n">
        <v>89784</v>
      </c>
      <c r="T359" s="253" t="n">
        <v>90170</v>
      </c>
      <c r="U359" s="253" t="n">
        <v>91879</v>
      </c>
      <c r="V359" s="253" t="n">
        <v>90132</v>
      </c>
      <c r="W359" s="253" t="n">
        <v>80083</v>
      </c>
      <c r="X359" s="253" t="n">
        <v>80083</v>
      </c>
      <c r="Y359" s="253" t="n">
        <v>77445</v>
      </c>
      <c r="Z359" s="253" t="n">
        <v>76780</v>
      </c>
      <c r="AA359" s="253" t="n">
        <v>74806</v>
      </c>
      <c r="AB359" s="253" t="n">
        <v>71997</v>
      </c>
      <c r="AC359" s="253" t="n">
        <v>71997</v>
      </c>
      <c r="AD359" s="253" t="n">
        <v>70372</v>
      </c>
      <c r="AE359" s="253" t="n">
        <v>68809</v>
      </c>
      <c r="AF359" s="253" t="n">
        <v>69729</v>
      </c>
      <c r="AG359" s="253" t="n">
        <v>72394</v>
      </c>
      <c r="AH359" s="253" t="n">
        <v>72394</v>
      </c>
      <c r="AI359" s="253" t="n">
        <v>89647</v>
      </c>
      <c r="AJ359" s="253" t="n">
        <v>78360</v>
      </c>
      <c r="AK359" s="253" t="n">
        <v>79239</v>
      </c>
      <c r="AL359" s="253" t="n">
        <v>82718</v>
      </c>
      <c r="AM359" s="253" t="n">
        <v>82718</v>
      </c>
      <c r="AN359" s="253" t="n">
        <v>85967</v>
      </c>
      <c r="AO359" s="253" t="n">
        <v>92128</v>
      </c>
      <c r="AP359" s="253" t="n">
        <v>94864</v>
      </c>
      <c r="AQ359" s="253" t="n">
        <v>102330</v>
      </c>
      <c r="AR359" s="253" t="n">
        <v>102330</v>
      </c>
      <c r="AS359" s="253" t="n">
        <v>106061</v>
      </c>
      <c r="AT359" s="253" t="n">
        <v>110109</v>
      </c>
      <c r="AU359" s="253" t="n">
        <v>114501</v>
      </c>
      <c r="AV359" s="253" t="n">
        <v>118304</v>
      </c>
      <c r="AW359" s="253" t="n">
        <v>118304</v>
      </c>
      <c r="AX359" s="253" t="n">
        <v>123392</v>
      </c>
      <c r="AY359" s="253" t="n">
        <v>130236</v>
      </c>
      <c r="AZ359" s="253" t="n">
        <v>134505</v>
      </c>
      <c r="BA359" s="253" t="n">
        <v>141988</v>
      </c>
      <c r="BB359" s="253" t="n">
        <v>141988</v>
      </c>
      <c r="BC359" s="253" t="n">
        <v>151978</v>
      </c>
      <c r="BD359" s="253" t="n">
        <v>160010</v>
      </c>
      <c r="BE359" s="253" t="n">
        <v>162924</v>
      </c>
      <c r="BF359" s="253" t="n">
        <v>166542</v>
      </c>
      <c r="BG359" s="253" t="n">
        <v>166542</v>
      </c>
      <c r="BH359" s="253" t="n">
        <v>173566</v>
      </c>
      <c r="BI359" s="253" t="n">
        <v>183136</v>
      </c>
      <c r="BJ359" s="253" t="n">
        <v>194683</v>
      </c>
      <c r="BK359" s="253" t="n">
        <v>206223</v>
      </c>
      <c r="BL359" s="253" t="n">
        <v>206223</v>
      </c>
      <c r="BM359" s="253" t="n">
        <v>220714</v>
      </c>
      <c r="BN359" s="253" t="n">
        <v>238268</v>
      </c>
      <c r="BO359" s="253" t="n">
        <v>253152</v>
      </c>
      <c r="BP359" s="253" t="n">
        <v>268477</v>
      </c>
      <c r="BQ359" s="253" t="n">
        <v>268477</v>
      </c>
      <c r="BR359" s="253" t="n">
        <v>287723</v>
      </c>
      <c r="BS359" s="253" t="n">
        <v>302695</v>
      </c>
      <c r="BT359" s="253" t="n">
        <v>321891</v>
      </c>
      <c r="BU359" s="253" t="n">
        <v>343479</v>
      </c>
      <c r="BV359" s="253" t="n">
        <v>343479</v>
      </c>
      <c r="BW359" s="253" t="n">
        <v>363076</v>
      </c>
      <c r="BX359" s="253" t="n">
        <v>390875</v>
      </c>
      <c r="BY359" s="253" t="n">
        <v>414367</v>
      </c>
      <c r="BZ359" s="253" t="n">
        <v>442387</v>
      </c>
      <c r="CA359" s="253" t="n">
        <v>442387</v>
      </c>
      <c r="CB359" s="35" t="n"/>
      <c r="CC359" s="35" t="n"/>
      <c r="CD359" s="35" t="n"/>
      <c r="CE359" s="35" t="n"/>
      <c r="CF359" s="254">
        <f>CA359+CF201+CF302+CF301+CF293+CF303</f>
        <v>551908.816186255</v>
      </c>
      <c r="CG359" s="254">
        <f>CF359+CG201+CG302+CG301+CG293+CG303</f>
        <v>643201.02464016</v>
      </c>
      <c r="CH359" s="254">
        <f>CG359+CH201+CH302+CH301+CH293+CH303</f>
        <v>721229.409171137</v>
      </c>
      <c r="CI359" s="254">
        <f>CH359+CI201+CI302+CI301+CI293+CI303</f>
        <v>779706.060956862</v>
      </c>
      <c r="CJ359" s="254">
        <f>CI359+CJ201+CJ302+CJ301+CJ293+CJ303</f>
        <v>829439.434485014</v>
      </c>
      <c r="CK359" s="19" t="inlineStr">
        <is>
          <t>+ net income − dividends − repurchases + stock-based compensation + stock issued (other comprehensive income held flat; dividends paid ≈ declared).</t>
        </is>
      </c>
      <c r="CM359" s="20">
        <f>IFERROR((CJ359/CA359)^(1/5)-1,"n/m")</f>
        <v>0.133956682333052</v>
      </c>
      <c r="CN359" s="20">
        <f>IFERROR((CA359/BB359)^(1/5)-1,"n/m")</f>
        <v>0.255191943005776</v>
      </c>
      <c r="CO359" s="20">
        <f>IFERROR((CA359/AC359)^(1/10)-1,"n/m")</f>
        <v>0.19908175692235</v>
      </c>
      <c r="CP359" s="20">
        <f>IFERROR((CA359/C359)^(1/20)-1,"n/m")</f>
        <v>0.127536821185479</v>
      </c>
    </row>
    <row r="360" ht="15" customHeight="1" s="251">
      <c r="B360" s="25" t="inlineStr">
        <is>
          <t xml:space="preserve">  Noncontrolling interests (none)</t>
        </is>
      </c>
      <c r="C360" s="34" t="n"/>
      <c r="D360" s="34" t="n"/>
      <c r="E360" s="34" t="n"/>
      <c r="F360" s="34" t="n"/>
      <c r="G360" s="34" t="n"/>
      <c r="H360" s="34" t="n"/>
      <c r="I360" s="34" t="n"/>
      <c r="J360" s="34" t="n"/>
      <c r="K360" s="34" t="n"/>
      <c r="L360" s="34" t="n"/>
      <c r="M360" s="34" t="n"/>
      <c r="N360" s="34" t="n"/>
      <c r="O360" s="34" t="n"/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  <c r="AA360" s="34" t="n"/>
      <c r="AB360" s="34" t="n"/>
      <c r="AC360" s="34" t="n"/>
      <c r="AD360" s="34" t="n"/>
      <c r="AE360" s="34" t="n"/>
      <c r="AF360" s="34" t="n"/>
      <c r="AG360" s="34" t="n"/>
      <c r="AH360" s="34" t="n"/>
      <c r="AI360" s="34" t="n"/>
      <c r="AJ360" s="34" t="n"/>
      <c r="AK360" s="34" t="n"/>
      <c r="AL360" s="34" t="n"/>
      <c r="AM360" s="34" t="n"/>
      <c r="AN360" s="34" t="n"/>
      <c r="AO360" s="34" t="n"/>
      <c r="AP360" s="34" t="n"/>
      <c r="AQ360" s="34" t="n"/>
      <c r="AR360" s="34" t="n"/>
      <c r="AS360" s="34" t="n"/>
      <c r="AT360" s="34" t="n"/>
      <c r="AU360" s="34" t="n"/>
      <c r="AV360" s="34" t="n"/>
      <c r="AW360" s="34" t="n"/>
      <c r="AX360" s="34" t="n"/>
      <c r="AY360" s="34" t="n"/>
      <c r="AZ360" s="34" t="n"/>
      <c r="BA360" s="34" t="n"/>
      <c r="BB360" s="34" t="n"/>
      <c r="BC360" s="34" t="n"/>
      <c r="BD360" s="34" t="n"/>
      <c r="BE360" s="34" t="n"/>
      <c r="BF360" s="34" t="n"/>
      <c r="BG360" s="34" t="n"/>
      <c r="BH360" s="34" t="n"/>
      <c r="BI360" s="34" t="n"/>
      <c r="BJ360" s="34" t="n"/>
      <c r="BK360" s="34" t="n"/>
      <c r="BL360" s="34" t="n"/>
      <c r="BM360" s="34" t="n"/>
      <c r="BN360" s="34" t="n"/>
      <c r="BO360" s="34" t="n"/>
      <c r="BP360" s="34" t="n"/>
      <c r="BQ360" s="34" t="n"/>
      <c r="BR360" s="34" t="n"/>
      <c r="BS360" s="34" t="n"/>
      <c r="BT360" s="34" t="n"/>
      <c r="BU360" s="34" t="n"/>
      <c r="BV360" s="34" t="n"/>
      <c r="BW360" s="34" t="n"/>
      <c r="BX360" s="34" t="n"/>
      <c r="BY360" s="34" t="n"/>
      <c r="BZ360" s="34" t="n"/>
      <c r="CA360" s="211">
        <f>0</f>
        <v>0</v>
      </c>
      <c r="CB360" s="35" t="n"/>
      <c r="CC360" s="35" t="n"/>
      <c r="CD360" s="35" t="n"/>
      <c r="CE360" s="35" t="n"/>
      <c r="CF360" s="254">
        <f>0</f>
        <v>0</v>
      </c>
      <c r="CG360" s="254">
        <f>0</f>
        <v>0</v>
      </c>
      <c r="CH360" s="254">
        <f>0</f>
        <v>0</v>
      </c>
      <c r="CI360" s="254">
        <f>0</f>
        <v>0</v>
      </c>
      <c r="CJ360" s="254">
        <f>0</f>
        <v>0</v>
      </c>
      <c r="CK360" s="19" t="n"/>
    </row>
    <row r="361" ht="15" customHeight="1" s="251">
      <c r="B361" s="55" t="inlineStr">
        <is>
          <t>Total liabilities and stockholders' equity</t>
        </is>
      </c>
      <c r="C361" s="267">
        <f>IF(ISNUMBER(C358),C358+C359+N(C360),"")</f>
        <v>69597</v>
      </c>
      <c r="D361" s="267">
        <f>IF(ISNUMBER(D358),D358+D359+N(D360),"")</f>
        <v>63171</v>
      </c>
      <c r="E361" s="267">
        <f>IF(ISNUMBER(E358),E358+E359+N(E360),"")</f>
        <v>72793</v>
      </c>
      <c r="F361" s="267">
        <f>IF(ISNUMBER(F358),F358+F359+N(F360),"")</f>
        <v>77888</v>
      </c>
      <c r="G361" s="267">
        <f>IF(ISNUMBER(G358),G358+G359+N(G360),"")</f>
        <v>86113</v>
      </c>
      <c r="H361" s="267">
        <f>IF(ISNUMBER(H358),H358+H359+N(H360),"")</f>
        <v>108704</v>
      </c>
      <c r="I361" s="267">
        <f>IF(ISNUMBER(I358),I358+I359+N(I360),"")</f>
        <v>121271</v>
      </c>
      <c r="J361" s="267">
        <f>IF(ISNUMBER(J358),J358+J359+N(J360),"")</f>
        <v>121876</v>
      </c>
      <c r="K361" s="267">
        <f>IF(ISNUMBER(K358),K358+K359+N(K360),"")</f>
        <v>128683</v>
      </c>
      <c r="L361" s="267">
        <f>IF(ISNUMBER(L358),L358+L359+N(L360),"")</f>
        <v>134105</v>
      </c>
      <c r="M361" s="267">
        <f>IF(ISNUMBER(M358),M358+M359+N(M360),"")</f>
        <v>142431</v>
      </c>
      <c r="N361" s="267">
        <f>IF(ISNUMBER(N358),N358+N359+N(N360),"")</f>
        <v>142431</v>
      </c>
      <c r="O361" s="267">
        <f>IF(ISNUMBER(O358),O358+O359+N(O360),"")</f>
        <v>142348</v>
      </c>
      <c r="P361" s="267">
        <f>IF(ISNUMBER(P358),P358+P359+N(P360),"")</f>
        <v>153543</v>
      </c>
      <c r="Q361" s="267">
        <f>IF(ISNUMBER(Q358),Q358+Q359+N(Q360),"")</f>
        <v>156119</v>
      </c>
      <c r="R361" s="267">
        <f>IF(ISNUMBER(R358),R358+R359+N(R360),"")</f>
        <v>172384</v>
      </c>
      <c r="S361" s="267">
        <f>IF(ISNUMBER(S358),S358+S359+N(S360),"")</f>
        <v>172384</v>
      </c>
      <c r="T361" s="267">
        <f>IF(ISNUMBER(T358),T358+T359+N(T360),"")</f>
        <v>169656</v>
      </c>
      <c r="U361" s="267">
        <f>IF(ISNUMBER(U358),U358+U359+N(U360),"")</f>
        <v>174848</v>
      </c>
      <c r="V361" s="267">
        <f>IF(ISNUMBER(V358),V358+V359+N(V360),"")</f>
        <v>176683</v>
      </c>
      <c r="W361" s="267">
        <f>IF(ISNUMBER(W358),W358+W359+N(W360),"")</f>
        <v>176223</v>
      </c>
      <c r="X361" s="267">
        <f>IF(ISNUMBER(X358),X358+X359+N(X360),"")</f>
        <v>176223</v>
      </c>
      <c r="Y361" s="267">
        <f>IF(ISNUMBER(Y358),Y358+Y359+N(Y360),"")</f>
        <v>172896</v>
      </c>
      <c r="Z361" s="267">
        <f>IF(ISNUMBER(Z358),Z358+Z359+N(Z360),"")</f>
        <v>180098</v>
      </c>
      <c r="AA361" s="267">
        <f>IF(ISNUMBER(AA358),AA358+AA359+N(AA360),"")</f>
        <v>181869</v>
      </c>
      <c r="AB361" s="267">
        <f>IF(ISNUMBER(AB358),AB358+AB359+N(AB360),"")</f>
        <v>193694</v>
      </c>
      <c r="AC361" s="267">
        <f>IF(ISNUMBER(AC358),AC358+AC359+N(AC360),"")</f>
        <v>193694</v>
      </c>
      <c r="AD361" s="267">
        <f>IF(ISNUMBER(AD358),AD358+AD359+N(AD360),"")</f>
        <v>212524</v>
      </c>
      <c r="AE361" s="267">
        <f>IF(ISNUMBER(AE358),AE358+AE359+N(AE360),"")</f>
        <v>224610</v>
      </c>
      <c r="AF361" s="267">
        <f>IF(ISNUMBER(AF358),AF358+AF359+N(AF360),"")</f>
        <v>225017</v>
      </c>
      <c r="AG361" s="267">
        <f>IF(ISNUMBER(AG358),AG358+AG359+N(AG360),"")</f>
        <v>241086</v>
      </c>
      <c r="AH361" s="267">
        <f>IF(ISNUMBER(AH358),AH358+AH359+N(AH360),"")</f>
        <v>241086</v>
      </c>
      <c r="AI361" s="267">
        <f>IF(ISNUMBER(AI358),AI358+AI359+N(AI360),"")</f>
        <v>249097</v>
      </c>
      <c r="AJ361" s="267">
        <f>IF(ISNUMBER(AJ358),AJ358+AJ359+N(AJ360),"")</f>
        <v>256003</v>
      </c>
      <c r="AK361" s="267">
        <f>IF(ISNUMBER(AK358),AK358+AK359+N(AK360),"")</f>
        <v>245497</v>
      </c>
      <c r="AL361" s="267">
        <f>IF(ISNUMBER(AL358),AL358+AL359+N(AL360),"")</f>
        <v>258848</v>
      </c>
      <c r="AM361" s="267">
        <f>IF(ISNUMBER(AM358),AM358+AM359+N(AM360),"")</f>
        <v>258848</v>
      </c>
      <c r="AN361" s="267">
        <f>IF(ISNUMBER(AN358),AN358+AN359+N(AN360),"")</f>
        <v>257619</v>
      </c>
      <c r="AO361" s="267">
        <f>IF(ISNUMBER(AO358),AO358+AO359+N(AO360),"")</f>
        <v>258859</v>
      </c>
      <c r="AP361" s="267">
        <f>IF(ISNUMBER(AP358),AP358+AP359+N(AP360),"")</f>
        <v>263281</v>
      </c>
      <c r="AQ361" s="267">
        <f>IF(ISNUMBER(AQ358),AQ358+AQ359+N(AQ360),"")</f>
        <v>286556</v>
      </c>
      <c r="AR361" s="267">
        <f>IF(ISNUMBER(AR358),AR358+AR359+N(AR360),"")</f>
        <v>286556</v>
      </c>
      <c r="AS361" s="267">
        <f>IF(ISNUMBER(AS358),AS358+AS359+N(AS360),"")</f>
        <v>278955</v>
      </c>
      <c r="AT361" s="267">
        <f>IF(ISNUMBER(AT358),AT358+AT359+N(AT360),"")</f>
        <v>282794</v>
      </c>
      <c r="AU361" s="267">
        <f>IF(ISNUMBER(AU358),AU358+AU359+N(AU360),"")</f>
        <v>285449</v>
      </c>
      <c r="AV361" s="267">
        <f>IF(ISNUMBER(AV358),AV358+AV359+N(AV360),"")</f>
        <v>301311</v>
      </c>
      <c r="AW361" s="267">
        <f>IF(ISNUMBER(AW358),AW358+AW359+N(AW360),"")</f>
        <v>301311</v>
      </c>
      <c r="AX361" s="267">
        <f>IF(ISNUMBER(AX358),AX358+AX359+N(AX360),"")</f>
        <v>301001</v>
      </c>
      <c r="AY361" s="267">
        <f>IF(ISNUMBER(AY358),AY358+AY359+N(AY360),"")</f>
        <v>304137</v>
      </c>
      <c r="AZ361" s="267">
        <f>IF(ISNUMBER(AZ358),AZ358+AZ359+N(AZ360),"")</f>
        <v>308879</v>
      </c>
      <c r="BA361" s="267">
        <f>IF(ISNUMBER(BA358),BA358+BA359+N(BA360),"")</f>
        <v>333779</v>
      </c>
      <c r="BB361" s="267">
        <f>IF(ISNUMBER(BB358),BB358+BB359+N(BB360),"")</f>
        <v>333779</v>
      </c>
      <c r="BC361" s="267">
        <f>IF(ISNUMBER(BC358),BC358+BC359+N(BC360),"")</f>
        <v>335418</v>
      </c>
      <c r="BD361" s="267">
        <f>IF(ISNUMBER(BD358),BD358+BD359+N(BD360),"")</f>
        <v>340389</v>
      </c>
      <c r="BE361" s="267">
        <f>IF(ISNUMBER(BE358),BE358+BE359+N(BE360),"")</f>
        <v>344607</v>
      </c>
      <c r="BF361" s="267">
        <f>IF(ISNUMBER(BF358),BF358+BF359+N(BF360),"")</f>
        <v>364840</v>
      </c>
      <c r="BG361" s="267">
        <f>IF(ISNUMBER(BG358),BG358+BG359+N(BG360),"")</f>
        <v>364840</v>
      </c>
      <c r="BH361" s="267">
        <f>IF(ISNUMBER(BH358),BH358+BH359+N(BH360),"")</f>
        <v>359784</v>
      </c>
      <c r="BI361" s="267">
        <f>IF(ISNUMBER(BI358),BI358+BI359+N(BI360),"")</f>
        <v>364552</v>
      </c>
      <c r="BJ361" s="267">
        <f>IF(ISNUMBER(BJ358),BJ358+BJ359+N(BJ360),"")</f>
        <v>380088</v>
      </c>
      <c r="BK361" s="267">
        <f>IF(ISNUMBER(BK358),BK358+BK359+N(BK360),"")</f>
        <v>411976</v>
      </c>
      <c r="BL361" s="267">
        <f>IF(ISNUMBER(BL358),BL358+BL359+N(BL360),"")</f>
        <v>411976</v>
      </c>
      <c r="BM361" s="267">
        <f>IF(ISNUMBER(BM358),BM358+BM359+N(BM360),"")</f>
        <v>445785</v>
      </c>
      <c r="BN361" s="267">
        <f>IF(ISNUMBER(BN358),BN358+BN359+N(BN360),"")</f>
        <v>470558</v>
      </c>
      <c r="BO361" s="267">
        <f>IF(ISNUMBER(BO358),BO358+BO359+N(BO360),"")</f>
        <v>484275</v>
      </c>
      <c r="BP361" s="267">
        <f>IF(ISNUMBER(BP358),BP358+BP359+N(BP360),"")</f>
        <v>512163</v>
      </c>
      <c r="BQ361" s="267">
        <f>IF(ISNUMBER(BQ358),BQ358+BQ359+N(BQ360),"")</f>
        <v>512163</v>
      </c>
      <c r="BR361" s="267">
        <f>IF(ISNUMBER(BR358),BR358+BR359+N(BR360),"")</f>
        <v>523013</v>
      </c>
      <c r="BS361" s="267">
        <f>IF(ISNUMBER(BS358),BS358+BS359+N(BS360),"")</f>
        <v>533898</v>
      </c>
      <c r="BT361" s="267">
        <f>IF(ISNUMBER(BT358),BT358+BT359+N(BT360),"")</f>
        <v>562624</v>
      </c>
      <c r="BU361" s="267">
        <f>IF(ISNUMBER(BU358),BU358+BU359+N(BU360),"")</f>
        <v>619003</v>
      </c>
      <c r="BV361" s="267">
        <f>IF(ISNUMBER(BV358),BV358+BV359+N(BV360),"")</f>
        <v>619003</v>
      </c>
      <c r="BW361" s="267">
        <f>IF(ISNUMBER(BW358),BW358+BW359+N(BW360),"")</f>
        <v>636351</v>
      </c>
      <c r="BX361" s="267">
        <f>IF(ISNUMBER(BX358),BX358+BX359+N(BX360),"")</f>
        <v>665302</v>
      </c>
      <c r="BY361" s="267">
        <f>IF(ISNUMBER(BY358),BY358+BY359+N(BY360),"")</f>
        <v>694228</v>
      </c>
      <c r="BZ361" s="267">
        <f>IF(ISNUMBER(BZ358),BZ358+BZ359+N(BZ360),"")</f>
        <v>758376</v>
      </c>
      <c r="CA361" s="267">
        <f>IF(ISNUMBER(CA358),CA358+CA359+N(CA360),"")</f>
        <v>758376</v>
      </c>
      <c r="CB361" s="56" t="n"/>
      <c r="CC361" s="56" t="n"/>
      <c r="CD361" s="56" t="n"/>
      <c r="CE361" s="56" t="n"/>
      <c r="CF361" s="267">
        <f>IF(ISNUMBER(CF358),CF358+CF359+N(CF360),"")</f>
        <v>909217.498238383</v>
      </c>
      <c r="CG361" s="267">
        <f>IF(ISNUMBER(CG358),CG358+CG359+N(CG360),"")</f>
        <v>1052934.20904218</v>
      </c>
      <c r="CH361" s="267">
        <f>IF(ISNUMBER(CH358),CH358+CH359+N(CH360),"")</f>
        <v>1182237.91680757</v>
      </c>
      <c r="CI361" s="267">
        <f>IF(ISNUMBER(CI358),CI358+CI359+N(CI360),"")</f>
        <v>1292271.99309647</v>
      </c>
      <c r="CJ361" s="267">
        <f>IF(ISNUMBER(CJ358),CJ358+CJ359+N(CJ360),"")</f>
        <v>1392153.34406397</v>
      </c>
      <c r="CK361" s="153" t="n"/>
    </row>
    <row r="362" ht="15" customHeight="1" s="251">
      <c r="B362" s="57" t="inlineStr">
        <is>
          <t>BS tie-out check (TA − TL&amp;E)</t>
        </is>
      </c>
      <c r="C362" s="211">
        <f>IF(ISNUMBER(C349),IF(ABS(C349-C361)&lt;=1,0,ROUND(C349-C361,0)),"")</f>
        <v>0</v>
      </c>
      <c r="D362" s="211">
        <f>IF(ISNUMBER(D349),IF(ABS(D349-D361)&lt;=1,0,ROUND(D349-D361,0)),"")</f>
        <v>0</v>
      </c>
      <c r="E362" s="211">
        <f>IF(ISNUMBER(E349),IF(ABS(E349-E361)&lt;=1,0,ROUND(E349-E361,0)),"")</f>
        <v>0</v>
      </c>
      <c r="F362" s="211">
        <f>IF(ISNUMBER(F349),IF(ABS(F349-F361)&lt;=1,0,ROUND(F349-F361,0)),"")</f>
        <v>0</v>
      </c>
      <c r="G362" s="211">
        <f>IF(ISNUMBER(G349),IF(ABS(G349-G361)&lt;=1,0,ROUND(G349-G361,0)),"")</f>
        <v>0</v>
      </c>
      <c r="H362" s="211">
        <f>IF(ISNUMBER(H349),IF(ABS(H349-H361)&lt;=1,0,ROUND(H349-H361,0)),"")</f>
        <v>0</v>
      </c>
      <c r="I362" s="211">
        <f>IF(ISNUMBER(I349),IF(ABS(I349-I361)&lt;=1,0,ROUND(I349-I361,0)),"")</f>
        <v>0</v>
      </c>
      <c r="J362" s="211">
        <f>IF(ISNUMBER(J349),IF(ABS(J349-J361)&lt;=1,0,ROUND(J349-J361,0)),"")</f>
        <v>0</v>
      </c>
      <c r="K362" s="211">
        <f>IF(ISNUMBER(K349),IF(ABS(K349-K361)&lt;=1,0,ROUND(K349-K361,0)),"")</f>
        <v>0</v>
      </c>
      <c r="L362" s="211">
        <f>IF(ISNUMBER(L349),IF(ABS(L349-L361)&lt;=1,0,ROUND(L349-L361,0)),"")</f>
        <v>0</v>
      </c>
      <c r="M362" s="211">
        <f>IF(ISNUMBER(M349),IF(ABS(M349-M361)&lt;=1,0,ROUND(M349-M361,0)),"")</f>
        <v>0</v>
      </c>
      <c r="N362" s="211">
        <f>IF(ISNUMBER(N349),IF(ABS(N349-N361)&lt;=1,0,ROUND(N349-N361,0)),"")</f>
        <v>0</v>
      </c>
      <c r="O362" s="211">
        <f>IF(ISNUMBER(O349),IF(ABS(O349-O361)&lt;=1,0,ROUND(O349-O361,0)),"")</f>
        <v>0</v>
      </c>
      <c r="P362" s="211">
        <f>IF(ISNUMBER(P349),IF(ABS(P349-P361)&lt;=1,0,ROUND(P349-P361,0)),"")</f>
        <v>0</v>
      </c>
      <c r="Q362" s="211">
        <f>IF(ISNUMBER(Q349),IF(ABS(Q349-Q361)&lt;=1,0,ROUND(Q349-Q361,0)),"")</f>
        <v>0</v>
      </c>
      <c r="R362" s="211">
        <f>IF(ISNUMBER(R349),IF(ABS(R349-R361)&lt;=1,0,ROUND(R349-R361,0)),"")</f>
        <v>0</v>
      </c>
      <c r="S362" s="211">
        <f>IF(ISNUMBER(S349),IF(ABS(S349-S361)&lt;=1,0,ROUND(S349-S361,0)),"")</f>
        <v>0</v>
      </c>
      <c r="T362" s="211">
        <f>IF(ISNUMBER(T349),IF(ABS(T349-T361)&lt;=1,0,ROUND(T349-T361,0)),"")</f>
        <v>0</v>
      </c>
      <c r="U362" s="211">
        <f>IF(ISNUMBER(U349),IF(ABS(U349-U361)&lt;=1,0,ROUND(U349-U361,0)),"")</f>
        <v>0</v>
      </c>
      <c r="V362" s="211">
        <f>IF(ISNUMBER(V349),IF(ABS(V349-V361)&lt;=1,0,ROUND(V349-V361,0)),"")</f>
        <v>0</v>
      </c>
      <c r="W362" s="211">
        <f>IF(ISNUMBER(W349),IF(ABS(W349-W361)&lt;=1,0,ROUND(W349-W361,0)),"")</f>
        <v>0</v>
      </c>
      <c r="X362" s="211">
        <f>IF(ISNUMBER(X349),IF(ABS(X349-X361)&lt;=1,0,ROUND(X349-X361,0)),"")</f>
        <v>0</v>
      </c>
      <c r="Y362" s="211">
        <f>IF(ISNUMBER(Y349),IF(ABS(Y349-Y361)&lt;=1,0,ROUND(Y349-Y361,0)),"")</f>
        <v>0</v>
      </c>
      <c r="Z362" s="211">
        <f>IF(ISNUMBER(Z349),IF(ABS(Z349-Z361)&lt;=1,0,ROUND(Z349-Z361,0)),"")</f>
        <v>0</v>
      </c>
      <c r="AA362" s="211">
        <f>IF(ISNUMBER(AA349),IF(ABS(AA349-AA361)&lt;=1,0,ROUND(AA349-AA361,0)),"")</f>
        <v>0</v>
      </c>
      <c r="AB362" s="211">
        <f>IF(ISNUMBER(AB349),IF(ABS(AB349-AB361)&lt;=1,0,ROUND(AB349-AB361,0)),"")</f>
        <v>0</v>
      </c>
      <c r="AC362" s="211">
        <f>IF(ISNUMBER(AC349),IF(ABS(AC349-AC361)&lt;=1,0,ROUND(AC349-AC361,0)),"")</f>
        <v>0</v>
      </c>
      <c r="AD362" s="211">
        <f>IF(ISNUMBER(AD349),IF(ABS(AD349-AD361)&lt;=1,0,ROUND(AD349-AD361,0)),"")</f>
        <v>0</v>
      </c>
      <c r="AE362" s="211">
        <f>IF(ISNUMBER(AE349),IF(ABS(AE349-AE361)&lt;=1,0,ROUND(AE349-AE361,0)),"")</f>
        <v>0</v>
      </c>
      <c r="AF362" s="211">
        <f>IF(ISNUMBER(AF349),IF(ABS(AF349-AF361)&lt;=1,0,ROUND(AF349-AF361,0)),"")</f>
        <v>0</v>
      </c>
      <c r="AG362" s="211">
        <f>IF(ISNUMBER(AG349),IF(ABS(AG349-AG361)&lt;=1,0,ROUND(AG349-AG361,0)),"")</f>
        <v>0</v>
      </c>
      <c r="AH362" s="211">
        <f>IF(ISNUMBER(AH349),IF(ABS(AH349-AH361)&lt;=1,0,ROUND(AH349-AH361,0)),"")</f>
        <v>0</v>
      </c>
      <c r="AI362" s="211">
        <f>IF(ISNUMBER(AI349),IF(ABS(AI349-AI361)&lt;=1,0,ROUND(AI349-AI361,0)),"")</f>
        <v>0</v>
      </c>
      <c r="AJ362" s="211">
        <f>IF(ISNUMBER(AJ349),IF(ABS(AJ349-AJ361)&lt;=1,0,ROUND(AJ349-AJ361,0)),"")</f>
        <v>0</v>
      </c>
      <c r="AK362" s="211">
        <f>IF(ISNUMBER(AK349),IF(ABS(AK349-AK361)&lt;=1,0,ROUND(AK349-AK361,0)),"")</f>
        <v>0</v>
      </c>
      <c r="AL362" s="211">
        <f>IF(ISNUMBER(AL349),IF(ABS(AL349-AL361)&lt;=1,0,ROUND(AL349-AL361,0)),"")</f>
        <v>0</v>
      </c>
      <c r="AM362" s="211">
        <f>IF(ISNUMBER(AM349),IF(ABS(AM349-AM361)&lt;=1,0,ROUND(AM349-AM361,0)),"")</f>
        <v>0</v>
      </c>
      <c r="AN362" s="211">
        <f>IF(ISNUMBER(AN349),IF(ABS(AN349-AN361)&lt;=1,0,ROUND(AN349-AN361,0)),"")</f>
        <v>0</v>
      </c>
      <c r="AO362" s="211">
        <f>IF(ISNUMBER(AO349),IF(ABS(AO349-AO361)&lt;=1,0,ROUND(AO349-AO361,0)),"")</f>
        <v>0</v>
      </c>
      <c r="AP362" s="211">
        <f>IF(ISNUMBER(AP349),IF(ABS(AP349-AP361)&lt;=1,0,ROUND(AP349-AP361,0)),"")</f>
        <v>0</v>
      </c>
      <c r="AQ362" s="211">
        <f>IF(ISNUMBER(AQ349),IF(ABS(AQ349-AQ361)&lt;=1,0,ROUND(AQ349-AQ361,0)),"")</f>
        <v>0</v>
      </c>
      <c r="AR362" s="211">
        <f>IF(ISNUMBER(AR349),IF(ABS(AR349-AR361)&lt;=1,0,ROUND(AR349-AR361,0)),"")</f>
        <v>0</v>
      </c>
      <c r="AS362" s="211">
        <f>IF(ISNUMBER(AS349),IF(ABS(AS349-AS361)&lt;=1,0,ROUND(AS349-AS361,0)),"")</f>
        <v>0</v>
      </c>
      <c r="AT362" s="211">
        <f>IF(ISNUMBER(AT349),IF(ABS(AT349-AT361)&lt;=1,0,ROUND(AT349-AT361,0)),"")</f>
        <v>0</v>
      </c>
      <c r="AU362" s="211">
        <f>IF(ISNUMBER(AU349),IF(ABS(AU349-AU361)&lt;=1,0,ROUND(AU349-AU361,0)),"")</f>
        <v>0</v>
      </c>
      <c r="AV362" s="211">
        <f>IF(ISNUMBER(AV349),IF(ABS(AV349-AV361)&lt;=1,0,ROUND(AV349-AV361,0)),"")</f>
        <v>0</v>
      </c>
      <c r="AW362" s="211">
        <f>IF(ISNUMBER(AW349),IF(ABS(AW349-AW361)&lt;=1,0,ROUND(AW349-AW361,0)),"")</f>
        <v>0</v>
      </c>
      <c r="AX362" s="211">
        <f>IF(ISNUMBER(AX349),IF(ABS(AX349-AX361)&lt;=1,0,ROUND(AX349-AX361,0)),"")</f>
        <v>0</v>
      </c>
      <c r="AY362" s="211">
        <f>IF(ISNUMBER(AY349),IF(ABS(AY349-AY361)&lt;=1,0,ROUND(AY349-AY361,0)),"")</f>
        <v>0</v>
      </c>
      <c r="AZ362" s="211">
        <f>IF(ISNUMBER(AZ349),IF(ABS(AZ349-AZ361)&lt;=1,0,ROUND(AZ349-AZ361,0)),"")</f>
        <v>0</v>
      </c>
      <c r="BA362" s="211">
        <f>IF(ISNUMBER(BA349),IF(ABS(BA349-BA361)&lt;=1,0,ROUND(BA349-BA361,0)),"")</f>
        <v>0</v>
      </c>
      <c r="BB362" s="211">
        <f>IF(ISNUMBER(BB349),IF(ABS(BB349-BB361)&lt;=1,0,ROUND(BB349-BB361,0)),"")</f>
        <v>0</v>
      </c>
      <c r="BC362" s="211">
        <f>IF(ISNUMBER(BC349),IF(ABS(BC349-BC361)&lt;=1,0,ROUND(BC349-BC361,0)),"")</f>
        <v>0</v>
      </c>
      <c r="BD362" s="211">
        <f>IF(ISNUMBER(BD349),IF(ABS(BD349-BD361)&lt;=1,0,ROUND(BD349-BD361,0)),"")</f>
        <v>0</v>
      </c>
      <c r="BE362" s="211">
        <f>IF(ISNUMBER(BE349),IF(ABS(BE349-BE361)&lt;=1,0,ROUND(BE349-BE361,0)),"")</f>
        <v>0</v>
      </c>
      <c r="BF362" s="211">
        <f>IF(ISNUMBER(BF349),IF(ABS(BF349-BF361)&lt;=1,0,ROUND(BF349-BF361,0)),"")</f>
        <v>0</v>
      </c>
      <c r="BG362" s="211">
        <f>IF(ISNUMBER(BG349),IF(ABS(BG349-BG361)&lt;=1,0,ROUND(BG349-BG361,0)),"")</f>
        <v>0</v>
      </c>
      <c r="BH362" s="211">
        <f>IF(ISNUMBER(BH349),IF(ABS(BH349-BH361)&lt;=1,0,ROUND(BH349-BH361,0)),"")</f>
        <v>0</v>
      </c>
      <c r="BI362" s="211">
        <f>IF(ISNUMBER(BI349),IF(ABS(BI349-BI361)&lt;=1,0,ROUND(BI349-BI361,0)),"")</f>
        <v>0</v>
      </c>
      <c r="BJ362" s="211">
        <f>IF(ISNUMBER(BJ349),IF(ABS(BJ349-BJ361)&lt;=1,0,ROUND(BJ349-BJ361,0)),"")</f>
        <v>0</v>
      </c>
      <c r="BK362" s="211">
        <f>IF(ISNUMBER(BK349),IF(ABS(BK349-BK361)&lt;=1,0,ROUND(BK349-BK361,0)),"")</f>
        <v>0</v>
      </c>
      <c r="BL362" s="211">
        <f>IF(ISNUMBER(BL349),IF(ABS(BL349-BL361)&lt;=1,0,ROUND(BL349-BL361,0)),"")</f>
        <v>0</v>
      </c>
      <c r="BM362" s="211">
        <f>IF(ISNUMBER(BM349),IF(ABS(BM349-BM361)&lt;=1,0,ROUND(BM349-BM361,0)),"")</f>
        <v>0</v>
      </c>
      <c r="BN362" s="211">
        <f>IF(ISNUMBER(BN349),IF(ABS(BN349-BN361)&lt;=1,0,ROUND(BN349-BN361,0)),"")</f>
        <v>0</v>
      </c>
      <c r="BO362" s="211">
        <f>IF(ISNUMBER(BO349),IF(ABS(BO349-BO361)&lt;=1,0,ROUND(BO349-BO361,0)),"")</f>
        <v>0</v>
      </c>
      <c r="BP362" s="211">
        <f>IF(ISNUMBER(BP349),IF(ABS(BP349-BP361)&lt;=1,0,ROUND(BP349-BP361,0)),"")</f>
        <v>0</v>
      </c>
      <c r="BQ362" s="211">
        <f>IF(ISNUMBER(BQ349),IF(ABS(BQ349-BQ361)&lt;=1,0,ROUND(BQ349-BQ361,0)),"")</f>
        <v>0</v>
      </c>
      <c r="BR362" s="211">
        <f>IF(ISNUMBER(BR349),IF(ABS(BR349-BR361)&lt;=1,0,ROUND(BR349-BR361,0)),"")</f>
        <v>0</v>
      </c>
      <c r="BS362" s="211">
        <f>IF(ISNUMBER(BS349),IF(ABS(BS349-BS361)&lt;=1,0,ROUND(BS349-BS361,0)),"")</f>
        <v>0</v>
      </c>
      <c r="BT362" s="211">
        <f>IF(ISNUMBER(BT349),IF(ABS(BT349-BT361)&lt;=1,0,ROUND(BT349-BT361,0)),"")</f>
        <v>0</v>
      </c>
      <c r="BU362" s="211">
        <f>IF(ISNUMBER(BU349),IF(ABS(BU349-BU361)&lt;=1,0,ROUND(BU349-BU361,0)),"")</f>
        <v>0</v>
      </c>
      <c r="BV362" s="211">
        <f>IF(ISNUMBER(BV349),IF(ABS(BV349-BV361)&lt;=1,0,ROUND(BV349-BV361,0)),"")</f>
        <v>0</v>
      </c>
      <c r="BW362" s="211">
        <f>IF(ISNUMBER(BW349),IF(ABS(BW349-BW361)&lt;=1,0,ROUND(BW349-BW361,0)),"")</f>
        <v>0</v>
      </c>
      <c r="BX362" s="211">
        <f>IF(ISNUMBER(BX349),IF(ABS(BX349-BX361)&lt;=1,0,ROUND(BX349-BX361,0)),"")</f>
        <v>0</v>
      </c>
      <c r="BY362" s="211">
        <f>IF(ISNUMBER(BY349),IF(ABS(BY349-BY361)&lt;=1,0,ROUND(BY349-BY361,0)),"")</f>
        <v>0</v>
      </c>
      <c r="BZ362" s="211">
        <f>IF(ISNUMBER(BZ349),IF(ABS(BZ349-BZ361)&lt;=1,0,ROUND(BZ349-BZ361,0)),"")</f>
        <v>0</v>
      </c>
      <c r="CA362" s="211">
        <f>IF(ISNUMBER(CA349),IF(ABS(CA349-CA361)&lt;=1,0,ROUND(CA349-CA361,0)),"")</f>
        <v>0</v>
      </c>
      <c r="CB362" s="153" t="n"/>
      <c r="CC362" s="153" t="n"/>
      <c r="CD362" s="153" t="n"/>
      <c r="CE362" s="153" t="n"/>
      <c r="CF362" s="268">
        <f>IF(ISNUMBER(CF349),IF(ABS(CF349-CF361)&lt;=1,0,ROUND(CF349-CF361,0)),"")</f>
        <v>0</v>
      </c>
      <c r="CG362" s="268">
        <f>IF(ISNUMBER(CG349),IF(ABS(CG349-CG361)&lt;=1,0,ROUND(CG349-CG361,0)),"")</f>
        <v>0</v>
      </c>
      <c r="CH362" s="268">
        <f>IF(ISNUMBER(CH349),IF(ABS(CH349-CH361)&lt;=1,0,ROUND(CH349-CH361,0)),"")</f>
        <v>0</v>
      </c>
      <c r="CI362" s="268">
        <f>IF(ISNUMBER(CI349),IF(ABS(CI349-CI361)&lt;=1,0,ROUND(CI349-CI361,0)),"")</f>
        <v>0</v>
      </c>
      <c r="CJ362" s="268">
        <f>IF(ISNUMBER(CJ349),IF(ABS(CJ349-CJ361)&lt;=1,0,ROUND(CJ349-CJ361,0)),"")</f>
        <v>0</v>
      </c>
      <c r="CK362" s="153" t="n"/>
    </row>
    <row r="363" ht="15" customHeight="1" s="251">
      <c r="B363" s="57" t="inlineStr">
        <is>
          <t xml:space="preserve">  Check: model total assets vs reported (should be 0)</t>
        </is>
      </c>
      <c r="C363" s="211">
        <f>IF(ISNUMBER(C364),IF(ABS(C349-C364)&lt;=1,0,ROUND(C349-C364,0)),"")</f>
        <v>0</v>
      </c>
      <c r="D363" s="211">
        <f>IF(ISNUMBER(D364),IF(ABS(D349-D364)&lt;=1,0,ROUND(D349-D364,0)),"")</f>
        <v>0</v>
      </c>
      <c r="E363" s="211">
        <f>IF(ISNUMBER(E364),IF(ABS(E349-E364)&lt;=1,0,ROUND(E349-E364,0)),"")</f>
        <v>0</v>
      </c>
      <c r="F363" s="211">
        <f>IF(ISNUMBER(F364),IF(ABS(F349-F364)&lt;=1,0,ROUND(F349-F364,0)),"")</f>
        <v>0</v>
      </c>
      <c r="G363" s="211">
        <f>IF(ISNUMBER(G364),IF(ABS(G349-G364)&lt;=1,0,ROUND(G349-G364,0)),"")</f>
        <v>0</v>
      </c>
      <c r="H363" s="211">
        <f>IF(ISNUMBER(H364),IF(ABS(H349-H364)&lt;=1,0,ROUND(H349-H364,0)),"")</f>
        <v>0</v>
      </c>
      <c r="I363" s="211">
        <f>IF(ISNUMBER(I364),IF(ABS(I349-I364)&lt;=1,0,ROUND(I349-I364,0)),"")</f>
        <v>0</v>
      </c>
      <c r="J363" s="211">
        <f>IF(ISNUMBER(J364),IF(ABS(J349-J364)&lt;=1,0,ROUND(J349-J364,0)),"")</f>
        <v>0</v>
      </c>
      <c r="K363" s="211">
        <f>IF(ISNUMBER(K364),IF(ABS(K349-K364)&lt;=1,0,ROUND(K349-K364,0)),"")</f>
        <v>0</v>
      </c>
      <c r="L363" s="211">
        <f>IF(ISNUMBER(L364),IF(ABS(L349-L364)&lt;=1,0,ROUND(L349-L364,0)),"")</f>
        <v>0</v>
      </c>
      <c r="M363" s="211">
        <f>IF(ISNUMBER(M364),IF(ABS(M349-M364)&lt;=1,0,ROUND(M349-M364,0)),"")</f>
        <v>0</v>
      </c>
      <c r="N363" s="211">
        <f>IF(ISNUMBER(N364),IF(ABS(N349-N364)&lt;=1,0,ROUND(N349-N364,0)),"")</f>
        <v>0</v>
      </c>
      <c r="O363" s="211">
        <f>IF(ISNUMBER(O364),IF(ABS(O349-O364)&lt;=1,0,ROUND(O349-O364,0)),"")</f>
        <v>0</v>
      </c>
      <c r="P363" s="211">
        <f>IF(ISNUMBER(P364),IF(ABS(P349-P364)&lt;=1,0,ROUND(P349-P364,0)),"")</f>
        <v>0</v>
      </c>
      <c r="Q363" s="211">
        <f>IF(ISNUMBER(Q364),IF(ABS(Q349-Q364)&lt;=1,0,ROUND(Q349-Q364,0)),"")</f>
        <v>0</v>
      </c>
      <c r="R363" s="211">
        <f>IF(ISNUMBER(R364),IF(ABS(R349-R364)&lt;=1,0,ROUND(R349-R364,0)),"")</f>
        <v>0</v>
      </c>
      <c r="S363" s="211">
        <f>IF(ISNUMBER(S364),IF(ABS(S349-S364)&lt;=1,0,ROUND(S349-S364,0)),"")</f>
        <v>0</v>
      </c>
      <c r="T363" s="211">
        <f>IF(ISNUMBER(T364),IF(ABS(T349-T364)&lt;=1,0,ROUND(T349-T364,0)),"")</f>
        <v>0</v>
      </c>
      <c r="U363" s="211">
        <f>IF(ISNUMBER(U364),IF(ABS(U349-U364)&lt;=1,0,ROUND(U349-U364,0)),"")</f>
        <v>0</v>
      </c>
      <c r="V363" s="211">
        <f>IF(ISNUMBER(V364),IF(ABS(V349-V364)&lt;=1,0,ROUND(V349-V364,0)),"")</f>
        <v>0</v>
      </c>
      <c r="W363" s="211">
        <f>IF(ISNUMBER(W364),IF(ABS(W349-W364)&lt;=1,0,ROUND(W349-W364,0)),"")</f>
        <v>0</v>
      </c>
      <c r="X363" s="211">
        <f>IF(ISNUMBER(X364),IF(ABS(X349-X364)&lt;=1,0,ROUND(X349-X364,0)),"")</f>
        <v>0</v>
      </c>
      <c r="Y363" s="211">
        <f>IF(ISNUMBER(Y364),IF(ABS(Y349-Y364)&lt;=1,0,ROUND(Y349-Y364,0)),"")</f>
        <v>0</v>
      </c>
      <c r="Z363" s="211">
        <f>IF(ISNUMBER(Z364),IF(ABS(Z349-Z364)&lt;=1,0,ROUND(Z349-Z364,0)),"")</f>
        <v>0</v>
      </c>
      <c r="AA363" s="211">
        <f>IF(ISNUMBER(AA364),IF(ABS(AA349-AA364)&lt;=1,0,ROUND(AA349-AA364,0)),"")</f>
        <v>0</v>
      </c>
      <c r="AB363" s="211">
        <f>IF(ISNUMBER(AB364),IF(ABS(AB349-AB364)&lt;=1,0,ROUND(AB349-AB364,0)),"")</f>
        <v>0</v>
      </c>
      <c r="AC363" s="211">
        <f>IF(ISNUMBER(AC364),IF(ABS(AC349-AC364)&lt;=1,0,ROUND(AC349-AC364,0)),"")</f>
        <v>0</v>
      </c>
      <c r="AD363" s="211">
        <f>IF(ISNUMBER(AD364),IF(ABS(AD349-AD364)&lt;=1,0,ROUND(AD349-AD364,0)),"")</f>
        <v>0</v>
      </c>
      <c r="AE363" s="211">
        <f>IF(ISNUMBER(AE364),IF(ABS(AE349-AE364)&lt;=1,0,ROUND(AE349-AE364,0)),"")</f>
        <v>0</v>
      </c>
      <c r="AF363" s="211">
        <f>IF(ISNUMBER(AF364),IF(ABS(AF349-AF364)&lt;=1,0,ROUND(AF349-AF364,0)),"")</f>
        <v>0</v>
      </c>
      <c r="AG363" s="211">
        <f>IF(ISNUMBER(AG364),IF(ABS(AG349-AG364)&lt;=1,0,ROUND(AG349-AG364,0)),"")</f>
        <v>0</v>
      </c>
      <c r="AH363" s="211">
        <f>IF(ISNUMBER(AH364),IF(ABS(AH349-AH364)&lt;=1,0,ROUND(AH349-AH364,0)),"")</f>
        <v>0</v>
      </c>
      <c r="AI363" s="211">
        <f>IF(ISNUMBER(AI364),IF(ABS(AI349-AI364)&lt;=1,0,ROUND(AI349-AI364,0)),"")</f>
        <v>0</v>
      </c>
      <c r="AJ363" s="211">
        <f>IF(ISNUMBER(AJ364),IF(ABS(AJ349-AJ364)&lt;=1,0,ROUND(AJ349-AJ364,0)),"")</f>
        <v>0</v>
      </c>
      <c r="AK363" s="211">
        <f>IF(ISNUMBER(AK364),IF(ABS(AK349-AK364)&lt;=1,0,ROUND(AK349-AK364,0)),"")</f>
        <v>0</v>
      </c>
      <c r="AL363" s="211">
        <f>IF(ISNUMBER(AL364),IF(ABS(AL349-AL364)&lt;=1,0,ROUND(AL349-AL364,0)),"")</f>
        <v>0</v>
      </c>
      <c r="AM363" s="211">
        <f>IF(ISNUMBER(AM364),IF(ABS(AM349-AM364)&lt;=1,0,ROUND(AM349-AM364,0)),"")</f>
        <v>0</v>
      </c>
      <c r="AN363" s="211">
        <f>IF(ISNUMBER(AN364),IF(ABS(AN349-AN364)&lt;=1,0,ROUND(AN349-AN364,0)),"")</f>
        <v>0</v>
      </c>
      <c r="AO363" s="211">
        <f>IF(ISNUMBER(AO364),IF(ABS(AO349-AO364)&lt;=1,0,ROUND(AO349-AO364,0)),"")</f>
        <v>0</v>
      </c>
      <c r="AP363" s="211">
        <f>IF(ISNUMBER(AP364),IF(ABS(AP349-AP364)&lt;=1,0,ROUND(AP349-AP364,0)),"")</f>
        <v>0</v>
      </c>
      <c r="AQ363" s="211">
        <f>IF(ISNUMBER(AQ364),IF(ABS(AQ349-AQ364)&lt;=1,0,ROUND(AQ349-AQ364,0)),"")</f>
        <v>0</v>
      </c>
      <c r="AR363" s="211">
        <f>IF(ISNUMBER(AR364),IF(ABS(AR349-AR364)&lt;=1,0,ROUND(AR349-AR364,0)),"")</f>
        <v>0</v>
      </c>
      <c r="AS363" s="211">
        <f>IF(ISNUMBER(AS364),IF(ABS(AS349-AS364)&lt;=1,0,ROUND(AS349-AS364,0)),"")</f>
        <v>0</v>
      </c>
      <c r="AT363" s="211">
        <f>IF(ISNUMBER(AT364),IF(ABS(AT349-AT364)&lt;=1,0,ROUND(AT349-AT364,0)),"")</f>
        <v>0</v>
      </c>
      <c r="AU363" s="211">
        <f>IF(ISNUMBER(AU364),IF(ABS(AU349-AU364)&lt;=1,0,ROUND(AU349-AU364,0)),"")</f>
        <v>0</v>
      </c>
      <c r="AV363" s="211">
        <f>IF(ISNUMBER(AV364),IF(ABS(AV349-AV364)&lt;=1,0,ROUND(AV349-AV364,0)),"")</f>
        <v>0</v>
      </c>
      <c r="AW363" s="211">
        <f>IF(ISNUMBER(AW364),IF(ABS(AW349-AW364)&lt;=1,0,ROUND(AW349-AW364,0)),"")</f>
        <v>0</v>
      </c>
      <c r="AX363" s="211">
        <f>IF(ISNUMBER(AX364),IF(ABS(AX349-AX364)&lt;=1,0,ROUND(AX349-AX364,0)),"")</f>
        <v>0</v>
      </c>
      <c r="AY363" s="211">
        <f>IF(ISNUMBER(AY364),IF(ABS(AY349-AY364)&lt;=1,0,ROUND(AY349-AY364,0)),"")</f>
        <v>0</v>
      </c>
      <c r="AZ363" s="211">
        <f>IF(ISNUMBER(AZ364),IF(ABS(AZ349-AZ364)&lt;=1,0,ROUND(AZ349-AZ364,0)),"")</f>
        <v>0</v>
      </c>
      <c r="BA363" s="211">
        <f>IF(ISNUMBER(BA364),IF(ABS(BA349-BA364)&lt;=1,0,ROUND(BA349-BA364,0)),"")</f>
        <v>0</v>
      </c>
      <c r="BB363" s="211">
        <f>IF(ISNUMBER(BB364),IF(ABS(BB349-BB364)&lt;=1,0,ROUND(BB349-BB364,0)),"")</f>
        <v>0</v>
      </c>
      <c r="BC363" s="211">
        <f>IF(ISNUMBER(BC364),IF(ABS(BC349-BC364)&lt;=1,0,ROUND(BC349-BC364,0)),"")</f>
        <v>0</v>
      </c>
      <c r="BD363" s="211">
        <f>IF(ISNUMBER(BD364),IF(ABS(BD349-BD364)&lt;=1,0,ROUND(BD349-BD364,0)),"")</f>
        <v>0</v>
      </c>
      <c r="BE363" s="211">
        <f>IF(ISNUMBER(BE364),IF(ABS(BE349-BE364)&lt;=1,0,ROUND(BE349-BE364,0)),"")</f>
        <v>0</v>
      </c>
      <c r="BF363" s="211">
        <f>IF(ISNUMBER(BF364),IF(ABS(BF349-BF364)&lt;=1,0,ROUND(BF349-BF364,0)),"")</f>
        <v>0</v>
      </c>
      <c r="BG363" s="211">
        <f>IF(ISNUMBER(BG364),IF(ABS(BG349-BG364)&lt;=1,0,ROUND(BG349-BG364,0)),"")</f>
        <v>0</v>
      </c>
      <c r="BH363" s="211">
        <f>IF(ISNUMBER(BH364),IF(ABS(BH349-BH364)&lt;=1,0,ROUND(BH349-BH364,0)),"")</f>
        <v>0</v>
      </c>
      <c r="BI363" s="211">
        <f>IF(ISNUMBER(BI364),IF(ABS(BI349-BI364)&lt;=1,0,ROUND(BI349-BI364,0)),"")</f>
        <v>0</v>
      </c>
      <c r="BJ363" s="211">
        <f>IF(ISNUMBER(BJ364),IF(ABS(BJ349-BJ364)&lt;=1,0,ROUND(BJ349-BJ364,0)),"")</f>
        <v>0</v>
      </c>
      <c r="BK363" s="211">
        <f>IF(ISNUMBER(BK364),IF(ABS(BK349-BK364)&lt;=1,0,ROUND(BK349-BK364,0)),"")</f>
        <v>0</v>
      </c>
      <c r="BL363" s="211">
        <f>IF(ISNUMBER(BL364),IF(ABS(BL349-BL364)&lt;=1,0,ROUND(BL349-BL364,0)),"")</f>
        <v>0</v>
      </c>
      <c r="BM363" s="211">
        <f>IF(ISNUMBER(BM364),IF(ABS(BM349-BM364)&lt;=1,0,ROUND(BM349-BM364,0)),"")</f>
        <v>0</v>
      </c>
      <c r="BN363" s="211">
        <f>IF(ISNUMBER(BN364),IF(ABS(BN349-BN364)&lt;=1,0,ROUND(BN349-BN364,0)),"")</f>
        <v>0</v>
      </c>
      <c r="BO363" s="211">
        <f>IF(ISNUMBER(BO364),IF(ABS(BO349-BO364)&lt;=1,0,ROUND(BO349-BO364,0)),"")</f>
        <v>0</v>
      </c>
      <c r="BP363" s="211">
        <f>IF(ISNUMBER(BP364),IF(ABS(BP349-BP364)&lt;=1,0,ROUND(BP349-BP364,0)),"")</f>
        <v>0</v>
      </c>
      <c r="BQ363" s="211">
        <f>IF(ISNUMBER(BQ364),IF(ABS(BQ349-BQ364)&lt;=1,0,ROUND(BQ349-BQ364,0)),"")</f>
        <v>0</v>
      </c>
      <c r="BR363" s="211">
        <f>IF(ISNUMBER(BR364),IF(ABS(BR349-BR364)&lt;=1,0,ROUND(BR349-BR364,0)),"")</f>
        <v>0</v>
      </c>
      <c r="BS363" s="211">
        <f>IF(ISNUMBER(BS364),IF(ABS(BS349-BS364)&lt;=1,0,ROUND(BS349-BS364,0)),"")</f>
        <v>0</v>
      </c>
      <c r="BT363" s="211">
        <f>IF(ISNUMBER(BT364),IF(ABS(BT349-BT364)&lt;=1,0,ROUND(BT349-BT364,0)),"")</f>
        <v>0</v>
      </c>
      <c r="BU363" s="211">
        <f>IF(ISNUMBER(BU364),IF(ABS(BU349-BU364)&lt;=1,0,ROUND(BU349-BU364,0)),"")</f>
        <v>0</v>
      </c>
      <c r="BV363" s="211">
        <f>IF(ISNUMBER(BV364),IF(ABS(BV349-BV364)&lt;=1,0,ROUND(BV349-BV364,0)),"")</f>
        <v>0</v>
      </c>
      <c r="BW363" s="211">
        <f>IF(ISNUMBER(BW364),IF(ABS(BW349-BW364)&lt;=1,0,ROUND(BW349-BW364,0)),"")</f>
        <v>0</v>
      </c>
      <c r="BX363" s="211">
        <f>IF(ISNUMBER(BX364),IF(ABS(BX349-BX364)&lt;=1,0,ROUND(BX349-BX364,0)),"")</f>
        <v>0</v>
      </c>
      <c r="BY363" s="211">
        <f>IF(ISNUMBER(BY364),IF(ABS(BY349-BY364)&lt;=1,0,ROUND(BY349-BY364,0)),"")</f>
        <v>0</v>
      </c>
      <c r="BZ363" s="211">
        <f>IF(ISNUMBER(BZ364),IF(ABS(BZ349-BZ364)&lt;=1,0,ROUND(BZ349-BZ364,0)),"")</f>
        <v>0</v>
      </c>
      <c r="CA363" s="211">
        <f>IF(ISNUMBER(CA364),IF(ABS(CA349-CA364)&lt;=1,0,ROUND(CA349-CA364,0)),"")</f>
        <v>0</v>
      </c>
      <c r="CB363" s="153" t="n"/>
      <c r="CC363" s="153" t="n"/>
      <c r="CD363" s="153" t="n"/>
      <c r="CE363" s="153" t="n"/>
      <c r="CF363" s="153" t="n"/>
      <c r="CG363" s="153" t="n"/>
      <c r="CH363" s="153" t="n"/>
      <c r="CI363" s="153" t="n"/>
      <c r="CJ363" s="153" t="n"/>
      <c r="CK363" s="153" t="n"/>
    </row>
    <row r="364" ht="15" customHeight="1" s="251">
      <c r="B364" s="156" t="inlineStr">
        <is>
          <t xml:space="preserve">  Memo: total assets as reported</t>
        </is>
      </c>
      <c r="C364" s="253" t="n">
        <v>69597</v>
      </c>
      <c r="D364" s="253" t="n">
        <v>63171</v>
      </c>
      <c r="E364" s="253" t="n">
        <v>72793</v>
      </c>
      <c r="F364" s="253" t="n">
        <v>77888</v>
      </c>
      <c r="G364" s="253" t="n">
        <v>86113</v>
      </c>
      <c r="H364" s="253" t="n">
        <v>108704</v>
      </c>
      <c r="I364" s="253" t="n">
        <v>121271</v>
      </c>
      <c r="J364" s="253" t="n">
        <v>121876</v>
      </c>
      <c r="K364" s="253" t="n">
        <v>128683</v>
      </c>
      <c r="L364" s="253" t="n">
        <v>134105</v>
      </c>
      <c r="M364" s="253" t="n">
        <v>142431</v>
      </c>
      <c r="N364" s="253" t="n">
        <v>142431</v>
      </c>
      <c r="O364" s="253" t="n">
        <v>142348</v>
      </c>
      <c r="P364" s="253" t="n">
        <v>153543</v>
      </c>
      <c r="Q364" s="253" t="n">
        <v>156119</v>
      </c>
      <c r="R364" s="253" t="n">
        <v>172384</v>
      </c>
      <c r="S364" s="253" t="n">
        <v>172384</v>
      </c>
      <c r="T364" s="253" t="n">
        <v>169656</v>
      </c>
      <c r="U364" s="253" t="n">
        <v>174848</v>
      </c>
      <c r="V364" s="253" t="n">
        <v>176683</v>
      </c>
      <c r="W364" s="253" t="n">
        <v>176223</v>
      </c>
      <c r="X364" s="253" t="n">
        <v>176223</v>
      </c>
      <c r="Y364" s="253" t="n">
        <v>172896</v>
      </c>
      <c r="Z364" s="253" t="n">
        <v>180098</v>
      </c>
      <c r="AA364" s="253" t="n">
        <v>181869</v>
      </c>
      <c r="AB364" s="253" t="n">
        <v>193694</v>
      </c>
      <c r="AC364" s="253" t="n">
        <v>193694</v>
      </c>
      <c r="AD364" s="253" t="n">
        <v>212524</v>
      </c>
      <c r="AE364" s="253" t="n">
        <v>224610</v>
      </c>
      <c r="AF364" s="253" t="n">
        <v>225017</v>
      </c>
      <c r="AG364" s="253" t="n">
        <v>241086</v>
      </c>
      <c r="AH364" s="253" t="n">
        <v>241086</v>
      </c>
      <c r="AI364" s="253" t="n">
        <v>249097</v>
      </c>
      <c r="AJ364" s="253" t="n">
        <v>256003</v>
      </c>
      <c r="AK364" s="253" t="n">
        <v>245497</v>
      </c>
      <c r="AL364" s="253" t="n">
        <v>258848</v>
      </c>
      <c r="AM364" s="253" t="n">
        <v>258848</v>
      </c>
      <c r="AN364" s="253" t="n">
        <v>257619</v>
      </c>
      <c r="AO364" s="253" t="n">
        <v>258859</v>
      </c>
      <c r="AP364" s="253" t="n">
        <v>263281</v>
      </c>
      <c r="AQ364" s="253" t="n">
        <v>286556</v>
      </c>
      <c r="AR364" s="253" t="n">
        <v>286556</v>
      </c>
      <c r="AS364" s="253" t="n">
        <v>278955</v>
      </c>
      <c r="AT364" s="253" t="n">
        <v>282794</v>
      </c>
      <c r="AU364" s="253" t="n">
        <v>285449</v>
      </c>
      <c r="AV364" s="253" t="n">
        <v>301311</v>
      </c>
      <c r="AW364" s="253" t="n">
        <v>301311</v>
      </c>
      <c r="AX364" s="253" t="n">
        <v>301001</v>
      </c>
      <c r="AY364" s="253" t="n">
        <v>304137</v>
      </c>
      <c r="AZ364" s="253" t="n">
        <v>308879</v>
      </c>
      <c r="BA364" s="253" t="n">
        <v>333779</v>
      </c>
      <c r="BB364" s="253" t="n">
        <v>333779</v>
      </c>
      <c r="BC364" s="253" t="n">
        <v>335418</v>
      </c>
      <c r="BD364" s="253" t="n">
        <v>340389</v>
      </c>
      <c r="BE364" s="253" t="n">
        <v>344607</v>
      </c>
      <c r="BF364" s="253" t="n">
        <v>364840</v>
      </c>
      <c r="BG364" s="253" t="n">
        <v>364840</v>
      </c>
      <c r="BH364" s="253" t="n">
        <v>359784</v>
      </c>
      <c r="BI364" s="253" t="n">
        <v>364552</v>
      </c>
      <c r="BJ364" s="253" t="n">
        <v>380088</v>
      </c>
      <c r="BK364" s="253" t="n">
        <v>411976</v>
      </c>
      <c r="BL364" s="253" t="n">
        <v>411976</v>
      </c>
      <c r="BM364" s="253" t="n">
        <v>445785</v>
      </c>
      <c r="BN364" s="253" t="n">
        <v>470558</v>
      </c>
      <c r="BO364" s="253" t="n">
        <v>484275</v>
      </c>
      <c r="BP364" s="253" t="n">
        <v>512163</v>
      </c>
      <c r="BQ364" s="253" t="n">
        <v>512163</v>
      </c>
      <c r="BR364" s="253" t="n">
        <v>523013</v>
      </c>
      <c r="BS364" s="253" t="n">
        <v>533898</v>
      </c>
      <c r="BT364" s="253" t="n">
        <v>562624</v>
      </c>
      <c r="BU364" s="253" t="n">
        <v>619003</v>
      </c>
      <c r="BV364" s="253" t="n">
        <v>619003</v>
      </c>
      <c r="BW364" s="253" t="n">
        <v>636351</v>
      </c>
      <c r="BX364" s="253" t="n">
        <v>665302</v>
      </c>
      <c r="BY364" s="253" t="n">
        <v>694228</v>
      </c>
      <c r="BZ364" s="253" t="n">
        <v>758376</v>
      </c>
      <c r="CA364" s="253" t="n">
        <v>758376</v>
      </c>
      <c r="CB364" s="153" t="n"/>
      <c r="CC364" s="153" t="n"/>
      <c r="CD364" s="153" t="n"/>
      <c r="CE364" s="153" t="n"/>
      <c r="CF364" s="153" t="n"/>
      <c r="CG364" s="153" t="n"/>
      <c r="CH364" s="153" t="n"/>
      <c r="CI364" s="153" t="n"/>
      <c r="CJ364" s="153" t="n"/>
      <c r="CK364" s="153" t="n"/>
    </row>
    <row r="365" ht="15" customHeight="1" s="251">
      <c r="B365" s="57" t="inlineStr">
        <is>
          <t xml:space="preserve">  Check: BS cash vs cash-flow ending cash (should be 0)</t>
        </is>
      </c>
      <c r="C365" s="211">
        <f>IF(AND(ISNUMBER(C338),ISNUMBER(C310)),IF(ABS(C338-C310)&lt;=1,0,ROUND(C338-C310,0)),"")</f>
        <v>0</v>
      </c>
      <c r="D365" s="211">
        <f>IF(AND(ISNUMBER(D338),ISNUMBER(D310)),IF(ABS(D338-D310)&lt;=1,0,ROUND(D338-D310,0)),"")</f>
        <v>0</v>
      </c>
      <c r="E365" s="211">
        <f>IF(AND(ISNUMBER(E338),ISNUMBER(E310)),IF(ABS(E338-E310)&lt;=1,0,ROUND(E338-E310,0)),"")</f>
        <v>0</v>
      </c>
      <c r="F365" s="211">
        <f>IF(AND(ISNUMBER(F338),ISNUMBER(F310)),IF(ABS(F338-F310)&lt;=1,0,ROUND(F338-F310,0)),"")</f>
        <v>0</v>
      </c>
      <c r="G365" s="211">
        <f>IF(AND(ISNUMBER(G338),ISNUMBER(G310)),IF(ABS(G338-G310)&lt;=1,0,ROUND(G338-G310,0)),"")</f>
        <v>0</v>
      </c>
      <c r="H365" s="211">
        <f>IF(AND(ISNUMBER(H338),ISNUMBER(H310)),IF(ABS(H338-H310)&lt;=1,0,ROUND(H338-H310,0)),"")</f>
        <v>0</v>
      </c>
      <c r="I365" s="211">
        <f>IF(AND(ISNUMBER(I338),ISNUMBER(I310)),IF(ABS(I338-I310)&lt;=1,0,ROUND(I338-I310,0)),"")</f>
        <v>0</v>
      </c>
      <c r="J365" s="211">
        <f>IF(AND(ISNUMBER(J338),ISNUMBER(J310)),IF(ABS(J338-J310)&lt;=1,0,ROUND(J338-J310,0)),"")</f>
        <v>0</v>
      </c>
      <c r="K365" s="211">
        <f>IF(AND(ISNUMBER(K338),ISNUMBER(K310)),IF(ABS(K338-K310)&lt;=1,0,ROUND(K338-K310,0)),"")</f>
        <v>0</v>
      </c>
      <c r="L365" s="211">
        <f>IF(AND(ISNUMBER(L338),ISNUMBER(L310)),IF(ABS(L338-L310)&lt;=1,0,ROUND(L338-L310,0)),"")</f>
        <v>0</v>
      </c>
      <c r="M365" s="211">
        <f>IF(AND(ISNUMBER(M338),ISNUMBER(M310)),IF(ABS(M338-M310)&lt;=1,0,ROUND(M338-M310,0)),"")</f>
        <v>0</v>
      </c>
      <c r="N365" s="211">
        <f>IF(AND(ISNUMBER(N338),ISNUMBER(N310)),IF(ABS(N338-N310)&lt;=1,0,ROUND(N338-N310,0)),"")</f>
        <v>0</v>
      </c>
      <c r="O365" s="211">
        <f>IF(AND(ISNUMBER(O338),ISNUMBER(O310)),IF(ABS(O338-O310)&lt;=1,0,ROUND(O338-O310,0)),"")</f>
        <v>0</v>
      </c>
      <c r="P365" s="211">
        <f>IF(AND(ISNUMBER(P338),ISNUMBER(P310)),IF(ABS(P338-P310)&lt;=1,0,ROUND(P338-P310,0)),"")</f>
        <v>0</v>
      </c>
      <c r="Q365" s="211">
        <f>IF(AND(ISNUMBER(Q338),ISNUMBER(Q310)),IF(ABS(Q338-Q310)&lt;=1,0,ROUND(Q338-Q310,0)),"")</f>
        <v>0</v>
      </c>
      <c r="R365" s="211">
        <f>IF(AND(ISNUMBER(R338),ISNUMBER(R310)),IF(ABS(R338-R310)&lt;=1,0,ROUND(R338-R310,0)),"")</f>
        <v>0</v>
      </c>
      <c r="S365" s="211">
        <f>IF(AND(ISNUMBER(S338),ISNUMBER(S310)),IF(ABS(S338-S310)&lt;=1,0,ROUND(S338-S310,0)),"")</f>
        <v>0</v>
      </c>
      <c r="T365" s="211">
        <f>IF(AND(ISNUMBER(T338),ISNUMBER(T310)),IF(ABS(T338-T310)&lt;=1,0,ROUND(T338-T310,0)),"")</f>
        <v>0</v>
      </c>
      <c r="U365" s="211">
        <f>IF(AND(ISNUMBER(U338),ISNUMBER(U310)),IF(ABS(U338-U310)&lt;=1,0,ROUND(U338-U310,0)),"")</f>
        <v>0</v>
      </c>
      <c r="V365" s="211">
        <f>IF(AND(ISNUMBER(V338),ISNUMBER(V310)),IF(ABS(V338-V310)&lt;=1,0,ROUND(V338-V310,0)),"")</f>
        <v>0</v>
      </c>
      <c r="W365" s="211">
        <f>IF(AND(ISNUMBER(W338),ISNUMBER(W310)),IF(ABS(W338-W310)&lt;=1,0,ROUND(W338-W310,0)),"")</f>
        <v>0</v>
      </c>
      <c r="X365" s="211">
        <f>IF(AND(ISNUMBER(X338),ISNUMBER(X310)),IF(ABS(X338-X310)&lt;=1,0,ROUND(X338-X310,0)),"")</f>
        <v>0</v>
      </c>
      <c r="Y365" s="211">
        <f>IF(AND(ISNUMBER(Y338),ISNUMBER(Y310)),IF(ABS(Y338-Y310)&lt;=1,0,ROUND(Y338-Y310,0)),"")</f>
        <v>0</v>
      </c>
      <c r="Z365" s="211">
        <f>IF(AND(ISNUMBER(Z338),ISNUMBER(Z310)),IF(ABS(Z338-Z310)&lt;=1,0,ROUND(Z338-Z310,0)),"")</f>
        <v>0</v>
      </c>
      <c r="AA365" s="211">
        <f>IF(AND(ISNUMBER(AA338),ISNUMBER(AA310)),IF(ABS(AA338-AA310)&lt;=1,0,ROUND(AA338-AA310,0)),"")</f>
        <v>0</v>
      </c>
      <c r="AB365" s="211">
        <f>IF(AND(ISNUMBER(AB338),ISNUMBER(AB310)),IF(ABS(AB338-AB310)&lt;=1,0,ROUND(AB338-AB310,0)),"")</f>
        <v>0</v>
      </c>
      <c r="AC365" s="211">
        <f>IF(AND(ISNUMBER(AC338),ISNUMBER(AC310)),IF(ABS(AC338-AC310)&lt;=1,0,ROUND(AC338-AC310,0)),"")</f>
        <v>0</v>
      </c>
      <c r="AD365" s="211">
        <f>IF(AND(ISNUMBER(AD338),ISNUMBER(AD310)),IF(ABS(AD338-AD310)&lt;=1,0,ROUND(AD338-AD310,0)),"")</f>
        <v>0</v>
      </c>
      <c r="AE365" s="211">
        <f>IF(AND(ISNUMBER(AE338),ISNUMBER(AE310)),IF(ABS(AE338-AE310)&lt;=1,0,ROUND(AE338-AE310,0)),"")</f>
        <v>0</v>
      </c>
      <c r="AF365" s="211">
        <f>IF(AND(ISNUMBER(AF338),ISNUMBER(AF310)),IF(ABS(AF338-AF310)&lt;=1,0,ROUND(AF338-AF310,0)),"")</f>
        <v>0</v>
      </c>
      <c r="AG365" s="211">
        <f>IF(AND(ISNUMBER(AG338),ISNUMBER(AG310)),IF(ABS(AG338-AG310)&lt;=1,0,ROUND(AG338-AG310,0)),"")</f>
        <v>0</v>
      </c>
      <c r="AH365" s="211">
        <f>IF(AND(ISNUMBER(AH338),ISNUMBER(AH310)),IF(ABS(AH338-AH310)&lt;=1,0,ROUND(AH338-AH310,0)),"")</f>
        <v>0</v>
      </c>
      <c r="AI365" s="211">
        <f>IF(AND(ISNUMBER(AI338),ISNUMBER(AI310)),IF(ABS(AI338-AI310)&lt;=1,0,ROUND(AI338-AI310,0)),"")</f>
        <v>0</v>
      </c>
      <c r="AJ365" s="211">
        <f>IF(AND(ISNUMBER(AJ338),ISNUMBER(AJ310)),IF(ABS(AJ338-AJ310)&lt;=1,0,ROUND(AJ338-AJ310,0)),"")</f>
        <v>0</v>
      </c>
      <c r="AK365" s="211">
        <f>IF(AND(ISNUMBER(AK338),ISNUMBER(AK310)),IF(ABS(AK338-AK310)&lt;=1,0,ROUND(AK338-AK310,0)),"")</f>
        <v>0</v>
      </c>
      <c r="AL365" s="211">
        <f>IF(AND(ISNUMBER(AL338),ISNUMBER(AL310)),IF(ABS(AL338-AL310)&lt;=1,0,ROUND(AL338-AL310,0)),"")</f>
        <v>0</v>
      </c>
      <c r="AM365" s="211">
        <f>IF(AND(ISNUMBER(AM338),ISNUMBER(AM310)),IF(ABS(AM338-AM310)&lt;=1,0,ROUND(AM338-AM310,0)),"")</f>
        <v>0</v>
      </c>
      <c r="AN365" s="211">
        <f>IF(AND(ISNUMBER(AN338),ISNUMBER(AN310)),IF(ABS(AN338-AN310)&lt;=1,0,ROUND(AN338-AN310,0)),"")</f>
        <v>0</v>
      </c>
      <c r="AO365" s="211">
        <f>IF(AND(ISNUMBER(AO338),ISNUMBER(AO310)),IF(ABS(AO338-AO310)&lt;=1,0,ROUND(AO338-AO310,0)),"")</f>
        <v>0</v>
      </c>
      <c r="AP365" s="211">
        <f>IF(AND(ISNUMBER(AP338),ISNUMBER(AP310)),IF(ABS(AP338-AP310)&lt;=1,0,ROUND(AP338-AP310,0)),"")</f>
        <v>0</v>
      </c>
      <c r="AQ365" s="211">
        <f>IF(AND(ISNUMBER(AQ338),ISNUMBER(AQ310)),IF(ABS(AQ338-AQ310)&lt;=1,0,ROUND(AQ338-AQ310,0)),"")</f>
        <v>0</v>
      </c>
      <c r="AR365" s="211">
        <f>IF(AND(ISNUMBER(AR338),ISNUMBER(AR310)),IF(ABS(AR338-AR310)&lt;=1,0,ROUND(AR338-AR310,0)),"")</f>
        <v>0</v>
      </c>
      <c r="AS365" s="211">
        <f>IF(AND(ISNUMBER(AS338),ISNUMBER(AS310)),IF(ABS(AS338-AS310)&lt;=1,0,ROUND(AS338-AS310,0)),"")</f>
        <v>0</v>
      </c>
      <c r="AT365" s="211">
        <f>IF(AND(ISNUMBER(AT338),ISNUMBER(AT310)),IF(ABS(AT338-AT310)&lt;=1,0,ROUND(AT338-AT310,0)),"")</f>
        <v>0</v>
      </c>
      <c r="AU365" s="211">
        <f>IF(AND(ISNUMBER(AU338),ISNUMBER(AU310)),IF(ABS(AU338-AU310)&lt;=1,0,ROUND(AU338-AU310,0)),"")</f>
        <v>0</v>
      </c>
      <c r="AV365" s="211">
        <f>IF(AND(ISNUMBER(AV338),ISNUMBER(AV310)),IF(ABS(AV338-AV310)&lt;=1,0,ROUND(AV338-AV310,0)),"")</f>
        <v>0</v>
      </c>
      <c r="AW365" s="211">
        <f>IF(AND(ISNUMBER(AW338),ISNUMBER(AW310)),IF(ABS(AW338-AW310)&lt;=1,0,ROUND(AW338-AW310,0)),"")</f>
        <v>0</v>
      </c>
      <c r="AX365" s="211">
        <f>IF(AND(ISNUMBER(AX338),ISNUMBER(AX310)),IF(ABS(AX338-AX310)&lt;=1,0,ROUND(AX338-AX310,0)),"")</f>
        <v>0</v>
      </c>
      <c r="AY365" s="211">
        <f>IF(AND(ISNUMBER(AY338),ISNUMBER(AY310)),IF(ABS(AY338-AY310)&lt;=1,0,ROUND(AY338-AY310,0)),"")</f>
        <v>0</v>
      </c>
      <c r="AZ365" s="211">
        <f>IF(AND(ISNUMBER(AZ338),ISNUMBER(AZ310)),IF(ABS(AZ338-AZ310)&lt;=1,0,ROUND(AZ338-AZ310,0)),"")</f>
        <v>0</v>
      </c>
      <c r="BA365" s="211">
        <f>IF(AND(ISNUMBER(BA338),ISNUMBER(BA310)),IF(ABS(BA338-BA310)&lt;=1,0,ROUND(BA338-BA310,0)),"")</f>
        <v>0</v>
      </c>
      <c r="BB365" s="211">
        <f>IF(AND(ISNUMBER(BB338),ISNUMBER(BB310)),IF(ABS(BB338-BB310)&lt;=1,0,ROUND(BB338-BB310,0)),"")</f>
        <v>0</v>
      </c>
      <c r="BC365" s="211">
        <f>IF(AND(ISNUMBER(BC338),ISNUMBER(BC310)),IF(ABS(BC338-BC310)&lt;=1,0,ROUND(BC338-BC310,0)),"")</f>
        <v>0</v>
      </c>
      <c r="BD365" s="211">
        <f>IF(AND(ISNUMBER(BD338),ISNUMBER(BD310)),IF(ABS(BD338-BD310)&lt;=1,0,ROUND(BD338-BD310,0)),"")</f>
        <v>0</v>
      </c>
      <c r="BE365" s="211">
        <f>IF(AND(ISNUMBER(BE338),ISNUMBER(BE310)),IF(ABS(BE338-BE310)&lt;=1,0,ROUND(BE338-BE310,0)),"")</f>
        <v>0</v>
      </c>
      <c r="BF365" s="211">
        <f>IF(AND(ISNUMBER(BF338),ISNUMBER(BF310)),IF(ABS(BF338-BF310)&lt;=1,0,ROUND(BF338-BF310,0)),"")</f>
        <v>0</v>
      </c>
      <c r="BG365" s="211">
        <f>IF(AND(ISNUMBER(BG338),ISNUMBER(BG310)),IF(ABS(BG338-BG310)&lt;=1,0,ROUND(BG338-BG310,0)),"")</f>
        <v>0</v>
      </c>
      <c r="BH365" s="211">
        <f>IF(AND(ISNUMBER(BH338),ISNUMBER(BH310)),IF(ABS(BH338-BH310)&lt;=1,0,ROUND(BH338-BH310,0)),"")</f>
        <v>0</v>
      </c>
      <c r="BI365" s="211">
        <f>IF(AND(ISNUMBER(BI338),ISNUMBER(BI310)),IF(ABS(BI338-BI310)&lt;=1,0,ROUND(BI338-BI310,0)),"")</f>
        <v>0</v>
      </c>
      <c r="BJ365" s="211">
        <f>IF(AND(ISNUMBER(BJ338),ISNUMBER(BJ310)),IF(ABS(BJ338-BJ310)&lt;=1,0,ROUND(BJ338-BJ310,0)),"")</f>
        <v>0</v>
      </c>
      <c r="BK365" s="211">
        <f>IF(AND(ISNUMBER(BK338),ISNUMBER(BK310)),IF(ABS(BK338-BK310)&lt;=1,0,ROUND(BK338-BK310,0)),"")</f>
        <v>0</v>
      </c>
      <c r="BL365" s="211">
        <f>IF(AND(ISNUMBER(BL338),ISNUMBER(BL310)),IF(ABS(BL338-BL310)&lt;=1,0,ROUND(BL338-BL310,0)),"")</f>
        <v>0</v>
      </c>
      <c r="BM365" s="211">
        <f>IF(AND(ISNUMBER(BM338),ISNUMBER(BM310)),IF(ABS(BM338-BM310)&lt;=1,0,ROUND(BM338-BM310,0)),"")</f>
        <v>0</v>
      </c>
      <c r="BN365" s="211">
        <f>IF(AND(ISNUMBER(BN338),ISNUMBER(BN310)),IF(ABS(BN338-BN310)&lt;=1,0,ROUND(BN338-BN310,0)),"")</f>
        <v>0</v>
      </c>
      <c r="BO365" s="211">
        <f>IF(AND(ISNUMBER(BO338),ISNUMBER(BO310)),IF(ABS(BO338-BO310)&lt;=1,0,ROUND(BO338-BO310,0)),"")</f>
        <v>0</v>
      </c>
      <c r="BP365" s="211">
        <f>IF(AND(ISNUMBER(BP338),ISNUMBER(BP310)),IF(ABS(BP338-BP310)&lt;=1,0,ROUND(BP338-BP310,0)),"")</f>
        <v>0</v>
      </c>
      <c r="BQ365" s="211">
        <f>IF(AND(ISNUMBER(BQ338),ISNUMBER(BQ310)),IF(ABS(BQ338-BQ310)&lt;=1,0,ROUND(BQ338-BQ310,0)),"")</f>
        <v>0</v>
      </c>
      <c r="BR365" s="211">
        <f>IF(AND(ISNUMBER(BR338),ISNUMBER(BR310)),IF(ABS(BR338-BR310)&lt;=1,0,ROUND(BR338-BR310,0)),"")</f>
        <v>0</v>
      </c>
      <c r="BS365" s="211">
        <f>IF(AND(ISNUMBER(BS338),ISNUMBER(BS310)),IF(ABS(BS338-BS310)&lt;=1,0,ROUND(BS338-BS310,0)),"")</f>
        <v>0</v>
      </c>
      <c r="BT365" s="211">
        <f>IF(AND(ISNUMBER(BT338),ISNUMBER(BT310)),IF(ABS(BT338-BT310)&lt;=1,0,ROUND(BT338-BT310,0)),"")</f>
        <v>0</v>
      </c>
      <c r="BU365" s="211">
        <f>IF(AND(ISNUMBER(BU338),ISNUMBER(BU310)),IF(ABS(BU338-BU310)&lt;=1,0,ROUND(BU338-BU310,0)),"")</f>
        <v>0</v>
      </c>
      <c r="BV365" s="211">
        <f>IF(AND(ISNUMBER(BV338),ISNUMBER(BV310)),IF(ABS(BV338-BV310)&lt;=1,0,ROUND(BV338-BV310,0)),"")</f>
        <v>0</v>
      </c>
      <c r="BW365" s="211">
        <f>IF(AND(ISNUMBER(BW338),ISNUMBER(BW310)),IF(ABS(BW338-BW310)&lt;=1,0,ROUND(BW338-BW310,0)),"")</f>
        <v>0</v>
      </c>
      <c r="BX365" s="211">
        <f>IF(AND(ISNUMBER(BX338),ISNUMBER(BX310)),IF(ABS(BX338-BX310)&lt;=1,0,ROUND(BX338-BX310,0)),"")</f>
        <v>0</v>
      </c>
      <c r="BY365" s="211">
        <f>IF(AND(ISNUMBER(BY338),ISNUMBER(BY310)),IF(ABS(BY338-BY310)&lt;=1,0,ROUND(BY338-BY310,0)),"")</f>
        <v>0</v>
      </c>
      <c r="BZ365" s="211">
        <f>IF(AND(ISNUMBER(BZ338),ISNUMBER(BZ310)),IF(ABS(BZ338-BZ310)&lt;=1,0,ROUND(BZ338-BZ310,0)),"")</f>
        <v>0</v>
      </c>
      <c r="CA365" s="211">
        <f>IF(AND(ISNUMBER(CA338),ISNUMBER(CA310)),IF(ABS(CA338-CA310)&lt;=1,0,ROUND(CA338-CA310,0)),"")</f>
        <v>0</v>
      </c>
      <c r="CB365" s="153" t="n"/>
      <c r="CC365" s="153" t="n"/>
      <c r="CD365" s="153" t="n"/>
      <c r="CE365" s="153" t="n"/>
      <c r="CF365" s="268">
        <f>IF(AND(ISNUMBER(CF338),ISNUMBER(CF310)),IF(ABS(CF338-CF310)&lt;=1,0,ROUND(CF338-CF310,0)),"")</f>
        <v>0</v>
      </c>
      <c r="CG365" s="268">
        <f>IF(AND(ISNUMBER(CG338),ISNUMBER(CG310)),IF(ABS(CG338-CG310)&lt;=1,0,ROUND(CG338-CG310,0)),"")</f>
        <v>0</v>
      </c>
      <c r="CH365" s="268">
        <f>IF(AND(ISNUMBER(CH338),ISNUMBER(CH310)),IF(ABS(CH338-CH310)&lt;=1,0,ROUND(CH338-CH310,0)),"")</f>
        <v>0</v>
      </c>
      <c r="CI365" s="268">
        <f>IF(AND(ISNUMBER(CI338),ISNUMBER(CI310)),IF(ABS(CI338-CI310)&lt;=1,0,ROUND(CI338-CI310,0)),"")</f>
        <v>0</v>
      </c>
      <c r="CJ365" s="268">
        <f>IF(AND(ISNUMBER(CJ338),ISNUMBER(CJ310)),IF(ABS(CJ338-CJ310)&lt;=1,0,ROUND(CJ338-CJ310,0)),"")</f>
        <v>0</v>
      </c>
      <c r="CK365" s="153" t="n"/>
    </row>
    <row r="366" ht="15" customHeight="1" s="251">
      <c r="B366" s="156" t="inlineStr">
        <is>
          <t xml:space="preserve">  Memo: shares outstanding at period end (m; balance-sheet caption)</t>
        </is>
      </c>
      <c r="C366" s="282" t="n">
        <v>10062</v>
      </c>
      <c r="D366" s="282" t="n">
        <v>9380</v>
      </c>
      <c r="E366" s="282" t="n">
        <v>9151</v>
      </c>
      <c r="F366" s="282" t="n">
        <v>8908</v>
      </c>
      <c r="G366" s="282" t="n">
        <v>8668</v>
      </c>
      <c r="H366" s="282" t="n">
        <v>8376</v>
      </c>
      <c r="I366" s="282" t="n">
        <v>8381</v>
      </c>
      <c r="J366" s="282" t="n">
        <v>8422</v>
      </c>
      <c r="K366" s="282" t="n">
        <v>8374</v>
      </c>
      <c r="L366" s="282" t="n">
        <v>8349</v>
      </c>
      <c r="M366" s="282" t="n">
        <v>8328</v>
      </c>
      <c r="N366" s="282" t="n">
        <v>8328</v>
      </c>
      <c r="O366" s="282" t="n">
        <v>8346</v>
      </c>
      <c r="P366" s="282" t="n">
        <v>8300</v>
      </c>
      <c r="Q366" s="282" t="n">
        <v>8260</v>
      </c>
      <c r="R366" s="282" t="n">
        <v>8239</v>
      </c>
      <c r="S366" s="282" t="n">
        <v>8239</v>
      </c>
      <c r="T366" s="282" t="n">
        <v>8255</v>
      </c>
      <c r="U366" s="282" t="n">
        <v>8218</v>
      </c>
      <c r="V366" s="282" t="n">
        <v>8113</v>
      </c>
      <c r="W366" s="282" t="n">
        <v>8027</v>
      </c>
      <c r="X366" s="282" t="n">
        <v>8027</v>
      </c>
      <c r="Y366" s="282" t="n">
        <v>7986</v>
      </c>
      <c r="Z366" s="282" t="n">
        <v>7925</v>
      </c>
      <c r="AA366" s="282" t="n">
        <v>7870</v>
      </c>
      <c r="AB366" s="282" t="n">
        <v>7808</v>
      </c>
      <c r="AC366" s="282" t="n">
        <v>7808</v>
      </c>
      <c r="AD366" s="282" t="n">
        <v>7784</v>
      </c>
      <c r="AE366" s="282" t="n">
        <v>7730</v>
      </c>
      <c r="AF366" s="282" t="n">
        <v>7723</v>
      </c>
      <c r="AG366" s="282" t="n">
        <v>7708</v>
      </c>
      <c r="AH366" s="282" t="n">
        <v>7708</v>
      </c>
      <c r="AI366" s="282" t="n">
        <v>7720</v>
      </c>
      <c r="AJ366" s="282" t="n">
        <v>7705</v>
      </c>
      <c r="AK366" s="282" t="n">
        <v>7690</v>
      </c>
      <c r="AL366" s="282" t="n">
        <v>7677</v>
      </c>
      <c r="AM366" s="282" t="n">
        <v>7677</v>
      </c>
      <c r="AN366" s="282" t="n">
        <v>7680</v>
      </c>
      <c r="AO366" s="282" t="n">
        <v>7683</v>
      </c>
      <c r="AP366" s="282" t="n">
        <v>7666</v>
      </c>
      <c r="AQ366" s="282" t="n">
        <v>7643</v>
      </c>
      <c r="AR366" s="282" t="n">
        <v>7643</v>
      </c>
      <c r="AS366" s="282" t="n">
        <v>7634</v>
      </c>
      <c r="AT366" s="282" t="n">
        <v>7611</v>
      </c>
      <c r="AU366" s="282" t="n">
        <v>7590</v>
      </c>
      <c r="AV366" s="282" t="n">
        <v>7571</v>
      </c>
      <c r="AW366" s="282" t="n">
        <v>7571</v>
      </c>
      <c r="AX366" s="282" t="n">
        <v>7564</v>
      </c>
      <c r="AY366" s="282" t="n">
        <v>7546</v>
      </c>
      <c r="AZ366" s="282" t="n">
        <v>7534</v>
      </c>
      <c r="BA366" s="282" t="n">
        <v>7519</v>
      </c>
      <c r="BB366" s="282" t="n">
        <v>7519</v>
      </c>
      <c r="BC366" s="282" t="n">
        <v>7510</v>
      </c>
      <c r="BD366" s="282" t="n">
        <v>7500</v>
      </c>
      <c r="BE366" s="282" t="n">
        <v>7483</v>
      </c>
      <c r="BF366" s="282" t="n">
        <v>7464</v>
      </c>
      <c r="BG366" s="282" t="n">
        <v>7464</v>
      </c>
      <c r="BH366" s="282" t="n">
        <v>7457</v>
      </c>
      <c r="BI366" s="282" t="n">
        <v>7447</v>
      </c>
      <c r="BJ366" s="282" t="n">
        <v>7437</v>
      </c>
      <c r="BK366" s="282" t="n">
        <v>7432</v>
      </c>
      <c r="BL366" s="282" t="n">
        <v>7432</v>
      </c>
      <c r="BM366" s="282" t="n">
        <v>7431</v>
      </c>
      <c r="BN366" s="282" t="n">
        <v>7432</v>
      </c>
      <c r="BO366" s="282" t="n">
        <v>7433</v>
      </c>
      <c r="BP366" s="282" t="n">
        <v>7434</v>
      </c>
      <c r="BQ366" s="282" t="n">
        <v>7434</v>
      </c>
      <c r="BR366" s="282" t="n">
        <v>7436</v>
      </c>
      <c r="BS366" s="282" t="n">
        <v>7435</v>
      </c>
      <c r="BT366" s="282" t="n">
        <v>7434</v>
      </c>
      <c r="BU366" s="282" t="n">
        <v>7434</v>
      </c>
      <c r="BV366" s="282" t="n">
        <v>7434</v>
      </c>
      <c r="BW366" s="282" t="n">
        <v>7434</v>
      </c>
      <c r="BX366" s="282" t="n">
        <v>7429</v>
      </c>
      <c r="BY366" s="282" t="n">
        <v>7429</v>
      </c>
      <c r="BZ366" s="282" t="n">
        <v>7427</v>
      </c>
      <c r="CA366" s="282" t="n">
        <v>7427</v>
      </c>
      <c r="CB366" s="153" t="n"/>
      <c r="CC366" s="153" t="n"/>
      <c r="CD366" s="153" t="n"/>
      <c r="CE366" s="153" t="n"/>
      <c r="CF366" s="286">
        <f>CF332</f>
        <v>7417.45644312929</v>
      </c>
      <c r="CG366" s="286">
        <f>CG332</f>
        <v>7349.47064011687</v>
      </c>
      <c r="CH366" s="286">
        <f>CH332</f>
        <v>7230.5468423677</v>
      </c>
      <c r="CI366" s="286">
        <f>CI332</f>
        <v>7052.91666874102</v>
      </c>
      <c r="CJ366" s="286">
        <f>CJ332</f>
        <v>6839.88443180246</v>
      </c>
      <c r="CK366" s="153" t="n"/>
    </row>
    <row r="367" ht="15" customHeight="1" s="251">
      <c r="CS367" s="11" t="n"/>
      <c r="CT367" s="12" t="n"/>
      <c r="CU367" s="12" t="n"/>
      <c r="CV367" s="12" t="n"/>
      <c r="CW367" s="13" t="n"/>
    </row>
    <row r="368" ht="15" customHeight="1" s="251">
      <c r="B368" s="10" t="inlineStr">
        <is>
          <t>WORKING CAPITAL &amp; CASH CONVERSION</t>
        </is>
      </c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  <c r="AD368" s="10" t="n"/>
      <c r="AE368" s="10" t="n"/>
      <c r="AF368" s="10" t="n"/>
      <c r="AG368" s="10" t="n"/>
      <c r="AH368" s="10" t="n"/>
      <c r="AI368" s="10" t="n"/>
      <c r="AJ368" s="10" t="n"/>
      <c r="AK368" s="10" t="n"/>
      <c r="AL368" s="10" t="n"/>
      <c r="AM368" s="10" t="n"/>
      <c r="AN368" s="10" t="n"/>
      <c r="AO368" s="10" t="n"/>
      <c r="AP368" s="10" t="n"/>
      <c r="AQ368" s="10" t="n"/>
      <c r="AR368" s="10" t="n"/>
      <c r="AS368" s="10" t="n"/>
      <c r="AT368" s="10" t="n"/>
      <c r="AU368" s="10" t="n"/>
      <c r="AV368" s="10" t="n"/>
      <c r="AW368" s="10" t="n"/>
      <c r="AX368" s="10" t="n"/>
      <c r="AY368" s="10" t="n"/>
      <c r="AZ368" s="10" t="n"/>
      <c r="BA368" s="10" t="n"/>
      <c r="BB368" s="10" t="n"/>
      <c r="BC368" s="10" t="n"/>
      <c r="BD368" s="10" t="n"/>
      <c r="BE368" s="10" t="n"/>
      <c r="BF368" s="10" t="n"/>
      <c r="BG368" s="10" t="n"/>
      <c r="BH368" s="10" t="n"/>
      <c r="BI368" s="10" t="n"/>
      <c r="BJ368" s="10" t="n"/>
      <c r="BK368" s="10" t="n"/>
      <c r="BL368" s="10" t="n"/>
      <c r="BM368" s="10" t="n"/>
      <c r="BN368" s="10" t="n"/>
      <c r="BO368" s="10" t="n"/>
      <c r="BP368" s="10" t="n"/>
      <c r="BQ368" s="10" t="n"/>
      <c r="BR368" s="10" t="n"/>
      <c r="BS368" s="10" t="n"/>
      <c r="BT368" s="10" t="n"/>
      <c r="BU368" s="10" t="n"/>
      <c r="BV368" s="10" t="n"/>
      <c r="BW368" s="10" t="n"/>
      <c r="BX368" s="10" t="n"/>
      <c r="BY368" s="10" t="n"/>
      <c r="BZ368" s="10" t="n"/>
      <c r="CA368" s="10" t="n"/>
      <c r="CB368" s="10" t="n"/>
      <c r="CC368" s="10" t="n"/>
      <c r="CD368" s="10" t="n"/>
      <c r="CE368" s="10" t="n"/>
      <c r="CF368" s="10" t="n"/>
      <c r="CG368" s="10" t="n"/>
      <c r="CH368" s="10" t="n"/>
      <c r="CI368" s="10" t="n"/>
      <c r="CJ368" s="10" t="n"/>
      <c r="CK368" s="10" t="inlineStr">
        <is>
          <t>WORKING CAPITAL — forecast drivers at fiscal-year-end levels (blue = input)</t>
        </is>
      </c>
    </row>
    <row r="369" ht="15" customHeight="1" s="251">
      <c r="B369" s="25" t="inlineStr">
        <is>
          <t xml:space="preserve">  Revenue — annualised (quarters × 4)</t>
        </is>
      </c>
      <c r="C369" s="211">
        <f>IF(ISNUMBER(C179),C179*1,"")</f>
        <v>44282</v>
      </c>
      <c r="D369" s="211">
        <f>IF(ISNUMBER(D179),D179*1,"")</f>
        <v>51122</v>
      </c>
      <c r="E369" s="211">
        <f>IF(ISNUMBER(E179),E179*1,"")</f>
        <v>60420</v>
      </c>
      <c r="F369" s="211">
        <f>IF(ISNUMBER(F179),F179*1,"")</f>
        <v>58437</v>
      </c>
      <c r="G369" s="211">
        <f>IF(ISNUMBER(G179),G179*1,"")</f>
        <v>62484</v>
      </c>
      <c r="H369" s="211">
        <f>IF(ISNUMBER(H179),H179*1,"")</f>
        <v>69943</v>
      </c>
      <c r="I369" s="211">
        <f>IF(ISNUMBER(I179),I179*1,"")</f>
        <v>73723</v>
      </c>
      <c r="J369" s="211">
        <f>IF(ISNUMBER(J179),J179*4,"")</f>
        <v>64032</v>
      </c>
      <c r="K369" s="211">
        <f>IF(ISNUMBER(K179),K179*4,"")</f>
        <v>85824</v>
      </c>
      <c r="L369" s="211">
        <f>IF(ISNUMBER(L179),L179*4,"")</f>
        <v>81956</v>
      </c>
      <c r="M369" s="211">
        <f>IF(ISNUMBER(M179),M179*4,"")</f>
        <v>79584</v>
      </c>
      <c r="N369" s="211">
        <f>IF(ISNUMBER(N179),N179*1,"")</f>
        <v>77849</v>
      </c>
      <c r="O369" s="211">
        <f>IF(ISNUMBER(O179),O179*4,"")</f>
        <v>74116</v>
      </c>
      <c r="P369" s="211">
        <f>IF(ISNUMBER(P179),P179*4,"")</f>
        <v>98076</v>
      </c>
      <c r="Q369" s="211">
        <f>IF(ISNUMBER(Q179),Q179*4,"")</f>
        <v>81612</v>
      </c>
      <c r="R369" s="211">
        <f>IF(ISNUMBER(R179),R179*4,"")</f>
        <v>93528</v>
      </c>
      <c r="S369" s="211">
        <f>IF(ISNUMBER(S179),S179*1,"")</f>
        <v>86833</v>
      </c>
      <c r="T369" s="211">
        <f>IF(ISNUMBER(T179),T179*4,"")</f>
        <v>92804</v>
      </c>
      <c r="U369" s="211">
        <f>IF(ISNUMBER(U179),U179*4,"")</f>
        <v>105880</v>
      </c>
      <c r="V369" s="211">
        <f>IF(ISNUMBER(V179),V179*4,"")</f>
        <v>86916</v>
      </c>
      <c r="W369" s="211">
        <f>IF(ISNUMBER(W179),W179*4,"")</f>
        <v>88720</v>
      </c>
      <c r="X369" s="211">
        <f>IF(ISNUMBER(X179),X179*1,"")</f>
        <v>93580</v>
      </c>
      <c r="Y369" s="211">
        <f>IF(ISNUMBER(Y179),Y179*4,"")</f>
        <v>81516</v>
      </c>
      <c r="Z369" s="211">
        <f>IF(ISNUMBER(Z179),Z179*4,"")</f>
        <v>95184</v>
      </c>
      <c r="AA369" s="211">
        <f>IF(ISNUMBER(AA179),AA179*4,"")</f>
        <v>82124</v>
      </c>
      <c r="AB369" s="211">
        <f>IF(ISNUMBER(AB179),AB179*4,"")</f>
        <v>82456</v>
      </c>
      <c r="AC369" s="211">
        <f>IF(ISNUMBER(AC179),AC179*1,"")</f>
        <v>85320</v>
      </c>
      <c r="AD369" s="211">
        <f>IF(ISNUMBER(AD179),AD179*4,"")</f>
        <v>81812</v>
      </c>
      <c r="AE369" s="211">
        <f>IF(ISNUMBER(AE179),AE179*4,"")</f>
        <v>96360</v>
      </c>
      <c r="AF369" s="211">
        <f>IF(ISNUMBER(AF179),AF179*4,"")</f>
        <v>88360</v>
      </c>
      <c r="AG369" s="211">
        <f>IF(ISNUMBER(AG179),AG179*4,"")</f>
        <v>93268</v>
      </c>
      <c r="AH369" s="211">
        <f>IF(ISNUMBER(AH179),AH179*1,"")</f>
        <v>89950</v>
      </c>
      <c r="AI369" s="211">
        <f>IF(ISNUMBER(AI179),AI179*4,"")</f>
        <v>98152</v>
      </c>
      <c r="AJ369" s="211">
        <f>IF(ISNUMBER(AJ179),AJ179*4,"")</f>
        <v>115672</v>
      </c>
      <c r="AK369" s="211">
        <f>IF(ISNUMBER(AK179),AK179*4,"")</f>
        <v>107276</v>
      </c>
      <c r="AL369" s="211">
        <f>IF(ISNUMBER(AL179),AL179*4,"")</f>
        <v>120340</v>
      </c>
      <c r="AM369" s="211">
        <f>IF(ISNUMBER(AM179),AM179*1,"")</f>
        <v>110360</v>
      </c>
      <c r="AN369" s="211">
        <f>IF(ISNUMBER(AN179),AN179*4,"")</f>
        <v>116336</v>
      </c>
      <c r="AO369" s="211">
        <f>IF(ISNUMBER(AO179),AO179*4,"")</f>
        <v>129884</v>
      </c>
      <c r="AP369" s="211">
        <f>IF(ISNUMBER(AP179),AP179*4,"")</f>
        <v>122284</v>
      </c>
      <c r="AQ369" s="211">
        <f>IF(ISNUMBER(AQ179),AQ179*4,"")</f>
        <v>134868</v>
      </c>
      <c r="AR369" s="211">
        <f>IF(ISNUMBER(AR179),AR179*1,"")</f>
        <v>125843</v>
      </c>
      <c r="AS369" s="211">
        <f>IF(ISNUMBER(AS179),AS179*4,"")</f>
        <v>132220</v>
      </c>
      <c r="AT369" s="211">
        <f>IF(ISNUMBER(AT179),AT179*4,"")</f>
        <v>147624</v>
      </c>
      <c r="AU369" s="211">
        <f>IF(ISNUMBER(AU179),AU179*4,"")</f>
        <v>140084</v>
      </c>
      <c r="AV369" s="211">
        <f>IF(ISNUMBER(AV179),AV179*4,"")</f>
        <v>152132</v>
      </c>
      <c r="AW369" s="211">
        <f>IF(ISNUMBER(AW179),AW179*1,"")</f>
        <v>143015</v>
      </c>
      <c r="AX369" s="211">
        <f>IF(ISNUMBER(AX179),AX179*4,"")</f>
        <v>148616</v>
      </c>
      <c r="AY369" s="211">
        <f>IF(ISNUMBER(AY179),AY179*4,"")</f>
        <v>172304</v>
      </c>
      <c r="AZ369" s="211">
        <f>IF(ISNUMBER(AZ179),AZ179*4,"")</f>
        <v>166824</v>
      </c>
      <c r="BA369" s="211">
        <f>IF(ISNUMBER(BA179),BA179*4,"")</f>
        <v>184608</v>
      </c>
      <c r="BB369" s="211">
        <f>IF(ISNUMBER(BB179),BB179*1,"")</f>
        <v>168088</v>
      </c>
      <c r="BC369" s="211">
        <f>IF(ISNUMBER(BC179),BC179*4,"")</f>
        <v>181268</v>
      </c>
      <c r="BD369" s="211">
        <f>IF(ISNUMBER(BD179),BD179*4,"")</f>
        <v>206912</v>
      </c>
      <c r="BE369" s="211">
        <f>IF(ISNUMBER(BE179),BE179*4,"")</f>
        <v>197440</v>
      </c>
      <c r="BF369" s="211">
        <f>IF(ISNUMBER(BF179),BF179*4,"")</f>
        <v>207460</v>
      </c>
      <c r="BG369" s="211">
        <f>IF(ISNUMBER(BG179),BG179*1,"")</f>
        <v>198270</v>
      </c>
      <c r="BH369" s="211">
        <f>IF(ISNUMBER(BH179),BH179*4,"")</f>
        <v>200488</v>
      </c>
      <c r="BI369" s="211">
        <f>IF(ISNUMBER(BI179),BI179*4,"")</f>
        <v>210988</v>
      </c>
      <c r="BJ369" s="211">
        <f>IF(ISNUMBER(BJ179),BJ179*4,"")</f>
        <v>211428</v>
      </c>
      <c r="BK369" s="211">
        <f>IF(ISNUMBER(BK179),BK179*4,"")</f>
        <v>224756</v>
      </c>
      <c r="BL369" s="211">
        <f>IF(ISNUMBER(BL179),BL179*1,"")</f>
        <v>211915</v>
      </c>
      <c r="BM369" s="211">
        <f>IF(ISNUMBER(BM179),BM179*4,"")</f>
        <v>226068</v>
      </c>
      <c r="BN369" s="211">
        <f>IF(ISNUMBER(BN179),BN179*4,"")</f>
        <v>248080</v>
      </c>
      <c r="BO369" s="211">
        <f>IF(ISNUMBER(BO179),BO179*4,"")</f>
        <v>247432</v>
      </c>
      <c r="BP369" s="211">
        <f>IF(ISNUMBER(BP179),BP179*4,"")</f>
        <v>258908</v>
      </c>
      <c r="BQ369" s="211">
        <f>IF(ISNUMBER(BQ179),BQ179*1,"")</f>
        <v>245122</v>
      </c>
      <c r="BR369" s="211">
        <f>IF(ISNUMBER(BR179),BR179*4,"")</f>
        <v>262340</v>
      </c>
      <c r="BS369" s="211">
        <f>IF(ISNUMBER(BS179),BS179*4,"")</f>
        <v>278528</v>
      </c>
      <c r="BT369" s="211">
        <f>IF(ISNUMBER(BT179),BT179*4,"")</f>
        <v>280264</v>
      </c>
      <c r="BU369" s="211">
        <f>IF(ISNUMBER(BU179),BU179*4,"")</f>
        <v>305764</v>
      </c>
      <c r="BV369" s="211">
        <f>IF(ISNUMBER(BV179),BV179*1,"")</f>
        <v>281724</v>
      </c>
      <c r="BW369" s="211">
        <f>IF(ISNUMBER(BW179),BW179*4,"")</f>
        <v>310692</v>
      </c>
      <c r="BX369" s="211">
        <f>IF(ISNUMBER(BX179),BX179*4,"")</f>
        <v>325092</v>
      </c>
      <c r="BY369" s="211">
        <f>IF(ISNUMBER(BY179),BY179*4,"")</f>
        <v>331544</v>
      </c>
      <c r="BZ369" s="211">
        <f>IF(ISNUMBER(BZ179),BZ179*4,"")</f>
        <v>360028</v>
      </c>
      <c r="CA369" s="211">
        <f>IF(ISNUMBER(CA179),CA179*1,"")</f>
        <v>331839</v>
      </c>
      <c r="CB369" s="35" t="n"/>
      <c r="CC369" s="35" t="n"/>
      <c r="CD369" s="35" t="n"/>
      <c r="CE369" s="35" t="n"/>
      <c r="CF369" s="254">
        <f>IF(ISNUMBER(CF179),CF179*1,"")</f>
        <v>389116.321988875</v>
      </c>
      <c r="CG369" s="254">
        <f>IF(ISNUMBER(CG179),CG179*1,"")</f>
        <v>455406.771964896</v>
      </c>
      <c r="CH369" s="254">
        <f>IF(ISNUMBER(CH179),CH179*1,"")</f>
        <v>526872.13143062</v>
      </c>
      <c r="CI369" s="254">
        <f>IF(ISNUMBER(CI179),CI179*1,"")</f>
        <v>599356.932525938</v>
      </c>
      <c r="CJ369" s="254">
        <f>IF(ISNUMBER(CJ179),CJ179*1,"")</f>
        <v>671698.960824128</v>
      </c>
      <c r="CK369" s="19" t="n"/>
    </row>
    <row r="370" ht="15" customHeight="1" s="251">
      <c r="B370" s="25" t="inlineStr">
        <is>
          <t xml:space="preserve">  DSO — receivables / revenue × 365</t>
        </is>
      </c>
      <c r="C370" s="287">
        <f>IFERROR(C340/C369*365,"")</f>
        <v>76.7883112777201</v>
      </c>
      <c r="D370" s="287">
        <f>IFERROR(D340/D369*365,"")</f>
        <v>80.9508626423066</v>
      </c>
      <c r="E370" s="287">
        <f>IFERROR(E340/E369*365,"")</f>
        <v>82.0917742469381</v>
      </c>
      <c r="F370" s="287">
        <f>IFERROR(F340/F369*365,"")</f>
        <v>69.9057104231908</v>
      </c>
      <c r="G370" s="287">
        <f>IFERROR(G340/G369*365,"")</f>
        <v>76.0212214326868</v>
      </c>
      <c r="H370" s="287">
        <f>IFERROR(H340/H369*365,"")</f>
        <v>78.2101854367128</v>
      </c>
      <c r="I370" s="287">
        <f>IFERROR(I340/I369*365,"")</f>
        <v>78.1262292635948</v>
      </c>
      <c r="J370" s="287">
        <f>IFERROR(J340/J369*365,"")</f>
        <v>56.2674131684158</v>
      </c>
      <c r="K370" s="287">
        <f>IFERROR(K340/K369*365,"")</f>
        <v>60.8886208985832</v>
      </c>
      <c r="L370" s="287">
        <f>IFERROR(L340/L369*365,"")</f>
        <v>53.4032285616672</v>
      </c>
      <c r="M370" s="287">
        <f>IFERROR(M340/M369*365,"")</f>
        <v>80.1968988741456</v>
      </c>
      <c r="N370" s="287">
        <f>IFERROR(N340/N369*365,"")</f>
        <v>81.9842258731647</v>
      </c>
      <c r="O370" s="287">
        <f>IFERROR(O340/O369*365,"")</f>
        <v>54.2063117275622</v>
      </c>
      <c r="P370" s="287">
        <f>IFERROR(P340/P369*365,"")</f>
        <v>59.4935560177821</v>
      </c>
      <c r="Q370" s="287">
        <f>IFERROR(Q340/Q369*365,"")</f>
        <v>60.3637332745185</v>
      </c>
      <c r="R370" s="287">
        <f>IFERROR(R340/R369*365,"")</f>
        <v>76.2719185698401</v>
      </c>
      <c r="S370" s="287">
        <f>IFERROR(S340/S369*365,"")</f>
        <v>82.1526378220262</v>
      </c>
      <c r="T370" s="287">
        <f>IFERROR(T340/T369*365,"")</f>
        <v>50.6848303952416</v>
      </c>
      <c r="U370" s="287">
        <f>IFERROR(U340/U369*365,"")</f>
        <v>55.7979788439743</v>
      </c>
      <c r="V370" s="287">
        <f>IFERROR(V340/V369*365,"")</f>
        <v>52.1866514795895</v>
      </c>
      <c r="W370" s="287">
        <f>IFERROR(W340/W369*365,"")</f>
        <v>73.6747069431921</v>
      </c>
      <c r="X370" s="287">
        <f>IFERROR(X340/X369*365,"")</f>
        <v>69.8484718957042</v>
      </c>
      <c r="Y370" s="287">
        <f>IFERROR(Y340/Y369*365,"")</f>
        <v>51.242210118259</v>
      </c>
      <c r="Z370" s="287">
        <f>IFERROR(Z340/Z369*365,"")</f>
        <v>55.6296751554883</v>
      </c>
      <c r="AA370" s="287">
        <f>IFERROR(AA340/AA369*365,"")</f>
        <v>54.4317739028786</v>
      </c>
      <c r="AB370" s="287">
        <f>IFERROR(AB340/AB369*365,"")</f>
        <v>80.9050281362181</v>
      </c>
      <c r="AC370" s="287">
        <f>IFERROR(AC340/AC369*365,"")</f>
        <v>78.1892287857478</v>
      </c>
      <c r="AD370" s="287">
        <f>IFERROR(AD340/AD369*365,"")</f>
        <v>49.6514569989733</v>
      </c>
      <c r="AE370" s="287">
        <f>IFERROR(AE340/AE369*365,"")</f>
        <v>54.3295454545455</v>
      </c>
      <c r="AF370" s="287">
        <f>IFERROR(AF340/AF369*365,"")</f>
        <v>53.2133318243549</v>
      </c>
      <c r="AG370" s="287">
        <f>IFERROR(AG340/AG369*365,"")</f>
        <v>77.4550756958442</v>
      </c>
      <c r="AH370" s="287">
        <f>IFERROR(AH340/AH369*365,"")</f>
        <v>80.3121734296832</v>
      </c>
      <c r="AI370" s="287">
        <f>IFERROR(AI340/AI369*365,"")</f>
        <v>54.1483107832749</v>
      </c>
      <c r="AJ370" s="287">
        <f>IFERROR(AJ340/AJ369*365,"")</f>
        <v>58.1490766996335</v>
      </c>
      <c r="AK370" s="287">
        <f>IFERROR(AK340/AK369*365,"")</f>
        <v>58.5491629068944</v>
      </c>
      <c r="AL370" s="287">
        <f>IFERROR(AL340/AL369*365,"")</f>
        <v>80.3188050523517</v>
      </c>
      <c r="AM370" s="287">
        <f>IFERROR(AM340/AM369*365,"")</f>
        <v>87.5821402682131</v>
      </c>
      <c r="AN370" s="287">
        <f>IFERROR(AN340/AN369*365,"")</f>
        <v>54.5604971805804</v>
      </c>
      <c r="AO370" s="287">
        <f>IFERROR(AO340/AO369*365,"")</f>
        <v>55.3047334544671</v>
      </c>
      <c r="AP370" s="287">
        <f>IFERROR(AP340/AP369*365,"")</f>
        <v>57.5151696051814</v>
      </c>
      <c r="AQ370" s="287">
        <f>IFERROR(AQ340/AQ369*365,"")</f>
        <v>79.902274816858</v>
      </c>
      <c r="AR370" s="287">
        <f>IFERROR(AR340/AR369*365,"")</f>
        <v>85.6325739214736</v>
      </c>
      <c r="AS370" s="287">
        <f>IFERROR(AS340/AS369*365,"")</f>
        <v>52.6906292542732</v>
      </c>
      <c r="AT370" s="287">
        <f>IFERROR(AT340/AT369*365,"")</f>
        <v>58.1655083184306</v>
      </c>
      <c r="AU370" s="287">
        <f>IFERROR(AU340/AU369*365,"")</f>
        <v>59.1440492847149</v>
      </c>
      <c r="AV370" s="287">
        <f>IFERROR(AV340/AV369*365,"")</f>
        <v>76.8018234165067</v>
      </c>
      <c r="AW370" s="287">
        <f>IFERROR(AW340/AW369*365,"")</f>
        <v>81.6978288990665</v>
      </c>
      <c r="AX370" s="287">
        <f>IFERROR(AX340/AX369*365,"")</f>
        <v>56.1219182322226</v>
      </c>
      <c r="AY370" s="287">
        <f>IFERROR(AY340/AY369*365,"")</f>
        <v>57.8563469217198</v>
      </c>
      <c r="AZ370" s="287">
        <f>IFERROR(AZ340/AZ369*365,"")</f>
        <v>57.5908142713279</v>
      </c>
      <c r="BA370" s="287">
        <f>IFERROR(BA340/BA369*365,"")</f>
        <v>75.2171899375975</v>
      </c>
      <c r="BB370" s="287">
        <f>IFERROR(BB340/BB369*365,"")</f>
        <v>82.6096746942078</v>
      </c>
      <c r="BC370" s="287">
        <f>IFERROR(BC340/BC369*365,"")</f>
        <v>55.0697585894918</v>
      </c>
      <c r="BD370" s="287">
        <f>IFERROR(BD340/BD369*365,"")</f>
        <v>59.1304515929477</v>
      </c>
      <c r="BE370" s="287">
        <f>IFERROR(BE340/BE369*365,"")</f>
        <v>60.2904426661264</v>
      </c>
      <c r="BF370" s="287">
        <f>IFERROR(BF340/BF369*365,"")</f>
        <v>77.871710209197</v>
      </c>
      <c r="BG370" s="287">
        <f>IFERROR(BG340/BG369*365,"")</f>
        <v>81.4811368336107</v>
      </c>
      <c r="BH370" s="287">
        <f>IFERROR(BH340/BH369*365,"")</f>
        <v>56.9452286421132</v>
      </c>
      <c r="BI370" s="287">
        <f>IFERROR(BI340/BI369*365,"")</f>
        <v>61.9895207310368</v>
      </c>
      <c r="BJ370" s="287">
        <f>IFERROR(BJ340/BJ369*365,"")</f>
        <v>64.6002421628167</v>
      </c>
      <c r="BK370" s="287">
        <f>IFERROR(BK340/BK369*365,"")</f>
        <v>79.0685009521437</v>
      </c>
      <c r="BL370" s="287">
        <f>IFERROR(BL340/BL369*365,"")</f>
        <v>83.8596607130217</v>
      </c>
      <c r="BM370" s="287">
        <f>IFERROR(BM340/BM369*365,"")</f>
        <v>59.6627784560398</v>
      </c>
      <c r="BN370" s="287">
        <f>IFERROR(BN340/BN369*365,"")</f>
        <v>63.017232344405</v>
      </c>
      <c r="BO370" s="287">
        <f>IFERROR(BO340/BO369*365,"")</f>
        <v>64.9495012771186</v>
      </c>
      <c r="BP370" s="287">
        <f>IFERROR(BP340/BP369*365,"")</f>
        <v>80.2495867257868</v>
      </c>
      <c r="BQ370" s="287">
        <f>IFERROR(BQ340/BQ369*365,"")</f>
        <v>84.7629343755355</v>
      </c>
      <c r="BR370" s="287">
        <f>IFERROR(BR340/BR369*365,"")</f>
        <v>61.4241823587711</v>
      </c>
      <c r="BS370" s="287">
        <f>IFERROR(BS340/BS369*365,"")</f>
        <v>63.1484805836397</v>
      </c>
      <c r="BT370" s="287">
        <f>IFERROR(BT340/BT369*365,"")</f>
        <v>67.3311591927611</v>
      </c>
      <c r="BU370" s="287">
        <f>IFERROR(BU340/BU369*365,"")</f>
        <v>83.4477734461873</v>
      </c>
      <c r="BV370" s="287">
        <f>IFERROR(BV340/BV369*365,"")</f>
        <v>90.5685174142068</v>
      </c>
      <c r="BW370" s="287">
        <f>IFERROR(BW340/BW369*365,"")</f>
        <v>62.1397074916638</v>
      </c>
      <c r="BX370" s="287">
        <f>IFERROR(BX340/BX369*365,"")</f>
        <v>63.4751854859547</v>
      </c>
      <c r="BY370" s="287">
        <f>IFERROR(BY340/BY369*365,"")</f>
        <v>66.0997182877687</v>
      </c>
      <c r="BZ370" s="287">
        <f>IFERROR(BZ340/BZ369*365,"")</f>
        <v>81.9929005521793</v>
      </c>
      <c r="CA370" s="287">
        <f>IFERROR(CA340/CA369*365,"")</f>
        <v>88.9580187982727</v>
      </c>
      <c r="CB370" s="35" t="n"/>
      <c r="CC370" s="35" t="n"/>
      <c r="CD370" s="35" t="n"/>
      <c r="CE370" s="35" t="n"/>
      <c r="CF370" s="288" t="n">
        <v>89</v>
      </c>
      <c r="CG370" s="288" t="n">
        <v>89</v>
      </c>
      <c r="CH370" s="288" t="n">
        <v>89</v>
      </c>
      <c r="CI370" s="288" t="n">
        <v>89</v>
      </c>
      <c r="CJ370" s="288" t="n">
        <v>89</v>
      </c>
      <c r="CK370" s="19" t="inlineStr">
        <is>
          <t>Forecast inputs at fiscal-year-end (30-Jun-2026) levels on FY2026 revenue (DSO 89d, short-term unearned revenue 22.0%, accounts payable 12.8% of revenue); June is the seasonal billing peak, so year ends are compared with year ends.</t>
        </is>
      </c>
    </row>
    <row r="371" ht="15" customHeight="1" s="251">
      <c r="B371" s="25" t="inlineStr">
        <is>
          <t xml:space="preserve">  Short-term unearned revenue % of revenue</t>
        </is>
      </c>
      <c r="C371" s="215">
        <f>IFERROR(C353/C369,"")</f>
        <v>0.206359243033287</v>
      </c>
      <c r="D371" s="215">
        <f>IFERROR(D353/D369,"")</f>
        <v>0.210848558350612</v>
      </c>
      <c r="E371" s="215">
        <f>IFERROR(E353/E369,"")</f>
        <v>0.221731214829527</v>
      </c>
      <c r="F371" s="215">
        <f>IFERROR(F353/F369,"")</f>
        <v>0.222513133802214</v>
      </c>
      <c r="G371" s="215">
        <f>IFERROR(G353/G369,"")</f>
        <v>0.218487932910825</v>
      </c>
      <c r="H371" s="215">
        <f>IFERROR(H353/H369,"")</f>
        <v>0.224783037616345</v>
      </c>
      <c r="I371" s="215">
        <f>IFERROR(I353/I369,"")</f>
        <v>0.253014662995266</v>
      </c>
      <c r="J371" s="215">
        <f>IFERROR(J353/J369,"")</f>
        <v>0.285716516741629</v>
      </c>
      <c r="K371" s="215">
        <f>IFERROR(K353/K369,"")</f>
        <v>0.213856263982103</v>
      </c>
      <c r="L371" s="215">
        <f>IFERROR(L353/L369,"")</f>
        <v>0.201461759968764</v>
      </c>
      <c r="M371" s="215">
        <f>IFERROR(M353/M369,"")</f>
        <v>0.259336047446723</v>
      </c>
      <c r="N371" s="215">
        <f>IFERROR(N353/N369,"")</f>
        <v>0.265115801102134</v>
      </c>
      <c r="O371" s="215">
        <f>IFERROR(O353/O369,"")</f>
        <v>0.250755572346052</v>
      </c>
      <c r="P371" s="215">
        <f>IFERROR(P353/P369,"")</f>
        <v>0.179615808148783</v>
      </c>
      <c r="Q371" s="215">
        <f>IFERROR(Q353/Q369,"")</f>
        <v>0.216512277606234</v>
      </c>
      <c r="R371" s="215">
        <f>IFERROR(R353/R369,"")</f>
        <v>0.247519459413224</v>
      </c>
      <c r="S371" s="215">
        <f>IFERROR(S353/S369,"")</f>
        <v>0.266603710570866</v>
      </c>
      <c r="T371" s="215">
        <f>IFERROR(T353/T369,"")</f>
        <v>0.223190810740916</v>
      </c>
      <c r="U371" s="215">
        <f>IFERROR(U353/U369,"")</f>
        <v>0.181261805817907</v>
      </c>
      <c r="V371" s="215">
        <f>IFERROR(V353/V369,"")</f>
        <v>0.209765750839891</v>
      </c>
      <c r="W371" s="215">
        <f>IFERROR(W353/W369,"")</f>
        <v>0.261756086564473</v>
      </c>
      <c r="X371" s="215">
        <f>IFERROR(X353/X369,"")</f>
        <v>0.248162000427442</v>
      </c>
      <c r="Y371" s="215">
        <f>IFERROR(Y353/Y369,"")</f>
        <v>0.265015457088179</v>
      </c>
      <c r="Z371" s="215">
        <f>IFERROR(Z353/Z369,"")</f>
        <v>0.219879391494369</v>
      </c>
      <c r="AA371" s="215">
        <f>IFERROR(AA353/AA369,"")</f>
        <v>0.254200964395305</v>
      </c>
      <c r="AB371" s="215">
        <f>IFERROR(AB353/AB369,"")</f>
        <v>0.333123120209566</v>
      </c>
      <c r="AC371" s="215">
        <f>IFERROR(AC353/AC369,"")</f>
        <v>0.321940928270042</v>
      </c>
      <c r="AD371" s="215">
        <f>IFERROR(AD353/AD369,"")</f>
        <v>0.32151762577617</v>
      </c>
      <c r="AE371" s="215">
        <f>IFERROR(AE353/AE369,"")</f>
        <v>0.270703611457036</v>
      </c>
      <c r="AF371" s="215">
        <f>IFERROR(AF353/AF369,"")</f>
        <v>0.300113173381621</v>
      </c>
      <c r="AG371" s="215">
        <f>IFERROR(AG353/AG369,"")</f>
        <v>0.365634515589484</v>
      </c>
      <c r="AH371" s="215">
        <f>IFERROR(AH353/AH369,"")</f>
        <v>0.379121734296832</v>
      </c>
      <c r="AI371" s="215">
        <f>IFERROR(AI353/AI369,"")</f>
        <v>0.232068628250061</v>
      </c>
      <c r="AJ371" s="215">
        <f>IFERROR(AJ353/AJ369,"")</f>
        <v>0.184219171450308</v>
      </c>
      <c r="AK371" s="215">
        <f>IFERROR(AK353/AK369,"")</f>
        <v>0.199205786942093</v>
      </c>
      <c r="AL371" s="215">
        <f>IFERROR(AL353/AL369,"")</f>
        <v>0.240194449060994</v>
      </c>
      <c r="AM371" s="215">
        <f>IFERROR(AM353/AM369,"")</f>
        <v>0.261915549111997</v>
      </c>
      <c r="AN371" s="215">
        <f>IFERROR(AN353/AN369,"")</f>
        <v>0.229542016228854</v>
      </c>
      <c r="AO371" s="215">
        <f>IFERROR(AO353/AO369,"")</f>
        <v>0.186974531120076</v>
      </c>
      <c r="AP371" s="215">
        <f>IFERROR(AP353/AP369,"")</f>
        <v>0.198317032481764</v>
      </c>
      <c r="AQ371" s="215">
        <f>IFERROR(AQ353/AQ369,"")</f>
        <v>0.242281341756384</v>
      </c>
      <c r="AR371" s="215">
        <f>IFERROR(AR353/AR369,"")</f>
        <v>0.259656874041464</v>
      </c>
      <c r="AS371" s="215">
        <f>IFERROR(AS353/AS369,"")</f>
        <v>0.226168507033732</v>
      </c>
      <c r="AT371" s="215">
        <f>IFERROR(AT353/AT369,"")</f>
        <v>0.185220560342492</v>
      </c>
      <c r="AU371" s="215">
        <f>IFERROR(AU353/AU369,"")</f>
        <v>0.192827160846349</v>
      </c>
      <c r="AV371" s="215">
        <f>IFERROR(AV353/AV369,"")</f>
        <v>0.236636605053506</v>
      </c>
      <c r="AW371" s="215">
        <f>IFERROR(AW353/AW369,"")</f>
        <v>0.251721847358669</v>
      </c>
      <c r="AX371" s="215">
        <f>IFERROR(AX353/AX369,"")</f>
        <v>0.225251655272649</v>
      </c>
      <c r="AY371" s="215">
        <f>IFERROR(AY353/AY369,"")</f>
        <v>0.176443959513418</v>
      </c>
      <c r="AZ371" s="215">
        <f>IFERROR(AZ353/AZ369,"")</f>
        <v>0.180327770584568</v>
      </c>
      <c r="BA371" s="215">
        <f>IFERROR(BA353/BA369,"")</f>
        <v>0.224936080776564</v>
      </c>
      <c r="BB371" s="215">
        <f>IFERROR(BB353/BB369,"")</f>
        <v>0.247043215458569</v>
      </c>
      <c r="BC371" s="215">
        <f>IFERROR(BC353/BC369,"")</f>
        <v>0.212199616038131</v>
      </c>
      <c r="BD371" s="215">
        <f>IFERROR(BD353/BD369,"")</f>
        <v>0.164325896999691</v>
      </c>
      <c r="BE371" s="215">
        <f>IFERROR(BE353/BE369,"")</f>
        <v>0.172340964343598</v>
      </c>
      <c r="BF371" s="215">
        <f>IFERROR(BF353/BF369,"")</f>
        <v>0.219502554709342</v>
      </c>
      <c r="BG371" s="215">
        <f>IFERROR(BG353/BG369,"")</f>
        <v>0.229676703485147</v>
      </c>
      <c r="BH371" s="215">
        <f>IFERROR(BH353/BH369,"")</f>
        <v>0.206196879613742</v>
      </c>
      <c r="BI371" s="215">
        <f>IFERROR(BI353/BI369,"")</f>
        <v>0.175280110717197</v>
      </c>
      <c r="BJ371" s="215">
        <f>IFERROR(BJ353/BJ369,"")</f>
        <v>0.174541687950508</v>
      </c>
      <c r="BK371" s="215">
        <f>IFERROR(BK353/BK369,"")</f>
        <v>0.226472263254374</v>
      </c>
      <c r="BL371" s="215">
        <f>IFERROR(BL353/BL369,"")</f>
        <v>0.24019536134771</v>
      </c>
      <c r="BM371" s="215">
        <f>IFERROR(BM353/BM369,"")</f>
        <v>0.205376258470903</v>
      </c>
      <c r="BN371" s="215">
        <f>IFERROR(BN353/BN369,"")</f>
        <v>0.173605288616575</v>
      </c>
      <c r="BO371" s="215">
        <f>IFERROR(BO353/BO369,"")</f>
        <v>0.169290956707297</v>
      </c>
      <c r="BP371" s="215">
        <f>IFERROR(BP353/BP369,"")</f>
        <v>0.22240332473311</v>
      </c>
      <c r="BQ371" s="215">
        <f>IFERROR(BQ353/BQ369,"")</f>
        <v>0.234911595042469</v>
      </c>
      <c r="BR371" s="215">
        <f>IFERROR(BR353/BR369,"")</f>
        <v>0.202127010749409</v>
      </c>
      <c r="BS371" s="215">
        <f>IFERROR(BS353/BS369,"")</f>
        <v>0.163387522977941</v>
      </c>
      <c r="BT371" s="215">
        <f>IFERROR(BT353/BT369,"")</f>
        <v>0.159264122398881</v>
      </c>
      <c r="BU371" s="215">
        <f>IFERROR(BU353/BU369,"")</f>
        <v>0.211126882170563</v>
      </c>
      <c r="BV371" s="215">
        <f>IFERROR(BV353/BV369,"")</f>
        <v>0.229142707046613</v>
      </c>
      <c r="BW371" s="215">
        <f>IFERROR(BW353/BW369,"")</f>
        <v>0.189856835708676</v>
      </c>
      <c r="BX371" s="215">
        <f>IFERROR(BX353/BX369,"")</f>
        <v>0.158035263863768</v>
      </c>
      <c r="BY371" s="215">
        <f>IFERROR(BY353/BY369,"")</f>
        <v>0.153596506044447</v>
      </c>
      <c r="BZ371" s="215">
        <f>IFERROR(BZ353/BZ369,"")</f>
        <v>0.202664792738343</v>
      </c>
      <c r="CA371" s="215">
        <f>IFERROR(CA353/CA369,"")</f>
        <v>0.219880725291482</v>
      </c>
      <c r="CB371" s="24" t="n"/>
      <c r="CC371" s="24" t="n"/>
      <c r="CD371" s="24" t="n"/>
      <c r="CE371" s="24" t="n"/>
      <c r="CF371" s="264" t="n">
        <v>0.22</v>
      </c>
      <c r="CG371" s="264" t="n">
        <v>0.22</v>
      </c>
      <c r="CH371" s="264" t="n">
        <v>0.22</v>
      </c>
      <c r="CI371" s="264" t="n">
        <v>0.22</v>
      </c>
      <c r="CJ371" s="264" t="n">
        <v>0.22</v>
      </c>
      <c r="CK371" s="153" t="n"/>
      <c r="CM371" s="37">
        <f>IFERROR(AVERAGE(CF371,CG371,CH371,CI371,CJ371),"n/m")</f>
        <v>0.22</v>
      </c>
      <c r="CN371" s="37">
        <f>IFERROR(AVERAGE(BG371,BL371,BQ371,BV371,CA371),"n/m")</f>
        <v>0.230761418442684</v>
      </c>
      <c r="CO371" s="37">
        <f>IFERROR(AVERAGE(AH371,AM371,AR371,AW371,BB371,BG371,BL371,BQ371,BV371,CA371),"n/m")</f>
        <v>0.255326631248095</v>
      </c>
      <c r="CP371" s="37">
        <f>IFERROR(AVERAGE(C371,D371,E371,F371,G371,H371,I371,N371,S371,X371,AC371,AH371,AM371,AR371,AW371,BB371,BG371,BL371,BQ371,BV371,CA371),"n/m")</f>
        <v>0.248229835066167</v>
      </c>
    </row>
    <row r="372" ht="15" customHeight="1" s="251">
      <c r="B372" s="25" t="inlineStr">
        <is>
          <t xml:space="preserve">  Accounts payable % of revenue (incl. capex payables)</t>
        </is>
      </c>
      <c r="C372" s="215">
        <f>IFERROR(C351/C369,"")</f>
        <v>0.0656926064766722</v>
      </c>
      <c r="D372" s="215">
        <f>IFERROR(D351/D369,"")</f>
        <v>0.063514729470678</v>
      </c>
      <c r="E372" s="215">
        <f>IFERROR(E351/E369,"")</f>
        <v>0.0667659715326051</v>
      </c>
      <c r="F372" s="215">
        <f>IFERROR(F351/F369,"")</f>
        <v>0.056881770111402</v>
      </c>
      <c r="G372" s="215">
        <f>IFERROR(G351/G369,"")</f>
        <v>0.0644164906215991</v>
      </c>
      <c r="H372" s="215">
        <f>IFERROR(H351/H369,"")</f>
        <v>0.0600060048896959</v>
      </c>
      <c r="I372" s="215">
        <f>IFERROR(I351/I369,"")</f>
        <v>0.0566309021607911</v>
      </c>
      <c r="J372" s="215">
        <f>IFERROR(J351/J369,"")</f>
        <v>0.0567060219890055</v>
      </c>
      <c r="K372" s="215">
        <f>IFERROR(K351/K369,"")</f>
        <v>0.050755033557047</v>
      </c>
      <c r="L372" s="215">
        <f>IFERROR(L351/L369,"")</f>
        <v>0.0552979647615794</v>
      </c>
      <c r="M372" s="215">
        <f>IFERROR(M351/M369,"")</f>
        <v>0.0606654603940491</v>
      </c>
      <c r="N372" s="215">
        <f>IFERROR(N351/N369,"")</f>
        <v>0.0620174954077766</v>
      </c>
      <c r="O372" s="215">
        <f>IFERROR(O351/O369,"")</f>
        <v>0.0653165308435426</v>
      </c>
      <c r="P372" s="215">
        <f>IFERROR(P351/P369,"")</f>
        <v>0.0550389493861903</v>
      </c>
      <c r="Q372" s="215">
        <f>IFERROR(Q351/Q369,"")</f>
        <v>0.0561559574572367</v>
      </c>
      <c r="R372" s="215">
        <f>IFERROR(R351/R369,"")</f>
        <v>0.0794628346591395</v>
      </c>
      <c r="S372" s="215">
        <f>IFERROR(S351/S369,"")</f>
        <v>0.0855895799983877</v>
      </c>
      <c r="T372" s="215">
        <f>IFERROR(T351/T369,"")</f>
        <v>0.0729386664367915</v>
      </c>
      <c r="U372" s="215">
        <f>IFERROR(U351/U369,"")</f>
        <v>0.0654703437854175</v>
      </c>
      <c r="V372" s="215">
        <f>IFERROR(V351/V369,"")</f>
        <v>0.0769708684246859</v>
      </c>
      <c r="W372" s="215">
        <f>IFERROR(W351/W369,"")</f>
        <v>0.0742899008115419</v>
      </c>
      <c r="X372" s="215">
        <f>IFERROR(X351/X369,"")</f>
        <v>0.0704317161786707</v>
      </c>
      <c r="Y372" s="215">
        <f>IFERROR(Y351/Y369,"")</f>
        <v>0.081333725894303</v>
      </c>
      <c r="Z372" s="215">
        <f>IFERROR(Z351/Z369,"")</f>
        <v>0.072869389813414</v>
      </c>
      <c r="AA372" s="215">
        <f>IFERROR(AA351/AA369,"")</f>
        <v>0.0823023720227948</v>
      </c>
      <c r="AB372" s="215">
        <f>IFERROR(AB351/AB369,"")</f>
        <v>0.0836567381391287</v>
      </c>
      <c r="AC372" s="215">
        <f>IFERROR(AC351/AC369,"")</f>
        <v>0.0808485700890764</v>
      </c>
      <c r="AD372" s="215">
        <f>IFERROR(AD351/AD369,"")</f>
        <v>0.0769569256343813</v>
      </c>
      <c r="AE372" s="215">
        <f>IFERROR(AE351/AE369,"")</f>
        <v>0.068285595682856</v>
      </c>
      <c r="AF372" s="215">
        <f>IFERROR(AF351/AF369,"")</f>
        <v>0.0703598913535536</v>
      </c>
      <c r="AG372" s="215">
        <f>IFERROR(AG351/AG369,"")</f>
        <v>0.0792340352532487</v>
      </c>
      <c r="AH372" s="215">
        <f>IFERROR(AH351/AH369,"")</f>
        <v>0.0821567537520845</v>
      </c>
      <c r="AI372" s="215">
        <f>IFERROR(AI351/AI369,"")</f>
        <v>0.0699527263835683</v>
      </c>
      <c r="AJ372" s="215">
        <f>IFERROR(AJ351/AJ369,"")</f>
        <v>0.0678643059686009</v>
      </c>
      <c r="AK372" s="215">
        <f>IFERROR(AK351/AK369,"")</f>
        <v>0.0710596964838361</v>
      </c>
      <c r="AL372" s="215">
        <f>IFERROR(AL351/AL369,"")</f>
        <v>0.071605451221539</v>
      </c>
      <c r="AM372" s="215">
        <f>IFERROR(AM351/AM369,"")</f>
        <v>0.0780808263863719</v>
      </c>
      <c r="AN372" s="215">
        <f>IFERROR(AN351/AN369,"")</f>
        <v>0.0731587814605969</v>
      </c>
      <c r="AO372" s="215">
        <f>IFERROR(AO351/AO369,"")</f>
        <v>0.0582288811554926</v>
      </c>
      <c r="AP372" s="215">
        <f>IFERROR(AP351/AP369,"")</f>
        <v>0.0616924536325276</v>
      </c>
      <c r="AQ372" s="215">
        <f>IFERROR(AQ351/AQ369,"")</f>
        <v>0.0695643147373729</v>
      </c>
      <c r="AR372" s="215">
        <f>IFERROR(AR351/AR369,"")</f>
        <v>0.0745532131306469</v>
      </c>
      <c r="AS372" s="215">
        <f>IFERROR(AS351/AS369,"")</f>
        <v>0.0648464680078657</v>
      </c>
      <c r="AT372" s="215">
        <f>IFERROR(AT351/AT369,"")</f>
        <v>0.059685417005365</v>
      </c>
      <c r="AU372" s="215">
        <f>IFERROR(AU351/AU369,"")</f>
        <v>0.0660032551897433</v>
      </c>
      <c r="AV372" s="215">
        <f>IFERROR(AV351/AV369,"")</f>
        <v>0.0823626850366787</v>
      </c>
      <c r="AW372" s="215">
        <f>IFERROR(AW351/AW369,"")</f>
        <v>0.0876131874278922</v>
      </c>
      <c r="AX372" s="215">
        <f>IFERROR(AX351/AX369,"")</f>
        <v>0.0841699413252947</v>
      </c>
      <c r="AY372" s="215">
        <f>IFERROR(AY351/AY369,"")</f>
        <v>0.0741131952827561</v>
      </c>
      <c r="AZ372" s="215">
        <f>IFERROR(AZ351/AZ369,"")</f>
        <v>0.0803961060758644</v>
      </c>
      <c r="BA372" s="215">
        <f>IFERROR(BA351/BA369,"")</f>
        <v>0.0821362021147513</v>
      </c>
      <c r="BB372" s="215">
        <f>IFERROR(BB351/BB369,"")</f>
        <v>0.0902087002046547</v>
      </c>
      <c r="BC372" s="215">
        <f>IFERROR(BC351/BC369,"")</f>
        <v>0.0818235982081779</v>
      </c>
      <c r="BD372" s="215">
        <f>IFERROR(BD351/BD369,"")</f>
        <v>0.0740121404268481</v>
      </c>
      <c r="BE372" s="215">
        <f>IFERROR(BE351/BE369,"")</f>
        <v>0.0814677876823339</v>
      </c>
      <c r="BF372" s="215">
        <f>IFERROR(BF351/BF369,"")</f>
        <v>0.0915839197917671</v>
      </c>
      <c r="BG372" s="215">
        <f>IFERROR(BG351/BG369,"")</f>
        <v>0.0958289201593786</v>
      </c>
      <c r="BH372" s="215">
        <f>IFERROR(BH351/BH369,"")</f>
        <v>0.0828428634132716</v>
      </c>
      <c r="BI372" s="215">
        <f>IFERROR(BI351/BI369,"")</f>
        <v>0.0727719111987412</v>
      </c>
      <c r="BJ372" s="215">
        <f>IFERROR(BJ351/BJ369,"")</f>
        <v>0.0723887091586734</v>
      </c>
      <c r="BK372" s="215">
        <f>IFERROR(BK351/BK369,"")</f>
        <v>0.080509530335119</v>
      </c>
      <c r="BL372" s="215">
        <f>IFERROR(BL351/BL369,"")</f>
        <v>0.0853880093433688</v>
      </c>
      <c r="BM372" s="215">
        <f>IFERROR(BM351/BM369,"")</f>
        <v>0.0854035069094255</v>
      </c>
      <c r="BN372" s="215">
        <f>IFERROR(BN351/BN369,"")</f>
        <v>0.0713277974846824</v>
      </c>
      <c r="BO372" s="215">
        <f>IFERROR(BO351/BO369,"")</f>
        <v>0.0730988716091694</v>
      </c>
      <c r="BP372" s="215">
        <f>IFERROR(BP351/BP369,"")</f>
        <v>0.0849568186382808</v>
      </c>
      <c r="BQ372" s="215">
        <f>IFERROR(BQ351/BQ369,"")</f>
        <v>0.0897349075154413</v>
      </c>
      <c r="BR372" s="215">
        <f>IFERROR(BR351/BR369,"")</f>
        <v>0.0867881375314477</v>
      </c>
      <c r="BS372" s="215">
        <f>IFERROR(BS351/BS369,"")</f>
        <v>0.0811695772058824</v>
      </c>
      <c r="BT372" s="215">
        <f>IFERROR(BT351/BT369,"")</f>
        <v>0.0936616904061885</v>
      </c>
      <c r="BU372" s="215">
        <f>IFERROR(BU351/BU369,"")</f>
        <v>0.090671236640023</v>
      </c>
      <c r="BV372" s="215">
        <f>IFERROR(BV351/BV369,"")</f>
        <v>0.0984083713137681</v>
      </c>
      <c r="BW372" s="215">
        <f>IFERROR(BW351/BW369,"")</f>
        <v>0.104862693600093</v>
      </c>
      <c r="BX372" s="215">
        <f>IFERROR(BX351/BX369,"")</f>
        <v>0.114822880907558</v>
      </c>
      <c r="BY372" s="215">
        <f>IFERROR(BY351/BY369,"")</f>
        <v>0.113146369712617</v>
      </c>
      <c r="BZ372" s="215">
        <f>IFERROR(BZ351/BZ369,"")</f>
        <v>0.117813058984301</v>
      </c>
      <c r="CA372" s="215">
        <f>IFERROR(CA351/CA369,"")</f>
        <v>0.127821021640012</v>
      </c>
      <c r="CB372" s="24" t="n"/>
      <c r="CC372" s="24" t="n"/>
      <c r="CD372" s="24" t="n"/>
      <c r="CE372" s="24" t="n"/>
      <c r="CF372" s="264" t="n">
        <v>0.128</v>
      </c>
      <c r="CG372" s="264" t="n">
        <v>0.128</v>
      </c>
      <c r="CH372" s="264" t="n">
        <v>0.128</v>
      </c>
      <c r="CI372" s="264" t="n">
        <v>0.128</v>
      </c>
      <c r="CJ372" s="264" t="n">
        <v>0.128</v>
      </c>
      <c r="CK372" s="153" t="n"/>
    </row>
    <row r="373" ht="15" customHeight="1" s="251">
      <c r="B373" s="25" t="inlineStr">
        <is>
          <t xml:space="preserve">  Operating NWC (receivables + inventories + other current assets − payables − unearned revenue − other current liabilities)</t>
        </is>
      </c>
      <c r="C373" s="211">
        <f>IF(ISNUMBER(C340),C340+C341+C342-C351-C353-C354,"")</f>
        <v>-7593</v>
      </c>
      <c r="D373" s="211">
        <f>IF(ISNUMBER(D340),D340+D341+D342-D351-D353-D354,"")</f>
        <v>-6997</v>
      </c>
      <c r="E373" s="211">
        <f>IF(ISNUMBER(E340),E340+E341+E342-E351-E353-E354,"")</f>
        <v>-10306</v>
      </c>
      <c r="F373" s="211">
        <f>IF(ISNUMBER(F340),F340+F341+F342-F351-F353-F354,"")</f>
        <v>-7201</v>
      </c>
      <c r="G373" s="211">
        <f>IF(ISNUMBER(G340),G340+G341+G342-G351-G353-G354,"")</f>
        <v>-6259</v>
      </c>
      <c r="H373" s="211">
        <f>IF(ISNUMBER(H340),H340+H341+H342-H351-H353-H354,"")</f>
        <v>-6628</v>
      </c>
      <c r="I373" s="211">
        <f>IF(ISNUMBER(I340),I340+I341+I342-I351-I353-I354,"")</f>
        <v>-9413</v>
      </c>
      <c r="J373" s="211">
        <f>IF(ISNUMBER(J340),J340+J341+J342-J351-J353-J354,"")</f>
        <v>-11759</v>
      </c>
      <c r="K373" s="211">
        <f>IF(ISNUMBER(K340),K340+K341+K342-K351-K353-K354,"")</f>
        <v>-8407</v>
      </c>
      <c r="L373" s="211">
        <f>IF(ISNUMBER(L340),L340+L341+L342-L351-L353-L354,"")</f>
        <v>-10642</v>
      </c>
      <c r="M373" s="211">
        <f>IF(ISNUMBER(M340),M340+M341+M342-M351-M353-M354,"")</f>
        <v>-9974</v>
      </c>
      <c r="N373" s="211">
        <f>IF(ISNUMBER(N340),N340+N341+N342-N351-N353-N354,"")</f>
        <v>-9974</v>
      </c>
      <c r="O373" s="211">
        <f>IF(ISNUMBER(O340),O340+O341+O342-O351-O353-O354,"")</f>
        <v>-12545</v>
      </c>
      <c r="P373" s="211">
        <f>IF(ISNUMBER(P340),P340+P341+P342-P351-P353-P354,"")</f>
        <v>-8516</v>
      </c>
      <c r="Q373" s="211">
        <f>IF(ISNUMBER(Q340),Q340+Q341+Q342-Q351-Q353-Q354,"")</f>
        <v>-11322</v>
      </c>
      <c r="R373" s="211">
        <f>IF(ISNUMBER(R340),R340+R341+R342-R351-R353-R354,"")</f>
        <v>-15088</v>
      </c>
      <c r="S373" s="211">
        <f>IF(ISNUMBER(S340),S340+S341+S342-S351-S353-S354,"")</f>
        <v>-15088</v>
      </c>
      <c r="T373" s="211">
        <f>IF(ISNUMBER(T340),T340+T341+T342-T351-T353-T354,"")</f>
        <v>-16200</v>
      </c>
      <c r="U373" s="211">
        <f>IF(ISNUMBER(U340),U340+U341+U342-U351-U353-U354,"")</f>
        <v>-11254</v>
      </c>
      <c r="V373" s="211">
        <f>IF(ISNUMBER(V340),V340+V341+V342-V351-V353-V354,"")</f>
        <v>-13564</v>
      </c>
      <c r="W373" s="211">
        <f>IF(ISNUMBER(W340),W340+W341+W342-W351-W353-W354,"")</f>
        <v>-14188</v>
      </c>
      <c r="X373" s="211">
        <f>IF(ISNUMBER(X340),X340+X341+X342-X351-X353-X354,"")</f>
        <v>-14188</v>
      </c>
      <c r="Y373" s="211">
        <f>IF(ISNUMBER(Y340),Y340+Y341+Y342-Y351-Y353-Y354,"")</f>
        <v>-16350</v>
      </c>
      <c r="Z373" s="211">
        <f>IF(ISNUMBER(Z340),Z340+Z341+Z342-Z351-Z353-Z354,"")</f>
        <v>-13721</v>
      </c>
      <c r="AA373" s="211">
        <f>IF(ISNUMBER(AA340),AA340+AA341+AA342-AA351-AA353-AA354,"")</f>
        <v>-15987</v>
      </c>
      <c r="AB373" s="211">
        <f>IF(ISNUMBER(AB340),AB340+AB341+AB342-AB351-AB353-AB354,"")</f>
        <v>-20033</v>
      </c>
      <c r="AC373" s="211">
        <f>IF(ISNUMBER(AC340),AC340+AC341+AC342-AC351-AC353-AC354,"")</f>
        <v>-20033</v>
      </c>
      <c r="AD373" s="211">
        <f>IF(ISNUMBER(AD340),AD340+AD341+AD342-AD351-AD353-AD354,"")</f>
        <v>-23297</v>
      </c>
      <c r="AE373" s="211">
        <f>IF(ISNUMBER(AE340),AE340+AE341+AE342-AE351-AE353-AE354,"")</f>
        <v>-22955</v>
      </c>
      <c r="AF373" s="211">
        <f>IF(ISNUMBER(AF340),AF340+AF341+AF342-AF351-AF353-AF354,"")</f>
        <v>-23924</v>
      </c>
      <c r="AG373" s="211">
        <f>IF(ISNUMBER(AG340),AG340+AG341+AG342-AG351-AG353-AG354,"")</f>
        <v>-27536</v>
      </c>
      <c r="AH373" s="211">
        <f>IF(ISNUMBER(AH340),AH340+AH341+AH342-AH351-AH353-AH354,"")</f>
        <v>-27536</v>
      </c>
      <c r="AI373" s="211">
        <f>IF(ISNUMBER(AI340),AI340+AI341+AI342-AI351-AI353-AI354,"")</f>
        <v>-19835</v>
      </c>
      <c r="AJ373" s="211">
        <f>IF(ISNUMBER(AJ340),AJ340+AJ341+AJ342-AJ351-AJ353-AJ354,"")</f>
        <v>-17334</v>
      </c>
      <c r="AK373" s="211">
        <f>IF(ISNUMBER(AK340),AK340+AK341+AK342-AK351-AK353-AK354,"")</f>
        <v>-18067</v>
      </c>
      <c r="AL373" s="211">
        <f>IF(ISNUMBER(AL340),AL340+AL341+AL342-AL351-AL353-AL354,"")</f>
        <v>-18596</v>
      </c>
      <c r="AM373" s="211">
        <f>IF(ISNUMBER(AM340),AM340+AM341+AM342-AM351-AM353-AM354,"")</f>
        <v>-18596</v>
      </c>
      <c r="AN373" s="211">
        <f>IF(ISNUMBER(AN340),AN340+AN341+AN342-AN351-AN353-AN354,"")</f>
        <v>-21465</v>
      </c>
      <c r="AO373" s="211">
        <f>IF(ISNUMBER(AO340),AO340+AO341+AO342-AO351-AO353-AO354,"")</f>
        <v>-17590</v>
      </c>
      <c r="AP373" s="211">
        <f>IF(ISNUMBER(AP340),AP340+AP341+AP342-AP351-AP353-AP354,"")</f>
        <v>-19077</v>
      </c>
      <c r="AQ373" s="211">
        <f>IF(ISNUMBER(AQ340),AQ340+AQ341+AQ342-AQ351-AQ353-AQ354,"")</f>
        <v>-22171</v>
      </c>
      <c r="AR373" s="211">
        <f>IF(ISNUMBER(AR340),AR340+AR341+AR342-AR351-AR353-AR354,"")</f>
        <v>-22171</v>
      </c>
      <c r="AS373" s="211">
        <f>IF(ISNUMBER(AS340),AS340+AS341+AS342-AS351-AS353-AS354,"")</f>
        <v>-25841</v>
      </c>
      <c r="AT373" s="211">
        <f>IF(ISNUMBER(AT340),AT340+AT341+AT342-AT351-AT353-AT354,"")</f>
        <v>-20572</v>
      </c>
      <c r="AU373" s="211">
        <f>IF(ISNUMBER(AU340),AU340+AU341+AU342-AU351-AU353-AU354,"")</f>
        <v>-22080</v>
      </c>
      <c r="AV373" s="211">
        <f>IF(ISNUMBER(AV340),AV340+AV341+AV342-AV351-AV353-AV354,"")</f>
        <v>-23173</v>
      </c>
      <c r="AW373" s="211">
        <f>IF(ISNUMBER(AW340),AW340+AW341+AW342-AW351-AW353-AW354,"")</f>
        <v>-23173</v>
      </c>
      <c r="AX373" s="211">
        <f>IF(ISNUMBER(AX340),AX340+AX341+AX342-AX351-AX353-AX354,"")</f>
        <v>-24459</v>
      </c>
      <c r="AY373" s="211">
        <f>IF(ISNUMBER(AY340),AY340+AY341+AY342-AY351-AY353-AY354,"")</f>
        <v>-20094</v>
      </c>
      <c r="AZ373" s="211">
        <f>IF(ISNUMBER(AZ340),AZ340+AZ341+AZ342-AZ351-AZ353-AZ354,"")</f>
        <v>-23935</v>
      </c>
      <c r="BA373" s="211">
        <f>IF(ISNUMBER(BA340),BA340+BA341+BA342-BA351-BA353-BA354,"")</f>
        <v>-26513</v>
      </c>
      <c r="BB373" s="211">
        <f>IF(ISNUMBER(BB340),BB340+BB341+BB342-BB351-BB353-BB354,"")</f>
        <v>-26513</v>
      </c>
      <c r="BC373" s="211">
        <f>IF(ISNUMBER(BC340),BC340+BC341+BC342-BC351-BC353-BC354,"")</f>
        <v>-33568</v>
      </c>
      <c r="BD373" s="211">
        <f>IF(ISNUMBER(BD340),BD340+BD341+BD342-BD351-BD353-BD354,"")</f>
        <v>-23693</v>
      </c>
      <c r="BE373" s="211">
        <f>IF(ISNUMBER(BE340),BE340+BE341+BE342-BE351-BE353-BE354,"")</f>
        <v>-26461</v>
      </c>
      <c r="BF373" s="211">
        <f>IF(ISNUMBER(BF340),BF340+BF341+BF342-BF351-BF353-BF354,"")</f>
        <v>-27406</v>
      </c>
      <c r="BG373" s="211">
        <f>IF(ISNUMBER(BG340),BG340+BG341+BG342-BG351-BG353-BG354,"")</f>
        <v>-27406</v>
      </c>
      <c r="BH373" s="211">
        <f>IF(ISNUMBER(BH340),BH340+BH341+BH342-BH351-BH353-BH354,"")</f>
        <v>-30591</v>
      </c>
      <c r="BI373" s="211">
        <f>IF(ISNUMBER(BI340),BI340+BI341+BI342-BI351-BI353-BI354,"")</f>
        <v>-19406</v>
      </c>
      <c r="BJ373" s="211">
        <f>IF(ISNUMBER(BJ340),BJ340+BJ341+BJ342-BJ351-BJ353-BJ354,"")</f>
        <v>-19984</v>
      </c>
      <c r="BK373" s="211">
        <f>IF(ISNUMBER(BK340),BK340+BK341+BK342-BK351-BK353-BK354,"")</f>
        <v>-25907</v>
      </c>
      <c r="BL373" s="211">
        <f>IF(ISNUMBER(BL340),BL340+BL341+BL342-BL351-BL353-BL354,"")</f>
        <v>-25907</v>
      </c>
      <c r="BM373" s="211">
        <f>IF(ISNUMBER(BM340),BM340+BM341+BM342-BM351-BM353-BM354,"")</f>
        <v>-31601</v>
      </c>
      <c r="BN373" s="211">
        <f>IF(ISNUMBER(BN340),BN340+BN341+BN342-BN351-BN353-BN354,"")</f>
        <v>-25349</v>
      </c>
      <c r="BO373" s="211">
        <f>IF(ISNUMBER(BO340),BO340+BO341+BO342-BO351-BO353-BO354,"")</f>
        <v>-28582</v>
      </c>
      <c r="BP373" s="211">
        <f>IF(ISNUMBER(BP340),BP340+BP341+BP342-BP351-BP353-BP354,"")</f>
        <v>-32153</v>
      </c>
      <c r="BQ373" s="211">
        <f>IF(ISNUMBER(BQ340),BQ340+BQ341+BQ342-BQ351-BQ353-BQ354,"")</f>
        <v>-32153</v>
      </c>
      <c r="BR373" s="211">
        <f>IF(ISNUMBER(BR340),BR340+BR341+BR342-BR351-BR353-BR354,"")</f>
        <v>-41453</v>
      </c>
      <c r="BS373" s="211">
        <f>IF(ISNUMBER(BS340),BS340+BS341+BS342-BS351-BS353-BS354,"")</f>
        <v>-28109</v>
      </c>
      <c r="BT373" s="211">
        <f>IF(ISNUMBER(BT340),BT340+BT341+BT342-BT351-BT353-BT354,"")</f>
        <v>-34181</v>
      </c>
      <c r="BU373" s="211">
        <f>IF(ISNUMBER(BU340),BU340+BU341+BU342-BU351-BU353-BU354,"")</f>
        <v>-41653</v>
      </c>
      <c r="BV373" s="211">
        <f>IF(ISNUMBER(BV340),BV340+BV341+BV342-BV351-BV353-BV354,"")</f>
        <v>-41653</v>
      </c>
      <c r="BW373" s="211">
        <f>IF(ISNUMBER(BW340),BW340+BW341+BW342-BW351-BW353-BW354,"")</f>
        <v>-40110</v>
      </c>
      <c r="BX373" s="211">
        <f>IF(ISNUMBER(BX340),BX340+BX341+BX342-BX351-BX353-BX354,"")</f>
        <v>-34440</v>
      </c>
      <c r="BY373" s="211">
        <f>IF(ISNUMBER(BY340),BY340+BY341+BY342-BY351-BY353-BY354,"")</f>
        <v>-30765</v>
      </c>
      <c r="BZ373" s="211">
        <f>IF(ISNUMBER(BZ340),BZ340+BZ341+BZ342-BZ351-BZ353-BZ354,"")</f>
        <v>-28731</v>
      </c>
      <c r="CA373" s="211">
        <f>IF(ISNUMBER(CA340),CA340+CA341+CA342-CA351-CA353-CA354,"")</f>
        <v>-28731</v>
      </c>
      <c r="CB373" s="35" t="n"/>
      <c r="CC373" s="35" t="n"/>
      <c r="CD373" s="35" t="n"/>
      <c r="CE373" s="35" t="n"/>
      <c r="CF373" s="254">
        <f>IF(ISNUMBER(CF340),CF340+CF341+CF342-CF351-CF353-CF354,"")</f>
        <v>-34758.0618137453</v>
      </c>
      <c r="CG373" s="254">
        <f>IF(ISNUMBER(CG340),CG340+CG341+CG342-CG351-CG353-CG354,"")</f>
        <v>-41663.1656715214</v>
      </c>
      <c r="CH373" s="254">
        <f>IF(ISNUMBER(CH340),CH340+CH341+CH342-CH351-CH353-CH354,"")</f>
        <v>-49107.3107862799</v>
      </c>
      <c r="CI373" s="254">
        <f>IF(ISNUMBER(CI340),CI340+CI341+CI342-CI351-CI353-CI354,"")</f>
        <v>-56657.6454099621</v>
      </c>
      <c r="CJ373" s="254">
        <f>IF(ISNUMBER(CJ340),CJ340+CJ341+CJ342-CJ351-CJ353-CJ354,"")</f>
        <v>-64193.1081932421</v>
      </c>
      <c r="CK373" s="19" t="n"/>
    </row>
    <row r="374" ht="15" customHeight="1" s="251">
      <c r="B374" s="25" t="inlineStr">
        <is>
          <t xml:space="preserve">  NWC % of revenue</t>
        </is>
      </c>
      <c r="C374" s="215">
        <f>IF(ISNUMBER(C373),IFERROR(C373/C369,""),"")</f>
        <v>-0.171469219999097</v>
      </c>
      <c r="D374" s="215">
        <f>IF(ISNUMBER(D373),IFERROR(D373/D369,""),"")</f>
        <v>-0.13686866711005</v>
      </c>
      <c r="E374" s="215">
        <f>IF(ISNUMBER(E373),IFERROR(E373/E369,""),"")</f>
        <v>-0.170572658060245</v>
      </c>
      <c r="F374" s="215">
        <f>IF(ISNUMBER(F373),IFERROR(F373/F369,""),"")</f>
        <v>-0.123226722795489</v>
      </c>
      <c r="G374" s="215">
        <f>IF(ISNUMBER(G373),IFERROR(G373/G369,""),"")</f>
        <v>-0.100169643428718</v>
      </c>
      <c r="H374" s="215">
        <f>IF(ISNUMBER(H373),IFERROR(H373/H369,""),"")</f>
        <v>-0.0947628783437942</v>
      </c>
      <c r="I374" s="215">
        <f>IF(ISNUMBER(I373),IFERROR(I373/I369,""),"")</f>
        <v>-0.127680642404677</v>
      </c>
      <c r="J374" s="215">
        <f>IF(ISNUMBER(J373),IFERROR(J373/J369,""),"")</f>
        <v>-0.183642553723138</v>
      </c>
      <c r="K374" s="215">
        <f>IF(ISNUMBER(K373),IFERROR(K373/K369,""),"")</f>
        <v>-0.0979562826249068</v>
      </c>
      <c r="L374" s="215">
        <f>IF(ISNUMBER(L373),IFERROR(L373/L369,""),"")</f>
        <v>-0.129850163502367</v>
      </c>
      <c r="M374" s="215">
        <f>IF(ISNUMBER(M373),IFERROR(M373/M369,""),"")</f>
        <v>-0.125326698833936</v>
      </c>
      <c r="N374" s="215">
        <f>IF(ISNUMBER(N373),IFERROR(N373/N369,""),"")</f>
        <v>-0.128119821706123</v>
      </c>
      <c r="O374" s="215">
        <f>IF(ISNUMBER(O373),IFERROR(O373/O369,""),"")</f>
        <v>-0.169261697879</v>
      </c>
      <c r="P374" s="215">
        <f>IF(ISNUMBER(P373),IFERROR(P373/P369,""),"")</f>
        <v>-0.0868306211509442</v>
      </c>
      <c r="Q374" s="215">
        <f>IF(ISNUMBER(Q373),IFERROR(Q373/Q369,""),"")</f>
        <v>-0.138729598588443</v>
      </c>
      <c r="R374" s="215">
        <f>IF(ISNUMBER(R373),IFERROR(R373/R369,""),"")</f>
        <v>-0.161320674022753</v>
      </c>
      <c r="S374" s="215">
        <f>IF(ISNUMBER(S373),IFERROR(S373/S369,""),"")</f>
        <v>-0.173758824410075</v>
      </c>
      <c r="T374" s="215">
        <f>IF(ISNUMBER(T373),IFERROR(T373/T369,""),"")</f>
        <v>-0.174561441317185</v>
      </c>
      <c r="U374" s="215">
        <f>IF(ISNUMBER(U373),IFERROR(U373/U369,""),"")</f>
        <v>-0.106290139780884</v>
      </c>
      <c r="V374" s="215">
        <f>IF(ISNUMBER(V373),IFERROR(V373/V369,""),"")</f>
        <v>-0.156058723365088</v>
      </c>
      <c r="W374" s="215">
        <f>IF(ISNUMBER(W373),IFERROR(W373/W369,""),"")</f>
        <v>-0.159918845807033</v>
      </c>
      <c r="X374" s="215">
        <f>IF(ISNUMBER(X373),IFERROR(X373/X369,""),"")</f>
        <v>-0.151613592648002</v>
      </c>
      <c r="Y374" s="215">
        <f>IF(ISNUMBER(Y373),IFERROR(Y373/Y369,""),"")</f>
        <v>-0.200574120418077</v>
      </c>
      <c r="Z374" s="215">
        <f>IF(ISNUMBER(Z373),IFERROR(Z373/Z369,""),"")</f>
        <v>-0.144152378551017</v>
      </c>
      <c r="AA374" s="215">
        <f>IF(ISNUMBER(AA373),IFERROR(AA373/AA369,""),"")</f>
        <v>-0.1946690370659</v>
      </c>
      <c r="AB374" s="215">
        <f>IF(ISNUMBER(AB373),IFERROR(AB373/AB369,""),"")</f>
        <v>-0.242953817793732</v>
      </c>
      <c r="AC374" s="215">
        <f>IF(ISNUMBER(AC373),IFERROR(AC373/AC369,""),"")</f>
        <v>-0.234798406000938</v>
      </c>
      <c r="AD374" s="215">
        <f>IF(ISNUMBER(AD373),IFERROR(AD373/AD369,""),"")</f>
        <v>-0.284762626509559</v>
      </c>
      <c r="AE374" s="215">
        <f>IF(ISNUMBER(AE373),IFERROR(AE373/AE369,""),"")</f>
        <v>-0.238221253632213</v>
      </c>
      <c r="AF374" s="215">
        <f>IF(ISNUMBER(AF373),IFERROR(AF373/AF369,""),"")</f>
        <v>-0.270755998189226</v>
      </c>
      <c r="AG374" s="215">
        <f>IF(ISNUMBER(AG373),IFERROR(AG373/AG369,""),"")</f>
        <v>-0.295235236093837</v>
      </c>
      <c r="AH374" s="215">
        <f>IF(ISNUMBER(AH373),IFERROR(AH373/AH369,""),"")</f>
        <v>-0.306125625347415</v>
      </c>
      <c r="AI374" s="215">
        <f>IF(ISNUMBER(AI373),IFERROR(AI373/AI369,""),"")</f>
        <v>-0.20208452196593</v>
      </c>
      <c r="AJ374" s="215">
        <f>IF(ISNUMBER(AJ373),IFERROR(AJ373/AJ369,""),"")</f>
        <v>-0.149854761740093</v>
      </c>
      <c r="AK374" s="215">
        <f>IF(ISNUMBER(AK373),IFERROR(AK373/AK369,""),"")</f>
        <v>-0.168416048323949</v>
      </c>
      <c r="AL374" s="215">
        <f>IF(ISNUMBER(AL373),IFERROR(AL373/AL369,""),"")</f>
        <v>-0.154528834967592</v>
      </c>
      <c r="AM374" s="215">
        <f>IF(ISNUMBER(AM373),IFERROR(AM373/AM369,""),"")</f>
        <v>-0.168503080826386</v>
      </c>
      <c r="AN374" s="215">
        <f>IF(ISNUMBER(AN373),IFERROR(AN373/AN369,""),"")</f>
        <v>-0.184508664557833</v>
      </c>
      <c r="AO374" s="215">
        <f>IF(ISNUMBER(AO373),IFERROR(AO373/AO369,""),"")</f>
        <v>-0.13542853623233</v>
      </c>
      <c r="AP374" s="215">
        <f>IF(ISNUMBER(AP373),IFERROR(AP373/AP369,""),"")</f>
        <v>-0.156005691668575</v>
      </c>
      <c r="AQ374" s="215">
        <f>IF(ISNUMBER(AQ373),IFERROR(AQ373/AQ369,""),"")</f>
        <v>-0.164390366877243</v>
      </c>
      <c r="AR374" s="215">
        <f>IF(ISNUMBER(AR373),IFERROR(AR373/AR369,""),"")</f>
        <v>-0.176179843137878</v>
      </c>
      <c r="AS374" s="215">
        <f>IF(ISNUMBER(AS373),IFERROR(AS373/AS369,""),"")</f>
        <v>-0.195439419149902</v>
      </c>
      <c r="AT374" s="215">
        <f>IF(ISNUMBER(AT373),IFERROR(AT373/AT369,""),"")</f>
        <v>-0.139354034574324</v>
      </c>
      <c r="AU374" s="215">
        <f>IF(ISNUMBER(AU373),IFERROR(AU373/AU369,""),"")</f>
        <v>-0.157619713885954</v>
      </c>
      <c r="AV374" s="215">
        <f>IF(ISNUMBER(AV373),IFERROR(AV373/AV369,""),"")</f>
        <v>-0.152321668025136</v>
      </c>
      <c r="AW374" s="215">
        <f>IF(ISNUMBER(AW373),IFERROR(AW373/AW369,""),"")</f>
        <v>-0.162031954690067</v>
      </c>
      <c r="AX374" s="215">
        <f>IF(ISNUMBER(AX373),IFERROR(AX373/AX369,""),"")</f>
        <v>-0.164578511062066</v>
      </c>
      <c r="AY374" s="215">
        <f>IF(ISNUMBER(AY373),IFERROR(AY373/AY369,""),"")</f>
        <v>-0.116619463274213</v>
      </c>
      <c r="AZ374" s="215">
        <f>IF(ISNUMBER(AZ373),IFERROR(AZ373/AZ369,""),"")</f>
        <v>-0.143474560015346</v>
      </c>
      <c r="BA374" s="215">
        <f>IF(ISNUMBER(BA373),IFERROR(BA373/BA369,""),"")</f>
        <v>-0.143617828046455</v>
      </c>
      <c r="BB374" s="215">
        <f>IF(ISNUMBER(BB373),IFERROR(BB373/BB369,""),"")</f>
        <v>-0.157732854219219</v>
      </c>
      <c r="BC374" s="215">
        <f>IF(ISNUMBER(BC373),IFERROR(BC373/BC369,""),"")</f>
        <v>-0.185184367897257</v>
      </c>
      <c r="BD374" s="215">
        <f>IF(ISNUMBER(BD373),IFERROR(BD373/BD369,""),"")</f>
        <v>-0.114507616764615</v>
      </c>
      <c r="BE374" s="215">
        <f>IF(ISNUMBER(BE373),IFERROR(BE373/BE369,""),"")</f>
        <v>-0.13402046191248</v>
      </c>
      <c r="BF374" s="215">
        <f>IF(ISNUMBER(BF373),IFERROR(BF373/BF369,""),"")</f>
        <v>-0.132102573990167</v>
      </c>
      <c r="BG374" s="215">
        <f>IF(ISNUMBER(BG373),IFERROR(BG373/BG369,""),"")</f>
        <v>-0.138225651888838</v>
      </c>
      <c r="BH374" s="215">
        <f>IF(ISNUMBER(BH373),IFERROR(BH373/BH369,""),"")</f>
        <v>-0.152582698216352</v>
      </c>
      <c r="BI374" s="215">
        <f>IF(ISNUMBER(BI373),IFERROR(BI373/BI369,""),"")</f>
        <v>-0.0919767948888089</v>
      </c>
      <c r="BJ374" s="215">
        <f>IF(ISNUMBER(BJ373),IFERROR(BJ373/BJ369,""),"")</f>
        <v>-0.094519174376147</v>
      </c>
      <c r="BK374" s="215">
        <f>IF(ISNUMBER(BK373),IFERROR(BK373/BK369,""),"")</f>
        <v>-0.115267223121963</v>
      </c>
      <c r="BL374" s="215">
        <f>IF(ISNUMBER(BL373),IFERROR(BL373/BL369,""),"")</f>
        <v>-0.122251846259113</v>
      </c>
      <c r="BM374" s="215">
        <f>IF(ISNUMBER(BM373),IFERROR(BM373/BM369,""),"")</f>
        <v>-0.139785374312154</v>
      </c>
      <c r="BN374" s="215">
        <f>IF(ISNUMBER(BN373),IFERROR(BN373/BN369,""),"")</f>
        <v>-0.102180748145759</v>
      </c>
      <c r="BO374" s="215">
        <f>IF(ISNUMBER(BO373),IFERROR(BO373/BO369,""),"")</f>
        <v>-0.115514565618028</v>
      </c>
      <c r="BP374" s="215">
        <f>IF(ISNUMBER(BP373),IFERROR(BP373/BP369,""),"")</f>
        <v>-0.124186969888918</v>
      </c>
      <c r="BQ374" s="215">
        <f>IF(ISNUMBER(BQ373),IFERROR(BQ373/BQ369,""),"")</f>
        <v>-0.131171416682305</v>
      </c>
      <c r="BR374" s="215">
        <f>IF(ISNUMBER(BR373),IFERROR(BR373/BR369,""),"")</f>
        <v>-0.158012502858885</v>
      </c>
      <c r="BS374" s="215">
        <f>IF(ISNUMBER(BS373),IFERROR(BS373/BS369,""),"")</f>
        <v>-0.100919835707721</v>
      </c>
      <c r="BT374" s="215">
        <f>IF(ISNUMBER(BT373),IFERROR(BT373/BT369,""),"")</f>
        <v>-0.121960009134245</v>
      </c>
      <c r="BU374" s="215">
        <f>IF(ISNUMBER(BU373),IFERROR(BU373/BU369,""),"")</f>
        <v>-0.136225978205413</v>
      </c>
      <c r="BV374" s="215">
        <f>IF(ISNUMBER(BV373),IFERROR(BV373/BV369,""),"")</f>
        <v>-0.147850378384518</v>
      </c>
      <c r="BW374" s="215">
        <f>IF(ISNUMBER(BW373),IFERROR(BW373/BW369,""),"")</f>
        <v>-0.129098914680777</v>
      </c>
      <c r="BX374" s="215">
        <f>IF(ISNUMBER(BX373),IFERROR(BX373/BX369,""),"")</f>
        <v>-0.105939241814625</v>
      </c>
      <c r="BY374" s="215">
        <f>IF(ISNUMBER(BY373),IFERROR(BY373/BY369,""),"")</f>
        <v>-0.0927931134329078</v>
      </c>
      <c r="BZ374" s="215">
        <f>IF(ISNUMBER(BZ373),IFERROR(BZ373/BZ369,""),"")</f>
        <v>-0.0798021265012721</v>
      </c>
      <c r="CA374" s="215">
        <f>IF(ISNUMBER(CA373),IFERROR(CA373/CA369,""),"")</f>
        <v>-0.0865811432652582</v>
      </c>
      <c r="CB374" s="24" t="n"/>
      <c r="CC374" s="24" t="n"/>
      <c r="CD374" s="24" t="n"/>
      <c r="CE374" s="24" t="n"/>
      <c r="CF374" s="256">
        <f>IF(ISNUMBER(CF373),IFERROR(CF373/CF369,""),"")</f>
        <v>-0.0893256331065419</v>
      </c>
      <c r="CG374" s="256">
        <f>IF(ISNUMBER(CG373),IFERROR(CG373/CG369,""),"")</f>
        <v>-0.091485608551146</v>
      </c>
      <c r="CH374" s="256">
        <f>IF(ISNUMBER(CH373),IFERROR(CH373/CH369,""),"")</f>
        <v>-0.0932053677861808</v>
      </c>
      <c r="CI374" s="256">
        <f>IF(ISNUMBER(CI373),IFERROR(CI373/CI369,""),"")</f>
        <v>-0.0945307250742614</v>
      </c>
      <c r="CJ374" s="256">
        <f>IF(ISNUMBER(CJ373),IFERROR(CJ373/CJ369,""),"")</f>
        <v>-0.0955682708135823</v>
      </c>
      <c r="CK374" s="153" t="n"/>
      <c r="CM374" s="37">
        <f>IFERROR(AVERAGE(CF374,CG374,CH374,CI374,CJ374),"n/m")</f>
        <v>-0.0928231210663425</v>
      </c>
      <c r="CN374" s="37">
        <f>IFERROR(AVERAGE(BG374,BL374,BQ374,BV374,CA374),"n/m")</f>
        <v>-0.125216087296007</v>
      </c>
      <c r="CO374" s="37">
        <f>IFERROR(AVERAGE(AH374,AM374,AR374,AW374,BB374,BG374,BL374,BQ374,BV374,CA374),"n/m")</f>
        <v>-0.1596653794701</v>
      </c>
      <c r="CP374" s="37">
        <f>IFERROR(AVERAGE(C374,D374,E374,F374,G374,H374,I374,N374,S374,X374,AC374,AH374,AM374,AR374,AW374,BB374,BG374,BL374,BQ374,BV374,CA374),"n/m")</f>
        <v>-0.152842612933724</v>
      </c>
    </row>
    <row r="375" ht="15" customHeight="1" s="251">
      <c r="B375" s="25" t="inlineStr">
        <is>
          <t xml:space="preserve">  ΔNWC (y/y)</t>
        </is>
      </c>
      <c r="C375" s="34" t="n"/>
      <c r="D375" s="211">
        <f>IF(AND(ISNUMBER(D373),ISNUMBER(C373)),D373-C373,"")</f>
        <v>596</v>
      </c>
      <c r="E375" s="211">
        <f>IF(AND(ISNUMBER(E373),ISNUMBER(D373)),E373-D373,"")</f>
        <v>-3309</v>
      </c>
      <c r="F375" s="211">
        <f>IF(AND(ISNUMBER(F373),ISNUMBER(E373)),F373-E373,"")</f>
        <v>3105</v>
      </c>
      <c r="G375" s="211">
        <f>IF(AND(ISNUMBER(G373),ISNUMBER(F373)),G373-F373,"")</f>
        <v>942</v>
      </c>
      <c r="H375" s="211">
        <f>IF(AND(ISNUMBER(H373),ISNUMBER(G373)),H373-G373,"")</f>
        <v>-369</v>
      </c>
      <c r="I375" s="211">
        <f>IF(AND(ISNUMBER(I373),ISNUMBER(H373)),I373-H373,"")</f>
        <v>-2785</v>
      </c>
      <c r="J375" s="34" t="n"/>
      <c r="K375" s="34" t="n"/>
      <c r="L375" s="34" t="n"/>
      <c r="M375" s="34" t="n"/>
      <c r="N375" s="211">
        <f>IF(AND(ISNUMBER(N373),ISNUMBER(I373)),N373-I373,"")</f>
        <v>-561</v>
      </c>
      <c r="O375" s="211">
        <f>IF(AND(ISNUMBER(O373),ISNUMBER(J373)),O373-J373,"")</f>
        <v>-786</v>
      </c>
      <c r="P375" s="211">
        <f>IF(AND(ISNUMBER(P373),ISNUMBER(K373)),P373-K373,"")</f>
        <v>-109</v>
      </c>
      <c r="Q375" s="211">
        <f>IF(AND(ISNUMBER(Q373),ISNUMBER(L373)),Q373-L373,"")</f>
        <v>-680</v>
      </c>
      <c r="R375" s="211">
        <f>IF(AND(ISNUMBER(R373),ISNUMBER(M373)),R373-M373,"")</f>
        <v>-5114</v>
      </c>
      <c r="S375" s="211">
        <f>IF(AND(ISNUMBER(S373),ISNUMBER(N373)),S373-N373,"")</f>
        <v>-5114</v>
      </c>
      <c r="T375" s="211">
        <f>IF(AND(ISNUMBER(T373),ISNUMBER(O373)),T373-O373,"")</f>
        <v>-3655</v>
      </c>
      <c r="U375" s="211">
        <f>IF(AND(ISNUMBER(U373),ISNUMBER(P373)),U373-P373,"")</f>
        <v>-2738</v>
      </c>
      <c r="V375" s="211">
        <f>IF(AND(ISNUMBER(V373),ISNUMBER(Q373)),V373-Q373,"")</f>
        <v>-2242</v>
      </c>
      <c r="W375" s="211">
        <f>IF(AND(ISNUMBER(W373),ISNUMBER(R373)),W373-R373,"")</f>
        <v>900</v>
      </c>
      <c r="X375" s="211">
        <f>IF(AND(ISNUMBER(X373),ISNUMBER(S373)),X373-S373,"")</f>
        <v>900</v>
      </c>
      <c r="Y375" s="211">
        <f>IF(AND(ISNUMBER(Y373),ISNUMBER(T373)),Y373-T373,"")</f>
        <v>-150</v>
      </c>
      <c r="Z375" s="211">
        <f>IF(AND(ISNUMBER(Z373),ISNUMBER(U373)),Z373-U373,"")</f>
        <v>-2467</v>
      </c>
      <c r="AA375" s="211">
        <f>IF(AND(ISNUMBER(AA373),ISNUMBER(V373)),AA373-V373,"")</f>
        <v>-2423</v>
      </c>
      <c r="AB375" s="211">
        <f>IF(AND(ISNUMBER(AB373),ISNUMBER(W373)),AB373-W373,"")</f>
        <v>-5845</v>
      </c>
      <c r="AC375" s="211">
        <f>IF(AND(ISNUMBER(AC373),ISNUMBER(X373)),AC373-X373,"")</f>
        <v>-5845</v>
      </c>
      <c r="AD375" s="211">
        <f>IF(AND(ISNUMBER(AD373),ISNUMBER(Y373)),AD373-Y373,"")</f>
        <v>-6947</v>
      </c>
      <c r="AE375" s="211">
        <f>IF(AND(ISNUMBER(AE373),ISNUMBER(Z373)),AE373-Z373,"")</f>
        <v>-9234</v>
      </c>
      <c r="AF375" s="211">
        <f>IF(AND(ISNUMBER(AF373),ISNUMBER(AA373)),AF373-AA373,"")</f>
        <v>-7937</v>
      </c>
      <c r="AG375" s="211">
        <f>IF(AND(ISNUMBER(AG373),ISNUMBER(AB373)),AG373-AB373,"")</f>
        <v>-7503</v>
      </c>
      <c r="AH375" s="211">
        <f>IF(AND(ISNUMBER(AH373),ISNUMBER(AC373)),AH373-AC373,"")</f>
        <v>-7503</v>
      </c>
      <c r="AI375" s="211">
        <f>IF(AND(ISNUMBER(AI373),ISNUMBER(AD373)),AI373-AD373,"")</f>
        <v>3462</v>
      </c>
      <c r="AJ375" s="211">
        <f>IF(AND(ISNUMBER(AJ373),ISNUMBER(AE373)),AJ373-AE373,"")</f>
        <v>5621</v>
      </c>
      <c r="AK375" s="211">
        <f>IF(AND(ISNUMBER(AK373),ISNUMBER(AF373)),AK373-AF373,"")</f>
        <v>5857</v>
      </c>
      <c r="AL375" s="211">
        <f>IF(AND(ISNUMBER(AL373),ISNUMBER(AG373)),AL373-AG373,"")</f>
        <v>8940</v>
      </c>
      <c r="AM375" s="211">
        <f>IF(AND(ISNUMBER(AM373),ISNUMBER(AH373)),AM373-AH373,"")</f>
        <v>8940</v>
      </c>
      <c r="AN375" s="211">
        <f>IF(AND(ISNUMBER(AN373),ISNUMBER(AI373)),AN373-AI373,"")</f>
        <v>-1630</v>
      </c>
      <c r="AO375" s="211">
        <f>IF(AND(ISNUMBER(AO373),ISNUMBER(AJ373)),AO373-AJ373,"")</f>
        <v>-256</v>
      </c>
      <c r="AP375" s="211">
        <f>IF(AND(ISNUMBER(AP373),ISNUMBER(AK373)),AP373-AK373,"")</f>
        <v>-1010</v>
      </c>
      <c r="AQ375" s="211">
        <f>IF(AND(ISNUMBER(AQ373),ISNUMBER(AL373)),AQ373-AL373,"")</f>
        <v>-3575</v>
      </c>
      <c r="AR375" s="211">
        <f>IF(AND(ISNUMBER(AR373),ISNUMBER(AM373)),AR373-AM373,"")</f>
        <v>-3575</v>
      </c>
      <c r="AS375" s="211">
        <f>IF(AND(ISNUMBER(AS373),ISNUMBER(AN373)),AS373-AN373,"")</f>
        <v>-4376</v>
      </c>
      <c r="AT375" s="211">
        <f>IF(AND(ISNUMBER(AT373),ISNUMBER(AO373)),AT373-AO373,"")</f>
        <v>-2982</v>
      </c>
      <c r="AU375" s="211">
        <f>IF(AND(ISNUMBER(AU373),ISNUMBER(AP373)),AU373-AP373,"")</f>
        <v>-3003</v>
      </c>
      <c r="AV375" s="211">
        <f>IF(AND(ISNUMBER(AV373),ISNUMBER(AQ373)),AV373-AQ373,"")</f>
        <v>-1002</v>
      </c>
      <c r="AW375" s="211">
        <f>IF(AND(ISNUMBER(AW373),ISNUMBER(AR373)),AW373-AR373,"")</f>
        <v>-1002</v>
      </c>
      <c r="AX375" s="211">
        <f>IF(AND(ISNUMBER(AX373),ISNUMBER(AS373)),AX373-AS373,"")</f>
        <v>1382</v>
      </c>
      <c r="AY375" s="211">
        <f>IF(AND(ISNUMBER(AY373),ISNUMBER(AT373)),AY373-AT373,"")</f>
        <v>478</v>
      </c>
      <c r="AZ375" s="211">
        <f>IF(AND(ISNUMBER(AZ373),ISNUMBER(AU373)),AZ373-AU373,"")</f>
        <v>-1855</v>
      </c>
      <c r="BA375" s="211">
        <f>IF(AND(ISNUMBER(BA373),ISNUMBER(AV373)),BA373-AV373,"")</f>
        <v>-3340</v>
      </c>
      <c r="BB375" s="211">
        <f>IF(AND(ISNUMBER(BB373),ISNUMBER(AW373)),BB373-AW373,"")</f>
        <v>-3340</v>
      </c>
      <c r="BC375" s="211">
        <f>IF(AND(ISNUMBER(BC373),ISNUMBER(AX373)),BC373-AX373,"")</f>
        <v>-9109</v>
      </c>
      <c r="BD375" s="211">
        <f>IF(AND(ISNUMBER(BD373),ISNUMBER(AY373)),BD373-AY373,"")</f>
        <v>-3599</v>
      </c>
      <c r="BE375" s="211">
        <f>IF(AND(ISNUMBER(BE373),ISNUMBER(AZ373)),BE373-AZ373,"")</f>
        <v>-2526</v>
      </c>
      <c r="BF375" s="211">
        <f>IF(AND(ISNUMBER(BF373),ISNUMBER(BA373)),BF373-BA373,"")</f>
        <v>-893</v>
      </c>
      <c r="BG375" s="211">
        <f>IF(AND(ISNUMBER(BG373),ISNUMBER(BB373)),BG373-BB373,"")</f>
        <v>-893</v>
      </c>
      <c r="BH375" s="211">
        <f>IF(AND(ISNUMBER(BH373),ISNUMBER(BC373)),BH373-BC373,"")</f>
        <v>2977</v>
      </c>
      <c r="BI375" s="211">
        <f>IF(AND(ISNUMBER(BI373),ISNUMBER(BD373)),BI373-BD373,"")</f>
        <v>4287</v>
      </c>
      <c r="BJ375" s="211">
        <f>IF(AND(ISNUMBER(BJ373),ISNUMBER(BE373)),BJ373-BE373,"")</f>
        <v>6477</v>
      </c>
      <c r="BK375" s="211">
        <f>IF(AND(ISNUMBER(BK373),ISNUMBER(BF373)),BK373-BF373,"")</f>
        <v>1499</v>
      </c>
      <c r="BL375" s="211">
        <f>IF(AND(ISNUMBER(BL373),ISNUMBER(BG373)),BL373-BG373,"")</f>
        <v>1499</v>
      </c>
      <c r="BM375" s="211">
        <f>IF(AND(ISNUMBER(BM373),ISNUMBER(BH373)),BM373-BH373,"")</f>
        <v>-1010</v>
      </c>
      <c r="BN375" s="211">
        <f>IF(AND(ISNUMBER(BN373),ISNUMBER(BI373)),BN373-BI373,"")</f>
        <v>-5943</v>
      </c>
      <c r="BO375" s="211">
        <f>IF(AND(ISNUMBER(BO373),ISNUMBER(BJ373)),BO373-BJ373,"")</f>
        <v>-8598</v>
      </c>
      <c r="BP375" s="211">
        <f>IF(AND(ISNUMBER(BP373),ISNUMBER(BK373)),BP373-BK373,"")</f>
        <v>-6246</v>
      </c>
      <c r="BQ375" s="211">
        <f>IF(AND(ISNUMBER(BQ373),ISNUMBER(BL373)),BQ373-BL373,"")</f>
        <v>-6246</v>
      </c>
      <c r="BR375" s="211">
        <f>IF(AND(ISNUMBER(BR373),ISNUMBER(BM373)),BR373-BM373,"")</f>
        <v>-9852</v>
      </c>
      <c r="BS375" s="211">
        <f>IF(AND(ISNUMBER(BS373),ISNUMBER(BN373)),BS373-BN373,"")</f>
        <v>-2760</v>
      </c>
      <c r="BT375" s="211">
        <f>IF(AND(ISNUMBER(BT373),ISNUMBER(BO373)),BT373-BO373,"")</f>
        <v>-5599</v>
      </c>
      <c r="BU375" s="211">
        <f>IF(AND(ISNUMBER(BU373),ISNUMBER(BP373)),BU373-BP373,"")</f>
        <v>-9500</v>
      </c>
      <c r="BV375" s="211">
        <f>IF(AND(ISNUMBER(BV373),ISNUMBER(BQ373)),BV373-BQ373,"")</f>
        <v>-9500</v>
      </c>
      <c r="BW375" s="211">
        <f>IF(AND(ISNUMBER(BW373),ISNUMBER(BR373)),BW373-BR373,"")</f>
        <v>1343</v>
      </c>
      <c r="BX375" s="211">
        <f>IF(AND(ISNUMBER(BX373),ISNUMBER(BS373)),BX373-BS373,"")</f>
        <v>-6331</v>
      </c>
      <c r="BY375" s="211">
        <f>IF(AND(ISNUMBER(BY373),ISNUMBER(BT373)),BY373-BT373,"")</f>
        <v>3416</v>
      </c>
      <c r="BZ375" s="211">
        <f>IF(AND(ISNUMBER(BZ373),ISNUMBER(BU373)),BZ373-BU373,"")</f>
        <v>12922</v>
      </c>
      <c r="CA375" s="211">
        <f>IF(AND(ISNUMBER(CA373),ISNUMBER(BV373)),CA373-BV373,"")</f>
        <v>12922</v>
      </c>
      <c r="CB375" s="35" t="n"/>
      <c r="CC375" s="35" t="n"/>
      <c r="CD375" s="35" t="n"/>
      <c r="CE375" s="35" t="n"/>
      <c r="CF375" s="254">
        <f>IF(AND(ISNUMBER(CF373),ISNUMBER(CA373)),CF373-CA373,"")</f>
        <v>-6027.06181374527</v>
      </c>
      <c r="CG375" s="254">
        <f>IF(AND(ISNUMBER(CG373),ISNUMBER(CF373)),CG373-CF373,"")</f>
        <v>-6905.10385777617</v>
      </c>
      <c r="CH375" s="254">
        <f>IF(AND(ISNUMBER(CH373),ISNUMBER(CG373)),CH373-CG373,"")</f>
        <v>-7444.14511475843</v>
      </c>
      <c r="CI375" s="254">
        <f>IF(AND(ISNUMBER(CI373),ISNUMBER(CH373)),CI373-CH373,"")</f>
        <v>-7550.33462368223</v>
      </c>
      <c r="CJ375" s="254">
        <f>IF(AND(ISNUMBER(CJ373),ISNUMBER(CI373)),CJ373-CI373,"")</f>
        <v>-7535.46278327999</v>
      </c>
      <c r="CK375" s="19" t="n"/>
    </row>
    <row r="376" ht="15" customHeight="1" s="251">
      <c r="CS376" s="11" t="n"/>
      <c r="CT376" s="12" t="n"/>
      <c r="CU376" s="12" t="n"/>
      <c r="CV376" s="12" t="n"/>
      <c r="CW376" s="13" t="n"/>
    </row>
    <row r="377" ht="15" customHeight="1" s="251">
      <c r="B377" s="10" t="inlineStr">
        <is>
          <t>BALANCE SHEET FORECAST SCHEDULES</t>
        </is>
      </c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  <c r="AD377" s="10" t="n"/>
      <c r="AE377" s="10" t="n"/>
      <c r="AF377" s="10" t="n"/>
      <c r="AG377" s="10" t="n"/>
      <c r="AH377" s="10" t="n"/>
      <c r="AI377" s="10" t="n"/>
      <c r="AJ377" s="10" t="n"/>
      <c r="AK377" s="10" t="n"/>
      <c r="AL377" s="10" t="n"/>
      <c r="AM377" s="10" t="n"/>
      <c r="AN377" s="10" t="n"/>
      <c r="AO377" s="10" t="n"/>
      <c r="AP377" s="10" t="n"/>
      <c r="AQ377" s="10" t="n"/>
      <c r="AR377" s="10" t="n"/>
      <c r="AS377" s="10" t="n"/>
      <c r="AT377" s="10" t="n"/>
      <c r="AU377" s="10" t="n"/>
      <c r="AV377" s="10" t="n"/>
      <c r="AW377" s="10" t="n"/>
      <c r="AX377" s="10" t="n"/>
      <c r="AY377" s="10" t="n"/>
      <c r="AZ377" s="10" t="n"/>
      <c r="BA377" s="10" t="n"/>
      <c r="BB377" s="10" t="n"/>
      <c r="BC377" s="10" t="n"/>
      <c r="BD377" s="10" t="n"/>
      <c r="BE377" s="10" t="n"/>
      <c r="BF377" s="10" t="n"/>
      <c r="BG377" s="10" t="n"/>
      <c r="BH377" s="10" t="n"/>
      <c r="BI377" s="10" t="n"/>
      <c r="BJ377" s="10" t="n"/>
      <c r="BK377" s="10" t="n"/>
      <c r="BL377" s="10" t="n"/>
      <c r="BM377" s="10" t="n"/>
      <c r="BN377" s="10" t="n"/>
      <c r="BO377" s="10" t="n"/>
      <c r="BP377" s="10" t="n"/>
      <c r="BQ377" s="10" t="n"/>
      <c r="BR377" s="10" t="n"/>
      <c r="BS377" s="10" t="n"/>
      <c r="BT377" s="10" t="n"/>
      <c r="BU377" s="10" t="n"/>
      <c r="BV377" s="10" t="n"/>
      <c r="BW377" s="10" t="n"/>
      <c r="BX377" s="10" t="n"/>
      <c r="BY377" s="10" t="n"/>
      <c r="BZ377" s="10" t="n"/>
      <c r="CA377" s="10" t="n"/>
      <c r="CB377" s="10" t="n"/>
      <c r="CC377" s="10" t="n"/>
      <c r="CD377" s="10" t="n"/>
      <c r="CE377" s="10" t="n"/>
      <c r="CF377" s="10" t="n"/>
      <c r="CG377" s="10" t="n"/>
      <c r="CH377" s="10" t="n"/>
      <c r="CI377" s="10" t="n"/>
      <c r="CJ377" s="10" t="n"/>
      <c r="CK377" s="10" t="inlineStr">
        <is>
          <t>BS FORECAST SCHEDULES — explicit driver assumptions</t>
        </is>
      </c>
    </row>
    <row r="378" ht="15" customHeight="1" s="251">
      <c r="B378" s="25" t="inlineStr">
        <is>
          <t>Acquisitions — consideration &amp; purchase-price allocation (closing-quarter column)</t>
        </is>
      </c>
      <c r="CK378" s="153" t="n"/>
    </row>
    <row r="379" ht="15" customHeight="1" s="251">
      <c r="B379" s="69" t="inlineStr">
        <is>
          <t xml:space="preserve">  Consideration — net of cash acquired</t>
        </is>
      </c>
      <c r="C379" s="44" t="n"/>
      <c r="D379" s="44" t="n"/>
      <c r="E379" s="44" t="n"/>
      <c r="F379" s="44" t="n"/>
      <c r="G379" s="44" t="n"/>
      <c r="H379" s="44" t="n"/>
      <c r="I379" s="44" t="n"/>
      <c r="J379" s="44" t="n"/>
      <c r="K379" s="44" t="n"/>
      <c r="L379" s="44" t="n"/>
      <c r="M379" s="44" t="n"/>
      <c r="N379" s="44" t="n"/>
      <c r="O379" s="44" t="n"/>
      <c r="P379" s="44" t="n"/>
      <c r="Q379" s="44" t="n"/>
      <c r="R379" s="44" t="n"/>
      <c r="S379" s="44" t="n"/>
      <c r="T379" s="44" t="n"/>
      <c r="U379" s="44" t="n"/>
      <c r="V379" s="44" t="n"/>
      <c r="W379" s="44" t="n"/>
      <c r="X379" s="44" t="n"/>
      <c r="Y379" s="44" t="n"/>
      <c r="Z379" s="44" t="n"/>
      <c r="AA379" s="44" t="n"/>
      <c r="AB379" s="44" t="n"/>
      <c r="AC379" s="44" t="n"/>
      <c r="AD379" s="44" t="n"/>
      <c r="AE379" s="253" t="n">
        <v>25681</v>
      </c>
      <c r="AF379" s="44" t="n"/>
      <c r="AG379" s="44" t="n"/>
      <c r="AH379" s="44" t="n"/>
      <c r="AI379" s="44" t="n"/>
      <c r="AJ379" s="44" t="n"/>
      <c r="AK379" s="44" t="n"/>
      <c r="AL379" s="44" t="n"/>
      <c r="AM379" s="44" t="n"/>
      <c r="AN379" s="44" t="n"/>
      <c r="AO379" s="44" t="n"/>
      <c r="AP379" s="44" t="n"/>
      <c r="AQ379" s="44" t="n"/>
      <c r="AR379" s="44" t="n"/>
      <c r="AS379" s="44" t="n"/>
      <c r="AT379" s="44" t="n"/>
      <c r="AU379" s="44" t="n"/>
      <c r="AV379" s="44" t="n"/>
      <c r="AW379" s="44" t="n"/>
      <c r="AX379" s="44" t="n"/>
      <c r="AY379" s="44" t="n"/>
      <c r="AZ379" s="44" t="n"/>
      <c r="BA379" s="44" t="n"/>
      <c r="BB379" s="44" t="n"/>
      <c r="BC379" s="44" t="n"/>
      <c r="BD379" s="44" t="n"/>
      <c r="BE379" s="253" t="n">
        <v>18761</v>
      </c>
      <c r="BF379" s="44" t="n"/>
      <c r="BG379" s="44" t="n"/>
      <c r="BH379" s="44" t="n"/>
      <c r="BI379" s="44" t="n"/>
      <c r="BJ379" s="44" t="n"/>
      <c r="BK379" s="44" t="n"/>
      <c r="BL379" s="44" t="n"/>
      <c r="BM379" s="44" t="n"/>
      <c r="BN379" s="253" t="n">
        <v>62432</v>
      </c>
      <c r="BO379" s="44" t="n"/>
      <c r="BP379" s="44" t="n"/>
      <c r="BQ379" s="44" t="n"/>
      <c r="BR379" s="44" t="n"/>
      <c r="BS379" s="44" t="n"/>
      <c r="BT379" s="44" t="n"/>
      <c r="BU379" s="44" t="n"/>
      <c r="BV379" s="44" t="n"/>
      <c r="BW379" s="44" t="n"/>
      <c r="BX379" s="44" t="n"/>
      <c r="BY379" s="44" t="n"/>
      <c r="BZ379" s="44" t="n"/>
      <c r="CA379" s="44" t="n"/>
      <c r="CB379" s="153" t="n"/>
      <c r="CC379" s="153" t="n"/>
      <c r="CD379" s="153" t="n"/>
      <c r="CE379" s="153" t="n"/>
      <c r="CF379" s="35" t="n"/>
      <c r="CG379" s="35" t="n"/>
      <c r="CH379" s="35" t="n"/>
      <c r="CI379" s="35" t="n"/>
      <c r="CJ379" s="35" t="n"/>
      <c r="CK379" s="19" t="n"/>
    </row>
    <row r="380" ht="15" customHeight="1" s="251">
      <c r="B380" s="69" t="inlineStr">
        <is>
          <t xml:space="preserve">  Current assets acquired (short-term investments, receivables, other)</t>
        </is>
      </c>
      <c r="C380" s="44" t="n"/>
      <c r="D380" s="44" t="n"/>
      <c r="E380" s="44" t="n"/>
      <c r="F380" s="44" t="n"/>
      <c r="G380" s="44" t="n"/>
      <c r="H380" s="44" t="n"/>
      <c r="I380" s="44" t="n"/>
      <c r="J380" s="44" t="n"/>
      <c r="K380" s="44" t="n"/>
      <c r="L380" s="44" t="n"/>
      <c r="M380" s="44" t="n"/>
      <c r="N380" s="44" t="n"/>
      <c r="O380" s="44" t="n"/>
      <c r="P380" s="44" t="n"/>
      <c r="Q380" s="44" t="n"/>
      <c r="R380" s="44" t="n"/>
      <c r="S380" s="44" t="n"/>
      <c r="T380" s="44" t="n"/>
      <c r="U380" s="44" t="n"/>
      <c r="V380" s="44" t="n"/>
      <c r="W380" s="44" t="n"/>
      <c r="X380" s="44" t="n"/>
      <c r="Y380" s="44" t="n"/>
      <c r="Z380" s="44" t="n"/>
      <c r="AA380" s="44" t="n"/>
      <c r="AB380" s="44" t="n"/>
      <c r="AC380" s="44" t="n"/>
      <c r="AD380" s="44" t="n"/>
      <c r="AE380" s="253" t="n">
        <v>2807</v>
      </c>
      <c r="AF380" s="44" t="n"/>
      <c r="AG380" s="44" t="n"/>
      <c r="AH380" s="44" t="n"/>
      <c r="AI380" s="44" t="n"/>
      <c r="AJ380" s="44" t="n"/>
      <c r="AK380" s="44" t="n"/>
      <c r="AL380" s="44" t="n"/>
      <c r="AM380" s="44" t="n"/>
      <c r="AN380" s="44" t="n"/>
      <c r="AO380" s="44" t="n"/>
      <c r="AP380" s="44" t="n"/>
      <c r="AQ380" s="44" t="n"/>
      <c r="AR380" s="44" t="n"/>
      <c r="AS380" s="44" t="n"/>
      <c r="AT380" s="44" t="n"/>
      <c r="AU380" s="44" t="n"/>
      <c r="AV380" s="44" t="n"/>
      <c r="AW380" s="44" t="n"/>
      <c r="AX380" s="44" t="n"/>
      <c r="AY380" s="44" t="n"/>
      <c r="AZ380" s="44" t="n"/>
      <c r="BA380" s="44" t="n"/>
      <c r="BB380" s="44" t="n"/>
      <c r="BC380" s="44" t="n"/>
      <c r="BD380" s="44" t="n"/>
      <c r="BE380" s="253" t="n">
        <v>0</v>
      </c>
      <c r="BF380" s="44" t="n"/>
      <c r="BG380" s="44" t="n"/>
      <c r="BH380" s="44" t="n"/>
      <c r="BI380" s="44" t="n"/>
      <c r="BJ380" s="44" t="n"/>
      <c r="BK380" s="44" t="n"/>
      <c r="BL380" s="44" t="n"/>
      <c r="BM380" s="44" t="n"/>
      <c r="BN380" s="253" t="n">
        <v>0</v>
      </c>
      <c r="BO380" s="44" t="n"/>
      <c r="BP380" s="44" t="n"/>
      <c r="BQ380" s="44" t="n"/>
      <c r="BR380" s="44" t="n"/>
      <c r="BS380" s="44" t="n"/>
      <c r="BT380" s="44" t="n"/>
      <c r="BU380" s="44" t="n"/>
      <c r="BV380" s="44" t="n"/>
      <c r="BW380" s="44" t="n"/>
      <c r="BX380" s="44" t="n"/>
      <c r="BY380" s="44" t="n"/>
      <c r="BZ380" s="44" t="n"/>
      <c r="CA380" s="44" t="n"/>
      <c r="CB380" s="153" t="n"/>
      <c r="CC380" s="153" t="n"/>
      <c r="CD380" s="153" t="n"/>
      <c r="CE380" s="153" t="n"/>
      <c r="CF380" s="35" t="n"/>
      <c r="CG380" s="35" t="n"/>
      <c r="CH380" s="35" t="n"/>
      <c r="CI380" s="35" t="n"/>
      <c r="CJ380" s="35" t="n"/>
      <c r="CK380" s="19" t="n"/>
    </row>
    <row r="381" ht="15" customHeight="1" s="251">
      <c r="B381" s="69" t="inlineStr">
        <is>
          <t xml:space="preserve">  Property and equipment</t>
        </is>
      </c>
      <c r="C381" s="44" t="n"/>
      <c r="D381" s="44" t="n"/>
      <c r="E381" s="44" t="n"/>
      <c r="F381" s="44" t="n"/>
      <c r="G381" s="44" t="n"/>
      <c r="H381" s="44" t="n"/>
      <c r="I381" s="44" t="n"/>
      <c r="J381" s="44" t="n"/>
      <c r="K381" s="44" t="n"/>
      <c r="L381" s="44" t="n"/>
      <c r="M381" s="44" t="n"/>
      <c r="N381" s="44" t="n"/>
      <c r="O381" s="44" t="n"/>
      <c r="P381" s="44" t="n"/>
      <c r="Q381" s="44" t="n"/>
      <c r="R381" s="44" t="n"/>
      <c r="S381" s="44" t="n"/>
      <c r="T381" s="44" t="n"/>
      <c r="U381" s="44" t="n"/>
      <c r="V381" s="44" t="n"/>
      <c r="W381" s="44" t="n"/>
      <c r="X381" s="44" t="n"/>
      <c r="Y381" s="44" t="n"/>
      <c r="Z381" s="44" t="n"/>
      <c r="AA381" s="44" t="n"/>
      <c r="AB381" s="44" t="n"/>
      <c r="AC381" s="44" t="n"/>
      <c r="AD381" s="44" t="n"/>
      <c r="AE381" s="253" t="n">
        <v>1529</v>
      </c>
      <c r="AF381" s="44" t="n"/>
      <c r="AG381" s="44" t="n"/>
      <c r="AH381" s="44" t="n"/>
      <c r="AI381" s="44" t="n"/>
      <c r="AJ381" s="44" t="n"/>
      <c r="AK381" s="44" t="n"/>
      <c r="AL381" s="44" t="n"/>
      <c r="AM381" s="44" t="n"/>
      <c r="AN381" s="44" t="n"/>
      <c r="AO381" s="44" t="n"/>
      <c r="AP381" s="44" t="n"/>
      <c r="AQ381" s="44" t="n"/>
      <c r="AR381" s="44" t="n"/>
      <c r="AS381" s="44" t="n"/>
      <c r="AT381" s="44" t="n"/>
      <c r="AU381" s="44" t="n"/>
      <c r="AV381" s="44" t="n"/>
      <c r="AW381" s="44" t="n"/>
      <c r="AX381" s="44" t="n"/>
      <c r="AY381" s="44" t="n"/>
      <c r="AZ381" s="44" t="n"/>
      <c r="BA381" s="44" t="n"/>
      <c r="BB381" s="44" t="n"/>
      <c r="BC381" s="44" t="n"/>
      <c r="BD381" s="44" t="n"/>
      <c r="BE381" s="253" t="n">
        <v>0</v>
      </c>
      <c r="BF381" s="44" t="n"/>
      <c r="BG381" s="44" t="n"/>
      <c r="BH381" s="44" t="n"/>
      <c r="BI381" s="44" t="n"/>
      <c r="BJ381" s="44" t="n"/>
      <c r="BK381" s="44" t="n"/>
      <c r="BL381" s="44" t="n"/>
      <c r="BM381" s="44" t="n"/>
      <c r="BN381" s="253" t="n">
        <v>0</v>
      </c>
      <c r="BO381" s="44" t="n"/>
      <c r="BP381" s="44" t="n"/>
      <c r="BQ381" s="44" t="n"/>
      <c r="BR381" s="44" t="n"/>
      <c r="BS381" s="44" t="n"/>
      <c r="BT381" s="44" t="n"/>
      <c r="BU381" s="44" t="n"/>
      <c r="BV381" s="44" t="n"/>
      <c r="BW381" s="44" t="n"/>
      <c r="BX381" s="44" t="n"/>
      <c r="BY381" s="44" t="n"/>
      <c r="BZ381" s="44" t="n"/>
      <c r="CA381" s="44" t="n"/>
      <c r="CB381" s="153" t="n"/>
      <c r="CC381" s="153" t="n"/>
      <c r="CD381" s="153" t="n"/>
      <c r="CE381" s="153" t="n"/>
      <c r="CF381" s="35" t="n"/>
      <c r="CG381" s="35" t="n"/>
      <c r="CH381" s="35" t="n"/>
      <c r="CI381" s="35" t="n"/>
      <c r="CJ381" s="35" t="n"/>
      <c r="CK381" s="19" t="n"/>
    </row>
    <row r="382" ht="15" customHeight="1" s="251">
      <c r="B382" s="69" t="inlineStr">
        <is>
          <t xml:space="preserve">  Intangible assets</t>
        </is>
      </c>
      <c r="C382" s="44" t="n"/>
      <c r="D382" s="44" t="n"/>
      <c r="E382" s="44" t="n"/>
      <c r="F382" s="44" t="n"/>
      <c r="G382" s="44" t="n"/>
      <c r="H382" s="44" t="n"/>
      <c r="I382" s="44" t="n"/>
      <c r="J382" s="44" t="n"/>
      <c r="K382" s="44" t="n"/>
      <c r="L382" s="44" t="n"/>
      <c r="M382" s="44" t="n"/>
      <c r="N382" s="44" t="n"/>
      <c r="O382" s="44" t="n"/>
      <c r="P382" s="44" t="n"/>
      <c r="Q382" s="44" t="n"/>
      <c r="R382" s="44" t="n"/>
      <c r="S382" s="44" t="n"/>
      <c r="T382" s="44" t="n"/>
      <c r="U382" s="44" t="n"/>
      <c r="V382" s="44" t="n"/>
      <c r="W382" s="44" t="n"/>
      <c r="X382" s="44" t="n"/>
      <c r="Y382" s="44" t="n"/>
      <c r="Z382" s="44" t="n"/>
      <c r="AA382" s="44" t="n"/>
      <c r="AB382" s="44" t="n"/>
      <c r="AC382" s="44" t="n"/>
      <c r="AD382" s="44" t="n"/>
      <c r="AE382" s="253" t="n">
        <v>7887</v>
      </c>
      <c r="AF382" s="44" t="n"/>
      <c r="AG382" s="44" t="n"/>
      <c r="AH382" s="44" t="n"/>
      <c r="AI382" s="44" t="n"/>
      <c r="AJ382" s="44" t="n"/>
      <c r="AK382" s="44" t="n"/>
      <c r="AL382" s="44" t="n"/>
      <c r="AM382" s="44" t="n"/>
      <c r="AN382" s="44" t="n"/>
      <c r="AO382" s="44" t="n"/>
      <c r="AP382" s="44" t="n"/>
      <c r="AQ382" s="44" t="n"/>
      <c r="AR382" s="44" t="n"/>
      <c r="AS382" s="44" t="n"/>
      <c r="AT382" s="44" t="n"/>
      <c r="AU382" s="44" t="n"/>
      <c r="AV382" s="44" t="n"/>
      <c r="AW382" s="44" t="n"/>
      <c r="AX382" s="44" t="n"/>
      <c r="AY382" s="44" t="n"/>
      <c r="AZ382" s="44" t="n"/>
      <c r="BA382" s="44" t="n"/>
      <c r="BB382" s="44" t="n"/>
      <c r="BC382" s="44" t="n"/>
      <c r="BD382" s="44" t="n"/>
      <c r="BE382" s="253" t="n">
        <v>4365</v>
      </c>
      <c r="BF382" s="44" t="n"/>
      <c r="BG382" s="44" t="n"/>
      <c r="BH382" s="44" t="n"/>
      <c r="BI382" s="44" t="n"/>
      <c r="BJ382" s="44" t="n"/>
      <c r="BK382" s="44" t="n"/>
      <c r="BL382" s="44" t="n"/>
      <c r="BM382" s="44" t="n"/>
      <c r="BN382" s="253" t="n">
        <v>21969</v>
      </c>
      <c r="BO382" s="44" t="n"/>
      <c r="BP382" s="44" t="n"/>
      <c r="BQ382" s="44" t="n"/>
      <c r="BR382" s="44" t="n"/>
      <c r="BS382" s="44" t="n"/>
      <c r="BT382" s="44" t="n"/>
      <c r="BU382" s="44" t="n"/>
      <c r="BV382" s="44" t="n"/>
      <c r="BW382" s="44" t="n"/>
      <c r="BX382" s="44" t="n"/>
      <c r="BY382" s="44" t="n"/>
      <c r="BZ382" s="44" t="n"/>
      <c r="CA382" s="44" t="n"/>
      <c r="CB382" s="153" t="n"/>
      <c r="CC382" s="153" t="n"/>
      <c r="CD382" s="153" t="n"/>
      <c r="CE382" s="153" t="n"/>
      <c r="CF382" s="35" t="n"/>
      <c r="CG382" s="35" t="n"/>
      <c r="CH382" s="35" t="n"/>
      <c r="CI382" s="35" t="n"/>
      <c r="CJ382" s="35" t="n"/>
      <c r="CK382" s="19" t="n"/>
    </row>
    <row r="383" ht="15" customHeight="1" s="251">
      <c r="B383" s="69" t="inlineStr">
        <is>
          <t xml:space="preserve">  Goodwill</t>
        </is>
      </c>
      <c r="C383" s="44" t="n"/>
      <c r="D383" s="44" t="n"/>
      <c r="E383" s="44" t="n"/>
      <c r="F383" s="44" t="n"/>
      <c r="G383" s="44" t="n"/>
      <c r="H383" s="44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  <c r="R383" s="44" t="n"/>
      <c r="S383" s="44" t="n"/>
      <c r="T383" s="44" t="n"/>
      <c r="U383" s="44" t="n"/>
      <c r="V383" s="44" t="n"/>
      <c r="W383" s="44" t="n"/>
      <c r="X383" s="44" t="n"/>
      <c r="Y383" s="44" t="n"/>
      <c r="Z383" s="44" t="n"/>
      <c r="AA383" s="44" t="n"/>
      <c r="AB383" s="44" t="n"/>
      <c r="AC383" s="44" t="n"/>
      <c r="AD383" s="44" t="n"/>
      <c r="AE383" s="253" t="n">
        <v>16803</v>
      </c>
      <c r="AF383" s="44" t="n"/>
      <c r="AG383" s="44" t="n"/>
      <c r="AH383" s="44" t="n"/>
      <c r="AI383" s="44" t="n"/>
      <c r="AJ383" s="44" t="n"/>
      <c r="AK383" s="44" t="n"/>
      <c r="AL383" s="44" t="n"/>
      <c r="AM383" s="44" t="n"/>
      <c r="AN383" s="44" t="n"/>
      <c r="AO383" s="44" t="n"/>
      <c r="AP383" s="44" t="n"/>
      <c r="AQ383" s="44" t="n"/>
      <c r="AR383" s="44" t="n"/>
      <c r="AS383" s="44" t="n"/>
      <c r="AT383" s="44" t="n"/>
      <c r="AU383" s="44" t="n"/>
      <c r="AV383" s="44" t="n"/>
      <c r="AW383" s="44" t="n"/>
      <c r="AX383" s="44" t="n"/>
      <c r="AY383" s="44" t="n"/>
      <c r="AZ383" s="44" t="n"/>
      <c r="BA383" s="44" t="n"/>
      <c r="BB383" s="44" t="n"/>
      <c r="BC383" s="44" t="n"/>
      <c r="BD383" s="44" t="n"/>
      <c r="BE383" s="253" t="n">
        <v>16326</v>
      </c>
      <c r="BF383" s="44" t="n"/>
      <c r="BG383" s="44" t="n"/>
      <c r="BH383" s="44" t="n"/>
      <c r="BI383" s="44" t="n"/>
      <c r="BJ383" s="44" t="n"/>
      <c r="BK383" s="44" t="n"/>
      <c r="BL383" s="44" t="n"/>
      <c r="BM383" s="44" t="n"/>
      <c r="BN383" s="253" t="n">
        <v>50969</v>
      </c>
      <c r="BO383" s="44" t="n"/>
      <c r="BP383" s="44" t="n"/>
      <c r="BQ383" s="44" t="n"/>
      <c r="BR383" s="44" t="n"/>
      <c r="BS383" s="44" t="n"/>
      <c r="BT383" s="44" t="n"/>
      <c r="BU383" s="44" t="n"/>
      <c r="BV383" s="44" t="n"/>
      <c r="BW383" s="44" t="n"/>
      <c r="BX383" s="44" t="n"/>
      <c r="BY383" s="44" t="n"/>
      <c r="BZ383" s="44" t="n"/>
      <c r="CA383" s="44" t="n"/>
      <c r="CB383" s="153" t="n"/>
      <c r="CC383" s="153" t="n"/>
      <c r="CD383" s="153" t="n"/>
      <c r="CE383" s="153" t="n"/>
      <c r="CF383" s="35" t="n"/>
      <c r="CG383" s="35" t="n"/>
      <c r="CH383" s="35" t="n"/>
      <c r="CI383" s="35" t="n"/>
      <c r="CJ383" s="35" t="n"/>
      <c r="CK383" s="19" t="n"/>
    </row>
    <row r="384" ht="15" customHeight="1" s="251">
      <c r="B384" s="69" t="inlineStr">
        <is>
          <t xml:space="preserve">  Other assets</t>
        </is>
      </c>
      <c r="C384" s="44" t="n"/>
      <c r="D384" s="44" t="n"/>
      <c r="E384" s="44" t="n"/>
      <c r="F384" s="44" t="n"/>
      <c r="G384" s="44" t="n"/>
      <c r="H384" s="44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  <c r="R384" s="44" t="n"/>
      <c r="S384" s="44" t="n"/>
      <c r="T384" s="44" t="n"/>
      <c r="U384" s="44" t="n"/>
      <c r="V384" s="44" t="n"/>
      <c r="W384" s="44" t="n"/>
      <c r="X384" s="44" t="n"/>
      <c r="Y384" s="44" t="n"/>
      <c r="Z384" s="44" t="n"/>
      <c r="AA384" s="44" t="n"/>
      <c r="AB384" s="44" t="n"/>
      <c r="AC384" s="44" t="n"/>
      <c r="AD384" s="44" t="n"/>
      <c r="AE384" s="253" t="n">
        <v>0</v>
      </c>
      <c r="AF384" s="44" t="n"/>
      <c r="AG384" s="44" t="n"/>
      <c r="AH384" s="44" t="n"/>
      <c r="AI384" s="44" t="n"/>
      <c r="AJ384" s="44" t="n"/>
      <c r="AK384" s="44" t="n"/>
      <c r="AL384" s="44" t="n"/>
      <c r="AM384" s="44" t="n"/>
      <c r="AN384" s="44" t="n"/>
      <c r="AO384" s="44" t="n"/>
      <c r="AP384" s="44" t="n"/>
      <c r="AQ384" s="44" t="n"/>
      <c r="AR384" s="44" t="n"/>
      <c r="AS384" s="44" t="n"/>
      <c r="AT384" s="44" t="n"/>
      <c r="AU384" s="44" t="n"/>
      <c r="AV384" s="44" t="n"/>
      <c r="AW384" s="44" t="n"/>
      <c r="AX384" s="44" t="n"/>
      <c r="AY384" s="44" t="n"/>
      <c r="AZ384" s="44" t="n"/>
      <c r="BA384" s="44" t="n"/>
      <c r="BB384" s="44" t="n"/>
      <c r="BC384" s="44" t="n"/>
      <c r="BD384" s="44" t="n"/>
      <c r="BE384" s="253" t="n">
        <v>42</v>
      </c>
      <c r="BF384" s="44" t="n"/>
      <c r="BG384" s="44" t="n"/>
      <c r="BH384" s="44" t="n"/>
      <c r="BI384" s="44" t="n"/>
      <c r="BJ384" s="44" t="n"/>
      <c r="BK384" s="44" t="n"/>
      <c r="BL384" s="44" t="n"/>
      <c r="BM384" s="44" t="n"/>
      <c r="BN384" s="253" t="n">
        <v>2501</v>
      </c>
      <c r="BO384" s="44" t="n"/>
      <c r="BP384" s="44" t="n"/>
      <c r="BQ384" s="44" t="n"/>
      <c r="BR384" s="44" t="n"/>
      <c r="BS384" s="44" t="n"/>
      <c r="BT384" s="44" t="n"/>
      <c r="BU384" s="44" t="n"/>
      <c r="BV384" s="44" t="n"/>
      <c r="BW384" s="44" t="n"/>
      <c r="BX384" s="44" t="n"/>
      <c r="BY384" s="44" t="n"/>
      <c r="BZ384" s="44" t="n"/>
      <c r="CA384" s="44" t="n"/>
      <c r="CB384" s="153" t="n"/>
      <c r="CC384" s="153" t="n"/>
      <c r="CD384" s="153" t="n"/>
      <c r="CE384" s="153" t="n"/>
      <c r="CF384" s="35" t="n"/>
      <c r="CG384" s="35" t="n"/>
      <c r="CH384" s="35" t="n"/>
      <c r="CI384" s="35" t="n"/>
      <c r="CJ384" s="35" t="n"/>
      <c r="CK384" s="19" t="n"/>
    </row>
    <row r="385" ht="15" customHeight="1" s="251">
      <c r="B385" s="69" t="inlineStr">
        <is>
          <t xml:space="preserve">  Current / other liabilities assumed</t>
        </is>
      </c>
      <c r="C385" s="44" t="n"/>
      <c r="D385" s="44" t="n"/>
      <c r="E385" s="44" t="n"/>
      <c r="F385" s="44" t="n"/>
      <c r="G385" s="44" t="n"/>
      <c r="H385" s="44" t="n"/>
      <c r="I385" s="44" t="n"/>
      <c r="J385" s="44" t="n"/>
      <c r="K385" s="44" t="n"/>
      <c r="L385" s="44" t="n"/>
      <c r="M385" s="44" t="n"/>
      <c r="N385" s="44" t="n"/>
      <c r="O385" s="44" t="n"/>
      <c r="P385" s="44" t="n"/>
      <c r="Q385" s="44" t="n"/>
      <c r="R385" s="44" t="n"/>
      <c r="S385" s="44" t="n"/>
      <c r="T385" s="44" t="n"/>
      <c r="U385" s="44" t="n"/>
      <c r="V385" s="44" t="n"/>
      <c r="W385" s="44" t="n"/>
      <c r="X385" s="44" t="n"/>
      <c r="Y385" s="44" t="n"/>
      <c r="Z385" s="44" t="n"/>
      <c r="AA385" s="44" t="n"/>
      <c r="AB385" s="44" t="n"/>
      <c r="AC385" s="44" t="n"/>
      <c r="AD385" s="44" t="n"/>
      <c r="AE385" s="253" t="n">
        <v>1117</v>
      </c>
      <c r="AF385" s="44" t="n"/>
      <c r="AG385" s="44" t="n"/>
      <c r="AH385" s="44" t="n"/>
      <c r="AI385" s="44" t="n"/>
      <c r="AJ385" s="44" t="n"/>
      <c r="AK385" s="44" t="n"/>
      <c r="AL385" s="44" t="n"/>
      <c r="AM385" s="44" t="n"/>
      <c r="AN385" s="44" t="n"/>
      <c r="AO385" s="44" t="n"/>
      <c r="AP385" s="44" t="n"/>
      <c r="AQ385" s="44" t="n"/>
      <c r="AR385" s="44" t="n"/>
      <c r="AS385" s="44" t="n"/>
      <c r="AT385" s="44" t="n"/>
      <c r="AU385" s="44" t="n"/>
      <c r="AV385" s="44" t="n"/>
      <c r="AW385" s="44" t="n"/>
      <c r="AX385" s="44" t="n"/>
      <c r="AY385" s="44" t="n"/>
      <c r="AZ385" s="44" t="n"/>
      <c r="BA385" s="44" t="n"/>
      <c r="BB385" s="44" t="n"/>
      <c r="BC385" s="44" t="n"/>
      <c r="BD385" s="44" t="n"/>
      <c r="BE385" s="253" t="n">
        <v>0</v>
      </c>
      <c r="BF385" s="44" t="n"/>
      <c r="BG385" s="44" t="n"/>
      <c r="BH385" s="44" t="n"/>
      <c r="BI385" s="44" t="n"/>
      <c r="BJ385" s="44" t="n"/>
      <c r="BK385" s="44" t="n"/>
      <c r="BL385" s="44" t="n"/>
      <c r="BM385" s="44" t="n"/>
      <c r="BN385" s="253" t="n">
        <v>3617</v>
      </c>
      <c r="BO385" s="44" t="n"/>
      <c r="BP385" s="44" t="n"/>
      <c r="BQ385" s="44" t="n"/>
      <c r="BR385" s="44" t="n"/>
      <c r="BS385" s="44" t="n"/>
      <c r="BT385" s="44" t="n"/>
      <c r="BU385" s="44" t="n"/>
      <c r="BV385" s="44" t="n"/>
      <c r="BW385" s="44" t="n"/>
      <c r="BX385" s="44" t="n"/>
      <c r="BY385" s="44" t="n"/>
      <c r="BZ385" s="44" t="n"/>
      <c r="CA385" s="44" t="n"/>
      <c r="CB385" s="153" t="n"/>
      <c r="CC385" s="153" t="n"/>
      <c r="CD385" s="153" t="n"/>
      <c r="CE385" s="153" t="n"/>
      <c r="CF385" s="35" t="n"/>
      <c r="CG385" s="35" t="n"/>
      <c r="CH385" s="35" t="n"/>
      <c r="CI385" s="35" t="n"/>
      <c r="CJ385" s="35" t="n"/>
      <c r="CK385" s="19" t="n"/>
    </row>
    <row r="386" ht="15" customHeight="1" s="251">
      <c r="B386" s="69" t="inlineStr">
        <is>
          <t xml:space="preserve">  Debt assumed</t>
        </is>
      </c>
      <c r="C386" s="44" t="n"/>
      <c r="D386" s="44" t="n"/>
      <c r="E386" s="44" t="n"/>
      <c r="F386" s="44" t="n"/>
      <c r="G386" s="44" t="n"/>
      <c r="H386" s="44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  <c r="R386" s="44" t="n"/>
      <c r="S386" s="44" t="n"/>
      <c r="T386" s="44" t="n"/>
      <c r="U386" s="44" t="n"/>
      <c r="V386" s="44" t="n"/>
      <c r="W386" s="44" t="n"/>
      <c r="X386" s="44" t="n"/>
      <c r="Y386" s="44" t="n"/>
      <c r="Z386" s="44" t="n"/>
      <c r="AA386" s="44" t="n"/>
      <c r="AB386" s="44" t="n"/>
      <c r="AC386" s="44" t="n"/>
      <c r="AD386" s="44" t="n"/>
      <c r="AE386" s="253" t="n">
        <v>1323</v>
      </c>
      <c r="AF386" s="44" t="n"/>
      <c r="AG386" s="44" t="n"/>
      <c r="AH386" s="44" t="n"/>
      <c r="AI386" s="44" t="n"/>
      <c r="AJ386" s="44" t="n"/>
      <c r="AK386" s="44" t="n"/>
      <c r="AL386" s="44" t="n"/>
      <c r="AM386" s="44" t="n"/>
      <c r="AN386" s="44" t="n"/>
      <c r="AO386" s="44" t="n"/>
      <c r="AP386" s="44" t="n"/>
      <c r="AQ386" s="44" t="n"/>
      <c r="AR386" s="44" t="n"/>
      <c r="AS386" s="44" t="n"/>
      <c r="AT386" s="44" t="n"/>
      <c r="AU386" s="44" t="n"/>
      <c r="AV386" s="44" t="n"/>
      <c r="AW386" s="44" t="n"/>
      <c r="AX386" s="44" t="n"/>
      <c r="AY386" s="44" t="n"/>
      <c r="AZ386" s="44" t="n"/>
      <c r="BA386" s="44" t="n"/>
      <c r="BB386" s="44" t="n"/>
      <c r="BC386" s="44" t="n"/>
      <c r="BD386" s="44" t="n"/>
      <c r="BE386" s="253" t="n">
        <v>0</v>
      </c>
      <c r="BF386" s="44" t="n"/>
      <c r="BG386" s="44" t="n"/>
      <c r="BH386" s="44" t="n"/>
      <c r="BI386" s="44" t="n"/>
      <c r="BJ386" s="44" t="n"/>
      <c r="BK386" s="44" t="n"/>
      <c r="BL386" s="44" t="n"/>
      <c r="BM386" s="44" t="n"/>
      <c r="BN386" s="253" t="n">
        <v>2799</v>
      </c>
      <c r="BO386" s="44" t="n"/>
      <c r="BP386" s="44" t="n"/>
      <c r="BQ386" s="44" t="n"/>
      <c r="BR386" s="44" t="n"/>
      <c r="BS386" s="44" t="n"/>
      <c r="BT386" s="44" t="n"/>
      <c r="BU386" s="44" t="n"/>
      <c r="BV386" s="44" t="n"/>
      <c r="BW386" s="44" t="n"/>
      <c r="BX386" s="44" t="n"/>
      <c r="BY386" s="44" t="n"/>
      <c r="BZ386" s="44" t="n"/>
      <c r="CA386" s="44" t="n"/>
      <c r="CB386" s="153" t="n"/>
      <c r="CC386" s="153" t="n"/>
      <c r="CD386" s="153" t="n"/>
      <c r="CE386" s="153" t="n"/>
      <c r="CF386" s="35" t="n"/>
      <c r="CG386" s="35" t="n"/>
      <c r="CH386" s="35" t="n"/>
      <c r="CI386" s="35" t="n"/>
      <c r="CJ386" s="35" t="n"/>
      <c r="CK386" s="19" t="n"/>
    </row>
    <row r="387" ht="15" customHeight="1" s="251">
      <c r="B387" s="69" t="inlineStr">
        <is>
          <t xml:space="preserve">  Deferred &amp; long-term income taxes and other noncurrent liabilities</t>
        </is>
      </c>
      <c r="C387" s="44" t="n"/>
      <c r="D387" s="44" t="n"/>
      <c r="E387" s="44" t="n"/>
      <c r="F387" s="44" t="n"/>
      <c r="G387" s="44" t="n"/>
      <c r="H387" s="44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  <c r="R387" s="44" t="n"/>
      <c r="S387" s="44" t="n"/>
      <c r="T387" s="44" t="n"/>
      <c r="U387" s="44" t="n"/>
      <c r="V387" s="44" t="n"/>
      <c r="W387" s="44" t="n"/>
      <c r="X387" s="44" t="n"/>
      <c r="Y387" s="44" t="n"/>
      <c r="Z387" s="44" t="n"/>
      <c r="AA387" s="44" t="n"/>
      <c r="AB387" s="44" t="n"/>
      <c r="AC387" s="44" t="n"/>
      <c r="AD387" s="44" t="n"/>
      <c r="AE387" s="253" t="n">
        <v>905</v>
      </c>
      <c r="AF387" s="44" t="n"/>
      <c r="AG387" s="44" t="n"/>
      <c r="AH387" s="44" t="n"/>
      <c r="AI387" s="44" t="n"/>
      <c r="AJ387" s="44" t="n"/>
      <c r="AK387" s="44" t="n"/>
      <c r="AL387" s="44" t="n"/>
      <c r="AM387" s="44" t="n"/>
      <c r="AN387" s="44" t="n"/>
      <c r="AO387" s="44" t="n"/>
      <c r="AP387" s="44" t="n"/>
      <c r="AQ387" s="44" t="n"/>
      <c r="AR387" s="44" t="n"/>
      <c r="AS387" s="44" t="n"/>
      <c r="AT387" s="44" t="n"/>
      <c r="AU387" s="44" t="n"/>
      <c r="AV387" s="44" t="n"/>
      <c r="AW387" s="44" t="n"/>
      <c r="AX387" s="44" t="n"/>
      <c r="AY387" s="44" t="n"/>
      <c r="AZ387" s="44" t="n"/>
      <c r="BA387" s="44" t="n"/>
      <c r="BB387" s="44" t="n"/>
      <c r="BC387" s="44" t="n"/>
      <c r="BD387" s="44" t="n"/>
      <c r="BE387" s="253" t="n">
        <v>1972</v>
      </c>
      <c r="BF387" s="44" t="n"/>
      <c r="BG387" s="44" t="n"/>
      <c r="BH387" s="44" t="n"/>
      <c r="BI387" s="44" t="n"/>
      <c r="BJ387" s="44" t="n"/>
      <c r="BK387" s="44" t="n"/>
      <c r="BL387" s="44" t="n"/>
      <c r="BM387" s="44" t="n"/>
      <c r="BN387" s="253" t="n">
        <v>6591</v>
      </c>
      <c r="BO387" s="44" t="n"/>
      <c r="BP387" s="44" t="n"/>
      <c r="BQ387" s="44" t="n"/>
      <c r="BR387" s="44" t="n"/>
      <c r="BS387" s="44" t="n"/>
      <c r="BT387" s="44" t="n"/>
      <c r="BU387" s="44" t="n"/>
      <c r="BV387" s="44" t="n"/>
      <c r="BW387" s="44" t="n"/>
      <c r="BX387" s="44" t="n"/>
      <c r="BY387" s="44" t="n"/>
      <c r="BZ387" s="44" t="n"/>
      <c r="CA387" s="44" t="n"/>
      <c r="CB387" s="153" t="n"/>
      <c r="CC387" s="153" t="n"/>
      <c r="CD387" s="153" t="n"/>
      <c r="CE387" s="153" t="n"/>
      <c r="CF387" s="35" t="n"/>
      <c r="CG387" s="35" t="n"/>
      <c r="CH387" s="35" t="n"/>
      <c r="CI387" s="35" t="n"/>
      <c r="CJ387" s="35" t="n"/>
      <c r="CK387" s="19" t="n"/>
    </row>
    <row r="388" ht="15" customHeight="1" s="251">
      <c r="B388" s="57" t="inlineStr">
        <is>
          <t xml:space="preserve">  Check: assets acquired − liabilities assumed − consideration (should be 0)</t>
        </is>
      </c>
      <c r="C388" s="211">
        <f>IF(ISNUMBER(C379),ROUND(N(C380)+N(C381)+N(C382)+N(C383)+N(C384)-N(C385)-N(C386)-N(C387)-C379,0),"")</f>
      </c>
      <c r="D388" s="211">
        <f>IF(ISNUMBER(D379),ROUND(N(D380)+N(D381)+N(D382)+N(D383)+N(D384)-N(D385)-N(D386)-N(D387)-D379,0),"")</f>
      </c>
      <c r="E388" s="211">
        <f>IF(ISNUMBER(E379),ROUND(N(E380)+N(E381)+N(E382)+N(E383)+N(E384)-N(E385)-N(E386)-N(E387)-E379,0),"")</f>
      </c>
      <c r="F388" s="211">
        <f>IF(ISNUMBER(F379),ROUND(N(F380)+N(F381)+N(F382)+N(F383)+N(F384)-N(F385)-N(F386)-N(F387)-F379,0),"")</f>
      </c>
      <c r="G388" s="211">
        <f>IF(ISNUMBER(G379),ROUND(N(G380)+N(G381)+N(G382)+N(G383)+N(G384)-N(G385)-N(G386)-N(G387)-G379,0),"")</f>
      </c>
      <c r="H388" s="211">
        <f>IF(ISNUMBER(H379),ROUND(N(H380)+N(H381)+N(H382)+N(H383)+N(H384)-N(H385)-N(H386)-N(H387)-H379,0),"")</f>
      </c>
      <c r="I388" s="211">
        <f>IF(ISNUMBER(I379),ROUND(N(I380)+N(I381)+N(I382)+N(I383)+N(I384)-N(I385)-N(I386)-N(I387)-I379,0),"")</f>
      </c>
      <c r="J388" s="211">
        <f>IF(ISNUMBER(J379),ROUND(N(J380)+N(J381)+N(J382)+N(J383)+N(J384)-N(J385)-N(J386)-N(J387)-J379,0),"")</f>
      </c>
      <c r="K388" s="211">
        <f>IF(ISNUMBER(K379),ROUND(N(K380)+N(K381)+N(K382)+N(K383)+N(K384)-N(K385)-N(K386)-N(K387)-K379,0),"")</f>
      </c>
      <c r="L388" s="211">
        <f>IF(ISNUMBER(L379),ROUND(N(L380)+N(L381)+N(L382)+N(L383)+N(L384)-N(L385)-N(L386)-N(L387)-L379,0),"")</f>
      </c>
      <c r="M388" s="211">
        <f>IF(ISNUMBER(M379),ROUND(N(M380)+N(M381)+N(M382)+N(M383)+N(M384)-N(M385)-N(M386)-N(M387)-M379,0),"")</f>
      </c>
      <c r="N388" s="211">
        <f>IF(ISNUMBER(N379),ROUND(N(N380)+N(N381)+N(N382)+N(N383)+N(N384)-N(N385)-N(N386)-N(N387)-N379,0),"")</f>
      </c>
      <c r="O388" s="211">
        <f>IF(ISNUMBER(O379),ROUND(N(O380)+N(O381)+N(O382)+N(O383)+N(O384)-N(O385)-N(O386)-N(O387)-O379,0),"")</f>
      </c>
      <c r="P388" s="211">
        <f>IF(ISNUMBER(P379),ROUND(N(P380)+N(P381)+N(P382)+N(P383)+N(P384)-N(P385)-N(P386)-N(P387)-P379,0),"")</f>
      </c>
      <c r="Q388" s="211">
        <f>IF(ISNUMBER(Q379),ROUND(N(Q380)+N(Q381)+N(Q382)+N(Q383)+N(Q384)-N(Q385)-N(Q386)-N(Q387)-Q379,0),"")</f>
      </c>
      <c r="R388" s="211">
        <f>IF(ISNUMBER(R379),ROUND(N(R380)+N(R381)+N(R382)+N(R383)+N(R384)-N(R385)-N(R386)-N(R387)-R379,0),"")</f>
      </c>
      <c r="S388" s="211">
        <f>IF(ISNUMBER(S379),ROUND(N(S380)+N(S381)+N(S382)+N(S383)+N(S384)-N(S385)-N(S386)-N(S387)-S379,0),"")</f>
      </c>
      <c r="T388" s="211">
        <f>IF(ISNUMBER(T379),ROUND(N(T380)+N(T381)+N(T382)+N(T383)+N(T384)-N(T385)-N(T386)-N(T387)-T379,0),"")</f>
      </c>
      <c r="U388" s="211">
        <f>IF(ISNUMBER(U379),ROUND(N(U380)+N(U381)+N(U382)+N(U383)+N(U384)-N(U385)-N(U386)-N(U387)-U379,0),"")</f>
      </c>
      <c r="V388" s="211">
        <f>IF(ISNUMBER(V379),ROUND(N(V380)+N(V381)+N(V382)+N(V383)+N(V384)-N(V385)-N(V386)-N(V387)-V379,0),"")</f>
      </c>
      <c r="W388" s="211">
        <f>IF(ISNUMBER(W379),ROUND(N(W380)+N(W381)+N(W382)+N(W383)+N(W384)-N(W385)-N(W386)-N(W387)-W379,0),"")</f>
      </c>
      <c r="X388" s="211">
        <f>IF(ISNUMBER(X379),ROUND(N(X380)+N(X381)+N(X382)+N(X383)+N(X384)-N(X385)-N(X386)-N(X387)-X379,0),"")</f>
      </c>
      <c r="Y388" s="211">
        <f>IF(ISNUMBER(Y379),ROUND(N(Y380)+N(Y381)+N(Y382)+N(Y383)+N(Y384)-N(Y385)-N(Y386)-N(Y387)-Y379,0),"")</f>
      </c>
      <c r="Z388" s="211">
        <f>IF(ISNUMBER(Z379),ROUND(N(Z380)+N(Z381)+N(Z382)+N(Z383)+N(Z384)-N(Z385)-N(Z386)-N(Z387)-Z379,0),"")</f>
      </c>
      <c r="AA388" s="211">
        <f>IF(ISNUMBER(AA379),ROUND(N(AA380)+N(AA381)+N(AA382)+N(AA383)+N(AA384)-N(AA385)-N(AA386)-N(AA387)-AA379,0),"")</f>
      </c>
      <c r="AB388" s="211">
        <f>IF(ISNUMBER(AB379),ROUND(N(AB380)+N(AB381)+N(AB382)+N(AB383)+N(AB384)-N(AB385)-N(AB386)-N(AB387)-AB379,0),"")</f>
      </c>
      <c r="AC388" s="211">
        <f>IF(ISNUMBER(AC379),ROUND(N(AC380)+N(AC381)+N(AC382)+N(AC383)+N(AC384)-N(AC385)-N(AC386)-N(AC387)-AC379,0),"")</f>
      </c>
      <c r="AD388" s="211">
        <f>IF(ISNUMBER(AD379),ROUND(N(AD380)+N(AD381)+N(AD382)+N(AD383)+N(AD384)-N(AD385)-N(AD386)-N(AD387)-AD379,0),"")</f>
      </c>
      <c r="AE388" s="211">
        <f>IF(ISNUMBER(AE379),ROUND(N(AE380)+N(AE381)+N(AE382)+N(AE383)+N(AE384)-N(AE385)-N(AE386)-N(AE387)-AE379,0),"")</f>
        <v>0</v>
      </c>
      <c r="AF388" s="211">
        <f>IF(ISNUMBER(AF379),ROUND(N(AF380)+N(AF381)+N(AF382)+N(AF383)+N(AF384)-N(AF385)-N(AF386)-N(AF387)-AF379,0),"")</f>
      </c>
      <c r="AG388" s="211">
        <f>IF(ISNUMBER(AG379),ROUND(N(AG380)+N(AG381)+N(AG382)+N(AG383)+N(AG384)-N(AG385)-N(AG386)-N(AG387)-AG379,0),"")</f>
      </c>
      <c r="AH388" s="211">
        <f>IF(ISNUMBER(AH379),ROUND(N(AH380)+N(AH381)+N(AH382)+N(AH383)+N(AH384)-N(AH385)-N(AH386)-N(AH387)-AH379,0),"")</f>
      </c>
      <c r="AI388" s="211">
        <f>IF(ISNUMBER(AI379),ROUND(N(AI380)+N(AI381)+N(AI382)+N(AI383)+N(AI384)-N(AI385)-N(AI386)-N(AI387)-AI379,0),"")</f>
      </c>
      <c r="AJ388" s="211">
        <f>IF(ISNUMBER(AJ379),ROUND(N(AJ380)+N(AJ381)+N(AJ382)+N(AJ383)+N(AJ384)-N(AJ385)-N(AJ386)-N(AJ387)-AJ379,0),"")</f>
      </c>
      <c r="AK388" s="211">
        <f>IF(ISNUMBER(AK379),ROUND(N(AK380)+N(AK381)+N(AK382)+N(AK383)+N(AK384)-N(AK385)-N(AK386)-N(AK387)-AK379,0),"")</f>
      </c>
      <c r="AL388" s="211">
        <f>IF(ISNUMBER(AL379),ROUND(N(AL380)+N(AL381)+N(AL382)+N(AL383)+N(AL384)-N(AL385)-N(AL386)-N(AL387)-AL379,0),"")</f>
      </c>
      <c r="AM388" s="211">
        <f>IF(ISNUMBER(AM379),ROUND(N(AM380)+N(AM381)+N(AM382)+N(AM383)+N(AM384)-N(AM385)-N(AM386)-N(AM387)-AM379,0),"")</f>
      </c>
      <c r="AN388" s="211">
        <f>IF(ISNUMBER(AN379),ROUND(N(AN380)+N(AN381)+N(AN382)+N(AN383)+N(AN384)-N(AN385)-N(AN386)-N(AN387)-AN379,0),"")</f>
      </c>
      <c r="AO388" s="211">
        <f>IF(ISNUMBER(AO379),ROUND(N(AO380)+N(AO381)+N(AO382)+N(AO383)+N(AO384)-N(AO385)-N(AO386)-N(AO387)-AO379,0),"")</f>
      </c>
      <c r="AP388" s="211">
        <f>IF(ISNUMBER(AP379),ROUND(N(AP380)+N(AP381)+N(AP382)+N(AP383)+N(AP384)-N(AP385)-N(AP386)-N(AP387)-AP379,0),"")</f>
      </c>
      <c r="AQ388" s="211">
        <f>IF(ISNUMBER(AQ379),ROUND(N(AQ380)+N(AQ381)+N(AQ382)+N(AQ383)+N(AQ384)-N(AQ385)-N(AQ386)-N(AQ387)-AQ379,0),"")</f>
      </c>
      <c r="AR388" s="211">
        <f>IF(ISNUMBER(AR379),ROUND(N(AR380)+N(AR381)+N(AR382)+N(AR383)+N(AR384)-N(AR385)-N(AR386)-N(AR387)-AR379,0),"")</f>
      </c>
      <c r="AS388" s="211">
        <f>IF(ISNUMBER(AS379),ROUND(N(AS380)+N(AS381)+N(AS382)+N(AS383)+N(AS384)-N(AS385)-N(AS386)-N(AS387)-AS379,0),"")</f>
      </c>
      <c r="AT388" s="211">
        <f>IF(ISNUMBER(AT379),ROUND(N(AT380)+N(AT381)+N(AT382)+N(AT383)+N(AT384)-N(AT385)-N(AT386)-N(AT387)-AT379,0),"")</f>
      </c>
      <c r="AU388" s="211">
        <f>IF(ISNUMBER(AU379),ROUND(N(AU380)+N(AU381)+N(AU382)+N(AU383)+N(AU384)-N(AU385)-N(AU386)-N(AU387)-AU379,0),"")</f>
      </c>
      <c r="AV388" s="211">
        <f>IF(ISNUMBER(AV379),ROUND(N(AV380)+N(AV381)+N(AV382)+N(AV383)+N(AV384)-N(AV385)-N(AV386)-N(AV387)-AV379,0),"")</f>
      </c>
      <c r="AW388" s="211">
        <f>IF(ISNUMBER(AW379),ROUND(N(AW380)+N(AW381)+N(AW382)+N(AW383)+N(AW384)-N(AW385)-N(AW386)-N(AW387)-AW379,0),"")</f>
      </c>
      <c r="AX388" s="211">
        <f>IF(ISNUMBER(AX379),ROUND(N(AX380)+N(AX381)+N(AX382)+N(AX383)+N(AX384)-N(AX385)-N(AX386)-N(AX387)-AX379,0),"")</f>
      </c>
      <c r="AY388" s="211">
        <f>IF(ISNUMBER(AY379),ROUND(N(AY380)+N(AY381)+N(AY382)+N(AY383)+N(AY384)-N(AY385)-N(AY386)-N(AY387)-AY379,0),"")</f>
      </c>
      <c r="AZ388" s="211">
        <f>IF(ISNUMBER(AZ379),ROUND(N(AZ380)+N(AZ381)+N(AZ382)+N(AZ383)+N(AZ384)-N(AZ385)-N(AZ386)-N(AZ387)-AZ379,0),"")</f>
      </c>
      <c r="BA388" s="211">
        <f>IF(ISNUMBER(BA379),ROUND(N(BA380)+N(BA381)+N(BA382)+N(BA383)+N(BA384)-N(BA385)-N(BA386)-N(BA387)-BA379,0),"")</f>
      </c>
      <c r="BB388" s="211">
        <f>IF(ISNUMBER(BB379),ROUND(N(BB380)+N(BB381)+N(BB382)+N(BB383)+N(BB384)-N(BB385)-N(BB386)-N(BB387)-BB379,0),"")</f>
      </c>
      <c r="BC388" s="211">
        <f>IF(ISNUMBER(BC379),ROUND(N(BC380)+N(BC381)+N(BC382)+N(BC383)+N(BC384)-N(BC385)-N(BC386)-N(BC387)-BC379,0),"")</f>
      </c>
      <c r="BD388" s="211">
        <f>IF(ISNUMBER(BD379),ROUND(N(BD380)+N(BD381)+N(BD382)+N(BD383)+N(BD384)-N(BD385)-N(BD386)-N(BD387)-BD379,0),"")</f>
      </c>
      <c r="BE388" s="211">
        <f>IF(ISNUMBER(BE379),ROUND(N(BE380)+N(BE381)+N(BE382)+N(BE383)+N(BE384)-N(BE385)-N(BE386)-N(BE387)-BE379,0),"")</f>
        <v>0</v>
      </c>
      <c r="BF388" s="211">
        <f>IF(ISNUMBER(BF379),ROUND(N(BF380)+N(BF381)+N(BF382)+N(BF383)+N(BF384)-N(BF385)-N(BF386)-N(BF387)-BF379,0),"")</f>
      </c>
      <c r="BG388" s="211">
        <f>IF(ISNUMBER(BG379),ROUND(N(BG380)+N(BG381)+N(BG382)+N(BG383)+N(BG384)-N(BG385)-N(BG386)-N(BG387)-BG379,0),"")</f>
      </c>
      <c r="BH388" s="211">
        <f>IF(ISNUMBER(BH379),ROUND(N(BH380)+N(BH381)+N(BH382)+N(BH383)+N(BH384)-N(BH385)-N(BH386)-N(BH387)-BH379,0),"")</f>
      </c>
      <c r="BI388" s="211">
        <f>IF(ISNUMBER(BI379),ROUND(N(BI380)+N(BI381)+N(BI382)+N(BI383)+N(BI384)-N(BI385)-N(BI386)-N(BI387)-BI379,0),"")</f>
      </c>
      <c r="BJ388" s="211">
        <f>IF(ISNUMBER(BJ379),ROUND(N(BJ380)+N(BJ381)+N(BJ382)+N(BJ383)+N(BJ384)-N(BJ385)-N(BJ386)-N(BJ387)-BJ379,0),"")</f>
      </c>
      <c r="BK388" s="211">
        <f>IF(ISNUMBER(BK379),ROUND(N(BK380)+N(BK381)+N(BK382)+N(BK383)+N(BK384)-N(BK385)-N(BK386)-N(BK387)-BK379,0),"")</f>
      </c>
      <c r="BL388" s="211">
        <f>IF(ISNUMBER(BL379),ROUND(N(BL380)+N(BL381)+N(BL382)+N(BL383)+N(BL384)-N(BL385)-N(BL386)-N(BL387)-BL379,0),"")</f>
      </c>
      <c r="BM388" s="211">
        <f>IF(ISNUMBER(BM379),ROUND(N(BM380)+N(BM381)+N(BM382)+N(BM383)+N(BM384)-N(BM385)-N(BM386)-N(BM387)-BM379,0),"")</f>
      </c>
      <c r="BN388" s="211">
        <f>IF(ISNUMBER(BN379),ROUND(N(BN380)+N(BN381)+N(BN382)+N(BN383)+N(BN384)-N(BN385)-N(BN386)-N(BN387)-BN379,0),"")</f>
        <v>0</v>
      </c>
      <c r="BO388" s="211">
        <f>IF(ISNUMBER(BO379),ROUND(N(BO380)+N(BO381)+N(BO382)+N(BO383)+N(BO384)-N(BO385)-N(BO386)-N(BO387)-BO379,0),"")</f>
      </c>
      <c r="BP388" s="211">
        <f>IF(ISNUMBER(BP379),ROUND(N(BP380)+N(BP381)+N(BP382)+N(BP383)+N(BP384)-N(BP385)-N(BP386)-N(BP387)-BP379,0),"")</f>
      </c>
      <c r="BQ388" s="211">
        <f>IF(ISNUMBER(BQ379),ROUND(N(BQ380)+N(BQ381)+N(BQ382)+N(BQ383)+N(BQ384)-N(BQ385)-N(BQ386)-N(BQ387)-BQ379,0),"")</f>
      </c>
      <c r="BR388" s="211">
        <f>IF(ISNUMBER(BR379),ROUND(N(BR380)+N(BR381)+N(BR382)+N(BR383)+N(BR384)-N(BR385)-N(BR386)-N(BR387)-BR379,0),"")</f>
      </c>
      <c r="BS388" s="211">
        <f>IF(ISNUMBER(BS379),ROUND(N(BS380)+N(BS381)+N(BS382)+N(BS383)+N(BS384)-N(BS385)-N(BS386)-N(BS387)-BS379,0),"")</f>
      </c>
      <c r="BT388" s="211">
        <f>IF(ISNUMBER(BT379),ROUND(N(BT380)+N(BT381)+N(BT382)+N(BT383)+N(BT384)-N(BT385)-N(BT386)-N(BT387)-BT379,0),"")</f>
      </c>
      <c r="BU388" s="211">
        <f>IF(ISNUMBER(BU379),ROUND(N(BU380)+N(BU381)+N(BU382)+N(BU383)+N(BU384)-N(BU385)-N(BU386)-N(BU387)-BU379,0),"")</f>
      </c>
      <c r="BV388" s="211">
        <f>IF(ISNUMBER(BV379),ROUND(N(BV380)+N(BV381)+N(BV382)+N(BV383)+N(BV384)-N(BV385)-N(BV386)-N(BV387)-BV379,0),"")</f>
      </c>
      <c r="BW388" s="211">
        <f>IF(ISNUMBER(BW379),ROUND(N(BW380)+N(BW381)+N(BW382)+N(BW383)+N(BW384)-N(BW385)-N(BW386)-N(BW387)-BW379,0),"")</f>
      </c>
      <c r="BX388" s="211">
        <f>IF(ISNUMBER(BX379),ROUND(N(BX380)+N(BX381)+N(BX382)+N(BX383)+N(BX384)-N(BX385)-N(BX386)-N(BX387)-BX379,0),"")</f>
      </c>
      <c r="BY388" s="211">
        <f>IF(ISNUMBER(BY379),ROUND(N(BY380)+N(BY381)+N(BY382)+N(BY383)+N(BY384)-N(BY385)-N(BY386)-N(BY387)-BY379,0),"")</f>
      </c>
      <c r="BZ388" s="211">
        <f>IF(ISNUMBER(BZ379),ROUND(N(BZ380)+N(BZ381)+N(BZ382)+N(BZ383)+N(BZ384)-N(BZ385)-N(BZ386)-N(BZ387)-BZ379,0),"")</f>
      </c>
      <c r="CA388" s="211">
        <f>IF(ISNUMBER(CA379),ROUND(N(CA380)+N(CA381)+N(CA382)+N(CA383)+N(CA384)-N(CA385)-N(CA386)-N(CA387)-CA379,0),"")</f>
      </c>
      <c r="CB388" s="153" t="n"/>
      <c r="CC388" s="153" t="n"/>
      <c r="CD388" s="153" t="n"/>
      <c r="CE388" s="153" t="n"/>
      <c r="CF388" s="153" t="n"/>
      <c r="CG388" s="153" t="n"/>
      <c r="CH388" s="153" t="n"/>
      <c r="CI388" s="153" t="n"/>
      <c r="CJ388" s="153" t="n"/>
      <c r="CK388" s="153" t="n"/>
    </row>
    <row r="389" ht="15" customHeight="1" s="251">
      <c r="B389" s="158" t="inlineStr">
        <is>
          <t xml:space="preserve">  Deal closed in the period</t>
        </is>
      </c>
      <c r="AE389" s="289" t="inlineStr">
        <is>
          <t>LinkedIn (closed 8-Dec-2016)</t>
        </is>
      </c>
      <c r="BE389" s="289" t="inlineStr">
        <is>
          <t>Nuance Communications (closed 4-Mar-2022)</t>
        </is>
      </c>
      <c r="BN389" s="289" t="inlineStr">
        <is>
          <t>Activision Blizzard (closed 13-Oct-2023)</t>
        </is>
      </c>
      <c r="CB389" s="153" t="n"/>
      <c r="CC389" s="153" t="n"/>
      <c r="CD389" s="153" t="n"/>
      <c r="CE389" s="153" t="n"/>
      <c r="CF389" s="153" t="n"/>
      <c r="CG389" s="153" t="n"/>
      <c r="CH389" s="153" t="n"/>
      <c r="CI389" s="153" t="n"/>
      <c r="CJ389" s="153" t="n"/>
      <c r="CK389" s="19" t="n"/>
    </row>
    <row r="390" ht="15" customHeight="1" s="251">
      <c r="B390" s="25" t="inlineStr">
        <is>
          <t>Share count &amp; pricing</t>
        </is>
      </c>
      <c r="CK390" s="153" t="n"/>
    </row>
    <row r="391" ht="15" customHeight="1" s="251">
      <c r="B391" s="69" t="inlineStr">
        <is>
          <t xml:space="preserve">  Dilutive securities (m shares; stock awards)</t>
        </is>
      </c>
      <c r="C391" s="44" t="n"/>
      <c r="D391" s="44" t="n"/>
      <c r="E391" s="44" t="n"/>
      <c r="F391" s="44" t="n"/>
      <c r="G391" s="44" t="n"/>
      <c r="H391" s="44" t="n"/>
      <c r="I391" s="44" t="n"/>
      <c r="J391" s="44" t="n"/>
      <c r="K391" s="44" t="n"/>
      <c r="L391" s="44" t="n"/>
      <c r="M391" s="44" t="n"/>
      <c r="N391" s="44" t="n"/>
      <c r="O391" s="44" t="n"/>
      <c r="P391" s="44" t="n"/>
      <c r="Q391" s="44" t="n"/>
      <c r="R391" s="44" t="n"/>
      <c r="S391" s="44" t="n"/>
      <c r="T391" s="44" t="n"/>
      <c r="U391" s="44" t="n"/>
      <c r="V391" s="44" t="n"/>
      <c r="W391" s="44" t="n"/>
      <c r="X391" s="44" t="n"/>
      <c r="Y391" s="44" t="n"/>
      <c r="Z391" s="44" t="n"/>
      <c r="AA391" s="44" t="n"/>
      <c r="AB391" s="44" t="n"/>
      <c r="AC391" s="44" t="n"/>
      <c r="AD391" s="44" t="n"/>
      <c r="AE391" s="44" t="n"/>
      <c r="AF391" s="44" t="n"/>
      <c r="AG391" s="44" t="n"/>
      <c r="AH391" s="44" t="n"/>
      <c r="AI391" s="44" t="n"/>
      <c r="AJ391" s="44" t="n"/>
      <c r="AK391" s="44" t="n"/>
      <c r="AL391" s="44" t="n"/>
      <c r="AM391" s="44" t="n"/>
      <c r="AN391" s="44" t="n"/>
      <c r="AO391" s="44" t="n"/>
      <c r="AP391" s="44" t="n"/>
      <c r="AQ391" s="44" t="n"/>
      <c r="AR391" s="44" t="n"/>
      <c r="AS391" s="44" t="n"/>
      <c r="AT391" s="44" t="n"/>
      <c r="AU391" s="44" t="n"/>
      <c r="AV391" s="44" t="n"/>
      <c r="AW391" s="44" t="n"/>
      <c r="AX391" s="44" t="n"/>
      <c r="AY391" s="44" t="n"/>
      <c r="AZ391" s="44" t="n"/>
      <c r="BA391" s="44" t="n"/>
      <c r="BB391" s="44" t="n"/>
      <c r="BC391" s="44" t="n"/>
      <c r="BD391" s="44" t="n"/>
      <c r="BE391" s="44" t="n"/>
      <c r="BF391" s="44" t="n"/>
      <c r="BG391" s="44" t="n"/>
      <c r="BH391" s="44" t="n"/>
      <c r="BI391" s="44" t="n"/>
      <c r="BJ391" s="44" t="n"/>
      <c r="BK391" s="44" t="n"/>
      <c r="BL391" s="44" t="n"/>
      <c r="BM391" s="44" t="n"/>
      <c r="BN391" s="44" t="n"/>
      <c r="BO391" s="44" t="n"/>
      <c r="BP391" s="44" t="n"/>
      <c r="BQ391" s="44" t="n"/>
      <c r="BR391" s="44" t="n"/>
      <c r="BS391" s="44" t="n"/>
      <c r="BT391" s="44" t="n"/>
      <c r="BU391" s="44" t="n"/>
      <c r="BV391" s="44" t="n"/>
      <c r="BW391" s="44" t="n"/>
      <c r="BX391" s="44" t="n"/>
      <c r="BY391" s="44" t="n"/>
      <c r="BZ391" s="44" t="n"/>
      <c r="CA391" s="44" t="n"/>
      <c r="CB391" s="153" t="n"/>
      <c r="CC391" s="153" t="n"/>
      <c r="CD391" s="153" t="n"/>
      <c r="CE391" s="153" t="n"/>
      <c r="CF391" s="35" t="n"/>
      <c r="CG391" s="290" t="n">
        <v>24</v>
      </c>
      <c r="CH391" s="290" t="n">
        <v>24</v>
      </c>
      <c r="CI391" s="290" t="n">
        <v>24</v>
      </c>
      <c r="CJ391" s="290" t="n">
        <v>24</v>
      </c>
      <c r="CK391" s="19" t="inlineStr">
        <is>
          <t>FY2026: diluted 7,453m vs basic 7,429m.</t>
        </is>
      </c>
    </row>
    <row r="392" ht="15" customHeight="1" s="251">
      <c r="B392" s="69" t="inlineStr">
        <is>
          <t xml:space="preserve">  Share-price appreciation % (buyback pricing)</t>
        </is>
      </c>
      <c r="C392" s="44" t="n"/>
      <c r="D392" s="44" t="n"/>
      <c r="E392" s="44" t="n"/>
      <c r="F392" s="44" t="n"/>
      <c r="G392" s="44" t="n"/>
      <c r="H392" s="44" t="n"/>
      <c r="I392" s="44" t="n"/>
      <c r="J392" s="44" t="n"/>
      <c r="K392" s="44" t="n"/>
      <c r="L392" s="44" t="n"/>
      <c r="M392" s="44" t="n"/>
      <c r="N392" s="44" t="n"/>
      <c r="O392" s="44" t="n"/>
      <c r="P392" s="44" t="n"/>
      <c r="Q392" s="44" t="n"/>
      <c r="R392" s="44" t="n"/>
      <c r="S392" s="44" t="n"/>
      <c r="T392" s="44" t="n"/>
      <c r="U392" s="44" t="n"/>
      <c r="V392" s="44" t="n"/>
      <c r="W392" s="44" t="n"/>
      <c r="X392" s="44" t="n"/>
      <c r="Y392" s="44" t="n"/>
      <c r="Z392" s="44" t="n"/>
      <c r="AA392" s="44" t="n"/>
      <c r="AB392" s="44" t="n"/>
      <c r="AC392" s="44" t="n"/>
      <c r="AD392" s="44" t="n"/>
      <c r="AE392" s="44" t="n"/>
      <c r="AF392" s="44" t="n"/>
      <c r="AG392" s="44" t="n"/>
      <c r="AH392" s="44" t="n"/>
      <c r="AI392" s="44" t="n"/>
      <c r="AJ392" s="44" t="n"/>
      <c r="AK392" s="44" t="n"/>
      <c r="AL392" s="44" t="n"/>
      <c r="AM392" s="44" t="n"/>
      <c r="AN392" s="44" t="n"/>
      <c r="AO392" s="44" t="n"/>
      <c r="AP392" s="44" t="n"/>
      <c r="AQ392" s="44" t="n"/>
      <c r="AR392" s="44" t="n"/>
      <c r="AS392" s="44" t="n"/>
      <c r="AT392" s="44" t="n"/>
      <c r="AU392" s="44" t="n"/>
      <c r="AV392" s="44" t="n"/>
      <c r="AW392" s="44" t="n"/>
      <c r="AX392" s="44" t="n"/>
      <c r="AY392" s="44" t="n"/>
      <c r="AZ392" s="44" t="n"/>
      <c r="BA392" s="44" t="n"/>
      <c r="BB392" s="44" t="n"/>
      <c r="BC392" s="44" t="n"/>
      <c r="BD392" s="44" t="n"/>
      <c r="BE392" s="44" t="n"/>
      <c r="BF392" s="44" t="n"/>
      <c r="BG392" s="44" t="n"/>
      <c r="BH392" s="44" t="n"/>
      <c r="BI392" s="44" t="n"/>
      <c r="BJ392" s="44" t="n"/>
      <c r="BK392" s="44" t="n"/>
      <c r="BL392" s="44" t="n"/>
      <c r="BM392" s="44" t="n"/>
      <c r="BN392" s="44" t="n"/>
      <c r="BO392" s="44" t="n"/>
      <c r="BP392" s="44" t="n"/>
      <c r="BQ392" s="44" t="n"/>
      <c r="BR392" s="44" t="n"/>
      <c r="BS392" s="44" t="n"/>
      <c r="BT392" s="44" t="n"/>
      <c r="BU392" s="44" t="n"/>
      <c r="BV392" s="44" t="n"/>
      <c r="BW392" s="44" t="n"/>
      <c r="BX392" s="44" t="n"/>
      <c r="BY392" s="44" t="n"/>
      <c r="BZ392" s="44" t="n"/>
      <c r="CA392" s="44" t="n"/>
      <c r="CB392" s="153" t="n"/>
      <c r="CC392" s="153" t="n"/>
      <c r="CD392" s="153" t="n"/>
      <c r="CE392" s="153" t="n"/>
      <c r="CF392" s="35" t="n"/>
      <c r="CG392" s="264" t="n">
        <v>0.08</v>
      </c>
      <c r="CH392" s="264" t="n">
        <v>0.08</v>
      </c>
      <c r="CI392" s="264" t="n">
        <v>0.08</v>
      </c>
      <c r="CJ392" s="264" t="n">
        <v>0.08</v>
      </c>
      <c r="CK392" s="19" t="n"/>
    </row>
    <row r="393" ht="15" customHeight="1" s="251">
      <c r="B393" s="25" t="inlineStr">
        <is>
          <t>Debt schedule (senior notes repaid at maturity at face; short-term borrowing drawn / repaid to a minimum liquidity balance)</t>
        </is>
      </c>
      <c r="CK393" s="153" t="n"/>
    </row>
    <row r="394" ht="15" customHeight="1" s="251">
      <c r="B394" s="69" t="inlineStr">
        <is>
          <t xml:space="preserve">  Total debt (short-term + current portion + long-term; carrying value)</t>
        </is>
      </c>
      <c r="C394" s="211">
        <f>IF(ISNUMBER(C356),N(C352)+C356,"")</f>
        <v>0</v>
      </c>
      <c r="D394" s="211">
        <f>IF(ISNUMBER(D356),N(D352)+D356,"")</f>
        <v>0</v>
      </c>
      <c r="E394" s="211">
        <f>IF(ISNUMBER(E356),N(E352)+E356,"")</f>
        <v>0</v>
      </c>
      <c r="F394" s="211">
        <f>IF(ISNUMBER(F356),N(F352)+F356,"")</f>
        <v>5746</v>
      </c>
      <c r="G394" s="211">
        <f>IF(ISNUMBER(G356),N(G352)+G356,"")</f>
        <v>5939</v>
      </c>
      <c r="H394" s="211">
        <f>IF(ISNUMBER(H356),N(H352)+H356,"")</f>
        <v>11921</v>
      </c>
      <c r="I394" s="211">
        <f>IF(ISNUMBER(I356),N(I352)+I356,"")</f>
        <v>11944</v>
      </c>
      <c r="J394" s="211">
        <f>IF(ISNUMBER(J356),N(J352)+J356,"")</f>
        <v>11950</v>
      </c>
      <c r="K394" s="211">
        <f>IF(ISNUMBER(K356),N(K352)+K356,"")</f>
        <v>14188</v>
      </c>
      <c r="L394" s="211">
        <f>IF(ISNUMBER(L356),N(L352)+L356,"")</f>
        <v>14195</v>
      </c>
      <c r="M394" s="211">
        <f>IF(ISNUMBER(M356),N(M352)+M356,"")</f>
        <v>15600</v>
      </c>
      <c r="N394" s="211">
        <f>IF(ISNUMBER(N356),N(N352)+N356,"")</f>
        <v>15600</v>
      </c>
      <c r="O394" s="211">
        <f>IF(ISNUMBER(O356),N(O352)+O356,"")</f>
        <v>15932</v>
      </c>
      <c r="P394" s="211">
        <f>IF(ISNUMBER(P356),N(P352)+P356,"")</f>
        <v>22976</v>
      </c>
      <c r="Q394" s="211">
        <f>IF(ISNUMBER(Q356),N(Q352)+Q356,"")</f>
        <v>22679</v>
      </c>
      <c r="R394" s="211">
        <f>IF(ISNUMBER(R356),N(R352)+R356,"")</f>
        <v>22645</v>
      </c>
      <c r="S394" s="211">
        <f>IF(ISNUMBER(S356),N(S352)+S356,"")</f>
        <v>22645</v>
      </c>
      <c r="T394" s="211">
        <f>IF(ISNUMBER(T356),N(T352)+T356,"")</f>
        <v>23720</v>
      </c>
      <c r="U394" s="211">
        <f>IF(ISNUMBER(U356),N(U352)+U356,"")</f>
        <v>28308</v>
      </c>
      <c r="V394" s="211">
        <f>IF(ISNUMBER(V356),N(V352)+V356,"")</f>
        <v>31868</v>
      </c>
      <c r="W394" s="211">
        <f>IF(ISNUMBER(W356),N(W352)+W356,"")</f>
        <v>35292</v>
      </c>
      <c r="X394" s="211">
        <f>IF(ISNUMBER(X356),N(X352)+X356,"")</f>
        <v>35292</v>
      </c>
      <c r="Y394" s="211">
        <f>IF(ISNUMBER(Y356),N(Y352)+Y356,"")</f>
        <v>38567</v>
      </c>
      <c r="Z394" s="211">
        <f>IF(ISNUMBER(Z356),N(Z352)+Z356,"")</f>
        <v>44429</v>
      </c>
      <c r="AA394" s="211">
        <f>IF(ISNUMBER(AA356),N(AA352)+AA356,"")</f>
        <v>46394</v>
      </c>
      <c r="AB394" s="211">
        <f>IF(ISNUMBER(AB356),N(AB352)+AB356,"")</f>
        <v>53687</v>
      </c>
      <c r="AC394" s="211">
        <f>IF(ISNUMBER(AC356),N(AC352)+AC356,"")</f>
        <v>53687</v>
      </c>
      <c r="AD394" s="211">
        <f>IF(ISNUMBER(AD356),N(AD352)+AD356,"")</f>
        <v>74690</v>
      </c>
      <c r="AE394" s="211">
        <f>IF(ISNUMBER(AE356),N(AE352)+AE356,"")</f>
        <v>84970</v>
      </c>
      <c r="AF394" s="211">
        <f>IF(ISNUMBER(AF356),N(AF352)+AF356,"")</f>
        <v>84008</v>
      </c>
      <c r="AG394" s="211">
        <f>IF(ISNUMBER(AG356),N(AG352)+AG356,"")</f>
        <v>86194</v>
      </c>
      <c r="AH394" s="211">
        <f>IF(ISNUMBER(AH356),N(AH352)+AH356,"")</f>
        <v>86194</v>
      </c>
      <c r="AI394" s="211">
        <f>IF(ISNUMBER(AI356),N(AI352)+AI356,"")</f>
        <v>85475</v>
      </c>
      <c r="AJ394" s="211">
        <f>IF(ISNUMBER(AJ356),N(AJ352)+AJ356,"")</f>
        <v>89260</v>
      </c>
      <c r="AK394" s="211">
        <f>IF(ISNUMBER(AK356),N(AK352)+AK356,"")</f>
        <v>77157</v>
      </c>
      <c r="AL394" s="211">
        <f>IF(ISNUMBER(AL356),N(AL352)+AL356,"")</f>
        <v>76240</v>
      </c>
      <c r="AM394" s="211">
        <f>IF(ISNUMBER(AM356),N(AM352)+AM356,"")</f>
        <v>76240</v>
      </c>
      <c r="AN394" s="211">
        <f>IF(ISNUMBER(AN356),N(AN352)+AN356,"")</f>
        <v>76230</v>
      </c>
      <c r="AO394" s="211">
        <f>IF(ISNUMBER(AO356),N(AO352)+AO356,"")</f>
        <v>73169</v>
      </c>
      <c r="AP394" s="211">
        <f>IF(ISNUMBER(AP356),N(AP352)+AP356,"")</f>
        <v>73100</v>
      </c>
      <c r="AQ394" s="211">
        <f>IF(ISNUMBER(AQ356),N(AQ352)+AQ356,"")</f>
        <v>72178</v>
      </c>
      <c r="AR394" s="211">
        <f>IF(ISNUMBER(AR356),N(AR352)+AR356,"")</f>
        <v>72178</v>
      </c>
      <c r="AS394" s="211">
        <f>IF(ISNUMBER(AS356),N(AS352)+AS356,"")</f>
        <v>69495</v>
      </c>
      <c r="AT394" s="211">
        <f>IF(ISNUMBER(AT356),N(AT352)+AT356,"")</f>
        <v>69608</v>
      </c>
      <c r="AU394" s="211">
        <f>IF(ISNUMBER(AU356),N(AU352)+AU356,"")</f>
        <v>66610</v>
      </c>
      <c r="AV394" s="211">
        <f>IF(ISNUMBER(AV356),N(AV352)+AV356,"")</f>
        <v>63327</v>
      </c>
      <c r="AW394" s="211">
        <f>IF(ISNUMBER(AW356),N(AW352)+AW356,"")</f>
        <v>63327</v>
      </c>
      <c r="AX394" s="211">
        <f>IF(ISNUMBER(AX356),N(AX352)+AX356,"")</f>
        <v>63552</v>
      </c>
      <c r="AY394" s="211">
        <f>IF(ISNUMBER(AY356),N(AY352)+AY356,"")</f>
        <v>60523</v>
      </c>
      <c r="AZ394" s="211">
        <f>IF(ISNUMBER(AZ356),N(AZ352)+AZ356,"")</f>
        <v>58058</v>
      </c>
      <c r="BA394" s="211">
        <f>IF(ISNUMBER(BA356),N(BA352)+BA356,"")</f>
        <v>58146</v>
      </c>
      <c r="BB394" s="211">
        <f>IF(ISNUMBER(BB356),N(BB352)+BB356,"")</f>
        <v>58146</v>
      </c>
      <c r="BC394" s="211">
        <f>IF(ISNUMBER(BC356),N(BC352)+BC356,"")</f>
        <v>53288</v>
      </c>
      <c r="BD394" s="211">
        <f>IF(ISNUMBER(BD356),N(BD352)+BD356,"")</f>
        <v>53258</v>
      </c>
      <c r="BE394" s="211">
        <f>IF(ISNUMBER(BE356),N(BE352)+BE356,"")</f>
        <v>49926</v>
      </c>
      <c r="BF394" s="211">
        <f>IF(ISNUMBER(BF356),N(BF352)+BF356,"")</f>
        <v>49781</v>
      </c>
      <c r="BG394" s="211">
        <f>IF(ISNUMBER(BG356),N(BG352)+BG356,"")</f>
        <v>49781</v>
      </c>
      <c r="BH394" s="211">
        <f>IF(ISNUMBER(BH356),N(BH352)+BH356,"")</f>
        <v>48622</v>
      </c>
      <c r="BI394" s="211">
        <f>IF(ISNUMBER(BI356),N(BI352)+BI356,"")</f>
        <v>48116</v>
      </c>
      <c r="BJ394" s="211">
        <f>IF(ISNUMBER(BJ356),N(BJ352)+BJ356,"")</f>
        <v>48210</v>
      </c>
      <c r="BK394" s="211">
        <f>IF(ISNUMBER(BK356),N(BK352)+BK356,"")</f>
        <v>47237</v>
      </c>
      <c r="BL394" s="211">
        <f>IF(ISNUMBER(BL356),N(BL352)+BL356,"")</f>
        <v>47237</v>
      </c>
      <c r="BM394" s="211">
        <f>IF(ISNUMBER(BM356),N(BM352)+BM356,"")</f>
        <v>71502</v>
      </c>
      <c r="BN394" s="211">
        <f>IF(ISNUMBER(BN356),N(BN352)+BN356,"")</f>
        <v>74219</v>
      </c>
      <c r="BO394" s="211">
        <f>IF(ISNUMBER(BO356),N(BO352)+BO356,"")</f>
        <v>65442</v>
      </c>
      <c r="BP394" s="211">
        <f>IF(ISNUMBER(BP356),N(BP352)+BP356,"")</f>
        <v>51630</v>
      </c>
      <c r="BQ394" s="211">
        <f>IF(ISNUMBER(BQ356),N(BQ352)+BQ356,"")</f>
        <v>51630</v>
      </c>
      <c r="BR394" s="211">
        <f>IF(ISNUMBER(BR356),N(BR352)+BR356,"")</f>
        <v>45117</v>
      </c>
      <c r="BS394" s="211">
        <f>IF(ISNUMBER(BS356),N(BS352)+BS356,"")</f>
        <v>44970</v>
      </c>
      <c r="BT394" s="211">
        <f>IF(ISNUMBER(BT356),N(BT352)+BT356,"")</f>
        <v>42881</v>
      </c>
      <c r="BU394" s="211">
        <f>IF(ISNUMBER(BU356),N(BU352)+BU356,"")</f>
        <v>43151</v>
      </c>
      <c r="BV394" s="211">
        <f>IF(ISNUMBER(BV356),N(BV352)+BV356,"")</f>
        <v>43151</v>
      </c>
      <c r="BW394" s="211">
        <f>IF(ISNUMBER(BW356),N(BW352)+BW356,"")</f>
        <v>43208</v>
      </c>
      <c r="BX394" s="211">
        <f>IF(ISNUMBER(BX356),N(BX352)+BX356,"")</f>
        <v>40262</v>
      </c>
      <c r="BY394" s="211">
        <f>IF(ISNUMBER(BY356),N(BY352)+BY356,"")</f>
        <v>40262</v>
      </c>
      <c r="BZ394" s="211">
        <f>IF(ISNUMBER(BZ356),N(BZ352)+BZ356,"")</f>
        <v>40294</v>
      </c>
      <c r="CA394" s="211">
        <f>IF(ISNUMBER(CA356),N(CA352)+CA356,"")</f>
        <v>40294</v>
      </c>
      <c r="CB394" s="153" t="n"/>
      <c r="CC394" s="153" t="n"/>
      <c r="CD394" s="153" t="n"/>
      <c r="CE394" s="153" t="n"/>
      <c r="CF394" s="254">
        <f>CF395+CF398</f>
        <v>31044</v>
      </c>
      <c r="CG394" s="254">
        <f>CG395+CG398</f>
        <v>31044</v>
      </c>
      <c r="CH394" s="254">
        <f>CH395+CH398</f>
        <v>29043</v>
      </c>
      <c r="CI394" s="254">
        <f>CI395+CI398</f>
        <v>29043</v>
      </c>
      <c r="CJ394" s="254">
        <f>CJ395+CJ398</f>
        <v>28543</v>
      </c>
      <c r="CK394" s="19" t="inlineStr">
        <is>
          <t>Long-term debt at 30-Jun-2026: face value $46,136m, carrying value $40,294m (current $9,227m; long-term $31,067m); the difference is unamortized discount and fair-value adjustments (mainly the Activision Blizzard notes assumed in Oct-2023). Maturities (face): FY27 $9,250m, FY28 nil, FY29 $2,001m, FY30 nil, FY31 $500m, thereafter $34,385m. No commercial paper outstanding.</t>
        </is>
      </c>
    </row>
    <row r="395" ht="15" customHeight="1" s="251">
      <c r="B395" s="69" t="inlineStr">
        <is>
          <t xml:space="preserve">  Senior notes (carrying value)</t>
        </is>
      </c>
      <c r="C395" s="253" t="n">
        <v>0</v>
      </c>
      <c r="D395" s="253" t="n">
        <v>0</v>
      </c>
      <c r="E395" s="253" t="n">
        <v>0</v>
      </c>
      <c r="F395" s="253" t="n">
        <v>5746</v>
      </c>
      <c r="G395" s="253" t="n">
        <v>5939</v>
      </c>
      <c r="H395" s="253" t="n">
        <v>11921</v>
      </c>
      <c r="I395" s="253" t="n">
        <v>11944</v>
      </c>
      <c r="J395" s="253" t="n">
        <v>11950</v>
      </c>
      <c r="K395" s="253" t="n">
        <v>14188</v>
      </c>
      <c r="L395" s="253" t="n">
        <v>14195</v>
      </c>
      <c r="M395" s="253" t="n">
        <v>15600</v>
      </c>
      <c r="N395" s="253" t="n">
        <v>15600</v>
      </c>
      <c r="O395" s="253" t="n">
        <v>15932</v>
      </c>
      <c r="P395" s="253" t="n">
        <v>22976</v>
      </c>
      <c r="Q395" s="253" t="n">
        <v>22679</v>
      </c>
      <c r="R395" s="253" t="n">
        <v>22645</v>
      </c>
      <c r="S395" s="253" t="n">
        <v>22645</v>
      </c>
      <c r="T395" s="253" t="n">
        <v>23720</v>
      </c>
      <c r="U395" s="253" t="n">
        <v>28308</v>
      </c>
      <c r="V395" s="253" t="n">
        <v>31868</v>
      </c>
      <c r="W395" s="253" t="n">
        <v>35292</v>
      </c>
      <c r="X395" s="253" t="n">
        <v>35292</v>
      </c>
      <c r="Y395" s="253" t="n">
        <v>38567</v>
      </c>
      <c r="Z395" s="253" t="n">
        <v>44429</v>
      </c>
      <c r="AA395" s="253" t="n">
        <v>46394</v>
      </c>
      <c r="AB395" s="253" t="n">
        <v>53687</v>
      </c>
      <c r="AC395" s="253" t="n">
        <v>53687</v>
      </c>
      <c r="AD395" s="253" t="n">
        <v>74690</v>
      </c>
      <c r="AE395" s="253" t="n">
        <v>84970</v>
      </c>
      <c r="AF395" s="253" t="n">
        <v>84008</v>
      </c>
      <c r="AG395" s="253" t="n">
        <v>86194</v>
      </c>
      <c r="AH395" s="253" t="n">
        <v>86194</v>
      </c>
      <c r="AI395" s="253" t="n">
        <v>85475</v>
      </c>
      <c r="AJ395" s="253" t="n">
        <v>89260</v>
      </c>
      <c r="AK395" s="253" t="n">
        <v>77157</v>
      </c>
      <c r="AL395" s="253" t="n">
        <v>76240</v>
      </c>
      <c r="AM395" s="253" t="n">
        <v>76240</v>
      </c>
      <c r="AN395" s="253" t="n">
        <v>76230</v>
      </c>
      <c r="AO395" s="253" t="n">
        <v>73169</v>
      </c>
      <c r="AP395" s="253" t="n">
        <v>73100</v>
      </c>
      <c r="AQ395" s="253" t="n">
        <v>72178</v>
      </c>
      <c r="AR395" s="253" t="n">
        <v>72178</v>
      </c>
      <c r="AS395" s="253" t="n">
        <v>69495</v>
      </c>
      <c r="AT395" s="253" t="n">
        <v>69608</v>
      </c>
      <c r="AU395" s="253" t="n">
        <v>66610</v>
      </c>
      <c r="AV395" s="253" t="n">
        <v>63327</v>
      </c>
      <c r="AW395" s="253" t="n">
        <v>63327</v>
      </c>
      <c r="AX395" s="253" t="n">
        <v>63552</v>
      </c>
      <c r="AY395" s="253" t="n">
        <v>60523</v>
      </c>
      <c r="AZ395" s="253" t="n">
        <v>58058</v>
      </c>
      <c r="BA395" s="253" t="n">
        <v>58146</v>
      </c>
      <c r="BB395" s="253" t="n">
        <v>58146</v>
      </c>
      <c r="BC395" s="253" t="n">
        <v>53288</v>
      </c>
      <c r="BD395" s="253" t="n">
        <v>53258</v>
      </c>
      <c r="BE395" s="253" t="n">
        <v>49926</v>
      </c>
      <c r="BF395" s="253" t="n">
        <v>49781</v>
      </c>
      <c r="BG395" s="253" t="n">
        <v>49781</v>
      </c>
      <c r="BH395" s="253" t="n">
        <v>48622</v>
      </c>
      <c r="BI395" s="253" t="n">
        <v>48116</v>
      </c>
      <c r="BJ395" s="253" t="n">
        <v>48210</v>
      </c>
      <c r="BK395" s="253" t="n">
        <v>47237</v>
      </c>
      <c r="BL395" s="253" t="n">
        <v>47237</v>
      </c>
      <c r="BM395" s="253" t="n">
        <v>71502</v>
      </c>
      <c r="BN395" s="253" t="n">
        <v>74219</v>
      </c>
      <c r="BO395" s="253" t="n">
        <v>65442</v>
      </c>
      <c r="BP395" s="253" t="n">
        <v>51630</v>
      </c>
      <c r="BQ395" s="253" t="n">
        <v>51630</v>
      </c>
      <c r="BR395" s="253" t="n">
        <v>45117</v>
      </c>
      <c r="BS395" s="253" t="n">
        <v>44970</v>
      </c>
      <c r="BT395" s="253" t="n">
        <v>42881</v>
      </c>
      <c r="BU395" s="253" t="n">
        <v>43151</v>
      </c>
      <c r="BV395" s="253" t="n">
        <v>43151</v>
      </c>
      <c r="BW395" s="253" t="n">
        <v>43208</v>
      </c>
      <c r="BX395" s="253" t="n">
        <v>40262</v>
      </c>
      <c r="BY395" s="253" t="n">
        <v>40262</v>
      </c>
      <c r="BZ395" s="253" t="n">
        <v>40294</v>
      </c>
      <c r="CA395" s="253" t="n">
        <v>40294</v>
      </c>
      <c r="CB395" s="153" t="n"/>
      <c r="CC395" s="153" t="n"/>
      <c r="CD395" s="153" t="n"/>
      <c r="CE395" s="153" t="n"/>
      <c r="CF395" s="254">
        <f>CA395-CF396</f>
        <v>31044</v>
      </c>
      <c r="CG395" s="254">
        <f>CF395-CG396</f>
        <v>31044</v>
      </c>
      <c r="CH395" s="254">
        <f>CG395-CH396</f>
        <v>29043</v>
      </c>
      <c r="CI395" s="254">
        <f>CH395-CI396</f>
        <v>29043</v>
      </c>
      <c r="CJ395" s="254">
        <f>CI395-CJ396</f>
        <v>28543</v>
      </c>
      <c r="CK395" s="19" t="n"/>
    </row>
    <row r="396" ht="15" customHeight="1" s="251">
      <c r="B396" s="69" t="inlineStr">
        <is>
          <t xml:space="preserve">  Notes repaid at maturity (face; input)</t>
        </is>
      </c>
      <c r="C396" s="44" t="n"/>
      <c r="D396" s="44" t="n"/>
      <c r="E396" s="44" t="n"/>
      <c r="F396" s="44" t="n"/>
      <c r="G396" s="44" t="n"/>
      <c r="H396" s="44" t="n"/>
      <c r="I396" s="44" t="n"/>
      <c r="J396" s="44" t="n"/>
      <c r="K396" s="44" t="n"/>
      <c r="L396" s="44" t="n"/>
      <c r="M396" s="44" t="n"/>
      <c r="N396" s="44" t="n"/>
      <c r="O396" s="44" t="n"/>
      <c r="P396" s="44" t="n"/>
      <c r="Q396" s="44" t="n"/>
      <c r="R396" s="44" t="n"/>
      <c r="S396" s="44" t="n"/>
      <c r="T396" s="44" t="n"/>
      <c r="U396" s="44" t="n"/>
      <c r="V396" s="44" t="n"/>
      <c r="W396" s="44" t="n"/>
      <c r="X396" s="44" t="n"/>
      <c r="Y396" s="44" t="n"/>
      <c r="Z396" s="44" t="n"/>
      <c r="AA396" s="44" t="n"/>
      <c r="AB396" s="44" t="n"/>
      <c r="AC396" s="44" t="n"/>
      <c r="AD396" s="44" t="n"/>
      <c r="AE396" s="44" t="n"/>
      <c r="AF396" s="44" t="n"/>
      <c r="AG396" s="44" t="n"/>
      <c r="AH396" s="44" t="n"/>
      <c r="AI396" s="44" t="n"/>
      <c r="AJ396" s="44" t="n"/>
      <c r="AK396" s="44" t="n"/>
      <c r="AL396" s="44" t="n"/>
      <c r="AM396" s="44" t="n"/>
      <c r="AN396" s="44" t="n"/>
      <c r="AO396" s="44" t="n"/>
      <c r="AP396" s="44" t="n"/>
      <c r="AQ396" s="44" t="n"/>
      <c r="AR396" s="44" t="n"/>
      <c r="AS396" s="44" t="n"/>
      <c r="AT396" s="44" t="n"/>
      <c r="AU396" s="44" t="n"/>
      <c r="AV396" s="44" t="n"/>
      <c r="AW396" s="44" t="n"/>
      <c r="AX396" s="44" t="n"/>
      <c r="AY396" s="44" t="n"/>
      <c r="AZ396" s="44" t="n"/>
      <c r="BA396" s="44" t="n"/>
      <c r="BB396" s="44" t="n"/>
      <c r="BC396" s="44" t="n"/>
      <c r="BD396" s="44" t="n"/>
      <c r="BE396" s="44" t="n"/>
      <c r="BF396" s="44" t="n"/>
      <c r="BG396" s="44" t="n"/>
      <c r="BH396" s="44" t="n"/>
      <c r="BI396" s="44" t="n"/>
      <c r="BJ396" s="44" t="n"/>
      <c r="BK396" s="44" t="n"/>
      <c r="BL396" s="44" t="n"/>
      <c r="BM396" s="44" t="n"/>
      <c r="BN396" s="44" t="n"/>
      <c r="BO396" s="44" t="n"/>
      <c r="BP396" s="44" t="n"/>
      <c r="BQ396" s="44" t="n"/>
      <c r="BR396" s="44" t="n"/>
      <c r="BS396" s="44" t="n"/>
      <c r="BT396" s="44" t="n"/>
      <c r="BU396" s="44" t="n"/>
      <c r="BV396" s="44" t="n"/>
      <c r="BW396" s="44" t="n"/>
      <c r="BX396" s="44" t="n"/>
      <c r="BY396" s="44" t="n"/>
      <c r="BZ396" s="44" t="n"/>
      <c r="CA396" s="44" t="n"/>
      <c r="CB396" s="153" t="n"/>
      <c r="CC396" s="153" t="n"/>
      <c r="CD396" s="153" t="n"/>
      <c r="CE396" s="153" t="n"/>
      <c r="CF396" s="262" t="n">
        <v>9250</v>
      </c>
      <c r="CG396" s="262" t="n">
        <v>0</v>
      </c>
      <c r="CH396" s="262" t="n">
        <v>2001</v>
      </c>
      <c r="CI396" s="262" t="n">
        <v>0</v>
      </c>
      <c r="CJ396" s="262" t="n">
        <v>500</v>
      </c>
      <c r="CK396" s="19" t="inlineStr">
        <is>
          <t>10-K maturities (face): FY27 $9,250m, FY28 nil, FY29 $2,001m, FY30 nil, FY31 $500m, thereafter $34,385m. No refinancing assumed (net-cash balance sheet).</t>
        </is>
      </c>
    </row>
    <row r="397" ht="15" customHeight="1" s="251">
      <c r="B397" s="69" t="inlineStr">
        <is>
          <t xml:space="preserve">  Maturities in the following fiscal year (current portion)</t>
        </is>
      </c>
      <c r="C397" s="44" t="n"/>
      <c r="D397" s="44" t="n"/>
      <c r="E397" s="44" t="n"/>
      <c r="F397" s="44" t="n"/>
      <c r="G397" s="44" t="n"/>
      <c r="H397" s="44" t="n"/>
      <c r="I397" s="44" t="n"/>
      <c r="J397" s="44" t="n"/>
      <c r="K397" s="44" t="n"/>
      <c r="L397" s="44" t="n"/>
      <c r="M397" s="44" t="n"/>
      <c r="N397" s="44" t="n"/>
      <c r="O397" s="44" t="n"/>
      <c r="P397" s="44" t="n"/>
      <c r="Q397" s="44" t="n"/>
      <c r="R397" s="44" t="n"/>
      <c r="S397" s="44" t="n"/>
      <c r="T397" s="44" t="n"/>
      <c r="U397" s="44" t="n"/>
      <c r="V397" s="44" t="n"/>
      <c r="W397" s="44" t="n"/>
      <c r="X397" s="44" t="n"/>
      <c r="Y397" s="44" t="n"/>
      <c r="Z397" s="44" t="n"/>
      <c r="AA397" s="44" t="n"/>
      <c r="AB397" s="44" t="n"/>
      <c r="AC397" s="44" t="n"/>
      <c r="AD397" s="44" t="n"/>
      <c r="AE397" s="44" t="n"/>
      <c r="AF397" s="44" t="n"/>
      <c r="AG397" s="44" t="n"/>
      <c r="AH397" s="44" t="n"/>
      <c r="AI397" s="44" t="n"/>
      <c r="AJ397" s="44" t="n"/>
      <c r="AK397" s="44" t="n"/>
      <c r="AL397" s="44" t="n"/>
      <c r="AM397" s="44" t="n"/>
      <c r="AN397" s="44" t="n"/>
      <c r="AO397" s="44" t="n"/>
      <c r="AP397" s="44" t="n"/>
      <c r="AQ397" s="44" t="n"/>
      <c r="AR397" s="44" t="n"/>
      <c r="AS397" s="44" t="n"/>
      <c r="AT397" s="44" t="n"/>
      <c r="AU397" s="44" t="n"/>
      <c r="AV397" s="44" t="n"/>
      <c r="AW397" s="44" t="n"/>
      <c r="AX397" s="44" t="n"/>
      <c r="AY397" s="44" t="n"/>
      <c r="AZ397" s="44" t="n"/>
      <c r="BA397" s="44" t="n"/>
      <c r="BB397" s="44" t="n"/>
      <c r="BC397" s="44" t="n"/>
      <c r="BD397" s="44" t="n"/>
      <c r="BE397" s="44" t="n"/>
      <c r="BF397" s="44" t="n"/>
      <c r="BG397" s="44" t="n"/>
      <c r="BH397" s="44" t="n"/>
      <c r="BI397" s="44" t="n"/>
      <c r="BJ397" s="44" t="n"/>
      <c r="BK397" s="44" t="n"/>
      <c r="BL397" s="44" t="n"/>
      <c r="BM397" s="44" t="n"/>
      <c r="BN397" s="44" t="n"/>
      <c r="BO397" s="44" t="n"/>
      <c r="BP397" s="44" t="n"/>
      <c r="BQ397" s="44" t="n"/>
      <c r="BR397" s="44" t="n"/>
      <c r="BS397" s="44" t="n"/>
      <c r="BT397" s="44" t="n"/>
      <c r="BU397" s="44" t="n"/>
      <c r="BV397" s="44" t="n"/>
      <c r="BW397" s="44" t="n"/>
      <c r="BX397" s="44" t="n"/>
      <c r="BY397" s="44" t="n"/>
      <c r="BZ397" s="44" t="n"/>
      <c r="CA397" s="44" t="n"/>
      <c r="CB397" s="153" t="n"/>
      <c r="CC397" s="153" t="n"/>
      <c r="CD397" s="153" t="n"/>
      <c r="CE397" s="153" t="n"/>
      <c r="CF397" s="262" t="n">
        <v>0</v>
      </c>
      <c r="CG397" s="262" t="n">
        <v>2001</v>
      </c>
      <c r="CH397" s="262" t="n">
        <v>0</v>
      </c>
      <c r="CI397" s="262" t="n">
        <v>500</v>
      </c>
      <c r="CJ397" s="262" t="n">
        <v>0</v>
      </c>
      <c r="CK397" s="19" t="inlineStr">
        <is>
          <t>FY2031E: FY2032 maturities are not split out in the 10-K ("thereafter"); set to nil (assumption).</t>
        </is>
      </c>
    </row>
    <row r="398" ht="15" customHeight="1" s="251">
      <c r="B398" s="69" t="inlineStr">
        <is>
          <t xml:space="preserve">  Short-term borrowing / commercial paper (year end)</t>
        </is>
      </c>
      <c r="C398" s="44" t="n"/>
      <c r="D398" s="44" t="n"/>
      <c r="E398" s="44" t="n"/>
      <c r="F398" s="44" t="n"/>
      <c r="G398" s="44" t="n"/>
      <c r="H398" s="44" t="n"/>
      <c r="I398" s="44" t="n"/>
      <c r="J398" s="44" t="n"/>
      <c r="K398" s="44" t="n"/>
      <c r="L398" s="44" t="n"/>
      <c r="M398" s="44" t="n"/>
      <c r="N398" s="44" t="n"/>
      <c r="O398" s="44" t="n"/>
      <c r="P398" s="44" t="n"/>
      <c r="Q398" s="44" t="n"/>
      <c r="R398" s="44" t="n"/>
      <c r="S398" s="44" t="n"/>
      <c r="T398" s="44" t="n"/>
      <c r="U398" s="44" t="n"/>
      <c r="V398" s="44" t="n"/>
      <c r="W398" s="44" t="n"/>
      <c r="X398" s="44" t="n"/>
      <c r="Y398" s="44" t="n"/>
      <c r="Z398" s="44" t="n"/>
      <c r="AA398" s="44" t="n"/>
      <c r="AB398" s="44" t="n"/>
      <c r="AC398" s="44" t="n"/>
      <c r="AD398" s="44" t="n"/>
      <c r="AE398" s="44" t="n"/>
      <c r="AF398" s="44" t="n"/>
      <c r="AG398" s="44" t="n"/>
      <c r="AH398" s="44" t="n"/>
      <c r="AI398" s="44" t="n"/>
      <c r="AJ398" s="44" t="n"/>
      <c r="AK398" s="44" t="n"/>
      <c r="AL398" s="44" t="n"/>
      <c r="AM398" s="44" t="n"/>
      <c r="AN398" s="44" t="n"/>
      <c r="AO398" s="44" t="n"/>
      <c r="AP398" s="44" t="n"/>
      <c r="AQ398" s="44" t="n"/>
      <c r="AR398" s="44" t="n"/>
      <c r="AS398" s="44" t="n"/>
      <c r="AT398" s="44" t="n"/>
      <c r="AU398" s="44" t="n"/>
      <c r="AV398" s="44" t="n"/>
      <c r="AW398" s="44" t="n"/>
      <c r="AX398" s="44" t="n"/>
      <c r="AY398" s="44" t="n"/>
      <c r="AZ398" s="44" t="n"/>
      <c r="BA398" s="44" t="n"/>
      <c r="BB398" s="44" t="n"/>
      <c r="BC398" s="44" t="n"/>
      <c r="BD398" s="44" t="n"/>
      <c r="BE398" s="44" t="n"/>
      <c r="BF398" s="44" t="n"/>
      <c r="BG398" s="44" t="n"/>
      <c r="BH398" s="44" t="n"/>
      <c r="BI398" s="44" t="n"/>
      <c r="BJ398" s="44" t="n"/>
      <c r="BK398" s="44" t="n"/>
      <c r="BL398" s="44" t="n"/>
      <c r="BM398" s="44" t="n"/>
      <c r="BN398" s="44" t="n"/>
      <c r="BO398" s="44" t="n"/>
      <c r="BP398" s="44" t="n"/>
      <c r="BQ398" s="44" t="n"/>
      <c r="BR398" s="44" t="n"/>
      <c r="BS398" s="44" t="n"/>
      <c r="BT398" s="44" t="n"/>
      <c r="BU398" s="44" t="n"/>
      <c r="BV398" s="44" t="n"/>
      <c r="BW398" s="44" t="n"/>
      <c r="BX398" s="44" t="n"/>
      <c r="BY398" s="44" t="n"/>
      <c r="BZ398" s="44" t="n"/>
      <c r="CA398" s="211">
        <f>0</f>
        <v>0</v>
      </c>
      <c r="CB398" s="153" t="n"/>
      <c r="CC398" s="153" t="n"/>
      <c r="CD398" s="153" t="n"/>
      <c r="CE398" s="153" t="n"/>
      <c r="CF398" s="254">
        <f>MAX(0,CA398+CF412-(CF408-CF411))</f>
        <v>0</v>
      </c>
      <c r="CG398" s="254">
        <f>MAX(0,CF398+CG412-(CG408-CG411))</f>
        <v>0</v>
      </c>
      <c r="CH398" s="254">
        <f>MAX(0,CG398+CH412-(CH408-CH411))</f>
        <v>0</v>
      </c>
      <c r="CI398" s="254">
        <f>MAX(0,CH398+CI412-(CI408-CI411))</f>
        <v>0</v>
      </c>
      <c r="CJ398" s="254">
        <f>MAX(0,CI398+CJ412-(CJ408-CJ411))</f>
        <v>0</v>
      </c>
      <c r="CK398" s="19" t="inlineStr">
        <is>
          <t>Drawn when liquidity after the minimum buyback falls below the minimum liquidity balance; repaid from surplus. Nil at 30-Jun-2026.</t>
        </is>
      </c>
    </row>
    <row r="399" ht="15" customHeight="1" s="251">
      <c r="B399" s="69" t="inlineStr">
        <is>
          <t xml:space="preserve">  Interest rate on opening debt, net of capitalised interest %</t>
        </is>
      </c>
      <c r="C399" s="44" t="n"/>
      <c r="D399" s="44" t="n"/>
      <c r="E399" s="44" t="n"/>
      <c r="F399" s="44" t="n"/>
      <c r="G399" s="44" t="n"/>
      <c r="H399" s="44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  <c r="R399" s="44" t="n"/>
      <c r="S399" s="44" t="n"/>
      <c r="T399" s="44" t="n"/>
      <c r="U399" s="44" t="n"/>
      <c r="V399" s="44" t="n"/>
      <c r="W399" s="44" t="n"/>
      <c r="X399" s="44" t="n"/>
      <c r="Y399" s="44" t="n"/>
      <c r="Z399" s="44" t="n"/>
      <c r="AA399" s="44" t="n"/>
      <c r="AB399" s="44" t="n"/>
      <c r="AC399" s="44" t="n"/>
      <c r="AD399" s="44" t="n"/>
      <c r="AE399" s="44" t="n"/>
      <c r="AF399" s="44" t="n"/>
      <c r="AG399" s="44" t="n"/>
      <c r="AH399" s="44" t="n"/>
      <c r="AI399" s="44" t="n"/>
      <c r="AJ399" s="44" t="n"/>
      <c r="AK399" s="44" t="n"/>
      <c r="AL399" s="44" t="n"/>
      <c r="AM399" s="44" t="n"/>
      <c r="AN399" s="44" t="n"/>
      <c r="AO399" s="44" t="n"/>
      <c r="AP399" s="44" t="n"/>
      <c r="AQ399" s="44" t="n"/>
      <c r="AR399" s="44" t="n"/>
      <c r="AS399" s="44" t="n"/>
      <c r="AT399" s="44" t="n"/>
      <c r="AU399" s="44" t="n"/>
      <c r="AV399" s="44" t="n"/>
      <c r="AW399" s="44" t="n"/>
      <c r="AX399" s="44" t="n"/>
      <c r="AY399" s="44" t="n"/>
      <c r="AZ399" s="44" t="n"/>
      <c r="BA399" s="44" t="n"/>
      <c r="BB399" s="44" t="n"/>
      <c r="BC399" s="44" t="n"/>
      <c r="BD399" s="44" t="n"/>
      <c r="BE399" s="44" t="n"/>
      <c r="BF399" s="44" t="n"/>
      <c r="BG399" s="44" t="n"/>
      <c r="BH399" s="44" t="n"/>
      <c r="BI399" s="44" t="n"/>
      <c r="BJ399" s="44" t="n"/>
      <c r="BK399" s="44" t="n"/>
      <c r="BL399" s="44" t="n"/>
      <c r="BM399" s="44" t="n"/>
      <c r="BN399" s="44" t="n"/>
      <c r="BO399" s="44" t="n"/>
      <c r="BP399" s="44" t="n"/>
      <c r="BQ399" s="44" t="n"/>
      <c r="BR399" s="44" t="n"/>
      <c r="BS399" s="44" t="n"/>
      <c r="BT399" s="44" t="n"/>
      <c r="BU399" s="44" t="n"/>
      <c r="BV399" s="44" t="n"/>
      <c r="BW399" s="44" t="n"/>
      <c r="BX399" s="44" t="n"/>
      <c r="BY399" s="44" t="n"/>
      <c r="BZ399" s="44" t="n"/>
      <c r="CA399" s="44" t="n"/>
      <c r="CB399" s="153" t="n"/>
      <c r="CC399" s="153" t="n"/>
      <c r="CD399" s="153" t="n"/>
      <c r="CE399" s="153" t="n"/>
      <c r="CF399" s="35" t="n"/>
      <c r="CG399" s="264" t="n">
        <v>0.015</v>
      </c>
      <c r="CH399" s="264" t="n">
        <v>0.015</v>
      </c>
      <c r="CI399" s="264" t="n">
        <v>0.015</v>
      </c>
      <c r="CJ399" s="264" t="n">
        <v>0.015</v>
      </c>
      <c r="CK399" s="19" t="inlineStr">
        <is>
          <t>FY2026 interest expense $3,051m incl. $2,547m finance-lease interest → ~$0.5bn on ~$42bn of notes (~1.2%) after capitalised interest (datacenter construction). 1.5% input (assumption).</t>
        </is>
      </c>
    </row>
    <row r="400" ht="15" customHeight="1" s="251">
      <c r="B400" s="69" t="inlineStr">
        <is>
          <t xml:space="preserve">  Interest &amp; dividend yield on opening cash &amp; short-term investments %</t>
        </is>
      </c>
      <c r="C400" s="44" t="n"/>
      <c r="D400" s="44" t="n"/>
      <c r="E400" s="44" t="n"/>
      <c r="F400" s="44" t="n"/>
      <c r="G400" s="44" t="n"/>
      <c r="H400" s="44" t="n"/>
      <c r="I400" s="44" t="n"/>
      <c r="J400" s="44" t="n"/>
      <c r="K400" s="44" t="n"/>
      <c r="L400" s="44" t="n"/>
      <c r="M400" s="44" t="n"/>
      <c r="N400" s="44" t="n"/>
      <c r="O400" s="44" t="n"/>
      <c r="P400" s="44" t="n"/>
      <c r="Q400" s="44" t="n"/>
      <c r="R400" s="44" t="n"/>
      <c r="S400" s="44" t="n"/>
      <c r="T400" s="44" t="n"/>
      <c r="U400" s="44" t="n"/>
      <c r="V400" s="44" t="n"/>
      <c r="W400" s="44" t="n"/>
      <c r="X400" s="44" t="n"/>
      <c r="Y400" s="44" t="n"/>
      <c r="Z400" s="44" t="n"/>
      <c r="AA400" s="44" t="n"/>
      <c r="AB400" s="44" t="n"/>
      <c r="AC400" s="44" t="n"/>
      <c r="AD400" s="44" t="n"/>
      <c r="AE400" s="44" t="n"/>
      <c r="AF400" s="44" t="n"/>
      <c r="AG400" s="44" t="n"/>
      <c r="AH400" s="44" t="n"/>
      <c r="AI400" s="44" t="n"/>
      <c r="AJ400" s="44" t="n"/>
      <c r="AK400" s="44" t="n"/>
      <c r="AL400" s="44" t="n"/>
      <c r="AM400" s="44" t="n"/>
      <c r="AN400" s="44" t="n"/>
      <c r="AO400" s="44" t="n"/>
      <c r="AP400" s="44" t="n"/>
      <c r="AQ400" s="44" t="n"/>
      <c r="AR400" s="44" t="n"/>
      <c r="AS400" s="44" t="n"/>
      <c r="AT400" s="44" t="n"/>
      <c r="AU400" s="44" t="n"/>
      <c r="AV400" s="44" t="n"/>
      <c r="AW400" s="44" t="n"/>
      <c r="AX400" s="44" t="n"/>
      <c r="AY400" s="44" t="n"/>
      <c r="AZ400" s="44" t="n"/>
      <c r="BA400" s="44" t="n"/>
      <c r="BB400" s="44" t="n"/>
      <c r="BC400" s="44" t="n"/>
      <c r="BD400" s="44" t="n"/>
      <c r="BE400" s="44" t="n"/>
      <c r="BF400" s="44" t="n"/>
      <c r="BG400" s="44" t="n"/>
      <c r="BH400" s="44" t="n"/>
      <c r="BI400" s="44" t="n"/>
      <c r="BJ400" s="44" t="n"/>
      <c r="BK400" s="44" t="n"/>
      <c r="BL400" s="44" t="n"/>
      <c r="BM400" s="44" t="n"/>
      <c r="BN400" s="44" t="n"/>
      <c r="BO400" s="44" t="n"/>
      <c r="BP400" s="44" t="n"/>
      <c r="BQ400" s="44" t="n"/>
      <c r="BR400" s="44" t="n"/>
      <c r="BS400" s="44" t="n"/>
      <c r="BT400" s="44" t="n"/>
      <c r="BU400" s="44" t="n"/>
      <c r="BV400" s="44" t="n"/>
      <c r="BW400" s="44" t="n"/>
      <c r="BX400" s="44" t="n"/>
      <c r="BY400" s="44" t="n"/>
      <c r="BZ400" s="44" t="n"/>
      <c r="CA400" s="44" t="n"/>
      <c r="CB400" s="153" t="n"/>
      <c r="CC400" s="153" t="n"/>
      <c r="CD400" s="153" t="n"/>
      <c r="CE400" s="153" t="n"/>
      <c r="CF400" s="35" t="n"/>
      <c r="CG400" s="264" t="n">
        <v>0.035</v>
      </c>
      <c r="CH400" s="264" t="n">
        <v>0.035</v>
      </c>
      <c r="CI400" s="264" t="n">
        <v>0.035</v>
      </c>
      <c r="CJ400" s="264" t="n">
        <v>0.035</v>
      </c>
      <c r="CK400" s="19" t="inlineStr">
        <is>
          <t>FY2026 interest &amp; dividend income $3,301m on average cash &amp; short-term investments of ~$86bn (~3.9%). 3.5% input (assumption).</t>
        </is>
      </c>
    </row>
    <row r="401" ht="15" customHeight="1" s="251">
      <c r="B401" s="25" t="inlineStr">
        <is>
          <t>Finance leases (datacenters) — liabilities in other current / long-term liabilities</t>
        </is>
      </c>
      <c r="CK401" s="153" t="n"/>
    </row>
    <row r="402" ht="15" customHeight="1" s="251">
      <c r="B402" s="69" t="inlineStr">
        <is>
          <t xml:space="preserve">  Finance-lease liabilities (year end)</t>
        </is>
      </c>
      <c r="C402" s="44" t="n"/>
      <c r="D402" s="44" t="n"/>
      <c r="E402" s="44" t="n"/>
      <c r="F402" s="44" t="n"/>
      <c r="G402" s="44" t="n"/>
      <c r="H402" s="44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  <c r="R402" s="44" t="n"/>
      <c r="S402" s="44" t="n"/>
      <c r="T402" s="44" t="n"/>
      <c r="U402" s="44" t="n"/>
      <c r="V402" s="44" t="n"/>
      <c r="W402" s="44" t="n"/>
      <c r="X402" s="44" t="n"/>
      <c r="Y402" s="44" t="n"/>
      <c r="Z402" s="44" t="n"/>
      <c r="AA402" s="44" t="n"/>
      <c r="AB402" s="44" t="n"/>
      <c r="AC402" s="44" t="n"/>
      <c r="AD402" s="44" t="n"/>
      <c r="AE402" s="44" t="n"/>
      <c r="AF402" s="44" t="n"/>
      <c r="AG402" s="44" t="n"/>
      <c r="AH402" s="253" t="n">
        <v>2538</v>
      </c>
      <c r="AI402" s="44" t="n"/>
      <c r="AJ402" s="44" t="n"/>
      <c r="AK402" s="44" t="n"/>
      <c r="AL402" s="44" t="n"/>
      <c r="AM402" s="253" t="n">
        <v>4301</v>
      </c>
      <c r="AN402" s="44" t="n"/>
      <c r="AO402" s="44" t="n"/>
      <c r="AP402" s="44" t="n"/>
      <c r="AQ402" s="44" t="n"/>
      <c r="AR402" s="253" t="n">
        <v>6574</v>
      </c>
      <c r="AS402" s="44" t="n"/>
      <c r="AT402" s="44" t="n"/>
      <c r="AU402" s="44" t="n"/>
      <c r="AV402" s="44" t="n"/>
      <c r="AW402" s="253" t="n">
        <v>9496</v>
      </c>
      <c r="AX402" s="44" t="n"/>
      <c r="AY402" s="44" t="n"/>
      <c r="AZ402" s="44" t="n"/>
      <c r="BA402" s="44" t="n"/>
      <c r="BB402" s="253" t="n">
        <v>12541</v>
      </c>
      <c r="BC402" s="44" t="n"/>
      <c r="BD402" s="44" t="n"/>
      <c r="BE402" s="44" t="n"/>
      <c r="BF402" s="44" t="n"/>
      <c r="BG402" s="253" t="n">
        <v>14902</v>
      </c>
      <c r="BH402" s="44" t="n"/>
      <c r="BI402" s="44" t="n"/>
      <c r="BJ402" s="44" t="n"/>
      <c r="BK402" s="44" t="n"/>
      <c r="BL402" s="253" t="n">
        <v>17067</v>
      </c>
      <c r="BM402" s="44" t="n"/>
      <c r="BN402" s="44" t="n"/>
      <c r="BO402" s="44" t="n"/>
      <c r="BP402" s="44" t="n"/>
      <c r="BQ402" s="253" t="n">
        <v>27145</v>
      </c>
      <c r="BR402" s="44" t="n"/>
      <c r="BS402" s="44" t="n"/>
      <c r="BT402" s="44" t="n"/>
      <c r="BU402" s="44" t="n"/>
      <c r="BV402" s="253" t="n">
        <v>46172</v>
      </c>
      <c r="BW402" s="44" t="n"/>
      <c r="BX402" s="44" t="n"/>
      <c r="BY402" s="44" t="n"/>
      <c r="BZ402" s="44" t="n"/>
      <c r="CA402" s="253" t="n">
        <v>66594</v>
      </c>
      <c r="CB402" s="153" t="n"/>
      <c r="CC402" s="153" t="n"/>
      <c r="CD402" s="153" t="n"/>
      <c r="CE402" s="153" t="n"/>
      <c r="CF402" s="254">
        <f>CA402+CF168-CF403</f>
        <v>97132.202</v>
      </c>
      <c r="CG402" s="254">
        <f>CF402+CG168-CG403</f>
        <v>126487.627758236</v>
      </c>
      <c r="CH402" s="254">
        <f>CG402+CH168-CH403</f>
        <v>154894.005898577</v>
      </c>
      <c r="CI402" s="254">
        <f>CH402+CI168-CI403</f>
        <v>181226.719620586</v>
      </c>
      <c r="CJ402" s="254">
        <f>CI402+CJ168-CJ403</f>
        <v>206699.671212158</v>
      </c>
      <c r="CK402" s="19" t="inlineStr">
        <is>
          <t>Finance leases (primarily datacenters): liabilities $66,594m at 30-Jun-2026 ($4,290m current, $62,304m in other long-term liabilities), weighted-average discount rate 4.5%, remaining term 13 years; right-of-use assets obtained $24,608m in FY26; principal repaid $3,101m; interest $2,547m. Leases signed but not yet commenced are disclosed separately in Note 14.</t>
        </is>
      </c>
    </row>
    <row r="403" ht="15" customHeight="1" s="251">
      <c r="B403" s="69" t="inlineStr">
        <is>
          <t xml:space="preserve">  Finance-lease principal repaid</t>
        </is>
      </c>
      <c r="C403" s="44" t="n"/>
      <c r="D403" s="44" t="n"/>
      <c r="E403" s="44" t="n"/>
      <c r="F403" s="44" t="n"/>
      <c r="G403" s="44" t="n"/>
      <c r="H403" s="44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  <c r="R403" s="44" t="n"/>
      <c r="S403" s="44" t="n"/>
      <c r="T403" s="44" t="n"/>
      <c r="U403" s="44" t="n"/>
      <c r="V403" s="44" t="n"/>
      <c r="W403" s="44" t="n"/>
      <c r="X403" s="44" t="n"/>
      <c r="Y403" s="44" t="n"/>
      <c r="Z403" s="44" t="n"/>
      <c r="AA403" s="44" t="n"/>
      <c r="AB403" s="44" t="n"/>
      <c r="AC403" s="253" t="n">
        <v>6</v>
      </c>
      <c r="AD403" s="44" t="n"/>
      <c r="AE403" s="44" t="n"/>
      <c r="AF403" s="44" t="n"/>
      <c r="AG403" s="44" t="n"/>
      <c r="AH403" s="253" t="n">
        <v>46</v>
      </c>
      <c r="AI403" s="44" t="n"/>
      <c r="AJ403" s="44" t="n"/>
      <c r="AK403" s="44" t="n"/>
      <c r="AL403" s="44" t="n"/>
      <c r="AM403" s="253" t="n">
        <v>144</v>
      </c>
      <c r="AN403" s="44" t="n"/>
      <c r="AO403" s="44" t="n"/>
      <c r="AP403" s="44" t="n"/>
      <c r="AQ403" s="44" t="n"/>
      <c r="AR403" s="253" t="n">
        <v>221</v>
      </c>
      <c r="AS403" s="44" t="n"/>
      <c r="AT403" s="44" t="n"/>
      <c r="AU403" s="44" t="n"/>
      <c r="AV403" s="44" t="n"/>
      <c r="AW403" s="253" t="n">
        <v>409</v>
      </c>
      <c r="AX403" s="44" t="n"/>
      <c r="AY403" s="44" t="n"/>
      <c r="AZ403" s="44" t="n"/>
      <c r="BA403" s="44" t="n"/>
      <c r="BB403" s="253" t="n">
        <v>648</v>
      </c>
      <c r="BC403" s="44" t="n"/>
      <c r="BD403" s="44" t="n"/>
      <c r="BE403" s="44" t="n"/>
      <c r="BF403" s="44" t="n"/>
      <c r="BG403" s="253" t="n">
        <v>896</v>
      </c>
      <c r="BH403" s="44" t="n"/>
      <c r="BI403" s="44" t="n"/>
      <c r="BJ403" s="44" t="n"/>
      <c r="BK403" s="44" t="n"/>
      <c r="BL403" s="253" t="n">
        <v>1056</v>
      </c>
      <c r="BM403" s="44" t="n"/>
      <c r="BN403" s="44" t="n"/>
      <c r="BO403" s="44" t="n"/>
      <c r="BP403" s="44" t="n"/>
      <c r="BQ403" s="253" t="n">
        <v>1286</v>
      </c>
      <c r="BR403" s="44" t="n"/>
      <c r="BS403" s="44" t="n"/>
      <c r="BT403" s="44" t="n"/>
      <c r="BU403" s="44" t="n"/>
      <c r="BV403" s="253" t="n">
        <v>2283</v>
      </c>
      <c r="BW403" s="44" t="n"/>
      <c r="BX403" s="44" t="n"/>
      <c r="BY403" s="44" t="n"/>
      <c r="BZ403" s="44" t="n"/>
      <c r="CA403" s="253" t="n">
        <v>3101</v>
      </c>
      <c r="CB403" s="153" t="n"/>
      <c r="CC403" s="153" t="n"/>
      <c r="CD403" s="153" t="n"/>
      <c r="CE403" s="153" t="n"/>
      <c r="CF403" s="254">
        <f>CA402*CF404</f>
        <v>4461.798</v>
      </c>
      <c r="CG403" s="254">
        <f>CF402*CG404</f>
        <v>6507.857534</v>
      </c>
      <c r="CH403" s="254">
        <f>CG402*CH404</f>
        <v>8474.67105980178</v>
      </c>
      <c r="CI403" s="254">
        <f>CH402*CI404</f>
        <v>10377.8983952047</v>
      </c>
      <c r="CJ403" s="254">
        <f>CI402*CJ404</f>
        <v>12142.1902145793</v>
      </c>
      <c r="CK403" s="19" t="n"/>
    </row>
    <row r="404" ht="15" customHeight="1" s="251">
      <c r="B404" s="69" t="inlineStr">
        <is>
          <t xml:space="preserve">  Principal repaid ÷ opening liabilities %</t>
        </is>
      </c>
      <c r="C404" s="44" t="n"/>
      <c r="D404" s="215">
        <f>IF(AND(ISNUMBER(D403),ISNUMBER(C402)),IFERROR(D403/C402,""),"")</f>
      </c>
      <c r="E404" s="215">
        <f>IF(AND(ISNUMBER(E403),ISNUMBER(D402)),IFERROR(E403/D402,""),"")</f>
      </c>
      <c r="F404" s="215">
        <f>IF(AND(ISNUMBER(F403),ISNUMBER(E402)),IFERROR(F403/E402,""),"")</f>
      </c>
      <c r="G404" s="215">
        <f>IF(AND(ISNUMBER(G403),ISNUMBER(F402)),IFERROR(G403/F402,""),"")</f>
      </c>
      <c r="H404" s="215">
        <f>IF(AND(ISNUMBER(H403),ISNUMBER(G402)),IFERROR(H403/G402,""),"")</f>
      </c>
      <c r="I404" s="215">
        <f>IF(AND(ISNUMBER(I403),ISNUMBER(H402)),IFERROR(I403/H402,""),"")</f>
      </c>
      <c r="J404" s="44" t="n"/>
      <c r="K404" s="44" t="n"/>
      <c r="L404" s="44" t="n"/>
      <c r="M404" s="44" t="n"/>
      <c r="N404" s="215">
        <f>IF(AND(ISNUMBER(N403),ISNUMBER(I402)),IFERROR(N403/I402,""),"")</f>
      </c>
      <c r="O404" s="44" t="n"/>
      <c r="P404" s="44" t="n"/>
      <c r="Q404" s="44" t="n"/>
      <c r="R404" s="44" t="n"/>
      <c r="S404" s="215">
        <f>IF(AND(ISNUMBER(S403),ISNUMBER(N402)),IFERROR(S403/N402,""),"")</f>
      </c>
      <c r="T404" s="44" t="n"/>
      <c r="U404" s="44" t="n"/>
      <c r="V404" s="44" t="n"/>
      <c r="W404" s="44" t="n"/>
      <c r="X404" s="215">
        <f>IF(AND(ISNUMBER(X403),ISNUMBER(S402)),IFERROR(X403/S402,""),"")</f>
      </c>
      <c r="Y404" s="44" t="n"/>
      <c r="Z404" s="44" t="n"/>
      <c r="AA404" s="44" t="n"/>
      <c r="AB404" s="44" t="n"/>
      <c r="AC404" s="215">
        <f>IF(AND(ISNUMBER(AC403),ISNUMBER(X402)),IFERROR(AC403/X402,""),"")</f>
      </c>
      <c r="AD404" s="44" t="n"/>
      <c r="AE404" s="44" t="n"/>
      <c r="AF404" s="44" t="n"/>
      <c r="AG404" s="44" t="n"/>
      <c r="AH404" s="215">
        <f>IF(AND(ISNUMBER(AH403),ISNUMBER(AC402)),IFERROR(AH403/AC402,""),"")</f>
      </c>
      <c r="AI404" s="44" t="n"/>
      <c r="AJ404" s="44" t="n"/>
      <c r="AK404" s="44" t="n"/>
      <c r="AL404" s="44" t="n"/>
      <c r="AM404" s="215">
        <f>IF(AND(ISNUMBER(AM403),ISNUMBER(AH402)),IFERROR(AM403/AH402,""),"")</f>
        <v>0.0567375886524823</v>
      </c>
      <c r="AN404" s="44" t="n"/>
      <c r="AO404" s="44" t="n"/>
      <c r="AP404" s="44" t="n"/>
      <c r="AQ404" s="44" t="n"/>
      <c r="AR404" s="215">
        <f>IF(AND(ISNUMBER(AR403),ISNUMBER(AM402)),IFERROR(AR403/AM402,""),"")</f>
        <v>0.0513833992094862</v>
      </c>
      <c r="AS404" s="44" t="n"/>
      <c r="AT404" s="44" t="n"/>
      <c r="AU404" s="44" t="n"/>
      <c r="AV404" s="44" t="n"/>
      <c r="AW404" s="215">
        <f>IF(AND(ISNUMBER(AW403),ISNUMBER(AR402)),IFERROR(AW403/AR402,""),"")</f>
        <v>0.0622147855187101</v>
      </c>
      <c r="AX404" s="44" t="n"/>
      <c r="AY404" s="44" t="n"/>
      <c r="AZ404" s="44" t="n"/>
      <c r="BA404" s="44" t="n"/>
      <c r="BB404" s="215">
        <f>IF(AND(ISNUMBER(BB403),ISNUMBER(AW402)),IFERROR(BB403/AW402,""),"")</f>
        <v>0.0682392586352148</v>
      </c>
      <c r="BC404" s="44" t="n"/>
      <c r="BD404" s="44" t="n"/>
      <c r="BE404" s="44" t="n"/>
      <c r="BF404" s="44" t="n"/>
      <c r="BG404" s="215">
        <f>IF(AND(ISNUMBER(BG403),ISNUMBER(BB402)),IFERROR(BG403/BB402,""),"")</f>
        <v>0.0714456582409696</v>
      </c>
      <c r="BH404" s="44" t="n"/>
      <c r="BI404" s="44" t="n"/>
      <c r="BJ404" s="44" t="n"/>
      <c r="BK404" s="44" t="n"/>
      <c r="BL404" s="215">
        <f>IF(AND(ISNUMBER(BL403),ISNUMBER(BG402)),IFERROR(BL403/BG402,""),"")</f>
        <v>0.0708629714132331</v>
      </c>
      <c r="BM404" s="44" t="n"/>
      <c r="BN404" s="44" t="n"/>
      <c r="BO404" s="44" t="n"/>
      <c r="BP404" s="44" t="n"/>
      <c r="BQ404" s="215">
        <f>IF(AND(ISNUMBER(BQ403),ISNUMBER(BL402)),IFERROR(BQ403/BL402,""),"")</f>
        <v>0.0753500908185387</v>
      </c>
      <c r="BR404" s="44" t="n"/>
      <c r="BS404" s="44" t="n"/>
      <c r="BT404" s="44" t="n"/>
      <c r="BU404" s="44" t="n"/>
      <c r="BV404" s="215">
        <f>IF(AND(ISNUMBER(BV403),ISNUMBER(BQ402)),IFERROR(BV403/BQ402,""),"")</f>
        <v>0.0841038865352735</v>
      </c>
      <c r="BW404" s="44" t="n"/>
      <c r="BX404" s="44" t="n"/>
      <c r="BY404" s="44" t="n"/>
      <c r="BZ404" s="44" t="n"/>
      <c r="CA404" s="215">
        <f>IF(AND(ISNUMBER(CA403),ISNUMBER(BV402)),IFERROR(CA403/BV402,""),"")</f>
        <v>0.0671619163129169</v>
      </c>
      <c r="CB404" s="153" t="n"/>
      <c r="CC404" s="153" t="n"/>
      <c r="CD404" s="153" t="n"/>
      <c r="CE404" s="153" t="n"/>
      <c r="CF404" s="264" t="n">
        <v>0.067</v>
      </c>
      <c r="CG404" s="264" t="n">
        <v>0.067</v>
      </c>
      <c r="CH404" s="264" t="n">
        <v>0.067</v>
      </c>
      <c r="CI404" s="264" t="n">
        <v>0.067</v>
      </c>
      <c r="CJ404" s="264" t="n">
        <v>0.067</v>
      </c>
      <c r="CK404" s="19" t="inlineStr">
        <is>
          <t>FY2026 6.7% ($3,101m / $46,172m); FY2025 8.4%. Input.</t>
        </is>
      </c>
    </row>
    <row r="405" ht="15" customHeight="1" s="251">
      <c r="B405" s="69" t="inlineStr">
        <is>
          <t xml:space="preserve">  Finance-lease interest rate on opening liabilities %</t>
        </is>
      </c>
      <c r="C405" s="44" t="n"/>
      <c r="D405" s="44" t="n"/>
      <c r="E405" s="44" t="n"/>
      <c r="F405" s="44" t="n"/>
      <c r="G405" s="44" t="n"/>
      <c r="H405" s="44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  <c r="R405" s="44" t="n"/>
      <c r="S405" s="44" t="n"/>
      <c r="T405" s="44" t="n"/>
      <c r="U405" s="44" t="n"/>
      <c r="V405" s="44" t="n"/>
      <c r="W405" s="44" t="n"/>
      <c r="X405" s="44" t="n"/>
      <c r="Y405" s="44" t="n"/>
      <c r="Z405" s="44" t="n"/>
      <c r="AA405" s="44" t="n"/>
      <c r="AB405" s="44" t="n"/>
      <c r="AC405" s="44" t="n"/>
      <c r="AD405" s="44" t="n"/>
      <c r="AE405" s="44" t="n"/>
      <c r="AF405" s="44" t="n"/>
      <c r="AG405" s="44" t="n"/>
      <c r="AH405" s="44" t="n"/>
      <c r="AI405" s="44" t="n"/>
      <c r="AJ405" s="44" t="n"/>
      <c r="AK405" s="44" t="n"/>
      <c r="AL405" s="44" t="n"/>
      <c r="AM405" s="44" t="n"/>
      <c r="AN405" s="44" t="n"/>
      <c r="AO405" s="44" t="n"/>
      <c r="AP405" s="44" t="n"/>
      <c r="AQ405" s="44" t="n"/>
      <c r="AR405" s="44" t="n"/>
      <c r="AS405" s="44" t="n"/>
      <c r="AT405" s="44" t="n"/>
      <c r="AU405" s="44" t="n"/>
      <c r="AV405" s="44" t="n"/>
      <c r="AW405" s="44" t="n"/>
      <c r="AX405" s="44" t="n"/>
      <c r="AY405" s="44" t="n"/>
      <c r="AZ405" s="44" t="n"/>
      <c r="BA405" s="44" t="n"/>
      <c r="BB405" s="44" t="n"/>
      <c r="BC405" s="44" t="n"/>
      <c r="BD405" s="44" t="n"/>
      <c r="BE405" s="44" t="n"/>
      <c r="BF405" s="44" t="n"/>
      <c r="BG405" s="44" t="n"/>
      <c r="BH405" s="44" t="n"/>
      <c r="BI405" s="44" t="n"/>
      <c r="BJ405" s="44" t="n"/>
      <c r="BK405" s="44" t="n"/>
      <c r="BL405" s="44" t="n"/>
      <c r="BM405" s="44" t="n"/>
      <c r="BN405" s="44" t="n"/>
      <c r="BO405" s="44" t="n"/>
      <c r="BP405" s="44" t="n"/>
      <c r="BQ405" s="44" t="n"/>
      <c r="BR405" s="44" t="n"/>
      <c r="BS405" s="44" t="n"/>
      <c r="BT405" s="44" t="n"/>
      <c r="BU405" s="44" t="n"/>
      <c r="BV405" s="44" t="n"/>
      <c r="BW405" s="44" t="n"/>
      <c r="BX405" s="44" t="n"/>
      <c r="BY405" s="44" t="n"/>
      <c r="BZ405" s="44" t="n"/>
      <c r="CA405" s="44" t="n"/>
      <c r="CB405" s="153" t="n"/>
      <c r="CC405" s="153" t="n"/>
      <c r="CD405" s="153" t="n"/>
      <c r="CE405" s="153" t="n"/>
      <c r="CF405" s="35" t="n"/>
      <c r="CG405" s="264" t="n">
        <v>0.045</v>
      </c>
      <c r="CH405" s="264" t="n">
        <v>0.045</v>
      </c>
      <c r="CI405" s="264" t="n">
        <v>0.045</v>
      </c>
      <c r="CJ405" s="264" t="n">
        <v>0.045</v>
      </c>
      <c r="CK405" s="19" t="inlineStr">
        <is>
          <t>Weighted-average discount rate 4.5% (FY2026 10-K).</t>
        </is>
      </c>
    </row>
    <row r="406" ht="15" customHeight="1" s="251">
      <c r="B406" s="25" t="inlineStr">
        <is>
          <t>Liquidity-target buybacks (net-cash balance sheet: repurchases plug to a target cash &amp; short-term investment balance)</t>
        </is>
      </c>
      <c r="CK406" s="153" t="n"/>
    </row>
    <row r="407" ht="15" customHeight="1" s="251">
      <c r="B407" s="69" t="inlineStr">
        <is>
          <t xml:space="preserve">  Opening cash &amp; short-term investments</t>
        </is>
      </c>
      <c r="C407" s="44" t="n"/>
      <c r="D407" s="44" t="n"/>
      <c r="E407" s="44" t="n"/>
      <c r="F407" s="44" t="n"/>
      <c r="G407" s="44" t="n"/>
      <c r="H407" s="44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  <c r="R407" s="44" t="n"/>
      <c r="S407" s="44" t="n"/>
      <c r="T407" s="44" t="n"/>
      <c r="U407" s="44" t="n"/>
      <c r="V407" s="44" t="n"/>
      <c r="W407" s="44" t="n"/>
      <c r="X407" s="44" t="n"/>
      <c r="Y407" s="44" t="n"/>
      <c r="Z407" s="44" t="n"/>
      <c r="AA407" s="44" t="n"/>
      <c r="AB407" s="44" t="n"/>
      <c r="AC407" s="44" t="n"/>
      <c r="AD407" s="44" t="n"/>
      <c r="AE407" s="44" t="n"/>
      <c r="AF407" s="44" t="n"/>
      <c r="AG407" s="44" t="n"/>
      <c r="AH407" s="44" t="n"/>
      <c r="AI407" s="44" t="n"/>
      <c r="AJ407" s="44" t="n"/>
      <c r="AK407" s="44" t="n"/>
      <c r="AL407" s="44" t="n"/>
      <c r="AM407" s="44" t="n"/>
      <c r="AN407" s="44" t="n"/>
      <c r="AO407" s="44" t="n"/>
      <c r="AP407" s="44" t="n"/>
      <c r="AQ407" s="44" t="n"/>
      <c r="AR407" s="44" t="n"/>
      <c r="AS407" s="44" t="n"/>
      <c r="AT407" s="44" t="n"/>
      <c r="AU407" s="44" t="n"/>
      <c r="AV407" s="44" t="n"/>
      <c r="AW407" s="44" t="n"/>
      <c r="AX407" s="44" t="n"/>
      <c r="AY407" s="44" t="n"/>
      <c r="AZ407" s="44" t="n"/>
      <c r="BA407" s="44" t="n"/>
      <c r="BB407" s="44" t="n"/>
      <c r="BC407" s="44" t="n"/>
      <c r="BD407" s="44" t="n"/>
      <c r="BE407" s="44" t="n"/>
      <c r="BF407" s="44" t="n"/>
      <c r="BG407" s="44" t="n"/>
      <c r="BH407" s="44" t="n"/>
      <c r="BI407" s="44" t="n"/>
      <c r="BJ407" s="44" t="n"/>
      <c r="BK407" s="44" t="n"/>
      <c r="BL407" s="44" t="n"/>
      <c r="BM407" s="44" t="n"/>
      <c r="BN407" s="44" t="n"/>
      <c r="BO407" s="44" t="n"/>
      <c r="BP407" s="44" t="n"/>
      <c r="BQ407" s="44" t="n"/>
      <c r="BR407" s="44" t="n"/>
      <c r="BS407" s="44" t="n"/>
      <c r="BT407" s="44" t="n"/>
      <c r="BU407" s="44" t="n"/>
      <c r="BV407" s="44" t="n"/>
      <c r="BW407" s="44" t="n"/>
      <c r="BX407" s="44" t="n"/>
      <c r="BY407" s="44" t="n"/>
      <c r="BZ407" s="44" t="n"/>
      <c r="CA407" s="44" t="n"/>
      <c r="CB407" s="153" t="n"/>
      <c r="CC407" s="153" t="n"/>
      <c r="CD407" s="153" t="n"/>
      <c r="CE407" s="153" t="n"/>
      <c r="CF407" s="254">
        <f>CA338+CA339</f>
        <v>76843</v>
      </c>
      <c r="CG407" s="254">
        <f>CF338+CF339</f>
        <v>70000</v>
      </c>
      <c r="CH407" s="254">
        <f>CG338+CG339</f>
        <v>70000</v>
      </c>
      <c r="CI407" s="254">
        <f>CH338+CH339</f>
        <v>70000</v>
      </c>
      <c r="CJ407" s="254">
        <f>CI338+CI339</f>
        <v>70000</v>
      </c>
      <c r="CK407" s="19" t="n"/>
    </row>
    <row r="408" ht="15" customHeight="1" s="251">
      <c r="B408" s="69" t="inlineStr">
        <is>
          <t xml:space="preserve">  Liquidity before buybacks &amp; short-term borrowing (opening + CFO + CFI + dividends + stock issued + other financing + FX − notes repaid)</t>
        </is>
      </c>
      <c r="C408" s="44" t="n"/>
      <c r="D408" s="44" t="n"/>
      <c r="E408" s="44" t="n"/>
      <c r="F408" s="44" t="n"/>
      <c r="G408" s="44" t="n"/>
      <c r="H408" s="44" t="n"/>
      <c r="I408" s="44" t="n"/>
      <c r="J408" s="44" t="n"/>
      <c r="K408" s="44" t="n"/>
      <c r="L408" s="44" t="n"/>
      <c r="M408" s="44" t="n"/>
      <c r="N408" s="44" t="n"/>
      <c r="O408" s="44" t="n"/>
      <c r="P408" s="44" t="n"/>
      <c r="Q408" s="44" t="n"/>
      <c r="R408" s="44" t="n"/>
      <c r="S408" s="44" t="n"/>
      <c r="T408" s="44" t="n"/>
      <c r="U408" s="44" t="n"/>
      <c r="V408" s="44" t="n"/>
      <c r="W408" s="44" t="n"/>
      <c r="X408" s="44" t="n"/>
      <c r="Y408" s="44" t="n"/>
      <c r="Z408" s="44" t="n"/>
      <c r="AA408" s="44" t="n"/>
      <c r="AB408" s="44" t="n"/>
      <c r="AC408" s="44" t="n"/>
      <c r="AD408" s="44" t="n"/>
      <c r="AE408" s="44" t="n"/>
      <c r="AF408" s="44" t="n"/>
      <c r="AG408" s="44" t="n"/>
      <c r="AH408" s="44" t="n"/>
      <c r="AI408" s="44" t="n"/>
      <c r="AJ408" s="44" t="n"/>
      <c r="AK408" s="44" t="n"/>
      <c r="AL408" s="44" t="n"/>
      <c r="AM408" s="44" t="n"/>
      <c r="AN408" s="44" t="n"/>
      <c r="AO408" s="44" t="n"/>
      <c r="AP408" s="44" t="n"/>
      <c r="AQ408" s="44" t="n"/>
      <c r="AR408" s="44" t="n"/>
      <c r="AS408" s="44" t="n"/>
      <c r="AT408" s="44" t="n"/>
      <c r="AU408" s="44" t="n"/>
      <c r="AV408" s="44" t="n"/>
      <c r="AW408" s="44" t="n"/>
      <c r="AX408" s="44" t="n"/>
      <c r="AY408" s="44" t="n"/>
      <c r="AZ408" s="44" t="n"/>
      <c r="BA408" s="44" t="n"/>
      <c r="BB408" s="44" t="n"/>
      <c r="BC408" s="44" t="n"/>
      <c r="BD408" s="44" t="n"/>
      <c r="BE408" s="44" t="n"/>
      <c r="BF408" s="44" t="n"/>
      <c r="BG408" s="44" t="n"/>
      <c r="BH408" s="44" t="n"/>
      <c r="BI408" s="44" t="n"/>
      <c r="BJ408" s="44" t="n"/>
      <c r="BK408" s="44" t="n"/>
      <c r="BL408" s="44" t="n"/>
      <c r="BM408" s="44" t="n"/>
      <c r="BN408" s="44" t="n"/>
      <c r="BO408" s="44" t="n"/>
      <c r="BP408" s="44" t="n"/>
      <c r="BQ408" s="44" t="n"/>
      <c r="BR408" s="44" t="n"/>
      <c r="BS408" s="44" t="n"/>
      <c r="BT408" s="44" t="n"/>
      <c r="BU408" s="44" t="n"/>
      <c r="BV408" s="44" t="n"/>
      <c r="BW408" s="44" t="n"/>
      <c r="BX408" s="44" t="n"/>
      <c r="BY408" s="44" t="n"/>
      <c r="BZ408" s="44" t="n"/>
      <c r="CA408" s="44" t="n"/>
      <c r="CB408" s="153" t="n"/>
      <c r="CC408" s="153" t="n"/>
      <c r="CD408" s="153" t="n"/>
      <c r="CE408" s="153" t="n"/>
      <c r="CF408" s="254">
        <f>CF407+CF296+CF300+CF302+CF303+CF305+CF307-CF396</f>
        <v>91393.0642670554</v>
      </c>
      <c r="CG408" s="254">
        <f>CG407+CG296+CG300+CG302+CG303+CG305+CG307-CG396</f>
        <v>127251.144984095</v>
      </c>
      <c r="CH408" s="254">
        <f>CH407+CH296+CH300+CH302+CH303+CH305+CH307-CH396</f>
        <v>163974.252272799</v>
      </c>
      <c r="CI408" s="254">
        <f>CI407+CI296+CI300+CI302+CI303+CI305+CI307-CI396</f>
        <v>211500.833712265</v>
      </c>
      <c r="CJ408" s="254">
        <f>CJ407+CJ296+CJ300+CJ302+CJ303+CJ305+CJ307-CJ396</f>
        <v>248877.687325952</v>
      </c>
      <c r="CK408" s="19" t="n"/>
    </row>
    <row r="409" ht="15" customHeight="1" s="251">
      <c r="B409" s="69" t="inlineStr">
        <is>
          <t xml:space="preserve">  Target cash &amp; short-term investments (scenario)</t>
        </is>
      </c>
      <c r="C409" s="44" t="n"/>
      <c r="D409" s="44" t="n"/>
      <c r="E409" s="44" t="n"/>
      <c r="F409" s="44" t="n"/>
      <c r="G409" s="44" t="n"/>
      <c r="H409" s="44" t="n"/>
      <c r="I409" s="44" t="n"/>
      <c r="J409" s="44" t="n"/>
      <c r="K409" s="44" t="n"/>
      <c r="L409" s="44" t="n"/>
      <c r="M409" s="44" t="n"/>
      <c r="N409" s="44" t="n"/>
      <c r="O409" s="44" t="n"/>
      <c r="P409" s="44" t="n"/>
      <c r="Q409" s="44" t="n"/>
      <c r="R409" s="44" t="n"/>
      <c r="S409" s="44" t="n"/>
      <c r="T409" s="44" t="n"/>
      <c r="U409" s="44" t="n"/>
      <c r="V409" s="44" t="n"/>
      <c r="W409" s="44" t="n"/>
      <c r="X409" s="44" t="n"/>
      <c r="Y409" s="44" t="n"/>
      <c r="Z409" s="44" t="n"/>
      <c r="AA409" s="44" t="n"/>
      <c r="AB409" s="44" t="n"/>
      <c r="AC409" s="44" t="n"/>
      <c r="AD409" s="44" t="n"/>
      <c r="AE409" s="44" t="n"/>
      <c r="AF409" s="44" t="n"/>
      <c r="AG409" s="44" t="n"/>
      <c r="AH409" s="44" t="n"/>
      <c r="AI409" s="44" t="n"/>
      <c r="AJ409" s="44" t="n"/>
      <c r="AK409" s="44" t="n"/>
      <c r="AL409" s="44" t="n"/>
      <c r="AM409" s="44" t="n"/>
      <c r="AN409" s="44" t="n"/>
      <c r="AO409" s="44" t="n"/>
      <c r="AP409" s="44" t="n"/>
      <c r="AQ409" s="44" t="n"/>
      <c r="AR409" s="44" t="n"/>
      <c r="AS409" s="44" t="n"/>
      <c r="AT409" s="44" t="n"/>
      <c r="AU409" s="44" t="n"/>
      <c r="AV409" s="44" t="n"/>
      <c r="AW409" s="44" t="n"/>
      <c r="AX409" s="44" t="n"/>
      <c r="AY409" s="44" t="n"/>
      <c r="AZ409" s="44" t="n"/>
      <c r="BA409" s="44" t="n"/>
      <c r="BB409" s="44" t="n"/>
      <c r="BC409" s="44" t="n"/>
      <c r="BD409" s="44" t="n"/>
      <c r="BE409" s="44" t="n"/>
      <c r="BF409" s="44" t="n"/>
      <c r="BG409" s="44" t="n"/>
      <c r="BH409" s="44" t="n"/>
      <c r="BI409" s="44" t="n"/>
      <c r="BJ409" s="44" t="n"/>
      <c r="BK409" s="44" t="n"/>
      <c r="BL409" s="44" t="n"/>
      <c r="BM409" s="44" t="n"/>
      <c r="BN409" s="44" t="n"/>
      <c r="BO409" s="44" t="n"/>
      <c r="BP409" s="44" t="n"/>
      <c r="BQ409" s="44" t="n"/>
      <c r="BR409" s="44" t="n"/>
      <c r="BS409" s="44" t="n"/>
      <c r="BT409" s="44" t="n"/>
      <c r="BU409" s="44" t="n"/>
      <c r="BV409" s="44" t="n"/>
      <c r="BW409" s="44" t="n"/>
      <c r="BX409" s="44" t="n"/>
      <c r="BY409" s="44" t="n"/>
      <c r="BZ409" s="44" t="n"/>
      <c r="CA409" s="44" t="n"/>
      <c r="CB409" s="153" t="n"/>
      <c r="CC409" s="153" t="n"/>
      <c r="CD409" s="153" t="n"/>
      <c r="CE409" s="153" t="n"/>
      <c r="CF409" s="254">
        <f>CHOOSE(MATCH($CK$2,{"Bull","Base","Bear"},0),$CT$23,$CU$23,$CV$23)</f>
        <v>70000</v>
      </c>
      <c r="CG409" s="254">
        <f>CHOOSE(MATCH($CK$2,{"Bull","Base","Bear"},0),$CT$23,$CU$23,$CV$23)</f>
        <v>70000</v>
      </c>
      <c r="CH409" s="254">
        <f>CHOOSE(MATCH($CK$2,{"Bull","Base","Bear"},0),$CT$23,$CU$23,$CV$23)</f>
        <v>70000</v>
      </c>
      <c r="CI409" s="254">
        <f>CHOOSE(MATCH($CK$2,{"Bull","Base","Bear"},0),$CT$23,$CU$23,$CV$23)</f>
        <v>70000</v>
      </c>
      <c r="CJ409" s="254">
        <f>CHOOSE(MATCH($CK$2,{"Bull","Base","Bear"},0),$CT$23,$CU$23,$CV$23)</f>
        <v>70000</v>
      </c>
      <c r="CK409" s="19" t="inlineStr">
        <is>
          <t>Cash &amp; short-term investments $76.8bn at 30-Jun-2026 ($94.6bn a year earlier) against $40.3bn of debt and $66.6bn of finance leases. Surplus above the target is returned through buybacks ($40.6bn left on the $60bn program); Bull = lower target (more buybacks). Assumption.</t>
        </is>
      </c>
    </row>
    <row r="410" ht="15" customHeight="1" s="251">
      <c r="B410" s="69" t="inlineStr">
        <is>
          <t xml:space="preserve">  Minimum share repurchases (scenario)</t>
        </is>
      </c>
      <c r="C410" s="44" t="n"/>
      <c r="D410" s="44" t="n"/>
      <c r="E410" s="44" t="n"/>
      <c r="F410" s="44" t="n"/>
      <c r="G410" s="44" t="n"/>
      <c r="H410" s="44" t="n"/>
      <c r="I410" s="44" t="n"/>
      <c r="J410" s="44" t="n"/>
      <c r="K410" s="44" t="n"/>
      <c r="L410" s="44" t="n"/>
      <c r="M410" s="44" t="n"/>
      <c r="N410" s="44" t="n"/>
      <c r="O410" s="44" t="n"/>
      <c r="P410" s="44" t="n"/>
      <c r="Q410" s="44" t="n"/>
      <c r="R410" s="44" t="n"/>
      <c r="S410" s="44" t="n"/>
      <c r="T410" s="44" t="n"/>
      <c r="U410" s="44" t="n"/>
      <c r="V410" s="44" t="n"/>
      <c r="W410" s="44" t="n"/>
      <c r="X410" s="44" t="n"/>
      <c r="Y410" s="44" t="n"/>
      <c r="Z410" s="44" t="n"/>
      <c r="AA410" s="44" t="n"/>
      <c r="AB410" s="44" t="n"/>
      <c r="AC410" s="44" t="n"/>
      <c r="AD410" s="44" t="n"/>
      <c r="AE410" s="44" t="n"/>
      <c r="AF410" s="44" t="n"/>
      <c r="AG410" s="44" t="n"/>
      <c r="AH410" s="44" t="n"/>
      <c r="AI410" s="44" t="n"/>
      <c r="AJ410" s="44" t="n"/>
      <c r="AK410" s="44" t="n"/>
      <c r="AL410" s="44" t="n"/>
      <c r="AM410" s="44" t="n"/>
      <c r="AN410" s="44" t="n"/>
      <c r="AO410" s="44" t="n"/>
      <c r="AP410" s="44" t="n"/>
      <c r="AQ410" s="44" t="n"/>
      <c r="AR410" s="44" t="n"/>
      <c r="AS410" s="44" t="n"/>
      <c r="AT410" s="44" t="n"/>
      <c r="AU410" s="44" t="n"/>
      <c r="AV410" s="44" t="n"/>
      <c r="AW410" s="44" t="n"/>
      <c r="AX410" s="44" t="n"/>
      <c r="AY410" s="44" t="n"/>
      <c r="AZ410" s="44" t="n"/>
      <c r="BA410" s="44" t="n"/>
      <c r="BB410" s="44" t="n"/>
      <c r="BC410" s="44" t="n"/>
      <c r="BD410" s="44" t="n"/>
      <c r="BE410" s="44" t="n"/>
      <c r="BF410" s="44" t="n"/>
      <c r="BG410" s="44" t="n"/>
      <c r="BH410" s="44" t="n"/>
      <c r="BI410" s="44" t="n"/>
      <c r="BJ410" s="44" t="n"/>
      <c r="BK410" s="44" t="n"/>
      <c r="BL410" s="44" t="n"/>
      <c r="BM410" s="44" t="n"/>
      <c r="BN410" s="44" t="n"/>
      <c r="BO410" s="44" t="n"/>
      <c r="BP410" s="44" t="n"/>
      <c r="BQ410" s="44" t="n"/>
      <c r="BR410" s="44" t="n"/>
      <c r="BS410" s="44" t="n"/>
      <c r="BT410" s="44" t="n"/>
      <c r="BU410" s="44" t="n"/>
      <c r="BV410" s="44" t="n"/>
      <c r="BW410" s="44" t="n"/>
      <c r="BX410" s="44" t="n"/>
      <c r="BY410" s="44" t="n"/>
      <c r="BZ410" s="44" t="n"/>
      <c r="CA410" s="44" t="n"/>
      <c r="CB410" s="153" t="n"/>
      <c r="CC410" s="153" t="n"/>
      <c r="CD410" s="153" t="n"/>
      <c r="CE410" s="153" t="n"/>
      <c r="CF410" s="254">
        <f>CHOOSE(MATCH($CK$2,{"Bull","Base","Bear"},0),$CT$24,$CU$24,$CV$24)</f>
        <v>20000</v>
      </c>
      <c r="CG410" s="254">
        <f>CHOOSE(MATCH($CK$2,{"Bull","Base","Bear"},0),$CT$24,$CU$24,$CV$24)</f>
        <v>20000</v>
      </c>
      <c r="CH410" s="254">
        <f>CHOOSE(MATCH($CK$2,{"Bull","Base","Bear"},0),$CT$24,$CU$24,$CV$24)</f>
        <v>20000</v>
      </c>
      <c r="CI410" s="254">
        <f>CHOOSE(MATCH($CK$2,{"Bull","Base","Bear"},0),$CT$24,$CU$24,$CV$24)</f>
        <v>20000</v>
      </c>
      <c r="CJ410" s="254">
        <f>CHOOSE(MATCH($CK$2,{"Bull","Base","Bear"},0),$CT$24,$CU$24,$CV$24)</f>
        <v>20000</v>
      </c>
      <c r="CK410" s="19" t="inlineStr">
        <is>
          <t>FY2026 repurchases $22.3bn (program $16.7bn + $5.6bn tax withholding); FY2025 $18.4bn. Minimum per year by scenario (assumption).</t>
        </is>
      </c>
    </row>
    <row r="411" ht="15" customHeight="1" s="251">
      <c r="B411" s="69" t="inlineStr">
        <is>
          <t xml:space="preserve">  Share repurchases: MAX(minimum, liquidity before buybacks − target)</t>
        </is>
      </c>
      <c r="C411" s="44" t="n"/>
      <c r="D411" s="44" t="n"/>
      <c r="E411" s="44" t="n"/>
      <c r="F411" s="44" t="n"/>
      <c r="G411" s="44" t="n"/>
      <c r="H411" s="44" t="n"/>
      <c r="I411" s="44" t="n"/>
      <c r="J411" s="44" t="n"/>
      <c r="K411" s="44" t="n"/>
      <c r="L411" s="44" t="n"/>
      <c r="M411" s="44" t="n"/>
      <c r="N411" s="44" t="n"/>
      <c r="O411" s="44" t="n"/>
      <c r="P411" s="44" t="n"/>
      <c r="Q411" s="44" t="n"/>
      <c r="R411" s="44" t="n"/>
      <c r="S411" s="44" t="n"/>
      <c r="T411" s="44" t="n"/>
      <c r="U411" s="44" t="n"/>
      <c r="V411" s="44" t="n"/>
      <c r="W411" s="44" t="n"/>
      <c r="X411" s="44" t="n"/>
      <c r="Y411" s="44" t="n"/>
      <c r="Z411" s="44" t="n"/>
      <c r="AA411" s="44" t="n"/>
      <c r="AB411" s="44" t="n"/>
      <c r="AC411" s="44" t="n"/>
      <c r="AD411" s="44" t="n"/>
      <c r="AE411" s="44" t="n"/>
      <c r="AF411" s="44" t="n"/>
      <c r="AG411" s="44" t="n"/>
      <c r="AH411" s="44" t="n"/>
      <c r="AI411" s="44" t="n"/>
      <c r="AJ411" s="44" t="n"/>
      <c r="AK411" s="44" t="n"/>
      <c r="AL411" s="44" t="n"/>
      <c r="AM411" s="44" t="n"/>
      <c r="AN411" s="44" t="n"/>
      <c r="AO411" s="44" t="n"/>
      <c r="AP411" s="44" t="n"/>
      <c r="AQ411" s="44" t="n"/>
      <c r="AR411" s="44" t="n"/>
      <c r="AS411" s="44" t="n"/>
      <c r="AT411" s="44" t="n"/>
      <c r="AU411" s="44" t="n"/>
      <c r="AV411" s="44" t="n"/>
      <c r="AW411" s="44" t="n"/>
      <c r="AX411" s="44" t="n"/>
      <c r="AY411" s="44" t="n"/>
      <c r="AZ411" s="44" t="n"/>
      <c r="BA411" s="44" t="n"/>
      <c r="BB411" s="44" t="n"/>
      <c r="BC411" s="44" t="n"/>
      <c r="BD411" s="44" t="n"/>
      <c r="BE411" s="44" t="n"/>
      <c r="BF411" s="44" t="n"/>
      <c r="BG411" s="44" t="n"/>
      <c r="BH411" s="44" t="n"/>
      <c r="BI411" s="44" t="n"/>
      <c r="BJ411" s="44" t="n"/>
      <c r="BK411" s="44" t="n"/>
      <c r="BL411" s="44" t="n"/>
      <c r="BM411" s="44" t="n"/>
      <c r="BN411" s="44" t="n"/>
      <c r="BO411" s="44" t="n"/>
      <c r="BP411" s="44" t="n"/>
      <c r="BQ411" s="44" t="n"/>
      <c r="BR411" s="44" t="n"/>
      <c r="BS411" s="44" t="n"/>
      <c r="BT411" s="44" t="n"/>
      <c r="BU411" s="44" t="n"/>
      <c r="BV411" s="44" t="n"/>
      <c r="BW411" s="44" t="n"/>
      <c r="BX411" s="44" t="n"/>
      <c r="BY411" s="44" t="n"/>
      <c r="BZ411" s="44" t="n"/>
      <c r="CA411" s="44" t="n"/>
      <c r="CB411" s="153" t="n"/>
      <c r="CC411" s="153" t="n"/>
      <c r="CD411" s="153" t="n"/>
      <c r="CE411" s="153" t="n"/>
      <c r="CF411" s="254">
        <f>MAX(CF410,CF408-CF409)</f>
        <v>21393.0642670554</v>
      </c>
      <c r="CG411" s="254">
        <f>MAX(CG410,CG408-CG409)</f>
        <v>57251.1449840952</v>
      </c>
      <c r="CH411" s="254">
        <f>MAX(CH410,CH408-CH409)</f>
        <v>93974.2522727985</v>
      </c>
      <c r="CI411" s="254">
        <f>MAX(CI410,CI408-CI409)</f>
        <v>141500.833712265</v>
      </c>
      <c r="CJ411" s="254">
        <f>MAX(CJ410,CJ408-CJ409)</f>
        <v>178877.687325952</v>
      </c>
      <c r="CK411" s="19" t="inlineStr">
        <is>
          <t>Surplus liquidity above the target is returned via buybacks; feeds the cash-flow repurchase line.</t>
        </is>
      </c>
    </row>
    <row r="412" ht="15" customHeight="1" s="251">
      <c r="B412" s="69" t="inlineStr">
        <is>
          <t xml:space="preserve">  Minimum cash &amp; short-term investments (short-term borrowing drawn below it)</t>
        </is>
      </c>
      <c r="C412" s="44" t="n"/>
      <c r="D412" s="44" t="n"/>
      <c r="E412" s="44" t="n"/>
      <c r="F412" s="44" t="n"/>
      <c r="G412" s="44" t="n"/>
      <c r="H412" s="44" t="n"/>
      <c r="I412" s="44" t="n"/>
      <c r="J412" s="44" t="n"/>
      <c r="K412" s="44" t="n"/>
      <c r="L412" s="44" t="n"/>
      <c r="M412" s="44" t="n"/>
      <c r="N412" s="44" t="n"/>
      <c r="O412" s="44" t="n"/>
      <c r="P412" s="44" t="n"/>
      <c r="Q412" s="44" t="n"/>
      <c r="R412" s="44" t="n"/>
      <c r="S412" s="44" t="n"/>
      <c r="T412" s="44" t="n"/>
      <c r="U412" s="44" t="n"/>
      <c r="V412" s="44" t="n"/>
      <c r="W412" s="44" t="n"/>
      <c r="X412" s="44" t="n"/>
      <c r="Y412" s="44" t="n"/>
      <c r="Z412" s="44" t="n"/>
      <c r="AA412" s="44" t="n"/>
      <c r="AB412" s="44" t="n"/>
      <c r="AC412" s="44" t="n"/>
      <c r="AD412" s="44" t="n"/>
      <c r="AE412" s="44" t="n"/>
      <c r="AF412" s="44" t="n"/>
      <c r="AG412" s="44" t="n"/>
      <c r="AH412" s="44" t="n"/>
      <c r="AI412" s="44" t="n"/>
      <c r="AJ412" s="44" t="n"/>
      <c r="AK412" s="44" t="n"/>
      <c r="AL412" s="44" t="n"/>
      <c r="AM412" s="44" t="n"/>
      <c r="AN412" s="44" t="n"/>
      <c r="AO412" s="44" t="n"/>
      <c r="AP412" s="44" t="n"/>
      <c r="AQ412" s="44" t="n"/>
      <c r="AR412" s="44" t="n"/>
      <c r="AS412" s="44" t="n"/>
      <c r="AT412" s="44" t="n"/>
      <c r="AU412" s="44" t="n"/>
      <c r="AV412" s="44" t="n"/>
      <c r="AW412" s="44" t="n"/>
      <c r="AX412" s="44" t="n"/>
      <c r="AY412" s="44" t="n"/>
      <c r="AZ412" s="44" t="n"/>
      <c r="BA412" s="44" t="n"/>
      <c r="BB412" s="44" t="n"/>
      <c r="BC412" s="44" t="n"/>
      <c r="BD412" s="44" t="n"/>
      <c r="BE412" s="44" t="n"/>
      <c r="BF412" s="44" t="n"/>
      <c r="BG412" s="44" t="n"/>
      <c r="BH412" s="44" t="n"/>
      <c r="BI412" s="44" t="n"/>
      <c r="BJ412" s="44" t="n"/>
      <c r="BK412" s="44" t="n"/>
      <c r="BL412" s="44" t="n"/>
      <c r="BM412" s="44" t="n"/>
      <c r="BN412" s="44" t="n"/>
      <c r="BO412" s="44" t="n"/>
      <c r="BP412" s="44" t="n"/>
      <c r="BQ412" s="44" t="n"/>
      <c r="BR412" s="44" t="n"/>
      <c r="BS412" s="44" t="n"/>
      <c r="BT412" s="44" t="n"/>
      <c r="BU412" s="44" t="n"/>
      <c r="BV412" s="44" t="n"/>
      <c r="BW412" s="44" t="n"/>
      <c r="BX412" s="44" t="n"/>
      <c r="BY412" s="44" t="n"/>
      <c r="BZ412" s="44" t="n"/>
      <c r="CA412" s="44" t="n"/>
      <c r="CB412" s="153" t="n"/>
      <c r="CC412" s="153" t="n"/>
      <c r="CD412" s="153" t="n"/>
      <c r="CE412" s="153" t="n"/>
      <c r="CF412" s="262" t="n">
        <v>40000</v>
      </c>
      <c r="CG412" s="262" t="n">
        <v>40000</v>
      </c>
      <c r="CH412" s="262" t="n">
        <v>40000</v>
      </c>
      <c r="CI412" s="262" t="n">
        <v>40000</v>
      </c>
      <c r="CJ412" s="262" t="n">
        <v>40000</v>
      </c>
      <c r="CK412" s="19" t="n"/>
    </row>
    <row r="413" ht="15" customHeight="1" s="251">
      <c r="B413" s="156" t="inlineStr">
        <is>
          <t xml:space="preserve">  Memo: cash &amp; short-term investments at year end</t>
        </is>
      </c>
      <c r="C413" s="211">
        <f>IF(ISNUMBER(C338),C338+C339,"")</f>
        <v>34161</v>
      </c>
      <c r="D413" s="211">
        <f>IF(ISNUMBER(D338),D338+D339,"")</f>
        <v>23411</v>
      </c>
      <c r="E413" s="211">
        <f>IF(ISNUMBER(E338),E338+E339,"")</f>
        <v>23662</v>
      </c>
      <c r="F413" s="211">
        <f>IF(ISNUMBER(F338),F338+F339,"")</f>
        <v>31447</v>
      </c>
      <c r="G413" s="211">
        <f>IF(ISNUMBER(G338),G338+G339,"")</f>
        <v>36788</v>
      </c>
      <c r="H413" s="211">
        <f>IF(ISNUMBER(H338),H338+H339,"")</f>
        <v>52772</v>
      </c>
      <c r="I413" s="211">
        <f>IF(ISNUMBER(I338),I338+I339,"")</f>
        <v>63040</v>
      </c>
      <c r="J413" s="211">
        <f>IF(ISNUMBER(J338),J338+J339,"")</f>
        <v>66644</v>
      </c>
      <c r="K413" s="211">
        <f>IF(ISNUMBER(K338),K338+K339,"")</f>
        <v>68312</v>
      </c>
      <c r="L413" s="211">
        <f>IF(ISNUMBER(L338),L338+L339,"")</f>
        <v>74483</v>
      </c>
      <c r="M413" s="211">
        <f>IF(ISNUMBER(M338),M338+M339,"")</f>
        <v>77022</v>
      </c>
      <c r="N413" s="211">
        <f>IF(ISNUMBER(N338),N338+N339,"")</f>
        <v>77022</v>
      </c>
      <c r="O413" s="211">
        <f>IF(ISNUMBER(O338),O338+O339,"")</f>
        <v>80672</v>
      </c>
      <c r="P413" s="211">
        <f>IF(ISNUMBER(P338),P338+P339,"")</f>
        <v>83944</v>
      </c>
      <c r="Q413" s="211">
        <f>IF(ISNUMBER(Q338),Q338+Q339,"")</f>
        <v>88425</v>
      </c>
      <c r="R413" s="211">
        <f>IF(ISNUMBER(R338),R338+R339,"")</f>
        <v>85709</v>
      </c>
      <c r="S413" s="211">
        <f>IF(ISNUMBER(S338),S338+S339,"")</f>
        <v>85709</v>
      </c>
      <c r="T413" s="211">
        <f>IF(ISNUMBER(T338),T338+T339,"")</f>
        <v>89193</v>
      </c>
      <c r="U413" s="211">
        <f>IF(ISNUMBER(U338),U338+U339,"")</f>
        <v>90249</v>
      </c>
      <c r="V413" s="211">
        <f>IF(ISNUMBER(V338),V338+V339,"")</f>
        <v>95438</v>
      </c>
      <c r="W413" s="211">
        <f>IF(ISNUMBER(W338),W338+W339,"")</f>
        <v>96526</v>
      </c>
      <c r="X413" s="211">
        <f>IF(ISNUMBER(X338),X338+X339,"")</f>
        <v>96526</v>
      </c>
      <c r="Y413" s="211">
        <f>IF(ISNUMBER(Y338),Y338+Y339,"")</f>
        <v>99355</v>
      </c>
      <c r="Z413" s="211">
        <f>IF(ISNUMBER(Z338),Z338+Z339,"")</f>
        <v>102640</v>
      </c>
      <c r="AA413" s="211">
        <f>IF(ISNUMBER(AA338),AA338+AA339,"")</f>
        <v>105552</v>
      </c>
      <c r="AB413" s="211">
        <f>IF(ISNUMBER(AB338),AB338+AB339,"")</f>
        <v>113240</v>
      </c>
      <c r="AC413" s="211">
        <f>IF(ISNUMBER(AC338),AC338+AC339,"")</f>
        <v>113240</v>
      </c>
      <c r="AD413" s="211">
        <f>IF(ISNUMBER(AD338),AD338+AD339,"")</f>
        <v>136932</v>
      </c>
      <c r="AE413" s="211">
        <f>IF(ISNUMBER(AE338),AE338+AE339,"")</f>
        <v>122781</v>
      </c>
      <c r="AF413" s="211">
        <f>IF(ISNUMBER(AF338),AF338+AF339,"")</f>
        <v>126018</v>
      </c>
      <c r="AG413" s="211">
        <f>IF(ISNUMBER(AG338),AG338+AG339,"")</f>
        <v>132981</v>
      </c>
      <c r="AH413" s="211">
        <f>IF(ISNUMBER(AH338),AH338+AH339,"")</f>
        <v>132981</v>
      </c>
      <c r="AI413" s="211">
        <f>IF(ISNUMBER(AI338),AI338+AI339,"")</f>
        <v>138471</v>
      </c>
      <c r="AJ413" s="211">
        <f>IF(ISNUMBER(AJ338),AJ338+AJ339,"")</f>
        <v>142780</v>
      </c>
      <c r="AK413" s="211">
        <f>IF(ISNUMBER(AK338),AK338+AK339,"")</f>
        <v>132270</v>
      </c>
      <c r="AL413" s="211">
        <f>IF(ISNUMBER(AL338),AL338+AL339,"")</f>
        <v>133768</v>
      </c>
      <c r="AM413" s="211">
        <f>IF(ISNUMBER(AM338),AM338+AM339,"")</f>
        <v>133768</v>
      </c>
      <c r="AN413" s="211">
        <f>IF(ISNUMBER(AN338),AN338+AN339,"")</f>
        <v>135880</v>
      </c>
      <c r="AO413" s="211">
        <f>IF(ISNUMBER(AO338),AO338+AO339,"")</f>
        <v>127662</v>
      </c>
      <c r="AP413" s="211">
        <f>IF(ISNUMBER(AP338),AP338+AP339,"")</f>
        <v>131618</v>
      </c>
      <c r="AQ413" s="211">
        <f>IF(ISNUMBER(AQ338),AQ338+AQ339,"")</f>
        <v>133819</v>
      </c>
      <c r="AR413" s="211">
        <f>IF(ISNUMBER(AR338),AR338+AR339,"")</f>
        <v>133819</v>
      </c>
      <c r="AS413" s="211">
        <f>IF(ISNUMBER(AS338),AS338+AS339,"")</f>
        <v>136636</v>
      </c>
      <c r="AT413" s="211">
        <f>IF(ISNUMBER(AT338),AT338+AT339,"")</f>
        <v>134253</v>
      </c>
      <c r="AU413" s="211">
        <f>IF(ISNUMBER(AU338),AU338+AU339,"")</f>
        <v>137626</v>
      </c>
      <c r="AV413" s="211">
        <f>IF(ISNUMBER(AV338),AV338+AV339,"")</f>
        <v>136527</v>
      </c>
      <c r="AW413" s="211">
        <f>IF(ISNUMBER(AW338),AW338+AW339,"")</f>
        <v>136527</v>
      </c>
      <c r="AX413" s="211">
        <f>IF(ISNUMBER(AX338),AX338+AX339,"")</f>
        <v>137977</v>
      </c>
      <c r="AY413" s="211">
        <f>IF(ISNUMBER(AY338),AY338+AY339,"")</f>
        <v>131968</v>
      </c>
      <c r="AZ413" s="211">
        <f>IF(ISNUMBER(AZ338),AZ338+AZ339,"")</f>
        <v>125407</v>
      </c>
      <c r="BA413" s="211">
        <f>IF(ISNUMBER(BA338),BA338+BA339,"")</f>
        <v>130334</v>
      </c>
      <c r="BB413" s="211">
        <f>IF(ISNUMBER(BB338),BB338+BB339,"")</f>
        <v>130334</v>
      </c>
      <c r="BC413" s="211">
        <f>IF(ISNUMBER(BC338),BC338+BC339,"")</f>
        <v>130615</v>
      </c>
      <c r="BD413" s="211">
        <f>IF(ISNUMBER(BD338),BD338+BD339,"")</f>
        <v>125369</v>
      </c>
      <c r="BE413" s="211">
        <f>IF(ISNUMBER(BE338),BE338+BE339,"")</f>
        <v>104693</v>
      </c>
      <c r="BF413" s="211">
        <f>IF(ISNUMBER(BF338),BF338+BF339,"")</f>
        <v>104757</v>
      </c>
      <c r="BG413" s="211">
        <f>IF(ISNUMBER(BG338),BG338+BG339,"")</f>
        <v>104757</v>
      </c>
      <c r="BH413" s="211">
        <f>IF(ISNUMBER(BH338),BH338+BH339,"")</f>
        <v>107262</v>
      </c>
      <c r="BI413" s="211">
        <f>IF(ISNUMBER(BI338),BI338+BI339,"")</f>
        <v>99508</v>
      </c>
      <c r="BJ413" s="211">
        <f>IF(ISNUMBER(BJ338),BJ338+BJ339,"")</f>
        <v>104427</v>
      </c>
      <c r="BK413" s="211">
        <f>IF(ISNUMBER(BK338),BK338+BK339,"")</f>
        <v>111262</v>
      </c>
      <c r="BL413" s="211">
        <f>IF(ISNUMBER(BL338),BL338+BL339,"")</f>
        <v>111262</v>
      </c>
      <c r="BM413" s="211">
        <f>IF(ISNUMBER(BM338),BM338+BM339,"")</f>
        <v>143951</v>
      </c>
      <c r="BN413" s="211">
        <f>IF(ISNUMBER(BN338),BN338+BN339,"")</f>
        <v>81017</v>
      </c>
      <c r="BO413" s="211">
        <f>IF(ISNUMBER(BO338),BO338+BO339,"")</f>
        <v>80021</v>
      </c>
      <c r="BP413" s="211">
        <f>IF(ISNUMBER(BP338),BP338+BP339,"")</f>
        <v>75543</v>
      </c>
      <c r="BQ413" s="211">
        <f>IF(ISNUMBER(BQ338),BQ338+BQ339,"")</f>
        <v>75543</v>
      </c>
      <c r="BR413" s="211">
        <f>IF(ISNUMBER(BR338),BR338+BR339,"")</f>
        <v>78428</v>
      </c>
      <c r="BS413" s="211">
        <f>IF(ISNUMBER(BS338),BS338+BS339,"")</f>
        <v>71555</v>
      </c>
      <c r="BT413" s="211">
        <f>IF(ISNUMBER(BT338),BT338+BT339,"")</f>
        <v>79618</v>
      </c>
      <c r="BU413" s="211">
        <f>IF(ISNUMBER(BU338),BU338+BU339,"")</f>
        <v>94565</v>
      </c>
      <c r="BV413" s="211">
        <f>IF(ISNUMBER(BV338),BV338+BV339,"")</f>
        <v>94565</v>
      </c>
      <c r="BW413" s="211">
        <f>IF(ISNUMBER(BW338),BW338+BW339,"")</f>
        <v>102012</v>
      </c>
      <c r="BX413" s="211">
        <f>IF(ISNUMBER(BX338),BX338+BX339,"")</f>
        <v>89462</v>
      </c>
      <c r="BY413" s="211">
        <f>IF(ISNUMBER(BY338),BY338+BY339,"")</f>
        <v>78272</v>
      </c>
      <c r="BZ413" s="211">
        <f>IF(ISNUMBER(BZ338),BZ338+BZ339,"")</f>
        <v>76843</v>
      </c>
      <c r="CA413" s="211">
        <f>IF(ISNUMBER(CA338),CA338+CA339,"")</f>
        <v>76843</v>
      </c>
      <c r="CB413" s="35" t="n"/>
      <c r="CC413" s="35" t="n"/>
      <c r="CD413" s="35" t="n"/>
      <c r="CE413" s="35" t="n"/>
      <c r="CF413" s="254">
        <f>IF(ISNUMBER(CF338),CF338+CF339,"")</f>
        <v>70000</v>
      </c>
      <c r="CG413" s="254">
        <f>IF(ISNUMBER(CG338),CG338+CG339,"")</f>
        <v>70000</v>
      </c>
      <c r="CH413" s="254">
        <f>IF(ISNUMBER(CH338),CH338+CH339,"")</f>
        <v>70000</v>
      </c>
      <c r="CI413" s="254">
        <f>IF(ISNUMBER(CI338),CI338+CI339,"")</f>
        <v>70000</v>
      </c>
      <c r="CJ413" s="254">
        <f>IF(ISNUMBER(CJ338),CJ338+CJ339,"")</f>
        <v>70000</v>
      </c>
      <c r="CK413" s="153" t="n"/>
    </row>
    <row r="414" ht="15" customHeight="1" s="251">
      <c r="B414" s="25" t="inlineStr">
        <is>
          <t>Historical reference (driver context)</t>
        </is>
      </c>
      <c r="CK414" s="153" t="n"/>
    </row>
    <row r="415" ht="15" customHeight="1" s="251">
      <c r="B415" s="25" t="inlineStr">
        <is>
          <t xml:space="preserve">  D&amp;A &amp; other % of revenue</t>
        </is>
      </c>
      <c r="C415" s="215">
        <f>IF(AND(ISNUMBER(C204),ISNUMBER(C179)),IFERROR(C204/C179,""),"")</f>
        <v>0.020392032880177</v>
      </c>
      <c r="D415" s="215">
        <f>IF(AND(ISNUMBER(D204),ISNUMBER(D179)),IFERROR(D204/D179,""),"")</f>
        <v>0.028167912053519</v>
      </c>
      <c r="E415" s="215">
        <f>IF(AND(ISNUMBER(E204),ISNUMBER(E179)),IFERROR(E204/E179,""),"")</f>
        <v>0.0340284673949024</v>
      </c>
      <c r="F415" s="215">
        <f>IF(AND(ISNUMBER(F204),ISNUMBER(F179)),IFERROR(F204/F179,""),"")</f>
        <v>0.0438420863494019</v>
      </c>
      <c r="G415" s="215">
        <f>IF(AND(ISNUMBER(G204),ISNUMBER(G179)),IFERROR(G204/G179,""),"")</f>
        <v>0.0427789514115614</v>
      </c>
      <c r="H415" s="215">
        <f>IF(AND(ISNUMBER(H204),ISNUMBER(H179)),IFERROR(H204/H179,""),"")</f>
        <v>0.0395464878543957</v>
      </c>
      <c r="I415" s="215">
        <f>IF(AND(ISNUMBER(I204),ISNUMBER(I179)),IFERROR(I204/I179,""),"")</f>
        <v>0.0402452423260041</v>
      </c>
      <c r="J415" s="215">
        <f>IF(AND(ISNUMBER(J204),ISNUMBER(J179)),IFERROR(J204/J179,""),"")</f>
        <v>0.0443528235882059</v>
      </c>
      <c r="K415" s="215">
        <f>IF(AND(ISNUMBER(K204),ISNUMBER(K179)),IFERROR(K204/K179,""),"")</f>
        <v>0.0470264727815063</v>
      </c>
      <c r="L415" s="215">
        <f>IF(AND(ISNUMBER(L204),ISNUMBER(L179)),IFERROR(L204/L179,""),"")</f>
        <v>0.051393430621309</v>
      </c>
      <c r="M415" s="215">
        <f>IF(AND(ISNUMBER(M204),ISNUMBER(M179)),IFERROR(M204/M179,""),"")</f>
        <v>0.0494069159630076</v>
      </c>
      <c r="N415" s="215">
        <f>IF(AND(ISNUMBER(N204),ISNUMBER(N179)),IFERROR(N204/N179,""),"")</f>
        <v>0.0482344024971419</v>
      </c>
      <c r="O415" s="215">
        <f>IF(AND(ISNUMBER(O204),ISNUMBER(O179)),IFERROR(O204/O179,""),"")</f>
        <v>0.051486858438124</v>
      </c>
      <c r="P415" s="215">
        <f>IF(AND(ISNUMBER(P204),ISNUMBER(P179)),IFERROR(P204/P179,""),"")</f>
        <v>0.0514295036502304</v>
      </c>
      <c r="Q415" s="215">
        <f>IF(AND(ISNUMBER(Q204),ISNUMBER(Q179)),IFERROR(Q204/Q179,""),"")</f>
        <v>0.0615105621722296</v>
      </c>
      <c r="R415" s="215">
        <f>IF(AND(ISNUMBER(R204),ISNUMBER(R179)),IFERROR(R204/R179,""),"")</f>
        <v>0.0745017534855872</v>
      </c>
      <c r="S415" s="215">
        <f>IF(AND(ISNUMBER(S204),ISNUMBER(S179)),IFERROR(S204/S179,""),"")</f>
        <v>0.0600232630451556</v>
      </c>
      <c r="T415" s="215">
        <f>IF(AND(ISNUMBER(T204),ISNUMBER(T179)),IFERROR(T204/T179,""),"")</f>
        <v>0.0615490711607258</v>
      </c>
      <c r="U415" s="215">
        <f>IF(AND(ISNUMBER(U204),ISNUMBER(U179)),IFERROR(U204/U179,""),"")</f>
        <v>0.0574612769172648</v>
      </c>
      <c r="V415" s="215">
        <f>IF(AND(ISNUMBER(V204),ISNUMBER(V179)),IFERROR(V204/V179,""),"")</f>
        <v>0.0697224906806572</v>
      </c>
      <c r="W415" s="215">
        <f>IF(AND(ISNUMBER(W204),ISNUMBER(W179)),IFERROR(W204/W179,""),"")</f>
        <v>0.0673128944995492</v>
      </c>
      <c r="X415" s="215">
        <f>IF(AND(ISNUMBER(X204),ISNUMBER(X179)),IFERROR(X204/X179,""),"")</f>
        <v>0.0636567642658688</v>
      </c>
      <c r="Y415" s="215">
        <f>IF(AND(ISNUMBER(Y204),ISNUMBER(Y179)),IFERROR(Y204/Y179,""),"")</f>
        <v>0.0716914470778743</v>
      </c>
      <c r="Z415" s="215">
        <f>IF(AND(ISNUMBER(Z204),ISNUMBER(Z179)),IFERROR(Z204/Z179,""),"")</f>
        <v>0.0648848545974113</v>
      </c>
      <c r="AA415" s="215">
        <f>IF(AND(ISNUMBER(AA204),ISNUMBER(AA179)),IFERROR(AA204/AA179,""),"")</f>
        <v>0.0831425649018557</v>
      </c>
      <c r="AB415" s="215">
        <f>IF(AND(ISNUMBER(AB204),ISNUMBER(AB179)),IFERROR(AB204/AB179,""),"")</f>
        <v>0.0926554768603862</v>
      </c>
      <c r="AC415" s="215">
        <f>IF(AND(ISNUMBER(AC204),ISNUMBER(AC179)),IFERROR(AC204/AC179,""),"")</f>
        <v>0.0776136896390061</v>
      </c>
      <c r="AD415" s="215">
        <f>IF(AND(ISNUMBER(AD204),ISNUMBER(AD179)),IFERROR(AD204/AD179,""),"")</f>
        <v>0.0887889307192099</v>
      </c>
      <c r="AE415" s="215">
        <f>IF(AND(ISNUMBER(AE204),ISNUMBER(AE179)),IFERROR(AE204/AE179,""),"")</f>
        <v>0.0899128268991283</v>
      </c>
      <c r="AF415" s="215">
        <f>IF(AND(ISNUMBER(AF204),ISNUMBER(AF179)),IFERROR(AF204/AF179,""),"")</f>
        <v>0.111045722046175</v>
      </c>
      <c r="AG415" s="215">
        <f>IF(AND(ISNUMBER(AG204),ISNUMBER(AG179)),IFERROR(AG204/AG179,""),"")</f>
        <v>0.100484624951752</v>
      </c>
      <c r="AH415" s="215">
        <f>IF(AND(ISNUMBER(AH204),ISNUMBER(AH179)),IFERROR(AH204/AH179,""),"")</f>
        <v>0.0975875486381323</v>
      </c>
      <c r="AI415" s="215">
        <f>IF(AND(ISNUMBER(AI204),ISNUMBER(AI179)),IFERROR(AI204/AI179,""),"")</f>
        <v>0.10184204091613</v>
      </c>
      <c r="AJ415" s="215">
        <f>IF(AND(ISNUMBER(AJ204),ISNUMBER(AJ179)),IFERROR(AJ204/AJ179,""),"")</f>
        <v>0.0876962445535653</v>
      </c>
      <c r="AK415" s="215">
        <f>IF(AND(ISNUMBER(AK204),ISNUMBER(AK179)),IFERROR(AK204/AK179,""),"")</f>
        <v>0.101047764644468</v>
      </c>
      <c r="AL415" s="215">
        <f>IF(AND(ISNUMBER(AL204),ISNUMBER(AL179)),IFERROR(AL204/AL179,""),"")</f>
        <v>0.0836297158052186</v>
      </c>
      <c r="AM415" s="215">
        <f>IF(AND(ISNUMBER(AM204),ISNUMBER(AM179)),IFERROR(AM204/AM179,""),"")</f>
        <v>0.0929775280898876</v>
      </c>
      <c r="AN415" s="215">
        <f>IF(AND(ISNUMBER(AN204),ISNUMBER(AN179)),IFERROR(AN204/AN179,""),"")</f>
        <v>0.0975450419474625</v>
      </c>
      <c r="AO415" s="215">
        <f>IF(AND(ISNUMBER(AO204),ISNUMBER(AO179)),IFERROR(AO204/AO179,""),"")</f>
        <v>0.0922361491792677</v>
      </c>
      <c r="AP415" s="215">
        <f>IF(AND(ISNUMBER(AP204),ISNUMBER(AP179)),IFERROR(AP204/AP179,""),"")</f>
        <v>0.0957116221255438</v>
      </c>
      <c r="AQ415" s="215">
        <f>IF(AND(ISNUMBER(AQ204),ISNUMBER(AQ179)),IFERROR(AQ204/AQ179,""),"")</f>
        <v>0.0867218317169381</v>
      </c>
      <c r="AR415" s="215">
        <f>IF(AND(ISNUMBER(AR204),ISNUMBER(AR179)),IFERROR(AR204/AR179,""),"")</f>
        <v>0.0928299547849304</v>
      </c>
      <c r="AS415" s="215">
        <f>IF(AND(ISNUMBER(AS204),ISNUMBER(AS179)),IFERROR(AS204/AS179,""),"")</f>
        <v>0.0898805021933142</v>
      </c>
      <c r="AT415" s="215">
        <f>IF(AND(ISNUMBER(AT204),ISNUMBER(AT179)),IFERROR(AT204/AT179,""),"")</f>
        <v>0.0867880561426326</v>
      </c>
      <c r="AU415" s="215">
        <f>IF(AND(ISNUMBER(AU204),ISNUMBER(AU179)),IFERROR(AU204/AU179,""),"")</f>
        <v>0.089032294908769</v>
      </c>
      <c r="AV415" s="215">
        <f>IF(AND(ISNUMBER(AV204),ISNUMBER(AV179)),IFERROR(AV204/AV179,""),"")</f>
        <v>0.0921305182341651</v>
      </c>
      <c r="AW415" s="215">
        <f>IF(AND(ISNUMBER(AW204),ISNUMBER(AW179)),IFERROR(AW204/AW179,""),"")</f>
        <v>0.0894731321889312</v>
      </c>
      <c r="AX415" s="215">
        <f>IF(AND(ISNUMBER(AX204),ISNUMBER(AX179)),IFERROR(AX204/AX179,""),"")</f>
        <v>0.0711901814071163</v>
      </c>
      <c r="AY415" s="215">
        <f>IF(AND(ISNUMBER(AY204),ISNUMBER(AY179)),IFERROR(AY204/AY179,""),"")</f>
        <v>0.0640960163432074</v>
      </c>
      <c r="AZ415" s="215">
        <f>IF(AND(ISNUMBER(AZ204),ISNUMBER(AZ179)),IFERROR(AZ204/AZ179,""),"")</f>
        <v>0.0703975447177864</v>
      </c>
      <c r="BA415" s="215">
        <f>IF(AND(ISNUMBER(BA204),ISNUMBER(BA179)),IFERROR(BA204/BA179,""),"")</f>
        <v>0.0724562315825966</v>
      </c>
      <c r="BB415" s="215">
        <f>IF(AND(ISNUMBER(BB204),ISNUMBER(BB179)),IFERROR(BB204/BB179,""),"")</f>
        <v>0.0695231069439817</v>
      </c>
      <c r="BC415" s="215">
        <f>IF(AND(ISNUMBER(BC204),ISNUMBER(BC179)),IFERROR(BC204/BC179,""),"")</f>
        <v>0.0708784782752609</v>
      </c>
      <c r="BD415" s="215">
        <f>IF(AND(ISNUMBER(BD204),ISNUMBER(BD179)),IFERROR(BD204/BD179,""),"")</f>
        <v>0.067584287039901</v>
      </c>
      <c r="BE415" s="215">
        <f>IF(AND(ISNUMBER(BE204),ISNUMBER(BE179)),IFERROR(BE204/BE179,""),"")</f>
        <v>0.0764384116693679</v>
      </c>
      <c r="BF415" s="215">
        <f>IF(AND(ISNUMBER(BF204),ISNUMBER(BF179)),IFERROR(BF204/BF179,""),"")</f>
        <v>0.0767184035476718</v>
      </c>
      <c r="BG415" s="215">
        <f>IF(AND(ISNUMBER(BG204),ISNUMBER(BG179)),IFERROR(BG204/BG179,""),"")</f>
        <v>0.0729308518686639</v>
      </c>
      <c r="BH415" s="215">
        <f>IF(AND(ISNUMBER(BH204),ISNUMBER(BH179)),IFERROR(BH204/BH179,""),"")</f>
        <v>0.0556641794022585</v>
      </c>
      <c r="BI415" s="215">
        <f>IF(AND(ISNUMBER(BI204),ISNUMBER(BI179)),IFERROR(BI204/BI179,""),"")</f>
        <v>0.0691603313932546</v>
      </c>
      <c r="BJ415" s="215">
        <f>IF(AND(ISNUMBER(BJ204),ISNUMBER(BJ179)),IFERROR(BJ204/BJ179,""),"")</f>
        <v>0.0671434247119587</v>
      </c>
      <c r="BK415" s="215">
        <f>IF(AND(ISNUMBER(BK204),ISNUMBER(BK179)),IFERROR(BK204/BK179,""),"")</f>
        <v>0.068945879086654</v>
      </c>
      <c r="BL415" s="215">
        <f>IF(AND(ISNUMBER(BL204),ISNUMBER(BL179)),IFERROR(BL204/BL179,""),"")</f>
        <v>0.0654083004978411</v>
      </c>
      <c r="BM415" s="215">
        <f>IF(AND(ISNUMBER(BM204),ISNUMBER(BM179)),IFERROR(BM204/BM179,""),"")</f>
        <v>0.06937735548596</v>
      </c>
      <c r="BN415" s="215">
        <f>IF(AND(ISNUMBER(BN204),ISNUMBER(BN179)),IFERROR(BN204/BN179,""),"")</f>
        <v>0.096081909061593</v>
      </c>
      <c r="BO415" s="215">
        <f>IF(AND(ISNUMBER(BO204),ISNUMBER(BO179)),IFERROR(BO204/BO179,""),"")</f>
        <v>0.0974328300300689</v>
      </c>
      <c r="BP415" s="215">
        <f>IF(AND(ISNUMBER(BP204),ISNUMBER(BP179)),IFERROR(BP204/BP179,""),"")</f>
        <v>0.0985678310442319</v>
      </c>
      <c r="BQ415" s="215">
        <f>IF(AND(ISNUMBER(BQ204),ISNUMBER(BQ179)),IFERROR(BQ204/BQ179,""),"")</f>
        <v>0.0909220714582942</v>
      </c>
      <c r="BR415" s="215">
        <f>IF(AND(ISNUMBER(BR204),ISNUMBER(BR179)),IFERROR(BR204/BR179,""),"")</f>
        <v>0.112571472135397</v>
      </c>
      <c r="BS415" s="215">
        <f>IF(AND(ISNUMBER(BS204),ISNUMBER(BS179)),IFERROR(BS204/BS179,""),"")</f>
        <v>0.0980440027573529</v>
      </c>
      <c r="BT415" s="215">
        <f>IF(AND(ISNUMBER(BT204),ISNUMBER(BT179)),IFERROR(BT204/BT179,""),"")</f>
        <v>0.124739531299061</v>
      </c>
      <c r="BU415" s="215">
        <f>IF(AND(ISNUMBER(BU204),ISNUMBER(BU179)),IFERROR(BU204/BU179,""),"")</f>
        <v>0.146557475700213</v>
      </c>
      <c r="BV415" s="215">
        <f>IF(AND(ISNUMBER(BV204),ISNUMBER(BV179)),IFERROR(BV204/BV179,""),"")</f>
        <v>0.121228578324885</v>
      </c>
      <c r="BW415" s="215">
        <f>IF(AND(ISNUMBER(BW204),ISNUMBER(BW179)),IFERROR(BW204/BW179,""),"")</f>
        <v>0.104888442573352</v>
      </c>
      <c r="BX415" s="215">
        <f>IF(AND(ISNUMBER(BX204),ISNUMBER(BX179)),IFERROR(BX204/BX179,""),"")</f>
        <v>0.11317411686538</v>
      </c>
      <c r="BY415" s="215">
        <f>IF(AND(ISNUMBER(BY204),ISNUMBER(BY179)),IFERROR(BY204/BY179,""),"")</f>
        <v>0.122662452042564</v>
      </c>
      <c r="BZ415" s="215">
        <f>IF(AND(ISNUMBER(BZ204),ISNUMBER(BZ179)),IFERROR(BZ204/BZ179,""),"")</f>
        <v>0.122457142222272</v>
      </c>
      <c r="CA415" s="215">
        <f>IF(AND(ISNUMBER(CA204),ISNUMBER(CA179)),IFERROR(CA204/CA179,""),"")</f>
        <v>0.116122577515</v>
      </c>
      <c r="CB415" s="24" t="n"/>
      <c r="CC415" s="24" t="n"/>
      <c r="CD415" s="24" t="n"/>
      <c r="CE415" s="24" t="n"/>
      <c r="CF415" s="256">
        <f>IF(AND(ISNUMBER(CF204),ISNUMBER(CF179)),IFERROR(CF204/CF179,""),"")</f>
        <v>0.144738004594961</v>
      </c>
      <c r="CG415" s="256">
        <f>IF(AND(ISNUMBER(CG204),ISNUMBER(CG179)),IFERROR(CG204/CG179,""),"")</f>
        <v>0.176502226718055</v>
      </c>
      <c r="CH415" s="256">
        <f>IF(AND(ISNUMBER(CH204),ISNUMBER(CH179)),IFERROR(CH204/CH179,""),"")</f>
        <v>0.193350414093</v>
      </c>
      <c r="CI415" s="256">
        <f>IF(AND(ISNUMBER(CI204),ISNUMBER(CI179)),IFERROR(CI204/CI179,""),"")</f>
        <v>0.200907372081578</v>
      </c>
      <c r="CJ415" s="256">
        <f>IF(AND(ISNUMBER(CJ204),ISNUMBER(CJ179)),IFERROR(CJ204/CJ179,""),"")</f>
        <v>0.20202782418216</v>
      </c>
      <c r="CK415" s="153" t="n"/>
    </row>
    <row r="416" ht="15" customHeight="1" s="251">
      <c r="B416" s="25" t="inlineStr">
        <is>
          <t xml:space="preserve">  Amortization of intangibles % of revenue (annual)</t>
        </is>
      </c>
      <c r="C416" s="215">
        <f>IF(AND(ISNUMBER(C159),ISNUMBER(C179)),IFERROR(C159/C179,""),"")</f>
      </c>
      <c r="D416" s="215">
        <f>IF(AND(ISNUMBER(D159),ISNUMBER(D179)),IFERROR(D159/D179,""),"")</f>
      </c>
      <c r="E416" s="215">
        <f>IF(AND(ISNUMBER(E159),ISNUMBER(E179)),IFERROR(E159/E179,""),"")</f>
        <v>0.00781198278715657</v>
      </c>
      <c r="F416" s="215">
        <f>IF(AND(ISNUMBER(F159),ISNUMBER(F179)),IFERROR(F159/F179,""),"")</f>
        <v>0.0101134555161969</v>
      </c>
      <c r="G416" s="215">
        <f>IF(AND(ISNUMBER(G159),ISNUMBER(G179)),IFERROR(G159/G179,""),"")</f>
        <v>0.0113148966135331</v>
      </c>
      <c r="H416" s="215">
        <f>IF(AND(ISNUMBER(H159),ISNUMBER(H179)),IFERROR(H159/H179,""),"")</f>
        <v>0.00767768039689461</v>
      </c>
      <c r="I416" s="215">
        <f>IF(AND(ISNUMBER(I159),ISNUMBER(I179)),IFERROR(I159/I179,""),"")</f>
        <v>0.00756887267202908</v>
      </c>
      <c r="J416" s="36" t="n"/>
      <c r="K416" s="36" t="n"/>
      <c r="L416" s="36" t="n"/>
      <c r="M416" s="36" t="n"/>
      <c r="N416" s="215">
        <f>IF(AND(ISNUMBER(N159),ISNUMBER(N179)),IFERROR(N159/N179,""),"")</f>
        <v>0.00949273593752007</v>
      </c>
      <c r="O416" s="36" t="n"/>
      <c r="P416" s="36" t="n"/>
      <c r="Q416" s="36" t="n"/>
      <c r="R416" s="36" t="n"/>
      <c r="S416" s="215">
        <f>IF(AND(ISNUMBER(S159),ISNUMBER(S179)),IFERROR(S159/S179,""),"")</f>
        <v>0.00973132334481131</v>
      </c>
      <c r="T416" s="36" t="n"/>
      <c r="U416" s="36" t="n"/>
      <c r="V416" s="36" t="n"/>
      <c r="W416" s="36" t="n"/>
      <c r="X416" s="215">
        <f>IF(AND(ISNUMBER(X159),ISNUMBER(X179)),IFERROR(X159/X179,""),"")</f>
        <v>0.0138918572344518</v>
      </c>
      <c r="Y416" s="36" t="n"/>
      <c r="Z416" s="36" t="n"/>
      <c r="AA416" s="36" t="n"/>
      <c r="AB416" s="36" t="n"/>
      <c r="AC416" s="215">
        <f>IF(AND(ISNUMBER(AC159),ISNUMBER(AC179)),IFERROR(AC159/AC179,""),"")</f>
        <v>0.0114627285513361</v>
      </c>
      <c r="AD416" s="36" t="n"/>
      <c r="AE416" s="36" t="n"/>
      <c r="AF416" s="36" t="n"/>
      <c r="AG416" s="36" t="n"/>
      <c r="AH416" s="215">
        <f>IF(AND(ISNUMBER(AH159),ISNUMBER(AH179)),IFERROR(AH159/AH179,""),"")</f>
        <v>0.018899388549194</v>
      </c>
      <c r="AI416" s="36" t="n"/>
      <c r="AJ416" s="36" t="n"/>
      <c r="AK416" s="36" t="n"/>
      <c r="AL416" s="36" t="n"/>
      <c r="AM416" s="215">
        <f>IF(AND(ISNUMBER(AM159),ISNUMBER(AM179)),IFERROR(AM159/AM179,""),"")</f>
        <v>0.0199347589706415</v>
      </c>
      <c r="AN416" s="36" t="n"/>
      <c r="AO416" s="36" t="n"/>
      <c r="AP416" s="36" t="n"/>
      <c r="AQ416" s="36" t="n"/>
      <c r="AR416" s="215">
        <f>IF(AND(ISNUMBER(AR159),ISNUMBER(AR179)),IFERROR(AR159/AR179,""),"")</f>
        <v>0.0150981778883212</v>
      </c>
      <c r="AS416" s="36" t="n"/>
      <c r="AT416" s="36" t="n"/>
      <c r="AU416" s="36" t="n"/>
      <c r="AV416" s="36" t="n"/>
      <c r="AW416" s="215">
        <f>IF(AND(ISNUMBER(AW159),ISNUMBER(AW179)),IFERROR(AW159/AW179,""),"")</f>
        <v>0.0111876376603853</v>
      </c>
      <c r="AX416" s="36" t="n"/>
      <c r="AY416" s="36" t="n"/>
      <c r="AZ416" s="36" t="n"/>
      <c r="BA416" s="36" t="n"/>
      <c r="BB416" s="215">
        <f>IF(AND(ISNUMBER(BB159),ISNUMBER(BB179)),IFERROR(BB159/BB179,""),"")</f>
        <v>0.00951882347341869</v>
      </c>
      <c r="BC416" s="36" t="n"/>
      <c r="BD416" s="36" t="n"/>
      <c r="BE416" s="36" t="n"/>
      <c r="BF416" s="36" t="n"/>
      <c r="BG416" s="215">
        <f>IF(AND(ISNUMBER(BG159),ISNUMBER(BG179)),IFERROR(BG159/BG179,""),"")</f>
        <v>0.0100872547536188</v>
      </c>
      <c r="BH416" s="36" t="n"/>
      <c r="BI416" s="36" t="n"/>
      <c r="BJ416" s="36" t="n"/>
      <c r="BK416" s="36" t="n"/>
      <c r="BL416" s="215">
        <f>IF(AND(ISNUMBER(BL159),ISNUMBER(BL179)),IFERROR(BL159/BL179,""),"")</f>
        <v>0.0117971828327395</v>
      </c>
      <c r="BM416" s="36" t="n"/>
      <c r="BN416" s="36" t="n"/>
      <c r="BO416" s="36" t="n"/>
      <c r="BP416" s="36" t="n"/>
      <c r="BQ416" s="215">
        <f>IF(AND(ISNUMBER(BQ159),ISNUMBER(BQ179)),IFERROR(BQ159/BQ179,""),"")</f>
        <v>0.0195820856553063</v>
      </c>
      <c r="BR416" s="36" t="n"/>
      <c r="BS416" s="36" t="n"/>
      <c r="BT416" s="36" t="n"/>
      <c r="BU416" s="36" t="n"/>
      <c r="BV416" s="215">
        <f>IF(AND(ISNUMBER(BV159),ISNUMBER(BV179)),IFERROR(BV159/BV179,""),"")</f>
        <v>0.0212974400477063</v>
      </c>
      <c r="BW416" s="36" t="n"/>
      <c r="BX416" s="36" t="n"/>
      <c r="BY416" s="36" t="n"/>
      <c r="BZ416" s="36" t="n"/>
      <c r="CA416" s="215">
        <f>IF(AND(ISNUMBER(CA159),ISNUMBER(CA179)),IFERROR(CA159/CA179,""),"")</f>
        <v>0.0141634949478512</v>
      </c>
      <c r="CB416" s="24" t="n"/>
      <c r="CC416" s="24" t="n"/>
      <c r="CD416" s="24" t="n"/>
      <c r="CE416" s="24" t="n"/>
      <c r="CF416" s="256">
        <f>IF(AND(ISNUMBER(CF159),ISNUMBER(CF179)),IFERROR(CF159/CF179,""),"")</f>
        <v>0.00795905960503129</v>
      </c>
      <c r="CG416" s="256">
        <f>IF(AND(ISNUMBER(CG159),ISNUMBER(CG179)),IFERROR(CG159/CG179,""),"")</f>
        <v>0.00484245261608825</v>
      </c>
      <c r="CH416" s="256">
        <f>IF(AND(ISNUMBER(CH159),ISNUMBER(CH179)),IFERROR(CH159/CH179,""),"")</f>
        <v>0.00405574145107072</v>
      </c>
      <c r="CI416" s="256">
        <f>IF(AND(ISNUMBER(CI159),ISNUMBER(CI179)),IFERROR(CI159/CI179,""),"")</f>
        <v>0.00300059692952787</v>
      </c>
      <c r="CJ416" s="256">
        <f>IF(AND(ISNUMBER(CJ159),ISNUMBER(CJ179)),IFERROR(CJ159/CJ179,""),"")</f>
        <v>0.00234926669837914</v>
      </c>
      <c r="CK416" s="153" t="n"/>
    </row>
    <row r="417" ht="15" customHeight="1" s="251">
      <c r="CS417" s="11" t="n"/>
      <c r="CT417" s="12" t="n"/>
      <c r="CU417" s="12" t="n"/>
      <c r="CV417" s="12" t="n"/>
      <c r="CW417" s="13" t="n"/>
    </row>
    <row r="418" ht="15" customHeight="1" s="251">
      <c r="B418" s="10" t="inlineStr">
        <is>
          <t>RATIO ANALYSIS</t>
        </is>
      </c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  <c r="AD418" s="10" t="n"/>
      <c r="AE418" s="10" t="n"/>
      <c r="AF418" s="10" t="n"/>
      <c r="AG418" s="10" t="n"/>
      <c r="AH418" s="10" t="n"/>
      <c r="AI418" s="10" t="n"/>
      <c r="AJ418" s="10" t="n"/>
      <c r="AK418" s="10" t="n"/>
      <c r="AL418" s="10" t="n"/>
      <c r="AM418" s="10" t="n"/>
      <c r="AN418" s="10" t="n"/>
      <c r="AO418" s="10" t="n"/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0" t="n"/>
      <c r="BC418" s="10" t="n"/>
      <c r="BD418" s="10" t="n"/>
      <c r="BE418" s="10" t="n"/>
      <c r="BF418" s="10" t="n"/>
      <c r="BG418" s="10" t="n"/>
      <c r="BH418" s="10" t="n"/>
      <c r="BI418" s="10" t="n"/>
      <c r="BJ418" s="10" t="n"/>
      <c r="BK418" s="10" t="n"/>
      <c r="BL418" s="10" t="n"/>
      <c r="BM418" s="10" t="n"/>
      <c r="BN418" s="10" t="n"/>
      <c r="BO418" s="10" t="n"/>
      <c r="BP418" s="10" t="n"/>
      <c r="BQ418" s="10" t="n"/>
      <c r="BR418" s="10" t="n"/>
      <c r="BS418" s="10" t="n"/>
      <c r="BT418" s="10" t="n"/>
      <c r="BU418" s="10" t="n"/>
      <c r="BV418" s="10" t="n"/>
      <c r="BW418" s="10" t="n"/>
      <c r="BX418" s="10" t="n"/>
      <c r="BY418" s="10" t="n"/>
      <c r="BZ418" s="10" t="n"/>
      <c r="CA418" s="10" t="n"/>
      <c r="CB418" s="10" t="n"/>
      <c r="CC418" s="10" t="n"/>
      <c r="CD418" s="10" t="n"/>
      <c r="CE418" s="10" t="n"/>
      <c r="CF418" s="10" t="n"/>
      <c r="CG418" s="10" t="n"/>
      <c r="CH418" s="10" t="n"/>
      <c r="CI418" s="10" t="n"/>
      <c r="CJ418" s="10" t="n"/>
      <c r="CK418" s="10" t="inlineStr">
        <is>
          <t>RETURNS — annual columns (NOPAT on adjusted operating income; invested capital incl. finance-lease liabilities)</t>
        </is>
      </c>
    </row>
    <row r="419" ht="15" customHeight="1" s="251">
      <c r="B419" s="25" t="inlineStr">
        <is>
          <t>DuPont decomposition of ROIC</t>
        </is>
      </c>
      <c r="CK419" s="153" t="n"/>
    </row>
    <row r="420" ht="15" customHeight="1" s="251">
      <c r="B420" s="25" t="inlineStr">
        <is>
          <t>Adjusted EBIT, full-cost (= adjusted operating income)</t>
        </is>
      </c>
      <c r="C420" s="211">
        <f>C246</f>
        <v>16472</v>
      </c>
      <c r="D420" s="211">
        <f>D246</f>
        <v>18524</v>
      </c>
      <c r="E420" s="211">
        <f>E246</f>
        <v>22492</v>
      </c>
      <c r="F420" s="211">
        <f>F246</f>
        <v>20363</v>
      </c>
      <c r="G420" s="211">
        <f>G246</f>
        <v>24098</v>
      </c>
      <c r="H420" s="211">
        <f>H246</f>
        <v>27161</v>
      </c>
      <c r="I420" s="211">
        <f>I246</f>
        <v>28496</v>
      </c>
      <c r="J420" s="34" t="n"/>
      <c r="K420" s="34" t="n"/>
      <c r="L420" s="34" t="n"/>
      <c r="M420" s="34" t="n"/>
      <c r="N420" s="211">
        <f>N246</f>
        <v>26957</v>
      </c>
      <c r="O420" s="34" t="n"/>
      <c r="P420" s="34" t="n"/>
      <c r="Q420" s="34" t="n"/>
      <c r="R420" s="34" t="n"/>
      <c r="S420" s="211">
        <f>S246</f>
        <v>27759</v>
      </c>
      <c r="T420" s="34" t="n"/>
      <c r="U420" s="34" t="n"/>
      <c r="V420" s="34" t="n"/>
      <c r="W420" s="34" t="n"/>
      <c r="X420" s="211">
        <f>X246</f>
        <v>28172</v>
      </c>
      <c r="Y420" s="34" t="n"/>
      <c r="Z420" s="34" t="n"/>
      <c r="AA420" s="34" t="n"/>
      <c r="AB420" s="34" t="n"/>
      <c r="AC420" s="211">
        <f>AC246</f>
        <v>27935</v>
      </c>
      <c r="AD420" s="34" t="n"/>
      <c r="AE420" s="34" t="n"/>
      <c r="AF420" s="34" t="n"/>
      <c r="AG420" s="34" t="n"/>
      <c r="AH420" s="211">
        <f>AH246</f>
        <v>29339</v>
      </c>
      <c r="AI420" s="34" t="n"/>
      <c r="AJ420" s="34" t="n"/>
      <c r="AK420" s="34" t="n"/>
      <c r="AL420" s="34" t="n"/>
      <c r="AM420" s="211">
        <f>AM246</f>
        <v>35058</v>
      </c>
      <c r="AN420" s="34" t="n"/>
      <c r="AO420" s="34" t="n"/>
      <c r="AP420" s="34" t="n"/>
      <c r="AQ420" s="34" t="n"/>
      <c r="AR420" s="211">
        <f>AR246</f>
        <v>42959</v>
      </c>
      <c r="AS420" s="34" t="n"/>
      <c r="AT420" s="34" t="n"/>
      <c r="AU420" s="34" t="n"/>
      <c r="AV420" s="34" t="n"/>
      <c r="AW420" s="211">
        <f>AW246</f>
        <v>52959</v>
      </c>
      <c r="AX420" s="34" t="n"/>
      <c r="AY420" s="34" t="n"/>
      <c r="AZ420" s="34" t="n"/>
      <c r="BA420" s="34" t="n"/>
      <c r="BB420" s="211">
        <f>BB246</f>
        <v>69916</v>
      </c>
      <c r="BC420" s="34" t="n"/>
      <c r="BD420" s="34" t="n"/>
      <c r="BE420" s="34" t="n"/>
      <c r="BF420" s="34" t="n"/>
      <c r="BG420" s="211">
        <f>BG246</f>
        <v>83383</v>
      </c>
      <c r="BH420" s="34" t="n"/>
      <c r="BI420" s="34" t="n"/>
      <c r="BJ420" s="34" t="n"/>
      <c r="BK420" s="34" t="n"/>
      <c r="BL420" s="211">
        <f>BL246</f>
        <v>89694</v>
      </c>
      <c r="BM420" s="34" t="n"/>
      <c r="BN420" s="34" t="n"/>
      <c r="BO420" s="34" t="n"/>
      <c r="BP420" s="34" t="n"/>
      <c r="BQ420" s="211">
        <f>BQ246</f>
        <v>109433</v>
      </c>
      <c r="BR420" s="34" t="n"/>
      <c r="BS420" s="34" t="n"/>
      <c r="BT420" s="34" t="n"/>
      <c r="BU420" s="34" t="n"/>
      <c r="BV420" s="211">
        <f>BV246</f>
        <v>128528</v>
      </c>
      <c r="BW420" s="34" t="n"/>
      <c r="BX420" s="34" t="n"/>
      <c r="BY420" s="34" t="n"/>
      <c r="BZ420" s="34" t="n"/>
      <c r="CA420" s="211">
        <f>CA246</f>
        <v>155237</v>
      </c>
      <c r="CB420" s="35" t="n"/>
      <c r="CC420" s="35" t="n"/>
      <c r="CD420" s="35" t="n"/>
      <c r="CE420" s="35" t="n"/>
      <c r="CF420" s="254">
        <f>CF246</f>
        <v>180501.13459828</v>
      </c>
      <c r="CG420" s="254">
        <f>CG246</f>
        <v>202794.153812307</v>
      </c>
      <c r="CH420" s="254">
        <f>CH246</f>
        <v>233435.75860592</v>
      </c>
      <c r="CI420" s="254">
        <f>CI246</f>
        <v>269519.715244814</v>
      </c>
      <c r="CJ420" s="254">
        <f>CJ246</f>
        <v>306218.502299503</v>
      </c>
      <c r="CK420" s="19" t="n"/>
    </row>
    <row r="421" ht="15" customHeight="1" s="251">
      <c r="B421" s="25" t="inlineStr">
        <is>
          <t>Effective tax rate (GAAP)</t>
        </is>
      </c>
      <c r="C421" s="215">
        <f>IFERROR(C200+0,0.19)</f>
        <v>0.310097470156609</v>
      </c>
      <c r="D421" s="215">
        <f>IFERROR(D200+0,0.19)</f>
        <v>0.300283567981693</v>
      </c>
      <c r="E421" s="215">
        <f>IFERROR(E200+0,0.19)</f>
        <v>0.257537582934408</v>
      </c>
      <c r="F421" s="215">
        <f>IFERROR(F200+0,0.19)</f>
        <v>0.264971494879169</v>
      </c>
      <c r="G421" s="215">
        <f>IFERROR(G200+0,0.19)</f>
        <v>0.249990005197297</v>
      </c>
      <c r="H421" s="215">
        <f>IFERROR(H200+0,0.19)</f>
        <v>0.17530547540166</v>
      </c>
      <c r="I421" s="215">
        <f>IFERROR(I200+0,0.19)</f>
        <v>0.237526384335564</v>
      </c>
      <c r="J421" s="34" t="n"/>
      <c r="K421" s="34" t="n"/>
      <c r="L421" s="34" t="n"/>
      <c r="M421" s="34" t="n"/>
      <c r="N421" s="215">
        <f>IFERROR(N200+0,0.19)</f>
        <v>0.191815762235694</v>
      </c>
      <c r="O421" s="34" t="n"/>
      <c r="P421" s="34" t="n"/>
      <c r="Q421" s="34" t="n"/>
      <c r="R421" s="34" t="n"/>
      <c r="S421" s="215">
        <f>IFERROR(S200+0,0.19)</f>
        <v>0.206542056074766</v>
      </c>
      <c r="T421" s="34" t="n"/>
      <c r="U421" s="34" t="n"/>
      <c r="V421" s="34" t="n"/>
      <c r="W421" s="34" t="n"/>
      <c r="X421" s="215">
        <f>IFERROR(X200+0,0.19)</f>
        <v>0.34116820662452</v>
      </c>
      <c r="Y421" s="34" t="n"/>
      <c r="Z421" s="34" t="n"/>
      <c r="AA421" s="34" t="n"/>
      <c r="AB421" s="34" t="n"/>
      <c r="AC421" s="215">
        <f>IFERROR(AC200+0,0.19)</f>
        <v>0.149511417143436</v>
      </c>
      <c r="AD421" s="34" t="n"/>
      <c r="AE421" s="34" t="n"/>
      <c r="AF421" s="34" t="n"/>
      <c r="AG421" s="34" t="n"/>
      <c r="AH421" s="215">
        <f>IFERROR(AH200+0,0.19)</f>
        <v>0.0840209080305845</v>
      </c>
      <c r="AI421" s="34" t="n"/>
      <c r="AJ421" s="34" t="n"/>
      <c r="AK421" s="34" t="n"/>
      <c r="AL421" s="34" t="n"/>
      <c r="AM421" s="215">
        <f>IFERROR(AM200+0,0.19)</f>
        <v>0.545676372210342</v>
      </c>
      <c r="AN421" s="34" t="n"/>
      <c r="AO421" s="34" t="n"/>
      <c r="AP421" s="34" t="n"/>
      <c r="AQ421" s="34" t="n"/>
      <c r="AR421" s="215">
        <f>IFERROR(AR200+0,0.19)</f>
        <v>0.1018128547885</v>
      </c>
      <c r="AS421" s="34" t="n"/>
      <c r="AT421" s="34" t="n"/>
      <c r="AU421" s="34" t="n"/>
      <c r="AV421" s="34" t="n"/>
      <c r="AW421" s="215">
        <f>IFERROR(AW200+0,0.19)</f>
        <v>0.165076551776152</v>
      </c>
      <c r="AX421" s="34" t="n"/>
      <c r="AY421" s="34" t="n"/>
      <c r="AZ421" s="34" t="n"/>
      <c r="BA421" s="34" t="n"/>
      <c r="BB421" s="215">
        <f>IFERROR(BB200+0,0.19)</f>
        <v>0.138266152850834</v>
      </c>
      <c r="BC421" s="34" t="n"/>
      <c r="BD421" s="34" t="n"/>
      <c r="BE421" s="34" t="n"/>
      <c r="BF421" s="34" t="n"/>
      <c r="BG421" s="215">
        <f>IFERROR(BG200+0,0.19)</f>
        <v>0.131133833436858</v>
      </c>
      <c r="BH421" s="34" t="n"/>
      <c r="BI421" s="34" t="n"/>
      <c r="BJ421" s="34" t="n"/>
      <c r="BK421" s="34" t="n"/>
      <c r="BL421" s="215">
        <f>IFERROR(BL200+0,0.19)</f>
        <v>0.189786252533283</v>
      </c>
      <c r="BM421" s="34" t="n"/>
      <c r="BN421" s="34" t="n"/>
      <c r="BO421" s="34" t="n"/>
      <c r="BP421" s="34" t="n"/>
      <c r="BQ421" s="215">
        <f>IFERROR(BQ200+0,0.19)</f>
        <v>0.182313265978272</v>
      </c>
      <c r="BR421" s="34" t="n"/>
      <c r="BS421" s="34" t="n"/>
      <c r="BT421" s="34" t="n"/>
      <c r="BU421" s="34" t="n"/>
      <c r="BV421" s="215">
        <f>IFERROR(BV200+0,0.19)</f>
        <v>0.176296440098037</v>
      </c>
      <c r="BW421" s="34" t="n"/>
      <c r="BX421" s="34" t="n"/>
      <c r="BY421" s="34" t="n"/>
      <c r="BZ421" s="34" t="n"/>
      <c r="CA421" s="215">
        <f>IFERROR(CA200+0,0.19)</f>
        <v>0.193962659852713</v>
      </c>
      <c r="CB421" s="35" t="n"/>
      <c r="CC421" s="35" t="n"/>
      <c r="CD421" s="35" t="n"/>
      <c r="CE421" s="35" t="n"/>
      <c r="CF421" s="256">
        <f>IFERROR(CF200+0,0.19)</f>
        <v>0.2</v>
      </c>
      <c r="CG421" s="256">
        <f>IFERROR(CG200+0,0.19)</f>
        <v>0.19</v>
      </c>
      <c r="CH421" s="256">
        <f>IFERROR(CH200+0,0.19)</f>
        <v>0.19</v>
      </c>
      <c r="CI421" s="256">
        <f>IFERROR(CI200+0,0.19)</f>
        <v>0.19</v>
      </c>
      <c r="CJ421" s="256">
        <f>IFERROR(CJ200+0,0.19)</f>
        <v>0.19</v>
      </c>
      <c r="CK421" s="19" t="n"/>
    </row>
    <row r="422" ht="15" customHeight="1" s="251">
      <c r="B422" s="25" t="inlineStr">
        <is>
          <t>NOPAT = Adjusted EBIT × (1 − tax rate)</t>
        </is>
      </c>
      <c r="C422" s="211">
        <f>IFERROR(C420*(1-C421),"n/a")</f>
        <v>11364.0744715803</v>
      </c>
      <c r="D422" s="211">
        <f>IFERROR(D420*(1-D421),"n/a")</f>
        <v>12961.5471867071</v>
      </c>
      <c r="E422" s="211">
        <f>IFERROR(E420*(1-E421),"n/a")</f>
        <v>16699.4646846393</v>
      </c>
      <c r="F422" s="211">
        <f>IFERROR(F420*(1-F421),"n/a")</f>
        <v>14967.3854497755</v>
      </c>
      <c r="G422" s="211">
        <f>IFERROR(G420*(1-G421),"n/a")</f>
        <v>18073.7408547555</v>
      </c>
      <c r="H422" s="211">
        <f>IFERROR(H420*(1-H421),"n/a")</f>
        <v>22399.5279826155</v>
      </c>
      <c r="I422" s="211">
        <f>IFERROR(I420*(1-I421),"n/a")</f>
        <v>21727.4481519738</v>
      </c>
      <c r="J422" s="34" t="n"/>
      <c r="K422" s="34" t="n"/>
      <c r="L422" s="34" t="n"/>
      <c r="M422" s="34" t="n"/>
      <c r="N422" s="211">
        <f>IFERROR(N420*(1-N421),"n/a")</f>
        <v>21786.2224974124</v>
      </c>
      <c r="O422" s="34" t="n"/>
      <c r="P422" s="34" t="n"/>
      <c r="Q422" s="34" t="n"/>
      <c r="R422" s="34" t="n"/>
      <c r="S422" s="211">
        <f>IFERROR(S420*(1-S421),"n/a")</f>
        <v>22025.5990654206</v>
      </c>
      <c r="T422" s="34" t="n"/>
      <c r="U422" s="34" t="n"/>
      <c r="V422" s="34" t="n"/>
      <c r="W422" s="34" t="n"/>
      <c r="X422" s="211">
        <f>IFERROR(X420*(1-X421),"n/a")</f>
        <v>18560.609282974</v>
      </c>
      <c r="Y422" s="34" t="n"/>
      <c r="Z422" s="34" t="n"/>
      <c r="AA422" s="34" t="n"/>
      <c r="AB422" s="34" t="n"/>
      <c r="AC422" s="211">
        <f>IFERROR(AC420*(1-AC421),"n/a")</f>
        <v>23758.3985620981</v>
      </c>
      <c r="AD422" s="34" t="n"/>
      <c r="AE422" s="34" t="n"/>
      <c r="AF422" s="34" t="n"/>
      <c r="AG422" s="34" t="n"/>
      <c r="AH422" s="211">
        <f>IFERROR(AH420*(1-AH421),"n/a")</f>
        <v>26873.9105792907</v>
      </c>
      <c r="AI422" s="34" t="n"/>
      <c r="AJ422" s="34" t="n"/>
      <c r="AK422" s="34" t="n"/>
      <c r="AL422" s="34" t="n"/>
      <c r="AM422" s="211">
        <f>IFERROR(AM420*(1-AM421),"n/a")</f>
        <v>15927.6777430498</v>
      </c>
      <c r="AN422" s="34" t="n"/>
      <c r="AO422" s="34" t="n"/>
      <c r="AP422" s="34" t="n"/>
      <c r="AQ422" s="34" t="n"/>
      <c r="AR422" s="211">
        <f>IFERROR(AR420*(1-AR421),"n/a")</f>
        <v>38585.2215711408</v>
      </c>
      <c r="AS422" s="34" t="n"/>
      <c r="AT422" s="34" t="n"/>
      <c r="AU422" s="34" t="n"/>
      <c r="AV422" s="34" t="n"/>
      <c r="AW422" s="211">
        <f>IFERROR(AW420*(1-AW421),"n/a")</f>
        <v>44216.7108944868</v>
      </c>
      <c r="AX422" s="34" t="n"/>
      <c r="AY422" s="34" t="n"/>
      <c r="AZ422" s="34" t="n"/>
      <c r="BA422" s="34" t="n"/>
      <c r="BB422" s="211">
        <f>IFERROR(BB420*(1-BB421),"n/a")</f>
        <v>60248.9836572811</v>
      </c>
      <c r="BC422" s="34" t="n"/>
      <c r="BD422" s="34" t="n"/>
      <c r="BE422" s="34" t="n"/>
      <c r="BF422" s="34" t="n"/>
      <c r="BG422" s="211">
        <f>IFERROR(BG420*(1-BG421),"n/a")</f>
        <v>72448.6675665345</v>
      </c>
      <c r="BH422" s="34" t="n"/>
      <c r="BI422" s="34" t="n"/>
      <c r="BJ422" s="34" t="n"/>
      <c r="BK422" s="34" t="n"/>
      <c r="BL422" s="211">
        <f>IFERROR(BL420*(1-BL421),"n/a")</f>
        <v>72671.3118652798</v>
      </c>
      <c r="BM422" s="34" t="n"/>
      <c r="BN422" s="34" t="n"/>
      <c r="BO422" s="34" t="n"/>
      <c r="BP422" s="34" t="n"/>
      <c r="BQ422" s="211">
        <f>IFERROR(BQ420*(1-BQ421),"n/a")</f>
        <v>89481.9123641998</v>
      </c>
      <c r="BR422" s="34" t="n"/>
      <c r="BS422" s="34" t="n"/>
      <c r="BT422" s="34" t="n"/>
      <c r="BU422" s="34" t="n"/>
      <c r="BV422" s="211">
        <f>IFERROR(BV420*(1-BV421),"n/a")</f>
        <v>105868.97114708</v>
      </c>
      <c r="BW422" s="34" t="n"/>
      <c r="BX422" s="34" t="n"/>
      <c r="BY422" s="34" t="n"/>
      <c r="BZ422" s="34" t="n"/>
      <c r="CA422" s="211">
        <f>IFERROR(CA420*(1-CA421),"n/a")</f>
        <v>125126.818572444</v>
      </c>
      <c r="CB422" s="35" t="n"/>
      <c r="CC422" s="35" t="n"/>
      <c r="CD422" s="35" t="n"/>
      <c r="CE422" s="35" t="n"/>
      <c r="CF422" s="254">
        <f>IFERROR(CF420*(1-CF421),"n/a")</f>
        <v>144400.907678624</v>
      </c>
      <c r="CG422" s="254">
        <f>IFERROR(CG420*(1-CG421),"n/a")</f>
        <v>164263.264587969</v>
      </c>
      <c r="CH422" s="254">
        <f>IFERROR(CH420*(1-CH421),"n/a")</f>
        <v>189082.964470795</v>
      </c>
      <c r="CI422" s="254">
        <f>IFERROR(CI420*(1-CI421),"n/a")</f>
        <v>218310.969348299</v>
      </c>
      <c r="CJ422" s="254">
        <f>IFERROR(CJ420*(1-CJ421),"n/a")</f>
        <v>248036.986862597</v>
      </c>
      <c r="CK422" s="19" t="n"/>
    </row>
    <row r="423" ht="15" customHeight="1" s="251">
      <c r="B423" s="25" t="inlineStr">
        <is>
          <t>Invested capital (IC) = Equity + Net debt</t>
        </is>
      </c>
      <c r="C423" s="211">
        <f>IFERROR(C424+C425,"n/a")</f>
        <v>5943</v>
      </c>
      <c r="D423" s="211">
        <f>IFERROR(D424+D425,"n/a")</f>
        <v>7686</v>
      </c>
      <c r="E423" s="211">
        <f>IFERROR(E424+E425,"n/a")</f>
        <v>12624</v>
      </c>
      <c r="F423" s="211">
        <f>IFERROR(F424+F425,"n/a")</f>
        <v>13857</v>
      </c>
      <c r="G423" s="211">
        <f>IFERROR(G424+G425,"n/a")</f>
        <v>15326</v>
      </c>
      <c r="H423" s="211">
        <f>IFERROR(H424+H425,"n/a")</f>
        <v>16232</v>
      </c>
      <c r="I423" s="211">
        <f>IFERROR(I424+I425,"n/a")</f>
        <v>15267</v>
      </c>
      <c r="J423" s="34" t="n"/>
      <c r="K423" s="34" t="n"/>
      <c r="L423" s="34" t="n"/>
      <c r="M423" s="34" t="n"/>
      <c r="N423" s="211">
        <f>IFERROR(N424+N425,"n/a")</f>
        <v>17522</v>
      </c>
      <c r="O423" s="34" t="n"/>
      <c r="P423" s="34" t="n"/>
      <c r="Q423" s="34" t="n"/>
      <c r="R423" s="34" t="n"/>
      <c r="S423" s="211">
        <f>IFERROR(S424+S425,"n/a")</f>
        <v>26720</v>
      </c>
      <c r="T423" s="34" t="n"/>
      <c r="U423" s="34" t="n"/>
      <c r="V423" s="34" t="n"/>
      <c r="W423" s="34" t="n"/>
      <c r="X423" s="211">
        <f>IFERROR(X424+X425,"n/a")</f>
        <v>18849</v>
      </c>
      <c r="Y423" s="34" t="n"/>
      <c r="Z423" s="34" t="n"/>
      <c r="AA423" s="34" t="n"/>
      <c r="AB423" s="34" t="n"/>
      <c r="AC423" s="211">
        <f>IFERROR(AC424+AC425,"n/a")</f>
        <v>12444</v>
      </c>
      <c r="AD423" s="34" t="n"/>
      <c r="AE423" s="34" t="n"/>
      <c r="AF423" s="34" t="n"/>
      <c r="AG423" s="34" t="n"/>
      <c r="AH423" s="211">
        <f>IFERROR(AH424+AH425,"n/a")</f>
        <v>28145</v>
      </c>
      <c r="AI423" s="34" t="n"/>
      <c r="AJ423" s="34" t="n"/>
      <c r="AK423" s="34" t="n"/>
      <c r="AL423" s="34" t="n"/>
      <c r="AM423" s="211">
        <f>IFERROR(AM424+AM425,"n/a")</f>
        <v>29491</v>
      </c>
      <c r="AN423" s="34" t="n"/>
      <c r="AO423" s="34" t="n"/>
      <c r="AP423" s="34" t="n"/>
      <c r="AQ423" s="34" t="n"/>
      <c r="AR423" s="211">
        <f>IFERROR(AR424+AR425,"n/a")</f>
        <v>47263</v>
      </c>
      <c r="AS423" s="34" t="n"/>
      <c r="AT423" s="34" t="n"/>
      <c r="AU423" s="34" t="n"/>
      <c r="AV423" s="34" t="n"/>
      <c r="AW423" s="211">
        <f>IFERROR(AW424+AW425,"n/a")</f>
        <v>54600</v>
      </c>
      <c r="AX423" s="34" t="n"/>
      <c r="AY423" s="34" t="n"/>
      <c r="AZ423" s="34" t="n"/>
      <c r="BA423" s="34" t="n"/>
      <c r="BB423" s="211">
        <f>IFERROR(BB424+BB425,"n/a")</f>
        <v>82341</v>
      </c>
      <c r="BC423" s="34" t="n"/>
      <c r="BD423" s="34" t="n"/>
      <c r="BE423" s="34" t="n"/>
      <c r="BF423" s="34" t="n"/>
      <c r="BG423" s="211">
        <f>IFERROR(BG424+BG425,"n/a")</f>
        <v>126468</v>
      </c>
      <c r="BH423" s="34" t="n"/>
      <c r="BI423" s="34" t="n"/>
      <c r="BJ423" s="34" t="n"/>
      <c r="BK423" s="34" t="n"/>
      <c r="BL423" s="211">
        <f>IFERROR(BL424+BL425,"n/a")</f>
        <v>159265</v>
      </c>
      <c r="BM423" s="34" t="n"/>
      <c r="BN423" s="34" t="n"/>
      <c r="BO423" s="34" t="n"/>
      <c r="BP423" s="34" t="n"/>
      <c r="BQ423" s="211">
        <f>IFERROR(BQ424+BQ425,"n/a")</f>
        <v>271709</v>
      </c>
      <c r="BR423" s="34" t="n"/>
      <c r="BS423" s="34" t="n"/>
      <c r="BT423" s="34" t="n"/>
      <c r="BU423" s="34" t="n"/>
      <c r="BV423" s="211">
        <f>IFERROR(BV424+BV425,"n/a")</f>
        <v>338237</v>
      </c>
      <c r="BW423" s="34" t="n"/>
      <c r="BX423" s="34" t="n"/>
      <c r="BY423" s="34" t="n"/>
      <c r="BZ423" s="34" t="n"/>
      <c r="CA423" s="211">
        <f>IFERROR(CA424+CA425,"n/a")</f>
        <v>472432</v>
      </c>
      <c r="CB423" s="35" t="n"/>
      <c r="CC423" s="35" t="n"/>
      <c r="CD423" s="35" t="n"/>
      <c r="CE423" s="35" t="n"/>
      <c r="CF423" s="254">
        <f>IFERROR(CF424+CF425,"n/a")</f>
        <v>610085.018186255</v>
      </c>
      <c r="CG423" s="254">
        <f>IFERROR(CG424+CG425,"n/a")</f>
        <v>730732.652398396</v>
      </c>
      <c r="CH423" s="254">
        <f>IFERROR(CH424+CH425,"n/a")</f>
        <v>835166.415069714</v>
      </c>
      <c r="CI423" s="254">
        <f>IFERROR(CI424+CI425,"n/a")</f>
        <v>919975.780577448</v>
      </c>
      <c r="CJ423" s="254">
        <f>IFERROR(CJ424+CJ425,"n/a")</f>
        <v>994682.105697172</v>
      </c>
      <c r="CK423" s="19" t="n"/>
    </row>
    <row r="424" ht="15" customHeight="1" s="251">
      <c r="B424" s="25" t="inlineStr">
        <is>
          <t xml:space="preserve">  Total equity</t>
        </is>
      </c>
      <c r="C424" s="211">
        <f>IF(ISNUMBER(C359),C359,"n/a")</f>
        <v>40104</v>
      </c>
      <c r="D424" s="211">
        <f>IF(ISNUMBER(D359),D359,"n/a")</f>
        <v>31097</v>
      </c>
      <c r="E424" s="211">
        <f>IF(ISNUMBER(E359),E359,"n/a")</f>
        <v>36286</v>
      </c>
      <c r="F424" s="211">
        <f>IF(ISNUMBER(F359),F359,"n/a")</f>
        <v>39558</v>
      </c>
      <c r="G424" s="211">
        <f>IF(ISNUMBER(G359),G359,"n/a")</f>
        <v>46175</v>
      </c>
      <c r="H424" s="211">
        <f>IF(ISNUMBER(H359),H359,"n/a")</f>
        <v>57083</v>
      </c>
      <c r="I424" s="211">
        <f>IF(ISNUMBER(I359),I359,"n/a")</f>
        <v>66363</v>
      </c>
      <c r="J424" s="34" t="n"/>
      <c r="K424" s="34" t="n"/>
      <c r="L424" s="34" t="n"/>
      <c r="M424" s="34" t="n"/>
      <c r="N424" s="211">
        <f>IF(ISNUMBER(N359),N359,"n/a")</f>
        <v>78944</v>
      </c>
      <c r="O424" s="34" t="n"/>
      <c r="P424" s="34" t="n"/>
      <c r="Q424" s="34" t="n"/>
      <c r="R424" s="34" t="n"/>
      <c r="S424" s="211">
        <f>IF(ISNUMBER(S359),S359,"n/a")</f>
        <v>89784</v>
      </c>
      <c r="T424" s="34" t="n"/>
      <c r="U424" s="34" t="n"/>
      <c r="V424" s="34" t="n"/>
      <c r="W424" s="34" t="n"/>
      <c r="X424" s="211">
        <f>IF(ISNUMBER(X359),X359,"n/a")</f>
        <v>80083</v>
      </c>
      <c r="Y424" s="34" t="n"/>
      <c r="Z424" s="34" t="n"/>
      <c r="AA424" s="34" t="n"/>
      <c r="AB424" s="34" t="n"/>
      <c r="AC424" s="211">
        <f>IF(ISNUMBER(AC359),AC359,"n/a")</f>
        <v>71997</v>
      </c>
      <c r="AD424" s="34" t="n"/>
      <c r="AE424" s="34" t="n"/>
      <c r="AF424" s="34" t="n"/>
      <c r="AG424" s="34" t="n"/>
      <c r="AH424" s="211">
        <f>IF(ISNUMBER(AH359),AH359,"n/a")</f>
        <v>72394</v>
      </c>
      <c r="AI424" s="34" t="n"/>
      <c r="AJ424" s="34" t="n"/>
      <c r="AK424" s="34" t="n"/>
      <c r="AL424" s="34" t="n"/>
      <c r="AM424" s="211">
        <f>IF(ISNUMBER(AM359),AM359,"n/a")</f>
        <v>82718</v>
      </c>
      <c r="AN424" s="34" t="n"/>
      <c r="AO424" s="34" t="n"/>
      <c r="AP424" s="34" t="n"/>
      <c r="AQ424" s="34" t="n"/>
      <c r="AR424" s="211">
        <f>IF(ISNUMBER(AR359),AR359,"n/a")</f>
        <v>102330</v>
      </c>
      <c r="AS424" s="34" t="n"/>
      <c r="AT424" s="34" t="n"/>
      <c r="AU424" s="34" t="n"/>
      <c r="AV424" s="34" t="n"/>
      <c r="AW424" s="211">
        <f>IF(ISNUMBER(AW359),AW359,"n/a")</f>
        <v>118304</v>
      </c>
      <c r="AX424" s="34" t="n"/>
      <c r="AY424" s="34" t="n"/>
      <c r="AZ424" s="34" t="n"/>
      <c r="BA424" s="34" t="n"/>
      <c r="BB424" s="211">
        <f>IF(ISNUMBER(BB359),BB359,"n/a")</f>
        <v>141988</v>
      </c>
      <c r="BC424" s="34" t="n"/>
      <c r="BD424" s="34" t="n"/>
      <c r="BE424" s="34" t="n"/>
      <c r="BF424" s="34" t="n"/>
      <c r="BG424" s="211">
        <f>IF(ISNUMBER(BG359),BG359,"n/a")</f>
        <v>166542</v>
      </c>
      <c r="BH424" s="34" t="n"/>
      <c r="BI424" s="34" t="n"/>
      <c r="BJ424" s="34" t="n"/>
      <c r="BK424" s="34" t="n"/>
      <c r="BL424" s="211">
        <f>IF(ISNUMBER(BL359),BL359,"n/a")</f>
        <v>206223</v>
      </c>
      <c r="BM424" s="34" t="n"/>
      <c r="BN424" s="34" t="n"/>
      <c r="BO424" s="34" t="n"/>
      <c r="BP424" s="34" t="n"/>
      <c r="BQ424" s="211">
        <f>IF(ISNUMBER(BQ359),BQ359,"n/a")</f>
        <v>268477</v>
      </c>
      <c r="BR424" s="34" t="n"/>
      <c r="BS424" s="34" t="n"/>
      <c r="BT424" s="34" t="n"/>
      <c r="BU424" s="34" t="n"/>
      <c r="BV424" s="211">
        <f>IF(ISNUMBER(BV359),BV359,"n/a")</f>
        <v>343479</v>
      </c>
      <c r="BW424" s="34" t="n"/>
      <c r="BX424" s="34" t="n"/>
      <c r="BY424" s="34" t="n"/>
      <c r="BZ424" s="34" t="n"/>
      <c r="CA424" s="211">
        <f>IF(ISNUMBER(CA359),CA359,"n/a")</f>
        <v>442387</v>
      </c>
      <c r="CB424" s="35" t="n"/>
      <c r="CC424" s="35" t="n"/>
      <c r="CD424" s="35" t="n"/>
      <c r="CE424" s="35" t="n"/>
      <c r="CF424" s="254">
        <f>IF(ISNUMBER(CF359),CF359,"n/a")</f>
        <v>551908.816186255</v>
      </c>
      <c r="CG424" s="254">
        <f>IF(ISNUMBER(CG359),CG359,"n/a")</f>
        <v>643201.02464016</v>
      </c>
      <c r="CH424" s="254">
        <f>IF(ISNUMBER(CH359),CH359,"n/a")</f>
        <v>721229.409171137</v>
      </c>
      <c r="CI424" s="254">
        <f>IF(ISNUMBER(CI359),CI359,"n/a")</f>
        <v>779706.060956862</v>
      </c>
      <c r="CJ424" s="254">
        <f>IF(ISNUMBER(CJ359),CJ359,"n/a")</f>
        <v>829439.434485014</v>
      </c>
      <c r="CK424" s="19" t="n"/>
    </row>
    <row r="425" ht="15" customHeight="1" s="251">
      <c r="B425" s="25" t="inlineStr">
        <is>
          <t xml:space="preserve">  Net debt = Total debt + finance-lease liabilities − cash − short-term investments</t>
        </is>
      </c>
      <c r="C425" s="211">
        <f>IFERROR(C394+N(C402)-C338-C339,"n/a")</f>
        <v>-34161</v>
      </c>
      <c r="D425" s="211">
        <f>IFERROR(D394+N(D402)-D338-D339,"n/a")</f>
        <v>-23411</v>
      </c>
      <c r="E425" s="211">
        <f>IFERROR(E394+N(E402)-E338-E339,"n/a")</f>
        <v>-23662</v>
      </c>
      <c r="F425" s="211">
        <f>IFERROR(F394+N(F402)-F338-F339,"n/a")</f>
        <v>-25701</v>
      </c>
      <c r="G425" s="211">
        <f>IFERROR(G394+N(G402)-G338-G339,"n/a")</f>
        <v>-30849</v>
      </c>
      <c r="H425" s="211">
        <f>IFERROR(H394+N(H402)-H338-H339,"n/a")</f>
        <v>-40851</v>
      </c>
      <c r="I425" s="211">
        <f>IFERROR(I394+N(I402)-I338-I339,"n/a")</f>
        <v>-51096</v>
      </c>
      <c r="J425" s="34" t="n"/>
      <c r="K425" s="34" t="n"/>
      <c r="L425" s="34" t="n"/>
      <c r="M425" s="34" t="n"/>
      <c r="N425" s="211">
        <f>IFERROR(N394+N(N402)-N338-N339,"n/a")</f>
        <v>-61422</v>
      </c>
      <c r="O425" s="34" t="n"/>
      <c r="P425" s="34" t="n"/>
      <c r="Q425" s="34" t="n"/>
      <c r="R425" s="34" t="n"/>
      <c r="S425" s="211">
        <f>IFERROR(S394+N(S402)-S338-S339,"n/a")</f>
        <v>-63064</v>
      </c>
      <c r="T425" s="34" t="n"/>
      <c r="U425" s="34" t="n"/>
      <c r="V425" s="34" t="n"/>
      <c r="W425" s="34" t="n"/>
      <c r="X425" s="211">
        <f>IFERROR(X394+N(X402)-X338-X339,"n/a")</f>
        <v>-61234</v>
      </c>
      <c r="Y425" s="34" t="n"/>
      <c r="Z425" s="34" t="n"/>
      <c r="AA425" s="34" t="n"/>
      <c r="AB425" s="34" t="n"/>
      <c r="AC425" s="211">
        <f>IFERROR(AC394+N(AC402)-AC338-AC339,"n/a")</f>
        <v>-59553</v>
      </c>
      <c r="AD425" s="34" t="n"/>
      <c r="AE425" s="34" t="n"/>
      <c r="AF425" s="34" t="n"/>
      <c r="AG425" s="34" t="n"/>
      <c r="AH425" s="211">
        <f>IFERROR(AH394+N(AH402)-AH338-AH339,"n/a")</f>
        <v>-44249</v>
      </c>
      <c r="AI425" s="34" t="n"/>
      <c r="AJ425" s="34" t="n"/>
      <c r="AK425" s="34" t="n"/>
      <c r="AL425" s="34" t="n"/>
      <c r="AM425" s="211">
        <f>IFERROR(AM394+N(AM402)-AM338-AM339,"n/a")</f>
        <v>-53227</v>
      </c>
      <c r="AN425" s="34" t="n"/>
      <c r="AO425" s="34" t="n"/>
      <c r="AP425" s="34" t="n"/>
      <c r="AQ425" s="34" t="n"/>
      <c r="AR425" s="211">
        <f>IFERROR(AR394+N(AR402)-AR338-AR339,"n/a")</f>
        <v>-55067</v>
      </c>
      <c r="AS425" s="34" t="n"/>
      <c r="AT425" s="34" t="n"/>
      <c r="AU425" s="34" t="n"/>
      <c r="AV425" s="34" t="n"/>
      <c r="AW425" s="211">
        <f>IFERROR(AW394+N(AW402)-AW338-AW339,"n/a")</f>
        <v>-63704</v>
      </c>
      <c r="AX425" s="34" t="n"/>
      <c r="AY425" s="34" t="n"/>
      <c r="AZ425" s="34" t="n"/>
      <c r="BA425" s="34" t="n"/>
      <c r="BB425" s="211">
        <f>IFERROR(BB394+N(BB402)-BB338-BB339,"n/a")</f>
        <v>-59647</v>
      </c>
      <c r="BC425" s="34" t="n"/>
      <c r="BD425" s="34" t="n"/>
      <c r="BE425" s="34" t="n"/>
      <c r="BF425" s="34" t="n"/>
      <c r="BG425" s="211">
        <f>IFERROR(BG394+N(BG402)-BG338-BG339,"n/a")</f>
        <v>-40074</v>
      </c>
      <c r="BH425" s="34" t="n"/>
      <c r="BI425" s="34" t="n"/>
      <c r="BJ425" s="34" t="n"/>
      <c r="BK425" s="34" t="n"/>
      <c r="BL425" s="211">
        <f>IFERROR(BL394+N(BL402)-BL338-BL339,"n/a")</f>
        <v>-46958</v>
      </c>
      <c r="BM425" s="34" t="n"/>
      <c r="BN425" s="34" t="n"/>
      <c r="BO425" s="34" t="n"/>
      <c r="BP425" s="34" t="n"/>
      <c r="BQ425" s="211">
        <f>IFERROR(BQ394+N(BQ402)-BQ338-BQ339,"n/a")</f>
        <v>3232</v>
      </c>
      <c r="BR425" s="34" t="n"/>
      <c r="BS425" s="34" t="n"/>
      <c r="BT425" s="34" t="n"/>
      <c r="BU425" s="34" t="n"/>
      <c r="BV425" s="211">
        <f>IFERROR(BV394+N(BV402)-BV338-BV339,"n/a")</f>
        <v>-5242</v>
      </c>
      <c r="BW425" s="34" t="n"/>
      <c r="BX425" s="34" t="n"/>
      <c r="BY425" s="34" t="n"/>
      <c r="BZ425" s="34" t="n"/>
      <c r="CA425" s="211">
        <f>IFERROR(CA394+N(CA402)-CA338-CA339,"n/a")</f>
        <v>30045</v>
      </c>
      <c r="CB425" s="35" t="n"/>
      <c r="CC425" s="35" t="n"/>
      <c r="CD425" s="35" t="n"/>
      <c r="CE425" s="35" t="n"/>
      <c r="CF425" s="254">
        <f>IFERROR(CF394+N(CF402)-CF338-CF339,"n/a")</f>
        <v>58176.202</v>
      </c>
      <c r="CG425" s="254">
        <f>IFERROR(CG394+N(CG402)-CG338-CG339,"n/a")</f>
        <v>87531.6277582356</v>
      </c>
      <c r="CH425" s="254">
        <f>IFERROR(CH394+N(CH402)-CH338-CH339,"n/a")</f>
        <v>113937.005898577</v>
      </c>
      <c r="CI425" s="254">
        <f>IFERROR(CI394+N(CI402)-CI338-CI339,"n/a")</f>
        <v>140269.719620586</v>
      </c>
      <c r="CJ425" s="254">
        <f>IFERROR(CJ394+N(CJ402)-CJ338-CJ339,"n/a")</f>
        <v>165242.671212158</v>
      </c>
      <c r="CK425" s="19" t="n"/>
    </row>
    <row r="426" ht="15" customHeight="1" s="251">
      <c r="B426" s="55" t="inlineStr">
        <is>
          <t>ROIC = NOPAT / IC</t>
        </is>
      </c>
      <c r="C426" s="291">
        <f>IFERROR(C422/C423,"n/a")</f>
        <v>1.91217810391727</v>
      </c>
      <c r="D426" s="291">
        <f>IFERROR(D422/D423,"n/a")</f>
        <v>1.68638396912661</v>
      </c>
      <c r="E426" s="291">
        <f>IFERROR(E422/E423,"n/a")</f>
        <v>1.32283465499361</v>
      </c>
      <c r="F426" s="291">
        <f>IFERROR(F422/F423,"n/a")</f>
        <v>1.08013173484704</v>
      </c>
      <c r="G426" s="291">
        <f>IFERROR(G422/G423,"n/a")</f>
        <v>1.17928623611872</v>
      </c>
      <c r="H426" s="291">
        <f>IFERROR(H422/H423,"n/a")</f>
        <v>1.37996106349282</v>
      </c>
      <c r="I426" s="291">
        <f>IFERROR(I422/I423,"n/a")</f>
        <v>1.42316422034282</v>
      </c>
      <c r="J426" s="56" t="n"/>
      <c r="K426" s="56" t="n"/>
      <c r="L426" s="56" t="n"/>
      <c r="M426" s="56" t="n"/>
      <c r="N426" s="291">
        <f>IFERROR(N422/N423,"n/a")</f>
        <v>1.24336391378909</v>
      </c>
      <c r="O426" s="56" t="n"/>
      <c r="P426" s="56" t="n"/>
      <c r="Q426" s="56" t="n"/>
      <c r="R426" s="56" t="n"/>
      <c r="S426" s="291">
        <f>IFERROR(S422/S423,"n/a")</f>
        <v>0.824311342268734</v>
      </c>
      <c r="T426" s="56" t="n"/>
      <c r="U426" s="56" t="n"/>
      <c r="V426" s="56" t="n"/>
      <c r="W426" s="56" t="n"/>
      <c r="X426" s="291">
        <f>IFERROR(X422/X423,"n/a")</f>
        <v>0.984699946043504</v>
      </c>
      <c r="Y426" s="56" t="n"/>
      <c r="Z426" s="56" t="n"/>
      <c r="AA426" s="56" t="n"/>
      <c r="AB426" s="56" t="n"/>
      <c r="AC426" s="291">
        <f>IFERROR(AC422/AC423,"n/a")</f>
        <v>1.90922521392624</v>
      </c>
      <c r="AD426" s="56" t="n"/>
      <c r="AE426" s="56" t="n"/>
      <c r="AF426" s="56" t="n"/>
      <c r="AG426" s="56" t="n"/>
      <c r="AH426" s="291">
        <f>IFERROR(AH422/AH423,"n/a")</f>
        <v>0.95483782481047</v>
      </c>
      <c r="AI426" s="56" t="n"/>
      <c r="AJ426" s="56" t="n"/>
      <c r="AK426" s="56" t="n"/>
      <c r="AL426" s="56" t="n"/>
      <c r="AM426" s="291">
        <f>IFERROR(AM422/AM423,"n/a")</f>
        <v>0.540086051441112</v>
      </c>
      <c r="AN426" s="56" t="n"/>
      <c r="AO426" s="56" t="n"/>
      <c r="AP426" s="56" t="n"/>
      <c r="AQ426" s="56" t="n"/>
      <c r="AR426" s="291">
        <f>IFERROR(AR422/AR423,"n/a")</f>
        <v>0.816393829658312</v>
      </c>
      <c r="AS426" s="56" t="n"/>
      <c r="AT426" s="56" t="n"/>
      <c r="AU426" s="56" t="n"/>
      <c r="AV426" s="56" t="n"/>
      <c r="AW426" s="291">
        <f>IFERROR(AW422/AW423,"n/a")</f>
        <v>0.809829869862395</v>
      </c>
      <c r="AX426" s="56" t="n"/>
      <c r="AY426" s="56" t="n"/>
      <c r="AZ426" s="56" t="n"/>
      <c r="BA426" s="56" t="n"/>
      <c r="BB426" s="291">
        <f>IFERROR(BB422/BB423,"n/a")</f>
        <v>0.731700898182936</v>
      </c>
      <c r="BC426" s="56" t="n"/>
      <c r="BD426" s="56" t="n"/>
      <c r="BE426" s="56" t="n"/>
      <c r="BF426" s="56" t="n"/>
      <c r="BG426" s="291">
        <f>IFERROR(BG422/BG423,"n/a")</f>
        <v>0.5728616532762</v>
      </c>
      <c r="BH426" s="56" t="n"/>
      <c r="BI426" s="56" t="n"/>
      <c r="BJ426" s="56" t="n"/>
      <c r="BK426" s="56" t="n"/>
      <c r="BL426" s="291">
        <f>IFERROR(BL422/BL423,"n/a")</f>
        <v>0.456291789566319</v>
      </c>
      <c r="BM426" s="56" t="n"/>
      <c r="BN426" s="56" t="n"/>
      <c r="BO426" s="56" t="n"/>
      <c r="BP426" s="56" t="n"/>
      <c r="BQ426" s="291">
        <f>IFERROR(BQ422/BQ423,"n/a")</f>
        <v>0.329329953605511</v>
      </c>
      <c r="BR426" s="56" t="n"/>
      <c r="BS426" s="56" t="n"/>
      <c r="BT426" s="56" t="n"/>
      <c r="BU426" s="56" t="n"/>
      <c r="BV426" s="291">
        <f>IFERROR(BV422/BV423,"n/a")</f>
        <v>0.313002336075236</v>
      </c>
      <c r="BW426" s="56" t="n"/>
      <c r="BX426" s="56" t="n"/>
      <c r="BY426" s="56" t="n"/>
      <c r="BZ426" s="56" t="n"/>
      <c r="CA426" s="291">
        <f>IFERROR(CA422/CA423,"n/a")</f>
        <v>0.264856780600053</v>
      </c>
      <c r="CB426" s="56" t="n"/>
      <c r="CC426" s="56" t="n"/>
      <c r="CD426" s="56" t="n"/>
      <c r="CE426" s="56" t="n"/>
      <c r="CF426" s="291">
        <f>IFERROR(CF422/CF423,"n/a")</f>
        <v>0.236689811049481</v>
      </c>
      <c r="CG426" s="291">
        <f>IFERROR(CG422/CG423,"n/a")</f>
        <v>0.224792561340768</v>
      </c>
      <c r="CH426" s="291">
        <f>IFERROR(CH422/CH423,"n/a")</f>
        <v>0.226401542326162</v>
      </c>
      <c r="CI426" s="291">
        <f>IFERROR(CI422/CI423,"n/a")</f>
        <v>0.237300778952323</v>
      </c>
      <c r="CJ426" s="291">
        <f>IFERROR(CJ422/CJ423,"n/a")</f>
        <v>0.249363073329592</v>
      </c>
      <c r="CK426" s="153" t="n"/>
      <c r="CM426" s="37">
        <f>IFERROR(AVERAGE(CF426,CG426,CH426,CI426,CJ426),"n/m")</f>
        <v>0.234909553399665</v>
      </c>
      <c r="CN426" s="37">
        <f>IFERROR(AVERAGE(BG426,BL426,BQ426,BV426,CA426),"n/m")</f>
        <v>0.387268502624664</v>
      </c>
      <c r="CO426" s="37">
        <f>IFERROR(AVERAGE(AH426,AM426,AR426,AW426,BB426,BG426,BL426,BQ426,BV426,CA426),"n/m")</f>
        <v>0.578919098707854</v>
      </c>
      <c r="CP426" s="37">
        <f>IFERROR(AVERAGE(C426,D426,E426,F426,G426,H426,I426,N426,S426,X426,AC426,AH426,AM426,AR426,AW426,BB426,BG426,BL426,BQ426,BV426,CA426),"n/m")</f>
        <v>0.987368161235476</v>
      </c>
    </row>
    <row r="427" ht="15" customHeight="1" s="251">
      <c r="B427" s="25" t="inlineStr">
        <is>
          <t xml:space="preserve">  Margin = Adjusted EBIT / Revenue</t>
        </is>
      </c>
      <c r="C427" s="215">
        <f>IFERROR(C420/C179,"n/a")</f>
        <v>0.371979585384581</v>
      </c>
      <c r="D427" s="215">
        <f>IFERROR(D420/D179,"n/a")</f>
        <v>0.362348890888463</v>
      </c>
      <c r="E427" s="215">
        <f>IFERROR(E420/E179,"n/a")</f>
        <v>0.372260840781198</v>
      </c>
      <c r="F427" s="215">
        <f>IFERROR(F420/F179,"n/a")</f>
        <v>0.348460735492924</v>
      </c>
      <c r="G427" s="215">
        <f>IFERROR(G420/G179,"n/a")</f>
        <v>0.385666730683055</v>
      </c>
      <c r="H427" s="215">
        <f>IFERROR(H420/H179,"n/a")</f>
        <v>0.388330497690977</v>
      </c>
      <c r="I427" s="215">
        <f>IFERROR(I420/I179,"n/a")</f>
        <v>0.386527949215306</v>
      </c>
      <c r="J427" s="34" t="n"/>
      <c r="K427" s="34" t="n"/>
      <c r="L427" s="34" t="n"/>
      <c r="M427" s="34" t="n"/>
      <c r="N427" s="215">
        <f>IFERROR(N420/N179,"n/a")</f>
        <v>0.346272912946859</v>
      </c>
      <c r="O427" s="34" t="n"/>
      <c r="P427" s="34" t="n"/>
      <c r="Q427" s="34" t="n"/>
      <c r="R427" s="34" t="n"/>
      <c r="S427" s="215">
        <f>IFERROR(S420/S179,"n/a")</f>
        <v>0.319682609146292</v>
      </c>
      <c r="T427" s="34" t="n"/>
      <c r="U427" s="34" t="n"/>
      <c r="V427" s="34" t="n"/>
      <c r="W427" s="34" t="n"/>
      <c r="X427" s="215">
        <f>IFERROR(X420/X179,"n/a")</f>
        <v>0.301047232314597</v>
      </c>
      <c r="Y427" s="34" t="n"/>
      <c r="Z427" s="34" t="n"/>
      <c r="AA427" s="34" t="n"/>
      <c r="AB427" s="34" t="n"/>
      <c r="AC427" s="215">
        <f>IFERROR(AC420/AC179,"n/a")</f>
        <v>0.327414439756212</v>
      </c>
      <c r="AD427" s="34" t="n"/>
      <c r="AE427" s="34" t="n"/>
      <c r="AF427" s="34" t="n"/>
      <c r="AG427" s="34" t="n"/>
      <c r="AH427" s="215">
        <f>IFERROR(AH420/AH179,"n/a")</f>
        <v>0.326170094496943</v>
      </c>
      <c r="AI427" s="34" t="n"/>
      <c r="AJ427" s="34" t="n"/>
      <c r="AK427" s="34" t="n"/>
      <c r="AL427" s="34" t="n"/>
      <c r="AM427" s="215">
        <f>IFERROR(AM420/AM179,"n/a")</f>
        <v>0.317669445451251</v>
      </c>
      <c r="AN427" s="34" t="n"/>
      <c r="AO427" s="34" t="n"/>
      <c r="AP427" s="34" t="n"/>
      <c r="AQ427" s="34" t="n"/>
      <c r="AR427" s="215">
        <f>IFERROR(AR420/AR179,"n/a")</f>
        <v>0.341369802054942</v>
      </c>
      <c r="AS427" s="34" t="n"/>
      <c r="AT427" s="34" t="n"/>
      <c r="AU427" s="34" t="n"/>
      <c r="AV427" s="34" t="n"/>
      <c r="AW427" s="215">
        <f>IFERROR(AW420/AW179,"n/a")</f>
        <v>0.370303814285215</v>
      </c>
      <c r="AX427" s="34" t="n"/>
      <c r="AY427" s="34" t="n"/>
      <c r="AZ427" s="34" t="n"/>
      <c r="BA427" s="34" t="n"/>
      <c r="BB427" s="215">
        <f>IFERROR(BB420/BB179,"n/a")</f>
        <v>0.415948788729713</v>
      </c>
      <c r="BC427" s="34" t="n"/>
      <c r="BD427" s="34" t="n"/>
      <c r="BE427" s="34" t="n"/>
      <c r="BF427" s="34" t="n"/>
      <c r="BG427" s="215">
        <f>IFERROR(BG420/BG179,"n/a")</f>
        <v>0.420552781560498</v>
      </c>
      <c r="BH427" s="34" t="n"/>
      <c r="BI427" s="34" t="n"/>
      <c r="BJ427" s="34" t="n"/>
      <c r="BK427" s="34" t="n"/>
      <c r="BL427" s="215">
        <f>IFERROR(BL420/BL179,"n/a")</f>
        <v>0.423254606799896</v>
      </c>
      <c r="BM427" s="34" t="n"/>
      <c r="BN427" s="34" t="n"/>
      <c r="BO427" s="34" t="n"/>
      <c r="BP427" s="34" t="n"/>
      <c r="BQ427" s="215">
        <f>IFERROR(BQ420/BQ179,"n/a")</f>
        <v>0.446442995732737</v>
      </c>
      <c r="BR427" s="34" t="n"/>
      <c r="BS427" s="34" t="n"/>
      <c r="BT427" s="34" t="n"/>
      <c r="BU427" s="34" t="n"/>
      <c r="BV427" s="215">
        <f>IFERROR(BV420/BV179,"n/a")</f>
        <v>0.456219562408599</v>
      </c>
      <c r="BW427" s="34" t="n"/>
      <c r="BX427" s="34" t="n"/>
      <c r="BY427" s="34" t="n"/>
      <c r="BZ427" s="34" t="n"/>
      <c r="CA427" s="215">
        <f>IFERROR(CA420/CA179,"n/a")</f>
        <v>0.467808184089272</v>
      </c>
      <c r="CB427" s="35" t="n"/>
      <c r="CC427" s="35" t="n"/>
      <c r="CD427" s="35" t="n"/>
      <c r="CE427" s="35" t="n"/>
      <c r="CF427" s="256">
        <f>IFERROR(CF420/CF179,"n/a")</f>
        <v>0.463874487905548</v>
      </c>
      <c r="CG427" s="256">
        <f>IFERROR(CG420/CG179,"n/a")</f>
        <v>0.445303333846645</v>
      </c>
      <c r="CH427" s="256">
        <f>IFERROR(CH420/CH179,"n/a")</f>
        <v>0.443059605320308</v>
      </c>
      <c r="CI427" s="256">
        <f>IFERROR(CI420/CI179,"n/a")</f>
        <v>0.449681484635452</v>
      </c>
      <c r="CJ427" s="256">
        <f>IFERROR(CJ420/CJ179,"n/a")</f>
        <v>0.455886520836348</v>
      </c>
      <c r="CK427" s="19" t="n"/>
    </row>
    <row r="428" ht="15" customHeight="1" s="251">
      <c r="B428" s="25" t="inlineStr">
        <is>
          <t xml:space="preserve">  Capital turnover = Revenue / IC</t>
        </is>
      </c>
      <c r="C428" s="278">
        <f>IFERROR(C179/C423,"n/a")</f>
        <v>7.45111896348645</v>
      </c>
      <c r="D428" s="278">
        <f>IFERROR(D179/D423,"n/a")</f>
        <v>6.65131407754359</v>
      </c>
      <c r="E428" s="278">
        <f>IFERROR(E179/E423,"n/a")</f>
        <v>4.7861216730038</v>
      </c>
      <c r="F428" s="278">
        <f>IFERROR(F179/F423,"n/a")</f>
        <v>4.21714656852133</v>
      </c>
      <c r="G428" s="278">
        <f>IFERROR(G179/G423,"n/a")</f>
        <v>4.07699334464309</v>
      </c>
      <c r="H428" s="278">
        <f>IFERROR(H179/H423,"n/a")</f>
        <v>4.30895761458847</v>
      </c>
      <c r="I428" s="278">
        <f>IFERROR(I179/I423,"n/a")</f>
        <v>4.82891203248837</v>
      </c>
      <c r="J428" s="34" t="n"/>
      <c r="K428" s="34" t="n"/>
      <c r="L428" s="34" t="n"/>
      <c r="M428" s="34" t="n"/>
      <c r="N428" s="278">
        <f>IFERROR(N179/N423,"n/a")</f>
        <v>4.44292888939619</v>
      </c>
      <c r="O428" s="34" t="n"/>
      <c r="P428" s="34" t="n"/>
      <c r="Q428" s="34" t="n"/>
      <c r="R428" s="34" t="n"/>
      <c r="S428" s="278">
        <f>IFERROR(S179/S423,"n/a")</f>
        <v>3.2497380239521</v>
      </c>
      <c r="T428" s="34" t="n"/>
      <c r="U428" s="34" t="n"/>
      <c r="V428" s="34" t="n"/>
      <c r="W428" s="34" t="n"/>
      <c r="X428" s="278">
        <f>IFERROR(X179/X423,"n/a")</f>
        <v>4.96471961377261</v>
      </c>
      <c r="Y428" s="34" t="n"/>
      <c r="Z428" s="34" t="n"/>
      <c r="AA428" s="34" t="n"/>
      <c r="AB428" s="34" t="n"/>
      <c r="AC428" s="278">
        <f>IFERROR(AC179/AC423,"n/a")</f>
        <v>6.85631629701061</v>
      </c>
      <c r="AD428" s="34" t="n"/>
      <c r="AE428" s="34" t="n"/>
      <c r="AF428" s="34" t="n"/>
      <c r="AG428" s="34" t="n"/>
      <c r="AH428" s="278">
        <f>IFERROR(AH179/AH423,"n/a")</f>
        <v>3.19594954698881</v>
      </c>
      <c r="AI428" s="34" t="n"/>
      <c r="AJ428" s="34" t="n"/>
      <c r="AK428" s="34" t="n"/>
      <c r="AL428" s="34" t="n"/>
      <c r="AM428" s="278">
        <f>IFERROR(AM179/AM423,"n/a")</f>
        <v>3.74215862466515</v>
      </c>
      <c r="AN428" s="34" t="n"/>
      <c r="AO428" s="34" t="n"/>
      <c r="AP428" s="34" t="n"/>
      <c r="AQ428" s="34" t="n"/>
      <c r="AR428" s="278">
        <f>IFERROR(AR179/AR423,"n/a")</f>
        <v>2.66261134502677</v>
      </c>
      <c r="AS428" s="34" t="n"/>
      <c r="AT428" s="34" t="n"/>
      <c r="AU428" s="34" t="n"/>
      <c r="AV428" s="34" t="n"/>
      <c r="AW428" s="278">
        <f>IFERROR(AW179/AW423,"n/a")</f>
        <v>2.61932234432234</v>
      </c>
      <c r="AX428" s="34" t="n"/>
      <c r="AY428" s="34" t="n"/>
      <c r="AZ428" s="34" t="n"/>
      <c r="BA428" s="34" t="n"/>
      <c r="BB428" s="278">
        <f>IFERROR(BB179/BB423,"n/a")</f>
        <v>2.04136456929112</v>
      </c>
      <c r="BC428" s="34" t="n"/>
      <c r="BD428" s="34" t="n"/>
      <c r="BE428" s="34" t="n"/>
      <c r="BF428" s="34" t="n"/>
      <c r="BG428" s="278">
        <f>IFERROR(BG179/BG423,"n/a")</f>
        <v>1.56774836322232</v>
      </c>
      <c r="BH428" s="34" t="n"/>
      <c r="BI428" s="34" t="n"/>
      <c r="BJ428" s="34" t="n"/>
      <c r="BK428" s="34" t="n"/>
      <c r="BL428" s="278">
        <f>IFERROR(BL179/BL423,"n/a")</f>
        <v>1.3305811069601</v>
      </c>
      <c r="BM428" s="34" t="n"/>
      <c r="BN428" s="34" t="n"/>
      <c r="BO428" s="34" t="n"/>
      <c r="BP428" s="34" t="n"/>
      <c r="BQ428" s="278">
        <f>IFERROR(BQ179/BQ423,"n/a")</f>
        <v>0.902148990280042</v>
      </c>
      <c r="BR428" s="34" t="n"/>
      <c r="BS428" s="34" t="n"/>
      <c r="BT428" s="34" t="n"/>
      <c r="BU428" s="34" t="n"/>
      <c r="BV428" s="278">
        <f>IFERROR(BV179/BV423,"n/a")</f>
        <v>0.832918929626268</v>
      </c>
      <c r="BW428" s="34" t="n"/>
      <c r="BX428" s="34" t="n"/>
      <c r="BY428" s="34" t="n"/>
      <c r="BZ428" s="34" t="n"/>
      <c r="CA428" s="278">
        <f>IFERROR(CA179/CA423,"n/a")</f>
        <v>0.702405848884072</v>
      </c>
      <c r="CB428" s="35" t="n"/>
      <c r="CC428" s="35" t="n"/>
      <c r="CD428" s="35" t="n"/>
      <c r="CE428" s="35" t="n"/>
      <c r="CF428" s="279">
        <f>IFERROR(CF179/CF423,"n/a")</f>
        <v>0.637806716096215</v>
      </c>
      <c r="CG428" s="279">
        <f>IFERROR(CG179/CG423,"n/a")</f>
        <v>0.623219409273924</v>
      </c>
      <c r="CH428" s="279">
        <f>IFERROR(CH179/CH423,"n/a")</f>
        <v>0.630858858694216</v>
      </c>
      <c r="CI428" s="279">
        <f>IFERROR(CI179/CI423,"n/a")</f>
        <v>0.651492077486796</v>
      </c>
      <c r="CJ428" s="279">
        <f>IFERROR(CJ179/CJ423,"n/a")</f>
        <v>0.675290082104508</v>
      </c>
      <c r="CK428" s="19" t="n"/>
    </row>
    <row r="429" ht="15" customHeight="1" s="251">
      <c r="B429" s="25" t="inlineStr">
        <is>
          <t xml:space="preserve">  Tax burden = (1 − tax rate)</t>
        </is>
      </c>
      <c r="C429" s="215">
        <f>IFERROR(1-C421,"n/a")</f>
        <v>0.689902529843391</v>
      </c>
      <c r="D429" s="215">
        <f>IFERROR(1-D421,"n/a")</f>
        <v>0.699716432018308</v>
      </c>
      <c r="E429" s="215">
        <f>IFERROR(1-E421,"n/a")</f>
        <v>0.742462417065592</v>
      </c>
      <c r="F429" s="215">
        <f>IFERROR(1-F421,"n/a")</f>
        <v>0.735028505120831</v>
      </c>
      <c r="G429" s="215">
        <f>IFERROR(1-G421,"n/a")</f>
        <v>0.750009994802703</v>
      </c>
      <c r="H429" s="215">
        <f>IFERROR(1-H421,"n/a")</f>
        <v>0.82469452459834</v>
      </c>
      <c r="I429" s="215">
        <f>IFERROR(1-I421,"n/a")</f>
        <v>0.762473615664436</v>
      </c>
      <c r="J429" s="34" t="n"/>
      <c r="K429" s="34" t="n"/>
      <c r="L429" s="34" t="n"/>
      <c r="M429" s="34" t="n"/>
      <c r="N429" s="215">
        <f>IFERROR(1-N421,"n/a")</f>
        <v>0.808184237764306</v>
      </c>
      <c r="O429" s="34" t="n"/>
      <c r="P429" s="34" t="n"/>
      <c r="Q429" s="34" t="n"/>
      <c r="R429" s="34" t="n"/>
      <c r="S429" s="215">
        <f>IFERROR(1-S421,"n/a")</f>
        <v>0.793457943925234</v>
      </c>
      <c r="T429" s="34" t="n"/>
      <c r="U429" s="34" t="n"/>
      <c r="V429" s="34" t="n"/>
      <c r="W429" s="34" t="n"/>
      <c r="X429" s="215">
        <f>IFERROR(1-X421,"n/a")</f>
        <v>0.65883179337548</v>
      </c>
      <c r="Y429" s="34" t="n"/>
      <c r="Z429" s="34" t="n"/>
      <c r="AA429" s="34" t="n"/>
      <c r="AB429" s="34" t="n"/>
      <c r="AC429" s="215">
        <f>IFERROR(1-AC421,"n/a")</f>
        <v>0.850488582856564</v>
      </c>
      <c r="AD429" s="34" t="n"/>
      <c r="AE429" s="34" t="n"/>
      <c r="AF429" s="34" t="n"/>
      <c r="AG429" s="34" t="n"/>
      <c r="AH429" s="215">
        <f>IFERROR(1-AH421,"n/a")</f>
        <v>0.915979091969416</v>
      </c>
      <c r="AI429" s="34" t="n"/>
      <c r="AJ429" s="34" t="n"/>
      <c r="AK429" s="34" t="n"/>
      <c r="AL429" s="34" t="n"/>
      <c r="AM429" s="215">
        <f>IFERROR(1-AM421,"n/a")</f>
        <v>0.454323627789658</v>
      </c>
      <c r="AN429" s="34" t="n"/>
      <c r="AO429" s="34" t="n"/>
      <c r="AP429" s="34" t="n"/>
      <c r="AQ429" s="34" t="n"/>
      <c r="AR429" s="215">
        <f>IFERROR(1-AR421,"n/a")</f>
        <v>0.8981871452115</v>
      </c>
      <c r="AS429" s="34" t="n"/>
      <c r="AT429" s="34" t="n"/>
      <c r="AU429" s="34" t="n"/>
      <c r="AV429" s="34" t="n"/>
      <c r="AW429" s="215">
        <f>IFERROR(1-AW421,"n/a")</f>
        <v>0.834923448223848</v>
      </c>
      <c r="AX429" s="34" t="n"/>
      <c r="AY429" s="34" t="n"/>
      <c r="AZ429" s="34" t="n"/>
      <c r="BA429" s="34" t="n"/>
      <c r="BB429" s="215">
        <f>IFERROR(1-BB421,"n/a")</f>
        <v>0.861733847149166</v>
      </c>
      <c r="BC429" s="34" t="n"/>
      <c r="BD429" s="34" t="n"/>
      <c r="BE429" s="34" t="n"/>
      <c r="BF429" s="34" t="n"/>
      <c r="BG429" s="215">
        <f>IFERROR(1-BG421,"n/a")</f>
        <v>0.868866166563142</v>
      </c>
      <c r="BH429" s="34" t="n"/>
      <c r="BI429" s="34" t="n"/>
      <c r="BJ429" s="34" t="n"/>
      <c r="BK429" s="34" t="n"/>
      <c r="BL429" s="215">
        <f>IFERROR(1-BL421,"n/a")</f>
        <v>0.810213747466718</v>
      </c>
      <c r="BM429" s="34" t="n"/>
      <c r="BN429" s="34" t="n"/>
      <c r="BO429" s="34" t="n"/>
      <c r="BP429" s="34" t="n"/>
      <c r="BQ429" s="215">
        <f>IFERROR(1-BQ421,"n/a")</f>
        <v>0.817686734021728</v>
      </c>
      <c r="BR429" s="34" t="n"/>
      <c r="BS429" s="34" t="n"/>
      <c r="BT429" s="34" t="n"/>
      <c r="BU429" s="34" t="n"/>
      <c r="BV429" s="215">
        <f>IFERROR(1-BV421,"n/a")</f>
        <v>0.823703559901963</v>
      </c>
      <c r="BW429" s="34" t="n"/>
      <c r="BX429" s="34" t="n"/>
      <c r="BY429" s="34" t="n"/>
      <c r="BZ429" s="34" t="n"/>
      <c r="CA429" s="215">
        <f>IFERROR(1-CA421,"n/a")</f>
        <v>0.806037340147288</v>
      </c>
      <c r="CB429" s="35" t="n"/>
      <c r="CC429" s="35" t="n"/>
      <c r="CD429" s="35" t="n"/>
      <c r="CE429" s="35" t="n"/>
      <c r="CF429" s="256">
        <f>IFERROR(1-CF421,"n/a")</f>
        <v>0.8</v>
      </c>
      <c r="CG429" s="256">
        <f>IFERROR(1-CG421,"n/a")</f>
        <v>0.81</v>
      </c>
      <c r="CH429" s="256">
        <f>IFERROR(1-CH421,"n/a")</f>
        <v>0.81</v>
      </c>
      <c r="CI429" s="256">
        <f>IFERROR(1-CI421,"n/a")</f>
        <v>0.81</v>
      </c>
      <c r="CJ429" s="256">
        <f>IFERROR(1-CJ421,"n/a")</f>
        <v>0.81</v>
      </c>
      <c r="CK429" s="19" t="n"/>
    </row>
    <row r="430" ht="15" customHeight="1" s="251">
      <c r="B430" s="25" t="inlineStr">
        <is>
          <t xml:space="preserve">  Check: Margin × Turnover × Tax burden = ROIC</t>
        </is>
      </c>
      <c r="C430" s="215">
        <f>IFERROR(C427*C428*C429,"n/a")</f>
        <v>1.91217810391727</v>
      </c>
      <c r="D430" s="215">
        <f>IFERROR(D427*D428*D429,"n/a")</f>
        <v>1.68638396912661</v>
      </c>
      <c r="E430" s="215">
        <f>IFERROR(E427*E428*E429,"n/a")</f>
        <v>1.32283465499361</v>
      </c>
      <c r="F430" s="215">
        <f>IFERROR(F427*F428*F429,"n/a")</f>
        <v>1.08013173484704</v>
      </c>
      <c r="G430" s="215">
        <f>IFERROR(G427*G428*G429,"n/a")</f>
        <v>1.17928623611872</v>
      </c>
      <c r="H430" s="215">
        <f>IFERROR(H427*H428*H429,"n/a")</f>
        <v>1.37996106349282</v>
      </c>
      <c r="I430" s="215">
        <f>IFERROR(I427*I428*I429,"n/a")</f>
        <v>1.42316422034282</v>
      </c>
      <c r="J430" s="34" t="n"/>
      <c r="K430" s="34" t="n"/>
      <c r="L430" s="34" t="n"/>
      <c r="M430" s="34" t="n"/>
      <c r="N430" s="215">
        <f>IFERROR(N427*N428*N429,"n/a")</f>
        <v>1.24336391378909</v>
      </c>
      <c r="O430" s="34" t="n"/>
      <c r="P430" s="34" t="n"/>
      <c r="Q430" s="34" t="n"/>
      <c r="R430" s="34" t="n"/>
      <c r="S430" s="215">
        <f>IFERROR(S427*S428*S429,"n/a")</f>
        <v>0.824311342268734</v>
      </c>
      <c r="T430" s="34" t="n"/>
      <c r="U430" s="34" t="n"/>
      <c r="V430" s="34" t="n"/>
      <c r="W430" s="34" t="n"/>
      <c r="X430" s="215">
        <f>IFERROR(X427*X428*X429,"n/a")</f>
        <v>0.984699946043504</v>
      </c>
      <c r="Y430" s="34" t="n"/>
      <c r="Z430" s="34" t="n"/>
      <c r="AA430" s="34" t="n"/>
      <c r="AB430" s="34" t="n"/>
      <c r="AC430" s="215">
        <f>IFERROR(AC427*AC428*AC429,"n/a")</f>
        <v>1.90922521392624</v>
      </c>
      <c r="AD430" s="34" t="n"/>
      <c r="AE430" s="34" t="n"/>
      <c r="AF430" s="34" t="n"/>
      <c r="AG430" s="34" t="n"/>
      <c r="AH430" s="215">
        <f>IFERROR(AH427*AH428*AH429,"n/a")</f>
        <v>0.95483782481047</v>
      </c>
      <c r="AI430" s="34" t="n"/>
      <c r="AJ430" s="34" t="n"/>
      <c r="AK430" s="34" t="n"/>
      <c r="AL430" s="34" t="n"/>
      <c r="AM430" s="215">
        <f>IFERROR(AM427*AM428*AM429,"n/a")</f>
        <v>0.540086051441112</v>
      </c>
      <c r="AN430" s="34" t="n"/>
      <c r="AO430" s="34" t="n"/>
      <c r="AP430" s="34" t="n"/>
      <c r="AQ430" s="34" t="n"/>
      <c r="AR430" s="215">
        <f>IFERROR(AR427*AR428*AR429,"n/a")</f>
        <v>0.816393829658312</v>
      </c>
      <c r="AS430" s="34" t="n"/>
      <c r="AT430" s="34" t="n"/>
      <c r="AU430" s="34" t="n"/>
      <c r="AV430" s="34" t="n"/>
      <c r="AW430" s="215">
        <f>IFERROR(AW427*AW428*AW429,"n/a")</f>
        <v>0.809829869862395</v>
      </c>
      <c r="AX430" s="34" t="n"/>
      <c r="AY430" s="34" t="n"/>
      <c r="AZ430" s="34" t="n"/>
      <c r="BA430" s="34" t="n"/>
      <c r="BB430" s="215">
        <f>IFERROR(BB427*BB428*BB429,"n/a")</f>
        <v>0.731700898182936</v>
      </c>
      <c r="BC430" s="34" t="n"/>
      <c r="BD430" s="34" t="n"/>
      <c r="BE430" s="34" t="n"/>
      <c r="BF430" s="34" t="n"/>
      <c r="BG430" s="215">
        <f>IFERROR(BG427*BG428*BG429,"n/a")</f>
        <v>0.5728616532762</v>
      </c>
      <c r="BH430" s="34" t="n"/>
      <c r="BI430" s="34" t="n"/>
      <c r="BJ430" s="34" t="n"/>
      <c r="BK430" s="34" t="n"/>
      <c r="BL430" s="215">
        <f>IFERROR(BL427*BL428*BL429,"n/a")</f>
        <v>0.456291789566319</v>
      </c>
      <c r="BM430" s="34" t="n"/>
      <c r="BN430" s="34" t="n"/>
      <c r="BO430" s="34" t="n"/>
      <c r="BP430" s="34" t="n"/>
      <c r="BQ430" s="215">
        <f>IFERROR(BQ427*BQ428*BQ429,"n/a")</f>
        <v>0.329329953605511</v>
      </c>
      <c r="BR430" s="34" t="n"/>
      <c r="BS430" s="34" t="n"/>
      <c r="BT430" s="34" t="n"/>
      <c r="BU430" s="34" t="n"/>
      <c r="BV430" s="215">
        <f>IFERROR(BV427*BV428*BV429,"n/a")</f>
        <v>0.313002336075236</v>
      </c>
      <c r="BW430" s="34" t="n"/>
      <c r="BX430" s="34" t="n"/>
      <c r="BY430" s="34" t="n"/>
      <c r="BZ430" s="34" t="n"/>
      <c r="CA430" s="215">
        <f>IFERROR(CA427*CA428*CA429,"n/a")</f>
        <v>0.264856780600053</v>
      </c>
      <c r="CB430" s="35" t="n"/>
      <c r="CC430" s="35" t="n"/>
      <c r="CD430" s="35" t="n"/>
      <c r="CE430" s="35" t="n"/>
      <c r="CF430" s="256">
        <f>IFERROR(CF427*CF428*CF429,"n/a")</f>
        <v>0.236689811049481</v>
      </c>
      <c r="CG430" s="256">
        <f>IFERROR(CG427*CG428*CG429,"n/a")</f>
        <v>0.224792561340768</v>
      </c>
      <c r="CH430" s="256">
        <f>IFERROR(CH427*CH428*CH429,"n/a")</f>
        <v>0.226401542326162</v>
      </c>
      <c r="CI430" s="256">
        <f>IFERROR(CI427*CI428*CI429,"n/a")</f>
        <v>0.237300778952323</v>
      </c>
      <c r="CJ430" s="256">
        <f>IFERROR(CJ427*CJ428*CJ429,"n/a")</f>
        <v>0.249363073329592</v>
      </c>
      <c r="CK430" s="19" t="n"/>
    </row>
    <row r="431" ht="15" customHeight="1" s="251">
      <c r="B431" s="25" t="inlineStr">
        <is>
          <t>RONTA decomposition</t>
        </is>
      </c>
      <c r="CK431" s="153" t="n"/>
    </row>
    <row r="432" ht="15" customHeight="1" s="251">
      <c r="B432" s="25" t="inlineStr">
        <is>
          <t>NOPAT = Adjusted EBIT × (1 − tax rate)</t>
        </is>
      </c>
      <c r="C432" s="211">
        <f>C422</f>
        <v>11364.0744715803</v>
      </c>
      <c r="D432" s="211">
        <f>D422</f>
        <v>12961.5471867071</v>
      </c>
      <c r="E432" s="211">
        <f>E422</f>
        <v>16699.4646846393</v>
      </c>
      <c r="F432" s="211">
        <f>F422</f>
        <v>14967.3854497755</v>
      </c>
      <c r="G432" s="211">
        <f>G422</f>
        <v>18073.7408547555</v>
      </c>
      <c r="H432" s="211">
        <f>H422</f>
        <v>22399.5279826155</v>
      </c>
      <c r="I432" s="211">
        <f>I422</f>
        <v>21727.4481519738</v>
      </c>
      <c r="J432" s="34" t="n"/>
      <c r="K432" s="34" t="n"/>
      <c r="L432" s="34" t="n"/>
      <c r="M432" s="34" t="n"/>
      <c r="N432" s="211">
        <f>N422</f>
        <v>21786.2224974124</v>
      </c>
      <c r="O432" s="34" t="n"/>
      <c r="P432" s="34" t="n"/>
      <c r="Q432" s="34" t="n"/>
      <c r="R432" s="34" t="n"/>
      <c r="S432" s="211">
        <f>S422</f>
        <v>22025.5990654206</v>
      </c>
      <c r="T432" s="34" t="n"/>
      <c r="U432" s="34" t="n"/>
      <c r="V432" s="34" t="n"/>
      <c r="W432" s="34" t="n"/>
      <c r="X432" s="211">
        <f>X422</f>
        <v>18560.609282974</v>
      </c>
      <c r="Y432" s="34" t="n"/>
      <c r="Z432" s="34" t="n"/>
      <c r="AA432" s="34" t="n"/>
      <c r="AB432" s="34" t="n"/>
      <c r="AC432" s="211">
        <f>AC422</f>
        <v>23758.3985620981</v>
      </c>
      <c r="AD432" s="34" t="n"/>
      <c r="AE432" s="34" t="n"/>
      <c r="AF432" s="34" t="n"/>
      <c r="AG432" s="34" t="n"/>
      <c r="AH432" s="211">
        <f>AH422</f>
        <v>26873.9105792907</v>
      </c>
      <c r="AI432" s="34" t="n"/>
      <c r="AJ432" s="34" t="n"/>
      <c r="AK432" s="34" t="n"/>
      <c r="AL432" s="34" t="n"/>
      <c r="AM432" s="211">
        <f>AM422</f>
        <v>15927.6777430498</v>
      </c>
      <c r="AN432" s="34" t="n"/>
      <c r="AO432" s="34" t="n"/>
      <c r="AP432" s="34" t="n"/>
      <c r="AQ432" s="34" t="n"/>
      <c r="AR432" s="211">
        <f>AR422</f>
        <v>38585.2215711408</v>
      </c>
      <c r="AS432" s="34" t="n"/>
      <c r="AT432" s="34" t="n"/>
      <c r="AU432" s="34" t="n"/>
      <c r="AV432" s="34" t="n"/>
      <c r="AW432" s="211">
        <f>AW422</f>
        <v>44216.7108944868</v>
      </c>
      <c r="AX432" s="34" t="n"/>
      <c r="AY432" s="34" t="n"/>
      <c r="AZ432" s="34" t="n"/>
      <c r="BA432" s="34" t="n"/>
      <c r="BB432" s="211">
        <f>BB422</f>
        <v>60248.9836572811</v>
      </c>
      <c r="BC432" s="34" t="n"/>
      <c r="BD432" s="34" t="n"/>
      <c r="BE432" s="34" t="n"/>
      <c r="BF432" s="34" t="n"/>
      <c r="BG432" s="211">
        <f>BG422</f>
        <v>72448.6675665345</v>
      </c>
      <c r="BH432" s="34" t="n"/>
      <c r="BI432" s="34" t="n"/>
      <c r="BJ432" s="34" t="n"/>
      <c r="BK432" s="34" t="n"/>
      <c r="BL432" s="211">
        <f>BL422</f>
        <v>72671.3118652798</v>
      </c>
      <c r="BM432" s="34" t="n"/>
      <c r="BN432" s="34" t="n"/>
      <c r="BO432" s="34" t="n"/>
      <c r="BP432" s="34" t="n"/>
      <c r="BQ432" s="211">
        <f>BQ422</f>
        <v>89481.9123641998</v>
      </c>
      <c r="BR432" s="34" t="n"/>
      <c r="BS432" s="34" t="n"/>
      <c r="BT432" s="34" t="n"/>
      <c r="BU432" s="34" t="n"/>
      <c r="BV432" s="211">
        <f>BV422</f>
        <v>105868.97114708</v>
      </c>
      <c r="BW432" s="34" t="n"/>
      <c r="BX432" s="34" t="n"/>
      <c r="BY432" s="34" t="n"/>
      <c r="BZ432" s="34" t="n"/>
      <c r="CA432" s="211">
        <f>CA422</f>
        <v>125126.818572444</v>
      </c>
      <c r="CB432" s="35" t="n"/>
      <c r="CC432" s="35" t="n"/>
      <c r="CD432" s="35" t="n"/>
      <c r="CE432" s="35" t="n"/>
      <c r="CF432" s="254">
        <f>CF422</f>
        <v>144400.907678624</v>
      </c>
      <c r="CG432" s="254">
        <f>CG422</f>
        <v>164263.264587969</v>
      </c>
      <c r="CH432" s="254">
        <f>CH422</f>
        <v>189082.964470795</v>
      </c>
      <c r="CI432" s="254">
        <f>CI422</f>
        <v>218310.969348299</v>
      </c>
      <c r="CJ432" s="254">
        <f>CJ422</f>
        <v>248036.986862597</v>
      </c>
      <c r="CK432" s="19" t="n"/>
    </row>
    <row r="433" ht="15" customHeight="1" s="251">
      <c r="B433" s="25" t="inlineStr">
        <is>
          <t xml:space="preserve">  Total assets</t>
        </is>
      </c>
      <c r="C433" s="211">
        <f>C349</f>
        <v>69597</v>
      </c>
      <c r="D433" s="211">
        <f>D349</f>
        <v>63171</v>
      </c>
      <c r="E433" s="211">
        <f>E349</f>
        <v>72793</v>
      </c>
      <c r="F433" s="211">
        <f>F349</f>
        <v>77888</v>
      </c>
      <c r="G433" s="211">
        <f>G349</f>
        <v>86113</v>
      </c>
      <c r="H433" s="211">
        <f>H349</f>
        <v>108704</v>
      </c>
      <c r="I433" s="211">
        <f>I349</f>
        <v>121271</v>
      </c>
      <c r="J433" s="34" t="n"/>
      <c r="K433" s="34" t="n"/>
      <c r="L433" s="34" t="n"/>
      <c r="M433" s="34" t="n"/>
      <c r="N433" s="211">
        <f>N349</f>
        <v>142431</v>
      </c>
      <c r="O433" s="34" t="n"/>
      <c r="P433" s="34" t="n"/>
      <c r="Q433" s="34" t="n"/>
      <c r="R433" s="34" t="n"/>
      <c r="S433" s="211">
        <f>S349</f>
        <v>172384</v>
      </c>
      <c r="T433" s="34" t="n"/>
      <c r="U433" s="34" t="n"/>
      <c r="V433" s="34" t="n"/>
      <c r="W433" s="34" t="n"/>
      <c r="X433" s="211">
        <f>X349</f>
        <v>176223</v>
      </c>
      <c r="Y433" s="34" t="n"/>
      <c r="Z433" s="34" t="n"/>
      <c r="AA433" s="34" t="n"/>
      <c r="AB433" s="34" t="n"/>
      <c r="AC433" s="211">
        <f>AC349</f>
        <v>193694</v>
      </c>
      <c r="AD433" s="34" t="n"/>
      <c r="AE433" s="34" t="n"/>
      <c r="AF433" s="34" t="n"/>
      <c r="AG433" s="34" t="n"/>
      <c r="AH433" s="211">
        <f>AH349</f>
        <v>241086</v>
      </c>
      <c r="AI433" s="34" t="n"/>
      <c r="AJ433" s="34" t="n"/>
      <c r="AK433" s="34" t="n"/>
      <c r="AL433" s="34" t="n"/>
      <c r="AM433" s="211">
        <f>AM349</f>
        <v>258848</v>
      </c>
      <c r="AN433" s="34" t="n"/>
      <c r="AO433" s="34" t="n"/>
      <c r="AP433" s="34" t="n"/>
      <c r="AQ433" s="34" t="n"/>
      <c r="AR433" s="211">
        <f>AR349</f>
        <v>286556</v>
      </c>
      <c r="AS433" s="34" t="n"/>
      <c r="AT433" s="34" t="n"/>
      <c r="AU433" s="34" t="n"/>
      <c r="AV433" s="34" t="n"/>
      <c r="AW433" s="211">
        <f>AW349</f>
        <v>301311</v>
      </c>
      <c r="AX433" s="34" t="n"/>
      <c r="AY433" s="34" t="n"/>
      <c r="AZ433" s="34" t="n"/>
      <c r="BA433" s="34" t="n"/>
      <c r="BB433" s="211">
        <f>BB349</f>
        <v>333779</v>
      </c>
      <c r="BC433" s="34" t="n"/>
      <c r="BD433" s="34" t="n"/>
      <c r="BE433" s="34" t="n"/>
      <c r="BF433" s="34" t="n"/>
      <c r="BG433" s="211">
        <f>BG349</f>
        <v>364840</v>
      </c>
      <c r="BH433" s="34" t="n"/>
      <c r="BI433" s="34" t="n"/>
      <c r="BJ433" s="34" t="n"/>
      <c r="BK433" s="34" t="n"/>
      <c r="BL433" s="211">
        <f>BL349</f>
        <v>411976</v>
      </c>
      <c r="BM433" s="34" t="n"/>
      <c r="BN433" s="34" t="n"/>
      <c r="BO433" s="34" t="n"/>
      <c r="BP433" s="34" t="n"/>
      <c r="BQ433" s="211">
        <f>BQ349</f>
        <v>512163</v>
      </c>
      <c r="BR433" s="34" t="n"/>
      <c r="BS433" s="34" t="n"/>
      <c r="BT433" s="34" t="n"/>
      <c r="BU433" s="34" t="n"/>
      <c r="BV433" s="211">
        <f>BV349</f>
        <v>619003</v>
      </c>
      <c r="BW433" s="34" t="n"/>
      <c r="BX433" s="34" t="n"/>
      <c r="BY433" s="34" t="n"/>
      <c r="BZ433" s="34" t="n"/>
      <c r="CA433" s="211">
        <f>CA349</f>
        <v>758376</v>
      </c>
      <c r="CB433" s="35" t="n"/>
      <c r="CC433" s="35" t="n"/>
      <c r="CD433" s="35" t="n"/>
      <c r="CE433" s="35" t="n"/>
      <c r="CF433" s="254">
        <f>CF349</f>
        <v>909217.498238383</v>
      </c>
      <c r="CG433" s="254">
        <f>CG349</f>
        <v>1052934.20904218</v>
      </c>
      <c r="CH433" s="254">
        <f>CH349</f>
        <v>1182237.91680757</v>
      </c>
      <c r="CI433" s="254">
        <f>CI349</f>
        <v>1292271.99309647</v>
      </c>
      <c r="CJ433" s="254">
        <f>CJ349</f>
        <v>1392153.34406397</v>
      </c>
      <c r="CK433" s="19" t="n"/>
    </row>
    <row r="434" ht="15" customHeight="1" s="251">
      <c r="B434" s="25" t="inlineStr">
        <is>
          <t xml:space="preserve">  − Goodwill &amp; intangible assets</t>
        </is>
      </c>
      <c r="C434" s="211">
        <f>IFERROR(-(C346+C347),"n/a")</f>
        <v>-4405</v>
      </c>
      <c r="D434" s="211">
        <f>IFERROR(-(D346+D347),"n/a")</f>
        <v>-5638</v>
      </c>
      <c r="E434" s="211">
        <f>IFERROR(-(E346+E347),"n/a")</f>
        <v>-14081</v>
      </c>
      <c r="F434" s="211">
        <f>IFERROR(-(F346+F347),"n/a")</f>
        <v>-14262</v>
      </c>
      <c r="G434" s="211">
        <f>IFERROR(-(G346+G347),"n/a")</f>
        <v>-13552</v>
      </c>
      <c r="H434" s="211">
        <f>IFERROR(-(H346+H347),"n/a")</f>
        <v>-13325</v>
      </c>
      <c r="I434" s="211">
        <f>IFERROR(-(I346+I347),"n/a")</f>
        <v>-16622</v>
      </c>
      <c r="J434" s="34" t="n"/>
      <c r="K434" s="34" t="n"/>
      <c r="L434" s="34" t="n"/>
      <c r="M434" s="34" t="n"/>
      <c r="N434" s="211">
        <f>IFERROR(-(N346+N347),"n/a")</f>
        <v>-17738</v>
      </c>
      <c r="O434" s="34" t="n"/>
      <c r="P434" s="34" t="n"/>
      <c r="Q434" s="34" t="n"/>
      <c r="R434" s="34" t="n"/>
      <c r="S434" s="211">
        <f>IFERROR(-(S346+S347),"n/a")</f>
        <v>-27108</v>
      </c>
      <c r="T434" s="34" t="n"/>
      <c r="U434" s="34" t="n"/>
      <c r="V434" s="34" t="n"/>
      <c r="W434" s="34" t="n"/>
      <c r="X434" s="211">
        <f>IFERROR(-(X346+X347),"n/a")</f>
        <v>-21774</v>
      </c>
      <c r="Y434" s="34" t="n"/>
      <c r="Z434" s="34" t="n"/>
      <c r="AA434" s="34" t="n"/>
      <c r="AB434" s="34" t="n"/>
      <c r="AC434" s="211">
        <f>IFERROR(-(AC346+AC347),"n/a")</f>
        <v>-21605</v>
      </c>
      <c r="AD434" s="34" t="n"/>
      <c r="AE434" s="34" t="n"/>
      <c r="AF434" s="34" t="n"/>
      <c r="AG434" s="34" t="n"/>
      <c r="AH434" s="211">
        <f>IFERROR(-(AH346+AH347),"n/a")</f>
        <v>-45228</v>
      </c>
      <c r="AI434" s="34" t="n"/>
      <c r="AJ434" s="34" t="n"/>
      <c r="AK434" s="34" t="n"/>
      <c r="AL434" s="34" t="n"/>
      <c r="AM434" s="211">
        <f>IFERROR(-(AM346+AM347),"n/a")</f>
        <v>-43736</v>
      </c>
      <c r="AN434" s="34" t="n"/>
      <c r="AO434" s="34" t="n"/>
      <c r="AP434" s="34" t="n"/>
      <c r="AQ434" s="34" t="n"/>
      <c r="AR434" s="211">
        <f>IFERROR(-(AR346+AR347),"n/a")</f>
        <v>-49776</v>
      </c>
      <c r="AS434" s="34" t="n"/>
      <c r="AT434" s="34" t="n"/>
      <c r="AU434" s="34" t="n"/>
      <c r="AV434" s="34" t="n"/>
      <c r="AW434" s="211">
        <f>IFERROR(-(AW346+AW347),"n/a")</f>
        <v>-50389</v>
      </c>
      <c r="AX434" s="34" t="n"/>
      <c r="AY434" s="34" t="n"/>
      <c r="AZ434" s="34" t="n"/>
      <c r="BA434" s="34" t="n"/>
      <c r="BB434" s="211">
        <f>IFERROR(-(BB346+BB347),"n/a")</f>
        <v>-57511</v>
      </c>
      <c r="BC434" s="34" t="n"/>
      <c r="BD434" s="34" t="n"/>
      <c r="BE434" s="34" t="n"/>
      <c r="BF434" s="34" t="n"/>
      <c r="BG434" s="211">
        <f>IFERROR(-(BG346+BG347),"n/a")</f>
        <v>-78822</v>
      </c>
      <c r="BH434" s="34" t="n"/>
      <c r="BI434" s="34" t="n"/>
      <c r="BJ434" s="34" t="n"/>
      <c r="BK434" s="34" t="n"/>
      <c r="BL434" s="211">
        <f>IFERROR(-(BL346+BL347),"n/a")</f>
        <v>-77252</v>
      </c>
      <c r="BM434" s="34" t="n"/>
      <c r="BN434" s="34" t="n"/>
      <c r="BO434" s="34" t="n"/>
      <c r="BP434" s="34" t="n"/>
      <c r="BQ434" s="211">
        <f>IFERROR(-(BQ346+BQ347),"n/a")</f>
        <v>-146817</v>
      </c>
      <c r="BR434" s="34" t="n"/>
      <c r="BS434" s="34" t="n"/>
      <c r="BT434" s="34" t="n"/>
      <c r="BU434" s="34" t="n"/>
      <c r="BV434" s="211">
        <f>IFERROR(-(BV346+BV347),"n/a")</f>
        <v>-142113</v>
      </c>
      <c r="BW434" s="34" t="n"/>
      <c r="BX434" s="34" t="n"/>
      <c r="BY434" s="34" t="n"/>
      <c r="BZ434" s="34" t="n"/>
      <c r="CA434" s="211">
        <f>IFERROR(-(CA346+CA347),"n/a")</f>
        <v>-138260</v>
      </c>
      <c r="CB434" s="35" t="n"/>
      <c r="CC434" s="35" t="n"/>
      <c r="CD434" s="35" t="n"/>
      <c r="CE434" s="35" t="n"/>
      <c r="CF434" s="254">
        <f>IFERROR(-(CF346+CF347),"n/a")</f>
        <v>-135163</v>
      </c>
      <c r="CG434" s="254">
        <f>IFERROR(-(CG346+CG347),"n/a")</f>
        <v>-135897.714285714</v>
      </c>
      <c r="CH434" s="254">
        <f>IFERROR(-(CH346+CH347),"n/a")</f>
        <v>-136700.857142857</v>
      </c>
      <c r="CI434" s="254">
        <f>IFERROR(-(CI346+CI347),"n/a")</f>
        <v>-137842.428571429</v>
      </c>
      <c r="CJ434" s="254">
        <f>IFERROR(-(CJ346+CJ347),"n/a")</f>
        <v>-139204.428571429</v>
      </c>
      <c r="CK434" s="19" t="n"/>
    </row>
    <row r="435" ht="15" customHeight="1" s="251">
      <c r="B435" s="25" t="inlineStr">
        <is>
          <t xml:space="preserve">  − Non-interest-bearing current liabilities (total CL excl. short-term debt)</t>
        </is>
      </c>
      <c r="C435" s="211">
        <f>IFERROR(-(C355-N(C352)),"n/a")</f>
        <v>-22442</v>
      </c>
      <c r="D435" s="211">
        <f>IFERROR(-(D355-N(D352)),"n/a")</f>
        <v>-23754</v>
      </c>
      <c r="E435" s="211">
        <f>IFERROR(-(E355-N(E352)),"n/a")</f>
        <v>-29886</v>
      </c>
      <c r="F435" s="211">
        <f>IFERROR(-(F355-N(F352)),"n/a")</f>
        <v>-25034</v>
      </c>
      <c r="G435" s="211">
        <f>IFERROR(-(G355-N(G352)),"n/a")</f>
        <v>-25147</v>
      </c>
      <c r="H435" s="211">
        <f>IFERROR(-(H355-N(H352)),"n/a")</f>
        <v>-28774</v>
      </c>
      <c r="I435" s="211">
        <f>IFERROR(-(I355-N(I352)),"n/a")</f>
        <v>-31457</v>
      </c>
      <c r="J435" s="34" t="n"/>
      <c r="K435" s="34" t="n"/>
      <c r="L435" s="34" t="n"/>
      <c r="M435" s="34" t="n"/>
      <c r="N435" s="211">
        <f>IFERROR(-(N355-N(N352)),"n/a")</f>
        <v>-34418</v>
      </c>
      <c r="O435" s="34" t="n"/>
      <c r="P435" s="34" t="n"/>
      <c r="Q435" s="34" t="n"/>
      <c r="R435" s="34" t="n"/>
      <c r="S435" s="211">
        <f>IFERROR(-(S355-N(S352)),"n/a")</f>
        <v>-43625</v>
      </c>
      <c r="T435" s="34" t="n"/>
      <c r="U435" s="34" t="n"/>
      <c r="V435" s="34" t="n"/>
      <c r="W435" s="34" t="n"/>
      <c r="X435" s="211">
        <f>IFERROR(-(X355-N(X352)),"n/a")</f>
        <v>-42374</v>
      </c>
      <c r="Y435" s="34" t="n"/>
      <c r="Z435" s="34" t="n"/>
      <c r="AA435" s="34" t="n"/>
      <c r="AB435" s="34" t="n"/>
      <c r="AC435" s="211">
        <f>IFERROR(-(AC355-N(AC352)),"n/a")</f>
        <v>-46453</v>
      </c>
      <c r="AD435" s="34" t="n"/>
      <c r="AE435" s="34" t="n"/>
      <c r="AF435" s="34" t="n"/>
      <c r="AG435" s="34" t="n"/>
      <c r="AH435" s="211">
        <f>IFERROR(-(AH355-N(AH352)),"n/a")</f>
        <v>-54406</v>
      </c>
      <c r="AI435" s="34" t="n"/>
      <c r="AJ435" s="34" t="n"/>
      <c r="AK435" s="34" t="n"/>
      <c r="AL435" s="34" t="n"/>
      <c r="AM435" s="211">
        <f>IFERROR(-(AM355-N(AM352)),"n/a")</f>
        <v>-54490</v>
      </c>
      <c r="AN435" s="34" t="n"/>
      <c r="AO435" s="34" t="n"/>
      <c r="AP435" s="34" t="n"/>
      <c r="AQ435" s="34" t="n"/>
      <c r="AR435" s="211">
        <f>IFERROR(-(AR355-N(AR352)),"n/a")</f>
        <v>-63904</v>
      </c>
      <c r="AS435" s="34" t="n"/>
      <c r="AT435" s="34" t="n"/>
      <c r="AU435" s="34" t="n"/>
      <c r="AV435" s="34" t="n"/>
      <c r="AW435" s="211">
        <f>IFERROR(-(AW355-N(AW352)),"n/a")</f>
        <v>-68561</v>
      </c>
      <c r="AX435" s="34" t="n"/>
      <c r="AY435" s="34" t="n"/>
      <c r="AZ435" s="34" t="n"/>
      <c r="BA435" s="34" t="n"/>
      <c r="BB435" s="211">
        <f>IFERROR(-(BB355-N(BB352)),"n/a")</f>
        <v>-80585</v>
      </c>
      <c r="BC435" s="34" t="n"/>
      <c r="BD435" s="34" t="n"/>
      <c r="BE435" s="34" t="n"/>
      <c r="BF435" s="34" t="n"/>
      <c r="BG435" s="211">
        <f>IFERROR(-(BG355-N(BG352)),"n/a")</f>
        <v>-92333</v>
      </c>
      <c r="BH435" s="34" t="n"/>
      <c r="BI435" s="34" t="n"/>
      <c r="BJ435" s="34" t="n"/>
      <c r="BK435" s="34" t="n"/>
      <c r="BL435" s="211">
        <f>IFERROR(-(BL355-N(BL352)),"n/a")</f>
        <v>-98902</v>
      </c>
      <c r="BM435" s="34" t="n"/>
      <c r="BN435" s="34" t="n"/>
      <c r="BO435" s="34" t="n"/>
      <c r="BP435" s="34" t="n"/>
      <c r="BQ435" s="211">
        <f>IFERROR(-(BQ355-N(BQ352)),"n/a")</f>
        <v>-116344</v>
      </c>
      <c r="BR435" s="34" t="n"/>
      <c r="BS435" s="34" t="n"/>
      <c r="BT435" s="34" t="n"/>
      <c r="BU435" s="34" t="n"/>
      <c r="BV435" s="211">
        <f>IFERROR(-(BV355-N(BV352)),"n/a")</f>
        <v>-138219</v>
      </c>
      <c r="BW435" s="34" t="n"/>
      <c r="BX435" s="34" t="n"/>
      <c r="BY435" s="34" t="n"/>
      <c r="BZ435" s="34" t="n"/>
      <c r="CA435" s="211">
        <f>IFERROR(-(CA355-N(CA352)),"n/a")</f>
        <v>-159598</v>
      </c>
      <c r="CB435" s="35" t="n"/>
      <c r="CC435" s="35" t="n"/>
      <c r="CD435" s="35" t="n"/>
      <c r="CE435" s="35" t="n"/>
      <c r="CF435" s="254">
        <f>IFERROR(-(CF355-N(CF352)),"n/a")</f>
        <v>-179629.480052128</v>
      </c>
      <c r="CG435" s="254">
        <f>IFERROR(-(CG355-N(CG352)),"n/a")</f>
        <v>-202698.556643784</v>
      </c>
      <c r="CH435" s="254">
        <f>IFERROR(-(CH355-N(CH352)),"n/a")</f>
        <v>-227568.501737856</v>
      </c>
      <c r="CI435" s="254">
        <f>IFERROR(-(CI355-N(CI352)),"n/a")</f>
        <v>-252793.212519026</v>
      </c>
      <c r="CJ435" s="254">
        <f>IFERROR(-(CJ355-N(CJ352)),"n/a")</f>
        <v>-277968.238366797</v>
      </c>
      <c r="CK435" s="19" t="n"/>
    </row>
    <row r="436" ht="15" customHeight="1" s="251">
      <c r="B436" s="25" t="inlineStr">
        <is>
          <t xml:space="preserve">  = Net tangible assets</t>
        </is>
      </c>
      <c r="C436" s="211">
        <f>IFERROR(SUM(C433:C435),"n/a")</f>
        <v>42750</v>
      </c>
      <c r="D436" s="211">
        <f>IFERROR(SUM(D433:D435),"n/a")</f>
        <v>33779</v>
      </c>
      <c r="E436" s="211">
        <f>IFERROR(SUM(E433:E435),"n/a")</f>
        <v>28826</v>
      </c>
      <c r="F436" s="211">
        <f>IFERROR(SUM(F433:F435),"n/a")</f>
        <v>38592</v>
      </c>
      <c r="G436" s="211">
        <f>IFERROR(SUM(G433:G435),"n/a")</f>
        <v>47414</v>
      </c>
      <c r="H436" s="211">
        <f>IFERROR(SUM(H433:H435),"n/a")</f>
        <v>66605</v>
      </c>
      <c r="I436" s="211">
        <f>IFERROR(SUM(I433:I435),"n/a")</f>
        <v>73192</v>
      </c>
      <c r="J436" s="34" t="n"/>
      <c r="K436" s="34" t="n"/>
      <c r="L436" s="34" t="n"/>
      <c r="M436" s="34" t="n"/>
      <c r="N436" s="211">
        <f>IFERROR(SUM(N433:N435),"n/a")</f>
        <v>90275</v>
      </c>
      <c r="O436" s="34" t="n"/>
      <c r="P436" s="34" t="n"/>
      <c r="Q436" s="34" t="n"/>
      <c r="R436" s="34" t="n"/>
      <c r="S436" s="211">
        <f>IFERROR(SUM(S433:S435),"n/a")</f>
        <v>101651</v>
      </c>
      <c r="T436" s="34" t="n"/>
      <c r="U436" s="34" t="n"/>
      <c r="V436" s="34" t="n"/>
      <c r="W436" s="34" t="n"/>
      <c r="X436" s="211">
        <f>IFERROR(SUM(X433:X435),"n/a")</f>
        <v>112075</v>
      </c>
      <c r="Y436" s="34" t="n"/>
      <c r="Z436" s="34" t="n"/>
      <c r="AA436" s="34" t="n"/>
      <c r="AB436" s="34" t="n"/>
      <c r="AC436" s="211">
        <f>IFERROR(SUM(AC433:AC435),"n/a")</f>
        <v>125636</v>
      </c>
      <c r="AD436" s="34" t="n"/>
      <c r="AE436" s="34" t="n"/>
      <c r="AF436" s="34" t="n"/>
      <c r="AG436" s="34" t="n"/>
      <c r="AH436" s="211">
        <f>IFERROR(SUM(AH433:AH435),"n/a")</f>
        <v>141452</v>
      </c>
      <c r="AI436" s="34" t="n"/>
      <c r="AJ436" s="34" t="n"/>
      <c r="AK436" s="34" t="n"/>
      <c r="AL436" s="34" t="n"/>
      <c r="AM436" s="211">
        <f>IFERROR(SUM(AM433:AM435),"n/a")</f>
        <v>160622</v>
      </c>
      <c r="AN436" s="34" t="n"/>
      <c r="AO436" s="34" t="n"/>
      <c r="AP436" s="34" t="n"/>
      <c r="AQ436" s="34" t="n"/>
      <c r="AR436" s="211">
        <f>IFERROR(SUM(AR433:AR435),"n/a")</f>
        <v>172876</v>
      </c>
      <c r="AS436" s="34" t="n"/>
      <c r="AT436" s="34" t="n"/>
      <c r="AU436" s="34" t="n"/>
      <c r="AV436" s="34" t="n"/>
      <c r="AW436" s="211">
        <f>IFERROR(SUM(AW433:AW435),"n/a")</f>
        <v>182361</v>
      </c>
      <c r="AX436" s="34" t="n"/>
      <c r="AY436" s="34" t="n"/>
      <c r="AZ436" s="34" t="n"/>
      <c r="BA436" s="34" t="n"/>
      <c r="BB436" s="211">
        <f>IFERROR(SUM(BB433:BB435),"n/a")</f>
        <v>195683</v>
      </c>
      <c r="BC436" s="34" t="n"/>
      <c r="BD436" s="34" t="n"/>
      <c r="BE436" s="34" t="n"/>
      <c r="BF436" s="34" t="n"/>
      <c r="BG436" s="211">
        <f>IFERROR(SUM(BG433:BG435),"n/a")</f>
        <v>193685</v>
      </c>
      <c r="BH436" s="34" t="n"/>
      <c r="BI436" s="34" t="n"/>
      <c r="BJ436" s="34" t="n"/>
      <c r="BK436" s="34" t="n"/>
      <c r="BL436" s="211">
        <f>IFERROR(SUM(BL433:BL435),"n/a")</f>
        <v>235822</v>
      </c>
      <c r="BM436" s="34" t="n"/>
      <c r="BN436" s="34" t="n"/>
      <c r="BO436" s="34" t="n"/>
      <c r="BP436" s="34" t="n"/>
      <c r="BQ436" s="211">
        <f>IFERROR(SUM(BQ433:BQ435),"n/a")</f>
        <v>249002</v>
      </c>
      <c r="BR436" s="34" t="n"/>
      <c r="BS436" s="34" t="n"/>
      <c r="BT436" s="34" t="n"/>
      <c r="BU436" s="34" t="n"/>
      <c r="BV436" s="211">
        <f>IFERROR(SUM(BV433:BV435),"n/a")</f>
        <v>338671</v>
      </c>
      <c r="BW436" s="34" t="n"/>
      <c r="BX436" s="34" t="n"/>
      <c r="BY436" s="34" t="n"/>
      <c r="BZ436" s="34" t="n"/>
      <c r="CA436" s="211">
        <f>IFERROR(SUM(CA433:CA435),"n/a")</f>
        <v>460518</v>
      </c>
      <c r="CB436" s="35" t="n"/>
      <c r="CC436" s="35" t="n"/>
      <c r="CD436" s="35" t="n"/>
      <c r="CE436" s="35" t="n"/>
      <c r="CF436" s="254">
        <f>IFERROR(SUM(CF433:CF435),"n/a")</f>
        <v>594425.018186255</v>
      </c>
      <c r="CG436" s="254">
        <f>IFERROR(SUM(CG433:CG435),"n/a")</f>
        <v>714337.938112682</v>
      </c>
      <c r="CH436" s="254">
        <f>IFERROR(SUM(CH433:CH435),"n/a")</f>
        <v>817968.557926857</v>
      </c>
      <c r="CI436" s="254">
        <f>IFERROR(SUM(CI433:CI435),"n/a")</f>
        <v>901636.352006019</v>
      </c>
      <c r="CJ436" s="254">
        <f>IFERROR(SUM(CJ433:CJ435),"n/a")</f>
        <v>974980.677125744</v>
      </c>
      <c r="CK436" s="19" t="n"/>
    </row>
    <row r="437" ht="15" customHeight="1" s="251">
      <c r="B437" s="55" t="inlineStr">
        <is>
          <t>RONTA = NOPAT / NTA</t>
        </is>
      </c>
      <c r="C437" s="291">
        <f>IFERROR(C432/C436,"n/a")</f>
        <v>0.26582630342878</v>
      </c>
      <c r="D437" s="291">
        <f>IFERROR(D432/D436,"n/a")</f>
        <v>0.383716130930671</v>
      </c>
      <c r="E437" s="291">
        <f>IFERROR(E432/E436,"n/a")</f>
        <v>0.57931952697701</v>
      </c>
      <c r="F437" s="291">
        <f>IFERROR(F432/F436,"n/a")</f>
        <v>0.387836480352806</v>
      </c>
      <c r="G437" s="291">
        <f>IFERROR(G432/G436,"n/a")</f>
        <v>0.381189961925919</v>
      </c>
      <c r="H437" s="291">
        <f>IFERROR(H432/H436,"n/a")</f>
        <v>0.336304000940102</v>
      </c>
      <c r="I437" s="291">
        <f>IFERROR(I432/I436,"n/a")</f>
        <v>0.296855505410069</v>
      </c>
      <c r="J437" s="56" t="n"/>
      <c r="K437" s="56" t="n"/>
      <c r="L437" s="56" t="n"/>
      <c r="M437" s="56" t="n"/>
      <c r="N437" s="291">
        <f>IFERROR(N432/N436,"n/a")</f>
        <v>0.241331736332455</v>
      </c>
      <c r="O437" s="56" t="n"/>
      <c r="P437" s="56" t="n"/>
      <c r="Q437" s="56" t="n"/>
      <c r="R437" s="56" t="n"/>
      <c r="S437" s="291">
        <f>IFERROR(S432/S436,"n/a")</f>
        <v>0.216678626530192</v>
      </c>
      <c r="T437" s="56" t="n"/>
      <c r="U437" s="56" t="n"/>
      <c r="V437" s="56" t="n"/>
      <c r="W437" s="56" t="n"/>
      <c r="X437" s="291">
        <f>IFERROR(X432/X436,"n/a")</f>
        <v>0.165608826972777</v>
      </c>
      <c r="Y437" s="56" t="n"/>
      <c r="Z437" s="56" t="n"/>
      <c r="AA437" s="56" t="n"/>
      <c r="AB437" s="56" t="n"/>
      <c r="AC437" s="291">
        <f>IFERROR(AC432/AC436,"n/a")</f>
        <v>0.189105022144116</v>
      </c>
      <c r="AD437" s="56" t="n"/>
      <c r="AE437" s="56" t="n"/>
      <c r="AF437" s="56" t="n"/>
      <c r="AG437" s="56" t="n"/>
      <c r="AH437" s="291">
        <f>IFERROR(AH432/AH436,"n/a")</f>
        <v>0.189986077109484</v>
      </c>
      <c r="AI437" s="56" t="n"/>
      <c r="AJ437" s="56" t="n"/>
      <c r="AK437" s="56" t="n"/>
      <c r="AL437" s="56" t="n"/>
      <c r="AM437" s="291">
        <f>IFERROR(AM432/AM436,"n/a")</f>
        <v>0.0991624917075484</v>
      </c>
      <c r="AN437" s="56" t="n"/>
      <c r="AO437" s="56" t="n"/>
      <c r="AP437" s="56" t="n"/>
      <c r="AQ437" s="56" t="n"/>
      <c r="AR437" s="291">
        <f>IFERROR(AR432/AR436,"n/a")</f>
        <v>0.223195941432824</v>
      </c>
      <c r="AS437" s="56" t="n"/>
      <c r="AT437" s="56" t="n"/>
      <c r="AU437" s="56" t="n"/>
      <c r="AV437" s="56" t="n"/>
      <c r="AW437" s="291">
        <f>IFERROR(AW432/AW436,"n/a")</f>
        <v>0.242468021641068</v>
      </c>
      <c r="AX437" s="56" t="n"/>
      <c r="AY437" s="56" t="n"/>
      <c r="AZ437" s="56" t="n"/>
      <c r="BA437" s="56" t="n"/>
      <c r="BB437" s="291">
        <f>IFERROR(BB432/BB436,"n/a")</f>
        <v>0.307890739907305</v>
      </c>
      <c r="BC437" s="56" t="n"/>
      <c r="BD437" s="56" t="n"/>
      <c r="BE437" s="56" t="n"/>
      <c r="BF437" s="56" t="n"/>
      <c r="BG437" s="291">
        <f>IFERROR(BG432/BG436,"n/a")</f>
        <v>0.374054095911064</v>
      </c>
      <c r="BH437" s="56" t="n"/>
      <c r="BI437" s="56" t="n"/>
      <c r="BJ437" s="56" t="n"/>
      <c r="BK437" s="56" t="n"/>
      <c r="BL437" s="291">
        <f>IFERROR(BL432/BL436,"n/a")</f>
        <v>0.308161714620688</v>
      </c>
      <c r="BM437" s="56" t="n"/>
      <c r="BN437" s="56" t="n"/>
      <c r="BO437" s="56" t="n"/>
      <c r="BP437" s="56" t="n"/>
      <c r="BQ437" s="291">
        <f>IFERROR(BQ432/BQ436,"n/a")</f>
        <v>0.359362223452823</v>
      </c>
      <c r="BR437" s="56" t="n"/>
      <c r="BS437" s="56" t="n"/>
      <c r="BT437" s="56" t="n"/>
      <c r="BU437" s="56" t="n"/>
      <c r="BV437" s="291">
        <f>IFERROR(BV432/BV436,"n/a")</f>
        <v>0.312601229946112</v>
      </c>
      <c r="BW437" s="56" t="n"/>
      <c r="BX437" s="56" t="n"/>
      <c r="BY437" s="56" t="n"/>
      <c r="BZ437" s="56" t="n"/>
      <c r="CA437" s="291">
        <f>IFERROR(CA432/CA436,"n/a")</f>
        <v>0.271708855185779</v>
      </c>
      <c r="CB437" s="56" t="n"/>
      <c r="CC437" s="56" t="n"/>
      <c r="CD437" s="56" t="n"/>
      <c r="CE437" s="56" t="n"/>
      <c r="CF437" s="291">
        <f>IFERROR(CF432/CF436,"n/a")</f>
        <v>0.242925353510908</v>
      </c>
      <c r="CG437" s="291">
        <f>IFERROR(CG432/CG436,"n/a")</f>
        <v>0.229951757878016</v>
      </c>
      <c r="CH437" s="291">
        <f>IFERROR(CH432/CH436,"n/a")</f>
        <v>0.231161653633761</v>
      </c>
      <c r="CI437" s="291">
        <f>IFERROR(CI432/CI436,"n/a")</f>
        <v>0.242127515003789</v>
      </c>
      <c r="CJ437" s="291">
        <f>IFERROR(CJ432/CJ436,"n/a")</f>
        <v>0.254401951425144</v>
      </c>
      <c r="CK437" s="153" t="n"/>
      <c r="CM437" s="37">
        <f>IFERROR(AVERAGE(CF437,CG437,CH437,CI437,CJ437),"n/m")</f>
        <v>0.240113646290324</v>
      </c>
      <c r="CN437" s="37">
        <f>IFERROR(AVERAGE(BG437,BL437,BQ437,BV437,CA437),"n/m")</f>
        <v>0.325177623823293</v>
      </c>
      <c r="CO437" s="37">
        <f>IFERROR(AVERAGE(AH437,AM437,AR437,AW437,BB437,BG437,BL437,BQ437,BV437,CA437),"n/m")</f>
        <v>0.268859139091469</v>
      </c>
      <c r="CP437" s="37">
        <f>IFERROR(AVERAGE(C437,D437,E437,F437,G437,H437,I437,N437,S437,X437,AC437,AH437,AM437,AR437,AW437,BB437,BG437,BL437,BQ437,BV437,CA437),"n/m")</f>
        <v>0.292017310136171</v>
      </c>
    </row>
    <row r="438" ht="15" customHeight="1" s="251">
      <c r="B438" s="25" t="inlineStr">
        <is>
          <t>Return on Equity (ROE)</t>
        </is>
      </c>
      <c r="CK438" s="153" t="n"/>
    </row>
    <row r="439" ht="15" customHeight="1" s="251">
      <c r="B439" s="25" t="inlineStr">
        <is>
          <t>Net income</t>
        </is>
      </c>
      <c r="C439" s="211">
        <f>C201</f>
        <v>12599</v>
      </c>
      <c r="D439" s="211">
        <f>D201</f>
        <v>14065</v>
      </c>
      <c r="E439" s="211">
        <f>E201</f>
        <v>17681</v>
      </c>
      <c r="F439" s="211">
        <f>F201</f>
        <v>14569</v>
      </c>
      <c r="G439" s="211">
        <f>G201</f>
        <v>18760</v>
      </c>
      <c r="H439" s="211">
        <f>H201</f>
        <v>23150</v>
      </c>
      <c r="I439" s="211">
        <f>I201</f>
        <v>16978</v>
      </c>
      <c r="J439" s="34" t="n"/>
      <c r="K439" s="34" t="n"/>
      <c r="L439" s="34" t="n"/>
      <c r="M439" s="34" t="n"/>
      <c r="N439" s="211">
        <f>N201</f>
        <v>21863</v>
      </c>
      <c r="O439" s="34" t="n"/>
      <c r="P439" s="34" t="n"/>
      <c r="Q439" s="34" t="n"/>
      <c r="R439" s="34" t="n"/>
      <c r="S439" s="211">
        <f>S201</f>
        <v>22074</v>
      </c>
      <c r="T439" s="34" t="n"/>
      <c r="U439" s="34" t="n"/>
      <c r="V439" s="34" t="n"/>
      <c r="W439" s="34" t="n"/>
      <c r="X439" s="211">
        <f>X201</f>
        <v>12193</v>
      </c>
      <c r="Y439" s="34" t="n"/>
      <c r="Z439" s="34" t="n"/>
      <c r="AA439" s="34" t="n"/>
      <c r="AB439" s="34" t="n"/>
      <c r="AC439" s="211">
        <f>AC201</f>
        <v>16798</v>
      </c>
      <c r="AD439" s="34" t="n"/>
      <c r="AE439" s="34" t="n"/>
      <c r="AF439" s="34" t="n"/>
      <c r="AG439" s="34" t="n"/>
      <c r="AH439" s="211">
        <f>AH201</f>
        <v>21204</v>
      </c>
      <c r="AI439" s="34" t="n"/>
      <c r="AJ439" s="34" t="n"/>
      <c r="AK439" s="34" t="n"/>
      <c r="AL439" s="34" t="n"/>
      <c r="AM439" s="211">
        <f>AM201</f>
        <v>16571</v>
      </c>
      <c r="AN439" s="34" t="n"/>
      <c r="AO439" s="34" t="n"/>
      <c r="AP439" s="34" t="n"/>
      <c r="AQ439" s="34" t="n"/>
      <c r="AR439" s="211">
        <f>AR201</f>
        <v>39240</v>
      </c>
      <c r="AS439" s="34" t="n"/>
      <c r="AT439" s="34" t="n"/>
      <c r="AU439" s="34" t="n"/>
      <c r="AV439" s="34" t="n"/>
      <c r="AW439" s="211">
        <f>AW201</f>
        <v>44281</v>
      </c>
      <c r="AX439" s="34" t="n"/>
      <c r="AY439" s="34" t="n"/>
      <c r="AZ439" s="34" t="n"/>
      <c r="BA439" s="34" t="n"/>
      <c r="BB439" s="211">
        <f>BB201</f>
        <v>61271</v>
      </c>
      <c r="BC439" s="34" t="n"/>
      <c r="BD439" s="34" t="n"/>
      <c r="BE439" s="34" t="n"/>
      <c r="BF439" s="34" t="n"/>
      <c r="BG439" s="211">
        <f>BG201</f>
        <v>72738</v>
      </c>
      <c r="BH439" s="34" t="n"/>
      <c r="BI439" s="34" t="n"/>
      <c r="BJ439" s="34" t="n"/>
      <c r="BK439" s="34" t="n"/>
      <c r="BL439" s="211">
        <f>BL201</f>
        <v>72361</v>
      </c>
      <c r="BM439" s="34" t="n"/>
      <c r="BN439" s="34" t="n"/>
      <c r="BO439" s="34" t="n"/>
      <c r="BP439" s="34" t="n"/>
      <c r="BQ439" s="211">
        <f>BQ201</f>
        <v>88136</v>
      </c>
      <c r="BR439" s="34" t="n"/>
      <c r="BS439" s="34" t="n"/>
      <c r="BT439" s="34" t="n"/>
      <c r="BU439" s="34" t="n"/>
      <c r="BV439" s="211">
        <f>BV201</f>
        <v>101832</v>
      </c>
      <c r="BW439" s="34" t="n"/>
      <c r="BX439" s="34" t="n"/>
      <c r="BY439" s="34" t="n"/>
      <c r="BZ439" s="34" t="n"/>
      <c r="CA439" s="211">
        <f>CA201</f>
        <v>133749</v>
      </c>
      <c r="CB439" s="35" t="n"/>
      <c r="CC439" s="35" t="n"/>
      <c r="CD439" s="35" t="n"/>
      <c r="CE439" s="35" t="n"/>
      <c r="CF439" s="254">
        <f>CF201</f>
        <v>144080.907678624</v>
      </c>
      <c r="CG439" s="254">
        <f>CG201</f>
        <v>162330.111225069</v>
      </c>
      <c r="CH439" s="254">
        <f>CH201</f>
        <v>186079.805839007</v>
      </c>
      <c r="CI439" s="254">
        <f>CI201</f>
        <v>214296.710383296</v>
      </c>
      <c r="CJ439" s="254">
        <f>CJ201</f>
        <v>243062.900482427</v>
      </c>
      <c r="CK439" s="19" t="n"/>
    </row>
    <row r="440" ht="15" customHeight="1" s="251">
      <c r="B440" s="25" t="inlineStr">
        <is>
          <t>Stockholders' equity</t>
        </is>
      </c>
      <c r="C440" s="211">
        <f>C359</f>
        <v>40104</v>
      </c>
      <c r="D440" s="211">
        <f>D359</f>
        <v>31097</v>
      </c>
      <c r="E440" s="211">
        <f>E359</f>
        <v>36286</v>
      </c>
      <c r="F440" s="211">
        <f>F359</f>
        <v>39558</v>
      </c>
      <c r="G440" s="211">
        <f>G359</f>
        <v>46175</v>
      </c>
      <c r="H440" s="211">
        <f>H359</f>
        <v>57083</v>
      </c>
      <c r="I440" s="211">
        <f>I359</f>
        <v>66363</v>
      </c>
      <c r="J440" s="34" t="n"/>
      <c r="K440" s="34" t="n"/>
      <c r="L440" s="34" t="n"/>
      <c r="M440" s="34" t="n"/>
      <c r="N440" s="211">
        <f>N359</f>
        <v>78944</v>
      </c>
      <c r="O440" s="34" t="n"/>
      <c r="P440" s="34" t="n"/>
      <c r="Q440" s="34" t="n"/>
      <c r="R440" s="34" t="n"/>
      <c r="S440" s="211">
        <f>S359</f>
        <v>89784</v>
      </c>
      <c r="T440" s="34" t="n"/>
      <c r="U440" s="34" t="n"/>
      <c r="V440" s="34" t="n"/>
      <c r="W440" s="34" t="n"/>
      <c r="X440" s="211">
        <f>X359</f>
        <v>80083</v>
      </c>
      <c r="Y440" s="34" t="n"/>
      <c r="Z440" s="34" t="n"/>
      <c r="AA440" s="34" t="n"/>
      <c r="AB440" s="34" t="n"/>
      <c r="AC440" s="211">
        <f>AC359</f>
        <v>71997</v>
      </c>
      <c r="AD440" s="34" t="n"/>
      <c r="AE440" s="34" t="n"/>
      <c r="AF440" s="34" t="n"/>
      <c r="AG440" s="34" t="n"/>
      <c r="AH440" s="211">
        <f>AH359</f>
        <v>72394</v>
      </c>
      <c r="AI440" s="34" t="n"/>
      <c r="AJ440" s="34" t="n"/>
      <c r="AK440" s="34" t="n"/>
      <c r="AL440" s="34" t="n"/>
      <c r="AM440" s="211">
        <f>AM359</f>
        <v>82718</v>
      </c>
      <c r="AN440" s="34" t="n"/>
      <c r="AO440" s="34" t="n"/>
      <c r="AP440" s="34" t="n"/>
      <c r="AQ440" s="34" t="n"/>
      <c r="AR440" s="211">
        <f>AR359</f>
        <v>102330</v>
      </c>
      <c r="AS440" s="34" t="n"/>
      <c r="AT440" s="34" t="n"/>
      <c r="AU440" s="34" t="n"/>
      <c r="AV440" s="34" t="n"/>
      <c r="AW440" s="211">
        <f>AW359</f>
        <v>118304</v>
      </c>
      <c r="AX440" s="34" t="n"/>
      <c r="AY440" s="34" t="n"/>
      <c r="AZ440" s="34" t="n"/>
      <c r="BA440" s="34" t="n"/>
      <c r="BB440" s="211">
        <f>BB359</f>
        <v>141988</v>
      </c>
      <c r="BC440" s="34" t="n"/>
      <c r="BD440" s="34" t="n"/>
      <c r="BE440" s="34" t="n"/>
      <c r="BF440" s="34" t="n"/>
      <c r="BG440" s="211">
        <f>BG359</f>
        <v>166542</v>
      </c>
      <c r="BH440" s="34" t="n"/>
      <c r="BI440" s="34" t="n"/>
      <c r="BJ440" s="34" t="n"/>
      <c r="BK440" s="34" t="n"/>
      <c r="BL440" s="211">
        <f>BL359</f>
        <v>206223</v>
      </c>
      <c r="BM440" s="34" t="n"/>
      <c r="BN440" s="34" t="n"/>
      <c r="BO440" s="34" t="n"/>
      <c r="BP440" s="34" t="n"/>
      <c r="BQ440" s="211">
        <f>BQ359</f>
        <v>268477</v>
      </c>
      <c r="BR440" s="34" t="n"/>
      <c r="BS440" s="34" t="n"/>
      <c r="BT440" s="34" t="n"/>
      <c r="BU440" s="34" t="n"/>
      <c r="BV440" s="211">
        <f>BV359</f>
        <v>343479</v>
      </c>
      <c r="BW440" s="34" t="n"/>
      <c r="BX440" s="34" t="n"/>
      <c r="BY440" s="34" t="n"/>
      <c r="BZ440" s="34" t="n"/>
      <c r="CA440" s="211">
        <f>CA359</f>
        <v>442387</v>
      </c>
      <c r="CB440" s="35" t="n"/>
      <c r="CC440" s="35" t="n"/>
      <c r="CD440" s="35" t="n"/>
      <c r="CE440" s="35" t="n"/>
      <c r="CF440" s="254">
        <f>CF359</f>
        <v>551908.816186255</v>
      </c>
      <c r="CG440" s="254">
        <f>CG359</f>
        <v>643201.02464016</v>
      </c>
      <c r="CH440" s="254">
        <f>CH359</f>
        <v>721229.409171137</v>
      </c>
      <c r="CI440" s="254">
        <f>CI359</f>
        <v>779706.060956862</v>
      </c>
      <c r="CJ440" s="254">
        <f>CJ359</f>
        <v>829439.434485014</v>
      </c>
      <c r="CK440" s="19" t="n"/>
    </row>
    <row r="441" ht="15" customHeight="1" s="251">
      <c r="B441" s="25" t="inlineStr">
        <is>
          <t>ROE = Net income / Equity</t>
        </is>
      </c>
      <c r="C441" s="215">
        <f>IFERROR(C439/C440,"n/a")</f>
        <v>0.314158188709356</v>
      </c>
      <c r="D441" s="215">
        <f>IFERROR(D439/D440,"n/a")</f>
        <v>0.452294433546644</v>
      </c>
      <c r="E441" s="215">
        <f>IFERROR(E439/E440,"n/a")</f>
        <v>0.487267816788844</v>
      </c>
      <c r="F441" s="215">
        <f>IFERROR(F439/F440,"n/a")</f>
        <v>0.368294655948228</v>
      </c>
      <c r="G441" s="215">
        <f>IFERROR(G439/G440,"n/a")</f>
        <v>0.406280454791554</v>
      </c>
      <c r="H441" s="215">
        <f>IFERROR(H439/H440,"n/a")</f>
        <v>0.405549813429568</v>
      </c>
      <c r="I441" s="215">
        <f>IFERROR(I439/I440,"n/a")</f>
        <v>0.255835329927821</v>
      </c>
      <c r="J441" s="34" t="n"/>
      <c r="K441" s="34" t="n"/>
      <c r="L441" s="34" t="n"/>
      <c r="M441" s="34" t="n"/>
      <c r="N441" s="215">
        <f>IFERROR(N439/N440,"n/a")</f>
        <v>0.276943149574382</v>
      </c>
      <c r="O441" s="34" t="n"/>
      <c r="P441" s="34" t="n"/>
      <c r="Q441" s="34" t="n"/>
      <c r="R441" s="34" t="n"/>
      <c r="S441" s="215">
        <f>IFERROR(S439/S440,"n/a")</f>
        <v>0.24585672280139</v>
      </c>
      <c r="T441" s="34" t="n"/>
      <c r="U441" s="34" t="n"/>
      <c r="V441" s="34" t="n"/>
      <c r="W441" s="34" t="n"/>
      <c r="X441" s="215">
        <f>IFERROR(X439/X440,"n/a")</f>
        <v>0.152254535918984</v>
      </c>
      <c r="Y441" s="34" t="n"/>
      <c r="Z441" s="34" t="n"/>
      <c r="AA441" s="34" t="n"/>
      <c r="AB441" s="34" t="n"/>
      <c r="AC441" s="215">
        <f>IFERROR(AC439/AC440,"n/a")</f>
        <v>0.233315277025432</v>
      </c>
      <c r="AD441" s="34" t="n"/>
      <c r="AE441" s="34" t="n"/>
      <c r="AF441" s="34" t="n"/>
      <c r="AG441" s="34" t="n"/>
      <c r="AH441" s="215">
        <f>IFERROR(AH439/AH440,"n/a")</f>
        <v>0.292897201425533</v>
      </c>
      <c r="AI441" s="34" t="n"/>
      <c r="AJ441" s="34" t="n"/>
      <c r="AK441" s="34" t="n"/>
      <c r="AL441" s="34" t="n"/>
      <c r="AM441" s="215">
        <f>IFERROR(AM439/AM440,"n/a")</f>
        <v>0.200331245919872</v>
      </c>
      <c r="AN441" s="34" t="n"/>
      <c r="AO441" s="34" t="n"/>
      <c r="AP441" s="34" t="n"/>
      <c r="AQ441" s="34" t="n"/>
      <c r="AR441" s="215">
        <f>IFERROR(AR439/AR440,"n/a")</f>
        <v>0.383465259454705</v>
      </c>
      <c r="AS441" s="34" t="n"/>
      <c r="AT441" s="34" t="n"/>
      <c r="AU441" s="34" t="n"/>
      <c r="AV441" s="34" t="n"/>
      <c r="AW441" s="215">
        <f>IFERROR(AW439/AW440,"n/a")</f>
        <v>0.374298417635921</v>
      </c>
      <c r="AX441" s="34" t="n"/>
      <c r="AY441" s="34" t="n"/>
      <c r="AZ441" s="34" t="n"/>
      <c r="BA441" s="34" t="n"/>
      <c r="BB441" s="215">
        <f>IFERROR(BB439/BB440,"n/a")</f>
        <v>0.431522382173141</v>
      </c>
      <c r="BC441" s="34" t="n"/>
      <c r="BD441" s="34" t="n"/>
      <c r="BE441" s="34" t="n"/>
      <c r="BF441" s="34" t="n"/>
      <c r="BG441" s="215">
        <f>IFERROR(BG439/BG440,"n/a")</f>
        <v>0.436754692509998</v>
      </c>
      <c r="BH441" s="34" t="n"/>
      <c r="BI441" s="34" t="n"/>
      <c r="BJ441" s="34" t="n"/>
      <c r="BK441" s="34" t="n"/>
      <c r="BL441" s="215">
        <f>IFERROR(BL439/BL440,"n/a")</f>
        <v>0.350887146438564</v>
      </c>
      <c r="BM441" s="34" t="n"/>
      <c r="BN441" s="34" t="n"/>
      <c r="BO441" s="34" t="n"/>
      <c r="BP441" s="34" t="n"/>
      <c r="BQ441" s="215">
        <f>IFERROR(BQ439/BQ440,"n/a")</f>
        <v>0.328281379782998</v>
      </c>
      <c r="BR441" s="34" t="n"/>
      <c r="BS441" s="34" t="n"/>
      <c r="BT441" s="34" t="n"/>
      <c r="BU441" s="34" t="n"/>
      <c r="BV441" s="215">
        <f>IFERROR(BV439/BV440,"n/a")</f>
        <v>0.296472273414095</v>
      </c>
      <c r="BW441" s="34" t="n"/>
      <c r="BX441" s="34" t="n"/>
      <c r="BY441" s="34" t="n"/>
      <c r="BZ441" s="34" t="n"/>
      <c r="CA441" s="215">
        <f>IFERROR(CA439/CA440,"n/a")</f>
        <v>0.30233483352811</v>
      </c>
      <c r="CB441" s="35" t="n"/>
      <c r="CC441" s="35" t="n"/>
      <c r="CD441" s="35" t="n"/>
      <c r="CE441" s="35" t="n"/>
      <c r="CF441" s="256">
        <f>IFERROR(CF439/CF440,"n/a")</f>
        <v>0.261059260974009</v>
      </c>
      <c r="CG441" s="256">
        <f>IFERROR(CG439/CG440,"n/a")</f>
        <v>0.252378502220024</v>
      </c>
      <c r="CH441" s="256">
        <f>IFERROR(CH439/CH440,"n/a")</f>
        <v>0.258003630291307</v>
      </c>
      <c r="CI441" s="256">
        <f>IFERROR(CI439/CI440,"n/a")</f>
        <v>0.274842945456022</v>
      </c>
      <c r="CJ441" s="256">
        <f>IFERROR(CJ439/CJ440,"n/a")</f>
        <v>0.29304478467839</v>
      </c>
      <c r="CK441" s="19" t="n"/>
      <c r="CM441" s="37">
        <f>IFERROR(AVERAGE(CF441,CG441,CH441,CI441,CJ441),"n/m")</f>
        <v>0.26786582472395</v>
      </c>
      <c r="CN441" s="37">
        <f>IFERROR(AVERAGE(BG441,BL441,BQ441,BV441,CA441),"n/m")</f>
        <v>0.342946065134753</v>
      </c>
      <c r="CO441" s="37">
        <f>IFERROR(AVERAGE(AH441,AM441,AR441,AW441,BB441,BG441,BL441,BQ441,BV441,CA441),"n/m")</f>
        <v>0.339724483228294</v>
      </c>
      <c r="CP441" s="37">
        <f>IFERROR(AVERAGE(C441,D441,E441,F441,G441,H441,I441,N441,S441,X441,AC441,AH441,AM441,AR441,AW441,BB441,BG441,BL441,BQ441,BV441,CA441),"n/m")</f>
        <v>0.333109295749769</v>
      </c>
    </row>
    <row r="442" ht="15" customHeight="1" s="251">
      <c r="B442" s="25" t="inlineStr">
        <is>
          <t>Leverage</t>
        </is>
      </c>
      <c r="CK442" s="153" t="n"/>
    </row>
    <row r="443" ht="15" customHeight="1" s="251">
      <c r="B443" s="25" t="inlineStr">
        <is>
          <t>Net debt (incl. finance leases) = Total debt + finance-lease liabilities − cash − short-term investments</t>
        </is>
      </c>
      <c r="C443" s="211">
        <f>C425</f>
        <v>-34161</v>
      </c>
      <c r="D443" s="211">
        <f>D425</f>
        <v>-23411</v>
      </c>
      <c r="E443" s="211">
        <f>E425</f>
        <v>-23662</v>
      </c>
      <c r="F443" s="211">
        <f>F425</f>
        <v>-25701</v>
      </c>
      <c r="G443" s="211">
        <f>G425</f>
        <v>-30849</v>
      </c>
      <c r="H443" s="211">
        <f>H425</f>
        <v>-40851</v>
      </c>
      <c r="I443" s="211">
        <f>I425</f>
        <v>-51096</v>
      </c>
      <c r="J443" s="34" t="n"/>
      <c r="K443" s="34" t="n"/>
      <c r="L443" s="34" t="n"/>
      <c r="M443" s="34" t="n"/>
      <c r="N443" s="211">
        <f>N425</f>
        <v>-61422</v>
      </c>
      <c r="O443" s="34" t="n"/>
      <c r="P443" s="34" t="n"/>
      <c r="Q443" s="34" t="n"/>
      <c r="R443" s="34" t="n"/>
      <c r="S443" s="211">
        <f>S425</f>
        <v>-63064</v>
      </c>
      <c r="T443" s="34" t="n"/>
      <c r="U443" s="34" t="n"/>
      <c r="V443" s="34" t="n"/>
      <c r="W443" s="34" t="n"/>
      <c r="X443" s="211">
        <f>X425</f>
        <v>-61234</v>
      </c>
      <c r="Y443" s="34" t="n"/>
      <c r="Z443" s="34" t="n"/>
      <c r="AA443" s="34" t="n"/>
      <c r="AB443" s="34" t="n"/>
      <c r="AC443" s="211">
        <f>AC425</f>
        <v>-59553</v>
      </c>
      <c r="AD443" s="34" t="n"/>
      <c r="AE443" s="34" t="n"/>
      <c r="AF443" s="34" t="n"/>
      <c r="AG443" s="34" t="n"/>
      <c r="AH443" s="211">
        <f>AH425</f>
        <v>-44249</v>
      </c>
      <c r="AI443" s="34" t="n"/>
      <c r="AJ443" s="34" t="n"/>
      <c r="AK443" s="34" t="n"/>
      <c r="AL443" s="34" t="n"/>
      <c r="AM443" s="211">
        <f>AM425</f>
        <v>-53227</v>
      </c>
      <c r="AN443" s="34" t="n"/>
      <c r="AO443" s="34" t="n"/>
      <c r="AP443" s="34" t="n"/>
      <c r="AQ443" s="34" t="n"/>
      <c r="AR443" s="211">
        <f>AR425</f>
        <v>-55067</v>
      </c>
      <c r="AS443" s="34" t="n"/>
      <c r="AT443" s="34" t="n"/>
      <c r="AU443" s="34" t="n"/>
      <c r="AV443" s="34" t="n"/>
      <c r="AW443" s="211">
        <f>AW425</f>
        <v>-63704</v>
      </c>
      <c r="AX443" s="34" t="n"/>
      <c r="AY443" s="34" t="n"/>
      <c r="AZ443" s="34" t="n"/>
      <c r="BA443" s="34" t="n"/>
      <c r="BB443" s="211">
        <f>BB425</f>
        <v>-59647</v>
      </c>
      <c r="BC443" s="34" t="n"/>
      <c r="BD443" s="34" t="n"/>
      <c r="BE443" s="34" t="n"/>
      <c r="BF443" s="34" t="n"/>
      <c r="BG443" s="211">
        <f>BG425</f>
        <v>-40074</v>
      </c>
      <c r="BH443" s="34" t="n"/>
      <c r="BI443" s="34" t="n"/>
      <c r="BJ443" s="34" t="n"/>
      <c r="BK443" s="34" t="n"/>
      <c r="BL443" s="211">
        <f>BL425</f>
        <v>-46958</v>
      </c>
      <c r="BM443" s="34" t="n"/>
      <c r="BN443" s="34" t="n"/>
      <c r="BO443" s="34" t="n"/>
      <c r="BP443" s="34" t="n"/>
      <c r="BQ443" s="211">
        <f>BQ425</f>
        <v>3232</v>
      </c>
      <c r="BR443" s="34" t="n"/>
      <c r="BS443" s="34" t="n"/>
      <c r="BT443" s="34" t="n"/>
      <c r="BU443" s="34" t="n"/>
      <c r="BV443" s="211">
        <f>BV425</f>
        <v>-5242</v>
      </c>
      <c r="BW443" s="34" t="n"/>
      <c r="BX443" s="34" t="n"/>
      <c r="BY443" s="34" t="n"/>
      <c r="BZ443" s="34" t="n"/>
      <c r="CA443" s="211">
        <f>CA425</f>
        <v>30045</v>
      </c>
      <c r="CB443" s="35" t="n"/>
      <c r="CC443" s="35" t="n"/>
      <c r="CD443" s="35" t="n"/>
      <c r="CE443" s="35" t="n"/>
      <c r="CF443" s="254">
        <f>CF425</f>
        <v>58176.202</v>
      </c>
      <c r="CG443" s="254">
        <f>CG425</f>
        <v>87531.6277582356</v>
      </c>
      <c r="CH443" s="254">
        <f>CH425</f>
        <v>113937.005898577</v>
      </c>
      <c r="CI443" s="254">
        <f>CI425</f>
        <v>140269.719620586</v>
      </c>
      <c r="CJ443" s="254">
        <f>CJ425</f>
        <v>165242.671212158</v>
      </c>
      <c r="CK443" s="19" t="n"/>
    </row>
    <row r="444" ht="15" customHeight="1" s="251">
      <c r="B444" s="25" t="inlineStr">
        <is>
          <t>Adjusted EBITDA (model)</t>
        </is>
      </c>
      <c r="C444" s="211">
        <f>C242</f>
        <v>17375</v>
      </c>
      <c r="D444" s="211">
        <f>D242</f>
        <v>19964</v>
      </c>
      <c r="E444" s="211">
        <f>E242</f>
        <v>24548</v>
      </c>
      <c r="F444" s="211">
        <f>F242</f>
        <v>22925</v>
      </c>
      <c r="G444" s="211">
        <f>G242</f>
        <v>26771</v>
      </c>
      <c r="H444" s="211">
        <f>H242</f>
        <v>29927</v>
      </c>
      <c r="I444" s="211">
        <f>I242</f>
        <v>31463</v>
      </c>
      <c r="J444" s="34" t="n"/>
      <c r="K444" s="34" t="n"/>
      <c r="L444" s="34" t="n"/>
      <c r="M444" s="34" t="n"/>
      <c r="N444" s="211">
        <f>N242</f>
        <v>30712</v>
      </c>
      <c r="O444" s="34" t="n"/>
      <c r="P444" s="34" t="n"/>
      <c r="Q444" s="34" t="n"/>
      <c r="R444" s="34" t="n"/>
      <c r="S444" s="211">
        <f>S242</f>
        <v>32971</v>
      </c>
      <c r="T444" s="34" t="n"/>
      <c r="U444" s="34" t="n"/>
      <c r="V444" s="34" t="n"/>
      <c r="W444" s="34" t="n"/>
      <c r="X444" s="211">
        <f>X242</f>
        <v>34129</v>
      </c>
      <c r="Y444" s="34" t="n"/>
      <c r="Z444" s="34" t="n"/>
      <c r="AA444" s="34" t="n"/>
      <c r="AB444" s="34" t="n"/>
      <c r="AC444" s="211">
        <f>AC242</f>
        <v>34557</v>
      </c>
      <c r="AD444" s="34" t="n"/>
      <c r="AE444" s="34" t="n"/>
      <c r="AF444" s="34" t="n"/>
      <c r="AG444" s="34" t="n"/>
      <c r="AH444" s="211">
        <f>AH242</f>
        <v>38117</v>
      </c>
      <c r="AI444" s="34" t="n"/>
      <c r="AJ444" s="34" t="n"/>
      <c r="AK444" s="34" t="n"/>
      <c r="AL444" s="34" t="n"/>
      <c r="AM444" s="211">
        <f>AM242</f>
        <v>45319</v>
      </c>
      <c r="AN444" s="34" t="n"/>
      <c r="AO444" s="34" t="n"/>
      <c r="AP444" s="34" t="n"/>
      <c r="AQ444" s="34" t="n"/>
      <c r="AR444" s="211">
        <f>AR242</f>
        <v>54641</v>
      </c>
      <c r="AS444" s="34" t="n"/>
      <c r="AT444" s="34" t="n"/>
      <c r="AU444" s="34" t="n"/>
      <c r="AV444" s="34" t="n"/>
      <c r="AW444" s="211">
        <f>AW242</f>
        <v>65755</v>
      </c>
      <c r="AX444" s="34" t="n"/>
      <c r="AY444" s="34" t="n"/>
      <c r="AZ444" s="34" t="n"/>
      <c r="BA444" s="34" t="n"/>
      <c r="BB444" s="211">
        <f>BB242</f>
        <v>81602</v>
      </c>
      <c r="BC444" s="34" t="n"/>
      <c r="BD444" s="34" t="n"/>
      <c r="BE444" s="34" t="n"/>
      <c r="BF444" s="34" t="n"/>
      <c r="BG444" s="211">
        <f>BG242</f>
        <v>97843</v>
      </c>
      <c r="BH444" s="34" t="n"/>
      <c r="BI444" s="34" t="n"/>
      <c r="BJ444" s="34" t="n"/>
      <c r="BK444" s="34" t="n"/>
      <c r="BL444" s="211">
        <f>BL242</f>
        <v>103555</v>
      </c>
      <c r="BM444" s="34" t="n"/>
      <c r="BN444" s="34" t="n"/>
      <c r="BO444" s="34" t="n"/>
      <c r="BP444" s="34" t="n"/>
      <c r="BQ444" s="211">
        <f>BQ242</f>
        <v>131720</v>
      </c>
      <c r="BR444" s="34" t="n"/>
      <c r="BS444" s="34" t="n"/>
      <c r="BT444" s="34" t="n"/>
      <c r="BU444" s="34" t="n"/>
      <c r="BV444" s="211">
        <f>BV242</f>
        <v>162681</v>
      </c>
      <c r="BW444" s="34" t="n"/>
      <c r="BX444" s="34" t="n"/>
      <c r="BY444" s="34" t="n"/>
      <c r="BZ444" s="34" t="n"/>
      <c r="CA444" s="211">
        <f>CA242</f>
        <v>193771</v>
      </c>
      <c r="CB444" s="35" t="n"/>
      <c r="CC444" s="35" t="n"/>
      <c r="CD444" s="35" t="n"/>
      <c r="CE444" s="35" t="n"/>
      <c r="CF444" s="254">
        <f>CF242</f>
        <v>236821.05459828</v>
      </c>
      <c r="CG444" s="254">
        <f>CG242</f>
        <v>283174.463126593</v>
      </c>
      <c r="CH444" s="254">
        <f>CH242</f>
        <v>335306.703392092</v>
      </c>
      <c r="CI444" s="254">
        <f>CI242</f>
        <v>389934.941497476</v>
      </c>
      <c r="CJ444" s="254">
        <f>CJ242</f>
        <v>441920.381860219</v>
      </c>
      <c r="CK444" s="19" t="n"/>
    </row>
    <row r="445" ht="15" customHeight="1" s="251">
      <c r="B445" s="55" t="inlineStr">
        <is>
          <t>Net debt / adjusted EBITDA (x)</t>
        </is>
      </c>
      <c r="C445" s="292">
        <f>IFERROR(C443/C444,"n/a")</f>
        <v>-1.96610071942446</v>
      </c>
      <c r="D445" s="292">
        <f>IFERROR(D443/D444,"n/a")</f>
        <v>-1.17266078942096</v>
      </c>
      <c r="E445" s="292">
        <f>IFERROR(E443/E444,"n/a")</f>
        <v>-0.963907446635164</v>
      </c>
      <c r="F445" s="292">
        <f>IFERROR(F443/F444,"n/a")</f>
        <v>-1.12109051254089</v>
      </c>
      <c r="G445" s="292">
        <f>IFERROR(G443/G444,"n/a")</f>
        <v>-1.15232901273766</v>
      </c>
      <c r="H445" s="292">
        <f>IFERROR(H443/H444,"n/a")</f>
        <v>-1.36502155244428</v>
      </c>
      <c r="I445" s="292">
        <f>IFERROR(I443/I444,"n/a")</f>
        <v>-1.62400279693608</v>
      </c>
      <c r="J445" s="56" t="n"/>
      <c r="K445" s="56" t="n"/>
      <c r="L445" s="56" t="n"/>
      <c r="M445" s="56" t="n"/>
      <c r="N445" s="292">
        <f>IFERROR(N443/N444,"n/a")</f>
        <v>-1.99993487887471</v>
      </c>
      <c r="O445" s="56" t="n"/>
      <c r="P445" s="56" t="n"/>
      <c r="Q445" s="56" t="n"/>
      <c r="R445" s="56" t="n"/>
      <c r="S445" s="292">
        <f>IFERROR(S443/S444,"n/a")</f>
        <v>-1.91271117042249</v>
      </c>
      <c r="T445" s="56" t="n"/>
      <c r="U445" s="56" t="n"/>
      <c r="V445" s="56" t="n"/>
      <c r="W445" s="56" t="n"/>
      <c r="X445" s="292">
        <f>IFERROR(X443/X444,"n/a")</f>
        <v>-1.79419262211023</v>
      </c>
      <c r="Y445" s="56" t="n"/>
      <c r="Z445" s="56" t="n"/>
      <c r="AA445" s="56" t="n"/>
      <c r="AB445" s="56" t="n"/>
      <c r="AC445" s="292">
        <f>IFERROR(AC443/AC444,"n/a")</f>
        <v>-1.72332667766299</v>
      </c>
      <c r="AD445" s="56" t="n"/>
      <c r="AE445" s="56" t="n"/>
      <c r="AF445" s="56" t="n"/>
      <c r="AG445" s="56" t="n"/>
      <c r="AH445" s="292">
        <f>IFERROR(AH443/AH444,"n/a")</f>
        <v>-1.16087310124092</v>
      </c>
      <c r="AI445" s="56" t="n"/>
      <c r="AJ445" s="56" t="n"/>
      <c r="AK445" s="56" t="n"/>
      <c r="AL445" s="56" t="n"/>
      <c r="AM445" s="292">
        <f>IFERROR(AM443/AM444,"n/a")</f>
        <v>-1.17449634811006</v>
      </c>
      <c r="AN445" s="56" t="n"/>
      <c r="AO445" s="56" t="n"/>
      <c r="AP445" s="56" t="n"/>
      <c r="AQ445" s="56" t="n"/>
      <c r="AR445" s="292">
        <f>IFERROR(AR443/AR444,"n/a")</f>
        <v>-1.00779634340514</v>
      </c>
      <c r="AS445" s="56" t="n"/>
      <c r="AT445" s="56" t="n"/>
      <c r="AU445" s="56" t="n"/>
      <c r="AV445" s="56" t="n"/>
      <c r="AW445" s="292">
        <f>IFERROR(AW443/AW444,"n/a")</f>
        <v>-0.968808455630751</v>
      </c>
      <c r="AX445" s="56" t="n"/>
      <c r="AY445" s="56" t="n"/>
      <c r="AZ445" s="56" t="n"/>
      <c r="BA445" s="56" t="n"/>
      <c r="BB445" s="292">
        <f>IFERROR(BB443/BB444,"n/a")</f>
        <v>-0.730950221808289</v>
      </c>
      <c r="BC445" s="56" t="n"/>
      <c r="BD445" s="56" t="n"/>
      <c r="BE445" s="56" t="n"/>
      <c r="BF445" s="56" t="n"/>
      <c r="BG445" s="292">
        <f>IFERROR(BG443/BG444,"n/a")</f>
        <v>-0.40957452244923</v>
      </c>
      <c r="BH445" s="56" t="n"/>
      <c r="BI445" s="56" t="n"/>
      <c r="BJ445" s="56" t="n"/>
      <c r="BK445" s="56" t="n"/>
      <c r="BL445" s="292">
        <f>IFERROR(BL443/BL444,"n/a")</f>
        <v>-0.45345951426778</v>
      </c>
      <c r="BM445" s="56" t="n"/>
      <c r="BN445" s="56" t="n"/>
      <c r="BO445" s="56" t="n"/>
      <c r="BP445" s="56" t="n"/>
      <c r="BQ445" s="292">
        <f>IFERROR(BQ443/BQ444,"n/a")</f>
        <v>0.0245368964470088</v>
      </c>
      <c r="BR445" s="56" t="n"/>
      <c r="BS445" s="56" t="n"/>
      <c r="BT445" s="56" t="n"/>
      <c r="BU445" s="56" t="n"/>
      <c r="BV445" s="292">
        <f>IFERROR(BV443/BV444,"n/a")</f>
        <v>-0.032222570552185</v>
      </c>
      <c r="BW445" s="56" t="n"/>
      <c r="BX445" s="56" t="n"/>
      <c r="BY445" s="56" t="n"/>
      <c r="BZ445" s="56" t="n"/>
      <c r="CA445" s="292">
        <f>IFERROR(CA443/CA444,"n/a")</f>
        <v>0.155054161871488</v>
      </c>
      <c r="CB445" s="56" t="n"/>
      <c r="CC445" s="56" t="n"/>
      <c r="CD445" s="56" t="n"/>
      <c r="CE445" s="56" t="n"/>
      <c r="CF445" s="292">
        <f>IFERROR(CF443/CF444,"n/a")</f>
        <v>0.245654686821172</v>
      </c>
      <c r="CG445" s="292">
        <f>IFERROR(CG443/CG444,"n/a")</f>
        <v>0.309108479598687</v>
      </c>
      <c r="CH445" s="292">
        <f>IFERROR(CH443/CH444,"n/a")</f>
        <v>0.339799367999347</v>
      </c>
      <c r="CI445" s="292">
        <f>IFERROR(CI443/CI444,"n/a")</f>
        <v>0.35972595603232</v>
      </c>
      <c r="CJ445" s="292">
        <f>IFERROR(CJ443/CJ444,"n/a")</f>
        <v>0.373919552016555</v>
      </c>
      <c r="CK445" s="153" t="n"/>
      <c r="CM445" s="37">
        <f>IFERROR(AVERAGE(CF445,CG445,CH445,CI445,CJ445),"n/m")</f>
        <v>0.325641608493616</v>
      </c>
      <c r="CN445" s="37">
        <f>IFERROR(AVERAGE(BG445,BL445,BQ445,BV445,CA445),"n/m")</f>
        <v>-0.14313310979014</v>
      </c>
      <c r="CO445" s="37">
        <f>IFERROR(AVERAGE(AH445,AM445,AR445,AW445,BB445,BG445,BL445,BQ445,BV445,CA445),"n/m")</f>
        <v>-0.575859001914586</v>
      </c>
      <c r="CP445" s="37">
        <f>IFERROR(AVERAGE(C445,D445,E445,F445,G445,H445,I445,N445,S445,X445,AC445,AH445,AM445,AR445,AW445,BB445,BG445,BL445,BQ445,BV445,CA445),"n/m")</f>
        <v>-1.07399372373123</v>
      </c>
    </row>
    <row r="446" ht="15" customHeight="1" s="251">
      <c r="B446" s="25" t="inlineStr">
        <is>
          <t>Total debt (excl. finance leases) / EBITDA (x)</t>
        </is>
      </c>
      <c r="C446" s="278">
        <f>IFERROR(C394/C240,"n/a")</f>
        <v>0</v>
      </c>
      <c r="D446" s="278">
        <f>IFERROR(D394/D240,"n/a")</f>
        <v>0</v>
      </c>
      <c r="E446" s="278">
        <f>IFERROR(E394/E240,"n/a")</f>
        <v>0</v>
      </c>
      <c r="F446" s="278">
        <f>IFERROR(F394/F240,"n/a")</f>
        <v>0.250643402399128</v>
      </c>
      <c r="G446" s="278">
        <f>IFERROR(G394/G240,"n/a")</f>
        <v>0.221844533263606</v>
      </c>
      <c r="H446" s="278">
        <f>IFERROR(H394/H240,"n/a")</f>
        <v>0.398335950813647</v>
      </c>
      <c r="I446" s="278">
        <f>IFERROR(I394/I240,"n/a")</f>
        <v>0.482976142337242</v>
      </c>
      <c r="J446" s="34" t="n"/>
      <c r="K446" s="34" t="n"/>
      <c r="L446" s="34" t="n"/>
      <c r="M446" s="34" t="n"/>
      <c r="N446" s="278">
        <f>IFERROR(N394/N240,"n/a")</f>
        <v>0.511156984173793</v>
      </c>
      <c r="O446" s="34" t="n"/>
      <c r="P446" s="34" t="n"/>
      <c r="Q446" s="34" t="n"/>
      <c r="R446" s="34" t="n"/>
      <c r="S446" s="278">
        <f>IFERROR(S394/S240,"n/a")</f>
        <v>0.68681568651239</v>
      </c>
      <c r="T446" s="34" t="n"/>
      <c r="U446" s="34" t="n"/>
      <c r="V446" s="34" t="n"/>
      <c r="W446" s="34" t="n"/>
      <c r="X446" s="278">
        <f>IFERROR(X394/X240,"n/a")</f>
        <v>1.46330541504271</v>
      </c>
      <c r="Y446" s="34" t="n"/>
      <c r="Z446" s="34" t="n"/>
      <c r="AA446" s="34" t="n"/>
      <c r="AB446" s="34" t="n"/>
      <c r="AC446" s="278">
        <f>IFERROR(AC394/AC240,"n/a")</f>
        <v>2.00294732129533</v>
      </c>
      <c r="AD446" s="34" t="n"/>
      <c r="AE446" s="34" t="n"/>
      <c r="AF446" s="34" t="n"/>
      <c r="AG446" s="34" t="n"/>
      <c r="AH446" s="278">
        <f>IFERROR(AH394/AH240,"n/a")</f>
        <v>2.77115483539095</v>
      </c>
      <c r="AI446" s="34" t="n"/>
      <c r="AJ446" s="34" t="n"/>
      <c r="AK446" s="34" t="n"/>
      <c r="AL446" s="34" t="n"/>
      <c r="AM446" s="278">
        <f>IFERROR(AM394/AM240,"n/a")</f>
        <v>1.68229660848651</v>
      </c>
      <c r="AN446" s="34" t="n"/>
      <c r="AO446" s="34" t="n"/>
      <c r="AP446" s="34" t="n"/>
      <c r="AQ446" s="34" t="n"/>
      <c r="AR446" s="278">
        <f>IFERROR(AR394/AR240,"n/a")</f>
        <v>1.32094947017807</v>
      </c>
      <c r="AS446" s="34" t="n"/>
      <c r="AT446" s="34" t="n"/>
      <c r="AU446" s="34" t="n"/>
      <c r="AV446" s="34" t="n"/>
      <c r="AW446" s="278">
        <f>IFERROR(AW394/AW240,"n/a")</f>
        <v>0.963075051326895</v>
      </c>
      <c r="AX446" s="34" t="n"/>
      <c r="AY446" s="34" t="n"/>
      <c r="AZ446" s="34" t="n"/>
      <c r="BA446" s="34" t="n"/>
      <c r="BB446" s="278">
        <f>IFERROR(BB394/BB240,"n/a")</f>
        <v>0.712556064802333</v>
      </c>
      <c r="BC446" s="34" t="n"/>
      <c r="BD446" s="34" t="n"/>
      <c r="BE446" s="34" t="n"/>
      <c r="BF446" s="34" t="n"/>
      <c r="BG446" s="278">
        <f>IFERROR(BG394/BG240,"n/a")</f>
        <v>0.508784481260795</v>
      </c>
      <c r="BH446" s="34" t="n"/>
      <c r="BI446" s="34" t="n"/>
      <c r="BJ446" s="34" t="n"/>
      <c r="BK446" s="34" t="n"/>
      <c r="BL446" s="278">
        <f>IFERROR(BL394/BL240,"n/a")</f>
        <v>0.461370917330833</v>
      </c>
      <c r="BM446" s="34" t="n"/>
      <c r="BN446" s="34" t="n"/>
      <c r="BO446" s="34" t="n"/>
      <c r="BP446" s="34" t="n"/>
      <c r="BQ446" s="278">
        <f>IFERROR(BQ394/BQ240,"n/a")</f>
        <v>0.391967810507136</v>
      </c>
      <c r="BR446" s="34" t="n"/>
      <c r="BS446" s="34" t="n"/>
      <c r="BT446" s="34" t="n"/>
      <c r="BU446" s="34" t="n"/>
      <c r="BV446" s="278">
        <f>IFERROR(BV394/BV240,"n/a")</f>
        <v>0.265249168618339</v>
      </c>
      <c r="BW446" s="34" t="n"/>
      <c r="BX446" s="34" t="n"/>
      <c r="BY446" s="34" t="n"/>
      <c r="BZ446" s="34" t="n"/>
      <c r="CA446" s="278">
        <f>IFERROR(CA394/CA240,"n/a")</f>
        <v>0.207946493541345</v>
      </c>
      <c r="CB446" s="35" t="n"/>
      <c r="CC446" s="35" t="n"/>
      <c r="CD446" s="35" t="n"/>
      <c r="CE446" s="35" t="n"/>
      <c r="CF446" s="279">
        <f>IFERROR(CF394/CF240,"n/a")</f>
        <v>0.131086317695274</v>
      </c>
      <c r="CG446" s="279">
        <f>IFERROR(CG394/CG240,"n/a")</f>
        <v>0.109628529554665</v>
      </c>
      <c r="CH446" s="279">
        <f>IFERROR(CH394/CH240,"n/a")</f>
        <v>0.0866162224202196</v>
      </c>
      <c r="CI446" s="279">
        <f>IFERROR(CI394/CI240,"n/a")</f>
        <v>0.0744816555512197</v>
      </c>
      <c r="CJ446" s="279">
        <f>IFERROR(CJ394/CJ240,"n/a")</f>
        <v>0.0645885575131229</v>
      </c>
      <c r="CK446" s="19" t="n"/>
    </row>
    <row r="447" ht="15" customHeight="1" s="251">
      <c r="CS447" s="11" t="n"/>
      <c r="CT447" s="12" t="n"/>
      <c r="CU447" s="12" t="n"/>
      <c r="CV447" s="12" t="n"/>
      <c r="CW447" s="13" t="n"/>
    </row>
    <row r="448" ht="15" customHeight="1" s="251">
      <c r="B448" s="10" t="inlineStr">
        <is>
          <t>VALUATION</t>
        </is>
      </c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  <c r="AD448" s="10" t="n"/>
      <c r="AE448" s="10" t="n"/>
      <c r="AF448" s="10" t="n"/>
      <c r="AG448" s="10" t="n"/>
      <c r="AH448" s="10" t="n"/>
      <c r="AI448" s="10" t="n"/>
      <c r="AJ448" s="10" t="n"/>
      <c r="AK448" s="10" t="n"/>
      <c r="AL448" s="10" t="n"/>
      <c r="AM448" s="10" t="n"/>
      <c r="AN448" s="10" t="n"/>
      <c r="AO448" s="10" t="n"/>
      <c r="AP448" s="10" t="n"/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0" t="n"/>
      <c r="BC448" s="10" t="n"/>
      <c r="BD448" s="10" t="n"/>
      <c r="BE448" s="10" t="n"/>
      <c r="BF448" s="10" t="n"/>
      <c r="BG448" s="10" t="n"/>
      <c r="BH448" s="10" t="n"/>
      <c r="BI448" s="10" t="n"/>
      <c r="BJ448" s="10" t="n"/>
      <c r="BK448" s="10" t="n"/>
      <c r="BL448" s="10" t="n"/>
      <c r="BM448" s="10" t="n"/>
      <c r="BN448" s="10" t="n"/>
      <c r="BO448" s="10" t="n"/>
      <c r="BP448" s="10" t="n"/>
      <c r="BQ448" s="10" t="n"/>
      <c r="BR448" s="10" t="n"/>
      <c r="BS448" s="10" t="n"/>
      <c r="BT448" s="10" t="n"/>
      <c r="BU448" s="10" t="n"/>
      <c r="BV448" s="10" t="n"/>
      <c r="BW448" s="10" t="n"/>
      <c r="BX448" s="10" t="n"/>
      <c r="BY448" s="10" t="n"/>
      <c r="BZ448" s="10" t="n"/>
      <c r="CA448" s="10" t="n"/>
      <c r="CB448" s="10" t="n"/>
      <c r="CC448" s="10" t="n"/>
      <c r="CD448" s="10" t="n"/>
      <c r="CE448" s="10" t="n"/>
      <c r="CF448" s="10" t="n"/>
      <c r="CG448" s="10" t="n"/>
      <c r="CH448" s="10" t="n"/>
      <c r="CI448" s="10" t="n"/>
      <c r="CJ448" s="10" t="n"/>
      <c r="CK448" s="10" t="inlineStr">
        <is>
          <t>VALUATION — share price input $541 (user-provided, 12-Oct-2026); update to market</t>
        </is>
      </c>
    </row>
    <row r="449" ht="15" customHeight="1" s="251">
      <c r="B449" s="69" t="inlineStr">
        <is>
          <t>Share price ($) — current</t>
        </is>
      </c>
      <c r="C449" s="44" t="n"/>
      <c r="D449" s="44" t="n"/>
      <c r="E449" s="44" t="n"/>
      <c r="F449" s="44" t="n"/>
      <c r="G449" s="44" t="n"/>
      <c r="H449" s="44" t="n"/>
      <c r="I449" s="44" t="n"/>
      <c r="J449" s="44" t="n"/>
      <c r="K449" s="44" t="n"/>
      <c r="L449" s="44" t="n"/>
      <c r="M449" s="44" t="n"/>
      <c r="N449" s="44" t="n"/>
      <c r="O449" s="44" t="n"/>
      <c r="P449" s="44" t="n"/>
      <c r="Q449" s="44" t="n"/>
      <c r="R449" s="44" t="n"/>
      <c r="S449" s="44" t="n"/>
      <c r="T449" s="44" t="n"/>
      <c r="U449" s="44" t="n"/>
      <c r="V449" s="44" t="n"/>
      <c r="W449" s="44" t="n"/>
      <c r="X449" s="44" t="n"/>
      <c r="Y449" s="44" t="n"/>
      <c r="Z449" s="44" t="n"/>
      <c r="AA449" s="44" t="n"/>
      <c r="AB449" s="44" t="n"/>
      <c r="AC449" s="44" t="n"/>
      <c r="AD449" s="44" t="n"/>
      <c r="AE449" s="44" t="n"/>
      <c r="AF449" s="44" t="n"/>
      <c r="AG449" s="44" t="n"/>
      <c r="AH449" s="44" t="n"/>
      <c r="AI449" s="44" t="n"/>
      <c r="AJ449" s="44" t="n"/>
      <c r="AK449" s="44" t="n"/>
      <c r="AL449" s="44" t="n"/>
      <c r="AM449" s="44" t="n"/>
      <c r="AN449" s="44" t="n"/>
      <c r="AO449" s="44" t="n"/>
      <c r="AP449" s="44" t="n"/>
      <c r="AQ449" s="44" t="n"/>
      <c r="AR449" s="44" t="n"/>
      <c r="AS449" s="44" t="n"/>
      <c r="AT449" s="44" t="n"/>
      <c r="AU449" s="44" t="n"/>
      <c r="AV449" s="44" t="n"/>
      <c r="AW449" s="44" t="n"/>
      <c r="AX449" s="44" t="n"/>
      <c r="AY449" s="44" t="n"/>
      <c r="AZ449" s="44" t="n"/>
      <c r="BA449" s="44" t="n"/>
      <c r="BB449" s="44" t="n"/>
      <c r="BC449" s="44" t="n"/>
      <c r="BD449" s="44" t="n"/>
      <c r="BE449" s="44" t="n"/>
      <c r="BF449" s="44" t="n"/>
      <c r="BG449" s="44" t="n"/>
      <c r="BH449" s="44" t="n"/>
      <c r="BI449" s="44" t="n"/>
      <c r="BJ449" s="44" t="n"/>
      <c r="BK449" s="44" t="n"/>
      <c r="BL449" s="44" t="n"/>
      <c r="BM449" s="44" t="n"/>
      <c r="BN449" s="44" t="n"/>
      <c r="BO449" s="44" t="n"/>
      <c r="BP449" s="44" t="n"/>
      <c r="BQ449" s="44" t="n"/>
      <c r="BR449" s="44" t="n"/>
      <c r="BS449" s="44" t="n"/>
      <c r="BT449" s="44" t="n"/>
      <c r="BU449" s="44" t="n"/>
      <c r="BV449" s="44" t="n"/>
      <c r="BW449" s="44" t="n"/>
      <c r="BX449" s="44" t="n"/>
      <c r="BY449" s="44" t="n"/>
      <c r="BZ449" s="44" t="n"/>
      <c r="CA449" s="280" t="n">
        <v>541</v>
      </c>
      <c r="CB449" s="153" t="n"/>
      <c r="CC449" s="153" t="n"/>
      <c r="CD449" s="153" t="n"/>
      <c r="CE449" s="153" t="n"/>
      <c r="CF449" s="281">
        <f>CA449</f>
        <v>541</v>
      </c>
      <c r="CG449" s="281">
        <f>CF449</f>
        <v>541</v>
      </c>
      <c r="CH449" s="281">
        <f>CG449</f>
        <v>541</v>
      </c>
      <c r="CI449" s="281">
        <f>CH449</f>
        <v>541</v>
      </c>
      <c r="CJ449" s="281">
        <f>CI449</f>
        <v>541</v>
      </c>
      <c r="CK449" s="19" t="n"/>
    </row>
    <row r="450" ht="15" customHeight="1" s="251">
      <c r="B450" s="25" t="inlineStr">
        <is>
          <t>Diluted shares at period end (m)</t>
        </is>
      </c>
      <c r="C450" s="34" t="n"/>
      <c r="D450" s="34" t="n"/>
      <c r="E450" s="34" t="n"/>
      <c r="F450" s="34" t="n"/>
      <c r="G450" s="34" t="n"/>
      <c r="H450" s="34" t="n"/>
      <c r="I450" s="34" t="n"/>
      <c r="J450" s="34" t="n"/>
      <c r="K450" s="34" t="n"/>
      <c r="L450" s="34" t="n"/>
      <c r="M450" s="34" t="n"/>
      <c r="N450" s="34" t="n"/>
      <c r="O450" s="34" t="n"/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  <c r="AA450" s="34" t="n"/>
      <c r="AB450" s="34" t="n"/>
      <c r="AC450" s="34" t="n"/>
      <c r="AD450" s="34" t="n"/>
      <c r="AE450" s="34" t="n"/>
      <c r="AF450" s="34" t="n"/>
      <c r="AG450" s="34" t="n"/>
      <c r="AH450" s="34" t="n"/>
      <c r="AI450" s="34" t="n"/>
      <c r="AJ450" s="34" t="n"/>
      <c r="AK450" s="34" t="n"/>
      <c r="AL450" s="34" t="n"/>
      <c r="AM450" s="34" t="n"/>
      <c r="AN450" s="34" t="n"/>
      <c r="AO450" s="34" t="n"/>
      <c r="AP450" s="34" t="n"/>
      <c r="AQ450" s="34" t="n"/>
      <c r="AR450" s="34" t="n"/>
      <c r="AS450" s="34" t="n"/>
      <c r="AT450" s="34" t="n"/>
      <c r="AU450" s="34" t="n"/>
      <c r="AV450" s="34" t="n"/>
      <c r="AW450" s="34" t="n"/>
      <c r="AX450" s="34" t="n"/>
      <c r="AY450" s="34" t="n"/>
      <c r="AZ450" s="34" t="n"/>
      <c r="BA450" s="34" t="n"/>
      <c r="BB450" s="34" t="n"/>
      <c r="BC450" s="34" t="n"/>
      <c r="BD450" s="34" t="n"/>
      <c r="BE450" s="34" t="n"/>
      <c r="BF450" s="34" t="n"/>
      <c r="BG450" s="34" t="n"/>
      <c r="BH450" s="34" t="n"/>
      <c r="BI450" s="34" t="n"/>
      <c r="BJ450" s="34" t="n"/>
      <c r="BK450" s="34" t="n"/>
      <c r="BL450" s="34" t="n"/>
      <c r="BM450" s="34" t="n"/>
      <c r="BN450" s="34" t="n"/>
      <c r="BO450" s="34" t="n"/>
      <c r="BP450" s="34" t="n"/>
      <c r="BQ450" s="34" t="n"/>
      <c r="BR450" s="34" t="n"/>
      <c r="BS450" s="34" t="n"/>
      <c r="BT450" s="34" t="n"/>
      <c r="BU450" s="34" t="n"/>
      <c r="BV450" s="34" t="n"/>
      <c r="BW450" s="34" t="n"/>
      <c r="BX450" s="34" t="n"/>
      <c r="BY450" s="34" t="n"/>
      <c r="BZ450" s="34" t="n"/>
      <c r="CA450" s="293">
        <f>CA366+(BZ208-BZ207)</f>
        <v>7443</v>
      </c>
      <c r="CB450" s="35" t="n"/>
      <c r="CC450" s="35" t="n"/>
      <c r="CD450" s="35" t="n"/>
      <c r="CE450" s="35" t="n"/>
      <c r="CF450" s="285">
        <f>CF332+(BZ208-BZ207)</f>
        <v>7433.45644312929</v>
      </c>
      <c r="CG450" s="285">
        <f>CG332+N(CG391)</f>
        <v>7373.47064011687</v>
      </c>
      <c r="CH450" s="285">
        <f>CH332+N(CH391)</f>
        <v>7254.5468423677</v>
      </c>
      <c r="CI450" s="285">
        <f>CI332+N(CI391)</f>
        <v>7076.91666874102</v>
      </c>
      <c r="CJ450" s="285">
        <f>CJ332+N(CJ391)</f>
        <v>6863.88443180246</v>
      </c>
      <c r="CK450" s="19" t="n"/>
    </row>
    <row r="451" ht="15" customHeight="1" s="251">
      <c r="B451" s="25" t="inlineStr">
        <is>
          <t>Market capitalisation (USDm)</t>
        </is>
      </c>
      <c r="C451" s="34" t="n"/>
      <c r="D451" s="34" t="n"/>
      <c r="E451" s="34" t="n"/>
      <c r="F451" s="34" t="n"/>
      <c r="G451" s="34" t="n"/>
      <c r="H451" s="34" t="n"/>
      <c r="I451" s="34" t="n"/>
      <c r="J451" s="34" t="n"/>
      <c r="K451" s="34" t="n"/>
      <c r="L451" s="34" t="n"/>
      <c r="M451" s="34" t="n"/>
      <c r="N451" s="34" t="n"/>
      <c r="O451" s="34" t="n"/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  <c r="AA451" s="34" t="n"/>
      <c r="AB451" s="34" t="n"/>
      <c r="AC451" s="34" t="n"/>
      <c r="AD451" s="34" t="n"/>
      <c r="AE451" s="34" t="n"/>
      <c r="AF451" s="34" t="n"/>
      <c r="AG451" s="34" t="n"/>
      <c r="AH451" s="34" t="n"/>
      <c r="AI451" s="34" t="n"/>
      <c r="AJ451" s="34" t="n"/>
      <c r="AK451" s="34" t="n"/>
      <c r="AL451" s="34" t="n"/>
      <c r="AM451" s="34" t="n"/>
      <c r="AN451" s="34" t="n"/>
      <c r="AO451" s="34" t="n"/>
      <c r="AP451" s="34" t="n"/>
      <c r="AQ451" s="34" t="n"/>
      <c r="AR451" s="34" t="n"/>
      <c r="AS451" s="34" t="n"/>
      <c r="AT451" s="34" t="n"/>
      <c r="AU451" s="34" t="n"/>
      <c r="AV451" s="34" t="n"/>
      <c r="AW451" s="34" t="n"/>
      <c r="AX451" s="34" t="n"/>
      <c r="AY451" s="34" t="n"/>
      <c r="AZ451" s="34" t="n"/>
      <c r="BA451" s="34" t="n"/>
      <c r="BB451" s="34" t="n"/>
      <c r="BC451" s="34" t="n"/>
      <c r="BD451" s="34" t="n"/>
      <c r="BE451" s="34" t="n"/>
      <c r="BF451" s="34" t="n"/>
      <c r="BG451" s="34" t="n"/>
      <c r="BH451" s="34" t="n"/>
      <c r="BI451" s="34" t="n"/>
      <c r="BJ451" s="34" t="n"/>
      <c r="BK451" s="34" t="n"/>
      <c r="BL451" s="34" t="n"/>
      <c r="BM451" s="34" t="n"/>
      <c r="BN451" s="34" t="n"/>
      <c r="BO451" s="34" t="n"/>
      <c r="BP451" s="34" t="n"/>
      <c r="BQ451" s="34" t="n"/>
      <c r="BR451" s="34" t="n"/>
      <c r="BS451" s="34" t="n"/>
      <c r="BT451" s="34" t="n"/>
      <c r="BU451" s="34" t="n"/>
      <c r="BV451" s="34" t="n"/>
      <c r="BW451" s="34" t="n"/>
      <c r="BX451" s="34" t="n"/>
      <c r="BY451" s="34" t="n"/>
      <c r="BZ451" s="34" t="n"/>
      <c r="CA451" s="211">
        <f>IFERROR(CA449*CA450,"n/a")</f>
        <v>4026663</v>
      </c>
      <c r="CB451" s="35" t="n"/>
      <c r="CC451" s="35" t="n"/>
      <c r="CD451" s="35" t="n"/>
      <c r="CE451" s="35" t="n"/>
      <c r="CF451" s="254">
        <f>IFERROR(CF449*CF450,"n/a")</f>
        <v>4021499.93573294</v>
      </c>
      <c r="CG451" s="254">
        <f>IFERROR(CG449*CG450,"n/a")</f>
        <v>3989047.61630323</v>
      </c>
      <c r="CH451" s="254">
        <f>IFERROR(CH449*CH450,"n/a")</f>
        <v>3924709.84172092</v>
      </c>
      <c r="CI451" s="254">
        <f>IFERROR(CI449*CI450,"n/a")</f>
        <v>3828611.91778889</v>
      </c>
      <c r="CJ451" s="254">
        <f>IFERROR(CJ449*CJ450,"n/a")</f>
        <v>3713361.47760513</v>
      </c>
      <c r="CK451" s="19" t="n"/>
    </row>
    <row r="452" ht="15" customHeight="1" s="251">
      <c r="B452" s="25" t="inlineStr">
        <is>
          <t>Net debt incl. finance leases (USDm)</t>
        </is>
      </c>
      <c r="C452" s="34" t="n"/>
      <c r="D452" s="34" t="n"/>
      <c r="E452" s="34" t="n"/>
      <c r="F452" s="34" t="n"/>
      <c r="G452" s="34" t="n"/>
      <c r="H452" s="34" t="n"/>
      <c r="I452" s="34" t="n"/>
      <c r="J452" s="34" t="n"/>
      <c r="K452" s="34" t="n"/>
      <c r="L452" s="34" t="n"/>
      <c r="M452" s="34" t="n"/>
      <c r="N452" s="34" t="n"/>
      <c r="O452" s="34" t="n"/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  <c r="AA452" s="34" t="n"/>
      <c r="AB452" s="34" t="n"/>
      <c r="AC452" s="34" t="n"/>
      <c r="AD452" s="34" t="n"/>
      <c r="AE452" s="34" t="n"/>
      <c r="AF452" s="34" t="n"/>
      <c r="AG452" s="34" t="n"/>
      <c r="AH452" s="34" t="n"/>
      <c r="AI452" s="34" t="n"/>
      <c r="AJ452" s="34" t="n"/>
      <c r="AK452" s="34" t="n"/>
      <c r="AL452" s="34" t="n"/>
      <c r="AM452" s="34" t="n"/>
      <c r="AN452" s="34" t="n"/>
      <c r="AO452" s="34" t="n"/>
      <c r="AP452" s="34" t="n"/>
      <c r="AQ452" s="34" t="n"/>
      <c r="AR452" s="34" t="n"/>
      <c r="AS452" s="34" t="n"/>
      <c r="AT452" s="34" t="n"/>
      <c r="AU452" s="34" t="n"/>
      <c r="AV452" s="34" t="n"/>
      <c r="AW452" s="34" t="n"/>
      <c r="AX452" s="34" t="n"/>
      <c r="AY452" s="34" t="n"/>
      <c r="AZ452" s="34" t="n"/>
      <c r="BA452" s="34" t="n"/>
      <c r="BB452" s="34" t="n"/>
      <c r="BC452" s="34" t="n"/>
      <c r="BD452" s="34" t="n"/>
      <c r="BE452" s="34" t="n"/>
      <c r="BF452" s="34" t="n"/>
      <c r="BG452" s="34" t="n"/>
      <c r="BH452" s="34" t="n"/>
      <c r="BI452" s="34" t="n"/>
      <c r="BJ452" s="34" t="n"/>
      <c r="BK452" s="34" t="n"/>
      <c r="BL452" s="34" t="n"/>
      <c r="BM452" s="34" t="n"/>
      <c r="BN452" s="34" t="n"/>
      <c r="BO452" s="34" t="n"/>
      <c r="BP452" s="34" t="n"/>
      <c r="BQ452" s="34" t="n"/>
      <c r="BR452" s="34" t="n"/>
      <c r="BS452" s="34" t="n"/>
      <c r="BT452" s="34" t="n"/>
      <c r="BU452" s="34" t="n"/>
      <c r="BV452" s="34" t="n"/>
      <c r="BW452" s="34" t="n"/>
      <c r="BX452" s="34" t="n"/>
      <c r="BY452" s="34" t="n"/>
      <c r="BZ452" s="34" t="n"/>
      <c r="CA452" s="211">
        <f>CA443</f>
        <v>30045</v>
      </c>
      <c r="CB452" s="35" t="n"/>
      <c r="CC452" s="35" t="n"/>
      <c r="CD452" s="35" t="n"/>
      <c r="CE452" s="35" t="n"/>
      <c r="CF452" s="254">
        <f>CF443</f>
        <v>58176.202</v>
      </c>
      <c r="CG452" s="254">
        <f>CG443</f>
        <v>87531.6277582356</v>
      </c>
      <c r="CH452" s="254">
        <f>CH443</f>
        <v>113937.005898577</v>
      </c>
      <c r="CI452" s="254">
        <f>CI443</f>
        <v>140269.719620586</v>
      </c>
      <c r="CJ452" s="254">
        <f>CJ443</f>
        <v>165242.671212158</v>
      </c>
      <c r="CK452" s="19" t="n"/>
    </row>
    <row r="453" ht="15" customHeight="1" s="251">
      <c r="B453" s="25" t="inlineStr">
        <is>
          <t>Noncontrolling interests (USDm)</t>
        </is>
      </c>
      <c r="C453" s="34" t="n"/>
      <c r="D453" s="34" t="n"/>
      <c r="E453" s="34" t="n"/>
      <c r="F453" s="34" t="n"/>
      <c r="G453" s="34" t="n"/>
      <c r="H453" s="34" t="n"/>
      <c r="I453" s="34" t="n"/>
      <c r="J453" s="34" t="n"/>
      <c r="K453" s="34" t="n"/>
      <c r="L453" s="34" t="n"/>
      <c r="M453" s="34" t="n"/>
      <c r="N453" s="34" t="n"/>
      <c r="O453" s="34" t="n"/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  <c r="AA453" s="34" t="n"/>
      <c r="AB453" s="34" t="n"/>
      <c r="AC453" s="34" t="n"/>
      <c r="AD453" s="34" t="n"/>
      <c r="AE453" s="34" t="n"/>
      <c r="AF453" s="34" t="n"/>
      <c r="AG453" s="34" t="n"/>
      <c r="AH453" s="34" t="n"/>
      <c r="AI453" s="34" t="n"/>
      <c r="AJ453" s="34" t="n"/>
      <c r="AK453" s="34" t="n"/>
      <c r="AL453" s="34" t="n"/>
      <c r="AM453" s="34" t="n"/>
      <c r="AN453" s="34" t="n"/>
      <c r="AO453" s="34" t="n"/>
      <c r="AP453" s="34" t="n"/>
      <c r="AQ453" s="34" t="n"/>
      <c r="AR453" s="34" t="n"/>
      <c r="AS453" s="34" t="n"/>
      <c r="AT453" s="34" t="n"/>
      <c r="AU453" s="34" t="n"/>
      <c r="AV453" s="34" t="n"/>
      <c r="AW453" s="34" t="n"/>
      <c r="AX453" s="34" t="n"/>
      <c r="AY453" s="34" t="n"/>
      <c r="AZ453" s="34" t="n"/>
      <c r="BA453" s="34" t="n"/>
      <c r="BB453" s="34" t="n"/>
      <c r="BC453" s="34" t="n"/>
      <c r="BD453" s="34" t="n"/>
      <c r="BE453" s="34" t="n"/>
      <c r="BF453" s="34" t="n"/>
      <c r="BG453" s="34" t="n"/>
      <c r="BH453" s="34" t="n"/>
      <c r="BI453" s="34" t="n"/>
      <c r="BJ453" s="34" t="n"/>
      <c r="BK453" s="34" t="n"/>
      <c r="BL453" s="34" t="n"/>
      <c r="BM453" s="34" t="n"/>
      <c r="BN453" s="34" t="n"/>
      <c r="BO453" s="34" t="n"/>
      <c r="BP453" s="34" t="n"/>
      <c r="BQ453" s="34" t="n"/>
      <c r="BR453" s="34" t="n"/>
      <c r="BS453" s="34" t="n"/>
      <c r="BT453" s="34" t="n"/>
      <c r="BU453" s="34" t="n"/>
      <c r="BV453" s="34" t="n"/>
      <c r="BW453" s="34" t="n"/>
      <c r="BX453" s="34" t="n"/>
      <c r="BY453" s="34" t="n"/>
      <c r="BZ453" s="34" t="n"/>
      <c r="CA453" s="211">
        <f>N(CA360)</f>
        <v>0</v>
      </c>
      <c r="CB453" s="35" t="n"/>
      <c r="CC453" s="35" t="n"/>
      <c r="CD453" s="35" t="n"/>
      <c r="CE453" s="35" t="n"/>
      <c r="CF453" s="254">
        <f>N(CF360)</f>
        <v>0</v>
      </c>
      <c r="CG453" s="254">
        <f>N(CG360)</f>
        <v>0</v>
      </c>
      <c r="CH453" s="254">
        <f>N(CH360)</f>
        <v>0</v>
      </c>
      <c r="CI453" s="254">
        <f>N(CI360)</f>
        <v>0</v>
      </c>
      <c r="CJ453" s="254">
        <f>N(CJ360)</f>
        <v>0</v>
      </c>
      <c r="CK453" s="19" t="n"/>
    </row>
    <row r="454" ht="15" customHeight="1" s="251">
      <c r="B454" s="16" t="inlineStr">
        <is>
          <t>Enterprise value (USDm)</t>
        </is>
      </c>
      <c r="C454" s="43" t="n"/>
      <c r="D454" s="43" t="n"/>
      <c r="E454" s="43" t="n"/>
      <c r="F454" s="43" t="n"/>
      <c r="G454" s="43" t="n"/>
      <c r="H454" s="43" t="n"/>
      <c r="I454" s="43" t="n"/>
      <c r="J454" s="43" t="n"/>
      <c r="K454" s="43" t="n"/>
      <c r="L454" s="43" t="n"/>
      <c r="M454" s="43" t="n"/>
      <c r="N454" s="43" t="n"/>
      <c r="O454" s="43" t="n"/>
      <c r="P454" s="43" t="n"/>
      <c r="Q454" s="43" t="n"/>
      <c r="R454" s="43" t="n"/>
      <c r="S454" s="43" t="n"/>
      <c r="T454" s="43" t="n"/>
      <c r="U454" s="43" t="n"/>
      <c r="V454" s="43" t="n"/>
      <c r="W454" s="43" t="n"/>
      <c r="X454" s="43" t="n"/>
      <c r="Y454" s="43" t="n"/>
      <c r="Z454" s="43" t="n"/>
      <c r="AA454" s="43" t="n"/>
      <c r="AB454" s="43" t="n"/>
      <c r="AC454" s="43" t="n"/>
      <c r="AD454" s="43" t="n"/>
      <c r="AE454" s="43" t="n"/>
      <c r="AF454" s="43" t="n"/>
      <c r="AG454" s="43" t="n"/>
      <c r="AH454" s="43" t="n"/>
      <c r="AI454" s="43" t="n"/>
      <c r="AJ454" s="43" t="n"/>
      <c r="AK454" s="43" t="n"/>
      <c r="AL454" s="43" t="n"/>
      <c r="AM454" s="43" t="n"/>
      <c r="AN454" s="43" t="n"/>
      <c r="AO454" s="43" t="n"/>
      <c r="AP454" s="43" t="n"/>
      <c r="AQ454" s="43" t="n"/>
      <c r="AR454" s="43" t="n"/>
      <c r="AS454" s="43" t="n"/>
      <c r="AT454" s="43" t="n"/>
      <c r="AU454" s="43" t="n"/>
      <c r="AV454" s="43" t="n"/>
      <c r="AW454" s="43" t="n"/>
      <c r="AX454" s="43" t="n"/>
      <c r="AY454" s="43" t="n"/>
      <c r="AZ454" s="43" t="n"/>
      <c r="BA454" s="43" t="n"/>
      <c r="BB454" s="43" t="n"/>
      <c r="BC454" s="43" t="n"/>
      <c r="BD454" s="43" t="n"/>
      <c r="BE454" s="43" t="n"/>
      <c r="BF454" s="43" t="n"/>
      <c r="BG454" s="43" t="n"/>
      <c r="BH454" s="43" t="n"/>
      <c r="BI454" s="43" t="n"/>
      <c r="BJ454" s="43" t="n"/>
      <c r="BK454" s="43" t="n"/>
      <c r="BL454" s="43" t="n"/>
      <c r="BM454" s="43" t="n"/>
      <c r="BN454" s="43" t="n"/>
      <c r="BO454" s="43" t="n"/>
      <c r="BP454" s="43" t="n"/>
      <c r="BQ454" s="43" t="n"/>
      <c r="BR454" s="43" t="n"/>
      <c r="BS454" s="43" t="n"/>
      <c r="BT454" s="43" t="n"/>
      <c r="BU454" s="43" t="n"/>
      <c r="BV454" s="43" t="n"/>
      <c r="BW454" s="43" t="n"/>
      <c r="BX454" s="43" t="n"/>
      <c r="BY454" s="43" t="n"/>
      <c r="BZ454" s="43" t="n"/>
      <c r="CA454" s="260">
        <f>IFERROR(CA451+CA452+CA453,"n/a")</f>
        <v>4056708</v>
      </c>
      <c r="CB454" s="32" t="n"/>
      <c r="CC454" s="32" t="n"/>
      <c r="CD454" s="32" t="n"/>
      <c r="CE454" s="32" t="n"/>
      <c r="CF454" s="261">
        <f>IFERROR(CF451+CF452+CF453,"n/a")</f>
        <v>4079676.13773294</v>
      </c>
      <c r="CG454" s="261">
        <f>IFERROR(CG451+CG452+CG453,"n/a")</f>
        <v>4076579.24406146</v>
      </c>
      <c r="CH454" s="261">
        <f>IFERROR(CH451+CH452+CH453,"n/a")</f>
        <v>4038646.8476195</v>
      </c>
      <c r="CI454" s="261">
        <f>IFERROR(CI451+CI452+CI453,"n/a")</f>
        <v>3968881.63740948</v>
      </c>
      <c r="CJ454" s="261">
        <f>IFERROR(CJ451+CJ452+CJ453,"n/a")</f>
        <v>3878604.14881729</v>
      </c>
      <c r="CK454" s="153" t="n"/>
    </row>
    <row r="455" ht="15" customHeight="1" s="251">
      <c r="B455" s="156" t="inlineStr">
        <is>
          <t xml:space="preserve">  Memo: equity and other investments incl. OpenAI (carrying value; not deducted from EV)</t>
        </is>
      </c>
      <c r="C455" s="44" t="n"/>
      <c r="D455" s="44" t="n"/>
      <c r="E455" s="44" t="n"/>
      <c r="F455" s="44" t="n"/>
      <c r="G455" s="44" t="n"/>
      <c r="H455" s="44" t="n"/>
      <c r="I455" s="44" t="n"/>
      <c r="J455" s="44" t="n"/>
      <c r="K455" s="44" t="n"/>
      <c r="L455" s="44" t="n"/>
      <c r="M455" s="44" t="n"/>
      <c r="N455" s="44" t="n"/>
      <c r="O455" s="44" t="n"/>
      <c r="P455" s="44" t="n"/>
      <c r="Q455" s="44" t="n"/>
      <c r="R455" s="44" t="n"/>
      <c r="S455" s="44" t="n"/>
      <c r="T455" s="44" t="n"/>
      <c r="U455" s="44" t="n"/>
      <c r="V455" s="44" t="n"/>
      <c r="W455" s="44" t="n"/>
      <c r="X455" s="44" t="n"/>
      <c r="Y455" s="44" t="n"/>
      <c r="Z455" s="44" t="n"/>
      <c r="AA455" s="44" t="n"/>
      <c r="AB455" s="44" t="n"/>
      <c r="AC455" s="44" t="n"/>
      <c r="AD455" s="44" t="n"/>
      <c r="AE455" s="44" t="n"/>
      <c r="AF455" s="44" t="n"/>
      <c r="AG455" s="44" t="n"/>
      <c r="AH455" s="44" t="n"/>
      <c r="AI455" s="44" t="n"/>
      <c r="AJ455" s="44" t="n"/>
      <c r="AK455" s="44" t="n"/>
      <c r="AL455" s="44" t="n"/>
      <c r="AM455" s="44" t="n"/>
      <c r="AN455" s="44" t="n"/>
      <c r="AO455" s="44" t="n"/>
      <c r="AP455" s="44" t="n"/>
      <c r="AQ455" s="44" t="n"/>
      <c r="AR455" s="44" t="n"/>
      <c r="AS455" s="44" t="n"/>
      <c r="AT455" s="44" t="n"/>
      <c r="AU455" s="44" t="n"/>
      <c r="AV455" s="44" t="n"/>
      <c r="AW455" s="44" t="n"/>
      <c r="AX455" s="44" t="n"/>
      <c r="AY455" s="44" t="n"/>
      <c r="AZ455" s="44" t="n"/>
      <c r="BA455" s="44" t="n"/>
      <c r="BB455" s="44" t="n"/>
      <c r="BC455" s="44" t="n"/>
      <c r="BD455" s="44" t="n"/>
      <c r="BE455" s="44" t="n"/>
      <c r="BF455" s="44" t="n"/>
      <c r="BG455" s="44" t="n"/>
      <c r="BH455" s="44" t="n"/>
      <c r="BI455" s="44" t="n"/>
      <c r="BJ455" s="44" t="n"/>
      <c r="BK455" s="44" t="n"/>
      <c r="BL455" s="44" t="n"/>
      <c r="BM455" s="44" t="n"/>
      <c r="BN455" s="44" t="n"/>
      <c r="BO455" s="44" t="n"/>
      <c r="BP455" s="44" t="n"/>
      <c r="BQ455" s="44" t="n"/>
      <c r="BR455" s="44" t="n"/>
      <c r="BS455" s="44" t="n"/>
      <c r="BT455" s="44" t="n"/>
      <c r="BU455" s="44" t="n"/>
      <c r="BV455" s="44" t="n"/>
      <c r="BW455" s="44" t="n"/>
      <c r="BX455" s="44" t="n"/>
      <c r="BY455" s="44" t="n"/>
      <c r="BZ455" s="44" t="n"/>
      <c r="CA455" s="211">
        <f>CA345</f>
        <v>36348</v>
      </c>
      <c r="CB455" s="35" t="n"/>
      <c r="CC455" s="35" t="n"/>
      <c r="CD455" s="35" t="n"/>
      <c r="CE455" s="35" t="n"/>
      <c r="CF455" s="254">
        <f>CF345</f>
        <v>36348</v>
      </c>
      <c r="CG455" s="254">
        <f>CG345</f>
        <v>36348</v>
      </c>
      <c r="CH455" s="254">
        <f>CH345</f>
        <v>36348</v>
      </c>
      <c r="CI455" s="254">
        <f>CI345</f>
        <v>36348</v>
      </c>
      <c r="CJ455" s="254">
        <f>CJ345</f>
        <v>36348</v>
      </c>
      <c r="CK455" s="153" t="n"/>
    </row>
    <row r="456" ht="15" customHeight="1" s="251">
      <c r="B456" s="25" t="inlineStr">
        <is>
          <t>Multiples</t>
        </is>
      </c>
      <c r="CK456" s="153" t="n"/>
    </row>
    <row r="457" ht="15" customHeight="1" s="251">
      <c r="B457" s="25" t="inlineStr">
        <is>
          <t xml:space="preserve">  EV / Revenue</t>
        </is>
      </c>
      <c r="C457" s="34" t="n"/>
      <c r="D457" s="34" t="n"/>
      <c r="E457" s="34" t="n"/>
      <c r="F457" s="34" t="n"/>
      <c r="G457" s="34" t="n"/>
      <c r="H457" s="34" t="n"/>
      <c r="I457" s="34" t="n"/>
      <c r="J457" s="34" t="n"/>
      <c r="K457" s="34" t="n"/>
      <c r="L457" s="34" t="n"/>
      <c r="M457" s="34" t="n"/>
      <c r="N457" s="34" t="n"/>
      <c r="O457" s="34" t="n"/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  <c r="AA457" s="34" t="n"/>
      <c r="AB457" s="34" t="n"/>
      <c r="AC457" s="34" t="n"/>
      <c r="AD457" s="34" t="n"/>
      <c r="AE457" s="34" t="n"/>
      <c r="AF457" s="34" t="n"/>
      <c r="AG457" s="34" t="n"/>
      <c r="AH457" s="34" t="n"/>
      <c r="AI457" s="34" t="n"/>
      <c r="AJ457" s="34" t="n"/>
      <c r="AK457" s="34" t="n"/>
      <c r="AL457" s="34" t="n"/>
      <c r="AM457" s="34" t="n"/>
      <c r="AN457" s="34" t="n"/>
      <c r="AO457" s="34" t="n"/>
      <c r="AP457" s="34" t="n"/>
      <c r="AQ457" s="34" t="n"/>
      <c r="AR457" s="34" t="n"/>
      <c r="AS457" s="34" t="n"/>
      <c r="AT457" s="34" t="n"/>
      <c r="AU457" s="34" t="n"/>
      <c r="AV457" s="34" t="n"/>
      <c r="AW457" s="34" t="n"/>
      <c r="AX457" s="34" t="n"/>
      <c r="AY457" s="34" t="n"/>
      <c r="AZ457" s="34" t="n"/>
      <c r="BA457" s="34" t="n"/>
      <c r="BB457" s="34" t="n"/>
      <c r="BC457" s="34" t="n"/>
      <c r="BD457" s="34" t="n"/>
      <c r="BE457" s="34" t="n"/>
      <c r="BF457" s="34" t="n"/>
      <c r="BG457" s="34" t="n"/>
      <c r="BH457" s="34" t="n"/>
      <c r="BI457" s="34" t="n"/>
      <c r="BJ457" s="34" t="n"/>
      <c r="BK457" s="34" t="n"/>
      <c r="BL457" s="34" t="n"/>
      <c r="BM457" s="34" t="n"/>
      <c r="BN457" s="34" t="n"/>
      <c r="BO457" s="34" t="n"/>
      <c r="BP457" s="34" t="n"/>
      <c r="BQ457" s="34" t="n"/>
      <c r="BR457" s="34" t="n"/>
      <c r="BS457" s="34" t="n"/>
      <c r="BT457" s="34" t="n"/>
      <c r="BU457" s="34" t="n"/>
      <c r="BV457" s="34" t="n"/>
      <c r="BW457" s="34" t="n"/>
      <c r="BX457" s="34" t="n"/>
      <c r="BY457" s="34" t="n"/>
      <c r="BZ457" s="34" t="n"/>
      <c r="CA457" s="294">
        <f>IFERROR(CA454/CA179,"n/a")</f>
        <v>12.2249283538101</v>
      </c>
      <c r="CB457" s="35" t="n"/>
      <c r="CC457" s="35" t="n"/>
      <c r="CD457" s="35" t="n"/>
      <c r="CE457" s="35" t="n"/>
      <c r="CF457" s="295">
        <f>IFERROR(CF454/CF179,"n/a")</f>
        <v>10.4844641748274</v>
      </c>
      <c r="CG457" s="295">
        <f>IFERROR(CG454/CG179,"n/a")</f>
        <v>8.95151213161077</v>
      </c>
      <c r="CH457" s="295">
        <f>IFERROR(CH454/CH179,"n/a")</f>
        <v>7.66532637938798</v>
      </c>
      <c r="CI457" s="295">
        <f>IFERROR(CI454/CI179,"n/a")</f>
        <v>6.62189994313234</v>
      </c>
      <c r="CJ457" s="295">
        <f>IFERROR(CJ454/CJ179,"n/a")</f>
        <v>5.77431911470952</v>
      </c>
      <c r="CK457" s="19" t="n"/>
    </row>
    <row r="458" ht="15" customHeight="1" s="251">
      <c r="B458" s="25" t="inlineStr">
        <is>
          <t xml:space="preserve">  EV / Adjusted EBITDA</t>
        </is>
      </c>
      <c r="C458" s="34" t="n"/>
      <c r="D458" s="34" t="n"/>
      <c r="E458" s="34" t="n"/>
      <c r="F458" s="34" t="n"/>
      <c r="G458" s="34" t="n"/>
      <c r="H458" s="34" t="n"/>
      <c r="I458" s="34" t="n"/>
      <c r="J458" s="34" t="n"/>
      <c r="K458" s="34" t="n"/>
      <c r="L458" s="34" t="n"/>
      <c r="M458" s="34" t="n"/>
      <c r="N458" s="34" t="n"/>
      <c r="O458" s="34" t="n"/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  <c r="AA458" s="34" t="n"/>
      <c r="AB458" s="34" t="n"/>
      <c r="AC458" s="34" t="n"/>
      <c r="AD458" s="34" t="n"/>
      <c r="AE458" s="34" t="n"/>
      <c r="AF458" s="34" t="n"/>
      <c r="AG458" s="34" t="n"/>
      <c r="AH458" s="34" t="n"/>
      <c r="AI458" s="34" t="n"/>
      <c r="AJ458" s="34" t="n"/>
      <c r="AK458" s="34" t="n"/>
      <c r="AL458" s="34" t="n"/>
      <c r="AM458" s="34" t="n"/>
      <c r="AN458" s="34" t="n"/>
      <c r="AO458" s="34" t="n"/>
      <c r="AP458" s="34" t="n"/>
      <c r="AQ458" s="34" t="n"/>
      <c r="AR458" s="34" t="n"/>
      <c r="AS458" s="34" t="n"/>
      <c r="AT458" s="34" t="n"/>
      <c r="AU458" s="34" t="n"/>
      <c r="AV458" s="34" t="n"/>
      <c r="AW458" s="34" t="n"/>
      <c r="AX458" s="34" t="n"/>
      <c r="AY458" s="34" t="n"/>
      <c r="AZ458" s="34" t="n"/>
      <c r="BA458" s="34" t="n"/>
      <c r="BB458" s="34" t="n"/>
      <c r="BC458" s="34" t="n"/>
      <c r="BD458" s="34" t="n"/>
      <c r="BE458" s="34" t="n"/>
      <c r="BF458" s="34" t="n"/>
      <c r="BG458" s="34" t="n"/>
      <c r="BH458" s="34" t="n"/>
      <c r="BI458" s="34" t="n"/>
      <c r="BJ458" s="34" t="n"/>
      <c r="BK458" s="34" t="n"/>
      <c r="BL458" s="34" t="n"/>
      <c r="BM458" s="34" t="n"/>
      <c r="BN458" s="34" t="n"/>
      <c r="BO458" s="34" t="n"/>
      <c r="BP458" s="34" t="n"/>
      <c r="BQ458" s="34" t="n"/>
      <c r="BR458" s="34" t="n"/>
      <c r="BS458" s="34" t="n"/>
      <c r="BT458" s="34" t="n"/>
      <c r="BU458" s="34" t="n"/>
      <c r="BV458" s="34" t="n"/>
      <c r="BW458" s="34" t="n"/>
      <c r="BX458" s="34" t="n"/>
      <c r="BY458" s="34" t="n"/>
      <c r="BZ458" s="34" t="n"/>
      <c r="CA458" s="294">
        <f>IFERROR(CA454/CA242,"n/a")</f>
        <v>20.9355785953522</v>
      </c>
      <c r="CB458" s="35" t="n"/>
      <c r="CC458" s="35" t="n"/>
      <c r="CD458" s="35" t="n"/>
      <c r="CE458" s="35" t="n"/>
      <c r="CF458" s="295">
        <f>IFERROR(CF454/CF242,"n/a")</f>
        <v>17.2268303789683</v>
      </c>
      <c r="CG458" s="295">
        <f>IFERROR(CG454/CG242,"n/a")</f>
        <v>14.3959988448501</v>
      </c>
      <c r="CH458" s="295">
        <f>IFERROR(CH454/CH242,"n/a")</f>
        <v>12.0446349767631</v>
      </c>
      <c r="CI458" s="295">
        <f>IFERROR(CI454/CI242,"n/a")</f>
        <v>10.1783174961641</v>
      </c>
      <c r="CJ458" s="295">
        <f>IFERROR(CJ454/CJ242,"n/a")</f>
        <v>8.77670346973067</v>
      </c>
      <c r="CK458" s="19" t="n"/>
    </row>
    <row r="459" ht="15" customHeight="1" s="251">
      <c r="B459" s="25" t="inlineStr">
        <is>
          <t xml:space="preserve">  EV / Adjusted operating income</t>
        </is>
      </c>
      <c r="C459" s="34" t="n"/>
      <c r="D459" s="34" t="n"/>
      <c r="E459" s="34" t="n"/>
      <c r="F459" s="34" t="n"/>
      <c r="G459" s="34" t="n"/>
      <c r="H459" s="34" t="n"/>
      <c r="I459" s="34" t="n"/>
      <c r="J459" s="34" t="n"/>
      <c r="K459" s="34" t="n"/>
      <c r="L459" s="34" t="n"/>
      <c r="M459" s="34" t="n"/>
      <c r="N459" s="34" t="n"/>
      <c r="O459" s="34" t="n"/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  <c r="AA459" s="34" t="n"/>
      <c r="AB459" s="34" t="n"/>
      <c r="AC459" s="34" t="n"/>
      <c r="AD459" s="34" t="n"/>
      <c r="AE459" s="34" t="n"/>
      <c r="AF459" s="34" t="n"/>
      <c r="AG459" s="34" t="n"/>
      <c r="AH459" s="34" t="n"/>
      <c r="AI459" s="34" t="n"/>
      <c r="AJ459" s="34" t="n"/>
      <c r="AK459" s="34" t="n"/>
      <c r="AL459" s="34" t="n"/>
      <c r="AM459" s="34" t="n"/>
      <c r="AN459" s="34" t="n"/>
      <c r="AO459" s="34" t="n"/>
      <c r="AP459" s="34" t="n"/>
      <c r="AQ459" s="34" t="n"/>
      <c r="AR459" s="34" t="n"/>
      <c r="AS459" s="34" t="n"/>
      <c r="AT459" s="34" t="n"/>
      <c r="AU459" s="34" t="n"/>
      <c r="AV459" s="34" t="n"/>
      <c r="AW459" s="34" t="n"/>
      <c r="AX459" s="34" t="n"/>
      <c r="AY459" s="34" t="n"/>
      <c r="AZ459" s="34" t="n"/>
      <c r="BA459" s="34" t="n"/>
      <c r="BB459" s="34" t="n"/>
      <c r="BC459" s="34" t="n"/>
      <c r="BD459" s="34" t="n"/>
      <c r="BE459" s="34" t="n"/>
      <c r="BF459" s="34" t="n"/>
      <c r="BG459" s="34" t="n"/>
      <c r="BH459" s="34" t="n"/>
      <c r="BI459" s="34" t="n"/>
      <c r="BJ459" s="34" t="n"/>
      <c r="BK459" s="34" t="n"/>
      <c r="BL459" s="34" t="n"/>
      <c r="BM459" s="34" t="n"/>
      <c r="BN459" s="34" t="n"/>
      <c r="BO459" s="34" t="n"/>
      <c r="BP459" s="34" t="n"/>
      <c r="BQ459" s="34" t="n"/>
      <c r="BR459" s="34" t="n"/>
      <c r="BS459" s="34" t="n"/>
      <c r="BT459" s="34" t="n"/>
      <c r="BU459" s="34" t="n"/>
      <c r="BV459" s="34" t="n"/>
      <c r="BW459" s="34" t="n"/>
      <c r="BX459" s="34" t="n"/>
      <c r="BY459" s="34" t="n"/>
      <c r="BZ459" s="34" t="n"/>
      <c r="CA459" s="294">
        <f>IFERROR(CA454/CA222,"n/a")</f>
        <v>26.1323524675174</v>
      </c>
      <c r="CB459" s="35" t="n"/>
      <c r="CC459" s="35" t="n"/>
      <c r="CD459" s="35" t="n"/>
      <c r="CE459" s="35" t="n"/>
      <c r="CF459" s="295">
        <f>IFERROR(CF454/CF222,"n/a")</f>
        <v>22.6019417928458</v>
      </c>
      <c r="CG459" s="295">
        <f>IFERROR(CG454/CG222,"n/a")</f>
        <v>20.1020550515203</v>
      </c>
      <c r="CH459" s="295">
        <f>IFERROR(CH454/CH222,"n/a")</f>
        <v>17.3008919958893</v>
      </c>
      <c r="CI459" s="295">
        <f>IFERROR(CI454/CI222,"n/a")</f>
        <v>14.7257562727996</v>
      </c>
      <c r="CJ459" s="295">
        <f>IFERROR(CJ454/CJ222,"n/a")</f>
        <v>12.6661325807927</v>
      </c>
      <c r="CK459" s="19" t="n"/>
    </row>
    <row r="460" ht="15" customHeight="1" s="251">
      <c r="B460" s="25" t="inlineStr">
        <is>
          <t xml:space="preserve">  EV / IC</t>
        </is>
      </c>
      <c r="C460" s="34" t="n"/>
      <c r="D460" s="34" t="n"/>
      <c r="E460" s="34" t="n"/>
      <c r="F460" s="34" t="n"/>
      <c r="G460" s="34" t="n"/>
      <c r="H460" s="34" t="n"/>
      <c r="I460" s="34" t="n"/>
      <c r="J460" s="34" t="n"/>
      <c r="K460" s="34" t="n"/>
      <c r="L460" s="34" t="n"/>
      <c r="M460" s="34" t="n"/>
      <c r="N460" s="34" t="n"/>
      <c r="O460" s="34" t="n"/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  <c r="AA460" s="34" t="n"/>
      <c r="AB460" s="34" t="n"/>
      <c r="AC460" s="34" t="n"/>
      <c r="AD460" s="34" t="n"/>
      <c r="AE460" s="34" t="n"/>
      <c r="AF460" s="34" t="n"/>
      <c r="AG460" s="34" t="n"/>
      <c r="AH460" s="34" t="n"/>
      <c r="AI460" s="34" t="n"/>
      <c r="AJ460" s="34" t="n"/>
      <c r="AK460" s="34" t="n"/>
      <c r="AL460" s="34" t="n"/>
      <c r="AM460" s="34" t="n"/>
      <c r="AN460" s="34" t="n"/>
      <c r="AO460" s="34" t="n"/>
      <c r="AP460" s="34" t="n"/>
      <c r="AQ460" s="34" t="n"/>
      <c r="AR460" s="34" t="n"/>
      <c r="AS460" s="34" t="n"/>
      <c r="AT460" s="34" t="n"/>
      <c r="AU460" s="34" t="n"/>
      <c r="AV460" s="34" t="n"/>
      <c r="AW460" s="34" t="n"/>
      <c r="AX460" s="34" t="n"/>
      <c r="AY460" s="34" t="n"/>
      <c r="AZ460" s="34" t="n"/>
      <c r="BA460" s="34" t="n"/>
      <c r="BB460" s="34" t="n"/>
      <c r="BC460" s="34" t="n"/>
      <c r="BD460" s="34" t="n"/>
      <c r="BE460" s="34" t="n"/>
      <c r="BF460" s="34" t="n"/>
      <c r="BG460" s="34" t="n"/>
      <c r="BH460" s="34" t="n"/>
      <c r="BI460" s="34" t="n"/>
      <c r="BJ460" s="34" t="n"/>
      <c r="BK460" s="34" t="n"/>
      <c r="BL460" s="34" t="n"/>
      <c r="BM460" s="34" t="n"/>
      <c r="BN460" s="34" t="n"/>
      <c r="BO460" s="34" t="n"/>
      <c r="BP460" s="34" t="n"/>
      <c r="BQ460" s="34" t="n"/>
      <c r="BR460" s="34" t="n"/>
      <c r="BS460" s="34" t="n"/>
      <c r="BT460" s="34" t="n"/>
      <c r="BU460" s="34" t="n"/>
      <c r="BV460" s="34" t="n"/>
      <c r="BW460" s="34" t="n"/>
      <c r="BX460" s="34" t="n"/>
      <c r="BY460" s="34" t="n"/>
      <c r="BZ460" s="34" t="n"/>
      <c r="CA460" s="294">
        <f>IFERROR(CA454/CA423,"n/a")</f>
        <v>8.58686117790497</v>
      </c>
      <c r="CB460" s="35" t="n"/>
      <c r="CC460" s="35" t="n"/>
      <c r="CD460" s="35" t="n"/>
      <c r="CE460" s="35" t="n"/>
      <c r="CF460" s="295">
        <f>IFERROR(CF454/CF423,"n/a")</f>
        <v>6.68706166537505</v>
      </c>
      <c r="CG460" s="295">
        <f>IFERROR(CG454/CG423,"n/a")</f>
        <v>5.57875610277082</v>
      </c>
      <c r="CH460" s="295">
        <f>IFERROR(CH454/CH423,"n/a")</f>
        <v>4.83573905121937</v>
      </c>
      <c r="CI460" s="295">
        <f>IFERROR(CI454/CI423,"n/a")</f>
        <v>4.31411535086098</v>
      </c>
      <c r="CJ460" s="295">
        <f>IFERROR(CJ454/CJ423,"n/a")</f>
        <v>3.89934042906982</v>
      </c>
      <c r="CK460" s="19" t="n"/>
    </row>
    <row r="461" ht="15" customHeight="1" s="251">
      <c r="B461" s="25" t="inlineStr">
        <is>
          <t xml:space="preserve">  P / E (GAAP diluted)</t>
        </is>
      </c>
      <c r="C461" s="34" t="n"/>
      <c r="D461" s="34" t="n"/>
      <c r="E461" s="34" t="n"/>
      <c r="F461" s="34" t="n"/>
      <c r="G461" s="34" t="n"/>
      <c r="H461" s="34" t="n"/>
      <c r="I461" s="34" t="n"/>
      <c r="J461" s="34" t="n"/>
      <c r="K461" s="34" t="n"/>
      <c r="L461" s="34" t="n"/>
      <c r="M461" s="34" t="n"/>
      <c r="N461" s="34" t="n"/>
      <c r="O461" s="34" t="n"/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  <c r="AA461" s="34" t="n"/>
      <c r="AB461" s="34" t="n"/>
      <c r="AC461" s="34" t="n"/>
      <c r="AD461" s="34" t="n"/>
      <c r="AE461" s="34" t="n"/>
      <c r="AF461" s="34" t="n"/>
      <c r="AG461" s="34" t="n"/>
      <c r="AH461" s="34" t="n"/>
      <c r="AI461" s="34" t="n"/>
      <c r="AJ461" s="34" t="n"/>
      <c r="AK461" s="34" t="n"/>
      <c r="AL461" s="34" t="n"/>
      <c r="AM461" s="34" t="n"/>
      <c r="AN461" s="34" t="n"/>
      <c r="AO461" s="34" t="n"/>
      <c r="AP461" s="34" t="n"/>
      <c r="AQ461" s="34" t="n"/>
      <c r="AR461" s="34" t="n"/>
      <c r="AS461" s="34" t="n"/>
      <c r="AT461" s="34" t="n"/>
      <c r="AU461" s="34" t="n"/>
      <c r="AV461" s="34" t="n"/>
      <c r="AW461" s="34" t="n"/>
      <c r="AX461" s="34" t="n"/>
      <c r="AY461" s="34" t="n"/>
      <c r="AZ461" s="34" t="n"/>
      <c r="BA461" s="34" t="n"/>
      <c r="BB461" s="34" t="n"/>
      <c r="BC461" s="34" t="n"/>
      <c r="BD461" s="34" t="n"/>
      <c r="BE461" s="34" t="n"/>
      <c r="BF461" s="34" t="n"/>
      <c r="BG461" s="34" t="n"/>
      <c r="BH461" s="34" t="n"/>
      <c r="BI461" s="34" t="n"/>
      <c r="BJ461" s="34" t="n"/>
      <c r="BK461" s="34" t="n"/>
      <c r="BL461" s="34" t="n"/>
      <c r="BM461" s="34" t="n"/>
      <c r="BN461" s="34" t="n"/>
      <c r="BO461" s="34" t="n"/>
      <c r="BP461" s="34" t="n"/>
      <c r="BQ461" s="34" t="n"/>
      <c r="BR461" s="34" t="n"/>
      <c r="BS461" s="34" t="n"/>
      <c r="BT461" s="34" t="n"/>
      <c r="BU461" s="34" t="n"/>
      <c r="BV461" s="34" t="n"/>
      <c r="BW461" s="34" t="n"/>
      <c r="BX461" s="34" t="n"/>
      <c r="BY461" s="34" t="n"/>
      <c r="BZ461" s="34" t="n"/>
      <c r="CA461" s="294">
        <f>IFERROR(CA449/CA209,"n/a")</f>
        <v>30.1465655817987</v>
      </c>
      <c r="CB461" s="35" t="n"/>
      <c r="CC461" s="35" t="n"/>
      <c r="CD461" s="35" t="n"/>
      <c r="CE461" s="35" t="n"/>
      <c r="CF461" s="295">
        <f>IFERROR(CF449/CF209,"n/a")</f>
        <v>27.9293178582848</v>
      </c>
      <c r="CG461" s="295">
        <f>IFERROR(CG449/CG209,"n/a")</f>
        <v>24.6869650108342</v>
      </c>
      <c r="CH461" s="295">
        <f>IFERROR(CH449/CH209,"n/a")</f>
        <v>21.2644177651147</v>
      </c>
      <c r="CI461" s="295">
        <f>IFERROR(CI449/CI209,"n/a")</f>
        <v>18.0901558069698</v>
      </c>
      <c r="CJ461" s="295">
        <f>IFERROR(CJ449/CJ209,"n/a")</f>
        <v>15.514447866015</v>
      </c>
      <c r="CK461" s="19" t="n"/>
    </row>
    <row r="462" ht="15" customHeight="1" s="251">
      <c r="B462" s="25" t="inlineStr">
        <is>
          <t xml:space="preserve">  P / E (adjusted EPS)</t>
        </is>
      </c>
      <c r="C462" s="34" t="n"/>
      <c r="D462" s="34" t="n"/>
      <c r="E462" s="34" t="n"/>
      <c r="F462" s="34" t="n"/>
      <c r="G462" s="34" t="n"/>
      <c r="H462" s="34" t="n"/>
      <c r="I462" s="34" t="n"/>
      <c r="J462" s="34" t="n"/>
      <c r="K462" s="34" t="n"/>
      <c r="L462" s="34" t="n"/>
      <c r="M462" s="34" t="n"/>
      <c r="N462" s="34" t="n"/>
      <c r="O462" s="34" t="n"/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  <c r="AA462" s="34" t="n"/>
      <c r="AB462" s="34" t="n"/>
      <c r="AC462" s="34" t="n"/>
      <c r="AD462" s="34" t="n"/>
      <c r="AE462" s="34" t="n"/>
      <c r="AF462" s="34" t="n"/>
      <c r="AG462" s="34" t="n"/>
      <c r="AH462" s="34" t="n"/>
      <c r="AI462" s="34" t="n"/>
      <c r="AJ462" s="34" t="n"/>
      <c r="AK462" s="34" t="n"/>
      <c r="AL462" s="34" t="n"/>
      <c r="AM462" s="34" t="n"/>
      <c r="AN462" s="34" t="n"/>
      <c r="AO462" s="34" t="n"/>
      <c r="AP462" s="34" t="n"/>
      <c r="AQ462" s="34" t="n"/>
      <c r="AR462" s="34" t="n"/>
      <c r="AS462" s="34" t="n"/>
      <c r="AT462" s="34" t="n"/>
      <c r="AU462" s="34" t="n"/>
      <c r="AV462" s="34" t="n"/>
      <c r="AW462" s="34" t="n"/>
      <c r="AX462" s="34" t="n"/>
      <c r="AY462" s="34" t="n"/>
      <c r="AZ462" s="34" t="n"/>
      <c r="BA462" s="34" t="n"/>
      <c r="BB462" s="34" t="n"/>
      <c r="BC462" s="34" t="n"/>
      <c r="BD462" s="34" t="n"/>
      <c r="BE462" s="34" t="n"/>
      <c r="BF462" s="34" t="n"/>
      <c r="BG462" s="34" t="n"/>
      <c r="BH462" s="34" t="n"/>
      <c r="BI462" s="34" t="n"/>
      <c r="BJ462" s="34" t="n"/>
      <c r="BK462" s="34" t="n"/>
      <c r="BL462" s="34" t="n"/>
      <c r="BM462" s="34" t="n"/>
      <c r="BN462" s="34" t="n"/>
      <c r="BO462" s="34" t="n"/>
      <c r="BP462" s="34" t="n"/>
      <c r="BQ462" s="34" t="n"/>
      <c r="BR462" s="34" t="n"/>
      <c r="BS462" s="34" t="n"/>
      <c r="BT462" s="34" t="n"/>
      <c r="BU462" s="34" t="n"/>
      <c r="BV462" s="34" t="n"/>
      <c r="BW462" s="34" t="n"/>
      <c r="BX462" s="34" t="n"/>
      <c r="BY462" s="34" t="n"/>
      <c r="BZ462" s="34" t="n"/>
      <c r="CA462" s="294">
        <f>IFERROR(CA449/CA262,"n/a")</f>
        <v>31.3083176742814</v>
      </c>
      <c r="CB462" s="35" t="n"/>
      <c r="CC462" s="35" t="n"/>
      <c r="CD462" s="35" t="n"/>
      <c r="CE462" s="35" t="n"/>
      <c r="CF462" s="295">
        <f>IFERROR(CF449/CF262,"n/a")</f>
        <v>27.9293178582848</v>
      </c>
      <c r="CG462" s="295">
        <f>IFERROR(CG449/CG262,"n/a")</f>
        <v>24.6869650108342</v>
      </c>
      <c r="CH462" s="295">
        <f>IFERROR(CH449/CH262,"n/a")</f>
        <v>21.2644177651147</v>
      </c>
      <c r="CI462" s="295">
        <f>IFERROR(CI449/CI262,"n/a")</f>
        <v>18.0901558069698</v>
      </c>
      <c r="CJ462" s="295">
        <f>IFERROR(CJ449/CJ262,"n/a")</f>
        <v>15.514447866015</v>
      </c>
      <c r="CK462" s="19" t="n"/>
    </row>
    <row r="463" ht="15" customHeight="1" s="251">
      <c r="B463" s="25" t="inlineStr">
        <is>
          <t xml:space="preserve">  FCF yield</t>
        </is>
      </c>
      <c r="C463" s="34" t="n"/>
      <c r="D463" s="34" t="n"/>
      <c r="E463" s="34" t="n"/>
      <c r="F463" s="34" t="n"/>
      <c r="G463" s="34" t="n"/>
      <c r="H463" s="34" t="n"/>
      <c r="I463" s="34" t="n"/>
      <c r="J463" s="34" t="n"/>
      <c r="K463" s="34" t="n"/>
      <c r="L463" s="34" t="n"/>
      <c r="M463" s="34" t="n"/>
      <c r="N463" s="34" t="n"/>
      <c r="O463" s="34" t="n"/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  <c r="AA463" s="34" t="n"/>
      <c r="AB463" s="34" t="n"/>
      <c r="AC463" s="34" t="n"/>
      <c r="AD463" s="34" t="n"/>
      <c r="AE463" s="34" t="n"/>
      <c r="AF463" s="34" t="n"/>
      <c r="AG463" s="34" t="n"/>
      <c r="AH463" s="34" t="n"/>
      <c r="AI463" s="34" t="n"/>
      <c r="AJ463" s="34" t="n"/>
      <c r="AK463" s="34" t="n"/>
      <c r="AL463" s="34" t="n"/>
      <c r="AM463" s="34" t="n"/>
      <c r="AN463" s="34" t="n"/>
      <c r="AO463" s="34" t="n"/>
      <c r="AP463" s="34" t="n"/>
      <c r="AQ463" s="34" t="n"/>
      <c r="AR463" s="34" t="n"/>
      <c r="AS463" s="34" t="n"/>
      <c r="AT463" s="34" t="n"/>
      <c r="AU463" s="34" t="n"/>
      <c r="AV463" s="34" t="n"/>
      <c r="AW463" s="34" t="n"/>
      <c r="AX463" s="34" t="n"/>
      <c r="AY463" s="34" t="n"/>
      <c r="AZ463" s="34" t="n"/>
      <c r="BA463" s="34" t="n"/>
      <c r="BB463" s="34" t="n"/>
      <c r="BC463" s="34" t="n"/>
      <c r="BD463" s="34" t="n"/>
      <c r="BE463" s="34" t="n"/>
      <c r="BF463" s="34" t="n"/>
      <c r="BG463" s="34" t="n"/>
      <c r="BH463" s="34" t="n"/>
      <c r="BI463" s="34" t="n"/>
      <c r="BJ463" s="34" t="n"/>
      <c r="BK463" s="34" t="n"/>
      <c r="BL463" s="34" t="n"/>
      <c r="BM463" s="34" t="n"/>
      <c r="BN463" s="34" t="n"/>
      <c r="BO463" s="34" t="n"/>
      <c r="BP463" s="34" t="n"/>
      <c r="BQ463" s="34" t="n"/>
      <c r="BR463" s="34" t="n"/>
      <c r="BS463" s="34" t="n"/>
      <c r="BT463" s="34" t="n"/>
      <c r="BU463" s="34" t="n"/>
      <c r="BV463" s="34" t="n"/>
      <c r="BW463" s="34" t="n"/>
      <c r="BX463" s="34" t="n"/>
      <c r="BY463" s="34" t="n"/>
      <c r="BZ463" s="34" t="n"/>
      <c r="CA463" s="215">
        <f>IFERROR(CA314/CA451,"n/a")</f>
        <v>0.0166358595194085</v>
      </c>
      <c r="CB463" s="35" t="n"/>
      <c r="CC463" s="35" t="n"/>
      <c r="CD463" s="35" t="n"/>
      <c r="CE463" s="35" t="n"/>
      <c r="CF463" s="256">
        <f>IFERROR(CF314/CF451,"n/a")</f>
        <v>0.0139176583766013</v>
      </c>
      <c r="CG463" s="256">
        <f>IFERROR(CG314/CG451,"n/a")</f>
        <v>0.0244158055345862</v>
      </c>
      <c r="CH463" s="256">
        <f>IFERROR(CH314/CH451,"n/a")</f>
        <v>0.0359316655034377</v>
      </c>
      <c r="CI463" s="256">
        <f>IFERROR(CI314/CI451,"n/a")</f>
        <v>0.0499852603516833</v>
      </c>
      <c r="CJ463" s="256">
        <f>IFERROR(CJ314/CJ451,"n/a")</f>
        <v>0.0629684398164618</v>
      </c>
      <c r="CK463" s="19" t="n"/>
    </row>
    <row r="464" ht="15" customHeight="1" s="251">
      <c r="B464" s="25" t="inlineStr">
        <is>
          <t xml:space="preserve">  Dividend yield</t>
        </is>
      </c>
      <c r="C464" s="34" t="n"/>
      <c r="D464" s="34" t="n"/>
      <c r="E464" s="34" t="n"/>
      <c r="F464" s="34" t="n"/>
      <c r="G464" s="34" t="n"/>
      <c r="H464" s="34" t="n"/>
      <c r="I464" s="34" t="n"/>
      <c r="J464" s="34" t="n"/>
      <c r="K464" s="34" t="n"/>
      <c r="L464" s="34" t="n"/>
      <c r="M464" s="34" t="n"/>
      <c r="N464" s="34" t="n"/>
      <c r="O464" s="34" t="n"/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  <c r="AA464" s="34" t="n"/>
      <c r="AB464" s="34" t="n"/>
      <c r="AC464" s="34" t="n"/>
      <c r="AD464" s="34" t="n"/>
      <c r="AE464" s="34" t="n"/>
      <c r="AF464" s="34" t="n"/>
      <c r="AG464" s="34" t="n"/>
      <c r="AH464" s="34" t="n"/>
      <c r="AI464" s="34" t="n"/>
      <c r="AJ464" s="34" t="n"/>
      <c r="AK464" s="34" t="n"/>
      <c r="AL464" s="34" t="n"/>
      <c r="AM464" s="34" t="n"/>
      <c r="AN464" s="34" t="n"/>
      <c r="AO464" s="34" t="n"/>
      <c r="AP464" s="34" t="n"/>
      <c r="AQ464" s="34" t="n"/>
      <c r="AR464" s="34" t="n"/>
      <c r="AS464" s="34" t="n"/>
      <c r="AT464" s="34" t="n"/>
      <c r="AU464" s="34" t="n"/>
      <c r="AV464" s="34" t="n"/>
      <c r="AW464" s="34" t="n"/>
      <c r="AX464" s="34" t="n"/>
      <c r="AY464" s="34" t="n"/>
      <c r="AZ464" s="34" t="n"/>
      <c r="BA464" s="34" t="n"/>
      <c r="BB464" s="34" t="n"/>
      <c r="BC464" s="34" t="n"/>
      <c r="BD464" s="34" t="n"/>
      <c r="BE464" s="34" t="n"/>
      <c r="BF464" s="34" t="n"/>
      <c r="BG464" s="34" t="n"/>
      <c r="BH464" s="34" t="n"/>
      <c r="BI464" s="34" t="n"/>
      <c r="BJ464" s="34" t="n"/>
      <c r="BK464" s="34" t="n"/>
      <c r="BL464" s="34" t="n"/>
      <c r="BM464" s="34" t="n"/>
      <c r="BN464" s="34" t="n"/>
      <c r="BO464" s="34" t="n"/>
      <c r="BP464" s="34" t="n"/>
      <c r="BQ464" s="34" t="n"/>
      <c r="BR464" s="34" t="n"/>
      <c r="BS464" s="34" t="n"/>
      <c r="BT464" s="34" t="n"/>
      <c r="BU464" s="34" t="n"/>
      <c r="BV464" s="34" t="n"/>
      <c r="BW464" s="34" t="n"/>
      <c r="BX464" s="34" t="n"/>
      <c r="BY464" s="34" t="n"/>
      <c r="BZ464" s="34" t="n"/>
      <c r="CA464" s="215">
        <f>IFERROR(CA213/CA449,"n/a")</f>
        <v>0.006728280961183</v>
      </c>
      <c r="CB464" s="35" t="n"/>
      <c r="CC464" s="35" t="n"/>
      <c r="CD464" s="35" t="n"/>
      <c r="CE464" s="35" t="n"/>
      <c r="CF464" s="256">
        <f>IFERROR(CF213/CF449,"n/a")</f>
        <v>0.00739371534195933</v>
      </c>
      <c r="CG464" s="256">
        <f>IFERROR(CG213/CG449,"n/a")</f>
        <v>0.00813308687615527</v>
      </c>
      <c r="CH464" s="256">
        <f>IFERROR(CH213/CH449,"n/a")</f>
        <v>0.0089463955637708</v>
      </c>
      <c r="CI464" s="256">
        <f>IFERROR(CI213/CI449,"n/a")</f>
        <v>0.00984103512014788</v>
      </c>
      <c r="CJ464" s="256">
        <f>IFERROR(CJ213/CJ449,"n/a")</f>
        <v>0.0108251386321627</v>
      </c>
      <c r="CK464" s="19" t="n"/>
    </row>
    <row r="465" ht="15" customHeight="1" s="251"/>
  </sheetData>
  <dataValidations count="1">
    <dataValidation sqref="CK2" showDropDown="0" showInputMessage="0" showErrorMessage="0" allowBlank="0" type="list">
      <formula1>"Bull,Base,Bear"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0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style="251" min="1" max="1"/>
    <col width="63.85546875" customWidth="1" style="251" min="2" max="2"/>
    <col width="11.85546875" customWidth="1" style="251" min="3" max="8"/>
    <col width="13.28515625" customWidth="1" style="251" min="9" max="9"/>
    <col width="12.5703125" customWidth="1" style="251" min="10" max="12"/>
    <col width="3.85546875" customWidth="1" style="251" min="13" max="13"/>
    <col width="63.85546875" customWidth="1" style="251" min="14" max="14"/>
    <col width="11.85546875" customWidth="1" style="251" min="15" max="20"/>
    <col width="13.28515625" customWidth="1" style="251" min="21" max="21"/>
    <col width="12.5703125" customWidth="1" style="251" min="22" max="24"/>
    <col width="3.85546875" customWidth="1" style="251" min="25" max="25"/>
    <col width="63.85546875" customWidth="1" style="251" min="26" max="26"/>
    <col width="11.85546875" customWidth="1" style="251" min="27" max="32"/>
    <col width="13.28515625" customWidth="1" style="251" min="33" max="33"/>
    <col width="12.5703125" customWidth="1" style="251" min="34" max="36"/>
  </cols>
  <sheetData>
    <row r="2" ht="19.5" customHeight="1" s="251">
      <c r="B2" s="73" t="inlineStr">
        <is>
          <t>Microsoft Corporation (MSFT) — Bull / Base / Bear Case P&amp;L Summary</t>
        </is>
      </c>
      <c r="J2" s="152" t="inlineStr">
        <is>
          <t>Share price ($):</t>
        </is>
      </c>
      <c r="K2" s="74">
        <f>Model!$CF$449</f>
        <v>541</v>
      </c>
    </row>
    <row r="3" ht="15" customHeight="1" s="251">
      <c r="B3" s="4" t="inlineStr">
        <is>
          <t>Adjusted figures (company "As Adjusted" definitions; adjusted EBITDA is a model definition) · USD millions · fiscal years ended 30 June · Live panel linked to Model — toggle scenario via Model!CK2. Bull and Bear panels are value snapshots generated from the Model with the switch set to each case. FY2027E = Q1/27E calibrated to the Q1 FY27 outlook (8-K 2-Sep-2026) + Q2–Q4/27E carrying the Q1 calibration.</t>
        </is>
      </c>
      <c r="J3" s="152" t="inlineStr">
        <is>
          <t>As of:</t>
        </is>
      </c>
      <c r="K3" s="296" t="str">
        <f>TODAY()</f>
        <v>2026-10-13 00:00:00</v>
      </c>
    </row>
    <row r="5" ht="15" customHeight="1" s="251">
      <c r="B5" s="10" t="inlineStr">
        <is>
          <t>Scenario:</t>
        </is>
      </c>
      <c r="C5" s="75" t="str">
        <f>Model!$CK$2</f>
        <v>Base</v>
      </c>
      <c r="N5" s="76" t="inlineStr">
        <is>
          <t>Scenario:</t>
        </is>
      </c>
      <c r="O5" s="77" t="inlineStr">
        <is>
          <t>Bull</t>
        </is>
      </c>
      <c r="P5" s="4" t="inlineStr">
        <is>
          <t>Snapshot (values) — Model run with switch = Bull</t>
        </is>
      </c>
      <c r="Z5" s="76" t="inlineStr">
        <is>
          <t>Scenario:</t>
        </is>
      </c>
      <c r="AA5" s="77" t="inlineStr">
        <is>
          <t>Bear</t>
        </is>
      </c>
      <c r="AB5" s="4" t="inlineStr">
        <is>
          <t>Snapshot (values) — Model run with switch = Bear</t>
        </is>
      </c>
    </row>
    <row r="7" ht="32.1" customHeight="1" s="251">
      <c r="B7" s="78" t="inlineStr">
        <is>
          <t>(USDm, except EPS and shares)</t>
        </is>
      </c>
      <c r="C7" s="150" t="inlineStr">
        <is>
          <t>2026A</t>
        </is>
      </c>
      <c r="D7" s="150" t="inlineStr">
        <is>
          <t>2027E</t>
        </is>
      </c>
      <c r="E7" s="150" t="inlineStr">
        <is>
          <t>2028E</t>
        </is>
      </c>
      <c r="F7" s="150" t="inlineStr">
        <is>
          <t>2029E</t>
        </is>
      </c>
      <c r="G7" s="150" t="inlineStr">
        <is>
          <t>2030E</t>
        </is>
      </c>
      <c r="H7" s="150" t="inlineStr">
        <is>
          <t>2031E</t>
        </is>
      </c>
      <c r="I7" s="150" t="inlineStr">
        <is>
          <t>26-'31 CAGR</t>
        </is>
      </c>
      <c r="J7" s="151" t="inlineStr">
        <is>
          <t>LT Hist Avg</t>
        </is>
      </c>
      <c r="K7" s="151" t="inlineStr">
        <is>
          <t>LT Hist Min</t>
        </is>
      </c>
      <c r="L7" s="151" t="inlineStr">
        <is>
          <t>LT Hist Max</t>
        </is>
      </c>
      <c r="N7" s="78" t="inlineStr">
        <is>
          <t>(USDm, except EPS and shares)</t>
        </is>
      </c>
      <c r="O7" s="150" t="inlineStr">
        <is>
          <t>2026A</t>
        </is>
      </c>
      <c r="P7" s="150" t="inlineStr">
        <is>
          <t>2027E</t>
        </is>
      </c>
      <c r="Q7" s="150" t="inlineStr">
        <is>
          <t>2028E</t>
        </is>
      </c>
      <c r="R7" s="150" t="inlineStr">
        <is>
          <t>2029E</t>
        </is>
      </c>
      <c r="S7" s="150" t="inlineStr">
        <is>
          <t>2030E</t>
        </is>
      </c>
      <c r="T7" s="150" t="inlineStr">
        <is>
          <t>2031E</t>
        </is>
      </c>
      <c r="U7" s="150" t="inlineStr">
        <is>
          <t>26-'31 CAGR</t>
        </is>
      </c>
      <c r="V7" s="151" t="inlineStr">
        <is>
          <t>LT Hist Avg</t>
        </is>
      </c>
      <c r="W7" s="151" t="inlineStr">
        <is>
          <t>LT Hist Min</t>
        </is>
      </c>
      <c r="X7" s="151" t="inlineStr">
        <is>
          <t>LT Hist Max</t>
        </is>
      </c>
      <c r="Z7" s="78" t="inlineStr">
        <is>
          <t>(USDm, except EPS and shares)</t>
        </is>
      </c>
      <c r="AA7" s="150" t="inlineStr">
        <is>
          <t>2026A</t>
        </is>
      </c>
      <c r="AB7" s="150" t="inlineStr">
        <is>
          <t>2027E</t>
        </is>
      </c>
      <c r="AC7" s="150" t="inlineStr">
        <is>
          <t>2028E</t>
        </is>
      </c>
      <c r="AD7" s="150" t="inlineStr">
        <is>
          <t>2029E</t>
        </is>
      </c>
      <c r="AE7" s="150" t="inlineStr">
        <is>
          <t>2030E</t>
        </is>
      </c>
      <c r="AF7" s="150" t="inlineStr">
        <is>
          <t>2031E</t>
        </is>
      </c>
      <c r="AG7" s="150" t="inlineStr">
        <is>
          <t>26-'31 CAGR</t>
        </is>
      </c>
      <c r="AH7" s="151" t="inlineStr">
        <is>
          <t>LT Hist Avg</t>
        </is>
      </c>
      <c r="AI7" s="151" t="inlineStr">
        <is>
          <t>LT Hist Min</t>
        </is>
      </c>
      <c r="AJ7" s="151" t="inlineStr">
        <is>
          <t>LT Hist Max</t>
        </is>
      </c>
    </row>
    <row r="9" ht="15" customHeight="1" s="251">
      <c r="B9" s="79" t="inlineStr">
        <is>
          <t>Revenue</t>
        </is>
      </c>
      <c r="C9" s="80">
        <f>Model!CA179</f>
        <v>331839</v>
      </c>
      <c r="D9" s="81">
        <f>Model!CF179</f>
        <v>389116.321988875</v>
      </c>
      <c r="E9" s="81">
        <f>Model!CG179</f>
        <v>455406.771964896</v>
      </c>
      <c r="F9" s="81">
        <f>Model!CH179</f>
        <v>526872.13143062</v>
      </c>
      <c r="G9" s="81">
        <f>Model!CI179</f>
        <v>599356.932525938</v>
      </c>
      <c r="H9" s="81">
        <f>Model!CJ179</f>
        <v>671698.960824128</v>
      </c>
      <c r="I9" s="297">
        <f>IFERROR((H9/C9)^(1/5)-1,"n/m")</f>
        <v>0.151461575606386</v>
      </c>
      <c r="N9" s="79" t="inlineStr">
        <is>
          <t>Revenue</t>
        </is>
      </c>
      <c r="O9" s="80" t="n">
        <v>331839</v>
      </c>
      <c r="P9" s="81" t="n">
        <v>391416.048592278</v>
      </c>
      <c r="Q9" s="81" t="n">
        <v>474243.888491906</v>
      </c>
      <c r="R9" s="81" t="n">
        <v>569347.7364990551</v>
      </c>
      <c r="S9" s="81" t="n">
        <v>673400.0491162169</v>
      </c>
      <c r="T9" s="81" t="n">
        <v>785851.67367968</v>
      </c>
      <c r="U9" s="297" t="n">
        <v>0.188181076415595</v>
      </c>
      <c r="Z9" s="79" t="inlineStr">
        <is>
          <t>Revenue</t>
        </is>
      </c>
      <c r="AA9" s="80" t="n">
        <v>331839</v>
      </c>
      <c r="AB9" s="81" t="n">
        <v>386816.595385472</v>
      </c>
      <c r="AC9" s="81" t="n">
        <v>426941.190530497</v>
      </c>
      <c r="AD9" s="81" t="n">
        <v>463783.94104727</v>
      </c>
      <c r="AE9" s="81" t="n">
        <v>493711.755016336</v>
      </c>
      <c r="AF9" s="81" t="n">
        <v>516561.108872805</v>
      </c>
      <c r="AG9" s="297" t="n">
        <v>0.0925437977805306</v>
      </c>
    </row>
    <row r="10" ht="15" customHeight="1" s="251">
      <c r="B10" s="83" t="inlineStr">
        <is>
          <t xml:space="preserve">   Revenue y/y %</t>
        </is>
      </c>
      <c r="C10" s="298" t="n"/>
      <c r="D10" s="299">
        <f>IFERROR(D9/C9-1,"")</f>
        <v>0.172605757577846</v>
      </c>
      <c r="E10" s="299">
        <f>IFERROR(E9/D9-1,"")</f>
        <v>0.170361524896188</v>
      </c>
      <c r="F10" s="299">
        <f>IFERROR(F9/E9-1,"")</f>
        <v>0.156926431193326</v>
      </c>
      <c r="G10" s="299">
        <f>IFERROR(G9/F9-1,"")</f>
        <v>0.137575697728593</v>
      </c>
      <c r="H10" s="299">
        <f>IFERROR(H9/G9-1,"")</f>
        <v>0.120699410271791</v>
      </c>
      <c r="N10" s="83" t="inlineStr">
        <is>
          <t xml:space="preserve">   Revenue y/y %</t>
        </is>
      </c>
      <c r="O10" s="298" t="n"/>
      <c r="P10" s="299" t="n">
        <v>0.179536005690343</v>
      </c>
      <c r="Q10" s="299" t="n">
        <v>0.211610740534319</v>
      </c>
      <c r="R10" s="299" t="n">
        <v>0.20053784627479</v>
      </c>
      <c r="S10" s="299" t="n">
        <v>0.182757049772401</v>
      </c>
      <c r="T10" s="299" t="n">
        <v>0.166990817287654</v>
      </c>
      <c r="Z10" s="83" t="inlineStr">
        <is>
          <t xml:space="preserve">   Revenue y/y %</t>
        </is>
      </c>
      <c r="AA10" s="298" t="n"/>
      <c r="AB10" s="299" t="n">
        <v>0.165675509465349</v>
      </c>
      <c r="AC10" s="299" t="n">
        <v>0.103730283611643</v>
      </c>
      <c r="AD10" s="299" t="n">
        <v>0.086294673210128</v>
      </c>
      <c r="AE10" s="299" t="n">
        <v>0.064529646933196</v>
      </c>
      <c r="AF10" s="299" t="n">
        <v>0.046280757191437</v>
      </c>
    </row>
    <row r="11" ht="15" customHeight="1" s="251">
      <c r="B11" s="79" t="inlineStr">
        <is>
          <t xml:space="preserve">   Agents and Infra revenue y/y %</t>
        </is>
      </c>
      <c r="C11" s="86">
        <f>Model!CA271</f>
        <v>0.225538547327717</v>
      </c>
      <c r="D11" s="87">
        <f>Model!CF271</f>
        <v>0.228415589574855</v>
      </c>
      <c r="E11" s="87">
        <f>Model!CG271</f>
        <v>0.193303243369986</v>
      </c>
      <c r="F11" s="87">
        <f>Model!CH271</f>
        <v>0.173406006873389</v>
      </c>
      <c r="G11" s="87">
        <f>Model!CI271</f>
        <v>0.150164888078251</v>
      </c>
      <c r="H11" s="87">
        <f>Model!CJ271</f>
        <v>0.129918614033061</v>
      </c>
      <c r="N11" s="79" t="inlineStr">
        <is>
          <t xml:space="preserve">   Agents and Infra revenue y/y %</t>
        </is>
      </c>
      <c r="O11" s="86" t="n">
        <v>0.225538547327717</v>
      </c>
      <c r="P11" s="87" t="n">
        <v>0.233280033731036</v>
      </c>
      <c r="Q11" s="87" t="n">
        <v>0.236054188373648</v>
      </c>
      <c r="R11" s="87" t="n">
        <v>0.21843731007965</v>
      </c>
      <c r="S11" s="87" t="n">
        <v>0.196851686496604</v>
      </c>
      <c r="T11" s="87" t="n">
        <v>0.177717284380995</v>
      </c>
      <c r="Z11" s="79" t="inlineStr">
        <is>
          <t xml:space="preserve">   Agents and Infra revenue y/y %</t>
        </is>
      </c>
      <c r="AA11" s="86" t="n">
        <v>0.225538547327717</v>
      </c>
      <c r="AB11" s="87" t="n">
        <v>0.223551145418674</v>
      </c>
      <c r="AC11" s="87" t="n">
        <v>0.12394647437545</v>
      </c>
      <c r="AD11" s="87" t="n">
        <v>0.100316033424965</v>
      </c>
      <c r="AE11" s="87" t="n">
        <v>0.07467423393633291</v>
      </c>
      <c r="AF11" s="87" t="n">
        <v>0.0531626971124823</v>
      </c>
    </row>
    <row r="12" ht="15" customHeight="1" s="251">
      <c r="B12" s="79" t="inlineStr">
        <is>
          <t>Adjusted EBITDA (model)</t>
        </is>
      </c>
      <c r="C12" s="80">
        <f>Model!CA242</f>
        <v>193771</v>
      </c>
      <c r="D12" s="81">
        <f>Model!CF242</f>
        <v>236821.05459828</v>
      </c>
      <c r="E12" s="81">
        <f>Model!CG242</f>
        <v>283174.463126593</v>
      </c>
      <c r="F12" s="81">
        <f>Model!CH242</f>
        <v>335306.703392092</v>
      </c>
      <c r="G12" s="81">
        <f>Model!CI242</f>
        <v>389934.941497476</v>
      </c>
      <c r="H12" s="81">
        <f>Model!CJ242</f>
        <v>441920.381860219</v>
      </c>
      <c r="I12" s="297">
        <f>IFERROR((H12/C12)^(1/5)-1,"n/m")</f>
        <v>0.179264025834361</v>
      </c>
      <c r="N12" s="79" t="inlineStr">
        <is>
          <t>Adjusted EBITDA (model)</t>
        </is>
      </c>
      <c r="O12" s="80" t="n">
        <v>193771</v>
      </c>
      <c r="P12" s="81" t="n">
        <v>239754.234442608</v>
      </c>
      <c r="Q12" s="81" t="n">
        <v>300970.721577928</v>
      </c>
      <c r="R12" s="81" t="n">
        <v>366971.484406079</v>
      </c>
      <c r="S12" s="81" t="n">
        <v>440929.689733694</v>
      </c>
      <c r="T12" s="81" t="n">
        <v>517793.030315145</v>
      </c>
      <c r="U12" s="297" t="n">
        <v>0.217232344447431</v>
      </c>
      <c r="Z12" s="79" t="inlineStr">
        <is>
          <t>Adjusted EBITDA (model)</t>
        </is>
      </c>
      <c r="AA12" s="80" t="n">
        <v>193771</v>
      </c>
      <c r="AB12" s="81" t="n">
        <v>233887.18072502</v>
      </c>
      <c r="AC12" s="81" t="n">
        <v>254004.809018219</v>
      </c>
      <c r="AD12" s="81" t="n">
        <v>287017.792192927</v>
      </c>
      <c r="AE12" s="81" t="n">
        <v>316753.993858038</v>
      </c>
      <c r="AF12" s="81" t="n">
        <v>339118.272617991</v>
      </c>
      <c r="AG12" s="297" t="n">
        <v>0.118439462627913</v>
      </c>
    </row>
    <row r="13" ht="15" customHeight="1" s="251">
      <c r="B13" s="83" t="inlineStr">
        <is>
          <t xml:space="preserve">   Adjusted EBITDA margin %</t>
        </is>
      </c>
      <c r="C13" s="88">
        <f>IFERROR(C12/C9,"")</f>
        <v>0.583930761604272</v>
      </c>
      <c r="D13" s="89">
        <f>IFERROR(D12/D9,"")</f>
        <v>0.608612492500509</v>
      </c>
      <c r="E13" s="89">
        <f>IFERROR(E12/E9,"")</f>
        <v>0.6218055605647</v>
      </c>
      <c r="F13" s="89">
        <f>IFERROR(F12/F9,"")</f>
        <v>0.636410019413308</v>
      </c>
      <c r="G13" s="89">
        <f>IFERROR(G12/G9,"")</f>
        <v>0.65058885671703</v>
      </c>
      <c r="H13" s="89">
        <f>IFERROR(H12/H9,"")</f>
        <v>0.657914345018509</v>
      </c>
      <c r="J13" s="90">
        <f>IFERROR(AVERAGE(Model!C243,Model!D243,Model!E243,Model!F243,Model!G243,Model!H243,Model!I243,Model!N243,Model!S243,Model!X243,Model!AC243,Model!AH243,Model!AM243,Model!AR243,Model!AW243,Model!BB243,Model!BG243,Model!BL243,Model!BQ243,Model!BV243,Model!CA243),"")</f>
        <v>0.443012640473201</v>
      </c>
      <c r="K13" s="90">
        <f>IFERROR(MIN(Model!C243,Model!D243,Model!E243,Model!F243,Model!G243,Model!H243,Model!I243,Model!N243,Model!S243,Model!X243,Model!AC243,Model!AH243,Model!AM243,Model!AR243,Model!AW243,Model!BB243,Model!BG243,Model!BL243,Model!BQ243,Model!BV243,Model!CA243),"")</f>
        <v>0.364703996580466</v>
      </c>
      <c r="L13" s="90">
        <f>IFERROR(MAX(Model!C243,Model!D243,Model!E243,Model!F243,Model!G243,Model!H243,Model!I243,Model!N243,Model!S243,Model!X243,Model!AC243,Model!AH243,Model!AM243,Model!AR243,Model!AW243,Model!BB243,Model!BG243,Model!BL243,Model!BQ243,Model!BV243,Model!CA243),"")</f>
        <v>0.583930761604272</v>
      </c>
      <c r="N13" s="83" t="inlineStr">
        <is>
          <t xml:space="preserve">   Adjusted EBITDA margin %</t>
        </is>
      </c>
      <c r="O13" s="88" t="n">
        <v>0.583930761604272</v>
      </c>
      <c r="P13" s="89" t="n">
        <v>0.6125304143886799</v>
      </c>
      <c r="Q13" s="89" t="n">
        <v>0.634632788911659</v>
      </c>
      <c r="R13" s="89" t="n">
        <v>0.644547191251875</v>
      </c>
      <c r="S13" s="89" t="n">
        <v>0.654781196277575</v>
      </c>
      <c r="T13" s="89" t="n">
        <v>0.658894098794275</v>
      </c>
      <c r="V13" s="90" t="n">
        <v>0.443012640473201</v>
      </c>
      <c r="W13" s="90" t="n">
        <v>0.364703996580466</v>
      </c>
      <c r="X13" s="90" t="n">
        <v>0.583930761604272</v>
      </c>
      <c r="Z13" s="83" t="inlineStr">
        <is>
          <t xml:space="preserve">   Adjusted EBITDA margin %</t>
        </is>
      </c>
      <c r="AA13" s="88" t="n">
        <v>0.583930761604272</v>
      </c>
      <c r="AB13" s="89" t="n">
        <v>0.604646190249273</v>
      </c>
      <c r="AC13" s="89" t="n">
        <v>0.594940977005766</v>
      </c>
      <c r="AD13" s="89" t="n">
        <v>0.618860997094493</v>
      </c>
      <c r="AE13" s="89" t="n">
        <v>0.641576771546703</v>
      </c>
      <c r="AF13" s="89" t="n">
        <v>0.656492071882812</v>
      </c>
      <c r="AH13" s="90" t="n">
        <v>0.443012640473201</v>
      </c>
      <c r="AI13" s="90" t="n">
        <v>0.364703996580466</v>
      </c>
      <c r="AJ13" s="90" t="n">
        <v>0.583930761604272</v>
      </c>
    </row>
    <row r="15" ht="15" customHeight="1" s="251">
      <c r="B15" s="79" t="inlineStr">
        <is>
          <t>Operating income (GAAP)</t>
        </is>
      </c>
      <c r="C15" s="80">
        <f>Model!CA190</f>
        <v>155237</v>
      </c>
      <c r="D15" s="81">
        <f>Model!CF190</f>
        <v>180501.13459828</v>
      </c>
      <c r="E15" s="81">
        <f>Model!CG190</f>
        <v>202794.153812307</v>
      </c>
      <c r="F15" s="81">
        <f>Model!CH190</f>
        <v>233435.75860592</v>
      </c>
      <c r="G15" s="81">
        <f>Model!CI190</f>
        <v>269519.715244814</v>
      </c>
      <c r="H15" s="81">
        <f>Model!CJ190</f>
        <v>306218.502299503</v>
      </c>
      <c r="I15" s="297">
        <f>IFERROR((H15/C15)^(1/5)-1,"n/m")</f>
        <v>0.145532031143458</v>
      </c>
      <c r="N15" s="79" t="inlineStr">
        <is>
          <t>Operating income (GAAP)</t>
        </is>
      </c>
      <c r="O15" s="80" t="n">
        <v>155237</v>
      </c>
      <c r="P15" s="81" t="n">
        <v>183434.314442608</v>
      </c>
      <c r="Q15" s="81" t="n">
        <v>220547.555120786</v>
      </c>
      <c r="R15" s="81" t="n">
        <v>263524.128777019</v>
      </c>
      <c r="S15" s="81" t="n">
        <v>316203.32990821</v>
      </c>
      <c r="T15" s="81" t="n">
        <v>373978.401594722</v>
      </c>
      <c r="U15" s="297" t="n">
        <v>0.192258029502089</v>
      </c>
      <c r="Z15" s="79" t="inlineStr">
        <is>
          <t>Operating income (GAAP)</t>
        </is>
      </c>
      <c r="AA15" s="80" t="n">
        <v>155237</v>
      </c>
      <c r="AB15" s="81" t="n">
        <v>177567.26072502</v>
      </c>
      <c r="AC15" s="81" t="n">
        <v>173688.785418219</v>
      </c>
      <c r="AD15" s="81" t="n">
        <v>187527.521529344</v>
      </c>
      <c r="AE15" s="81" t="n">
        <v>202776.281216049</v>
      </c>
      <c r="AF15" s="81" t="n">
        <v>215238.831701669</v>
      </c>
      <c r="AG15" s="297" t="n">
        <v>0.0675422620340269</v>
      </c>
    </row>
    <row r="16" ht="15" customHeight="1" s="251">
      <c r="B16" s="83" t="inlineStr">
        <is>
          <t xml:space="preserve">   Operating income y/y %</t>
        </is>
      </c>
      <c r="C16" s="298" t="n"/>
      <c r="D16" s="299">
        <f>IFERROR(D15/C15-1,"")</f>
        <v>0.162745573531308</v>
      </c>
      <c r="E16" s="299">
        <f>IFERROR(E15/D15-1,"")</f>
        <v>0.123506255313255</v>
      </c>
      <c r="F16" s="299">
        <f>IFERROR(F15/E15-1,"")</f>
        <v>0.151097081536053</v>
      </c>
      <c r="G16" s="299">
        <f>IFERROR(G15/F15-1,"")</f>
        <v>0.154577674193482</v>
      </c>
      <c r="H16" s="299">
        <f>IFERROR(H15/G15-1,"")</f>
        <v>0.136163645844437</v>
      </c>
      <c r="N16" s="83" t="inlineStr">
        <is>
          <t xml:space="preserve">   Operating income y/y %</t>
        </is>
      </c>
      <c r="O16" s="298" t="n"/>
      <c r="P16" s="299" t="n">
        <v>0.181640423627148</v>
      </c>
      <c r="Q16" s="299" t="n">
        <v>0.20232441673169</v>
      </c>
      <c r="R16" s="299" t="n">
        <v>0.194863069929281</v>
      </c>
      <c r="S16" s="299" t="n">
        <v>0.199902761753425</v>
      </c>
      <c r="T16" s="299" t="n">
        <v>0.182714937579192</v>
      </c>
      <c r="Z16" s="83" t="inlineStr">
        <is>
          <t xml:space="preserve">   Operating income y/y %</t>
        </is>
      </c>
      <c r="AA16" s="298" t="n"/>
      <c r="AB16" s="299" t="n">
        <v>0.14384625266541</v>
      </c>
      <c r="AC16" s="299" t="n">
        <v>-0.0218422883304341</v>
      </c>
      <c r="AD16" s="299" t="n">
        <v>0.07967547287410071</v>
      </c>
      <c r="AE16" s="299" t="n">
        <v>0.0813147828241276</v>
      </c>
      <c r="AF16" s="299" t="n">
        <v>0.061459606670373</v>
      </c>
    </row>
    <row r="17" ht="15" customHeight="1" s="251">
      <c r="B17" s="83" t="inlineStr">
        <is>
          <t xml:space="preserve">   Operating margin (GAAP) %</t>
        </is>
      </c>
      <c r="C17" s="88">
        <f>IFERROR(C15/C9,"")</f>
        <v>0.467808184089272</v>
      </c>
      <c r="D17" s="89">
        <f>IFERROR(D15/D9,"")</f>
        <v>0.463874487905548</v>
      </c>
      <c r="E17" s="89">
        <f>IFERROR(E15/E9,"")</f>
        <v>0.445303333846645</v>
      </c>
      <c r="F17" s="89">
        <f>IFERROR(F15/F9,"")</f>
        <v>0.443059605320308</v>
      </c>
      <c r="G17" s="89">
        <f>IFERROR(G15/G9,"")</f>
        <v>0.449681484635452</v>
      </c>
      <c r="H17" s="89">
        <f>IFERROR(H15/H9,"")</f>
        <v>0.455886520836348</v>
      </c>
      <c r="J17" s="90">
        <f>IFERROR(AVERAGE(Model!C283,Model!D283,Model!E283,Model!F283,Model!G283,Model!H283,Model!I283,Model!N283,Model!S283,Model!X283,Model!AC283,Model!AH283,Model!AM283,Model!AR283,Model!AW283,Model!BB283,Model!BG283,Model!BL283,Model!BQ283,Model!BV283,Model!CA283),"")</f>
        <v>0.358123142861326</v>
      </c>
      <c r="K17" s="90">
        <f>IFERROR(MIN(Model!C283,Model!D283,Model!E283,Model!F283,Model!G283,Model!H283,Model!I283,Model!N283,Model!S283,Model!X283,Model!AC283,Model!AH283,Model!AM283,Model!AR283,Model!AW283,Model!BB283,Model!BG283,Model!BL283,Model!BQ283,Model!BV283,Model!CA283),"")</f>
        <v>0.194069245565292</v>
      </c>
      <c r="L17" s="90">
        <f>IFERROR(MAX(Model!C283,Model!D283,Model!E283,Model!F283,Model!G283,Model!H283,Model!I283,Model!N283,Model!S283,Model!X283,Model!AC283,Model!AH283,Model!AM283,Model!AR283,Model!AW283,Model!BB283,Model!BG283,Model!BL283,Model!BQ283,Model!BV283,Model!CA283),"")</f>
        <v>0.467808184089272</v>
      </c>
      <c r="N17" s="83" t="inlineStr">
        <is>
          <t xml:space="preserve">   Operating margin (GAAP) %</t>
        </is>
      </c>
      <c r="O17" s="88" t="n">
        <v>0.467808184089272</v>
      </c>
      <c r="P17" s="89" t="n">
        <v>0.468642803743808</v>
      </c>
      <c r="Q17" s="89" t="n">
        <v>0.465050916780659</v>
      </c>
      <c r="R17" s="89" t="n">
        <v>0.462852685421112</v>
      </c>
      <c r="S17" s="89" t="n">
        <v>0.469562380227328</v>
      </c>
      <c r="T17" s="89" t="n">
        <v>0.47588929835016</v>
      </c>
      <c r="V17" s="90" t="n">
        <v>0.358123142861326</v>
      </c>
      <c r="W17" s="90" t="n">
        <v>0.194069245565292</v>
      </c>
      <c r="X17" s="90" t="n">
        <v>0.467808184089272</v>
      </c>
      <c r="Z17" s="83" t="inlineStr">
        <is>
          <t xml:space="preserve">   Operating margin (GAAP) %</t>
        </is>
      </c>
      <c r="AA17" s="88" t="n">
        <v>0.467808184089272</v>
      </c>
      <c r="AB17" s="89" t="n">
        <v>0.459047680071922</v>
      </c>
      <c r="AC17" s="89" t="n">
        <v>0.406821335749782</v>
      </c>
      <c r="AD17" s="89" t="n">
        <v>0.404342420968454</v>
      </c>
      <c r="AE17" s="89" t="n">
        <v>0.410717952642914</v>
      </c>
      <c r="AF17" s="89" t="n">
        <v>0.416676416409559</v>
      </c>
      <c r="AH17" s="90" t="n">
        <v>0.358123142861326</v>
      </c>
      <c r="AI17" s="90" t="n">
        <v>0.194069245565292</v>
      </c>
      <c r="AJ17" s="90" t="n">
        <v>0.467808184089272</v>
      </c>
    </row>
    <row r="19" ht="15" customHeight="1" s="251">
      <c r="B19" s="79" t="inlineStr">
        <is>
          <t>Adjusted Net Income</t>
        </is>
      </c>
      <c r="C19" s="80">
        <f>Model!CA258</f>
        <v>128786</v>
      </c>
      <c r="D19" s="81">
        <f>Model!CF258</f>
        <v>144080.907678624</v>
      </c>
      <c r="E19" s="81">
        <f>Model!CG258</f>
        <v>162330.111225069</v>
      </c>
      <c r="F19" s="81">
        <f>Model!CH258</f>
        <v>186079.805839007</v>
      </c>
      <c r="G19" s="81">
        <f>Model!CI258</f>
        <v>214296.710383296</v>
      </c>
      <c r="H19" s="81">
        <f>Model!CJ258</f>
        <v>243062.900482427</v>
      </c>
      <c r="I19" s="297">
        <f>IFERROR((H19/C19)^(1/5)-1,"n/m")</f>
        <v>0.135455201920234</v>
      </c>
      <c r="N19" s="79" t="inlineStr">
        <is>
          <t>Adjusted Net Income</t>
        </is>
      </c>
      <c r="O19" s="80" t="n">
        <v>128786</v>
      </c>
      <c r="P19" s="81" t="n">
        <v>146427.451554086</v>
      </c>
      <c r="Q19" s="81" t="n">
        <v>176426.866284936</v>
      </c>
      <c r="R19" s="81" t="n">
        <v>210113.814911927</v>
      </c>
      <c r="S19" s="81" t="n">
        <v>251668.113729944</v>
      </c>
      <c r="T19" s="81" t="n">
        <v>297351.429738926</v>
      </c>
      <c r="U19" s="297" t="n">
        <v>0.182170928938617</v>
      </c>
      <c r="Z19" s="79" t="inlineStr">
        <is>
          <t>Adjusted Net Income</t>
        </is>
      </c>
      <c r="AA19" s="80" t="n">
        <v>128786</v>
      </c>
      <c r="AB19" s="81" t="n">
        <v>141733.808580016</v>
      </c>
      <c r="AC19" s="81" t="n">
        <v>138860.234741275</v>
      </c>
      <c r="AD19" s="81" t="n">
        <v>149259.342479389</v>
      </c>
      <c r="AE19" s="81" t="n">
        <v>160755.232529117</v>
      </c>
      <c r="AF19" s="81" t="n">
        <v>170110.037820404</v>
      </c>
      <c r="AG19" s="297" t="n">
        <v>0.0572367654247958</v>
      </c>
    </row>
    <row r="21" ht="15" customHeight="1" s="251">
      <c r="B21" s="79" t="inlineStr">
        <is>
          <t>FDSO (m)</t>
        </is>
      </c>
      <c r="C21" s="91">
        <f>Model!CA208</f>
        <v>7453</v>
      </c>
      <c r="D21" s="92">
        <f>Model!CF208</f>
        <v>7438.22822156464</v>
      </c>
      <c r="E21" s="92">
        <f>Model!CG208</f>
        <v>7407.46354162308</v>
      </c>
      <c r="F21" s="92">
        <f>Model!CH208</f>
        <v>7314.00874124228</v>
      </c>
      <c r="G21" s="92">
        <f>Model!CI208</f>
        <v>7165.73175555436</v>
      </c>
      <c r="H21" s="92">
        <f>Model!CJ208</f>
        <v>6970.40055027174</v>
      </c>
      <c r="I21" s="297">
        <f>IFERROR((H21/C21)^(1/5)-1,"n/m")</f>
        <v>-0.0132995578449232</v>
      </c>
      <c r="N21" s="79" t="inlineStr">
        <is>
          <t>FDSO (m)</t>
        </is>
      </c>
      <c r="O21" s="91" t="n">
        <v>7453</v>
      </c>
      <c r="P21" s="92" t="n">
        <v>7426.51642924141</v>
      </c>
      <c r="Q21" s="92" t="n">
        <v>7377.47719870734</v>
      </c>
      <c r="R21" s="92" t="n">
        <v>7266.60038646212</v>
      </c>
      <c r="S21" s="92" t="n">
        <v>7089.6002302064</v>
      </c>
      <c r="T21" s="92" t="n">
        <v>6850.15540960685</v>
      </c>
      <c r="U21" s="297" t="n">
        <v>-0.0167275733845194</v>
      </c>
      <c r="Z21" s="79" t="inlineStr">
        <is>
          <t>FDSO (m)</t>
        </is>
      </c>
      <c r="AA21" s="91" t="n">
        <v>7453</v>
      </c>
      <c r="AB21" s="92" t="n">
        <v>7444.13678373383</v>
      </c>
      <c r="AC21" s="92" t="n">
        <v>7436.46141606361</v>
      </c>
      <c r="AD21" s="92" t="n">
        <v>7377.14084749743</v>
      </c>
      <c r="AE21" s="92" t="n">
        <v>7271.3535794917</v>
      </c>
      <c r="AF21" s="92" t="n">
        <v>7136.64042749758</v>
      </c>
      <c r="AG21" s="297" t="n">
        <v>-0.008637381353702621</v>
      </c>
    </row>
    <row r="23" ht="15" customHeight="1" s="251">
      <c r="B23" s="79" t="inlineStr">
        <is>
          <t>Adjusted EPS — Diluted ($)</t>
        </is>
      </c>
      <c r="C23" s="93">
        <f>Model!CA262</f>
        <v>17.2797531195492</v>
      </c>
      <c r="D23" s="94">
        <f>Model!CF262</f>
        <v>19.3703262909989</v>
      </c>
      <c r="E23" s="94">
        <f>Model!CG262</f>
        <v>21.9143989454587</v>
      </c>
      <c r="F23" s="94">
        <f>Model!CH262</f>
        <v>25.4415618605621</v>
      </c>
      <c r="G23" s="94">
        <f>Model!CI262</f>
        <v>29.9057678536723</v>
      </c>
      <c r="H23" s="94">
        <f>Model!CJ262</f>
        <v>34.8707220954398</v>
      </c>
      <c r="I23" s="297">
        <f>IFERROR((H23/C23)^(1/5)-1,"n/m")</f>
        <v>0.150759798424999</v>
      </c>
      <c r="N23" s="79" t="inlineStr">
        <is>
          <t>Adjusted EPS — Diluted ($)</t>
        </is>
      </c>
      <c r="O23" s="93" t="n">
        <v>17.2797531195492</v>
      </c>
      <c r="P23" s="94" t="n">
        <v>19.7168420684479</v>
      </c>
      <c r="Q23" s="94" t="n">
        <v>23.914254362704</v>
      </c>
      <c r="R23" s="94" t="n">
        <v>28.9150089088943</v>
      </c>
      <c r="S23" s="94" t="n">
        <v>35.4982094276164</v>
      </c>
      <c r="T23" s="94" t="n">
        <v>43.4079830250146</v>
      </c>
      <c r="U23" s="297" t="n">
        <v>0.202282192543285</v>
      </c>
      <c r="Z23" s="79" t="inlineStr">
        <is>
          <t>Adjusted EPS — Diluted ($)</t>
        </is>
      </c>
      <c r="AA23" s="93" t="n">
        <v>17.2797531195492</v>
      </c>
      <c r="AB23" s="94" t="n">
        <v>19.039656671774</v>
      </c>
      <c r="AC23" s="94" t="n">
        <v>18.6728911739286</v>
      </c>
      <c r="AD23" s="94" t="n">
        <v>20.2326816804675</v>
      </c>
      <c r="AE23" s="94" t="n">
        <v>22.1080202979697</v>
      </c>
      <c r="AF23" s="94" t="n">
        <v>23.8361508539743</v>
      </c>
      <c r="AG23" s="297" t="n">
        <v>0.066448084222148</v>
      </c>
    </row>
    <row r="24" ht="15" customHeight="1" s="251">
      <c r="B24" s="83" t="inlineStr">
        <is>
          <t xml:space="preserve">   EPS y/y %</t>
        </is>
      </c>
      <c r="C24" s="298" t="n"/>
      <c r="D24" s="299">
        <f>IFERROR(D23/C23-1,"")</f>
        <v>0.120983972223805</v>
      </c>
      <c r="E24" s="299">
        <f>IFERROR(E23/D23-1,"")</f>
        <v>0.131338657709756</v>
      </c>
      <c r="F24" s="299">
        <f>IFERROR(F23/E23-1,"")</f>
        <v>0.160951843757244</v>
      </c>
      <c r="G24" s="299">
        <f>IFERROR(G23/F23-1,"")</f>
        <v>0.175469022600783</v>
      </c>
      <c r="H24" s="299">
        <f>IFERROR(H23/G23-1,"")</f>
        <v>0.166019955282902</v>
      </c>
      <c r="N24" s="83" t="inlineStr">
        <is>
          <t xml:space="preserve">   EPS y/y %</t>
        </is>
      </c>
      <c r="O24" s="298" t="n"/>
      <c r="P24" s="299" t="n">
        <v>0.14103725510647</v>
      </c>
      <c r="Q24" s="299" t="n">
        <v>0.212884613047294</v>
      </c>
      <c r="R24" s="299" t="n">
        <v>0.209111874045687</v>
      </c>
      <c r="S24" s="299" t="n">
        <v>0.227674165325853</v>
      </c>
      <c r="T24" s="299" t="n">
        <v>0.222821762701209</v>
      </c>
      <c r="Z24" s="83" t="inlineStr">
        <is>
          <t xml:space="preserve">   EPS y/y %</t>
        </is>
      </c>
      <c r="AA24" s="298" t="n"/>
      <c r="AB24" s="299" t="n">
        <v>0.101847725488266</v>
      </c>
      <c r="AC24" s="299" t="n">
        <v>-0.0192632411481016</v>
      </c>
      <c r="AD24" s="299" t="n">
        <v>0.0835323513648854</v>
      </c>
      <c r="AE24" s="299" t="n">
        <v>0.09268858409968871</v>
      </c>
      <c r="AF24" s="299" t="n">
        <v>0.07816758500820351</v>
      </c>
    </row>
    <row r="26" ht="15" customHeight="1" s="251">
      <c r="B26" s="83" t="inlineStr">
        <is>
          <t>P / E (x) — assumed (adjusted EPS)</t>
        </is>
      </c>
      <c r="C26" s="300" t="n"/>
      <c r="D26" s="300" t="n"/>
      <c r="E26" s="300" t="n"/>
      <c r="F26" s="300" t="n"/>
      <c r="G26" s="300" t="n">
        <v>30</v>
      </c>
      <c r="H26" s="300" t="n">
        <v>30</v>
      </c>
      <c r="N26" s="83" t="inlineStr">
        <is>
          <t>P / E (x) — assumed (adjusted EPS)</t>
        </is>
      </c>
      <c r="O26" s="300" t="n"/>
      <c r="P26" s="300" t="n"/>
      <c r="Q26" s="300" t="n"/>
      <c r="R26" s="300" t="n"/>
      <c r="S26" s="300" t="n">
        <v>34</v>
      </c>
      <c r="T26" s="300" t="n">
        <v>34</v>
      </c>
      <c r="Z26" s="83" t="inlineStr">
        <is>
          <t>P / E (x) — assumed (adjusted EPS)</t>
        </is>
      </c>
      <c r="AA26" s="300" t="n"/>
      <c r="AB26" s="300" t="n"/>
      <c r="AC26" s="300" t="n"/>
      <c r="AD26" s="300" t="n">
        <v>24</v>
      </c>
      <c r="AE26" s="300" t="n">
        <v>24</v>
      </c>
      <c r="AF26" s="300" t="n">
        <v>24</v>
      </c>
    </row>
    <row r="27" ht="15" customHeight="1" s="251">
      <c r="B27" s="10" t="inlineStr">
        <is>
          <t>Price Target ($)</t>
        </is>
      </c>
      <c r="C27" s="96" t="n"/>
      <c r="D27" s="96" t="n"/>
      <c r="E27" s="96" t="n"/>
      <c r="F27" s="96" t="n"/>
      <c r="G27" s="96">
        <f>G26*G23</f>
        <v>897.173035610169</v>
      </c>
      <c r="H27" s="96">
        <f>H26*H23</f>
        <v>1046.12166286319</v>
      </c>
      <c r="N27" s="10" t="inlineStr">
        <is>
          <t>Price Target ($)</t>
        </is>
      </c>
      <c r="O27" s="96" t="n"/>
      <c r="P27" s="96" t="n"/>
      <c r="Q27" s="96" t="n"/>
      <c r="R27" s="96" t="n"/>
      <c r="S27" s="96">
        <f>S26*S23</f>
        <v>1206.93912053896</v>
      </c>
      <c r="T27" s="96">
        <f>T26*T23</f>
        <v>1475.8714228505</v>
      </c>
      <c r="Z27" s="10" t="inlineStr">
        <is>
          <t>Price Target ($)</t>
        </is>
      </c>
      <c r="AA27" s="96" t="n"/>
      <c r="AB27" s="96" t="n"/>
      <c r="AC27" s="96" t="n"/>
      <c r="AD27" s="96">
        <f>AD26*AD23</f>
        <v>485.58436033122</v>
      </c>
      <c r="AE27" s="96">
        <f>AE26*AE23</f>
        <v>530.592487151273</v>
      </c>
      <c r="AF27" s="96">
        <f>AF26*AF23</f>
        <v>572.067620495383</v>
      </c>
    </row>
    <row r="28" ht="15" customHeight="1" s="251">
      <c r="B28" t="inlineStr">
        <is>
          <t xml:space="preserve">   Upside / (Downside) vs current</t>
        </is>
      </c>
      <c r="E28" s="301" t="n"/>
      <c r="F28" s="301" t="n"/>
      <c r="G28" s="301">
        <f>IFERROR(G27/$K$2-1,"")</f>
        <v>0.658360509445783</v>
      </c>
      <c r="H28" s="301">
        <f>IFERROR(H27/$K$2-1,"")</f>
        <v>0.933681447066903</v>
      </c>
      <c r="N28" t="inlineStr">
        <is>
          <t xml:space="preserve">   Upside / (Downside) vs current</t>
        </is>
      </c>
      <c r="O28" s="301" t="n"/>
      <c r="P28" s="301" t="n"/>
      <c r="Q28" s="301" t="n"/>
      <c r="R28" s="301" t="n"/>
      <c r="S28" s="301">
        <f>IFERROR(S27/$K$2-1,"")</f>
        <v>1.23094107308495</v>
      </c>
      <c r="T28" s="301">
        <f>IFERROR(T27/$K$2-1,"")</f>
        <v>1.72804329547227</v>
      </c>
      <c r="Z28" t="inlineStr">
        <is>
          <t xml:space="preserve">   Upside / (Downside) vs current</t>
        </is>
      </c>
      <c r="AA28" s="301" t="n"/>
      <c r="AB28" s="301" t="n"/>
      <c r="AC28" s="301" t="n"/>
      <c r="AD28" s="301">
        <f>IFERROR(AD27/$K$2-1,"")</f>
        <v>-0.102431866300887</v>
      </c>
      <c r="AE28" s="301">
        <f>IFERROR(AE27/$K$2-1,"")</f>
        <v>-0.0192375468553184</v>
      </c>
      <c r="AF28" s="301">
        <f>IFERROR(AF27/$K$2-1,"")</f>
        <v>0.0574262855737211</v>
      </c>
    </row>
    <row r="29" ht="15" customHeight="1" s="251">
      <c r="B29" s="75" t="inlineStr">
        <is>
          <t>IRR (to 30-Jun of Y-1)</t>
        </is>
      </c>
      <c r="C29" s="302" t="n"/>
      <c r="D29" s="302" t="n"/>
      <c r="E29" s="302" t="n"/>
      <c r="F29" s="302" t="n"/>
      <c r="G29" s="302">
        <f>IFERROR((G27/$K$2)^(1/((DATE(2030-1,6,30)-$K$3)/365.25))-1,"")</f>
        <v>0.20494280685699</v>
      </c>
      <c r="H29" s="302">
        <f>IFERROR((H27/$K$2)^(1/((DATE(2031-1,6,30)-$K$3)/365.25))-1,"")</f>
        <v>0.194373581622199</v>
      </c>
      <c r="N29" s="75" t="inlineStr">
        <is>
          <t>IRR (to 30-Jun of Y-1)</t>
        </is>
      </c>
      <c r="O29" s="302" t="n"/>
      <c r="P29" s="302" t="n"/>
      <c r="Q29" s="302" t="n"/>
      <c r="R29" s="302" t="n"/>
      <c r="S29" s="302">
        <f>IFERROR((S27/$K$2)^(1/((DATE(2030-1,6,30)-$K$3)/365.25))-1,"")</f>
        <v>0.344129923070261</v>
      </c>
      <c r="T29" s="302">
        <f>IFERROR((T27/$K$2)^(1/((DATE(2031-1,6,30)-$K$3)/365.25))-1,"")</f>
        <v>0.310388885197856</v>
      </c>
      <c r="Z29" s="75" t="inlineStr">
        <is>
          <t>IRR (to 30-Jun of Y-1)</t>
        </is>
      </c>
      <c r="AA29" s="302" t="n"/>
      <c r="AB29" s="302" t="n"/>
      <c r="AC29" s="302" t="n"/>
      <c r="AD29" s="302">
        <f>IFERROR((AD27/$K$2)^(1/((DATE(2029-1,6,30)-$K$3)/365.25))-1,"")</f>
        <v>-0.0611063168030633</v>
      </c>
      <c r="AE29" s="302">
        <f>IFERROR((AE27/$K$2)^(1/((DATE(2030-1,6,30)-$K$3)/365.25))-1,"")</f>
        <v>-0.00713384711059528</v>
      </c>
      <c r="AF29" s="302">
        <f>IFERROR((AF27/$K$2)^(1/((DATE(2031-1,6,30)-$K$3)/365.25))-1,"")</f>
        <v>0.015154090271374</v>
      </c>
    </row>
    <row r="31" ht="15" customHeight="1" s="251">
      <c r="B31" s="79" t="inlineStr">
        <is>
          <t>Free Cash Flow</t>
        </is>
      </c>
      <c r="C31" s="80">
        <f>Model!CA314</f>
        <v>66987</v>
      </c>
      <c r="D31" s="81">
        <f>Model!CF314</f>
        <v>55969.8622670554</v>
      </c>
      <c r="E31" s="81">
        <f>Model!CG314</f>
        <v>97395.8108678641</v>
      </c>
      <c r="F31" s="81">
        <f>Model!CH314</f>
        <v>141021.361230766</v>
      </c>
      <c r="G31" s="81">
        <f>Model!CI314</f>
        <v>191374.163496235</v>
      </c>
      <c r="H31" s="81">
        <f>Model!CJ314</f>
        <v>233824.578719346</v>
      </c>
      <c r="I31" s="297">
        <f>IFERROR((H31/C31)^(1/5)-1,"n/m")</f>
        <v>0.284044060849782</v>
      </c>
      <c r="N31" s="79" t="inlineStr">
        <is>
          <t>Free Cash Flow</t>
        </is>
      </c>
      <c r="O31" s="80" t="n">
        <v>66987</v>
      </c>
      <c r="P31" s="81" t="n">
        <v>58642.021560798</v>
      </c>
      <c r="Q31" s="81" t="n">
        <v>106961.723898547</v>
      </c>
      <c r="R31" s="81" t="n">
        <v>156648.717448768</v>
      </c>
      <c r="S31" s="81" t="n">
        <v>217704.55619235</v>
      </c>
      <c r="T31" s="81" t="n">
        <v>274491.18268722</v>
      </c>
      <c r="U31" s="297" t="n">
        <v>0.325890240793776</v>
      </c>
      <c r="Z31" s="79" t="inlineStr">
        <is>
          <t>Free Cash Flow</t>
        </is>
      </c>
      <c r="AA31" s="80" t="n">
        <v>66987</v>
      </c>
      <c r="AB31" s="81" t="n">
        <v>53297.1477501676</v>
      </c>
      <c r="AC31" s="81" t="n">
        <v>80650.719125398</v>
      </c>
      <c r="AD31" s="81" t="n">
        <v>116698.620812417</v>
      </c>
      <c r="AE31" s="81" t="n">
        <v>153558.423139178</v>
      </c>
      <c r="AF31" s="81" t="n">
        <v>179110.195881841</v>
      </c>
      <c r="AG31" s="297" t="n">
        <v>0.217379421189314</v>
      </c>
    </row>
    <row r="32" ht="15" customHeight="1" s="251">
      <c r="B32" s="83" t="inlineStr">
        <is>
          <t xml:space="preserve">   FCF %</t>
        </is>
      </c>
      <c r="C32" s="88">
        <f>IFERROR(C31/C9,"")</f>
        <v>0.20186596512164</v>
      </c>
      <c r="D32" s="89">
        <f>IFERROR(D31/D9,"")</f>
        <v>0.143838382263121</v>
      </c>
      <c r="E32" s="89">
        <f>IFERROR(E31/E9,"")</f>
        <v>0.213865530474307</v>
      </c>
      <c r="F32" s="89">
        <f>IFERROR(F31/F9,"")</f>
        <v>0.267657658885562</v>
      </c>
      <c r="G32" s="89">
        <f>IFERROR(G31/G9,"")</f>
        <v>0.319299157331351</v>
      </c>
      <c r="H32" s="89">
        <f>IFERROR(H31/H9,"")</f>
        <v>0.348109186342137</v>
      </c>
      <c r="J32" s="90">
        <f>IFERROR(AVERAGE(Model!C317,Model!D317,Model!E317,Model!F317,Model!G317,Model!H317,Model!I317,Model!N317,Model!S317,Model!X317,Model!AC317,Model!AH317,Model!AM317,Model!AR317,Model!AW317,Model!BB317,Model!BG317,Model!BL317,Model!BQ317,Model!BV317,Model!CA317),"")</f>
        <v>0.304808996428074</v>
      </c>
      <c r="K32" s="90">
        <f>IFERROR(MIN(Model!C317,Model!D317,Model!E317,Model!F317,Model!G317,Model!H317,Model!I317,Model!N317,Model!S317,Model!X317,Model!AC317,Model!AH317,Model!AM317,Model!AR317,Model!AW317,Model!BB317,Model!BG317,Model!BL317,Model!BQ317,Model!BV317,Model!CA317),"")</f>
        <v>0.20186596512164</v>
      </c>
      <c r="L32" s="90">
        <f>IFERROR(MAX(Model!C317,Model!D317,Model!E317,Model!F317,Model!G317,Model!H317,Model!I317,Model!N317,Model!S317,Model!X317,Model!AC317,Model!AH317,Model!AM317,Model!AR317,Model!AW317,Model!BB317,Model!BG317,Model!BL317,Model!BQ317,Model!BV317,Model!CA317),"")</f>
        <v>0.397718486768037</v>
      </c>
      <c r="N32" s="83" t="inlineStr">
        <is>
          <t xml:space="preserve">   FCF %</t>
        </is>
      </c>
      <c r="O32" s="88" t="n">
        <v>0.20186596512164</v>
      </c>
      <c r="P32" s="89" t="n">
        <v>0.14982017669358</v>
      </c>
      <c r="Q32" s="89" t="n">
        <v>0.225541596832559</v>
      </c>
      <c r="R32" s="89" t="n">
        <v>0.275137156796316</v>
      </c>
      <c r="S32" s="89" t="n">
        <v>0.323291565657101</v>
      </c>
      <c r="T32" s="89" t="n">
        <v>0.34929133815029</v>
      </c>
      <c r="V32" s="90" t="n">
        <v>0.304808996428074</v>
      </c>
      <c r="W32" s="90" t="n">
        <v>0.20186596512164</v>
      </c>
      <c r="X32" s="90" t="n">
        <v>0.397718486768037</v>
      </c>
      <c r="Z32" s="83" t="inlineStr">
        <is>
          <t xml:space="preserve">   FCF %</t>
        </is>
      </c>
      <c r="AA32" s="88" t="n">
        <v>0.20186596512164</v>
      </c>
      <c r="AB32" s="89" t="n">
        <v>0.137784025778562</v>
      </c>
      <c r="AC32" s="89" t="n">
        <v>0.188903579495774</v>
      </c>
      <c r="AD32" s="89" t="n">
        <v>0.251622815030854</v>
      </c>
      <c r="AE32" s="89" t="n">
        <v>0.311028493000126</v>
      </c>
      <c r="AF32" s="89" t="n">
        <v>0.34673573524085</v>
      </c>
      <c r="AH32" s="90" t="n">
        <v>0.304808996428074</v>
      </c>
      <c r="AI32" s="90" t="n">
        <v>0.20186596512164</v>
      </c>
      <c r="AJ32" s="90" t="n">
        <v>0.397718486768037</v>
      </c>
    </row>
    <row r="33" ht="15" customHeight="1" s="251">
      <c r="B33" s="83" t="inlineStr">
        <is>
          <t xml:space="preserve">   FCF / share ($)</t>
        </is>
      </c>
      <c r="C33" s="99">
        <f>IFERROR(C31/C21,"")</f>
        <v>8.98792432577486</v>
      </c>
      <c r="D33" s="100">
        <f>IFERROR(D31/D21,"")</f>
        <v>7.52462288059266</v>
      </c>
      <c r="E33" s="100">
        <f>IFERROR(E31/E21,"")</f>
        <v>13.1483348275142</v>
      </c>
      <c r="F33" s="100">
        <f>IFERROR(F31/F21,"")</f>
        <v>19.280994352054</v>
      </c>
      <c r="G33" s="100">
        <f>IFERROR(G31/G21,"")</f>
        <v>26.7068556324197</v>
      </c>
      <c r="H33" s="100">
        <f>IFERROR(H31/H21,"")</f>
        <v>33.5453575491054</v>
      </c>
      <c r="N33" s="83" t="inlineStr">
        <is>
          <t xml:space="preserve">   FCF / share ($)</t>
        </is>
      </c>
      <c r="O33" s="99" t="n">
        <v>8.987924325774859</v>
      </c>
      <c r="P33" s="100" t="n">
        <v>7.89630267697235</v>
      </c>
      <c r="Q33" s="100" t="n">
        <v>14.4984147043231</v>
      </c>
      <c r="R33" s="100" t="n">
        <v>21.5573595791244</v>
      </c>
      <c r="S33" s="100" t="n">
        <v>30.7075926883415</v>
      </c>
      <c r="T33" s="100" t="n">
        <v>40.0707963942345</v>
      </c>
      <c r="Z33" s="83" t="inlineStr">
        <is>
          <t xml:space="preserve">   FCF / share ($)</t>
        </is>
      </c>
      <c r="AA33" s="99" t="n">
        <v>8.987924325774859</v>
      </c>
      <c r="AB33" s="100" t="n">
        <v>7.15961424387408</v>
      </c>
      <c r="AC33" s="100" t="n">
        <v>10.8453086236934</v>
      </c>
      <c r="AD33" s="100" t="n">
        <v>15.8189498106174</v>
      </c>
      <c r="AE33" s="100" t="n">
        <v>21.118272060415</v>
      </c>
      <c r="AF33" s="100" t="n">
        <v>25.0972705857123</v>
      </c>
    </row>
    <row r="34" ht="15" customHeight="1" s="251">
      <c r="B34" s="83" t="inlineStr">
        <is>
          <t xml:space="preserve">   FCF Yield (on PT)</t>
        </is>
      </c>
      <c r="E34" s="101" t="n"/>
      <c r="F34" s="101">
        <f>IFERROR(F33/F$27,"")</f>
      </c>
      <c r="G34" s="101">
        <f>IFERROR(G33/G$27,"")</f>
        <v>0.0297677867840246</v>
      </c>
      <c r="H34" s="101">
        <f>IFERROR(H33/H$27,"")</f>
        <v>0.0320664017771059</v>
      </c>
      <c r="N34" s="83" t="inlineStr">
        <is>
          <t xml:space="preserve">   FCF Yield (on PT)</t>
        </is>
      </c>
      <c r="Q34" s="101" t="n"/>
      <c r="R34" s="101">
        <f>IFERROR(R33/R$27,"")</f>
      </c>
      <c r="S34" s="101">
        <f>IFERROR(S33/S$27,"")</f>
        <v>0.0254425365503349</v>
      </c>
      <c r="T34" s="101">
        <f>IFERROR(T33/T$27,"")</f>
        <v>0.0271506011796352</v>
      </c>
      <c r="Z34" s="83" t="inlineStr">
        <is>
          <t xml:space="preserve">   FCF Yield (on PT)</t>
        </is>
      </c>
      <c r="AC34" s="101" t="n"/>
      <c r="AD34" s="101">
        <f>IFERROR(AD33/AD$27,"")</f>
        <v>0.0325771402518549</v>
      </c>
      <c r="AE34" s="101">
        <f>IFERROR(AE33/AE$27,"")</f>
        <v>0.0398013024530333</v>
      </c>
      <c r="AF34" s="101">
        <f>IFERROR(AF33/AF$27,"")</f>
        <v>0.0438711608323143</v>
      </c>
    </row>
    <row r="35" ht="15" customHeight="1" s="251">
      <c r="B35" s="79" t="inlineStr">
        <is>
          <t>Adjusted EBITDA (leverage basis)</t>
        </is>
      </c>
      <c r="C35" s="80">
        <f>Model!CA242</f>
        <v>193771</v>
      </c>
      <c r="D35" s="81">
        <f>Model!CF242</f>
        <v>236821.05459828</v>
      </c>
      <c r="E35" s="81">
        <f>Model!CG242</f>
        <v>283174.463126593</v>
      </c>
      <c r="F35" s="81">
        <f>Model!CH242</f>
        <v>335306.703392092</v>
      </c>
      <c r="G35" s="81">
        <f>Model!CI242</f>
        <v>389934.941497476</v>
      </c>
      <c r="H35" s="81">
        <f>Model!CJ242</f>
        <v>441920.381860219</v>
      </c>
      <c r="I35" s="297">
        <f>IFERROR((H35/C35)^(1/5)-1,"n/m")</f>
        <v>0.179264025834361</v>
      </c>
      <c r="N35" s="79" t="inlineStr">
        <is>
          <t>Adjusted EBITDA (leverage basis)</t>
        </is>
      </c>
      <c r="O35" s="80" t="n">
        <v>193771</v>
      </c>
      <c r="P35" s="81" t="n">
        <v>239754.234442608</v>
      </c>
      <c r="Q35" s="81" t="n">
        <v>300970.721577928</v>
      </c>
      <c r="R35" s="81" t="n">
        <v>366971.484406079</v>
      </c>
      <c r="S35" s="81" t="n">
        <v>440929.689733694</v>
      </c>
      <c r="T35" s="81" t="n">
        <v>517793.030315145</v>
      </c>
      <c r="U35" s="297" t="n">
        <v>0.217232344447431</v>
      </c>
      <c r="Z35" s="79" t="inlineStr">
        <is>
          <t>Adjusted EBITDA (leverage basis)</t>
        </is>
      </c>
      <c r="AA35" s="80" t="n">
        <v>193771</v>
      </c>
      <c r="AB35" s="81" t="n">
        <v>233887.18072502</v>
      </c>
      <c r="AC35" s="81" t="n">
        <v>254004.809018219</v>
      </c>
      <c r="AD35" s="81" t="n">
        <v>287017.792192927</v>
      </c>
      <c r="AE35" s="81" t="n">
        <v>316753.993858038</v>
      </c>
      <c r="AF35" s="81" t="n">
        <v>339118.272617991</v>
      </c>
      <c r="AG35" s="297" t="n">
        <v>0.118439462627913</v>
      </c>
    </row>
    <row r="36" ht="15" customHeight="1" s="251">
      <c r="B36" s="83" t="inlineStr">
        <is>
          <t xml:space="preserve">   Adjusted EBITDA % of revenue</t>
        </is>
      </c>
      <c r="C36" s="88">
        <f>IFERROR(C35/C9,"")</f>
        <v>0.583930761604272</v>
      </c>
      <c r="D36" s="89">
        <f>IFERROR(D35/D9,"")</f>
        <v>0.608612492500509</v>
      </c>
      <c r="E36" s="89">
        <f>IFERROR(E35/E9,"")</f>
        <v>0.6218055605647</v>
      </c>
      <c r="F36" s="89">
        <f>IFERROR(F35/F9,"")</f>
        <v>0.636410019413308</v>
      </c>
      <c r="G36" s="89">
        <f>IFERROR(G35/G9,"")</f>
        <v>0.65058885671703</v>
      </c>
      <c r="H36" s="89">
        <f>IFERROR(H35/H9,"")</f>
        <v>0.657914345018509</v>
      </c>
      <c r="J36" s="90">
        <f>IFERROR(AVERAGE(Model!C282,Model!D282,Model!E282,Model!F282,Model!G282,Model!H282,Model!I282,Model!N282,Model!S282,Model!X282,Model!AC282,Model!AH282,Model!AM282,Model!AR282,Model!AW282,Model!BB282,Model!BG282,Model!BL282,Model!BQ282,Model!BV282,Model!CA282),"")</f>
        <v>0.443012640473201</v>
      </c>
      <c r="K36" s="90">
        <f>IFERROR(MIN(Model!C282,Model!D282,Model!E282,Model!F282,Model!G282,Model!H282,Model!I282,Model!N282,Model!S282,Model!X282,Model!AC282,Model!AH282,Model!AM282,Model!AR282,Model!AW282,Model!BB282,Model!BG282,Model!BL282,Model!BQ282,Model!BV282,Model!CA282),"")</f>
        <v>0.364703996580466</v>
      </c>
      <c r="L36" s="90">
        <f>IFERROR(MAX(Model!C282,Model!D282,Model!E282,Model!F282,Model!G282,Model!H282,Model!I282,Model!N282,Model!S282,Model!X282,Model!AC282,Model!AH282,Model!AM282,Model!AR282,Model!AW282,Model!BB282,Model!BG282,Model!BL282,Model!BQ282,Model!BV282,Model!CA282),"")</f>
        <v>0.583930761604272</v>
      </c>
      <c r="N36" s="83" t="inlineStr">
        <is>
          <t xml:space="preserve">   Adjusted EBITDA % of revenue</t>
        </is>
      </c>
      <c r="O36" s="88" t="n">
        <v>0.583930761604272</v>
      </c>
      <c r="P36" s="89" t="n">
        <v>0.6125304143886799</v>
      </c>
      <c r="Q36" s="89" t="n">
        <v>0.634632788911659</v>
      </c>
      <c r="R36" s="89" t="n">
        <v>0.644547191251875</v>
      </c>
      <c r="S36" s="89" t="n">
        <v>0.654781196277575</v>
      </c>
      <c r="T36" s="89" t="n">
        <v>0.658894098794275</v>
      </c>
      <c r="V36" s="90" t="n">
        <v>0.443012640473201</v>
      </c>
      <c r="W36" s="90" t="n">
        <v>0.364703996580466</v>
      </c>
      <c r="X36" s="90" t="n">
        <v>0.583930761604272</v>
      </c>
      <c r="Z36" s="83" t="inlineStr">
        <is>
          <t xml:space="preserve">   Adjusted EBITDA % of revenue</t>
        </is>
      </c>
      <c r="AA36" s="88" t="n">
        <v>0.583930761604272</v>
      </c>
      <c r="AB36" s="89" t="n">
        <v>0.604646190249273</v>
      </c>
      <c r="AC36" s="89" t="n">
        <v>0.594940977005766</v>
      </c>
      <c r="AD36" s="89" t="n">
        <v>0.618860997094493</v>
      </c>
      <c r="AE36" s="89" t="n">
        <v>0.641576771546703</v>
      </c>
      <c r="AF36" s="89" t="n">
        <v>0.656492071882812</v>
      </c>
      <c r="AH36" s="90" t="n">
        <v>0.443012640473201</v>
      </c>
      <c r="AI36" s="90" t="n">
        <v>0.364703996580466</v>
      </c>
      <c r="AJ36" s="90" t="n">
        <v>0.583930761604272</v>
      </c>
    </row>
    <row r="38" ht="15" customHeight="1" s="251">
      <c r="B38" s="79" t="inlineStr">
        <is>
          <t>Net Debt</t>
        </is>
      </c>
      <c r="C38" s="80">
        <f>Model!CA443</f>
        <v>30045</v>
      </c>
      <c r="D38" s="81">
        <f>Model!CF443</f>
        <v>58176.202</v>
      </c>
      <c r="E38" s="81">
        <f>Model!CG443</f>
        <v>87531.6277582356</v>
      </c>
      <c r="F38" s="81">
        <f>Model!CH443</f>
        <v>113937.005898577</v>
      </c>
      <c r="G38" s="81">
        <f>Model!CI443</f>
        <v>140269.719620586</v>
      </c>
      <c r="H38" s="81">
        <f>Model!CJ443</f>
        <v>165242.671212158</v>
      </c>
      <c r="N38" s="79" t="inlineStr">
        <is>
          <t>Net Debt</t>
        </is>
      </c>
      <c r="O38" s="80" t="n">
        <v>30045</v>
      </c>
      <c r="P38" s="81" t="n">
        <v>68176.202</v>
      </c>
      <c r="Q38" s="81" t="n">
        <v>99015.0506847377</v>
      </c>
      <c r="R38" s="81" t="n">
        <v>128294.331843794</v>
      </c>
      <c r="S38" s="81" t="n">
        <v>158870.245618628</v>
      </c>
      <c r="T38" s="81" t="n">
        <v>189659.513888242</v>
      </c>
      <c r="Z38" s="79" t="inlineStr">
        <is>
          <t>Net Debt</t>
        </is>
      </c>
      <c r="AA38" s="80" t="n">
        <v>30045</v>
      </c>
      <c r="AB38" s="81" t="n">
        <v>54455.8522498324</v>
      </c>
      <c r="AC38" s="81" t="n">
        <v>75289.9632202767</v>
      </c>
      <c r="AD38" s="81" t="n">
        <v>97429.359557827</v>
      </c>
      <c r="AE38" s="81" t="n">
        <v>117727.318462203</v>
      </c>
      <c r="AF38" s="81" t="n">
        <v>134852.891222113</v>
      </c>
    </row>
    <row r="39" ht="15" customHeight="1" s="251">
      <c r="B39" s="83" t="inlineStr">
        <is>
          <t xml:space="preserve">   Net Debt / Adjusted EBITDA (x)</t>
        </is>
      </c>
      <c r="C39" s="102">
        <f>IFERROR(C38/C35,"")</f>
        <v>0.155054161871488</v>
      </c>
      <c r="D39" s="103">
        <f>IFERROR(D38/D35,"")</f>
        <v>0.245654686821172</v>
      </c>
      <c r="E39" s="103">
        <f>IFERROR(E38/E35,"")</f>
        <v>0.309108479598687</v>
      </c>
      <c r="F39" s="103">
        <f>IFERROR(F38/F35,"")</f>
        <v>0.339799367999347</v>
      </c>
      <c r="G39" s="103">
        <f>IFERROR(G38/G35,"")</f>
        <v>0.35972595603232</v>
      </c>
      <c r="H39" s="103">
        <f>IFERROR(H38/H35,"")</f>
        <v>0.373919552016555</v>
      </c>
      <c r="N39" s="83" t="inlineStr">
        <is>
          <t xml:space="preserve">   Net Debt / Adjusted EBITDA (x)</t>
        </is>
      </c>
      <c r="O39" s="102" t="n">
        <v>0.155054161871488</v>
      </c>
      <c r="P39" s="103" t="n">
        <v>0.284358698224869</v>
      </c>
      <c r="Q39" s="103" t="n">
        <v>0.328985657361028</v>
      </c>
      <c r="R39" s="103" t="n">
        <v>0.349602999948159</v>
      </c>
      <c r="S39" s="103" t="n">
        <v>0.360307435216214</v>
      </c>
      <c r="T39" s="103" t="n">
        <v>0.366284408603973</v>
      </c>
      <c r="Z39" s="83" t="inlineStr">
        <is>
          <t xml:space="preserve">   Net Debt / Adjusted EBITDA (x)</t>
        </is>
      </c>
      <c r="AA39" s="102" t="n">
        <v>0.155054161871488</v>
      </c>
      <c r="AB39" s="103" t="n">
        <v>0.232829572279362</v>
      </c>
      <c r="AC39" s="103" t="n">
        <v>0.296411566030139</v>
      </c>
      <c r="AD39" s="103" t="n">
        <v>0.339454076395157</v>
      </c>
      <c r="AE39" s="103" t="n">
        <v>0.37166798444526</v>
      </c>
      <c r="AF39" s="103" t="n">
        <v>0.397657401888283</v>
      </c>
    </row>
    <row r="40" ht="15" customHeight="1" s="251">
      <c r="B40" s="252" t="inlineStr">
        <is>
          <t xml:space="preserve">   Share repurchases ($m)</t>
        </is>
      </c>
      <c r="C40" s="102" t="n"/>
      <c r="D40" s="248">
        <f>Model!CF327</f>
        <v>21393.0642670554</v>
      </c>
      <c r="E40" s="248">
        <f>Model!CG327</f>
        <v>57251.1449840952</v>
      </c>
      <c r="F40" s="248">
        <f>Model!CH327</f>
        <v>93974.2522727985</v>
      </c>
      <c r="G40" s="248">
        <f>Model!CI327</f>
        <v>141500.833712265</v>
      </c>
      <c r="H40" s="248">
        <f>Model!CJ327</f>
        <v>178877.687325952</v>
      </c>
      <c r="N40" s="252" t="inlineStr">
        <is>
          <t xml:space="preserve">   Share repurchases ($m)</t>
        </is>
      </c>
      <c r="O40" s="102" t="n"/>
      <c r="P40" s="248" t="n">
        <v>34065.2235607981</v>
      </c>
      <c r="Q40" s="248" t="n">
        <v>64920.1217872224</v>
      </c>
      <c r="R40" s="248" t="n">
        <v>107679.11680446</v>
      </c>
      <c r="S40" s="248" t="n">
        <v>165849.502317041</v>
      </c>
      <c r="T40" s="248" t="n">
        <v>217518.530960364</v>
      </c>
      <c r="Z40" s="252" t="inlineStr">
        <is>
          <t xml:space="preserve">   Share repurchases ($m)</t>
        </is>
      </c>
      <c r="AA40" s="102" t="n"/>
      <c r="AB40" s="103" t="n">
        <v>15000</v>
      </c>
      <c r="AC40" s="103" t="n">
        <v>37174.407644708</v>
      </c>
      <c r="AD40" s="103" t="n">
        <v>72578.1988357066</v>
      </c>
      <c r="AE40" s="103" t="n">
        <v>106694.729989699</v>
      </c>
      <c r="AF40" s="103" t="n">
        <v>127235.531304018</v>
      </c>
    </row>
    <row r="41" ht="15" customHeight="1" s="251">
      <c r="B41" s="252" t="inlineStr">
        <is>
          <t xml:space="preserve">   Implied avg buyback price ($)</t>
        </is>
      </c>
      <c r="C41" s="102" t="n"/>
      <c r="D41" s="249">
        <f>Model!CF326</f>
        <v>541</v>
      </c>
      <c r="E41" s="249">
        <f>Model!CG326</f>
        <v>584.28</v>
      </c>
      <c r="F41" s="249">
        <f>Model!CH326</f>
        <v>631.0224</v>
      </c>
      <c r="G41" s="249">
        <f>Model!CI326</f>
        <v>681.504192</v>
      </c>
      <c r="H41" s="249">
        <f>Model!CJ326</f>
        <v>736.02452736</v>
      </c>
      <c r="N41" s="252" t="inlineStr">
        <is>
          <t xml:space="preserve">   Implied avg buyback price ($)</t>
        </is>
      </c>
      <c r="O41" s="102" t="n"/>
      <c r="P41" s="249" t="n">
        <v>541</v>
      </c>
      <c r="Q41" s="249" t="n">
        <v>584.28</v>
      </c>
      <c r="R41" s="249" t="n">
        <v>631.0223999999999</v>
      </c>
      <c r="S41" s="249" t="n">
        <v>681.504192</v>
      </c>
      <c r="T41" s="249" t="n">
        <v>736.02452736</v>
      </c>
      <c r="Z41" s="252" t="inlineStr">
        <is>
          <t xml:space="preserve">   Implied avg buyback price ($)</t>
        </is>
      </c>
      <c r="AA41" s="102" t="n"/>
      <c r="AB41" s="103" t="n">
        <v>541</v>
      </c>
      <c r="AC41" s="103" t="n">
        <v>584.28</v>
      </c>
      <c r="AD41" s="103" t="n">
        <v>631.0223999999999</v>
      </c>
      <c r="AE41" s="103" t="n">
        <v>681.504192</v>
      </c>
      <c r="AF41" s="103" t="n">
        <v>736.02452736</v>
      </c>
    </row>
    <row r="42" ht="15" customHeight="1" s="251">
      <c r="B42" s="252" t="inlineStr">
        <is>
          <t xml:space="preserve">   Shares repurchased (m)</t>
        </is>
      </c>
      <c r="C42" s="102" t="n"/>
      <c r="D42" s="250">
        <f>Model!CF329</f>
        <v>39.5435568707123</v>
      </c>
      <c r="E42" s="250">
        <f>Model!CG329</f>
        <v>97.9858030124173</v>
      </c>
      <c r="F42" s="250">
        <f>Model!CH329</f>
        <v>148.923797749174</v>
      </c>
      <c r="G42" s="250">
        <f>Model!CI329</f>
        <v>207.630173626672</v>
      </c>
      <c r="H42" s="250">
        <f>Model!CJ329</f>
        <v>243.032236938567</v>
      </c>
      <c r="N42" s="252" t="inlineStr">
        <is>
          <t xml:space="preserve">   Shares repurchased (m)</t>
        </is>
      </c>
      <c r="O42" s="102" t="n"/>
      <c r="P42" s="250" t="n">
        <v>62.9671415171868</v>
      </c>
      <c r="Q42" s="250" t="n">
        <v>111.111319550938</v>
      </c>
      <c r="R42" s="250" t="n">
        <v>170.642304939508</v>
      </c>
      <c r="S42" s="250" t="n">
        <v>243.358007571934</v>
      </c>
      <c r="T42" s="250" t="n">
        <v>295.531633627166</v>
      </c>
      <c r="Z42" s="252" t="inlineStr">
        <is>
          <t xml:space="preserve">   Shares repurchased (m)</t>
        </is>
      </c>
      <c r="AA42" s="102" t="n"/>
      <c r="AB42" s="103" t="n">
        <v>27.7264325323475</v>
      </c>
      <c r="AC42" s="103" t="n">
        <v>63.6243028080851</v>
      </c>
      <c r="AD42" s="103" t="n">
        <v>115.016834324275</v>
      </c>
      <c r="AE42" s="103" t="n">
        <v>156.55770168718</v>
      </c>
      <c r="AF42" s="103" t="n">
        <v>172.868602301056</v>
      </c>
    </row>
    <row r="44" ht="15" customHeight="1" s="251">
      <c r="B44" s="79" t="inlineStr">
        <is>
          <t>ROIC</t>
        </is>
      </c>
      <c r="C44" s="86">
        <f>Model!CA426</f>
        <v>0.264856780600053</v>
      </c>
      <c r="D44" s="87">
        <f>Model!CF426</f>
        <v>0.236689811049481</v>
      </c>
      <c r="E44" s="87">
        <f>Model!CG426</f>
        <v>0.224792561340768</v>
      </c>
      <c r="F44" s="87">
        <f>Model!CH426</f>
        <v>0.226401542326162</v>
      </c>
      <c r="G44" s="87">
        <f>Model!CI426</f>
        <v>0.237300778952323</v>
      </c>
      <c r="H44" s="87">
        <f>Model!CJ426</f>
        <v>0.249363073329592</v>
      </c>
      <c r="J44" s="90">
        <f>IFERROR(AVERAGE(Model!C426,Model!D426,Model!E426,Model!F426,Model!G426,Model!H426,Model!I426,Model!N426,Model!S426,Model!X426,Model!AC426,Model!AH426,Model!AM426,Model!AR426,Model!AW426,Model!BB426,Model!BG426,Model!BL426,Model!BQ426,Model!BV426,Model!CA426),"")</f>
        <v>0.987368161235476</v>
      </c>
      <c r="K44" s="90">
        <f>IFERROR(MIN(Model!C426,Model!D426,Model!E426,Model!F426,Model!G426,Model!H426,Model!I426,Model!N426,Model!S426,Model!X426,Model!AC426,Model!AH426,Model!AM426,Model!AR426,Model!AW426,Model!BB426,Model!BG426,Model!BL426,Model!BQ426,Model!BV426,Model!CA426),"")</f>
        <v>0.264856780600053</v>
      </c>
      <c r="L44" s="90">
        <f>IFERROR(MAX(Model!C426,Model!D426,Model!E426,Model!F426,Model!G426,Model!H426,Model!I426,Model!N426,Model!S426,Model!X426,Model!AC426,Model!AH426,Model!AM426,Model!AR426,Model!AW426,Model!BB426,Model!BG426,Model!BL426,Model!BQ426,Model!BV426,Model!CA426),"")</f>
        <v>1.91217810391727</v>
      </c>
      <c r="N44" s="79" t="inlineStr">
        <is>
          <t>ROIC</t>
        </is>
      </c>
      <c r="O44" s="86" t="n">
        <v>0.264856780600053</v>
      </c>
      <c r="P44" s="87" t="n">
        <v>0.240630551695727</v>
      </c>
      <c r="Q44" s="87" t="n">
        <v>0.241670008852065</v>
      </c>
      <c r="R44" s="87" t="n">
        <v>0.248610666599292</v>
      </c>
      <c r="S44" s="87" t="n">
        <v>0.265768159006824</v>
      </c>
      <c r="T44" s="87" t="n">
        <v>0.284525322327464</v>
      </c>
      <c r="V44" s="90" t="n">
        <v>0.987368161235476</v>
      </c>
      <c r="W44" s="90" t="n">
        <v>0.264856780600053</v>
      </c>
      <c r="X44" s="90" t="n">
        <v>1.91217810391727</v>
      </c>
      <c r="Z44" s="79" t="inlineStr">
        <is>
          <t>ROIC</t>
        </is>
      </c>
      <c r="AA44" s="86" t="n">
        <v>0.264856780600053</v>
      </c>
      <c r="AB44" s="87" t="n">
        <v>0.232751254130792</v>
      </c>
      <c r="AC44" s="87" t="n">
        <v>0.195957129549257</v>
      </c>
      <c r="AD44" s="87" t="n">
        <v>0.189838837602422</v>
      </c>
      <c r="AE44" s="87" t="n">
        <v>0.191914821857736</v>
      </c>
      <c r="AF44" s="87" t="n">
        <v>0.194822809748106</v>
      </c>
      <c r="AH44" s="90" t="n">
        <v>0.987368161235476</v>
      </c>
      <c r="AI44" s="90" t="n">
        <v>0.264856780600053</v>
      </c>
      <c r="AJ44" s="90" t="n">
        <v>1.91217810391727</v>
      </c>
    </row>
    <row r="45" ht="15" customHeight="1" s="251">
      <c r="B45" s="79" t="inlineStr">
        <is>
          <t>RONTA</t>
        </is>
      </c>
      <c r="C45" s="86">
        <f>Model!CA437</f>
        <v>0.271708855185779</v>
      </c>
      <c r="D45" s="87">
        <f>Model!CF437</f>
        <v>0.242925353510908</v>
      </c>
      <c r="E45" s="87">
        <f>Model!CG437</f>
        <v>0.229951757878016</v>
      </c>
      <c r="F45" s="87">
        <f>Model!CH437</f>
        <v>0.231161653633761</v>
      </c>
      <c r="G45" s="87">
        <f>Model!CI437</f>
        <v>0.242127515003789</v>
      </c>
      <c r="H45" s="87">
        <f>Model!CJ437</f>
        <v>0.254401951425144</v>
      </c>
      <c r="J45" s="90">
        <f>IFERROR(AVERAGE(Model!C437,Model!D437,Model!E437,Model!F437,Model!G437,Model!H437,Model!I437,Model!N437,Model!S437,Model!X437,Model!AC437,Model!AH437,Model!AM437,Model!AR437,Model!AW437,Model!BB437,Model!BG437,Model!BL437,Model!BQ437,Model!BV437,Model!CA437),"")</f>
        <v>0.292017310136171</v>
      </c>
      <c r="K45" s="90">
        <f>IFERROR(MIN(Model!C437,Model!D437,Model!E437,Model!F437,Model!G437,Model!H437,Model!I437,Model!N437,Model!S437,Model!X437,Model!AC437,Model!AH437,Model!AM437,Model!AR437,Model!AW437,Model!BB437,Model!BG437,Model!BL437,Model!BQ437,Model!BV437,Model!CA437),"")</f>
        <v>0.0991624917075484</v>
      </c>
      <c r="L45" s="90">
        <f>IFERROR(MAX(Model!C437,Model!D437,Model!E437,Model!F437,Model!G437,Model!H437,Model!I437,Model!N437,Model!S437,Model!X437,Model!AC437,Model!AH437,Model!AM437,Model!AR437,Model!AW437,Model!BB437,Model!BG437,Model!BL437,Model!BQ437,Model!BV437,Model!CA437),"")</f>
        <v>0.57931952697701</v>
      </c>
      <c r="N45" s="79" t="inlineStr">
        <is>
          <t>RONTA</t>
        </is>
      </c>
      <c r="O45" s="86" t="n">
        <v>0.271708855185779</v>
      </c>
      <c r="P45" s="87" t="n">
        <v>0.251200105867448</v>
      </c>
      <c r="Q45" s="87" t="n">
        <v>0.251294708678143</v>
      </c>
      <c r="R45" s="87" t="n">
        <v>0.257906474347037</v>
      </c>
      <c r="S45" s="87" t="n">
        <v>0.275438131324418</v>
      </c>
      <c r="T45" s="87" t="n">
        <v>0.294728035215892</v>
      </c>
      <c r="V45" s="90" t="n">
        <v>0.292017310136171</v>
      </c>
      <c r="W45" s="90" t="n">
        <v>0.0991624917075484</v>
      </c>
      <c r="X45" s="90" t="n">
        <v>0.5793195269770099</v>
      </c>
      <c r="Z45" s="79" t="inlineStr">
        <is>
          <t>RONTA</t>
        </is>
      </c>
      <c r="AA45" s="86" t="n">
        <v>0.271708855185779</v>
      </c>
      <c r="AB45" s="87" t="n">
        <v>0.237395369462031</v>
      </c>
      <c r="AC45" s="87" t="n">
        <v>0.196922332207847</v>
      </c>
      <c r="AD45" s="87" t="n">
        <v>0.190213255301102</v>
      </c>
      <c r="AE45" s="87" t="n">
        <v>0.19193679998429</v>
      </c>
      <c r="AF45" s="87" t="n">
        <v>0.194598828529194</v>
      </c>
      <c r="AH45" s="90" t="n">
        <v>0.292017310136171</v>
      </c>
      <c r="AI45" s="90" t="n">
        <v>0.0991624917075484</v>
      </c>
      <c r="AJ45" s="90" t="n">
        <v>0.5793195269770099</v>
      </c>
    </row>
    <row r="47" ht="15" customHeight="1" s="251">
      <c r="B47" s="83" t="inlineStr">
        <is>
          <t>Implied Market Cap (USDm)</t>
        </is>
      </c>
      <c r="E47" s="104" t="n"/>
      <c r="F47" s="104">
        <f>F27*F21</f>
        <v>0</v>
      </c>
      <c r="G47" s="104">
        <f>G27*G21</f>
        <v>6428901.31149889</v>
      </c>
      <c r="H47" s="104">
        <f>H27*H21</f>
        <v>7291887.0144728</v>
      </c>
      <c r="N47" s="83" t="inlineStr">
        <is>
          <t>Implied Market Cap (USDm)</t>
        </is>
      </c>
      <c r="Q47" s="104" t="n"/>
      <c r="R47" s="104">
        <f>R27*R21</f>
        <v>0</v>
      </c>
      <c r="S47" s="104">
        <f>S27*S21</f>
        <v>8556715.8668181</v>
      </c>
      <c r="T47" s="104">
        <f>T27*T21</f>
        <v>10109948.6111235</v>
      </c>
      <c r="Z47" s="83" t="inlineStr">
        <is>
          <t>Implied Market Cap (USDm)</t>
        </is>
      </c>
      <c r="AC47" s="104" t="n"/>
      <c r="AD47" s="104">
        <f>AD27*AD21</f>
        <v>3582224.21950535</v>
      </c>
      <c r="AE47" s="104">
        <f>AE27*AE21</f>
        <v>3858125.58069881</v>
      </c>
      <c r="AF47" s="104">
        <f>AF27*AF21</f>
        <v>4082640.9076897</v>
      </c>
    </row>
    <row r="48" ht="15" customHeight="1" s="251">
      <c r="B48" s="83" t="inlineStr">
        <is>
          <t>(+) Net Debt &amp; NCI</t>
        </is>
      </c>
      <c r="E48" s="104" t="n"/>
      <c r="F48" s="104">
        <f>F38+Model!CH360</f>
        <v>113937.005898577</v>
      </c>
      <c r="G48" s="104">
        <f>G38+Model!CI360</f>
        <v>140269.719620586</v>
      </c>
      <c r="H48" s="104">
        <f>H38+Model!CJ360</f>
        <v>165242.671212158</v>
      </c>
      <c r="N48" s="83" t="inlineStr">
        <is>
          <t>(+) Net Debt &amp; NCI</t>
        </is>
      </c>
      <c r="Q48" s="104" t="n"/>
      <c r="R48" s="104">
        <f>R38+Model!CH360</f>
        <v>128294.331843794</v>
      </c>
      <c r="S48" s="104">
        <f>S38+Model!CI360</f>
        <v>158870.245618628</v>
      </c>
      <c r="T48" s="104">
        <f>T38+Model!CJ360</f>
        <v>189659.513888242</v>
      </c>
      <c r="Z48" s="83" t="inlineStr">
        <is>
          <t>(+) Net Debt &amp; NCI</t>
        </is>
      </c>
      <c r="AC48" s="104" t="n"/>
      <c r="AD48" s="104">
        <f>AD38+Model!CH360</f>
        <v>97429.359557827</v>
      </c>
      <c r="AE48" s="104">
        <f>AE38+Model!CI360</f>
        <v>117727.318462203</v>
      </c>
      <c r="AF48" s="104">
        <f>AF38+Model!CJ360</f>
        <v>134852.891222113</v>
      </c>
    </row>
    <row r="49" ht="15" customHeight="1" s="251">
      <c r="B49" s="83" t="inlineStr">
        <is>
          <t>Implied Enterprise Value (USDm)</t>
        </is>
      </c>
      <c r="E49" s="104" t="n"/>
      <c r="F49" s="104">
        <f>F47+F48</f>
        <v>113937.005898577</v>
      </c>
      <c r="G49" s="104">
        <f>G47+G48</f>
        <v>6569171.03111947</v>
      </c>
      <c r="H49" s="104">
        <f>H47+H48</f>
        <v>7457129.68568496</v>
      </c>
      <c r="N49" s="83" t="inlineStr">
        <is>
          <t>Implied Enterprise Value (USDm)</t>
        </is>
      </c>
      <c r="Q49" s="104" t="n"/>
      <c r="R49" s="104">
        <f>R47+R48</f>
        <v>128294.331843794</v>
      </c>
      <c r="S49" s="104">
        <f>S47+S48</f>
        <v>8715586.11243673</v>
      </c>
      <c r="T49" s="104">
        <f>T47+T48</f>
        <v>10299608.1250117</v>
      </c>
      <c r="Z49" s="83" t="inlineStr">
        <is>
          <t>Implied Enterprise Value (USDm)</t>
        </is>
      </c>
      <c r="AC49" s="104" t="n"/>
      <c r="AD49" s="104">
        <f>AD47+AD48</f>
        <v>3679653.57906318</v>
      </c>
      <c r="AE49" s="104">
        <f>AE47+AE48</f>
        <v>3975852.89916101</v>
      </c>
      <c r="AF49" s="104">
        <f>AF47+AF48</f>
        <v>4217493.79891181</v>
      </c>
    </row>
    <row r="50" ht="15" customHeight="1" s="251">
      <c r="B50" s="83" t="inlineStr">
        <is>
          <t>Implied EV / Adjusted EBITDA (x)</t>
        </is>
      </c>
      <c r="E50" s="105" t="n"/>
      <c r="F50" s="105">
        <f>IFERROR(F49/F35,"")</f>
        <v>0.339799367999347</v>
      </c>
      <c r="G50" s="105">
        <f>IFERROR(G49/G35,"")</f>
        <v>16.846838618493</v>
      </c>
      <c r="H50" s="105">
        <f>IFERROR(H49/H35,"")</f>
        <v>16.8743737374025</v>
      </c>
      <c r="N50" s="83" t="inlineStr">
        <is>
          <t>Implied EV / Adjusted EBITDA (x)</t>
        </is>
      </c>
      <c r="Q50" s="105" t="n"/>
      <c r="R50" s="105">
        <f>IFERROR(R49/R35,"")</f>
        <v>0.349602999948158</v>
      </c>
      <c r="S50" s="105">
        <f>IFERROR(S49/S35,"")</f>
        <v>19.7663852431907</v>
      </c>
      <c r="T50" s="105">
        <f>IFERROR(T49/T35,"")</f>
        <v>19.8913610690029</v>
      </c>
      <c r="Z50" s="83" t="inlineStr">
        <is>
          <t>Implied EV / Adjusted EBITDA (x)</t>
        </is>
      </c>
      <c r="AC50" s="105" t="n"/>
      <c r="AD50" s="105">
        <f>IFERROR(AD49/AD35,"")</f>
        <v>12.8202978322326</v>
      </c>
      <c r="AE50" s="105">
        <f>IFERROR(AE49/AE35,"")</f>
        <v>12.5518635163379</v>
      </c>
      <c r="AF50" s="105">
        <f>IFERROR(AF49/AF35,"")</f>
        <v>12.4366456763087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zoomScale="50" zoomScaleNormal="50" workbookViewId="0">
      <selection activeCell="D61" sqref="D61"/>
    </sheetView>
  </sheetViews>
  <sheetFormatPr baseColWidth="8" defaultColWidth="8.5703125" defaultRowHeight="15"/>
  <cols>
    <col width="3.42578125" customWidth="1" style="251" min="1" max="1"/>
    <col width="55.28515625" customWidth="1" style="251" min="2" max="2"/>
    <col width="12.5703125" customWidth="1" style="251" min="3" max="14"/>
    <col width="2.28515625" customWidth="1" style="251" min="15" max="15"/>
    <col width="14.85546875" customWidth="1" style="251" min="16" max="17"/>
  </cols>
  <sheetData>
    <row r="1">
      <c r="A1" s="192" t="n"/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</row>
    <row r="2" ht="24" customHeight="1" s="251">
      <c r="A2" s="192" t="n"/>
      <c r="B2" s="193" t="inlineStr">
        <is>
          <t>DCF VALUATION — MICROSOFT CORPORATION (MSFT)</t>
        </is>
      </c>
      <c r="C2" s="194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4" t="n"/>
      <c r="N2" s="194" t="n"/>
      <c r="O2" s="192" t="n"/>
      <c r="P2" s="192" t="n"/>
      <c r="Q2" s="192" t="n"/>
    </row>
    <row r="3" ht="15" customHeight="1" s="251">
      <c r="A3" s="192" t="n"/>
      <c r="B3" s="192" t="n"/>
      <c r="C3" s="192" t="n"/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</row>
    <row r="4" ht="15.75" customHeight="1" s="251">
      <c r="A4" s="192" t="n"/>
      <c r="B4" s="195" t="inlineStr">
        <is>
          <t>1. WACC BUILD</t>
        </is>
      </c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2" t="n"/>
      <c r="P4" s="192" t="n"/>
      <c r="Q4" s="192" t="n"/>
    </row>
    <row r="5" ht="15.75" customHeight="1" s="251">
      <c r="A5" s="192" t="n"/>
      <c r="B5" s="197" t="inlineStr">
        <is>
          <t>Risk-free rate (US 10Y govt)</t>
        </is>
      </c>
      <c r="C5" s="169" t="n">
        <v>0.0425</v>
      </c>
      <c r="D5" s="198" t="inlineStr">
        <is>
          <t>Assumption (~US 10Y Treasury yield, Oct-2026; government rate sources not reachable from the build environment); update to market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15.75" customHeight="1" s="251">
      <c r="A6" s="192" t="n"/>
      <c r="B6" s="197" t="inlineStr">
        <is>
          <t>Equity risk premium</t>
        </is>
      </c>
      <c r="C6" s="169" t="n">
        <v>0.05</v>
      </c>
      <c r="D6" s="198" t="inlineStr">
        <is>
          <t>Assumption: US implied ERP ~4.5–5.5%</t>
        </is>
      </c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</row>
    <row r="7" ht="15.75" customHeight="1" s="251">
      <c r="A7" s="192" t="n"/>
      <c r="B7" s="197" t="inlineStr">
        <is>
          <t>Levered beta</t>
        </is>
      </c>
      <c r="C7" s="170" t="n">
        <v>1.05</v>
      </c>
      <c r="D7" s="198" t="inlineStr">
        <is>
          <t>Assumption: mega-cap software / cloud peers (ORCL, CRM, SAP, AMZN, GOOGL) ~0.9–1.2; capex intensity of the AI build-out adds operating leverage</t>
        </is>
      </c>
      <c r="E7" s="192" t="n"/>
      <c r="F7" s="192" t="n"/>
      <c r="G7" s="192" t="n"/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</row>
    <row r="8" ht="15.75" customHeight="1" s="251">
      <c r="A8" s="192" t="n"/>
      <c r="B8" s="197" t="inlineStr">
        <is>
          <t>Cost of equity</t>
        </is>
      </c>
      <c r="C8" s="171">
        <f>C5+C7*C6</f>
        <v>0.095</v>
      </c>
      <c r="D8" s="198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</row>
    <row r="9" ht="15.75" customHeight="1" s="251">
      <c r="A9" s="192" t="n"/>
      <c r="B9" s="197" t="inlineStr">
        <is>
          <t>Pre-tax cost of debt</t>
        </is>
      </c>
      <c r="C9" s="169" t="n">
        <v>0.045</v>
      </c>
      <c r="D9" s="198" t="inlineStr">
        <is>
          <t>Assumption: AAA-rated issuer; finance-lease discount rate 4.5% (FY2026 10-K); senior notes carry ~1.2% net of capitalised interest</t>
        </is>
      </c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</row>
    <row r="10" ht="15.75" customHeight="1" s="251">
      <c r="A10" s="192" t="n"/>
      <c r="B10" s="197" t="inlineStr">
        <is>
          <t>Tax rate</t>
        </is>
      </c>
      <c r="C10" s="169" t="n">
        <v>0.19</v>
      </c>
      <c r="D10" s="198" t="inlineStr">
        <is>
          <t>Model FY2028E+ effective tax rate (FY26 19.4%; Q1 FY27 guided ~20%)</t>
        </is>
      </c>
      <c r="E10" s="192" t="n"/>
      <c r="F10" s="192" t="n"/>
      <c r="G10" s="192" t="n"/>
      <c r="H10" s="192" t="n"/>
      <c r="I10" s="192" t="n"/>
      <c r="J10" s="192" t="n"/>
      <c r="K10" s="192" t="n"/>
      <c r="L10" s="192" t="n"/>
      <c r="M10" s="192" t="n"/>
      <c r="N10" s="192" t="n"/>
      <c r="O10" s="192" t="n"/>
      <c r="P10" s="192" t="n"/>
      <c r="Q10" s="192" t="n"/>
    </row>
    <row r="11" ht="15.75" customHeight="1" s="251">
      <c r="A11" s="192" t="n"/>
      <c r="B11" s="197" t="inlineStr">
        <is>
          <t>After-tax cost of debt</t>
        </is>
      </c>
      <c r="C11" s="171">
        <f>C9*(1-C10)</f>
        <v>0.03645</v>
      </c>
      <c r="D11" s="198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</row>
    <row r="12" ht="15.75" customHeight="1" s="251">
      <c r="A12" s="192" t="n"/>
      <c r="B12" s="197" t="inlineStr">
        <is>
          <t>Target D/V</t>
        </is>
      </c>
      <c r="C12" s="169" t="n">
        <v>0.02</v>
      </c>
      <c r="D12" s="198" t="inlineStr">
        <is>
          <t>Debt $40.3bn + finance leases $66.6bn vs ~$4.0trn market cap ($541 × ~7.45bn diluted shares): D/V ~2–3%</t>
        </is>
      </c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</row>
    <row r="13" ht="15.75" customHeight="1" s="251">
      <c r="A13" s="192" t="n"/>
      <c r="B13" s="199" t="inlineStr">
        <is>
          <t>WACC</t>
        </is>
      </c>
      <c r="C13" s="216">
        <f>C8*(1-C12)+C11*C12</f>
        <v>0.093829</v>
      </c>
      <c r="D13" s="198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</row>
    <row r="14" ht="15" customHeight="1" s="251">
      <c r="A14" s="192" t="n"/>
      <c r="B14" s="192" t="n"/>
      <c r="C14" s="192" t="n"/>
      <c r="D14" s="198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</row>
    <row r="15" ht="15.75" customHeight="1" s="251">
      <c r="A15" s="192" t="n"/>
      <c r="B15" s="197" t="inlineStr">
        <is>
          <t>Valuation date (live)</t>
        </is>
      </c>
      <c r="C15" s="172" t="str">
        <f>TODAY()</f>
        <v>2026-10-13 00:00:00</v>
      </c>
      <c r="D15" s="198" t="inlineStr">
        <is>
          <t>Periods = (30-Jun of fiscal year − today) / 365.25; cash flows assumed at fiscal year-end (30 June); FY2026A (ended 30-Jun-2026) is the base year</t>
        </is>
      </c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</row>
    <row r="16" ht="15.75" customHeight="1" s="251">
      <c r="A16" s="192" t="n"/>
      <c r="B16" s="195" t="inlineStr">
        <is>
          <t>2. UNLEVERED FREE CASH FLOW BUILD (USDm)</t>
        </is>
      </c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2" t="n"/>
      <c r="P16" s="201" t="n"/>
      <c r="Q16" s="201" t="n"/>
    </row>
    <row r="17" ht="15.75" customHeight="1" s="251">
      <c r="A17" s="192" t="n"/>
      <c r="B17" s="194" t="n"/>
      <c r="C17" s="194" t="n"/>
      <c r="D17" s="203" t="inlineStr">
        <is>
          <t>2027E</t>
        </is>
      </c>
      <c r="E17" s="203" t="inlineStr">
        <is>
          <t>2028E</t>
        </is>
      </c>
      <c r="F17" s="203" t="inlineStr">
        <is>
          <t>2029E</t>
        </is>
      </c>
      <c r="G17" s="203" t="inlineStr">
        <is>
          <t>2030E</t>
        </is>
      </c>
      <c r="H17" s="203" t="inlineStr">
        <is>
          <t>2031E</t>
        </is>
      </c>
      <c r="I17" s="203" t="inlineStr">
        <is>
          <t>2032E</t>
        </is>
      </c>
      <c r="J17" s="203" t="inlineStr">
        <is>
          <t>2033E</t>
        </is>
      </c>
      <c r="K17" s="203" t="inlineStr">
        <is>
          <t>2034E</t>
        </is>
      </c>
      <c r="L17" s="203" t="inlineStr">
        <is>
          <t>2035E</t>
        </is>
      </c>
      <c r="M17" s="203" t="inlineStr">
        <is>
          <t>2036E</t>
        </is>
      </c>
      <c r="N17" s="203" t="inlineStr">
        <is>
          <t>Terminal</t>
        </is>
      </c>
      <c r="O17" s="192" t="n"/>
      <c r="P17" s="204" t="inlineStr">
        <is>
          <t>CAGR 27–31E</t>
        </is>
      </c>
      <c r="Q17" s="204" t="inlineStr">
        <is>
          <t>CAGR 27–36E</t>
        </is>
      </c>
    </row>
    <row r="18" ht="15.75" customHeight="1" s="251">
      <c r="A18" s="192" t="n"/>
      <c r="B18" s="197" t="inlineStr">
        <is>
          <t>Adj. EBIT (= adjusted operating income; amortization and SBC are expensed)</t>
        </is>
      </c>
      <c r="C18" s="192" t="n"/>
      <c r="D18" s="173">
        <f>Model!CF246-Model!CF248</f>
        <v>180501.13459828</v>
      </c>
      <c r="E18" s="173">
        <f>Model!CG246-Model!CG248</f>
        <v>202794.153812307</v>
      </c>
      <c r="F18" s="173">
        <f>Model!CH246-Model!CH248</f>
        <v>233435.75860592</v>
      </c>
      <c r="G18" s="173">
        <f>Model!CI246-Model!CI248</f>
        <v>269519.715244814</v>
      </c>
      <c r="H18" s="173">
        <f>Model!CJ246-Model!CJ248</f>
        <v>306218.502299503</v>
      </c>
      <c r="I18" s="174">
        <f>H18*(1+I$26)</f>
        <v>336840.352529453</v>
      </c>
      <c r="J18" s="174">
        <f>I18*(1+J$26)</f>
        <v>367155.984257104</v>
      </c>
      <c r="K18" s="174">
        <f>J18*(1+K$26)</f>
        <v>396528.462997672</v>
      </c>
      <c r="L18" s="174">
        <f>K18*(1+L$26)</f>
        <v>424285.455407509</v>
      </c>
      <c r="M18" s="174">
        <f>L18*(1+M$26)</f>
        <v>449742.58273196</v>
      </c>
      <c r="N18" s="192" t="n"/>
      <c r="O18" s="192" t="n"/>
      <c r="P18" s="176">
        <f>(H18/D18)^(1/(COLUMNS(D18:H18)-1))-1</f>
        <v>0.141268611545738</v>
      </c>
      <c r="Q18" s="176">
        <f>(M18/D18)^(1/(COLUMNS(D18:M18)-1))-1</f>
        <v>0.106760844165148</v>
      </c>
    </row>
    <row r="19" ht="15.75" customHeight="1" s="251">
      <c r="A19" s="192" t="n"/>
      <c r="B19" s="197" t="inlineStr">
        <is>
          <t>× (1 − tax rate)</t>
        </is>
      </c>
      <c r="C19" s="192" t="n"/>
      <c r="D19" s="177">
        <f>1-$C$10</f>
        <v>0.81</v>
      </c>
      <c r="E19" s="177">
        <f>1-$C$10</f>
        <v>0.81</v>
      </c>
      <c r="F19" s="177">
        <f>1-$C$10</f>
        <v>0.81</v>
      </c>
      <c r="G19" s="177">
        <f>1-$C$10</f>
        <v>0.81</v>
      </c>
      <c r="H19" s="177">
        <f>1-$C$10</f>
        <v>0.81</v>
      </c>
      <c r="I19" s="177">
        <f>1-$C$10</f>
        <v>0.81</v>
      </c>
      <c r="J19" s="177">
        <f>1-$C$10</f>
        <v>0.81</v>
      </c>
      <c r="K19" s="177">
        <f>1-$C$10</f>
        <v>0.81</v>
      </c>
      <c r="L19" s="177">
        <f>1-$C$10</f>
        <v>0.81</v>
      </c>
      <c r="M19" s="177">
        <f>1-$C$10</f>
        <v>0.81</v>
      </c>
      <c r="N19" s="192" t="n"/>
      <c r="O19" s="192" t="n"/>
      <c r="P19" s="176" t="n"/>
      <c r="Q19" s="176" t="n"/>
    </row>
    <row r="20" ht="15.75" customHeight="1" s="251">
      <c r="A20" s="192" t="n"/>
      <c r="B20" s="199" t="inlineStr">
        <is>
          <t>NOPAT</t>
        </is>
      </c>
      <c r="C20" s="192" t="n"/>
      <c r="D20" s="174">
        <f>D18*D19</f>
        <v>146205.919024607</v>
      </c>
      <c r="E20" s="174">
        <f>E18*E19</f>
        <v>164263.264587969</v>
      </c>
      <c r="F20" s="174">
        <f>F18*F19</f>
        <v>189082.964470795</v>
      </c>
      <c r="G20" s="174">
        <f>G18*G19</f>
        <v>218310.969348299</v>
      </c>
      <c r="H20" s="174">
        <f>H18*H19</f>
        <v>248036.986862597</v>
      </c>
      <c r="I20" s="174">
        <f>I18*I19</f>
        <v>272840.685548857</v>
      </c>
      <c r="J20" s="174">
        <f>J18*J19</f>
        <v>297396.347248254</v>
      </c>
      <c r="K20" s="174">
        <f>K18*K19</f>
        <v>321188.055028114</v>
      </c>
      <c r="L20" s="174">
        <f>L18*L19</f>
        <v>343671.218880082</v>
      </c>
      <c r="M20" s="174">
        <f>M18*M19</f>
        <v>364291.492012887</v>
      </c>
      <c r="N20" s="192" t="n"/>
      <c r="O20" s="192" t="n"/>
      <c r="P20" s="176" t="n"/>
      <c r="Q20" s="176" t="n"/>
    </row>
    <row r="21" ht="15.75" customHeight="1" s="251">
      <c r="A21" s="192" t="n"/>
      <c r="B21" s="197" t="inlineStr">
        <is>
          <t>plus D&amp;A (depreciation, amortization &amp; other)</t>
        </is>
      </c>
      <c r="C21" s="192" t="n"/>
      <c r="D21" s="173">
        <f>Model!CF204</f>
        <v>56319.92</v>
      </c>
      <c r="E21" s="173">
        <f>Model!CG204</f>
        <v>80380.3093142857</v>
      </c>
      <c r="F21" s="173">
        <f>Model!CH204</f>
        <v>101870.944786172</v>
      </c>
      <c r="G21" s="173">
        <f>Model!CI204</f>
        <v>120415.226252662</v>
      </c>
      <c r="H21" s="173">
        <f>Model!CJ204</f>
        <v>135701.879560717</v>
      </c>
      <c r="I21" s="174">
        <f>H21*(1+I$26)</f>
        <v>149272.067516789</v>
      </c>
      <c r="J21" s="174">
        <f>I21*(1+J$26)</f>
        <v>162706.5535933</v>
      </c>
      <c r="K21" s="174">
        <f>J21*(1+K$26)</f>
        <v>175723.077880764</v>
      </c>
      <c r="L21" s="174">
        <f>K21*(1+L$26)</f>
        <v>188023.693332417</v>
      </c>
      <c r="M21" s="174">
        <f>L21*(1+M$26)</f>
        <v>199305.114932362</v>
      </c>
      <c r="N21" s="192" t="n"/>
      <c r="O21" s="192" t="n"/>
      <c r="P21" s="176" t="n"/>
      <c r="Q21" s="176" t="n"/>
    </row>
    <row r="22" ht="15.75" customHeight="1" s="251">
      <c r="A22" s="192" t="n"/>
      <c r="B22" s="197" t="inlineStr">
        <is>
          <t>− Capex incl. finance-lease assets and acquisitions (M&amp;A lever 2028E–31E)</t>
        </is>
      </c>
      <c r="C22" s="192" t="n"/>
      <c r="D22" s="173">
        <f>Model!CF297+Model!CF298-Model!CF168</f>
        <v>-200000</v>
      </c>
      <c r="E22" s="173">
        <f>Model!CG297+Model!CG298-Model!CG168</f>
        <v>-207933.047384203</v>
      </c>
      <c r="F22" s="173">
        <f>Model!CH297+Model!CH298-Model!CH168</f>
        <v>-213748.852572248</v>
      </c>
      <c r="G22" s="173">
        <f>Model!CI297+Model!CI298-Model!CI168</f>
        <v>-212774.926384078</v>
      </c>
      <c r="H22" s="173">
        <f>Model!CJ297+Model!CJ298-Model!CJ168</f>
        <v>-217943.667463721</v>
      </c>
      <c r="I22" s="174">
        <f>Model!CJ297*(1+I$26)</f>
        <v>-195061.378223327</v>
      </c>
      <c r="J22" s="174">
        <f>I22*(1+J$26)</f>
        <v>-212616.902263426</v>
      </c>
      <c r="K22" s="174">
        <f>J22*(1+K$26)</f>
        <v>-229626.2544445</v>
      </c>
      <c r="L22" s="174">
        <f>K22*(1+L$26)</f>
        <v>-245700.092255615</v>
      </c>
      <c r="M22" s="174">
        <f>L22*(1+M$26)</f>
        <v>-260442.097790952</v>
      </c>
      <c r="N22" s="192" t="n"/>
      <c r="O22" s="192" t="n"/>
      <c r="P22" s="176" t="n"/>
      <c r="Q22" s="176" t="n"/>
    </row>
    <row r="23" ht="15.75" customHeight="1" s="251">
      <c r="A23" s="192" t="n"/>
      <c r="B23" s="197" t="inlineStr">
        <is>
          <t>− Δ Working capital (CF statement)</t>
        </is>
      </c>
      <c r="C23" s="192" t="n"/>
      <c r="D23" s="173">
        <f>Model!CF295</f>
        <v>6027.06181374527</v>
      </c>
      <c r="E23" s="173">
        <f>Model!CG295</f>
        <v>6905.10385777619</v>
      </c>
      <c r="F23" s="173">
        <f>Model!CH295</f>
        <v>7444.14511475841</v>
      </c>
      <c r="G23" s="173">
        <f>Model!CI295</f>
        <v>7550.33462368223</v>
      </c>
      <c r="H23" s="173">
        <f>Model!CJ295</f>
        <v>7535.46278327999</v>
      </c>
      <c r="I23" s="174">
        <f>H23*(1+I$26)</f>
        <v>8289.00906160799</v>
      </c>
      <c r="J23" s="174">
        <f>I23*(1+J$26)</f>
        <v>9035.01987715271</v>
      </c>
      <c r="K23" s="174">
        <f>J23*(1+K$26)</f>
        <v>9757.82146732493</v>
      </c>
      <c r="L23" s="174">
        <f>K23*(1+L$26)</f>
        <v>10440.8689700377</v>
      </c>
      <c r="M23" s="174">
        <f>L23*(1+M$26)</f>
        <v>11067.3211082399</v>
      </c>
      <c r="N23" s="192" t="n"/>
      <c r="O23" s="192" t="n"/>
      <c r="P23" s="176" t="n"/>
      <c r="Q23" s="176" t="n"/>
    </row>
    <row r="24" ht="15.75" customHeight="1" s="251">
      <c r="A24" s="192" t="n"/>
      <c r="B24" s="217" t="inlineStr">
        <is>
          <t>Unlevered FCF</t>
        </is>
      </c>
      <c r="C24" s="218" t="n"/>
      <c r="D24" s="219">
        <f>D20+D21+D22+D23</f>
        <v>8552.90083835178</v>
      </c>
      <c r="E24" s="219">
        <f>E20+E21+E22+E23</f>
        <v>43615.6303758275</v>
      </c>
      <c r="F24" s="219">
        <f>F20+F21+F22+F23</f>
        <v>84649.2017994774</v>
      </c>
      <c r="G24" s="219">
        <f>G20+G21+G22+G23</f>
        <v>133501.603840565</v>
      </c>
      <c r="H24" s="219">
        <f>H20+H21+H22+H23</f>
        <v>173330.661742873</v>
      </c>
      <c r="I24" s="219">
        <f>I20+I21+I22+I23</f>
        <v>235340.383903926</v>
      </c>
      <c r="J24" s="219">
        <f>J20+J21+J22+J23</f>
        <v>256521.01845528</v>
      </c>
      <c r="K24" s="219">
        <f>K20+K21+K22+K23</f>
        <v>277042.699931702</v>
      </c>
      <c r="L24" s="219">
        <f>L20+L21+L22+L23</f>
        <v>296435.688926921</v>
      </c>
      <c r="M24" s="219">
        <f>M20+M21+M22+M23</f>
        <v>314221.830262537</v>
      </c>
      <c r="N24" s="219">
        <f>M24*(1+$C$27)</f>
        <v>325219.594321726</v>
      </c>
      <c r="O24" s="192" t="n"/>
      <c r="P24" s="181">
        <f>(H24/D24)^(1/(COLUMNS(D24:H24)-1))-1</f>
        <v>1.12173181962446</v>
      </c>
      <c r="Q24" s="181">
        <f>(M24/D24)^(1/(COLUMNS(D24:M24)-1))-1</f>
        <v>0.492459471045413</v>
      </c>
    </row>
    <row r="25" ht="15.75" customHeight="1" s="251">
      <c r="A25" s="192" t="n"/>
      <c r="B25" s="199" t="inlineStr">
        <is>
          <t>Terminal Value (Gordon Growth)</t>
        </is>
      </c>
      <c r="C25" s="192" t="n"/>
      <c r="D25" s="192" t="n"/>
      <c r="E25" s="192" t="n"/>
      <c r="F25" s="192" t="n"/>
      <c r="G25" s="192" t="n"/>
      <c r="H25" s="192" t="n"/>
      <c r="I25" s="192" t="n"/>
      <c r="J25" s="192" t="n"/>
      <c r="K25" s="192" t="n"/>
      <c r="L25" s="192" t="n"/>
      <c r="M25" s="192" t="n"/>
      <c r="N25" s="179">
        <f>N24/($C$13-$C$27)</f>
        <v>5528218.97910428</v>
      </c>
      <c r="O25" s="192" t="n"/>
      <c r="P25" s="192" t="n"/>
      <c r="Q25" s="192" t="n"/>
    </row>
    <row r="26" ht="15.75" customHeight="1" s="251">
      <c r="A26" s="192" t="n"/>
      <c r="B26" s="197" t="inlineStr">
        <is>
          <t>Fade-period growth (2032E–36E; 10.0% → 6.0% linear)</t>
        </is>
      </c>
      <c r="C26" s="192" t="n"/>
      <c r="D26" s="192" t="n"/>
      <c r="E26" s="192" t="n"/>
      <c r="F26" s="192" t="n"/>
      <c r="G26" s="192" t="n"/>
      <c r="H26" s="192" t="n"/>
      <c r="I26" s="182" t="n">
        <v>0.1</v>
      </c>
      <c r="J26" s="183">
        <f>I26+($M$26-$I$26)/4</f>
        <v>0.09</v>
      </c>
      <c r="K26" s="183">
        <f>J26+($M$26-$I$26)/4</f>
        <v>0.08</v>
      </c>
      <c r="L26" s="183">
        <f>K26+($M$26-$I$26)/4</f>
        <v>0.07</v>
      </c>
      <c r="M26" s="182" t="n">
        <v>0.06</v>
      </c>
      <c r="N26" s="192" t="n"/>
      <c r="O26" s="192" t="n"/>
      <c r="P26" s="192" t="n"/>
      <c r="Q26" s="192" t="n"/>
    </row>
    <row r="27" ht="15.75" customHeight="1" s="251">
      <c r="A27" s="192" t="n"/>
      <c r="B27" s="197" t="inlineStr">
        <is>
          <t>Terminal growth rate</t>
        </is>
      </c>
      <c r="C27" s="184" t="n">
        <v>0.035</v>
      </c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</row>
    <row r="28" ht="15" customHeight="1" s="251">
      <c r="A28" s="192" t="n"/>
      <c r="B28" s="192" t="n"/>
      <c r="C28" s="192" t="n"/>
      <c r="D28" s="192" t="n"/>
      <c r="E28" s="192" t="n"/>
      <c r="F28" s="192" t="n"/>
      <c r="G28" s="19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</row>
    <row r="29" ht="15.75" customHeight="1" s="251">
      <c r="A29" s="192" t="n"/>
      <c r="B29" s="197" t="inlineStr">
        <is>
          <t>Discount period (years)</t>
        </is>
      </c>
      <c r="C29" s="192" t="n"/>
      <c r="D29" s="177">
        <f>(DATE(2027,6,30)-$C$15)/365.25</f>
        <v>0.711841204654346</v>
      </c>
      <c r="E29" s="177">
        <f>(DATE(2028,6,30)-$C$15)/365.25</f>
        <v>1.7138945927447</v>
      </c>
      <c r="F29" s="177">
        <f>(DATE(2029,6,30)-$C$15)/365.25</f>
        <v>2.71321013004791</v>
      </c>
      <c r="G29" s="177">
        <f>(DATE(2030,6,30)-$C$15)/365.25</f>
        <v>3.71252566735113</v>
      </c>
      <c r="H29" s="177">
        <f>(DATE(2031,6,30)-$C$15)/365.25</f>
        <v>4.71184120465435</v>
      </c>
      <c r="I29" s="177">
        <f>(DATE(2032,6,30)-$C$15)/365.25</f>
        <v>5.7138945927447</v>
      </c>
      <c r="J29" s="177">
        <f>(DATE(2033,6,30)-$C$15)/365.25</f>
        <v>6.71321013004791</v>
      </c>
      <c r="K29" s="177">
        <f>(DATE(2034,6,30)-$C$15)/365.25</f>
        <v>7.71252566735113</v>
      </c>
      <c r="L29" s="177">
        <f>(DATE(2035,6,30)-$C$15)/365.25</f>
        <v>8.71184120465435</v>
      </c>
      <c r="M29" s="177">
        <f>(DATE(2036,6,30)-$C$15)/365.25</f>
        <v>9.7138945927447</v>
      </c>
      <c r="N29" s="177">
        <f>M29</f>
        <v>9.7138945927447</v>
      </c>
      <c r="O29" s="192" t="n"/>
      <c r="P29" s="192" t="n"/>
      <c r="Q29" s="192" t="n"/>
    </row>
    <row r="30" ht="15.75" customHeight="1" s="251">
      <c r="A30" s="192" t="n"/>
      <c r="B30" s="197" t="inlineStr">
        <is>
          <t>Discount factor</t>
        </is>
      </c>
      <c r="C30" s="192" t="n"/>
      <c r="D30" s="185">
        <f>1/(1+$C$13)^D29</f>
        <v>0.938154116272418</v>
      </c>
      <c r="E30" s="185">
        <f>1/(1+$C$13)^E29</f>
        <v>0.857521024470217</v>
      </c>
      <c r="F30" s="185">
        <f>1/(1+$C$13)^F29</f>
        <v>0.784010723378182</v>
      </c>
      <c r="G30" s="185">
        <f>1/(1+$C$13)^G29</f>
        <v>0.716802033806377</v>
      </c>
      <c r="H30" s="185">
        <f>1/(1+$C$13)^H29</f>
        <v>0.655354755168464</v>
      </c>
      <c r="I30" s="185">
        <f>1/(1+$C$13)^I29</f>
        <v>0.599027890296335</v>
      </c>
      <c r="J30" s="185">
        <f>1/(1+$C$13)^J29</f>
        <v>0.547676705518778</v>
      </c>
      <c r="K30" s="185">
        <f>1/(1+$C$13)^K29</f>
        <v>0.500727559812815</v>
      </c>
      <c r="L30" s="185">
        <f>1/(1+$C$13)^L29</f>
        <v>0.457803091914595</v>
      </c>
      <c r="M30" s="185">
        <f>1/(1+$C$13)^M29</f>
        <v>0.418455528334794</v>
      </c>
      <c r="N30" s="185">
        <f>1/(1+$C$13)^N29</f>
        <v>0.418455528334794</v>
      </c>
      <c r="O30" s="192" t="n"/>
      <c r="P30" s="192" t="n"/>
      <c r="Q30" s="192" t="n"/>
    </row>
    <row r="31" ht="15.75" customHeight="1" s="251">
      <c r="A31" s="192" t="n"/>
      <c r="B31" s="220" t="inlineStr">
        <is>
          <t>PV of UFCF</t>
        </is>
      </c>
      <c r="C31" s="221" t="n"/>
      <c r="D31" s="222">
        <f>D24*D30</f>
        <v>8023.93912756954</v>
      </c>
      <c r="E31" s="222">
        <f>E24*E30</f>
        <v>37401.3200427939</v>
      </c>
      <c r="F31" s="222">
        <f>F24*F30</f>
        <v>66365.8819361939</v>
      </c>
      <c r="G31" s="222">
        <f>G24*G30</f>
        <v>95694.2211493303</v>
      </c>
      <c r="H31" s="222">
        <f>H24*H30</f>
        <v>113593.073389688</v>
      </c>
      <c r="I31" s="222">
        <f>I24*I30</f>
        <v>140975.453671499</v>
      </c>
      <c r="J31" s="222">
        <f>J24*J30</f>
        <v>140490.586283909</v>
      </c>
      <c r="K31" s="222">
        <f>K24*K30</f>
        <v>138722.915100755</v>
      </c>
      <c r="L31" s="222">
        <f>L24*L30</f>
        <v>135709.174944578</v>
      </c>
      <c r="M31" s="222">
        <f>M24*M30</f>
        <v>131487.861996836</v>
      </c>
      <c r="N31" s="222">
        <f>N25*N30</f>
        <v>2313313.79365152</v>
      </c>
      <c r="O31" s="192" t="n"/>
      <c r="P31" s="192" t="n"/>
      <c r="Q31" s="192" t="n"/>
    </row>
    <row r="32" ht="15" customHeight="1" s="251">
      <c r="A32" s="192" t="n"/>
      <c r="B32" s="192" t="n"/>
      <c r="C32" s="192" t="n"/>
      <c r="D32" s="198" t="inlineStr">
        <is>
          <t>Microsoft's operating income already deducts amortization of acquired intangibles and stock-based compensation (neither is adjusted out). D&amp;A is added back in row 21. Row 22 deducts capital expenditures INCLUDING finance-lease assets (datacenters) because finance-lease liabilities are counted in net debt; it also includes the M&amp;A lever in FY2028E–31E. Investment gains / losses (incl. OpenAI) are excluded from UFCF; the OpenAI stake and other equity investments (~$36bn carrying value) are not added back (conservative). The FY2027E capex peak (Q1 guidance over $50bn) depresses near-term UFCF.</t>
        </is>
      </c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</row>
    <row r="33" ht="15.75" customHeight="1" s="251">
      <c r="A33" s="192" t="n"/>
      <c r="B33" s="195" t="inlineStr">
        <is>
          <t>IMPLIED ROIC — invested capital roll-forward (USDm)</t>
        </is>
      </c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2" t="n"/>
      <c r="P33" s="192" t="n"/>
      <c r="Q33" s="192" t="n"/>
    </row>
    <row r="34" ht="15.75" customHeight="1" s="251">
      <c r="A34" s="192" t="n"/>
      <c r="B34" s="197" t="inlineStr">
        <is>
          <t>Opening invested capital</t>
        </is>
      </c>
      <c r="C34" s="192" t="n"/>
      <c r="D34" s="173">
        <f>Model!CA423</f>
        <v>472432</v>
      </c>
      <c r="E34" s="174">
        <f>D38</f>
        <v>610085.018186255</v>
      </c>
      <c r="F34" s="174">
        <f>E38</f>
        <v>730732.652398396</v>
      </c>
      <c r="G34" s="174">
        <f>F38</f>
        <v>835166.415069714</v>
      </c>
      <c r="H34" s="174">
        <f>G38</f>
        <v>919975.780577448</v>
      </c>
      <c r="I34" s="174">
        <f>H38</f>
        <v>994682.105697172</v>
      </c>
      <c r="J34" s="174">
        <f>I38</f>
        <v>1032182.4073421</v>
      </c>
      <c r="K34" s="174">
        <f>J38</f>
        <v>1073057.73613508</v>
      </c>
      <c r="L34" s="174">
        <f>K38</f>
        <v>1117203.09123149</v>
      </c>
      <c r="M34" s="174">
        <f>L38</f>
        <v>1164438.62118465</v>
      </c>
      <c r="N34" s="174" t="n"/>
      <c r="O34" s="192" t="n"/>
      <c r="P34" s="192" t="n"/>
      <c r="Q34" s="192" t="n"/>
    </row>
    <row r="35" ht="15.75" customHeight="1" s="251">
      <c r="A35" s="192" t="n"/>
      <c r="B35" s="197" t="inlineStr">
        <is>
          <t>plus Capex and acquisitions</t>
        </is>
      </c>
      <c r="C35" s="192" t="n"/>
      <c r="D35" s="174">
        <f>-D22</f>
        <v>200000</v>
      </c>
      <c r="E35" s="174">
        <f>-E22</f>
        <v>207933.047384203</v>
      </c>
      <c r="F35" s="174">
        <f>-F22</f>
        <v>213748.852572248</v>
      </c>
      <c r="G35" s="174">
        <f>-G22</f>
        <v>212774.926384078</v>
      </c>
      <c r="H35" s="174">
        <f>-H22</f>
        <v>217943.667463721</v>
      </c>
      <c r="I35" s="174">
        <f>-I22</f>
        <v>195061.378223327</v>
      </c>
      <c r="J35" s="174">
        <f>-J22</f>
        <v>212616.902263426</v>
      </c>
      <c r="K35" s="174">
        <f>-K22</f>
        <v>229626.2544445</v>
      </c>
      <c r="L35" s="174">
        <f>-L22</f>
        <v>245700.092255615</v>
      </c>
      <c r="M35" s="174">
        <f>-M22</f>
        <v>260442.097790952</v>
      </c>
      <c r="N35" s="174" t="n"/>
      <c r="O35" s="192" t="n"/>
      <c r="P35" s="192" t="n"/>
      <c r="Q35" s="192" t="n"/>
    </row>
    <row r="36" ht="15.75" customHeight="1" s="251">
      <c r="A36" s="192" t="n"/>
      <c r="B36" s="197" t="inlineStr">
        <is>
          <t>less DD&amp;A</t>
        </is>
      </c>
      <c r="C36" s="192" t="n"/>
      <c r="D36" s="174">
        <f>-D21</f>
        <v>-56319.92</v>
      </c>
      <c r="E36" s="174">
        <f>-E21</f>
        <v>-80380.3093142857</v>
      </c>
      <c r="F36" s="174">
        <f>-F21</f>
        <v>-101870.944786172</v>
      </c>
      <c r="G36" s="174">
        <f>-G21</f>
        <v>-120415.226252662</v>
      </c>
      <c r="H36" s="174">
        <f>-H21</f>
        <v>-135701.879560717</v>
      </c>
      <c r="I36" s="174">
        <f>-I21</f>
        <v>-149272.067516789</v>
      </c>
      <c r="J36" s="174">
        <f>-J21</f>
        <v>-162706.5535933</v>
      </c>
      <c r="K36" s="174">
        <f>-K21</f>
        <v>-175723.077880764</v>
      </c>
      <c r="L36" s="174">
        <f>-L21</f>
        <v>-188023.693332417</v>
      </c>
      <c r="M36" s="174">
        <f>-M21</f>
        <v>-199305.114932362</v>
      </c>
      <c r="N36" s="174" t="n"/>
      <c r="O36" s="192" t="n"/>
      <c r="P36" s="192" t="n"/>
      <c r="Q36" s="192" t="n"/>
    </row>
    <row r="37" ht="15.75" customHeight="1" s="251">
      <c r="A37" s="192" t="n"/>
      <c r="B37" s="197" t="inlineStr">
        <is>
          <t>plus Δ Working capital investment</t>
        </is>
      </c>
      <c r="C37" s="192" t="n"/>
      <c r="D37" s="174">
        <f>-D23</f>
        <v>-6027.06181374527</v>
      </c>
      <c r="E37" s="174">
        <f>-E23</f>
        <v>-6905.10385777619</v>
      </c>
      <c r="F37" s="174">
        <f>-F23</f>
        <v>-7444.14511475841</v>
      </c>
      <c r="G37" s="174">
        <f>-G23</f>
        <v>-7550.33462368223</v>
      </c>
      <c r="H37" s="174">
        <f>-H23</f>
        <v>-7535.46278327999</v>
      </c>
      <c r="I37" s="174">
        <f>-I23</f>
        <v>-8289.00906160799</v>
      </c>
      <c r="J37" s="174">
        <f>-J23</f>
        <v>-9035.01987715271</v>
      </c>
      <c r="K37" s="174">
        <f>-K23</f>
        <v>-9757.82146732493</v>
      </c>
      <c r="L37" s="174">
        <f>-L23</f>
        <v>-10440.8689700377</v>
      </c>
      <c r="M37" s="174">
        <f>-M23</f>
        <v>-11067.3211082399</v>
      </c>
      <c r="N37" s="174" t="n"/>
      <c r="O37" s="192" t="n"/>
      <c r="P37" s="192" t="n"/>
      <c r="Q37" s="192" t="n"/>
    </row>
    <row r="38" ht="15.75" customHeight="1" s="251">
      <c r="A38" s="192" t="n"/>
      <c r="B38" s="223" t="inlineStr">
        <is>
          <t>Closing invested capital</t>
        </is>
      </c>
      <c r="C38" s="223" t="n"/>
      <c r="D38" s="224">
        <f>SUM(D34:D37)</f>
        <v>610085.018186255</v>
      </c>
      <c r="E38" s="224">
        <f>SUM(E34:E37)</f>
        <v>730732.652398396</v>
      </c>
      <c r="F38" s="224">
        <f>SUM(F34:F37)</f>
        <v>835166.415069714</v>
      </c>
      <c r="G38" s="224">
        <f>SUM(G34:G37)</f>
        <v>919975.780577448</v>
      </c>
      <c r="H38" s="224">
        <f>SUM(H34:H37)</f>
        <v>994682.105697172</v>
      </c>
      <c r="I38" s="224">
        <f>SUM(I34:I37)</f>
        <v>1032182.4073421</v>
      </c>
      <c r="J38" s="224">
        <f>SUM(J34:J37)</f>
        <v>1073057.73613508</v>
      </c>
      <c r="K38" s="224">
        <f>SUM(K34:K37)</f>
        <v>1117203.09123149</v>
      </c>
      <c r="L38" s="224">
        <f>SUM(L34:L37)</f>
        <v>1164438.62118465</v>
      </c>
      <c r="M38" s="224">
        <f>SUM(M34:M37)</f>
        <v>1214508.282935</v>
      </c>
      <c r="N38" s="178" t="n"/>
      <c r="O38" s="192" t="n"/>
      <c r="P38" s="192" t="n"/>
      <c r="Q38" s="192" t="n"/>
    </row>
    <row r="39" ht="15.75" customHeight="1" s="251">
      <c r="A39" s="192" t="n"/>
      <c r="B39" s="197" t="inlineStr">
        <is>
          <t>NOPAT (row 20)</t>
        </is>
      </c>
      <c r="C39" s="192" t="n"/>
      <c r="D39" s="174">
        <f>D20</f>
        <v>146205.919024607</v>
      </c>
      <c r="E39" s="174">
        <f>E20</f>
        <v>164263.264587969</v>
      </c>
      <c r="F39" s="174">
        <f>F20</f>
        <v>189082.964470795</v>
      </c>
      <c r="G39" s="174">
        <f>G20</f>
        <v>218310.969348299</v>
      </c>
      <c r="H39" s="174">
        <f>H20</f>
        <v>248036.986862597</v>
      </c>
      <c r="I39" s="174">
        <f>I20</f>
        <v>272840.685548857</v>
      </c>
      <c r="J39" s="174">
        <f>J20</f>
        <v>297396.347248254</v>
      </c>
      <c r="K39" s="174">
        <f>K20</f>
        <v>321188.055028114</v>
      </c>
      <c r="L39" s="174">
        <f>L20</f>
        <v>343671.218880082</v>
      </c>
      <c r="M39" s="174">
        <f>M20</f>
        <v>364291.492012887</v>
      </c>
      <c r="N39" s="174" t="n"/>
      <c r="O39" s="192" t="n"/>
      <c r="P39" s="192" t="n"/>
      <c r="Q39" s="192" t="n"/>
    </row>
    <row r="40" ht="15.75" customHeight="1" s="251">
      <c r="A40" s="192" t="n"/>
      <c r="B40" s="200" t="inlineStr">
        <is>
          <t>Implied ROIC (NOPAT / avg. invested capital)</t>
        </is>
      </c>
      <c r="C40" s="200" t="n"/>
      <c r="D40" s="180">
        <f>IFERROR(D39/AVERAGE(D34,D38),"")</f>
        <v>0.270122162641975</v>
      </c>
      <c r="E40" s="180">
        <f>IFERROR(E39/AVERAGE(E34,E38),"")</f>
        <v>0.245019540227782</v>
      </c>
      <c r="F40" s="180">
        <f>IFERROR(F39/AVERAGE(F34,F38),"")</f>
        <v>0.241500832842978</v>
      </c>
      <c r="G40" s="180">
        <f>IFERROR(G39/AVERAGE(G34,G38),"")</f>
        <v>0.248767273545951</v>
      </c>
      <c r="H40" s="180">
        <f>IFERROR(H39/AVERAGE(H34,H38),"")</f>
        <v>0.259092748256146</v>
      </c>
      <c r="I40" s="180">
        <f>IFERROR(I39/AVERAGE(I34,I38),"")</f>
        <v>0.269224394421641</v>
      </c>
      <c r="J40" s="180">
        <f>IFERROR(J39/AVERAGE(J34,J38),"")</f>
        <v>0.282529618456782</v>
      </c>
      <c r="K40" s="180">
        <f>IFERROR(K39/AVERAGE(K34,K38),"")</f>
        <v>0.293287494361382</v>
      </c>
      <c r="L40" s="180">
        <f>IFERROR(L39/AVERAGE(L34,L38),"")</f>
        <v>0.301249067292123</v>
      </c>
      <c r="M40" s="180">
        <f>IFERROR(M39/AVERAGE(M34,M38),"")</f>
        <v>0.3062628185455</v>
      </c>
      <c r="N40" s="180" t="n"/>
      <c r="O40" s="192" t="n"/>
      <c r="P40" s="192" t="n"/>
      <c r="Q40" s="192" t="n"/>
    </row>
    <row r="41" ht="15.75" customHeight="1" s="251">
      <c r="A41" s="192" t="n"/>
      <c r="B41" s="197" t="inlineStr">
        <is>
          <t>Reinvestment rate (net investment / NOPAT)</t>
        </is>
      </c>
      <c r="C41" s="192" t="n"/>
      <c r="D41" s="175">
        <f>IFERROR(SUM(D35:D37)/D39,"")</f>
        <v>0.941500994655953</v>
      </c>
      <c r="E41" s="175">
        <f>IFERROR(SUM(E35:E37)/E39,"")</f>
        <v>0.734477270464391</v>
      </c>
      <c r="F41" s="175">
        <f>IFERROR(SUM(F35:F37)/F39,"")</f>
        <v>0.552317142708264</v>
      </c>
      <c r="G41" s="175">
        <f>IFERROR(SUM(G35:G37)/G39,"")</f>
        <v>0.388479634170041</v>
      </c>
      <c r="H41" s="175">
        <f>IFERROR(SUM(H35:H37)/H39,"")</f>
        <v>0.30119026224548</v>
      </c>
      <c r="I41" s="175">
        <f>IFERROR(SUM(I35:I37)/I39,"")</f>
        <v>0.137443950375265</v>
      </c>
      <c r="J41" s="175">
        <f>IFERROR(SUM(J35:J37)/J39,"")</f>
        <v>0.137443950375265</v>
      </c>
      <c r="K41" s="175">
        <f>IFERROR(SUM(K35:K37)/K39,"")</f>
        <v>0.137443950375265</v>
      </c>
      <c r="L41" s="175">
        <f>IFERROR(SUM(L35:L37)/L39,"")</f>
        <v>0.137443950375265</v>
      </c>
      <c r="M41" s="175">
        <f>IFERROR(SUM(M35:M37)/M39,"")</f>
        <v>0.137443950375265</v>
      </c>
      <c r="N41" s="175" t="n"/>
      <c r="O41" s="192" t="n"/>
      <c r="P41" s="192" t="n"/>
      <c r="Q41" s="192" t="n"/>
    </row>
    <row r="42" ht="15.75" customHeight="1" s="251">
      <c r="A42" s="192" t="n"/>
      <c r="B42" s="197" t="inlineStr">
        <is>
          <t>Implied terminal RONIC (g / reinvestment rate)</t>
        </is>
      </c>
      <c r="C42" s="192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>
        <f>IFERROR($C$27/M41,"")</f>
        <v>0.25464925814806</v>
      </c>
      <c r="O42" s="192" t="n"/>
      <c r="P42" s="192" t="n"/>
      <c r="Q42" s="192" t="n"/>
    </row>
    <row r="43" ht="15" customHeight="1" s="251">
      <c r="A43" s="192" t="n"/>
      <c r="B43" s="192" t="n"/>
      <c r="C43" s="192" t="n"/>
      <c r="D43" s="198" t="inlineStr">
        <is>
          <t>Opening IC = Model FY2026A book IC (equity + net debt incl. finance leases at 30-Jun-2026), rolled forward with capex + M&amp;A − D&amp;A + ΔWC.</t>
        </is>
      </c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</row>
    <row r="44" ht="15.75" customHeight="1" s="251">
      <c r="A44" s="192" t="n"/>
      <c r="B44" s="195" t="inlineStr">
        <is>
          <t>3. VALUATION SUMMARY</t>
        </is>
      </c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2" t="n"/>
      <c r="P44" s="192" t="n"/>
      <c r="Q44" s="192" t="n"/>
    </row>
    <row r="45" ht="15.75" customHeight="1" s="251">
      <c r="A45" s="192" t="n"/>
      <c r="B45" s="197" t="inlineStr">
        <is>
          <t>Sum of PV (explicit + fade)</t>
        </is>
      </c>
      <c r="C45" s="174">
        <f>SUM(D31:M31)</f>
        <v>1008464.42764315</v>
      </c>
      <c r="D45" s="192" t="n"/>
      <c r="E45" s="192" t="n"/>
      <c r="F45" s="192" t="n"/>
      <c r="G45" s="19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</row>
    <row r="46" ht="15.75" customHeight="1" s="251">
      <c r="A46" s="192" t="n"/>
      <c r="B46" s="197" t="inlineStr">
        <is>
          <t>PV of Terminal Value</t>
        </is>
      </c>
      <c r="C46" s="174">
        <f>N31</f>
        <v>2313313.79365152</v>
      </c>
      <c r="D46" s="192" t="n"/>
      <c r="E46" s="192" t="n"/>
      <c r="F46" s="192" t="n"/>
      <c r="G46" s="19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</row>
    <row r="47" ht="15.75" customHeight="1" s="251">
      <c r="A47" s="192" t="n"/>
      <c r="B47" s="199" t="inlineStr">
        <is>
          <t>Enterprise Value</t>
        </is>
      </c>
      <c r="C47" s="219">
        <f>C45+C46</f>
        <v>3321778.22129467</v>
      </c>
      <c r="D47" s="192" t="n"/>
      <c r="E47" s="192" t="n"/>
      <c r="F47" s="192" t="n"/>
      <c r="G47" s="19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</row>
    <row r="48" ht="15.75" customHeight="1" s="251">
      <c r="A48" s="192" t="n"/>
      <c r="B48" s="197" t="inlineStr">
        <is>
          <t>Less: Net debt incl. finance leases + NCI (Model FY2026A year end, 30-Jun-2026)</t>
        </is>
      </c>
      <c r="C48" s="173">
        <f>Model!CA443+Model!CA360</f>
        <v>30045</v>
      </c>
      <c r="D48" s="198" t="inlineStr">
        <is>
          <t>MSFT: no noncontrolling interests; debt $40.3bn + finance leases $66.6bn − cash &amp; short-term investments $76.8bn at the base-year end.</t>
        </is>
      </c>
      <c r="E48" s="192" t="n"/>
      <c r="F48" s="192" t="n"/>
      <c r="G48" s="19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</row>
    <row r="49" ht="15.75" customHeight="1" s="251">
      <c r="A49" s="192" t="n"/>
      <c r="B49" s="199" t="inlineStr">
        <is>
          <t>Equity Value</t>
        </is>
      </c>
      <c r="C49" s="178">
        <f>C47-C48</f>
        <v>3291733.22129467</v>
      </c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</row>
    <row r="50" ht="15.75" customHeight="1" s="251">
      <c r="A50" s="192" t="n"/>
      <c r="B50" s="197" t="inlineStr">
        <is>
          <t>Diluted shares (m, Model FY2026A period end)</t>
        </is>
      </c>
      <c r="C50" s="186">
        <f>Model!CA450</f>
        <v>7443</v>
      </c>
      <c r="D50" s="192" t="n"/>
      <c r="E50" s="192" t="n"/>
      <c r="F50" s="192" t="n"/>
      <c r="G50" s="19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</row>
    <row r="51" ht="15.75" customHeight="1" s="251">
      <c r="A51" s="192" t="n"/>
      <c r="B51" s="199" t="inlineStr">
        <is>
          <t>Implied share price ($)</t>
        </is>
      </c>
      <c r="C51" s="187">
        <f>C49/C50</f>
        <v>442.258930712706</v>
      </c>
      <c r="D51" s="192" t="n"/>
      <c r="E51" s="192" t="n"/>
      <c r="F51" s="192" t="n"/>
      <c r="G51" s="19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</row>
    <row r="52" ht="15.75" customHeight="1" s="251">
      <c r="A52" s="192" t="n"/>
      <c r="B52" s="197" t="inlineStr">
        <is>
          <t>Current share price ($)</t>
        </is>
      </c>
      <c r="C52" s="188">
        <f>Model!CA449</f>
        <v>541</v>
      </c>
      <c r="D52" s="192" t="n"/>
      <c r="E52" s="192" t="n"/>
      <c r="F52" s="192" t="n"/>
      <c r="G52" s="192" t="n"/>
      <c r="H52" s="192" t="n"/>
      <c r="I52" s="192" t="n"/>
      <c r="J52" s="192" t="n"/>
      <c r="K52" s="192" t="n"/>
      <c r="L52" s="192" t="n"/>
      <c r="M52" s="192" t="n"/>
      <c r="N52" s="192" t="n"/>
      <c r="O52" s="192" t="n"/>
      <c r="P52" s="192" t="n"/>
      <c r="Q52" s="192" t="n"/>
    </row>
    <row r="53" ht="15.75" customHeight="1" s="251">
      <c r="A53" s="192" t="n"/>
      <c r="B53" s="199" t="inlineStr">
        <is>
          <t>Implied upside / (downside)</t>
        </is>
      </c>
      <c r="C53" s="189">
        <f>C51/C52-1</f>
        <v>-0.182515839717734</v>
      </c>
      <c r="D53" s="192" t="n"/>
      <c r="E53" s="192" t="n"/>
      <c r="F53" s="192" t="n"/>
      <c r="G53" s="192" t="n"/>
      <c r="H53" s="192" t="n"/>
      <c r="I53" s="192" t="n"/>
      <c r="J53" s="192" t="n"/>
      <c r="K53" s="192" t="n"/>
      <c r="L53" s="192" t="n"/>
      <c r="M53" s="192" t="n"/>
      <c r="N53" s="192" t="n"/>
      <c r="O53" s="192" t="n"/>
      <c r="P53" s="192" t="n"/>
      <c r="Q53" s="192" t="n"/>
    </row>
    <row r="54" ht="15.75" customHeight="1" s="251">
      <c r="A54" s="192" t="n"/>
      <c r="B54" s="197" t="inlineStr">
        <is>
          <t>Required discount to DCF value for target IRR</t>
        </is>
      </c>
      <c r="C54" s="175">
        <f>1-((1+C13)/(1+H54))^H55</f>
        <v>0.139492263929671</v>
      </c>
      <c r="D54" s="205" t="inlineStr">
        <is>
          <t>vs. current</t>
        </is>
      </c>
      <c r="E54" s="237" t="inlineStr">
        <is>
          <t>Target IRR</t>
        </is>
      </c>
      <c r="F54" s="192" t="n"/>
      <c r="G54" s="192" t="n"/>
      <c r="H54" s="182" t="n">
        <v>0.15</v>
      </c>
      <c r="I54" s="192" t="n"/>
      <c r="J54" s="192" t="n"/>
      <c r="K54" s="192" t="n"/>
      <c r="L54" s="192" t="n"/>
      <c r="M54" s="192" t="n"/>
      <c r="N54" s="192" t="n"/>
      <c r="O54" s="192" t="n"/>
      <c r="P54" s="192" t="n"/>
      <c r="Q54" s="192" t="n"/>
    </row>
    <row r="55" ht="15.75" customHeight="1" s="251">
      <c r="A55" s="192" t="n"/>
      <c r="B55" s="199" t="inlineStr">
        <is>
          <t>Max entry price for target IRR ($)</t>
        </is>
      </c>
      <c r="C55" s="190">
        <f>C51*(1-C54)</f>
        <v>380.567231224475</v>
      </c>
      <c r="D55" s="175">
        <f>C55/C52-1</f>
        <v>-0.296548555962153</v>
      </c>
      <c r="E55" s="237" t="inlineStr">
        <is>
          <t>Years for discount to close</t>
        </is>
      </c>
      <c r="F55" s="192" t="n"/>
      <c r="G55" s="192" t="n"/>
      <c r="H55" s="191" t="n">
        <v>3</v>
      </c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</row>
    <row r="56" ht="15" customHeight="1" s="251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</row>
    <row r="57" ht="15" customHeight="1" s="251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</row>
    <row r="58" ht="15.75" customHeight="1" s="251">
      <c r="A58" s="192" t="n"/>
      <c r="B58" s="195" t="inlineStr">
        <is>
          <t>4. SENSITIVITY: IMPLIED PRICE ($) — WACC × Terminal Growth</t>
        </is>
      </c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2" t="n"/>
      <c r="P58" s="192" t="n"/>
      <c r="Q58" s="192" t="n"/>
    </row>
    <row r="59" ht="15" customHeight="1" s="251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</row>
    <row r="60" ht="15.75" customHeight="1" s="251">
      <c r="A60" s="192" t="n"/>
      <c r="B60" s="199" t="n"/>
      <c r="C60" s="192" t="n"/>
      <c r="D60" s="206" t="inlineStr">
        <is>
          <t>WACC →</t>
        </is>
      </c>
      <c r="E60" s="206" t="n"/>
      <c r="F60" s="206" t="n"/>
      <c r="G60" s="206" t="n"/>
      <c r="H60" s="206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</row>
    <row r="61" ht="15.75" customHeight="1" s="251">
      <c r="A61" s="192" t="n"/>
      <c r="B61" s="231" t="inlineStr">
        <is>
          <t>Terminal growth ↓</t>
        </is>
      </c>
      <c r="C61" s="227" t="n"/>
      <c r="D61" s="228">
        <f>F61-0.01</f>
        <v>0.083829</v>
      </c>
      <c r="E61" s="228">
        <f>F61-0.005</f>
        <v>0.088829</v>
      </c>
      <c r="F61" s="228">
        <f>$C$13</f>
        <v>0.093829</v>
      </c>
      <c r="G61" s="228">
        <f>F61+0.005</f>
        <v>0.098829</v>
      </c>
      <c r="H61" s="234">
        <f>F61+0.01</f>
        <v>0.103829</v>
      </c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</row>
    <row r="62" ht="15.75" customHeight="1" s="251">
      <c r="A62" s="192" t="n"/>
      <c r="B62" s="232">
        <f>B64-0.01</f>
        <v>0.025</v>
      </c>
      <c r="C62" s="192" t="n"/>
      <c r="D62" s="225">
        <f t="array" ref="D62">IFERROR((SUMPRODUCT($D$24:$M$24/(1+D$61)^$D$29:$M$29)+($M$24*(1+$B62)/(D$61-$B62))/(1+D$61)^$M$29-$C$48)/$C$50,"")</f>
        <v>476.167566510522</v>
      </c>
      <c r="E62" s="225">
        <f t="array" ref="E62">IFERROR((SUMPRODUCT($D$24:$M$24/(1+E$61)^$D$29:$M$29)+($M$24*(1+$B62)/(E$61-$B62))/(1+E$61)^$M$29-$C$48)/$C$50,"")</f>
        <v>432.072432653342</v>
      </c>
      <c r="F62" s="225">
        <f t="array" ref="F62">IFERROR((SUMPRODUCT($D$24:$M$24/(1+F$61)^$D$29:$M$29)+($M$24*(1+$B62)/(F$61-$B62))/(1+F$61)^$M$29-$C$48)/$C$50,"")</f>
        <v>394.536324613474</v>
      </c>
      <c r="G62" s="225">
        <f t="array" ref="G62">IFERROR((SUMPRODUCT($D$24:$M$24/(1+G$61)^$D$29:$M$29)+($M$24*(1+$B62)/(G$61-$B62))/(1+G$61)^$M$29-$C$48)/$C$50,"")</f>
        <v>362.221930595782</v>
      </c>
      <c r="H62" s="235">
        <f t="array" ref="H62">IFERROR((SUMPRODUCT($D$24:$M$24/(1+H$61)^$D$29:$M$29)+($M$24*(1+$B62)/(H$61-$B62))/(1+H$61)^$M$29-$C$48)/$C$50,"")</f>
        <v>334.13140846804</v>
      </c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</row>
    <row r="63" ht="15.75" customHeight="1" s="251">
      <c r="A63" s="192" t="n"/>
      <c r="B63" s="232">
        <f>B64-0.005</f>
        <v>0.03</v>
      </c>
      <c r="C63" s="192" t="n"/>
      <c r="D63" s="225">
        <f t="array" ref="D63">IFERROR((SUMPRODUCT($D$24:$M$24/(1+D$61)^$D$29:$M$29)+($M$24*(1+$B63)/(D$61-$B63))/(1+D$61)^$M$29-$C$48)/$C$50,"")</f>
        <v>509.220204016463</v>
      </c>
      <c r="E63" s="225">
        <f t="array" ref="E63">IFERROR((SUMPRODUCT($D$24:$M$24/(1+E$61)^$D$29:$M$29)+($M$24*(1+$B63)/(E$61-$B63))/(1+E$61)^$M$29-$C$48)/$C$50,"")</f>
        <v>458.850922536431</v>
      </c>
      <c r="F63" s="225">
        <f t="array" ref="F63">IFERROR((SUMPRODUCT($D$24:$M$24/(1+F$61)^$D$29:$M$29)+($M$24*(1+$B63)/(F$61-$B63))/(1+F$61)^$M$29-$C$48)/$C$50,"")</f>
        <v>416.528469204582</v>
      </c>
      <c r="G63" s="225">
        <f t="array" ref="G63">IFERROR((SUMPRODUCT($D$24:$M$24/(1+G$61)^$D$29:$M$29)+($M$24*(1+$B63)/(G$61-$B63))/(1+G$61)^$M$29-$C$48)/$C$50,"")</f>
        <v>380.494482569075</v>
      </c>
      <c r="H63" s="235">
        <f t="array" ref="H63">IFERROR((SUMPRODUCT($D$24:$M$24/(1+H$61)^$D$29:$M$29)+($M$24*(1+$B63)/(H$61-$B63))/(1+H$61)^$M$29-$C$48)/$C$50,"")</f>
        <v>349.467107443452</v>
      </c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</row>
    <row r="64" ht="15.75" customHeight="1" s="251">
      <c r="A64" s="192" t="n"/>
      <c r="B64" s="232">
        <f>$C$27</f>
        <v>0.035</v>
      </c>
      <c r="C64" s="192" t="n"/>
      <c r="D64" s="225">
        <f t="array" ref="D64">IFERROR((SUMPRODUCT($D$24:$M$24/(1+D$61)^$D$29:$M$29)+($M$24*(1+$B64)/(D$61-$B64))/(1+D$61)^$M$29-$C$48)/$C$50,"")</f>
        <v>549.041900382087</v>
      </c>
      <c r="E64" s="225">
        <f t="array" ref="E64">IFERROR((SUMPRODUCT($D$24:$M$24/(1+E$61)^$D$29:$M$29)+($M$24*(1+$B64)/(E$61-$B64))/(1+E$61)^$M$29-$C$48)/$C$50,"")</f>
        <v>490.604145348442</v>
      </c>
      <c r="F64" s="226">
        <f t="array" ref="F64">IFERROR((SUMPRODUCT($D$24:$M$24/(1+F$61)^$D$29:$M$29)+($M$24*(1+$B64)/(F$61-$B64))/(1+F$61)^$M$29-$C$48)/$C$50,"")</f>
        <v>442.258930712706</v>
      </c>
      <c r="G64" s="225">
        <f t="array" ref="G64">IFERROR((SUMPRODUCT($D$24:$M$24/(1+G$61)^$D$29:$M$29)+($M$24*(1+$B64)/(G$61-$B64))/(1+G$61)^$M$29-$C$48)/$C$50,"")</f>
        <v>401.629769658583</v>
      </c>
      <c r="H64" s="235">
        <f t="array" ref="H64">IFERROR((SUMPRODUCT($D$24:$M$24/(1+H$61)^$D$29:$M$29)+($M$24*(1+$B64)/(H$61-$B64))/(1+H$61)^$M$29-$C$48)/$C$50,"")</f>
        <v>367.030893268216</v>
      </c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</row>
    <row r="65" ht="15.75" customHeight="1" s="251">
      <c r="A65" s="192" t="n"/>
      <c r="B65" s="232">
        <f>B64+0.005</f>
        <v>0.04</v>
      </c>
      <c r="C65" s="192" t="n"/>
      <c r="D65" s="225">
        <f t="array" ref="D65">IFERROR((SUMPRODUCT($D$24:$M$24/(1+D$61)^$D$29:$M$29)+($M$24*(1+$B65)/(D$61-$B65))/(1+D$61)^$M$29-$C$48)/$C$50,"")</f>
        <v>597.949292603336</v>
      </c>
      <c r="E65" s="225">
        <f t="array" ref="E65">IFERROR((SUMPRODUCT($D$24:$M$24/(1+E$61)^$D$29:$M$29)+($M$24*(1+$B65)/(E$61-$B65))/(1+E$61)^$M$29-$C$48)/$C$50,"")</f>
        <v>528.860311659604</v>
      </c>
      <c r="F65" s="225">
        <f t="array" ref="F65">IFERROR((SUMPRODUCT($D$24:$M$24/(1+F$61)^$D$29:$M$29)+($M$24*(1+$B65)/(F$61-$B65))/(1+F$61)^$M$29-$C$48)/$C$50,"")</f>
        <v>472.769429284145</v>
      </c>
      <c r="G65" s="225">
        <f t="array" ref="G65">IFERROR((SUMPRODUCT($D$24:$M$24/(1+G$61)^$D$29:$M$29)+($M$24*(1+$B65)/(G$61-$B65))/(1+G$61)^$M$29-$C$48)/$C$50,"")</f>
        <v>426.357721435493</v>
      </c>
      <c r="H65" s="235">
        <f t="array" ref="H65">IFERROR((SUMPRODUCT($D$24:$M$24/(1+H$61)^$D$29:$M$29)+($M$24*(1+$B65)/(H$61-$B65))/(1+H$61)^$M$29-$C$48)/$C$50,"")</f>
        <v>387.346372809749</v>
      </c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</row>
    <row r="66" ht="15.75" customHeight="1" s="251">
      <c r="A66" s="192" t="n"/>
      <c r="B66" s="233">
        <f>B64+0.01</f>
        <v>0.045</v>
      </c>
      <c r="C66" s="229" t="n"/>
      <c r="D66" s="230">
        <f t="array" ref="D66">IFERROR((SUMPRODUCT($D$24:$M$24/(1+D$61)^$D$29:$M$29)+($M$24*(1+$B66)/(D$61-$B66))/(1+D$61)^$M$29-$C$48)/$C$50,"")</f>
        <v>659.45226859477</v>
      </c>
      <c r="E66" s="230">
        <f t="array" ref="E66">IFERROR((SUMPRODUCT($D$24:$M$24/(1+E$61)^$D$29:$M$29)+($M$24*(1+$B66)/(E$61-$B66))/(1+E$61)^$M$29-$C$48)/$C$50,"")</f>
        <v>575.844983369284</v>
      </c>
      <c r="F66" s="230">
        <f t="array" ref="F66">IFERROR((SUMPRODUCT($D$24:$M$24/(1+F$61)^$D$29:$M$29)+($M$24*(1+$B66)/(F$61-$B66))/(1+F$61)^$M$29-$C$48)/$C$50,"")</f>
        <v>509.528365991004</v>
      </c>
      <c r="G66" s="230">
        <f t="array" ref="G66">IFERROR((SUMPRODUCT($D$24:$M$24/(1+G$61)^$D$29:$M$29)+($M$24*(1+$B66)/(G$61-$B66))/(1+G$61)^$M$29-$C$48)/$C$50,"")</f>
        <v>455.679470566413</v>
      </c>
      <c r="H66" s="236">
        <f t="array" ref="H66">IFERROR((SUMPRODUCT($D$24:$M$24/(1+H$61)^$D$29:$M$29)+($M$24*(1+$B66)/(H$61-$B66))/(1+H$61)^$M$29-$C$48)/$C$50,"")</f>
        <v>411.115162715479</v>
      </c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</row>
    <row r="67" ht="15" customHeight="1" s="251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</row>
    <row r="68" ht="15" customHeight="1" s="251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</row>
    <row r="69" ht="15.75" customHeight="1" s="251">
      <c r="A69" s="192" t="n"/>
      <c r="B69" s="195" t="inlineStr">
        <is>
          <t>5. REVERSE DCF</t>
        </is>
      </c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2" t="n"/>
      <c r="P69" s="192" t="n"/>
      <c r="Q69" s="192" t="n"/>
    </row>
    <row r="70" ht="15" customHeight="1" s="251">
      <c r="A70" s="192" t="n"/>
      <c r="B70" s="198" t="inlineStr">
        <is>
          <t>To solve for the market-implied path: Data ▸ What-If Analysis ▸ Goal Seek — set C51 to the current price (C52) by changing C27 (terminal growth) or the fade-period growth inputs (I26:M26).</t>
        </is>
      </c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</row>
    <row r="71" ht="15" customHeight="1" s="25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</row>
    <row r="72" ht="15.75" customHeight="1" s="251">
      <c r="A72" s="192" t="n"/>
      <c r="B72" s="195" t="inlineStr">
        <is>
          <t>6. MAUBOUSSIN EV / NOPAT — TWO-STAGE FRAMEWORK</t>
        </is>
      </c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2" t="n"/>
      <c r="P72" s="192" t="n"/>
      <c r="Q72" s="192" t="n"/>
    </row>
    <row r="73" ht="15" customHeight="1" s="251">
      <c r="A73" s="192" t="n"/>
      <c r="B73" s="198" t="inlineStr">
        <is>
          <t>EV/NOPAT  =  1/r  +  [g × (1 − r/ROIIC) / (r × (r − g))] × [1 − ((1+g)/(1+r))^N]</t>
        </is>
      </c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</row>
    <row r="74" ht="15" customHeight="1" s="251">
      <c r="A74" s="192" t="n"/>
      <c r="B74" s="198" t="inlineStr">
        <is>
          <t>Formula source: Mauboussin &amp; Rappaport, "Expectations Investing" (2021); Counterpoint Global, "What Does a Price-Earnings Multiple Mean?" (2020).</t>
        </is>
      </c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</row>
    <row r="75" ht="15" customHeight="1" s="251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</row>
    <row r="76" ht="15.75" customHeight="1" s="251">
      <c r="A76" s="192" t="n"/>
      <c r="B76" s="195" t="inlineStr">
        <is>
          <t>Input</t>
        </is>
      </c>
      <c r="C76" s="207" t="inlineStr">
        <is>
          <t>Value</t>
        </is>
      </c>
      <c r="D76" s="195" t="inlineStr">
        <is>
          <t>Rationale (Microsoft characteristics)</t>
        </is>
      </c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2" t="n"/>
      <c r="P76" s="192" t="n"/>
      <c r="Q76" s="192" t="n"/>
    </row>
    <row r="77" ht="15.75" customHeight="1" s="251">
      <c r="A77" s="192" t="n"/>
      <c r="B77" s="197" t="inlineStr">
        <is>
          <t>r  (Cost of capital / WACC)</t>
        </is>
      </c>
      <c r="C77" s="238">
        <f>$C$13</f>
        <v>0.093829</v>
      </c>
      <c r="D77" s="198" t="inlineStr">
        <is>
          <t>Linked from Section 1 WACC build</t>
        </is>
      </c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</row>
    <row r="78" ht="15.75" customHeight="1" s="251">
      <c r="A78" s="192" t="n"/>
      <c r="B78" s="197" t="inlineStr">
        <is>
          <t>g  (NOPAT growth, Stage 1)</t>
        </is>
      </c>
      <c r="C78" s="239" t="n">
        <v>0.12</v>
      </c>
      <c r="D78" s="198" t="inlineStr">
        <is>
          <t>Model adjusted operating income CAGR FY2026–31E: Azure / Microsoft 365 cloud growth with margins absorbing the AI-capex depreciation ramp → ~12% NOPAT growth</t>
        </is>
      </c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</row>
    <row r="79" ht="15.75" customHeight="1" s="251">
      <c r="A79" s="192" t="n"/>
      <c r="B79" s="197" t="inlineStr">
        <is>
          <t>ROIIC  (Return on incremental invested capital)</t>
        </is>
      </c>
      <c r="C79" s="239" t="n">
        <v>0.25</v>
      </c>
      <c r="D79" s="198" t="inlineStr">
        <is>
          <t>Software and cloud platforms with high switching costs; incremental AI infrastructure returns are lower than legacy software returns (capex-heavy), so RONIC fades toward ~25%</t>
        </is>
      </c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</row>
    <row r="80" ht="15.75" customHeight="1" s="251">
      <c r="A80" s="192" t="n"/>
      <c r="B80" s="197" t="inlineStr">
        <is>
          <t>N  (Years of value creation / CAP)</t>
        </is>
      </c>
      <c r="C80" s="208" t="n">
        <v>20</v>
      </c>
      <c r="D80" s="198" t="inlineStr">
        <is>
          <t>Installed base across enterprise productivity, cloud infrastructure and developer tools sustains a long competitive-advantage period; risk from AI-capacity overbuild and pricing</t>
        </is>
      </c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</row>
    <row r="81" ht="15" customHeight="1" s="25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</row>
    <row r="82" ht="15.75" customHeight="1" s="251">
      <c r="A82" s="192" t="n"/>
      <c r="B82" s="195" t="inlineStr">
        <is>
          <t>Calculation</t>
        </is>
      </c>
      <c r="C82" s="207" t="inlineStr">
        <is>
          <t>Value</t>
        </is>
      </c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</row>
    <row r="83" ht="15.75" customHeight="1" s="251">
      <c r="A83" s="192" t="n"/>
      <c r="B83" s="197" t="inlineStr">
        <is>
          <t>Steady-state component:  1 / r</t>
        </is>
      </c>
      <c r="C83" s="240">
        <f>1/C77</f>
        <v>10.6576857901075</v>
      </c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</row>
    <row r="84" ht="15.75" customHeight="1" s="251">
      <c r="A84" s="192" t="n"/>
      <c r="B84" s="197" t="inlineStr">
        <is>
          <t>Value-creation factor: 1 − r / ROIIC</t>
        </is>
      </c>
      <c r="C84" s="241">
        <f>1-C77/C79</f>
        <v>0.624684</v>
      </c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</row>
    <row r="85" ht="15.75" customHeight="1" s="251">
      <c r="A85" s="192" t="n"/>
      <c r="B85" s="197" t="inlineStr">
        <is>
          <t>Growth multiplier: g × (1 − r/ROIIC) / (r × (r − g))</t>
        </is>
      </c>
      <c r="C85" s="241">
        <f>C78*C84/(C77*(C77-C78))</f>
        <v>-30.5270067942725</v>
      </c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</row>
    <row r="86" ht="15.75" customHeight="1" s="251">
      <c r="A86" s="192" t="n"/>
      <c r="B86" s="197" t="inlineStr">
        <is>
          <t>Time decay: 1 − ((1+g)/(1+r))^N</t>
        </is>
      </c>
      <c r="C86" s="242">
        <f>1-((1+C78)/(1+C77))^C80</f>
        <v>-0.604618467042481</v>
      </c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</row>
    <row r="87" ht="15.75" customHeight="1" s="251">
      <c r="A87" s="192" t="n"/>
      <c r="B87" s="197" t="inlineStr">
        <is>
          <t>PVGO component (growth value)</t>
        </is>
      </c>
      <c r="C87" s="240">
        <f>C85*C86</f>
        <v>18.4571920513484</v>
      </c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</row>
    <row r="88" ht="15.75" customHeight="1" s="251">
      <c r="A88" s="192" t="n"/>
      <c r="B88" s="202" t="inlineStr">
        <is>
          <t>Mauboussin EV / NOPAT (steady-state + PVGO)</t>
        </is>
      </c>
      <c r="C88" s="303">
        <f>C83+C87</f>
        <v>29.1148778414559</v>
      </c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</row>
    <row r="89" ht="15" customHeight="1" s="251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</row>
    <row r="90" ht="15.75" customHeight="1" s="251">
      <c r="A90" s="192" t="n"/>
      <c r="B90" s="195" t="inlineStr">
        <is>
          <t>VALUATION  —  Applied to FY2029E NOPAT</t>
        </is>
      </c>
      <c r="C90" s="207" t="inlineStr">
        <is>
          <t>USDm</t>
        </is>
      </c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</row>
    <row r="91" ht="15.75" customHeight="1" s="251">
      <c r="A91" s="192" t="n"/>
      <c r="B91" s="197" t="inlineStr">
        <is>
          <t>FY2029E Adj. EBIT (adjusted operating income)</t>
        </is>
      </c>
      <c r="C91" s="209">
        <f>Model!CH246-Model!CH248</f>
        <v>233435.75860592</v>
      </c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</row>
    <row r="92" ht="15.75" customHeight="1" s="251">
      <c r="A92" s="192" t="n"/>
      <c r="B92" s="197" t="inlineStr">
        <is>
          <t>Tax rate (from WACC build)</t>
        </is>
      </c>
      <c r="C92" s="210">
        <f>$C$10</f>
        <v>0.19</v>
      </c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</row>
    <row r="93" ht="15.75" customHeight="1" s="251">
      <c r="A93" s="192" t="n"/>
      <c r="B93" s="197" t="inlineStr">
        <is>
          <t>FY2029E NOPAT</t>
        </is>
      </c>
      <c r="C93" s="211">
        <f>C91*(1-C92)</f>
        <v>189082.964470795</v>
      </c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</row>
    <row r="94" ht="15.75" customHeight="1" s="251">
      <c r="A94" s="192" t="n"/>
      <c r="B94" s="197" t="inlineStr">
        <is>
          <t>× Mauboussin EV/NOPAT multiple</t>
        </is>
      </c>
      <c r="C94" s="294">
        <f>C88</f>
        <v>29.1148778414559</v>
      </c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</row>
    <row r="95" ht="15.75" customHeight="1" s="251">
      <c r="A95" s="192" t="n"/>
      <c r="B95" s="197" t="inlineStr">
        <is>
          <t>Implied Enterprise Value (FY2029E basis)</t>
        </is>
      </c>
      <c r="C95" s="211">
        <f>C93*C94</f>
        <v>5505127.41246755</v>
      </c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</row>
    <row r="96" ht="15.75" customHeight="1" s="251">
      <c r="A96" s="192" t="n"/>
      <c r="B96" s="197" t="inlineStr">
        <is>
          <t>Less: FY2028E year-end net debt incl. finance leases + NCI (Model)</t>
        </is>
      </c>
      <c r="C96" s="209">
        <f>Model!CG443+Model!CG360</f>
        <v>87531.6277582356</v>
      </c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</row>
    <row r="97" ht="15.75" customHeight="1" s="251">
      <c r="A97" s="192" t="n"/>
      <c r="B97" s="197" t="inlineStr">
        <is>
          <t>Implied Equity Value</t>
        </is>
      </c>
      <c r="C97" s="211">
        <f>C95-C96</f>
        <v>5417595.78470932</v>
      </c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</row>
    <row r="98" ht="15.75" customHeight="1" s="251">
      <c r="A98" s="192" t="n"/>
      <c r="B98" s="197" t="inlineStr">
        <is>
          <t>Diluted shares FY2029E (m, Model)</t>
        </is>
      </c>
      <c r="C98" s="212">
        <f>Model!CH450</f>
        <v>7254.5468423677</v>
      </c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</row>
    <row r="99" ht="15.75" customHeight="1" s="251">
      <c r="A99" s="192" t="n"/>
      <c r="B99" s="202" t="inlineStr">
        <is>
          <t>Implied share price FY2029 ($)</t>
        </is>
      </c>
      <c r="C99" s="213">
        <f>C97/C98</f>
        <v>746.786243500381</v>
      </c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</row>
    <row r="100" ht="15" customHeight="1" s="251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</row>
    <row r="101" ht="15.75" customHeight="1" s="251">
      <c r="A101" s="192" t="n"/>
      <c r="B101" s="197" t="inlineStr">
        <is>
          <t>Current share price ($)</t>
        </is>
      </c>
      <c r="C101" s="214">
        <f>C52</f>
        <v>541</v>
      </c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</row>
    <row r="102" ht="15.75" customHeight="1" s="251">
      <c r="A102" s="192" t="n"/>
      <c r="B102" s="199" t="inlineStr">
        <is>
          <t>Implied upside / (downside)</t>
        </is>
      </c>
      <c r="C102" s="245">
        <f>C99/C101-1</f>
        <v>0.380381226433236</v>
      </c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</row>
    <row r="103" ht="15" customHeight="1" s="251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</row>
    <row r="104" ht="15.75" customHeight="1" s="251">
      <c r="A104" s="192" t="n"/>
      <c r="B104" s="195" t="inlineStr">
        <is>
          <t>MARKET-IMPLIED EV/NOPAT TODAY</t>
        </is>
      </c>
      <c r="C104" s="207" t="inlineStr">
        <is>
          <t>USDm</t>
        </is>
      </c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</row>
    <row r="105" ht="15.75" customHeight="1" s="251">
      <c r="A105" s="192" t="n"/>
      <c r="B105" s="197" t="inlineStr">
        <is>
          <t>Current market cap (spot × diluted shares)</t>
        </is>
      </c>
      <c r="C105" s="211">
        <f>C52*C50</f>
        <v>4026663</v>
      </c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</row>
    <row r="106" ht="15.75" customHeight="1" s="251">
      <c r="A106" s="192" t="n"/>
      <c r="B106" s="197" t="inlineStr">
        <is>
          <t>Plus: FY2026A year-end net debt incl. finance leases + NCI</t>
        </is>
      </c>
      <c r="C106" s="211">
        <f>C48</f>
        <v>30045</v>
      </c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</row>
    <row r="107" ht="15.75" customHeight="1" s="251">
      <c r="A107" s="192" t="n"/>
      <c r="B107" s="197" t="inlineStr">
        <is>
          <t>Implied Enterprise Value (today)</t>
        </is>
      </c>
      <c r="C107" s="211">
        <f>C105+C106</f>
        <v>4056708</v>
      </c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</row>
    <row r="108" ht="15.75" customHeight="1" s="251">
      <c r="A108" s="192" t="n"/>
      <c r="B108" s="202" t="inlineStr">
        <is>
          <t>MSFT market-implied EV/NOPAT (on FY2029E NOPAT)</t>
        </is>
      </c>
      <c r="C108" s="304">
        <f>C107/C93</f>
        <v>21.4546456437993</v>
      </c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</row>
    <row r="109" ht="15" customHeight="1" s="251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</row>
    <row r="110" ht="15.75" customHeight="1" s="251">
      <c r="A110" s="192" t="n"/>
      <c r="B110" s="199" t="inlineStr">
        <is>
          <t>Multiple gap (Mauboussin − Market)</t>
        </is>
      </c>
      <c r="C110" s="247">
        <f>C88-C108</f>
        <v>7.66023219765665</v>
      </c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</row>
    <row r="111" ht="15.75" customHeight="1" s="251">
      <c r="A111" s="192" t="n"/>
      <c r="B111" s="197" t="inlineStr">
        <is>
          <t>Implied re-rating headroom</t>
        </is>
      </c>
      <c r="C111" s="215">
        <f>C88/C108-1</f>
        <v>0.35704305374396</v>
      </c>
      <c r="D111" s="192" t="n"/>
      <c r="E111" s="192" t="n"/>
      <c r="F111" s="192" t="n"/>
      <c r="G111" s="192" t="n"/>
      <c r="H111" s="192" t="n"/>
      <c r="I111" s="192" t="n"/>
      <c r="J111" s="192" t="n"/>
      <c r="K111" s="192" t="n"/>
      <c r="L111" s="192" t="n"/>
      <c r="M111" s="192" t="n"/>
      <c r="N111" s="192" t="n"/>
      <c r="O111" s="192" t="n"/>
      <c r="P111" s="192" t="n"/>
      <c r="Q111" s="192" t="n"/>
    </row>
    <row r="112" ht="15" customHeight="1" s="251">
      <c r="A112" s="192" t="n"/>
      <c r="B112" s="192" t="n"/>
      <c r="C112" s="192" t="n"/>
      <c r="D112" s="192" t="n"/>
      <c r="E112" s="192" t="n"/>
      <c r="F112" s="192" t="n"/>
      <c r="G112" s="192" t="n"/>
      <c r="H112" s="192" t="n"/>
      <c r="I112" s="192" t="n"/>
      <c r="J112" s="192" t="n"/>
      <c r="K112" s="192" t="n"/>
      <c r="L112" s="192" t="n"/>
      <c r="M112" s="192" t="n"/>
      <c r="N112" s="192" t="n"/>
      <c r="O112" s="192" t="n"/>
      <c r="P112" s="192" t="n"/>
      <c r="Q112" s="192" t="n"/>
    </row>
    <row r="113" ht="15" customHeight="1" s="251">
      <c r="A113" s="192" t="n"/>
      <c r="B113" s="192" t="n"/>
      <c r="C113" s="192" t="n"/>
      <c r="D113" s="192" t="n"/>
      <c r="E113" s="192" t="n"/>
      <c r="F113" s="192" t="n"/>
      <c r="G113" s="192" t="n"/>
      <c r="H113" s="192" t="n"/>
      <c r="I113" s="192" t="n"/>
      <c r="J113" s="192" t="n"/>
      <c r="K113" s="192" t="n"/>
      <c r="L113" s="192" t="n"/>
      <c r="M113" s="192" t="n"/>
      <c r="N113" s="192" t="n"/>
      <c r="O113" s="192" t="n"/>
      <c r="P113" s="192" t="n"/>
      <c r="Q113" s="192" t="n"/>
    </row>
    <row r="114" ht="15" customHeight="1" s="251">
      <c r="A114" s="192" t="n"/>
      <c r="B114" s="192" t="n"/>
      <c r="C114" s="192" t="n"/>
      <c r="D114" s="192" t="n"/>
      <c r="E114" s="192" t="n"/>
      <c r="F114" s="192" t="n"/>
      <c r="G114" s="192" t="n"/>
      <c r="H114" s="192" t="n"/>
      <c r="I114" s="192" t="n"/>
      <c r="J114" s="192" t="n"/>
      <c r="K114" s="192" t="n"/>
      <c r="L114" s="192" t="n"/>
      <c r="M114" s="192" t="n"/>
      <c r="N114" s="192" t="n"/>
      <c r="O114" s="192" t="n"/>
      <c r="P114" s="192" t="n"/>
      <c r="Q114" s="192" t="n"/>
    </row>
    <row r="115" ht="15" customHeight="1" s="251">
      <c r="A115" s="192" t="n"/>
      <c r="B115" s="192" t="n"/>
      <c r="C115" s="192" t="n"/>
      <c r="D115" s="192" t="n"/>
      <c r="E115" s="192" t="n"/>
      <c r="F115" s="192" t="n"/>
      <c r="G115" s="192" t="n"/>
      <c r="H115" s="192" t="n"/>
      <c r="I115" s="192" t="n"/>
      <c r="J115" s="192" t="n"/>
      <c r="K115" s="192" t="n"/>
      <c r="L115" s="192" t="n"/>
      <c r="M115" s="192" t="n"/>
      <c r="N115" s="192" t="n"/>
      <c r="O115" s="192" t="n"/>
      <c r="P115" s="192" t="n"/>
      <c r="Q115" s="192" t="n"/>
    </row>
    <row r="116">
      <c r="A116" s="192" t="n"/>
      <c r="B116" s="192" t="n"/>
      <c r="C116" s="192" t="n"/>
      <c r="D116" s="192" t="n"/>
      <c r="E116" s="192" t="n"/>
      <c r="F116" s="192" t="n"/>
      <c r="G116" s="192" t="n"/>
      <c r="H116" s="192" t="n"/>
      <c r="I116" s="192" t="n"/>
      <c r="J116" s="192" t="n"/>
      <c r="K116" s="192" t="n"/>
      <c r="L116" s="192" t="n"/>
      <c r="M116" s="192" t="n"/>
      <c r="N116" s="192" t="n"/>
      <c r="O116" s="192" t="n"/>
      <c r="P116" s="192" t="n"/>
      <c r="Q116" s="192" t="n"/>
    </row>
    <row r="117" ht="15" customHeight="1" s="251">
      <c r="A117" s="192" t="n"/>
      <c r="B117" s="192" t="n"/>
      <c r="C117" s="192" t="n"/>
      <c r="D117" s="192" t="n"/>
      <c r="E117" s="192" t="n"/>
      <c r="F117" s="192" t="n"/>
      <c r="G117" s="192" t="n"/>
      <c r="H117" s="192" t="n"/>
      <c r="I117" s="192" t="n"/>
      <c r="J117" s="192" t="n"/>
      <c r="K117" s="192" t="n"/>
      <c r="L117" s="192" t="n"/>
      <c r="M117" s="192" t="n"/>
      <c r="N117" s="192" t="n"/>
      <c r="O117" s="192" t="n"/>
      <c r="P117" s="192" t="n"/>
      <c r="Q117" s="192" t="n"/>
    </row>
    <row r="118" ht="15" customHeight="1" s="251">
      <c r="A118" s="192" t="n"/>
      <c r="B118" s="192" t="n"/>
      <c r="C118" s="192" t="n"/>
      <c r="D118" s="192" t="n"/>
      <c r="E118" s="192" t="n"/>
      <c r="F118" s="192" t="n"/>
      <c r="G118" s="192" t="n"/>
      <c r="H118" s="192" t="n"/>
      <c r="I118" s="192" t="n"/>
      <c r="J118" s="192" t="n"/>
      <c r="K118" s="192" t="n"/>
      <c r="L118" s="192" t="n"/>
      <c r="M118" s="192" t="n"/>
      <c r="N118" s="192" t="n"/>
      <c r="O118" s="192" t="n"/>
      <c r="P118" s="192" t="n"/>
      <c r="Q118" s="192" t="n"/>
    </row>
    <row r="119">
      <c r="A119" s="192" t="n"/>
      <c r="B119" s="192" t="n"/>
      <c r="C119" s="192" t="n"/>
      <c r="D119" s="192" t="n"/>
      <c r="E119" s="192" t="n"/>
      <c r="F119" s="192" t="n"/>
      <c r="G119" s="192" t="n"/>
      <c r="H119" s="192" t="n"/>
      <c r="I119" s="192" t="n"/>
      <c r="J119" s="192" t="n"/>
      <c r="K119" s="192" t="n"/>
      <c r="L119" s="192" t="n"/>
      <c r="M119" s="192" t="n"/>
      <c r="N119" s="192" t="n"/>
      <c r="O119" s="192" t="n"/>
      <c r="P119" s="192" t="n"/>
      <c r="Q119" s="192" t="n"/>
    </row>
    <row r="120">
      <c r="A120" s="192" t="n"/>
      <c r="B120" s="192" t="n"/>
      <c r="C120" s="192" t="n"/>
      <c r="D120" s="192" t="n"/>
      <c r="E120" s="192" t="n"/>
      <c r="F120" s="192" t="n"/>
      <c r="G120" s="192" t="n"/>
      <c r="H120" s="192" t="n"/>
      <c r="I120" s="192" t="n"/>
      <c r="J120" s="192" t="n"/>
      <c r="K120" s="192" t="n"/>
      <c r="L120" s="192" t="n"/>
      <c r="M120" s="192" t="n"/>
      <c r="N120" s="192" t="n"/>
      <c r="O120" s="192" t="n"/>
      <c r="P120" s="192" t="n"/>
      <c r="Q120" s="192" t="n"/>
    </row>
    <row r="121">
      <c r="A121" s="192" t="n"/>
      <c r="B121" s="192" t="n"/>
      <c r="C121" s="192" t="n"/>
      <c r="D121" s="192" t="n"/>
      <c r="E121" s="192" t="n"/>
      <c r="F121" s="192" t="n"/>
      <c r="G121" s="192" t="n"/>
      <c r="H121" s="192" t="n"/>
      <c r="I121" s="192" t="n"/>
      <c r="J121" s="192" t="n"/>
      <c r="K121" s="192" t="n"/>
      <c r="L121" s="192" t="n"/>
      <c r="M121" s="192" t="n"/>
      <c r="N121" s="192" t="n"/>
      <c r="O121" s="192" t="n"/>
      <c r="P121" s="192" t="n"/>
      <c r="Q121" s="192" t="n"/>
    </row>
    <row r="122">
      <c r="A122" s="192" t="n"/>
      <c r="B122" s="192" t="n"/>
      <c r="C122" s="192" t="n"/>
      <c r="D122" s="192" t="n"/>
      <c r="E122" s="192" t="n"/>
      <c r="F122" s="192" t="n"/>
      <c r="G122" s="192" t="n"/>
      <c r="H122" s="192" t="n"/>
      <c r="I122" s="192" t="n"/>
      <c r="J122" s="192" t="n"/>
      <c r="K122" s="192" t="n"/>
      <c r="L122" s="192" t="n"/>
      <c r="M122" s="192" t="n"/>
      <c r="N122" s="192" t="n"/>
      <c r="O122" s="192" t="n"/>
      <c r="P122" s="192" t="n"/>
      <c r="Q122" s="192" t="n"/>
    </row>
    <row r="123">
      <c r="A123" s="192" t="n"/>
      <c r="B123" s="192" t="n"/>
      <c r="C123" s="192" t="n"/>
      <c r="D123" s="192" t="n"/>
      <c r="E123" s="192" t="n"/>
      <c r="F123" s="192" t="n"/>
      <c r="G123" s="192" t="n"/>
      <c r="H123" s="192" t="n"/>
      <c r="I123" s="192" t="n"/>
      <c r="J123" s="192" t="n"/>
      <c r="K123" s="192" t="n"/>
      <c r="L123" s="192" t="n"/>
      <c r="M123" s="192" t="n"/>
      <c r="N123" s="192" t="n"/>
      <c r="O123" s="192" t="n"/>
      <c r="P123" s="192" t="n"/>
      <c r="Q123" s="192" t="n"/>
    </row>
    <row r="124">
      <c r="A124" s="192" t="n"/>
      <c r="B124" s="192" t="n"/>
      <c r="C124" s="192" t="n"/>
      <c r="D124" s="192" t="n"/>
      <c r="E124" s="192" t="n"/>
      <c r="F124" s="192" t="n"/>
      <c r="G124" s="192" t="n"/>
      <c r="H124" s="192" t="n"/>
      <c r="I124" s="192" t="n"/>
      <c r="J124" s="192" t="n"/>
      <c r="K124" s="192" t="n"/>
      <c r="L124" s="192" t="n"/>
      <c r="M124" s="192" t="n"/>
      <c r="N124" s="192" t="n"/>
      <c r="O124" s="192" t="n"/>
      <c r="P124" s="192" t="n"/>
      <c r="Q124" s="192" t="n"/>
    </row>
    <row r="125">
      <c r="A125" s="192" t="n"/>
      <c r="B125" s="192" t="n"/>
      <c r="C125" s="192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P125" s="192" t="n"/>
      <c r="Q125" s="192" t="n"/>
    </row>
    <row r="126">
      <c r="A126" s="192" t="n"/>
      <c r="B126" s="192" t="n"/>
      <c r="C126" s="192" t="n"/>
      <c r="D126" s="192" t="n"/>
      <c r="E126" s="192" t="n"/>
      <c r="F126" s="192" t="n"/>
      <c r="G126" s="192" t="n"/>
      <c r="H126" s="192" t="n"/>
      <c r="I126" s="192" t="n"/>
      <c r="J126" s="192" t="n"/>
      <c r="K126" s="192" t="n"/>
      <c r="L126" s="192" t="n"/>
      <c r="M126" s="192" t="n"/>
      <c r="N126" s="192" t="n"/>
      <c r="O126" s="192" t="n"/>
      <c r="P126" s="192" t="n"/>
      <c r="Q126" s="192" t="n"/>
    </row>
    <row r="127">
      <c r="A127" s="192" t="n"/>
      <c r="B127" s="192" t="n"/>
      <c r="C127" s="192" t="n"/>
      <c r="D127" s="192" t="n"/>
      <c r="E127" s="192" t="n"/>
      <c r="F127" s="192" t="n"/>
      <c r="G127" s="192" t="n"/>
      <c r="H127" s="192" t="n"/>
      <c r="I127" s="192" t="n"/>
      <c r="J127" s="192" t="n"/>
      <c r="K127" s="192" t="n"/>
      <c r="L127" s="192" t="n"/>
      <c r="M127" s="192" t="n"/>
      <c r="N127" s="192" t="n"/>
      <c r="O127" s="192" t="n"/>
      <c r="P127" s="192" t="n"/>
      <c r="Q127" s="192" t="n"/>
    </row>
    <row r="128">
      <c r="A128" s="192" t="n"/>
      <c r="B128" s="192" t="n"/>
      <c r="C128" s="192" t="n"/>
      <c r="D128" s="192" t="n"/>
      <c r="E128" s="192" t="n"/>
      <c r="F128" s="192" t="n"/>
      <c r="G128" s="192" t="n"/>
      <c r="H128" s="192" t="n"/>
      <c r="I128" s="192" t="n"/>
      <c r="J128" s="192" t="n"/>
      <c r="K128" s="192" t="n"/>
      <c r="L128" s="192" t="n"/>
      <c r="M128" s="192" t="n"/>
      <c r="N128" s="192" t="n"/>
      <c r="O128" s="192" t="n"/>
      <c r="P128" s="192" t="n"/>
      <c r="Q128" s="192" t="n"/>
    </row>
    <row r="129">
      <c r="A129" s="192" t="n"/>
      <c r="B129" s="192" t="n"/>
      <c r="C129" s="192" t="n"/>
      <c r="D129" s="192" t="n"/>
      <c r="E129" s="192" t="n"/>
      <c r="F129" s="192" t="n"/>
      <c r="G129" s="192" t="n"/>
      <c r="H129" s="192" t="n"/>
      <c r="I129" s="192" t="n"/>
      <c r="J129" s="192" t="n"/>
      <c r="K129" s="192" t="n"/>
      <c r="L129" s="192" t="n"/>
      <c r="M129" s="192" t="n"/>
      <c r="N129" s="192" t="n"/>
      <c r="O129" s="192" t="n"/>
      <c r="P129" s="192" t="n"/>
      <c r="Q129" s="192" t="n"/>
    </row>
    <row r="130">
      <c r="A130" s="192" t="n"/>
      <c r="B130" s="192" t="n"/>
      <c r="C130" s="192" t="n"/>
      <c r="D130" s="192" t="n"/>
      <c r="E130" s="192" t="n"/>
      <c r="F130" s="192" t="n"/>
      <c r="G130" s="192" t="n"/>
      <c r="H130" s="192" t="n"/>
      <c r="I130" s="192" t="n"/>
      <c r="J130" s="192" t="n"/>
      <c r="K130" s="192" t="n"/>
      <c r="L130" s="192" t="n"/>
      <c r="M130" s="192" t="n"/>
      <c r="N130" s="192" t="n"/>
      <c r="O130" s="192" t="n"/>
      <c r="P130" s="192" t="n"/>
      <c r="Q130" s="19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style="251" min="2" max="2"/>
  </cols>
  <sheetData>
    <row r="2" ht="17.25" customHeight="1" s="251">
      <c r="B2" s="107" t="inlineStr">
        <is>
          <t>Microsoft Corporation — Operating Performance (FY2012–FY2026) and Model Forecast (FY2027E–FY2031E)</t>
        </is>
      </c>
    </row>
    <row r="3" ht="15" customHeight="1" s="251">
      <c r="B3" s="4" t="inlineStr">
        <is>
          <t>USDm · fiscal years ended 30 June · Linked to Model. Bars = contribution of each FY27 segment to total revenue growth (pp; restated history FY2026 only). Adjusted EBITDA = model definition; operating income = GAAP. ROIC / RONTA on adjusted operating income.</t>
        </is>
      </c>
    </row>
    <row r="7" ht="15" customHeight="1" s="251">
      <c r="C7" s="10" t="n">
        <v>2012</v>
      </c>
      <c r="D7" s="10" t="n">
        <v>2013</v>
      </c>
      <c r="E7" s="10" t="n">
        <v>2014</v>
      </c>
      <c r="F7" s="10" t="n">
        <v>2015</v>
      </c>
      <c r="G7" s="10" t="n">
        <v>2016</v>
      </c>
      <c r="H7" s="10" t="n">
        <v>2017</v>
      </c>
      <c r="I7" s="10" t="n">
        <v>2018</v>
      </c>
      <c r="J7" s="10" t="n">
        <v>2019</v>
      </c>
      <c r="K7" s="10" t="n">
        <v>2020</v>
      </c>
      <c r="L7" s="10" t="n">
        <v>2021</v>
      </c>
      <c r="M7" s="10" t="n">
        <v>2022</v>
      </c>
      <c r="N7" s="10" t="n">
        <v>2023</v>
      </c>
      <c r="O7" s="10" t="n">
        <v>2024</v>
      </c>
      <c r="P7" s="10" t="n">
        <v>2025</v>
      </c>
      <c r="Q7" s="10" t="n">
        <v>2026</v>
      </c>
      <c r="R7" s="10" t="inlineStr">
        <is>
          <t>2027E</t>
        </is>
      </c>
      <c r="S7" s="10" t="inlineStr">
        <is>
          <t>2028E</t>
        </is>
      </c>
      <c r="T7" s="10" t="inlineStr">
        <is>
          <t>2029E</t>
        </is>
      </c>
      <c r="U7" s="10" t="inlineStr">
        <is>
          <t>2030E</t>
        </is>
      </c>
      <c r="V7" s="10" t="inlineStr">
        <is>
          <t>2031E</t>
        </is>
      </c>
    </row>
    <row r="8" ht="15" customHeight="1" s="251">
      <c r="B8" t="inlineStr">
        <is>
          <t>Agents and Infra contribution to growth (pp)</t>
        </is>
      </c>
      <c r="C8" s="108">
        <f>IFERROR(Model!I66+0,0)</f>
        <v>0</v>
      </c>
      <c r="D8" s="108">
        <f>IFERROR(Model!N66+0,0)</f>
        <v>0</v>
      </c>
      <c r="E8" s="108">
        <f>IFERROR(Model!S66+0,0)</f>
        <v>0</v>
      </c>
      <c r="F8" s="108">
        <f>IFERROR(Model!X66+0,0)</f>
        <v>0</v>
      </c>
      <c r="G8" s="108">
        <f>IFERROR(Model!AC66+0,0)</f>
        <v>0</v>
      </c>
      <c r="H8" s="108">
        <f>IFERROR(Model!AH66+0,0)</f>
        <v>0</v>
      </c>
      <c r="I8" s="108">
        <f>IFERROR(Model!AM66+0,0)</f>
        <v>0</v>
      </c>
      <c r="J8" s="108">
        <f>IFERROR(Model!AR66+0,0)</f>
        <v>0</v>
      </c>
      <c r="K8" s="108">
        <f>IFERROR(Model!AW66+0,0)</f>
        <v>0</v>
      </c>
      <c r="L8" s="108">
        <f>IFERROR(Model!BB66+0,0)</f>
        <v>0</v>
      </c>
      <c r="M8" s="108">
        <f>IFERROR(Model!BG66+0,0)</f>
        <v>0</v>
      </c>
      <c r="N8" s="108">
        <f>IFERROR(Model!BL66+0,0)</f>
        <v>0</v>
      </c>
      <c r="O8" s="108">
        <f>IFERROR(Model!BQ66+0,0)</f>
        <v>0</v>
      </c>
      <c r="P8" s="108">
        <f>IFERROR(Model!BV66+0,0)</f>
        <v>0</v>
      </c>
      <c r="Q8" s="108">
        <f>IFERROR(Model!CA66+0,0)</f>
        <v>0.175150146952336</v>
      </c>
      <c r="R8" s="108">
        <f>IFERROR(Model!CF66+0,0)</f>
        <v>0.184560545282312</v>
      </c>
      <c r="S8" s="108">
        <f>IFERROR(Model!CG66+0,0)</f>
        <v>0.163623455869353</v>
      </c>
      <c r="T8" s="108">
        <f>IFERROR(Model!CH66+0,0)</f>
        <v>0.149658484344404</v>
      </c>
      <c r="U8" s="108">
        <f>IFERROR(Model!CI66+0,0)</f>
        <v>0.131446239426128</v>
      </c>
      <c r="V8" s="108">
        <f>IFERROR(Model!CJ66+0,0)</f>
        <v>0.114982288402957</v>
      </c>
    </row>
    <row r="9" ht="15" customHeight="1" s="251">
      <c r="B9" t="inlineStr">
        <is>
          <t>Devices and Consumer contribution to growth (pp)</t>
        </is>
      </c>
      <c r="C9" s="108">
        <f>IFERROR(Model!I67+0,0)</f>
        <v>0</v>
      </c>
      <c r="D9" s="108">
        <f>IFERROR(Model!N67+0,0)</f>
        <v>0</v>
      </c>
      <c r="E9" s="108">
        <f>IFERROR(Model!S67+0,0)</f>
        <v>0</v>
      </c>
      <c r="F9" s="108">
        <f>IFERROR(Model!X67+0,0)</f>
        <v>0</v>
      </c>
      <c r="G9" s="108">
        <f>IFERROR(Model!AC67+0,0)</f>
        <v>0</v>
      </c>
      <c r="H9" s="108">
        <f>IFERROR(Model!AH67+0,0)</f>
        <v>0</v>
      </c>
      <c r="I9" s="108">
        <f>IFERROR(Model!AM67+0,0)</f>
        <v>0</v>
      </c>
      <c r="J9" s="108">
        <f>IFERROR(Model!AR67+0,0)</f>
        <v>0</v>
      </c>
      <c r="K9" s="108">
        <f>IFERROR(Model!AW67+0,0)</f>
        <v>0</v>
      </c>
      <c r="L9" s="108">
        <f>IFERROR(Model!BB67+0,0)</f>
        <v>0</v>
      </c>
      <c r="M9" s="108">
        <f>IFERROR(Model!BG67+0,0)</f>
        <v>0</v>
      </c>
      <c r="N9" s="108">
        <f>IFERROR(Model!BL67+0,0)</f>
        <v>0</v>
      </c>
      <c r="O9" s="108">
        <f>IFERROR(Model!BQ67+0,0)</f>
        <v>0</v>
      </c>
      <c r="P9" s="108">
        <f>IFERROR(Model!BV67+0,0)</f>
        <v>0</v>
      </c>
      <c r="Q9" s="108">
        <f>IFERROR(Model!CA67+0,0)</f>
        <v>0.00273672104613026</v>
      </c>
      <c r="R9" s="108">
        <f>IFERROR(Model!CF67+0,0)</f>
        <v>-0.0119547877044659</v>
      </c>
      <c r="S9" s="108">
        <f>IFERROR(Model!CG67+0,0)</f>
        <v>0.00635258018577769</v>
      </c>
      <c r="T9" s="108">
        <f>IFERROR(Model!CH67+0,0)</f>
        <v>0.0065564949778793</v>
      </c>
      <c r="U9" s="108">
        <f>IFERROR(Model!CI67+0,0)</f>
        <v>0.00546531233776934</v>
      </c>
      <c r="V9" s="108">
        <f>IFERROR(Model!CJ67+0,0)</f>
        <v>0.00508659007802382</v>
      </c>
    </row>
    <row r="11" ht="15" customHeight="1" s="251">
      <c r="C11" s="10">
        <f>C7</f>
        <v>2012</v>
      </c>
      <c r="D11" s="10">
        <f>D7</f>
        <v>2013</v>
      </c>
      <c r="E11" s="10">
        <f>E7</f>
        <v>2014</v>
      </c>
      <c r="F11" s="10">
        <f>F7</f>
        <v>2015</v>
      </c>
      <c r="G11" s="10">
        <f>G7</f>
        <v>2016</v>
      </c>
      <c r="H11" s="10">
        <f>H7</f>
        <v>2017</v>
      </c>
      <c r="I11" s="10">
        <f>I7</f>
        <v>2018</v>
      </c>
      <c r="J11" s="10">
        <f>J7</f>
        <v>2019</v>
      </c>
      <c r="K11" s="10">
        <f>K7</f>
        <v>2020</v>
      </c>
      <c r="L11" s="10">
        <f>L7</f>
        <v>2021</v>
      </c>
      <c r="M11" s="10">
        <f>M7</f>
        <v>2022</v>
      </c>
      <c r="N11" s="10">
        <f>N7</f>
        <v>2023</v>
      </c>
      <c r="O11" s="10">
        <f>O7</f>
        <v>2024</v>
      </c>
      <c r="P11" s="10">
        <f>P7</f>
        <v>2025</v>
      </c>
      <c r="Q11" s="10">
        <f>Q7</f>
        <v>2026</v>
      </c>
      <c r="R11" s="10" t="str">
        <f>R7</f>
        <v>2027E</v>
      </c>
      <c r="S11" s="10" t="str">
        <f>S7</f>
        <v>2028E</v>
      </c>
      <c r="T11" s="10" t="str">
        <f>T7</f>
        <v>2029E</v>
      </c>
      <c r="U11" s="10" t="str">
        <f>U7</f>
        <v>2030E</v>
      </c>
      <c r="V11" s="10" t="str">
        <f>V7</f>
        <v>2031E</v>
      </c>
    </row>
    <row r="12" ht="15" customHeight="1" s="251">
      <c r="B12" t="inlineStr">
        <is>
          <t>Adjusted EBITDA</t>
        </is>
      </c>
      <c r="C12" s="106">
        <f>Model!I242</f>
        <v>31463</v>
      </c>
      <c r="D12" s="106">
        <f>Model!N242</f>
        <v>30712</v>
      </c>
      <c r="E12" s="106">
        <f>Model!S242</f>
        <v>32971</v>
      </c>
      <c r="F12" s="106">
        <f>Model!X242</f>
        <v>34129</v>
      </c>
      <c r="G12" s="106">
        <f>Model!AC242</f>
        <v>34557</v>
      </c>
      <c r="H12" s="106">
        <f>Model!AH242</f>
        <v>38117</v>
      </c>
      <c r="I12" s="106">
        <f>Model!AM242</f>
        <v>45319</v>
      </c>
      <c r="J12" s="106">
        <f>Model!AR242</f>
        <v>54641</v>
      </c>
      <c r="K12" s="106">
        <f>Model!AW242</f>
        <v>65755</v>
      </c>
      <c r="L12" s="106">
        <f>Model!BB242</f>
        <v>81602</v>
      </c>
      <c r="M12" s="106">
        <f>Model!BG242</f>
        <v>97843</v>
      </c>
      <c r="N12" s="106">
        <f>Model!BL242</f>
        <v>103555</v>
      </c>
      <c r="O12" s="106">
        <f>Model!BQ242</f>
        <v>131720</v>
      </c>
      <c r="P12" s="106">
        <f>Model!BV242</f>
        <v>162681</v>
      </c>
      <c r="Q12" s="106">
        <f>Model!CA242</f>
        <v>193771</v>
      </c>
      <c r="R12" s="106">
        <f>Model!CF242</f>
        <v>236821.05459828</v>
      </c>
      <c r="S12" s="106">
        <f>Model!CG242</f>
        <v>283174.463126593</v>
      </c>
      <c r="T12" s="106">
        <f>Model!CH242</f>
        <v>335306.703392092</v>
      </c>
      <c r="U12" s="106">
        <f>Model!CI242</f>
        <v>389934.941497476</v>
      </c>
      <c r="V12" s="106">
        <f>Model!CJ242</f>
        <v>441920.381860219</v>
      </c>
    </row>
    <row r="13" ht="15" customHeight="1" s="251">
      <c r="B13" t="inlineStr">
        <is>
          <t>Operating income (GAAP)</t>
        </is>
      </c>
      <c r="C13" s="106">
        <f>Model!I190</f>
        <v>21763</v>
      </c>
      <c r="D13" s="106">
        <f>Model!N190</f>
        <v>26764</v>
      </c>
      <c r="E13" s="106">
        <f>Model!S190</f>
        <v>27759</v>
      </c>
      <c r="F13" s="106">
        <f>Model!X190</f>
        <v>18161</v>
      </c>
      <c r="G13" s="106">
        <f>Model!AC190</f>
        <v>20182</v>
      </c>
      <c r="H13" s="106">
        <f>Model!AH190</f>
        <v>22326</v>
      </c>
      <c r="I13" s="106">
        <f>Model!AM190</f>
        <v>35058</v>
      </c>
      <c r="J13" s="106">
        <f>Model!AR190</f>
        <v>42959</v>
      </c>
      <c r="K13" s="106">
        <f>Model!AW190</f>
        <v>52959</v>
      </c>
      <c r="L13" s="106">
        <f>Model!BB190</f>
        <v>69916</v>
      </c>
      <c r="M13" s="106">
        <f>Model!BG190</f>
        <v>83383</v>
      </c>
      <c r="N13" s="106">
        <f>Model!BL190</f>
        <v>88523</v>
      </c>
      <c r="O13" s="106">
        <f>Model!BQ190</f>
        <v>109433</v>
      </c>
      <c r="P13" s="106">
        <f>Model!BV190</f>
        <v>128528</v>
      </c>
      <c r="Q13" s="106">
        <f>Model!CA190</f>
        <v>155237</v>
      </c>
      <c r="R13" s="106">
        <f>Model!CF190</f>
        <v>180501.13459828</v>
      </c>
      <c r="S13" s="106">
        <f>Model!CG190</f>
        <v>202794.153812307</v>
      </c>
      <c r="T13" s="106">
        <f>Model!CH190</f>
        <v>233435.75860592</v>
      </c>
      <c r="U13" s="106">
        <f>Model!CI190</f>
        <v>269519.715244814</v>
      </c>
      <c r="V13" s="106">
        <f>Model!CJ190</f>
        <v>306218.502299503</v>
      </c>
    </row>
    <row r="14" ht="15" customHeight="1" s="251">
      <c r="B14" t="inlineStr">
        <is>
          <t>Adj. EBITDA Margin %</t>
        </is>
      </c>
      <c r="C14" s="108">
        <f>Model!I282</f>
        <v>0.42677319154131</v>
      </c>
      <c r="D14" s="108">
        <f>Model!N282</f>
        <v>0.394507315444001</v>
      </c>
      <c r="E14" s="108">
        <f>Model!S282</f>
        <v>0.379705872191448</v>
      </c>
      <c r="F14" s="108">
        <f>Model!X282</f>
        <v>0.364703996580466</v>
      </c>
      <c r="G14" s="108">
        <f>Model!AC282</f>
        <v>0.405028129395218</v>
      </c>
      <c r="H14" s="108">
        <f>Model!AH282</f>
        <v>0.423757643135075</v>
      </c>
      <c r="I14" s="108">
        <f>Model!AM282</f>
        <v>0.410646973541138</v>
      </c>
      <c r="J14" s="108">
        <f>Model!AR282</f>
        <v>0.434199756839872</v>
      </c>
      <c r="K14" s="108">
        <f>Model!AW282</f>
        <v>0.459776946474146</v>
      </c>
      <c r="L14" s="108">
        <f>Model!BB282</f>
        <v>0.485471895673695</v>
      </c>
      <c r="M14" s="108">
        <f>Model!BG282</f>
        <v>0.493483633429162</v>
      </c>
      <c r="N14" s="108">
        <f>Model!BL282</f>
        <v>0.488662907297737</v>
      </c>
      <c r="O14" s="108">
        <f>Model!BQ282</f>
        <v>0.537365067191031</v>
      </c>
      <c r="P14" s="108">
        <f>Model!BV282</f>
        <v>0.577448140733484</v>
      </c>
      <c r="Q14" s="108">
        <f>Model!CA282</f>
        <v>0.583930761604272</v>
      </c>
      <c r="R14" s="108">
        <f>Model!CF282</f>
        <v>0.608612492500509</v>
      </c>
      <c r="S14" s="108">
        <f>Model!CG282</f>
        <v>0.6218055605647</v>
      </c>
      <c r="T14" s="108">
        <f>Model!CH282</f>
        <v>0.636410019413308</v>
      </c>
      <c r="U14" s="108">
        <f>Model!CI282</f>
        <v>0.65058885671703</v>
      </c>
      <c r="V14" s="108">
        <f>Model!CJ282</f>
        <v>0.657914345018509</v>
      </c>
    </row>
    <row r="15" ht="15" customHeight="1" s="251">
      <c r="B15" t="inlineStr">
        <is>
          <t>Operating Margin %</t>
        </is>
      </c>
      <c r="C15" s="108">
        <f>Model!I283</f>
        <v>0.295199598497077</v>
      </c>
      <c r="D15" s="108">
        <f>Model!N283</f>
        <v>0.343793754576167</v>
      </c>
      <c r="E15" s="108">
        <f>Model!S283</f>
        <v>0.319682609146292</v>
      </c>
      <c r="F15" s="108">
        <f>Model!X283</f>
        <v>0.194069245565292</v>
      </c>
      <c r="G15" s="108">
        <f>Model!AC283</f>
        <v>0.236544772620722</v>
      </c>
      <c r="H15" s="108">
        <f>Model!AH283</f>
        <v>0.248204558087827</v>
      </c>
      <c r="I15" s="108">
        <f>Model!AM283</f>
        <v>0.317669445451251</v>
      </c>
      <c r="J15" s="108">
        <f>Model!AR283</f>
        <v>0.341369802054942</v>
      </c>
      <c r="K15" s="108">
        <f>Model!AW283</f>
        <v>0.370303814285215</v>
      </c>
      <c r="L15" s="108">
        <f>Model!BB283</f>
        <v>0.415948788729713</v>
      </c>
      <c r="M15" s="108">
        <f>Model!BG283</f>
        <v>0.420552781560498</v>
      </c>
      <c r="N15" s="108">
        <f>Model!BL283</f>
        <v>0.417728806361041</v>
      </c>
      <c r="O15" s="108">
        <f>Model!BQ283</f>
        <v>0.446442995732737</v>
      </c>
      <c r="P15" s="108">
        <f>Model!BV283</f>
        <v>0.456219562408599</v>
      </c>
      <c r="Q15" s="108">
        <f>Model!CA283</f>
        <v>0.467808184089272</v>
      </c>
      <c r="R15" s="108">
        <f>Model!CF283</f>
        <v>0.463874487905548</v>
      </c>
      <c r="S15" s="108">
        <f>Model!CG283</f>
        <v>0.445303333846645</v>
      </c>
      <c r="T15" s="108">
        <f>Model!CH283</f>
        <v>0.443059605320308</v>
      </c>
      <c r="U15" s="108">
        <f>Model!CI283</f>
        <v>0.449681484635452</v>
      </c>
      <c r="V15" s="108">
        <f>Model!CJ283</f>
        <v>0.455886520836348</v>
      </c>
    </row>
    <row r="17" ht="15" customHeight="1" s="251">
      <c r="C17" s="10">
        <f>C7</f>
        <v>2012</v>
      </c>
      <c r="D17" s="10">
        <f>D7</f>
        <v>2013</v>
      </c>
      <c r="E17" s="10">
        <f>E7</f>
        <v>2014</v>
      </c>
      <c r="F17" s="10">
        <f>F7</f>
        <v>2015</v>
      </c>
      <c r="G17" s="10">
        <f>G7</f>
        <v>2016</v>
      </c>
      <c r="H17" s="10">
        <f>H7</f>
        <v>2017</v>
      </c>
      <c r="I17" s="10">
        <f>I7</f>
        <v>2018</v>
      </c>
      <c r="J17" s="10">
        <f>J7</f>
        <v>2019</v>
      </c>
      <c r="K17" s="10">
        <f>K7</f>
        <v>2020</v>
      </c>
      <c r="L17" s="10">
        <f>L7</f>
        <v>2021</v>
      </c>
      <c r="M17" s="10">
        <f>M7</f>
        <v>2022</v>
      </c>
      <c r="N17" s="10">
        <f>N7</f>
        <v>2023</v>
      </c>
      <c r="O17" s="10">
        <f>O7</f>
        <v>2024</v>
      </c>
      <c r="P17" s="10">
        <f>P7</f>
        <v>2025</v>
      </c>
      <c r="Q17" s="10">
        <f>Q7</f>
        <v>2026</v>
      </c>
      <c r="R17" s="10" t="str">
        <f>R7</f>
        <v>2027E</v>
      </c>
      <c r="S17" s="10" t="str">
        <f>S7</f>
        <v>2028E</v>
      </c>
      <c r="T17" s="10" t="str">
        <f>T7</f>
        <v>2029E</v>
      </c>
      <c r="U17" s="10" t="str">
        <f>U7</f>
        <v>2030E</v>
      </c>
      <c r="V17" s="10" t="str">
        <f>V7</f>
        <v>2031E</v>
      </c>
    </row>
    <row r="18" ht="15" customHeight="1" s="251">
      <c r="B18" t="inlineStr">
        <is>
          <t>ROIC</t>
        </is>
      </c>
      <c r="C18" s="108">
        <f>IFERROR(Model!I426+0,NA())</f>
        <v>1.42316422034282</v>
      </c>
      <c r="D18" s="108">
        <f>IFERROR(Model!N426+0,NA())</f>
        <v>1.24336391378909</v>
      </c>
      <c r="E18" s="108">
        <f>IFERROR(Model!S426+0,NA())</f>
        <v>0.824311342268734</v>
      </c>
      <c r="F18" s="108">
        <f>IFERROR(Model!X426+0,NA())</f>
        <v>0.984699946043504</v>
      </c>
      <c r="G18" s="108">
        <f>IFERROR(Model!AC426+0,NA())</f>
        <v>1.90922521392624</v>
      </c>
      <c r="H18" s="108">
        <f>IFERROR(Model!AH426+0,NA())</f>
        <v>0.95483782481047</v>
      </c>
      <c r="I18" s="108">
        <f>IFERROR(Model!AM426+0,NA())</f>
        <v>0.540086051441112</v>
      </c>
      <c r="J18" s="108">
        <f>IFERROR(Model!AR426+0,NA())</f>
        <v>0.816393829658312</v>
      </c>
      <c r="K18" s="108">
        <f>IFERROR(Model!AW426+0,NA())</f>
        <v>0.809829869862395</v>
      </c>
      <c r="L18" s="108">
        <f>IFERROR(Model!BB426+0,NA())</f>
        <v>0.731700898182936</v>
      </c>
      <c r="M18" s="108">
        <f>IFERROR(Model!BG426+0,NA())</f>
        <v>0.5728616532762</v>
      </c>
      <c r="N18" s="108">
        <f>IFERROR(Model!BL426+0,NA())</f>
        <v>0.456291789566319</v>
      </c>
      <c r="O18" s="108">
        <f>IFERROR(Model!BQ426+0,NA())</f>
        <v>0.329329953605511</v>
      </c>
      <c r="P18" s="108">
        <f>IFERROR(Model!BV426+0,NA())</f>
        <v>0.313002336075236</v>
      </c>
      <c r="Q18" s="108">
        <f>IFERROR(Model!CA426+0,NA())</f>
        <v>0.264856780600053</v>
      </c>
      <c r="R18" s="108">
        <f>IFERROR(Model!CF426+0,NA())</f>
        <v>0.236689811049481</v>
      </c>
      <c r="S18" s="108">
        <f>IFERROR(Model!CG426+0,NA())</f>
        <v>0.224792561340768</v>
      </c>
      <c r="T18" s="108">
        <f>IFERROR(Model!CH426+0,NA())</f>
        <v>0.226401542326162</v>
      </c>
      <c r="U18" s="108">
        <f>IFERROR(Model!CI426+0,NA())</f>
        <v>0.237300778952323</v>
      </c>
      <c r="V18" s="108">
        <f>IFERROR(Model!CJ426+0,NA())</f>
        <v>0.249363073329592</v>
      </c>
    </row>
    <row r="19" ht="15" customHeight="1" s="251">
      <c r="B19" t="inlineStr">
        <is>
          <t>RONTA</t>
        </is>
      </c>
      <c r="C19" s="108">
        <f>IFERROR(Model!I437+0,NA())</f>
        <v>0.296855505410069</v>
      </c>
      <c r="D19" s="108">
        <f>IFERROR(Model!N437+0,NA())</f>
        <v>0.241331736332455</v>
      </c>
      <c r="E19" s="108">
        <f>IFERROR(Model!S437+0,NA())</f>
        <v>0.216678626530192</v>
      </c>
      <c r="F19" s="108">
        <f>IFERROR(Model!X437+0,NA())</f>
        <v>0.165608826972777</v>
      </c>
      <c r="G19" s="108">
        <f>IFERROR(Model!AC437+0,NA())</f>
        <v>0.189105022144116</v>
      </c>
      <c r="H19" s="108">
        <f>IFERROR(Model!AH437+0,NA())</f>
        <v>0.189986077109484</v>
      </c>
      <c r="I19" s="108">
        <f>IFERROR(Model!AM437+0,NA())</f>
        <v>0.0991624917075484</v>
      </c>
      <c r="J19" s="108">
        <f>IFERROR(Model!AR437+0,NA())</f>
        <v>0.223195941432824</v>
      </c>
      <c r="K19" s="108">
        <f>IFERROR(Model!AW437+0,NA())</f>
        <v>0.242468021641068</v>
      </c>
      <c r="L19" s="108">
        <f>IFERROR(Model!BB437+0,NA())</f>
        <v>0.307890739907305</v>
      </c>
      <c r="M19" s="108">
        <f>IFERROR(Model!BG437+0,NA())</f>
        <v>0.374054095911064</v>
      </c>
      <c r="N19" s="108">
        <f>IFERROR(Model!BL437+0,NA())</f>
        <v>0.308161714620688</v>
      </c>
      <c r="O19" s="108">
        <f>IFERROR(Model!BQ437+0,NA())</f>
        <v>0.359362223452823</v>
      </c>
      <c r="P19" s="108">
        <f>IFERROR(Model!BV437+0,NA())</f>
        <v>0.312601229946112</v>
      </c>
      <c r="Q19" s="108">
        <f>IFERROR(Model!CA437+0,NA())</f>
        <v>0.271708855185779</v>
      </c>
      <c r="R19" s="108">
        <f>IFERROR(Model!CF437+0,NA())</f>
        <v>0.242925353510908</v>
      </c>
      <c r="S19" s="108">
        <f>IFERROR(Model!CG437+0,NA())</f>
        <v>0.229951757878016</v>
      </c>
      <c r="T19" s="108">
        <f>IFERROR(Model!CH437+0,NA())</f>
        <v>0.231161653633761</v>
      </c>
      <c r="U19" s="108">
        <f>IFERROR(Model!CI437+0,NA())</f>
        <v>0.242127515003789</v>
      </c>
      <c r="V19" s="108">
        <f>IFERROR(Model!CJ437+0,NA())</f>
        <v>0.254401951425144</v>
      </c>
    </row>
    <row r="20" ht="15" customHeight="1" s="251">
      <c r="B20" t="inlineStr">
        <is>
          <t>Adj. EBITDA margin %</t>
        </is>
      </c>
      <c r="C20" s="108">
        <f>IFERROR(Model!I282+0,NA())</f>
        <v>0.42677319154131</v>
      </c>
      <c r="D20" s="108">
        <f>IFERROR(Model!N282+0,NA())</f>
        <v>0.394507315444001</v>
      </c>
      <c r="E20" s="108">
        <f>IFERROR(Model!S282+0,NA())</f>
        <v>0.379705872191448</v>
      </c>
      <c r="F20" s="108">
        <f>IFERROR(Model!X282+0,NA())</f>
        <v>0.364703996580466</v>
      </c>
      <c r="G20" s="108">
        <f>IFERROR(Model!AC282+0,NA())</f>
        <v>0.405028129395218</v>
      </c>
      <c r="H20" s="108">
        <f>IFERROR(Model!AH282+0,NA())</f>
        <v>0.423757643135075</v>
      </c>
      <c r="I20" s="108">
        <f>IFERROR(Model!AM282+0,NA())</f>
        <v>0.410646973541138</v>
      </c>
      <c r="J20" s="108">
        <f>IFERROR(Model!AR282+0,NA())</f>
        <v>0.434199756839872</v>
      </c>
      <c r="K20" s="108">
        <f>IFERROR(Model!AW282+0,NA())</f>
        <v>0.459776946474146</v>
      </c>
      <c r="L20" s="108">
        <f>IFERROR(Model!BB282+0,NA())</f>
        <v>0.485471895673695</v>
      </c>
      <c r="M20" s="108">
        <f>IFERROR(Model!BG282+0,NA())</f>
        <v>0.493483633429162</v>
      </c>
      <c r="N20" s="108">
        <f>IFERROR(Model!BL282+0,NA())</f>
        <v>0.488662907297737</v>
      </c>
      <c r="O20" s="108">
        <f>IFERROR(Model!BQ282+0,NA())</f>
        <v>0.537365067191031</v>
      </c>
      <c r="P20" s="108">
        <f>IFERROR(Model!BV282+0,NA())</f>
        <v>0.577448140733484</v>
      </c>
      <c r="Q20" s="108">
        <f>IFERROR(Model!CA282+0,NA())</f>
        <v>0.583930761604272</v>
      </c>
      <c r="R20" s="108">
        <f>IFERROR(Model!CF282+0,NA())</f>
        <v>0.608612492500509</v>
      </c>
      <c r="S20" s="108">
        <f>IFERROR(Model!CG282+0,NA())</f>
        <v>0.6218055605647</v>
      </c>
      <c r="T20" s="108">
        <f>IFERROR(Model!CH282+0,NA())</f>
        <v>0.636410019413308</v>
      </c>
      <c r="U20" s="108">
        <f>IFERROR(Model!CI282+0,NA())</f>
        <v>0.65058885671703</v>
      </c>
      <c r="V20" s="108">
        <f>IFERROR(Model!CJ282+0,NA())</f>
        <v>0.657914345018509</v>
      </c>
    </row>
    <row r="21" ht="15" customHeight="1" s="251">
      <c r="B21" t="inlineStr">
        <is>
          <t>FCF margin %</t>
        </is>
      </c>
      <c r="C21" s="108">
        <f>IFERROR(Model!I317+0,NA())</f>
        <v>0.397718486768037</v>
      </c>
      <c r="D21" s="108">
        <f>IFERROR(Model!N317+0,NA())</f>
        <v>0.315688062788218</v>
      </c>
      <c r="E21" s="108">
        <f>IFERROR(Model!S317+0,NA())</f>
        <v>0.308016537491507</v>
      </c>
      <c r="F21" s="108">
        <f>IFERROR(Model!X317+0,NA())</f>
        <v>0.247232314597136</v>
      </c>
      <c r="G21" s="108">
        <f>IFERROR(Model!AC317+0,NA())</f>
        <v>0.292803563056728</v>
      </c>
      <c r="H21" s="108">
        <f>IFERROR(Model!AH317+0,NA())</f>
        <v>0.348838243468594</v>
      </c>
      <c r="I21" s="108">
        <f>IFERROR(Model!AM317+0,NA())</f>
        <v>0.292243566509605</v>
      </c>
      <c r="J21" s="108">
        <f>IFERROR(Model!AR317+0,NA())</f>
        <v>0.304029624214299</v>
      </c>
      <c r="K21" s="108">
        <f>IFERROR(Model!AW317+0,NA())</f>
        <v>0.316288501206167</v>
      </c>
      <c r="L21" s="108">
        <f>IFERROR(Model!BB317+0,NA())</f>
        <v>0.333860834800819</v>
      </c>
      <c r="M21" s="108">
        <f>IFERROR(Model!BG317+0,NA())</f>
        <v>0.328587279971756</v>
      </c>
      <c r="N21" s="108">
        <f>IFERROR(Model!BL317+0,NA())</f>
        <v>0.280654979590874</v>
      </c>
      <c r="O21" s="108">
        <f>IFERROR(Model!BQ317+0,NA())</f>
        <v>0.302180138869624</v>
      </c>
      <c r="P21" s="108">
        <f>IFERROR(Model!BV317+0,NA())</f>
        <v>0.254188496542716</v>
      </c>
      <c r="Q21" s="108">
        <f>IFERROR(Model!CA317+0,NA())</f>
        <v>0.20186596512164</v>
      </c>
      <c r="R21" s="108">
        <f>IFERROR(Model!CF317+0,NA())</f>
        <v>0.143838382263121</v>
      </c>
      <c r="S21" s="108">
        <f>IFERROR(Model!CG317+0,NA())</f>
        <v>0.213865530474307</v>
      </c>
      <c r="T21" s="108">
        <f>IFERROR(Model!CH317+0,NA())</f>
        <v>0.267657658885562</v>
      </c>
      <c r="U21" s="108">
        <f>IFERROR(Model!CI317+0,NA())</f>
        <v>0.319299157331351</v>
      </c>
      <c r="V21" s="108">
        <f>IFERROR(Model!CJ317+0,NA())</f>
        <v>0.348109186342137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2026-10-13T10:43:06Z</dcterms:modified>
  <cp:lastModifiedBy>Payton Liske</cp:lastModifiedBy>
  <cp:revision>3</cp:revision>
</cp:coreProperties>
</file>