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17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dd\-mmm\-yy"/>
    <numFmt numFmtId="176" formatCode="0%;\(0%\);\-"/>
    <numFmt numFmtId="177" formatCode="0.0\x"/>
    <numFmt numFmtId="178" formatCode="0.0%"/>
    <numFmt numFmtId="179" formatCode="0.000"/>
    <numFmt numFmtId="180" formatCode="#,##0.00;\(#,##0.00\);\-"/>
  </numFmts>
  <fonts count="56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i val="1"/>
      <color rgb="FF666666"/>
      <sz val="12"/>
    </font>
    <font>
      <name val="Calibri"/>
      <family val="2"/>
      <b val="1"/>
      <color rgb="FF595959"/>
      <sz val="12"/>
    </font>
    <font>
      <name val="Calibri"/>
      <family val="2"/>
      <b val="1"/>
      <i val="1"/>
      <color rgb="FFC00000"/>
      <sz val="11"/>
    </font>
    <font>
      <name val="Calibri"/>
      <family val="2"/>
      <b val="1"/>
      <i val="1"/>
      <color rgb="FFC00000"/>
      <sz val="10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i val="1"/>
      <color theme="1"/>
      <sz val="11"/>
    </font>
    <font>
      <name val="Calibri"/>
      <family val="2"/>
      <i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rgb="FF0000FF"/>
      <sz val="12"/>
    </font>
    <font>
      <name val="Calibri"/>
      <color rgb="FF0000FF"/>
      <sz val="12"/>
    </font>
    <font>
      <name val="Calibri"/>
      <color rgb="FF000000"/>
      <sz val="12"/>
    </font>
    <font>
      <name val="Calibri"/>
      <color rgb="FFA6A6A6"/>
      <sz val="12"/>
    </font>
    <font>
      <name val="Calibri"/>
      <b val="1"/>
      <color rgb="FF000000"/>
      <sz val="12"/>
    </font>
    <font>
      <name val="Calibri"/>
      <b val="1"/>
      <color rgb="FF0000FF"/>
      <sz val="12"/>
    </font>
    <font>
      <name val="Calibri"/>
      <color rgb="FF000000"/>
      <sz val="11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4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0" fillId="0" borderId="0"/>
    <xf numFmtId="9" fontId="30" fillId="0" borderId="0"/>
  </cellStyleXfs>
  <cellXfs count="2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0" fontId="0" fillId="0" borderId="2" pivotButton="0" quotePrefix="0" xfId="0"/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0" fontId="18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0" fontId="0" fillId="2" borderId="2" pivotButton="0" quotePrefix="0" xfId="0"/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9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64" fontId="15" fillId="0" borderId="0" applyAlignment="1" pivotButton="0" quotePrefix="0" xfId="0">
      <alignment horizontal="right"/>
    </xf>
    <xf numFmtId="0" fontId="0" fillId="6" borderId="2" pivotButton="0" quotePrefix="0" xfId="0"/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3" fillId="0" borderId="0" pivotButton="0" quotePrefix="0" xfId="0"/>
    <xf numFmtId="4" fontId="24" fillId="2" borderId="0" pivotButton="0" quotePrefix="0" xfId="0"/>
    <xf numFmtId="175" fontId="0" fillId="0" borderId="0" pivotButton="0" quotePrefix="0" xfId="0"/>
    <xf numFmtId="0" fontId="25" fillId="6" borderId="0" pivotButton="0" quotePrefix="0" xfId="0"/>
    <xf numFmtId="0" fontId="12" fillId="0" borderId="0" pivotButton="0" quotePrefix="0" xfId="0"/>
    <xf numFmtId="0" fontId="24" fillId="3" borderId="0" pivotButton="0" quotePrefix="0" xfId="0"/>
    <xf numFmtId="0" fontId="26" fillId="5" borderId="0" pivotButton="0" quotePrefix="0" xfId="0"/>
    <xf numFmtId="0" fontId="25" fillId="0" borderId="0" pivotButton="0" quotePrefix="0" xfId="0"/>
    <xf numFmtId="167" fontId="24" fillId="9" borderId="0" pivotButton="0" quotePrefix="0" xfId="0"/>
    <xf numFmtId="167" fontId="24" fillId="2" borderId="0" pivotButton="0" quotePrefix="0" xfId="0"/>
    <xf numFmtId="176" fontId="12" fillId="10" borderId="0" pivotButton="0" quotePrefix="0" xfId="0"/>
    <xf numFmtId="0" fontId="27" fillId="0" borderId="0" pivotButton="0" quotePrefix="0" xfId="0"/>
    <xf numFmtId="176" fontId="27" fillId="9" borderId="0" pivotButton="0" quotePrefix="0" xfId="0"/>
    <xf numFmtId="176" fontId="27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7" fillId="9" borderId="0" pivotButton="0" quotePrefix="0" xfId="0"/>
    <xf numFmtId="166" fontId="27" fillId="2" borderId="0" pivotButton="0" quotePrefix="0" xfId="0"/>
    <xf numFmtId="166" fontId="27" fillId="11" borderId="0" pivotButton="0" quotePrefix="0" xfId="0"/>
    <xf numFmtId="164" fontId="24" fillId="9" borderId="0" pivotButton="0" quotePrefix="0" xfId="0"/>
    <xf numFmtId="164" fontId="24" fillId="2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77" fontId="3" fillId="12" borderId="0" pivotButton="0" quotePrefix="0" xfId="0"/>
    <xf numFmtId="167" fontId="6" fillId="5" borderId="0" pivotButton="0" quotePrefix="0" xfId="0"/>
    <xf numFmtId="176" fontId="27" fillId="0" borderId="0" pivotButton="0" quotePrefix="0" xfId="0"/>
    <xf numFmtId="176" fontId="25" fillId="6" borderId="0" pivotButton="0" quotePrefix="0" xfId="0"/>
    <xf numFmtId="168" fontId="27" fillId="9" borderId="0" pivotButton="0" quotePrefix="0" xfId="0"/>
    <xf numFmtId="168" fontId="27" fillId="2" borderId="0" pivotButton="0" quotePrefix="0" xfId="0"/>
    <xf numFmtId="166" fontId="27" fillId="0" borderId="0" pivotButton="0" quotePrefix="0" xfId="0"/>
    <xf numFmtId="173" fontId="27" fillId="9" borderId="0" pivotButton="0" quotePrefix="0" xfId="0"/>
    <xf numFmtId="173" fontId="27" fillId="2" borderId="0" pivotButton="0" quotePrefix="0" xfId="0"/>
    <xf numFmtId="167" fontId="27" fillId="0" borderId="0" pivotButton="0" quotePrefix="0" xfId="0"/>
    <xf numFmtId="173" fontId="27" fillId="0" borderId="0" pivotButton="0" quotePrefix="0" xfId="0"/>
    <xf numFmtId="167" fontId="28" fillId="0" borderId="0" pivotButton="0" quotePrefix="0" xfId="0"/>
    <xf numFmtId="0" fontId="29" fillId="0" borderId="0" pivotButton="0" quotePrefix="0" xfId="0"/>
    <xf numFmtId="166" fontId="28" fillId="0" borderId="0" pivotButton="0" quotePrefix="0" xfId="0"/>
    <xf numFmtId="0" fontId="31" fillId="5" borderId="0" pivotButton="0" quotePrefix="0" xfId="0"/>
    <xf numFmtId="0" fontId="32" fillId="0" borderId="0" pivotButton="0" quotePrefix="0" xfId="0"/>
    <xf numFmtId="175" fontId="32" fillId="0" borderId="0" pivotButton="0" quotePrefix="0" xfId="0"/>
    <xf numFmtId="167" fontId="32" fillId="0" borderId="0" pivotButton="0" quotePrefix="0" xfId="0"/>
    <xf numFmtId="166" fontId="33" fillId="0" borderId="0" pivotButton="0" quotePrefix="0" xfId="0"/>
    <xf numFmtId="0" fontId="34" fillId="0" borderId="0" pivotButton="0" quotePrefix="0" xfId="0"/>
    <xf numFmtId="166" fontId="35" fillId="0" borderId="0" pivotButton="0" quotePrefix="0" xfId="0"/>
    <xf numFmtId="178" fontId="32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67" fontId="33" fillId="0" borderId="0" pivotButton="0" quotePrefix="0" xfId="0"/>
    <xf numFmtId="0" fontId="36" fillId="0" borderId="0" pivotButton="0" quotePrefix="0" xfId="0"/>
    <xf numFmtId="166" fontId="36" fillId="0" borderId="0" pivotButton="0" quotePrefix="0" xfId="0"/>
    <xf numFmtId="166" fontId="37" fillId="0" borderId="0" pivotButton="0" quotePrefix="0" xfId="0"/>
    <xf numFmtId="166" fontId="32" fillId="0" borderId="0" pivotButton="0" quotePrefix="0" xfId="0"/>
    <xf numFmtId="164" fontId="32" fillId="0" borderId="0" pivotButton="0" quotePrefix="0" xfId="0"/>
    <xf numFmtId="4" fontId="32" fillId="0" borderId="0" pivotButton="0" quotePrefix="0" xfId="0"/>
    <xf numFmtId="178" fontId="38" fillId="0" borderId="0" pivotButton="0" quotePrefix="0" xfId="0"/>
    <xf numFmtId="3" fontId="32" fillId="0" borderId="0" pivotButton="0" quotePrefix="0" xfId="0"/>
    <xf numFmtId="3" fontId="32" fillId="3" borderId="0" pivotButton="0" quotePrefix="0" xfId="0"/>
    <xf numFmtId="177" fontId="32" fillId="0" borderId="0" pivotButton="0" quotePrefix="0" xfId="0"/>
    <xf numFmtId="0" fontId="39" fillId="5" borderId="0" pivotButton="0" quotePrefix="0" xfId="0"/>
    <xf numFmtId="0" fontId="39" fillId="7" borderId="0" pivotButton="0" quotePrefix="0" xfId="0"/>
    <xf numFmtId="0" fontId="40" fillId="0" borderId="0" pivotButton="0" quotePrefix="0" xfId="0"/>
    <xf numFmtId="10" fontId="38" fillId="2" borderId="0" pivotButton="0" quotePrefix="0" xfId="0"/>
    <xf numFmtId="0" fontId="41" fillId="0" borderId="0" pivotButton="0" quotePrefix="0" xfId="0"/>
    <xf numFmtId="2" fontId="38" fillId="2" borderId="0" pivotButton="0" quotePrefix="0" xfId="0"/>
    <xf numFmtId="10" fontId="40" fillId="0" borderId="0" pivotButton="0" quotePrefix="0" xfId="0"/>
    <xf numFmtId="0" fontId="42" fillId="0" borderId="0" pivotButton="0" quotePrefix="0" xfId="0"/>
    <xf numFmtId="10" fontId="42" fillId="6" borderId="0" pivotButton="0" quotePrefix="0" xfId="0"/>
    <xf numFmtId="167" fontId="43" fillId="0" borderId="0" pivotButton="0" quotePrefix="0" xfId="0"/>
    <xf numFmtId="0" fontId="42" fillId="6" borderId="0" pivotButton="0" quotePrefix="0" xfId="0"/>
    <xf numFmtId="167" fontId="42" fillId="6" borderId="0" pivotButton="0" quotePrefix="0" xfId="0"/>
    <xf numFmtId="178" fontId="38" fillId="2" borderId="0" pivotButton="0" quotePrefix="0" xfId="0"/>
    <xf numFmtId="178" fontId="33" fillId="2" borderId="0" pivotButton="0" quotePrefix="0" xfId="0"/>
    <xf numFmtId="178" fontId="44" fillId="3" borderId="0" pivotButton="0" quotePrefix="0" xfId="0"/>
    <xf numFmtId="0" fontId="39" fillId="5" borderId="0" applyAlignment="1" pivotButton="0" quotePrefix="0" xfId="0">
      <alignment horizontal="right"/>
    </xf>
    <xf numFmtId="4" fontId="39" fillId="5" borderId="0" pivotButton="0" quotePrefix="0" xfId="0"/>
    <xf numFmtId="178" fontId="37" fillId="0" borderId="0" pivotButton="0" quotePrefix="0" xfId="0"/>
    <xf numFmtId="10" fontId="33" fillId="0" borderId="0" pivotButton="0" quotePrefix="0" xfId="0"/>
    <xf numFmtId="1" fontId="38" fillId="2" borderId="0" pivotButton="0" quotePrefix="0" xfId="0"/>
    <xf numFmtId="177" fontId="39" fillId="5" borderId="0" pivotButton="0" quotePrefix="0" xfId="0"/>
    <xf numFmtId="0" fontId="33" fillId="0" borderId="0" applyAlignment="1" pivotButton="0" quotePrefix="0" xfId="0">
      <alignment horizontal="right"/>
    </xf>
    <xf numFmtId="178" fontId="38" fillId="13" borderId="0" pivotButton="0" quotePrefix="0" xfId="0"/>
    <xf numFmtId="4" fontId="37" fillId="0" borderId="0" pivotButton="0" quotePrefix="0" xfId="0"/>
    <xf numFmtId="1" fontId="38" fillId="13" borderId="0" pivotButton="0" quotePrefix="0" xfId="0"/>
    <xf numFmtId="0" fontId="45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166" fontId="47" fillId="2" borderId="0" applyAlignment="1" pivotButton="0" quotePrefix="0" xfId="0">
      <alignment horizontal="right"/>
    </xf>
    <xf numFmtId="167" fontId="46" fillId="2" borderId="0" applyAlignment="1" pivotButton="0" quotePrefix="0" xfId="0">
      <alignment horizontal="right"/>
    </xf>
    <xf numFmtId="166" fontId="46" fillId="2" borderId="0" applyAlignment="1" pivotButton="0" quotePrefix="0" xfId="0">
      <alignment horizontal="right"/>
    </xf>
    <xf numFmtId="9" fontId="33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164" fontId="48" fillId="0" borderId="0" applyAlignment="1" pivotButton="0" quotePrefix="0" xfId="0">
      <alignment horizontal="right"/>
    </xf>
    <xf numFmtId="164" fontId="49" fillId="2" borderId="0" applyAlignment="1" pivotButton="0" quotePrefix="0" xfId="0">
      <alignment horizontal="right"/>
    </xf>
    <xf numFmtId="166" fontId="50" fillId="0" borderId="0" applyAlignment="1" pivotButton="0" quotePrefix="0" xfId="0">
      <alignment horizontal="right"/>
    </xf>
    <xf numFmtId="166" fontId="49" fillId="2" borderId="0" applyAlignment="1" pivotButton="0" quotePrefix="0" xfId="0">
      <alignment horizontal="right"/>
    </xf>
    <xf numFmtId="164" fontId="48" fillId="0" borderId="0" pivotButton="0" quotePrefix="0" xfId="0"/>
    <xf numFmtId="168" fontId="48" fillId="0" borderId="0" pivotButton="0" quotePrefix="0" xfId="0"/>
    <xf numFmtId="167" fontId="48" fillId="0" borderId="0" pivotButton="0" quotePrefix="0" xfId="0"/>
    <xf numFmtId="164" fontId="51" fillId="0" borderId="2" applyAlignment="1" pivotButton="0" quotePrefix="0" xfId="0">
      <alignment horizontal="right"/>
    </xf>
    <xf numFmtId="164" fontId="51" fillId="2" borderId="2" applyAlignment="1" pivotButton="0" quotePrefix="0" xfId="0">
      <alignment horizontal="right"/>
    </xf>
    <xf numFmtId="166" fontId="49" fillId="0" borderId="0" applyAlignment="1" pivotButton="0" quotePrefix="0" xfId="0">
      <alignment horizontal="right"/>
    </xf>
    <xf numFmtId="166" fontId="48" fillId="0" borderId="0" pivotButton="0" quotePrefix="0" xfId="0"/>
    <xf numFmtId="177" fontId="17" fillId="0" borderId="0" pivotButton="0" quotePrefix="0" xfId="0"/>
    <xf numFmtId="164" fontId="49" fillId="0" borderId="0" applyAlignment="1" pivotButton="0" quotePrefix="0" xfId="0">
      <alignment horizontal="right"/>
    </xf>
    <xf numFmtId="164" fontId="52" fillId="2" borderId="0" applyAlignment="1" pivotButton="0" quotePrefix="0" xfId="0">
      <alignment horizontal="right"/>
    </xf>
    <xf numFmtId="166" fontId="48" fillId="0" borderId="0" applyAlignment="1" pivotButton="0" quotePrefix="0" xfId="0">
      <alignment horizontal="right"/>
    </xf>
    <xf numFmtId="167" fontId="52" fillId="2" borderId="0" applyAlignment="1" pivotButton="0" quotePrefix="0" xfId="0">
      <alignment horizontal="right"/>
    </xf>
    <xf numFmtId="167" fontId="49" fillId="2" borderId="0" applyAlignment="1" pivotButton="0" quotePrefix="0" xfId="0">
      <alignment horizontal="right"/>
    </xf>
    <xf numFmtId="173" fontId="52" fillId="2" borderId="0" applyAlignment="1" pivotButton="0" quotePrefix="0" xfId="0">
      <alignment horizontal="right"/>
    </xf>
    <xf numFmtId="166" fontId="52" fillId="2" borderId="0" applyAlignment="1" pivotButton="0" quotePrefix="0" xfId="0">
      <alignment horizontal="right"/>
    </xf>
    <xf numFmtId="167" fontId="52" fillId="2" borderId="2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0" fontId="52" fillId="2" borderId="0" applyAlignment="1" pivotButton="0" quotePrefix="0" xfId="0">
      <alignment horizontal="right"/>
    </xf>
    <xf numFmtId="164" fontId="51" fillId="6" borderId="2" applyAlignment="1" pivotButton="0" quotePrefix="0" xfId="0">
      <alignment horizontal="right"/>
    </xf>
    <xf numFmtId="164" fontId="53" fillId="2" borderId="0" pivotButton="0" quotePrefix="0" xfId="0"/>
    <xf numFmtId="168" fontId="53" fillId="2" borderId="0" pivotButton="0" quotePrefix="0" xfId="0"/>
    <xf numFmtId="164" fontId="52" fillId="6" borderId="2" applyAlignment="1" pivotButton="0" quotePrefix="0" xfId="0">
      <alignment horizontal="right"/>
    </xf>
    <xf numFmtId="168" fontId="49" fillId="0" borderId="0" applyAlignment="1" pivotButton="0" quotePrefix="0" xfId="0">
      <alignment horizontal="right"/>
    </xf>
    <xf numFmtId="168" fontId="49" fillId="2" borderId="0" applyAlignment="1" pivotButton="0" quotePrefix="0" xfId="0">
      <alignment horizontal="right"/>
    </xf>
    <xf numFmtId="168" fontId="51" fillId="6" borderId="2" applyAlignment="1" pivotButton="0" quotePrefix="0" xfId="0">
      <alignment horizontal="right"/>
    </xf>
    <xf numFmtId="168" fontId="48" fillId="0" borderId="0" applyAlignment="1" pivotButton="0" quotePrefix="0" xfId="0">
      <alignment horizontal="right"/>
    </xf>
    <xf numFmtId="168" fontId="52" fillId="2" borderId="0" applyAlignment="1" pivotButton="0" quotePrefix="0" xfId="0">
      <alignment horizontal="right"/>
    </xf>
    <xf numFmtId="0" fontId="54" fillId="0" borderId="0" pivotButton="0" quotePrefix="0" xfId="0"/>
    <xf numFmtId="164" fontId="52" fillId="0" borderId="2" applyAlignment="1" pivotButton="0" quotePrefix="0" xfId="0">
      <alignment horizontal="right"/>
    </xf>
    <xf numFmtId="173" fontId="49" fillId="0" borderId="0" applyAlignment="1" pivotButton="0" quotePrefix="0" xfId="0">
      <alignment horizontal="right"/>
    </xf>
    <xf numFmtId="173" fontId="49" fillId="2" borderId="0" applyAlignment="1" pivotButton="0" quotePrefix="0" xfId="0">
      <alignment horizontal="right"/>
    </xf>
    <xf numFmtId="180" fontId="49" fillId="2" borderId="0" applyAlignment="1" pivotButton="0" quotePrefix="0" xfId="0">
      <alignment horizontal="right"/>
    </xf>
    <xf numFmtId="180" fontId="52" fillId="2" borderId="0" applyAlignment="1" pivotButton="0" quotePrefix="0" xfId="0">
      <alignment horizontal="right"/>
    </xf>
    <xf numFmtId="174" fontId="49" fillId="0" borderId="0" applyAlignment="1" pivotButton="0" quotePrefix="0" xfId="0">
      <alignment horizontal="right"/>
    </xf>
    <xf numFmtId="174" fontId="52" fillId="2" borderId="0" applyAlignment="1" pivotButton="0" quotePrefix="0" xfId="0">
      <alignment horizontal="right"/>
    </xf>
    <xf numFmtId="0" fontId="55" fillId="0" borderId="0" pivotButton="0" quotePrefix="0" xfId="0"/>
    <xf numFmtId="177" fontId="49" fillId="2" borderId="0" applyAlignment="1" pivotButton="0" quotePrefix="0" xfId="0">
      <alignment horizontal="right"/>
    </xf>
    <xf numFmtId="166" fontId="51" fillId="6" borderId="2" applyAlignment="1" pivotButton="0" quotePrefix="0" xfId="0">
      <alignment horizontal="right"/>
    </xf>
    <xf numFmtId="173" fontId="51" fillId="6" borderId="2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Net Sales Growth: Organic vs. Acquisitions,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Charts!$C$8:$U$8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Charts!$C$9:$U$9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Charts!$C$12:$U$12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Charts!$C$13:$U$13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Charts!$C$14:$U$14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Charts!$C$15:$U$15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Charts!$C$18:$U$18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Charts!$C$19:$U$19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Charts!$C$20:$U$20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Charts!$C$7:$U$7</c:f>
            </c:numRef>
          </c:cat>
          <c:val>
            <c:numRef>
              <c:f>Charts!$C$21:$U$21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LOAR model</author>
  </authors>
  <commentList>
    <comment ref="AP2" authorId="0" shapeId="0">
      <text>
        <t>Scenario toggle. Choose Bull / Base / Bear. Drives: FY26 sales and Adjusted EBITDA outlook end-points (high / mid / low), 2027E–2030E end-market OEM / aftermarket growth, Adjusted EBITDA margin, M&amp;A spend and the leverage floor for 2027E+ buybacks (scenario table AX:BB).</t>
      </text>
    </comment>
    <comment ref="B11" authorId="0" shapeId="0">
      <text>
        <t>Source: Loar earnings releases (Form 8-K Ex. 99.1) — Table 5 "Sales by End-Market" (from Q2-24; Q1-24 / 2023 quarters from comparatives); FY2022–23 from the IPO prospectus (424B4) revenue note.</t>
      </text>
    </comment>
    <comment ref="B68" authorId="0" shapeId="0">
      <text>
        <t>Source: Loar earnings releases (Form 8-K Ex. 99.1) — narrative "Organically, net sales increased …" (quarter and year-to-date); FY2023 from the prospectus MD&amp;A.</t>
      </text>
    </comment>
    <comment ref="B113" authorId="0" shapeId="0">
      <text>
        <t>Source: Loar earnings releases (Form 8-K Ex. 99.1) — Table 4 EBITDA reconciliation; prospectus reconciliations before 2024.</t>
      </text>
    </comment>
    <comment ref="B127" authorId="0" shapeId="0">
      <text>
        <t>Source: release Table 2 (Q1-24+); FY2022–23 audited statements, Q1/22–Q4/23 quarterly results and FY2012–21 EBITDA reconciliation from the IPO prospectus (424B4, 26-Apr-2024). FY2017 = predecessor (1-Jan–1-Oct-2017) + successor (2-Oct–31-Dec-2017) as presented.</t>
      </text>
    </comment>
    <comment ref="B147" authorId="0" shapeId="0">
      <text>
        <t>Source: Loar earnings releases (Form 8-K Ex. 99.1) — Table 6 / Table 2. Pre-IPO (to Q1-24) Loar Holdings, LLC reported 204 common units — per-share data not meaningful.</t>
      </text>
    </comment>
    <comment ref="B176" authorId="0" shapeId="0">
      <text>
        <t>Source: Loar earnings releases (Form 8-K Ex. 99.1) — Table 4 "Reconciliation of Net income to EBITDA and Adjusted EBITDA"; prospectus annual (FY2012–23) and quarterly (Q1/22–Q4/23) reconciliations.</t>
      </text>
    </comment>
    <comment ref="C178" authorId="0" shapeId="0">
      <text>
        <t>Loss on extinguishment of debt (2016–17), FX gain (2017) and insurance gain (2015) sit between net income and operating income.</t>
      </text>
    </comment>
    <comment ref="B201" authorId="0" shapeId="0">
      <text>
        <t>Source: Loar earnings releases (Form 8-K Ex. 99.1) — Table 6 tax adjustment ("tax effect of the adjustments at the applicable effective tax rate", excluding the effect of transaction expenses and SBC).</t>
      </text>
    </comment>
    <comment ref="B205" authorId="0" shapeId="0">
      <text>
        <t>Source: Loar earnings releases (Form 8-K Ex. 99.1) — Table 6 (current definition, from the Q1-26 release: Q1-25 / Q2-25 restated as comparatives).</t>
      </text>
    </comment>
    <comment ref="X210" authorId="0" shapeId="0">
      <text>
        <t>Shown here on the current definition (model); the prior-definition figures and their checks are in the memo rows below.</t>
      </text>
    </comment>
    <comment ref="B215" authorId="0" shapeId="0">
      <text>
        <t>Source: Loar earnings releases (Form 8-K Ex. 99.1) — Table 6 as originally reported (Q2-24 – Q4-25; FY2024, FY2025).</t>
      </text>
    </comment>
    <comment ref="B236" authorId="0" shapeId="0">
      <text>
        <t>Source: release Table 3 / prospectus cash-flow statements (year-to-date; discrete quarters derived; Q4 = FY − 9M). 2022 quarters: prospectus "Other data".</t>
      </text>
    </comment>
    <comment ref="B283" authorId="0" shapeId="0">
      <text>
        <t>Source: release Table 1 (quarter ends from Q1-24); prospectus balance sheets at 31-Dec-2022 / 2023.</t>
      </text>
    </comment>
    <comment ref="B328" authorId="0" shapeId="0">
      <text>
        <t>Source: prospectus Note 2 (SCHROTH); FY2025 10-K Note 2 (DAC / CAV, AAI, Beadlight); Q2-26 10-Q Note 2 (LMB, Harper).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N26" authorId="0" shapeId="0">
      <text>
        <t>P/E on adjusted EPS (continuing operations). MLM has traded at ~25–35x NTM EPS over 2019–26 (≈28x 2027E adjusted EPS at $518.70). Base 26x, Bull 30x, Bear 21x applied to 2028E–2030E.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B407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X421" sqref="X421"/>
    </sheetView>
  </sheetViews>
  <sheetFormatPr baseColWidth="8" defaultColWidth="8.5703125" defaultRowHeight="15" outlineLevelRow="2"/>
  <cols>
    <col width="2.42578125" customWidth="1" min="1" max="1"/>
    <col width="6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hidden="1" outlineLevel="1" width="9.5703125" customWidth="1" min="13" max="13"/>
    <col hidden="1" outlineLevel="1" width="9.5703125" customWidth="1" min="14" max="14"/>
    <col hidden="1" outlineLevel="1" width="9.5703125" customWidth="1" min="15" max="15"/>
    <col hidden="1" outlineLevel="1" width="9.5703125" customWidth="1" min="16" max="16"/>
    <col width="13" customWidth="1" min="17" max="17"/>
    <col hidden="1" outlineLevel="1" width="9.5703125" customWidth="1" min="18" max="18"/>
    <col hidden="1" outlineLevel="1" width="9.5703125" customWidth="1" min="19" max="19"/>
    <col hidden="1" outlineLevel="1" width="9.5703125" customWidth="1" min="20" max="20"/>
    <col hidden="1" outlineLevel="1" width="9.5703125" customWidth="1" min="21" max="21"/>
    <col width="13" customWidth="1" min="22" max="22"/>
    <col hidden="1" outlineLevel="1" width="9.5703125" customWidth="1" min="23" max="23"/>
    <col hidden="1" outlineLevel="1" width="9.5703125" customWidth="1" min="24" max="24"/>
    <col hidden="1" outlineLevel="1" width="9.5703125" customWidth="1" min="25" max="25"/>
    <col hidden="1" outlineLevel="1" width="9.5703125" customWidth="1" min="26" max="26"/>
    <col width="13" customWidth="1" min="27" max="27"/>
    <col hidden="1" outlineLevel="1" width="9.5703125" customWidth="1" min="28" max="28"/>
    <col hidden="1" outlineLevel="1" width="9.5703125" customWidth="1" min="29" max="29"/>
    <col hidden="1" outlineLevel="1" width="9.5703125" customWidth="1" min="30" max="30"/>
    <col hidden="1" outlineLevel="1" width="9.5703125" customWidth="1" min="31" max="31"/>
    <col width="13" customWidth="1" min="32" max="32"/>
    <col hidden="1" outlineLevel="1" width="9.5703125" customWidth="1" min="33" max="33"/>
    <col hidden="1" outlineLevel="1" width="9.5703125" customWidth="1" min="34" max="34"/>
    <col hidden="1" outlineLevel="1" width="11.42578125" customWidth="1" min="35" max="35"/>
    <col hidden="1" outlineLevel="1" width="11.42578125" customWidth="1" min="36" max="36"/>
    <col width="14.140625" customWidth="1" min="37" max="37"/>
    <col width="13" customWidth="1" min="38" max="38"/>
    <col width="13" customWidth="1" min="39" max="39"/>
    <col width="13" customWidth="1" min="40" max="40"/>
    <col width="13" customWidth="1" min="41" max="41"/>
    <col width="86.85546875" customWidth="1" min="42" max="42"/>
    <col width="2" customWidth="1" min="43" max="43"/>
    <col width="14.140625" customWidth="1" min="44" max="44"/>
    <col width="12.42578125" customWidth="1" min="45" max="45"/>
    <col width="13.42578125" customWidth="1" min="46" max="46"/>
    <col width="13" customWidth="1" min="47" max="47"/>
    <col width="2" customWidth="1" min="48" max="48"/>
    <col width="6" customWidth="1" min="49" max="49"/>
    <col width="46" customWidth="1" min="50" max="50"/>
    <col width="11.5703125" customWidth="1" min="51" max="51"/>
    <col width="13" customWidth="1" min="52" max="52"/>
    <col width="13" customWidth="1" min="53" max="53"/>
    <col width="60" customWidth="1" min="54" max="54"/>
  </cols>
  <sheetData>
    <row r="1" ht="15" customHeight="1">
      <c r="AP1" s="1" t="inlineStr">
        <is>
          <t>SCENARIO SWITCH ▼ (Bull / Base / Bear) — drives all scenario-linked forecast drivers</t>
        </is>
      </c>
    </row>
    <row r="2" ht="21" customHeight="1">
      <c r="B2" s="2" t="inlineStr">
        <is>
          <t>Loar Holdings Inc. (NYSE: LOAR) — 3-Statement Financial Model</t>
        </is>
      </c>
      <c r="AP2" s="3" t="inlineStr">
        <is>
          <t>Base</t>
        </is>
      </c>
    </row>
    <row r="3" ht="15" customHeight="1">
      <c r="B3" s="4" t="inlineStr">
        <is>
          <t>US GAAP as reported · USD millions (per-share data in USD; shares in millions) · Source: Loar Forms 10-K / 10-Q, Form 8-K earnings releases (Ex. 99.1), deal 8-Ks and the IPO prospectus (424B4, 26-Apr-2024), SEC EDGAR CIK 0002000178 (investor-relations releases at ir.loargroup.com are the same documents as filed on EDGAR)</t>
        </is>
      </c>
    </row>
    <row r="4" ht="15" customHeight="1">
      <c r="B4" s="5" t="inlineStr">
        <is>
          <t>Basis notes: calendar fiscal year; single reportable segment; all periods as originally reported. FY2012–21: prospectus net income → Adjusted EBITDA reconciliation only (FY2017 = predecessor Jan–Oct + successor Oct–Dec: acquisition of Loar Group Inc. by Loar Holdings, LLC, 2-Oct-2017). Loar Holdings, LLC to the IPO (29-Apr-2024; follow-on Dec-2024) — per-share data from Q2-24. Acquisitions: SCHROTH Jul-22, DAC Jul-23, CAV Sep-23, Applied Avionics Aug-24, Beadlight Jul-25, LMB Dec-25, Harper Engineering Jan-26. Adjusted EPS on the current definition (adds back amortization of acquired intangibles, from Q1-26) for all periods. Q3/26E–Q4/26E calibrated to FY26 sales and Adjusted EBITDA guidance.</t>
        </is>
      </c>
    </row>
    <row r="5" ht="15" customHeight="1">
      <c r="AI5" s="6" t="n"/>
      <c r="AJ5" s="6" t="n"/>
      <c r="AK5" s="6" t="n"/>
      <c r="AL5" s="6" t="n"/>
      <c r="AM5" s="6" t="n"/>
      <c r="AN5" s="6" t="n"/>
      <c r="AO5" s="6" t="n"/>
      <c r="AR5" s="7" t="inlineStr">
        <is>
          <t>Forecast</t>
        </is>
      </c>
      <c r="AS5" s="7" t="inlineStr">
        <is>
          <t>Historical</t>
        </is>
      </c>
      <c r="AT5" s="7" t="inlineStr">
        <is>
          <t>Historical</t>
        </is>
      </c>
      <c r="AU5" s="7" t="inlineStr">
        <is>
          <t>Historical</t>
        </is>
      </c>
    </row>
    <row r="6" ht="15" customHeight="1">
      <c r="B6" s="8" t="inlineStr">
        <is>
          <t>(USDm)</t>
        </is>
      </c>
      <c r="C6" s="9" t="n">
        <v>2012</v>
      </c>
      <c r="D6" s="9" t="n">
        <v>2013</v>
      </c>
      <c r="E6" s="9" t="n">
        <v>2014</v>
      </c>
      <c r="F6" s="9" t="n">
        <v>2015</v>
      </c>
      <c r="G6" s="9" t="n">
        <v>2016</v>
      </c>
      <c r="H6" s="9" t="n">
        <v>2017</v>
      </c>
      <c r="I6" s="9" t="n">
        <v>2018</v>
      </c>
      <c r="J6" s="9" t="n">
        <v>2019</v>
      </c>
      <c r="K6" s="9" t="n">
        <v>2020</v>
      </c>
      <c r="L6" s="9" t="n">
        <v>2021</v>
      </c>
      <c r="M6" s="9" t="inlineStr">
        <is>
          <t>Q1/22</t>
        </is>
      </c>
      <c r="N6" s="9" t="inlineStr">
        <is>
          <t>Q2/22</t>
        </is>
      </c>
      <c r="O6" s="9" t="inlineStr">
        <is>
          <t>Q3/22</t>
        </is>
      </c>
      <c r="P6" s="9" t="inlineStr">
        <is>
          <t>Q4/22</t>
        </is>
      </c>
      <c r="Q6" s="9" t="n">
        <v>2022</v>
      </c>
      <c r="R6" s="9" t="inlineStr">
        <is>
          <t>Q1/23</t>
        </is>
      </c>
      <c r="S6" s="9" t="inlineStr">
        <is>
          <t>Q2/23</t>
        </is>
      </c>
      <c r="T6" s="9" t="inlineStr">
        <is>
          <t>Q3/23</t>
        </is>
      </c>
      <c r="U6" s="9" t="inlineStr">
        <is>
          <t>Q4/23</t>
        </is>
      </c>
      <c r="V6" s="9" t="n">
        <v>2023</v>
      </c>
      <c r="W6" s="9" t="inlineStr">
        <is>
          <t>Q1/24</t>
        </is>
      </c>
      <c r="X6" s="9" t="inlineStr">
        <is>
          <t>Q2/24</t>
        </is>
      </c>
      <c r="Y6" s="9" t="inlineStr">
        <is>
          <t>Q3/24</t>
        </is>
      </c>
      <c r="Z6" s="9" t="inlineStr">
        <is>
          <t>Q4/24</t>
        </is>
      </c>
      <c r="AA6" s="9" t="n">
        <v>2024</v>
      </c>
      <c r="AB6" s="9" t="inlineStr">
        <is>
          <t>Q1/25</t>
        </is>
      </c>
      <c r="AC6" s="9" t="inlineStr">
        <is>
          <t>Q2/25</t>
        </is>
      </c>
      <c r="AD6" s="9" t="inlineStr">
        <is>
          <t>Q3/25</t>
        </is>
      </c>
      <c r="AE6" s="9" t="inlineStr">
        <is>
          <t>Q4/25</t>
        </is>
      </c>
      <c r="AF6" s="9" t="n">
        <v>2025</v>
      </c>
      <c r="AG6" s="9" t="inlineStr">
        <is>
          <t>Q1/26</t>
        </is>
      </c>
      <c r="AH6" s="9" t="inlineStr">
        <is>
          <t>Q2/26</t>
        </is>
      </c>
      <c r="AI6" s="9" t="inlineStr">
        <is>
          <t>Q3/26E</t>
        </is>
      </c>
      <c r="AJ6" s="9" t="inlineStr">
        <is>
          <t>Q4/26E</t>
        </is>
      </c>
      <c r="AK6" s="9" t="inlineStr">
        <is>
          <t>2026E</t>
        </is>
      </c>
      <c r="AL6" s="9" t="inlineStr">
        <is>
          <t>2027E</t>
        </is>
      </c>
      <c r="AM6" s="9" t="inlineStr">
        <is>
          <t>2028E</t>
        </is>
      </c>
      <c r="AN6" s="9" t="inlineStr">
        <is>
          <t>2029E</t>
        </is>
      </c>
      <c r="AO6" s="9" t="inlineStr">
        <is>
          <t>2030E</t>
        </is>
      </c>
      <c r="AP6" s="9" t="inlineStr">
        <is>
          <t>Modelling Notes</t>
        </is>
      </c>
      <c r="AR6" s="7" t="inlineStr">
        <is>
          <t>5Y CAGR</t>
        </is>
      </c>
      <c r="AS6" s="7" t="inlineStr">
        <is>
          <t>5Y CAGR</t>
        </is>
      </c>
      <c r="AT6" s="7" t="inlineStr">
        <is>
          <t>10Y CAGR</t>
        </is>
      </c>
      <c r="AU6" s="7" t="inlineStr">
        <is>
          <t>13Y CAGR</t>
        </is>
      </c>
    </row>
    <row r="7" ht="15" customHeight="1">
      <c r="AR7" s="10" t="inlineStr">
        <is>
          <t>25-'30</t>
        </is>
      </c>
      <c r="AS7" s="10" t="inlineStr">
        <is>
          <t>20-'25</t>
        </is>
      </c>
      <c r="AT7" s="10" t="inlineStr">
        <is>
          <t>15-'25</t>
        </is>
      </c>
      <c r="AU7" s="10" t="inlineStr">
        <is>
          <t>12-'25</t>
        </is>
      </c>
    </row>
    <row r="8" ht="15" customHeight="1">
      <c r="B8" s="11" t="inlineStr">
        <is>
          <t>END-MARKET P&amp;L — COMMERCIAL AEROSPACE · BUSINESS JET &amp; GA · DEFENSE · OTHER (OEM × aftermarket build)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inlineStr">
        <is>
          <t>END-MARKET BUILD — modelling logic (OEM / aftermarket net sales by end market → net sales × Adjusted EBITDA margin → Adjusted EBITDA → GAAP P&amp;L)</t>
        </is>
      </c>
    </row>
    <row r="9" ht="15" customHeight="1">
      <c r="AX9" s="12" t="inlineStr">
        <is>
          <t>SCENARIO INPUT TABLE — driver assumptions per Bull / Base / Bear</t>
        </is>
      </c>
      <c r="AY9" s="13" t="inlineStr">
        <is>
          <t>Bull</t>
        </is>
      </c>
      <c r="AZ9" s="13" t="inlineStr">
        <is>
          <t>Base</t>
        </is>
      </c>
      <c r="BA9" s="13" t="inlineStr">
        <is>
          <t>Bear</t>
        </is>
      </c>
      <c r="BB9" s="14" t="inlineStr">
        <is>
          <t>Bull / Bear = Base + Δ (Δ inputs on each block header). Outlook block = high / mid / low end of the FY26 guidance ranges.</t>
        </is>
      </c>
    </row>
    <row r="10" ht="15" customHeight="1">
      <c r="B10" s="15" t="inlineStr">
        <is>
          <t>Commercial aerospace (seat-belt &amp; airbag restraints, interiors latches, fluid &amp; ice protection, avionics interface)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6" t="inlineStr">
        <is>
          <t>COMMERCIAL AEROSPACE — modelling logic</t>
        </is>
      </c>
    </row>
    <row r="11" ht="15" customHeight="1">
      <c r="B11" s="26" t="inlineStr">
        <is>
          <t xml:space="preserve">  OEM net sales</t>
        </is>
      </c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174" t="n">
        <v>40.792</v>
      </c>
      <c r="R11" s="174" t="n">
        <v>12.211</v>
      </c>
      <c r="S11" s="174" t="n">
        <v>13.702</v>
      </c>
      <c r="T11" s="174" t="n">
        <v>14.574</v>
      </c>
      <c r="U11" s="174" t="n">
        <v>14.239</v>
      </c>
      <c r="V11" s="174" t="n">
        <v>54.726</v>
      </c>
      <c r="W11" s="174" t="n">
        <v>16.193</v>
      </c>
      <c r="X11" s="174" t="n">
        <v>14.299</v>
      </c>
      <c r="Y11" s="174" t="n">
        <v>15.824</v>
      </c>
      <c r="Z11" s="174" t="n">
        <v>18.695</v>
      </c>
      <c r="AA11" s="174" t="n">
        <v>65.011</v>
      </c>
      <c r="AB11" s="174" t="n">
        <v>16.064</v>
      </c>
      <c r="AC11" s="174" t="n">
        <v>19.44</v>
      </c>
      <c r="AD11" s="174" t="n">
        <v>20.659</v>
      </c>
      <c r="AE11" s="174" t="n">
        <v>21.228</v>
      </c>
      <c r="AF11" s="174" t="n">
        <v>77.39100000000001</v>
      </c>
      <c r="AG11" s="174" t="n">
        <v>31.521</v>
      </c>
      <c r="AH11" s="174" t="n">
        <v>37.16</v>
      </c>
      <c r="AI11" s="175">
        <f>AD11*(1+AI12)</f>
        <v/>
      </c>
      <c r="AJ11" s="175">
        <f>AE11*(1+AJ12)</f>
        <v/>
      </c>
      <c r="AK11" s="175">
        <f>SUM(AG11,AH11,AI11,AJ11)</f>
        <v/>
      </c>
      <c r="AL11" s="175">
        <f>AK11*(1+AL12)</f>
        <v/>
      </c>
      <c r="AM11" s="175">
        <f>AL11*(1+AM12)</f>
        <v/>
      </c>
      <c r="AN11" s="175">
        <f>AM11*(1+AN12)</f>
        <v/>
      </c>
      <c r="AO11" s="175">
        <f>AN11*(1+AO12)</f>
        <v/>
      </c>
      <c r="AP11" s="20" t="inlineStr">
        <is>
          <t>End-market sales as published (release Table 5; FY2022-23 prospectus note; Q1-23 = 1H-23 − Q2-23). Not published before 2022 or for 2022 quarters. Q3/Q4-26E: prior-year quarter × (1 + growth). 2027E+: prior year × (1 + scenario lever).</t>
        </is>
      </c>
      <c r="AX11" s="16" t="inlineStr">
        <is>
          <t>FY26 outlook — Q2-26 release (6-Aug-26)</t>
        </is>
      </c>
      <c r="AY11" s="22" t="inlineStr">
        <is>
          <t>High</t>
        </is>
      </c>
      <c r="AZ11" s="22" t="inlineStr">
        <is>
          <t>Mid</t>
        </is>
      </c>
      <c r="BA11" s="22" t="inlineStr">
        <is>
          <t>Low</t>
        </is>
      </c>
      <c r="BB11" s="14" t="inlineStr">
        <is>
          <t>Raised in the Q2-26 release (from $645–655m sales / $257–262m Adjusted EBITDA / $1.26–1.30 Adjusted EPS in Q1-26). Includes LMB (Dec-25) and Harper Engineering (Jan-26).</t>
        </is>
      </c>
    </row>
    <row r="12" ht="15" customHeight="1">
      <c r="B12" s="23" t="inlineStr">
        <is>
          <t xml:space="preserve">    y/y %</t>
        </is>
      </c>
      <c r="C12" s="24" t="n"/>
      <c r="D12" s="176">
        <f>IF(AND(ISNUMBER(D11),ISNUMBER(C11)),IFERROR(D11/C11-1,""),"")</f>
        <v/>
      </c>
      <c r="E12" s="176">
        <f>IF(AND(ISNUMBER(E11),ISNUMBER(D11)),IFERROR(E11/D11-1,""),"")</f>
        <v/>
      </c>
      <c r="F12" s="176">
        <f>IF(AND(ISNUMBER(F11),ISNUMBER(E11)),IFERROR(F11/E11-1,""),"")</f>
        <v/>
      </c>
      <c r="G12" s="176">
        <f>IF(AND(ISNUMBER(G11),ISNUMBER(F11)),IFERROR(G11/F11-1,""),"")</f>
        <v/>
      </c>
      <c r="H12" s="176">
        <f>IF(AND(ISNUMBER(H11),ISNUMBER(G11)),IFERROR(H11/G11-1,""),"")</f>
        <v/>
      </c>
      <c r="I12" s="176">
        <f>IF(AND(ISNUMBER(I11),ISNUMBER(H11)),IFERROR(I11/H11-1,""),"")</f>
        <v/>
      </c>
      <c r="J12" s="176">
        <f>IF(AND(ISNUMBER(J11),ISNUMBER(I11)),IFERROR(J11/I11-1,""),"")</f>
        <v/>
      </c>
      <c r="K12" s="176">
        <f>IF(AND(ISNUMBER(K11),ISNUMBER(J11)),IFERROR(K11/J11-1,""),"")</f>
        <v/>
      </c>
      <c r="L12" s="176">
        <f>IF(AND(ISNUMBER(L11),ISNUMBER(K11)),IFERROR(L11/K11-1,""),"")</f>
        <v/>
      </c>
      <c r="M12" s="24" t="n"/>
      <c r="N12" s="24" t="n"/>
      <c r="O12" s="24" t="n"/>
      <c r="P12" s="24" t="n"/>
      <c r="Q12" s="176">
        <f>IF(AND(ISNUMBER(Q11),ISNUMBER(L11)),IFERROR(Q11/L11-1,""),"")</f>
        <v/>
      </c>
      <c r="R12" s="176">
        <f>IF(AND(ISNUMBER(R11),ISNUMBER(M11)),IFERROR(R11/M11-1,""),"")</f>
        <v/>
      </c>
      <c r="S12" s="176">
        <f>IF(AND(ISNUMBER(S11),ISNUMBER(N11)),IFERROR(S11/N11-1,""),"")</f>
        <v/>
      </c>
      <c r="T12" s="176">
        <f>IF(AND(ISNUMBER(T11),ISNUMBER(O11)),IFERROR(T11/O11-1,""),"")</f>
        <v/>
      </c>
      <c r="U12" s="176">
        <f>IF(AND(ISNUMBER(U11),ISNUMBER(P11)),IFERROR(U11/P11-1,""),"")</f>
        <v/>
      </c>
      <c r="V12" s="176">
        <f>IF(AND(ISNUMBER(V11),ISNUMBER(Q11)),IFERROR(V11/Q11-1,""),"")</f>
        <v/>
      </c>
      <c r="W12" s="176">
        <f>IF(AND(ISNUMBER(W11),ISNUMBER(R11)),IFERROR(W11/R11-1,""),"")</f>
        <v/>
      </c>
      <c r="X12" s="176">
        <f>IF(AND(ISNUMBER(X11),ISNUMBER(S11)),IFERROR(X11/S11-1,""),"")</f>
        <v/>
      </c>
      <c r="Y12" s="176">
        <f>IF(AND(ISNUMBER(Y11),ISNUMBER(T11)),IFERROR(Y11/T11-1,""),"")</f>
        <v/>
      </c>
      <c r="Z12" s="176">
        <f>IF(AND(ISNUMBER(Z11),ISNUMBER(U11)),IFERROR(Z11/U11-1,""),"")</f>
        <v/>
      </c>
      <c r="AA12" s="176">
        <f>IF(AND(ISNUMBER(AA11),ISNUMBER(V11)),IFERROR(AA11/V11-1,""),"")</f>
        <v/>
      </c>
      <c r="AB12" s="176">
        <f>IF(AND(ISNUMBER(AB11),ISNUMBER(W11)),IFERROR(AB11/W11-1,""),"")</f>
        <v/>
      </c>
      <c r="AC12" s="176">
        <f>IF(AND(ISNUMBER(AC11),ISNUMBER(X11)),IFERROR(AC11/X11-1,""),"")</f>
        <v/>
      </c>
      <c r="AD12" s="176">
        <f>IF(AND(ISNUMBER(AD11),ISNUMBER(Y11)),IFERROR(AD11/Y11-1,""),"")</f>
        <v/>
      </c>
      <c r="AE12" s="176">
        <f>IF(AND(ISNUMBER(AE11),ISNUMBER(Z11)),IFERROR(AE11/Z11-1,""),"")</f>
        <v/>
      </c>
      <c r="AF12" s="176">
        <f>IF(AND(ISNUMBER(AF11),ISNUMBER(AA11)),IFERROR(AF11/AA11-1,""),"")</f>
        <v/>
      </c>
      <c r="AG12" s="176">
        <f>IF(AND(ISNUMBER(AG11),ISNUMBER(AB11)),IFERROR(AG11/AB11-1,""),"")</f>
        <v/>
      </c>
      <c r="AH12" s="176">
        <f>IF(AND(ISNUMBER(AH11),ISNUMBER(AC11)),IFERROR(AH11/AC11-1,""),"")</f>
        <v/>
      </c>
      <c r="AI12" s="177">
        <f>AI13+$AI$101</f>
        <v/>
      </c>
      <c r="AJ12" s="177">
        <f>AJ13+$AI$101</f>
        <v/>
      </c>
      <c r="AK12" s="177">
        <f>IF(AND(ISNUMBER(AK11),ISNUMBER(AF11)),IFERROR(AK11/AF11-1,""),"")</f>
        <v/>
      </c>
      <c r="AL12" s="177">
        <f>CHOOSE(MATCH($AP$2,{"Bull","Base","Bear"},0),$AY$29,$AZ$29,$BA$29)</f>
        <v/>
      </c>
      <c r="AM12" s="177">
        <f>CHOOSE(MATCH($AP$2,{"Bull","Base","Bear"},0),$AY$30,$AZ$30,$BA$30)</f>
        <v/>
      </c>
      <c r="AN12" s="177">
        <f>CHOOSE(MATCH($AP$2,{"Bull","Base","Bear"},0),$AY$31,$AZ$31,$BA$31)</f>
        <v/>
      </c>
      <c r="AO12" s="177">
        <f>CHOOSE(MATCH($AP$2,{"Bull","Base","Bear"},0),$AY$32,$AZ$32,$BA$32)</f>
        <v/>
      </c>
      <c r="AP12" s="6" t="inlineStr">
        <is>
          <t>Q3/Q4-26E: growth before calibration (row below) + revenue-outlook calibration Δ (Group block). 2027E–2030E: scenario lever (Bull/Base/Bear table →).</t>
        </is>
      </c>
      <c r="AX12" s="26" t="inlineStr">
        <is>
          <t xml:space="preserve">  FY26 net sales ($m)</t>
        </is>
      </c>
      <c r="AY12" s="178" t="n">
        <v>675</v>
      </c>
      <c r="AZ12" s="178" t="n">
        <v>670</v>
      </c>
      <c r="BA12" s="178" t="n">
        <v>665</v>
      </c>
      <c r="BB12" s="14" t="inlineStr">
        <is>
          <t>Guided $665–675m (+35% y/y at mid). Drives the Q3/Q4-26E revenue calibration.</t>
        </is>
      </c>
    </row>
    <row r="13" ht="15" customHeight="1">
      <c r="B13" s="26" t="inlineStr">
        <is>
          <t xml:space="preserve">    Q3/Q4-26E growth before revenue calibration (1H/26 y/y)</t>
        </is>
      </c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177">
        <f>IFERROR((AG11+AH11)/(AB11+AC11)-1,0)</f>
        <v/>
      </c>
      <c r="AJ13" s="177">
        <f>IFERROR((AG11+AH11)/(AB11+AC11)-1,0)</f>
        <v/>
      </c>
      <c r="AK13" s="25" t="n"/>
      <c r="AL13" s="49" t="n"/>
      <c r="AM13" s="49" t="n"/>
      <c r="AN13" s="49" t="n"/>
      <c r="AO13" s="49" t="n"/>
      <c r="AP13" s="20" t="inlineStr">
        <is>
          <t>1H/26 y/y growth of the line: includes LMB (closed 23-Dec-2025) and Harper Engineering (21-Jan-2026), which stay inorganic through Q4/26E; Beadlight anniversaries 28-Jul-2026.</t>
        </is>
      </c>
      <c r="AX13" s="26" t="inlineStr">
        <is>
          <t xml:space="preserve">  FY26 Adjusted EBITDA ($m)</t>
        </is>
      </c>
      <c r="AY13" s="178" t="n">
        <v>270</v>
      </c>
      <c r="AZ13" s="178" t="n">
        <v>267.5</v>
      </c>
      <c r="BA13" s="178" t="n">
        <v>265</v>
      </c>
      <c r="BB13" s="14" t="inlineStr">
        <is>
          <t>Guided $265–270m (~40% margin). Drives the Q3/Q4-26E margin calibration.</t>
        </is>
      </c>
    </row>
    <row r="14" ht="15" customHeight="1">
      <c r="B14" s="26" t="inlineStr">
        <is>
          <t xml:space="preserve">  Aftermarket net sales</t>
        </is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174" t="n">
        <v>66.697</v>
      </c>
      <c r="R14" s="174" t="n">
        <v>22.919</v>
      </c>
      <c r="S14" s="174" t="n">
        <v>20.211</v>
      </c>
      <c r="T14" s="174" t="n">
        <v>23.886</v>
      </c>
      <c r="U14" s="174" t="n">
        <v>22.188</v>
      </c>
      <c r="V14" s="174" t="n">
        <v>89.20399999999999</v>
      </c>
      <c r="W14" s="174" t="n">
        <v>25.149</v>
      </c>
      <c r="X14" s="174" t="n">
        <v>26.894</v>
      </c>
      <c r="Y14" s="174" t="n">
        <v>29.058</v>
      </c>
      <c r="Z14" s="174" t="n">
        <v>28.204</v>
      </c>
      <c r="AA14" s="174" t="n">
        <v>109.305</v>
      </c>
      <c r="AB14" s="174" t="n">
        <v>32.403</v>
      </c>
      <c r="AC14" s="174" t="n">
        <v>34.836</v>
      </c>
      <c r="AD14" s="174" t="n">
        <v>38.169</v>
      </c>
      <c r="AE14" s="174" t="n">
        <v>39.06</v>
      </c>
      <c r="AF14" s="174" t="n">
        <v>144.468</v>
      </c>
      <c r="AG14" s="174" t="n">
        <v>43.515</v>
      </c>
      <c r="AH14" s="174" t="n">
        <v>46.256</v>
      </c>
      <c r="AI14" s="175">
        <f>AD14*(1+AI15)</f>
        <v/>
      </c>
      <c r="AJ14" s="175">
        <f>AE14*(1+AJ15)</f>
        <v/>
      </c>
      <c r="AK14" s="175">
        <f>SUM(AG14,AH14,AI14,AJ14)</f>
        <v/>
      </c>
      <c r="AL14" s="175">
        <f>AK14*(1+AL15)</f>
        <v/>
      </c>
      <c r="AM14" s="175">
        <f>AL14*(1+AM15)</f>
        <v/>
      </c>
      <c r="AN14" s="175">
        <f>AM14*(1+AN15)</f>
        <v/>
      </c>
      <c r="AO14" s="175">
        <f>AN14*(1+AO15)</f>
        <v/>
      </c>
      <c r="AP14" s="20" t="n"/>
      <c r="AX14" s="26" t="inlineStr">
        <is>
          <t xml:space="preserve">  FY26 net income ($m) — memo</t>
        </is>
      </c>
      <c r="AY14" s="178" t="n">
        <v>60</v>
      </c>
      <c r="AZ14" s="178" t="n">
        <v>58</v>
      </c>
      <c r="BA14" s="178" t="n">
        <v>56</v>
      </c>
      <c r="BB14" s="14" t="inlineStr">
        <is>
          <t>Guided $56–60m (memo; compared with the model, not forced).</t>
        </is>
      </c>
    </row>
    <row r="15" ht="15" customHeight="1">
      <c r="B15" s="23" t="inlineStr">
        <is>
          <t xml:space="preserve">    y/y %</t>
        </is>
      </c>
      <c r="C15" s="24" t="n"/>
      <c r="D15" s="176">
        <f>IF(AND(ISNUMBER(D14),ISNUMBER(C14)),IFERROR(D14/C14-1,""),"")</f>
        <v/>
      </c>
      <c r="E15" s="176">
        <f>IF(AND(ISNUMBER(E14),ISNUMBER(D14)),IFERROR(E14/D14-1,""),"")</f>
        <v/>
      </c>
      <c r="F15" s="176">
        <f>IF(AND(ISNUMBER(F14),ISNUMBER(E14)),IFERROR(F14/E14-1,""),"")</f>
        <v/>
      </c>
      <c r="G15" s="176">
        <f>IF(AND(ISNUMBER(G14),ISNUMBER(F14)),IFERROR(G14/F14-1,""),"")</f>
        <v/>
      </c>
      <c r="H15" s="176">
        <f>IF(AND(ISNUMBER(H14),ISNUMBER(G14)),IFERROR(H14/G14-1,""),"")</f>
        <v/>
      </c>
      <c r="I15" s="176">
        <f>IF(AND(ISNUMBER(I14),ISNUMBER(H14)),IFERROR(I14/H14-1,""),"")</f>
        <v/>
      </c>
      <c r="J15" s="176">
        <f>IF(AND(ISNUMBER(J14),ISNUMBER(I14)),IFERROR(J14/I14-1,""),"")</f>
        <v/>
      </c>
      <c r="K15" s="176">
        <f>IF(AND(ISNUMBER(K14),ISNUMBER(J14)),IFERROR(K14/J14-1,""),"")</f>
        <v/>
      </c>
      <c r="L15" s="176">
        <f>IF(AND(ISNUMBER(L14),ISNUMBER(K14)),IFERROR(L14/K14-1,""),"")</f>
        <v/>
      </c>
      <c r="M15" s="24" t="n"/>
      <c r="N15" s="24" t="n"/>
      <c r="O15" s="24" t="n"/>
      <c r="P15" s="24" t="n"/>
      <c r="Q15" s="176">
        <f>IF(AND(ISNUMBER(Q14),ISNUMBER(L14)),IFERROR(Q14/L14-1,""),"")</f>
        <v/>
      </c>
      <c r="R15" s="176">
        <f>IF(AND(ISNUMBER(R14),ISNUMBER(M14)),IFERROR(R14/M14-1,""),"")</f>
        <v/>
      </c>
      <c r="S15" s="176">
        <f>IF(AND(ISNUMBER(S14),ISNUMBER(N14)),IFERROR(S14/N14-1,""),"")</f>
        <v/>
      </c>
      <c r="T15" s="176">
        <f>IF(AND(ISNUMBER(T14),ISNUMBER(O14)),IFERROR(T14/O14-1,""),"")</f>
        <v/>
      </c>
      <c r="U15" s="176">
        <f>IF(AND(ISNUMBER(U14),ISNUMBER(P14)),IFERROR(U14/P14-1,""),"")</f>
        <v/>
      </c>
      <c r="V15" s="176">
        <f>IF(AND(ISNUMBER(V14),ISNUMBER(Q14)),IFERROR(V14/Q14-1,""),"")</f>
        <v/>
      </c>
      <c r="W15" s="176">
        <f>IF(AND(ISNUMBER(W14),ISNUMBER(R14)),IFERROR(W14/R14-1,""),"")</f>
        <v/>
      </c>
      <c r="X15" s="176">
        <f>IF(AND(ISNUMBER(X14),ISNUMBER(S14)),IFERROR(X14/S14-1,""),"")</f>
        <v/>
      </c>
      <c r="Y15" s="176">
        <f>IF(AND(ISNUMBER(Y14),ISNUMBER(T14)),IFERROR(Y14/T14-1,""),"")</f>
        <v/>
      </c>
      <c r="Z15" s="176">
        <f>IF(AND(ISNUMBER(Z14),ISNUMBER(U14)),IFERROR(Z14/U14-1,""),"")</f>
        <v/>
      </c>
      <c r="AA15" s="176">
        <f>IF(AND(ISNUMBER(AA14),ISNUMBER(V14)),IFERROR(AA14/V14-1,""),"")</f>
        <v/>
      </c>
      <c r="AB15" s="176">
        <f>IF(AND(ISNUMBER(AB14),ISNUMBER(W14)),IFERROR(AB14/W14-1,""),"")</f>
        <v/>
      </c>
      <c r="AC15" s="176">
        <f>IF(AND(ISNUMBER(AC14),ISNUMBER(X14)),IFERROR(AC14/X14-1,""),"")</f>
        <v/>
      </c>
      <c r="AD15" s="176">
        <f>IF(AND(ISNUMBER(AD14),ISNUMBER(Y14)),IFERROR(AD14/Y14-1,""),"")</f>
        <v/>
      </c>
      <c r="AE15" s="176">
        <f>IF(AND(ISNUMBER(AE14),ISNUMBER(Z14)),IFERROR(AE14/Z14-1,""),"")</f>
        <v/>
      </c>
      <c r="AF15" s="176">
        <f>IF(AND(ISNUMBER(AF14),ISNUMBER(AA14)),IFERROR(AF14/AA14-1,""),"")</f>
        <v/>
      </c>
      <c r="AG15" s="176">
        <f>IF(AND(ISNUMBER(AG14),ISNUMBER(AB14)),IFERROR(AG14/AB14-1,""),"")</f>
        <v/>
      </c>
      <c r="AH15" s="176">
        <f>IF(AND(ISNUMBER(AH14),ISNUMBER(AC14)),IFERROR(AH14/AC14-1,""),"")</f>
        <v/>
      </c>
      <c r="AI15" s="177">
        <f>AI16+$AI$101</f>
        <v/>
      </c>
      <c r="AJ15" s="177">
        <f>AJ16+$AI$101</f>
        <v/>
      </c>
      <c r="AK15" s="177">
        <f>IF(AND(ISNUMBER(AK14),ISNUMBER(AF14)),IFERROR(AK14/AF14-1,""),"")</f>
        <v/>
      </c>
      <c r="AL15" s="177">
        <f>CHOOSE(MATCH($AP$2,{"Bull","Base","Bear"},0),$AY$34,$AZ$34,$BA$34)</f>
        <v/>
      </c>
      <c r="AM15" s="177">
        <f>CHOOSE(MATCH($AP$2,{"Bull","Base","Bear"},0),$AY$35,$AZ$35,$BA$35)</f>
        <v/>
      </c>
      <c r="AN15" s="177">
        <f>CHOOSE(MATCH($AP$2,{"Bull","Base","Bear"},0),$AY$36,$AZ$36,$BA$36)</f>
        <v/>
      </c>
      <c r="AO15" s="177">
        <f>CHOOSE(MATCH($AP$2,{"Bull","Base","Bear"},0),$AY$37,$AZ$37,$BA$37)</f>
        <v/>
      </c>
      <c r="AP15" s="6" t="n"/>
      <c r="AX15" s="26" t="inlineStr">
        <is>
          <t xml:space="preserve">  FY26 Adjusted EPS ($, current definition) — memo</t>
        </is>
      </c>
      <c r="AY15" s="179" t="n">
        <v>1.36</v>
      </c>
      <c r="AZ15" s="179" t="n">
        <v>1.34</v>
      </c>
      <c r="BA15" s="179" t="n">
        <v>1.32</v>
      </c>
      <c r="BB15" s="14" t="inlineStr">
        <is>
          <t>Guided $1.32–1.36 (diluted EPS $0.57–0.62).</t>
        </is>
      </c>
    </row>
    <row r="16" ht="15" customHeight="1">
      <c r="B16" s="26" t="inlineStr">
        <is>
          <t xml:space="preserve">    Q3/Q4-26E growth before revenue calibration (1H/26 y/y)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177">
        <f>IFERROR((AG14+AH14)/(AB14+AC14)-1,0)</f>
        <v/>
      </c>
      <c r="AJ16" s="177">
        <f>IFERROR((AG14+AH14)/(AB14+AC14)-1,0)</f>
        <v/>
      </c>
      <c r="AK16" s="25" t="n"/>
      <c r="AL16" s="49" t="n"/>
      <c r="AM16" s="49" t="n"/>
      <c r="AN16" s="49" t="n"/>
      <c r="AO16" s="49" t="n"/>
      <c r="AP16" s="20" t="n"/>
      <c r="AX16" s="26" t="inlineStr">
        <is>
          <t xml:space="preserve">  2H/26 share repurchases ($m)</t>
        </is>
      </c>
      <c r="AY16" s="180" t="n">
        <v>0</v>
      </c>
      <c r="AZ16" s="180" t="n">
        <v>0</v>
      </c>
      <c r="BA16" s="180" t="n">
        <v>0</v>
      </c>
      <c r="BB16" s="14" t="inlineStr">
        <is>
          <t>No repurchase authorization; capital deployed to M&amp;A / deleveraging.</t>
        </is>
      </c>
    </row>
    <row r="17" ht="15" customHeight="1">
      <c r="B17" s="17" t="inlineStr">
        <is>
          <t xml:space="preserve">  Commercial aerospace — net sales</t>
        </is>
      </c>
      <c r="C17" s="181">
        <f>IF(ISNUMBER(C11),C11+C14,"")</f>
        <v/>
      </c>
      <c r="D17" s="181">
        <f>IF(ISNUMBER(D11),D11+D14,"")</f>
        <v/>
      </c>
      <c r="E17" s="181">
        <f>IF(ISNUMBER(E11),E11+E14,"")</f>
        <v/>
      </c>
      <c r="F17" s="181">
        <f>IF(ISNUMBER(F11),F11+F14,"")</f>
        <v/>
      </c>
      <c r="G17" s="181">
        <f>IF(ISNUMBER(G11),G11+G14,"")</f>
        <v/>
      </c>
      <c r="H17" s="181">
        <f>IF(ISNUMBER(H11),H11+H14,"")</f>
        <v/>
      </c>
      <c r="I17" s="181">
        <f>IF(ISNUMBER(I11),I11+I14,"")</f>
        <v/>
      </c>
      <c r="J17" s="181">
        <f>IF(ISNUMBER(J11),J11+J14,"")</f>
        <v/>
      </c>
      <c r="K17" s="181">
        <f>IF(ISNUMBER(K11),K11+K14,"")</f>
        <v/>
      </c>
      <c r="L17" s="181">
        <f>IF(ISNUMBER(L11),L11+L14,"")</f>
        <v/>
      </c>
      <c r="M17" s="181">
        <f>IF(ISNUMBER(M11),M11+M14,"")</f>
        <v/>
      </c>
      <c r="N17" s="181">
        <f>IF(ISNUMBER(N11),N11+N14,"")</f>
        <v/>
      </c>
      <c r="O17" s="181">
        <f>IF(ISNUMBER(O11),O11+O14,"")</f>
        <v/>
      </c>
      <c r="P17" s="181">
        <f>IF(ISNUMBER(P11),P11+P14,"")</f>
        <v/>
      </c>
      <c r="Q17" s="181">
        <f>IF(ISNUMBER(Q11),Q11+Q14,"")</f>
        <v/>
      </c>
      <c r="R17" s="181">
        <f>IF(ISNUMBER(R11),R11+R14,"")</f>
        <v/>
      </c>
      <c r="S17" s="181">
        <f>IF(ISNUMBER(S11),S11+S14,"")</f>
        <v/>
      </c>
      <c r="T17" s="181">
        <f>IF(ISNUMBER(T11),T11+T14,"")</f>
        <v/>
      </c>
      <c r="U17" s="181">
        <f>IF(ISNUMBER(U11),U11+U14,"")</f>
        <v/>
      </c>
      <c r="V17" s="181">
        <f>IF(ISNUMBER(V11),V11+V14,"")</f>
        <v/>
      </c>
      <c r="W17" s="181">
        <f>IF(ISNUMBER(W11),W11+W14,"")</f>
        <v/>
      </c>
      <c r="X17" s="181">
        <f>IF(ISNUMBER(X11),X11+X14,"")</f>
        <v/>
      </c>
      <c r="Y17" s="181">
        <f>IF(ISNUMBER(Y11),Y11+Y14,"")</f>
        <v/>
      </c>
      <c r="Z17" s="181">
        <f>IF(ISNUMBER(Z11),Z11+Z14,"")</f>
        <v/>
      </c>
      <c r="AA17" s="181">
        <f>IF(ISNUMBER(AA11),AA11+AA14,"")</f>
        <v/>
      </c>
      <c r="AB17" s="181">
        <f>IF(ISNUMBER(AB11),AB11+AB14,"")</f>
        <v/>
      </c>
      <c r="AC17" s="181">
        <f>IF(ISNUMBER(AC11),AC11+AC14,"")</f>
        <v/>
      </c>
      <c r="AD17" s="181">
        <f>IF(ISNUMBER(AD11),AD11+AD14,"")</f>
        <v/>
      </c>
      <c r="AE17" s="181">
        <f>IF(ISNUMBER(AE11),AE11+AE14,"")</f>
        <v/>
      </c>
      <c r="AF17" s="181">
        <f>IF(ISNUMBER(AF11),AF11+AF14,"")</f>
        <v/>
      </c>
      <c r="AG17" s="181">
        <f>IF(ISNUMBER(AG11),AG11+AG14,"")</f>
        <v/>
      </c>
      <c r="AH17" s="181">
        <f>IF(ISNUMBER(AH11),AH11+AH14,"")</f>
        <v/>
      </c>
      <c r="AI17" s="182">
        <f>IF(ISNUMBER(AI11),AI11+AI14,"")</f>
        <v/>
      </c>
      <c r="AJ17" s="182">
        <f>IF(ISNUMBER(AJ11),AJ11+AJ14,"")</f>
        <v/>
      </c>
      <c r="AK17" s="182">
        <f>IF(ISNUMBER(AK11),AK11+AK14,"")</f>
        <v/>
      </c>
      <c r="AL17" s="182">
        <f>IF(ISNUMBER(AL11),AL11+AL14,"")</f>
        <v/>
      </c>
      <c r="AM17" s="182">
        <f>IF(ISNUMBER(AM11),AM11+AM14,"")</f>
        <v/>
      </c>
      <c r="AN17" s="182">
        <f>IF(ISNUMBER(AN11),AN11+AN14,"")</f>
        <v/>
      </c>
      <c r="AO17" s="182">
        <f>IF(ISNUMBER(AO11),AO11+AO14,"")</f>
        <v/>
      </c>
      <c r="AP17" s="6" t="n"/>
      <c r="AR17" s="21">
        <f>IFERROR((AO17/AF17)^(1/5)-1,"n/m")</f>
        <v/>
      </c>
      <c r="AS17" s="21">
        <f>IFERROR((AF17/K17)^(1/5)-1,"n/m")</f>
        <v/>
      </c>
      <c r="AT17" s="21">
        <f>IFERROR((AF17/F17)^(1/10)-1,"n/m")</f>
        <v/>
      </c>
      <c r="AU17" s="21">
        <f>IFERROR((AF17/C17)^(1/13)-1,"n/m")</f>
        <v/>
      </c>
    </row>
    <row r="18" ht="15" customHeight="1">
      <c r="B18" s="23" t="inlineStr">
        <is>
          <t xml:space="preserve">  Net sales y/y %</t>
        </is>
      </c>
      <c r="C18" s="24" t="n"/>
      <c r="D18" s="176">
        <f>IF(AND(ISNUMBER(D17),ISNUMBER(C17)),IFERROR(D17/C17-1,""),"")</f>
        <v/>
      </c>
      <c r="E18" s="176">
        <f>IF(AND(ISNUMBER(E17),ISNUMBER(D17)),IFERROR(E17/D17-1,""),"")</f>
        <v/>
      </c>
      <c r="F18" s="176">
        <f>IF(AND(ISNUMBER(F17),ISNUMBER(E17)),IFERROR(F17/E17-1,""),"")</f>
        <v/>
      </c>
      <c r="G18" s="176">
        <f>IF(AND(ISNUMBER(G17),ISNUMBER(F17)),IFERROR(G17/F17-1,""),"")</f>
        <v/>
      </c>
      <c r="H18" s="176">
        <f>IF(AND(ISNUMBER(H17),ISNUMBER(G17)),IFERROR(H17/G17-1,""),"")</f>
        <v/>
      </c>
      <c r="I18" s="176">
        <f>IF(AND(ISNUMBER(I17),ISNUMBER(H17)),IFERROR(I17/H17-1,""),"")</f>
        <v/>
      </c>
      <c r="J18" s="176">
        <f>IF(AND(ISNUMBER(J17),ISNUMBER(I17)),IFERROR(J17/I17-1,""),"")</f>
        <v/>
      </c>
      <c r="K18" s="176">
        <f>IF(AND(ISNUMBER(K17),ISNUMBER(J17)),IFERROR(K17/J17-1,""),"")</f>
        <v/>
      </c>
      <c r="L18" s="176">
        <f>IF(AND(ISNUMBER(L17),ISNUMBER(K17)),IFERROR(L17/K17-1,""),"")</f>
        <v/>
      </c>
      <c r="M18" s="24" t="n"/>
      <c r="N18" s="24" t="n"/>
      <c r="O18" s="24" t="n"/>
      <c r="P18" s="24" t="n"/>
      <c r="Q18" s="176">
        <f>IF(AND(ISNUMBER(Q17),ISNUMBER(L17)),IFERROR(Q17/L17-1,""),"")</f>
        <v/>
      </c>
      <c r="R18" s="176">
        <f>IF(AND(ISNUMBER(R17),ISNUMBER(M17)),IFERROR(R17/M17-1,""),"")</f>
        <v/>
      </c>
      <c r="S18" s="176">
        <f>IF(AND(ISNUMBER(S17),ISNUMBER(N17)),IFERROR(S17/N17-1,""),"")</f>
        <v/>
      </c>
      <c r="T18" s="176">
        <f>IF(AND(ISNUMBER(T17),ISNUMBER(O17)),IFERROR(T17/O17-1,""),"")</f>
        <v/>
      </c>
      <c r="U18" s="176">
        <f>IF(AND(ISNUMBER(U17),ISNUMBER(P17)),IFERROR(U17/P17-1,""),"")</f>
        <v/>
      </c>
      <c r="V18" s="176">
        <f>IF(AND(ISNUMBER(V17),ISNUMBER(Q17)),IFERROR(V17/Q17-1,""),"")</f>
        <v/>
      </c>
      <c r="W18" s="176">
        <f>IF(AND(ISNUMBER(W17),ISNUMBER(R17)),IFERROR(W17/R17-1,""),"")</f>
        <v/>
      </c>
      <c r="X18" s="176">
        <f>IF(AND(ISNUMBER(X17),ISNUMBER(S17)),IFERROR(X17/S17-1,""),"")</f>
        <v/>
      </c>
      <c r="Y18" s="176">
        <f>IF(AND(ISNUMBER(Y17),ISNUMBER(T17)),IFERROR(Y17/T17-1,""),"")</f>
        <v/>
      </c>
      <c r="Z18" s="176">
        <f>IF(AND(ISNUMBER(Z17),ISNUMBER(U17)),IFERROR(Z17/U17-1,""),"")</f>
        <v/>
      </c>
      <c r="AA18" s="176">
        <f>IF(AND(ISNUMBER(AA17),ISNUMBER(V17)),IFERROR(AA17/V17-1,""),"")</f>
        <v/>
      </c>
      <c r="AB18" s="176">
        <f>IF(AND(ISNUMBER(AB17),ISNUMBER(W17)),IFERROR(AB17/W17-1,""),"")</f>
        <v/>
      </c>
      <c r="AC18" s="176">
        <f>IF(AND(ISNUMBER(AC17),ISNUMBER(X17)),IFERROR(AC17/X17-1,""),"")</f>
        <v/>
      </c>
      <c r="AD18" s="176">
        <f>IF(AND(ISNUMBER(AD17),ISNUMBER(Y17)),IFERROR(AD17/Y17-1,""),"")</f>
        <v/>
      </c>
      <c r="AE18" s="176">
        <f>IF(AND(ISNUMBER(AE17),ISNUMBER(Z17)),IFERROR(AE17/Z17-1,""),"")</f>
        <v/>
      </c>
      <c r="AF18" s="176">
        <f>IF(AND(ISNUMBER(AF17),ISNUMBER(AA17)),IFERROR(AF17/AA17-1,""),"")</f>
        <v/>
      </c>
      <c r="AG18" s="176">
        <f>IF(AND(ISNUMBER(AG17),ISNUMBER(AB17)),IFERROR(AG17/AB17-1,""),"")</f>
        <v/>
      </c>
      <c r="AH18" s="176">
        <f>IF(AND(ISNUMBER(AH17),ISNUMBER(AC17)),IFERROR(AH17/AC17-1,""),"")</f>
        <v/>
      </c>
      <c r="AI18" s="177">
        <f>IF(AND(ISNUMBER(AI17),ISNUMBER(AD17)),IFERROR(AI17/AD17-1,""),"")</f>
        <v/>
      </c>
      <c r="AJ18" s="177">
        <f>IF(AND(ISNUMBER(AJ17),ISNUMBER(AE17)),IFERROR(AJ17/AE17-1,""),"")</f>
        <v/>
      </c>
      <c r="AK18" s="177">
        <f>IF(AND(ISNUMBER(AK17),ISNUMBER(AF17)),IFERROR(AK17/AF17-1,""),"")</f>
        <v/>
      </c>
      <c r="AL18" s="177">
        <f>IF(AND(ISNUMBER(AL17),ISNUMBER(AK17)),IFERROR(AL17/AK17-1,""),"")</f>
        <v/>
      </c>
      <c r="AM18" s="177">
        <f>IF(AND(ISNUMBER(AM17),ISNUMBER(AL17)),IFERROR(AM17/AL17-1,""),"")</f>
        <v/>
      </c>
      <c r="AN18" s="177">
        <f>IF(AND(ISNUMBER(AN17),ISNUMBER(AM17)),IFERROR(AN17/AM17-1,""),"")</f>
        <v/>
      </c>
      <c r="AO18" s="177">
        <f>IF(AND(ISNUMBER(AO17),ISNUMBER(AN17)),IFERROR(AO17/AN17-1,""),"")</f>
        <v/>
      </c>
      <c r="AP18" s="6" t="n"/>
      <c r="AX18" s="16" t="inlineStr">
        <is>
          <t>FY26 point estimates (all cases)</t>
        </is>
      </c>
      <c r="AY18" s="22" t="n"/>
      <c r="AZ18" s="22" t="n"/>
      <c r="BA18" s="22" t="n"/>
    </row>
    <row r="19" ht="15" customHeight="1">
      <c r="B19" s="26" t="inlineStr">
        <is>
          <t xml:space="preserve">  % of total net sales</t>
        </is>
      </c>
      <c r="C19" s="183">
        <f>IF(AND(ISNUMBER(C17),ISNUMBER(C90)),IFERROR(C17/C90,""),"")</f>
        <v/>
      </c>
      <c r="D19" s="183">
        <f>IF(AND(ISNUMBER(D17),ISNUMBER(D90)),IFERROR(D17/D90,""),"")</f>
        <v/>
      </c>
      <c r="E19" s="183">
        <f>IF(AND(ISNUMBER(E17),ISNUMBER(E90)),IFERROR(E17/E90,""),"")</f>
        <v/>
      </c>
      <c r="F19" s="183">
        <f>IF(AND(ISNUMBER(F17),ISNUMBER(F90)),IFERROR(F17/F90,""),"")</f>
        <v/>
      </c>
      <c r="G19" s="183">
        <f>IF(AND(ISNUMBER(G17),ISNUMBER(G90)),IFERROR(G17/G90,""),"")</f>
        <v/>
      </c>
      <c r="H19" s="183">
        <f>IF(AND(ISNUMBER(H17),ISNUMBER(H90)),IFERROR(H17/H90,""),"")</f>
        <v/>
      </c>
      <c r="I19" s="183">
        <f>IF(AND(ISNUMBER(I17),ISNUMBER(I90)),IFERROR(I17/I90,""),"")</f>
        <v/>
      </c>
      <c r="J19" s="183">
        <f>IF(AND(ISNUMBER(J17),ISNUMBER(J90)),IFERROR(J17/J90,""),"")</f>
        <v/>
      </c>
      <c r="K19" s="183">
        <f>IF(AND(ISNUMBER(K17),ISNUMBER(K90)),IFERROR(K17/K90,""),"")</f>
        <v/>
      </c>
      <c r="L19" s="183">
        <f>IF(AND(ISNUMBER(L17),ISNUMBER(L90)),IFERROR(L17/L90,""),"")</f>
        <v/>
      </c>
      <c r="M19" s="183">
        <f>IF(AND(ISNUMBER(M17),ISNUMBER(M90)),IFERROR(M17/M90,""),"")</f>
        <v/>
      </c>
      <c r="N19" s="183">
        <f>IF(AND(ISNUMBER(N17),ISNUMBER(N90)),IFERROR(N17/N90,""),"")</f>
        <v/>
      </c>
      <c r="O19" s="183">
        <f>IF(AND(ISNUMBER(O17),ISNUMBER(O90)),IFERROR(O17/O90,""),"")</f>
        <v/>
      </c>
      <c r="P19" s="183">
        <f>IF(AND(ISNUMBER(P17),ISNUMBER(P90)),IFERROR(P17/P90,""),"")</f>
        <v/>
      </c>
      <c r="Q19" s="183">
        <f>IF(AND(ISNUMBER(Q17),ISNUMBER(Q90)),IFERROR(Q17/Q90,""),"")</f>
        <v/>
      </c>
      <c r="R19" s="183">
        <f>IF(AND(ISNUMBER(R17),ISNUMBER(R90)),IFERROR(R17/R90,""),"")</f>
        <v/>
      </c>
      <c r="S19" s="183">
        <f>IF(AND(ISNUMBER(S17),ISNUMBER(S90)),IFERROR(S17/S90,""),"")</f>
        <v/>
      </c>
      <c r="T19" s="183">
        <f>IF(AND(ISNUMBER(T17),ISNUMBER(T90)),IFERROR(T17/T90,""),"")</f>
        <v/>
      </c>
      <c r="U19" s="183">
        <f>IF(AND(ISNUMBER(U17),ISNUMBER(U90)),IFERROR(U17/U90,""),"")</f>
        <v/>
      </c>
      <c r="V19" s="183">
        <f>IF(AND(ISNUMBER(V17),ISNUMBER(V90)),IFERROR(V17/V90,""),"")</f>
        <v/>
      </c>
      <c r="W19" s="183">
        <f>IF(AND(ISNUMBER(W17),ISNUMBER(W90)),IFERROR(W17/W90,""),"")</f>
        <v/>
      </c>
      <c r="X19" s="183">
        <f>IF(AND(ISNUMBER(X17),ISNUMBER(X90)),IFERROR(X17/X90,""),"")</f>
        <v/>
      </c>
      <c r="Y19" s="183">
        <f>IF(AND(ISNUMBER(Y17),ISNUMBER(Y90)),IFERROR(Y17/Y90,""),"")</f>
        <v/>
      </c>
      <c r="Z19" s="183">
        <f>IF(AND(ISNUMBER(Z17),ISNUMBER(Z90)),IFERROR(Z17/Z90,""),"")</f>
        <v/>
      </c>
      <c r="AA19" s="183">
        <f>IF(AND(ISNUMBER(AA17),ISNUMBER(AA90)),IFERROR(AA17/AA90,""),"")</f>
        <v/>
      </c>
      <c r="AB19" s="183">
        <f>IF(AND(ISNUMBER(AB17),ISNUMBER(AB90)),IFERROR(AB17/AB90,""),"")</f>
        <v/>
      </c>
      <c r="AC19" s="183">
        <f>IF(AND(ISNUMBER(AC17),ISNUMBER(AC90)),IFERROR(AC17/AC90,""),"")</f>
        <v/>
      </c>
      <c r="AD19" s="183">
        <f>IF(AND(ISNUMBER(AD17),ISNUMBER(AD90)),IFERROR(AD17/AD90,""),"")</f>
        <v/>
      </c>
      <c r="AE19" s="183">
        <f>IF(AND(ISNUMBER(AE17),ISNUMBER(AE90)),IFERROR(AE17/AE90,""),"")</f>
        <v/>
      </c>
      <c r="AF19" s="183">
        <f>IF(AND(ISNUMBER(AF17),ISNUMBER(AF90)),IFERROR(AF17/AF90,""),"")</f>
        <v/>
      </c>
      <c r="AG19" s="183">
        <f>IF(AND(ISNUMBER(AG17),ISNUMBER(AG90)),IFERROR(AG17/AG90,""),"")</f>
        <v/>
      </c>
      <c r="AH19" s="183">
        <f>IF(AND(ISNUMBER(AH17),ISNUMBER(AH90)),IFERROR(AH17/AH90,""),"")</f>
        <v/>
      </c>
      <c r="AI19" s="177">
        <f>IF(AND(ISNUMBER(AI17),ISNUMBER(AI90)),IFERROR(AI17/AI90,""),"")</f>
        <v/>
      </c>
      <c r="AJ19" s="177">
        <f>IF(AND(ISNUMBER(AJ17),ISNUMBER(AJ90)),IFERROR(AJ17/AJ90,""),"")</f>
        <v/>
      </c>
      <c r="AK19" s="177">
        <f>IF(AND(ISNUMBER(AK17),ISNUMBER(AK90)),IFERROR(AK17/AK90,""),"")</f>
        <v/>
      </c>
      <c r="AL19" s="177">
        <f>IF(AND(ISNUMBER(AL17),ISNUMBER(AL90)),IFERROR(AL17/AL90,""),"")</f>
        <v/>
      </c>
      <c r="AM19" s="177">
        <f>IF(AND(ISNUMBER(AM17),ISNUMBER(AM90)),IFERROR(AM17/AM90,""),"")</f>
        <v/>
      </c>
      <c r="AN19" s="177">
        <f>IF(AND(ISNUMBER(AN17),ISNUMBER(AN90)),IFERROR(AN17/AN90,""),"")</f>
        <v/>
      </c>
      <c r="AO19" s="177">
        <f>IF(AND(ISNUMBER(AO17),ISNUMBER(AO90)),IFERROR(AO17/AO90,""),"")</f>
        <v/>
      </c>
      <c r="AP19" s="6" t="n"/>
      <c r="AX19" s="26" t="inlineStr">
        <is>
          <t xml:space="preserve">  Interest expense, net ($m)</t>
        </is>
      </c>
      <c r="AZ19" s="178" t="n">
        <v>80</v>
      </c>
      <c r="BB19" s="14" t="inlineStr">
        <is>
          <t>FY26 guidance: ~$80m (1H/26 $38.7m).</t>
        </is>
      </c>
    </row>
    <row r="20" ht="15" customHeight="1">
      <c r="B20" s="26" t="inlineStr">
        <is>
          <t xml:space="preserve">  Aftermarket % of end-market sales</t>
        </is>
      </c>
      <c r="C20" s="183">
        <f>IF(AND(ISNUMBER(C14),ISNUMBER(C17)),IFERROR(C14/C17,""),"")</f>
        <v/>
      </c>
      <c r="D20" s="183">
        <f>IF(AND(ISNUMBER(D14),ISNUMBER(D17)),IFERROR(D14/D17,""),"")</f>
        <v/>
      </c>
      <c r="E20" s="183">
        <f>IF(AND(ISNUMBER(E14),ISNUMBER(E17)),IFERROR(E14/E17,""),"")</f>
        <v/>
      </c>
      <c r="F20" s="183">
        <f>IF(AND(ISNUMBER(F14),ISNUMBER(F17)),IFERROR(F14/F17,""),"")</f>
        <v/>
      </c>
      <c r="G20" s="183">
        <f>IF(AND(ISNUMBER(G14),ISNUMBER(G17)),IFERROR(G14/G17,""),"")</f>
        <v/>
      </c>
      <c r="H20" s="183">
        <f>IF(AND(ISNUMBER(H14),ISNUMBER(H17)),IFERROR(H14/H17,""),"")</f>
        <v/>
      </c>
      <c r="I20" s="183">
        <f>IF(AND(ISNUMBER(I14),ISNUMBER(I17)),IFERROR(I14/I17,""),"")</f>
        <v/>
      </c>
      <c r="J20" s="183">
        <f>IF(AND(ISNUMBER(J14),ISNUMBER(J17)),IFERROR(J14/J17,""),"")</f>
        <v/>
      </c>
      <c r="K20" s="183">
        <f>IF(AND(ISNUMBER(K14),ISNUMBER(K17)),IFERROR(K14/K17,""),"")</f>
        <v/>
      </c>
      <c r="L20" s="183">
        <f>IF(AND(ISNUMBER(L14),ISNUMBER(L17)),IFERROR(L14/L17,""),"")</f>
        <v/>
      </c>
      <c r="M20" s="183">
        <f>IF(AND(ISNUMBER(M14),ISNUMBER(M17)),IFERROR(M14/M17,""),"")</f>
        <v/>
      </c>
      <c r="N20" s="183">
        <f>IF(AND(ISNUMBER(N14),ISNUMBER(N17)),IFERROR(N14/N17,""),"")</f>
        <v/>
      </c>
      <c r="O20" s="183">
        <f>IF(AND(ISNUMBER(O14),ISNUMBER(O17)),IFERROR(O14/O17,""),"")</f>
        <v/>
      </c>
      <c r="P20" s="183">
        <f>IF(AND(ISNUMBER(P14),ISNUMBER(P17)),IFERROR(P14/P17,""),"")</f>
        <v/>
      </c>
      <c r="Q20" s="183">
        <f>IF(AND(ISNUMBER(Q14),ISNUMBER(Q17)),IFERROR(Q14/Q17,""),"")</f>
        <v/>
      </c>
      <c r="R20" s="183">
        <f>IF(AND(ISNUMBER(R14),ISNUMBER(R17)),IFERROR(R14/R17,""),"")</f>
        <v/>
      </c>
      <c r="S20" s="183">
        <f>IF(AND(ISNUMBER(S14),ISNUMBER(S17)),IFERROR(S14/S17,""),"")</f>
        <v/>
      </c>
      <c r="T20" s="183">
        <f>IF(AND(ISNUMBER(T14),ISNUMBER(T17)),IFERROR(T14/T17,""),"")</f>
        <v/>
      </c>
      <c r="U20" s="183">
        <f>IF(AND(ISNUMBER(U14),ISNUMBER(U17)),IFERROR(U14/U17,""),"")</f>
        <v/>
      </c>
      <c r="V20" s="183">
        <f>IF(AND(ISNUMBER(V14),ISNUMBER(V17)),IFERROR(V14/V17,""),"")</f>
        <v/>
      </c>
      <c r="W20" s="183">
        <f>IF(AND(ISNUMBER(W14),ISNUMBER(W17)),IFERROR(W14/W17,""),"")</f>
        <v/>
      </c>
      <c r="X20" s="183">
        <f>IF(AND(ISNUMBER(X14),ISNUMBER(X17)),IFERROR(X14/X17,""),"")</f>
        <v/>
      </c>
      <c r="Y20" s="183">
        <f>IF(AND(ISNUMBER(Y14),ISNUMBER(Y17)),IFERROR(Y14/Y17,""),"")</f>
        <v/>
      </c>
      <c r="Z20" s="183">
        <f>IF(AND(ISNUMBER(Z14),ISNUMBER(Z17)),IFERROR(Z14/Z17,""),"")</f>
        <v/>
      </c>
      <c r="AA20" s="183">
        <f>IF(AND(ISNUMBER(AA14),ISNUMBER(AA17)),IFERROR(AA14/AA17,""),"")</f>
        <v/>
      </c>
      <c r="AB20" s="183">
        <f>IF(AND(ISNUMBER(AB14),ISNUMBER(AB17)),IFERROR(AB14/AB17,""),"")</f>
        <v/>
      </c>
      <c r="AC20" s="183">
        <f>IF(AND(ISNUMBER(AC14),ISNUMBER(AC17)),IFERROR(AC14/AC17,""),"")</f>
        <v/>
      </c>
      <c r="AD20" s="183">
        <f>IF(AND(ISNUMBER(AD14),ISNUMBER(AD17)),IFERROR(AD14/AD17,""),"")</f>
        <v/>
      </c>
      <c r="AE20" s="183">
        <f>IF(AND(ISNUMBER(AE14),ISNUMBER(AE17)),IFERROR(AE14/AE17,""),"")</f>
        <v/>
      </c>
      <c r="AF20" s="183">
        <f>IF(AND(ISNUMBER(AF14),ISNUMBER(AF17)),IFERROR(AF14/AF17,""),"")</f>
        <v/>
      </c>
      <c r="AG20" s="183">
        <f>IF(AND(ISNUMBER(AG14),ISNUMBER(AG17)),IFERROR(AG14/AG17,""),"")</f>
        <v/>
      </c>
      <c r="AH20" s="183">
        <f>IF(AND(ISNUMBER(AH14),ISNUMBER(AH17)),IFERROR(AH14/AH17,""),"")</f>
        <v/>
      </c>
      <c r="AI20" s="177">
        <f>IF(AND(ISNUMBER(AI14),ISNUMBER(AI17)),IFERROR(AI14/AI17,""),"")</f>
        <v/>
      </c>
      <c r="AJ20" s="177">
        <f>IF(AND(ISNUMBER(AJ14),ISNUMBER(AJ17)),IFERROR(AJ14/AJ17,""),"")</f>
        <v/>
      </c>
      <c r="AK20" s="177">
        <f>IF(AND(ISNUMBER(AK14),ISNUMBER(AK17)),IFERROR(AK14/AK17,""),"")</f>
        <v/>
      </c>
      <c r="AL20" s="177">
        <f>IF(AND(ISNUMBER(AL14),ISNUMBER(AL17)),IFERROR(AL14/AL17,""),"")</f>
        <v/>
      </c>
      <c r="AM20" s="177">
        <f>IF(AND(ISNUMBER(AM14),ISNUMBER(AM17)),IFERROR(AM14/AM17,""),"")</f>
        <v/>
      </c>
      <c r="AN20" s="177">
        <f>IF(AND(ISNUMBER(AN14),ISNUMBER(AN17)),IFERROR(AN14/AN17,""),"")</f>
        <v/>
      </c>
      <c r="AO20" s="177">
        <f>IF(AND(ISNUMBER(AO14),ISNUMBER(AO17)),IFERROR(AO14/AO17,""),"")</f>
        <v/>
      </c>
      <c r="AP20" s="6" t="n"/>
      <c r="AX20" s="26" t="inlineStr">
        <is>
          <t xml:space="preserve">  Depreciation ($m)</t>
        </is>
      </c>
      <c r="AZ20" s="178" t="n">
        <v>15</v>
      </c>
      <c r="BB20" s="14" t="inlineStr">
        <is>
          <t>FY26 guidance: ~$15m (1H/26 $6.6m).</t>
        </is>
      </c>
    </row>
    <row r="21" ht="15" customHeight="1">
      <c r="AX21" s="26" t="inlineStr">
        <is>
          <t xml:space="preserve">  Amortization ($m)</t>
        </is>
      </c>
      <c r="AZ21" s="178" t="n">
        <v>65</v>
      </c>
      <c r="BB21" s="14" t="inlineStr">
        <is>
          <t>FY26 guidance: ~$65m (1H/26 $32.3m).</t>
        </is>
      </c>
    </row>
    <row r="22" ht="15" customHeight="1">
      <c r="B22" s="15" t="inlineStr">
        <is>
          <t>Business jet &amp; general aviation (auto-throttles, brakes, actuation, restraints)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6" t="inlineStr">
        <is>
          <t>BUSINESS JET &amp; GENERAL AVIATION — modelling logic</t>
        </is>
      </c>
      <c r="AX22" s="26" t="inlineStr">
        <is>
          <t xml:space="preserve">  Tax rate (GAAP &amp; adjusted)</t>
        </is>
      </c>
      <c r="AZ22" s="184" t="n">
        <v>0.24</v>
      </c>
      <c r="BB22" s="14" t="inlineStr">
        <is>
          <t>1H/26 effective rate 23.9% (Q2-26 23.3%); not guided. Net income guidance mid-point implies ~24%.</t>
        </is>
      </c>
    </row>
    <row r="23" ht="15" customHeight="1">
      <c r="B23" s="26" t="inlineStr">
        <is>
          <t xml:space="preserve">  OEM net sales</t>
        </is>
      </c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174" t="n">
        <v>31.207</v>
      </c>
      <c r="R23" s="174" t="n">
        <v>9.26</v>
      </c>
      <c r="S23" s="174" t="n">
        <v>10.43</v>
      </c>
      <c r="T23" s="174" t="n">
        <v>11.701</v>
      </c>
      <c r="U23" s="174" t="n">
        <v>15.625</v>
      </c>
      <c r="V23" s="174" t="n">
        <v>47.016</v>
      </c>
      <c r="W23" s="174" t="n">
        <v>16.207</v>
      </c>
      <c r="X23" s="174" t="n">
        <v>17.438</v>
      </c>
      <c r="Y23" s="174" t="n">
        <v>19.911</v>
      </c>
      <c r="Z23" s="174" t="n">
        <v>16.542</v>
      </c>
      <c r="AA23" s="174" t="n">
        <v>70.098</v>
      </c>
      <c r="AB23" s="174" t="n">
        <v>19.423</v>
      </c>
      <c r="AC23" s="174" t="n">
        <v>17.895</v>
      </c>
      <c r="AD23" s="174" t="n">
        <v>19.859</v>
      </c>
      <c r="AE23" s="174" t="n">
        <v>17.568</v>
      </c>
      <c r="AF23" s="174" t="n">
        <v>74.745</v>
      </c>
      <c r="AG23" s="174" t="n">
        <v>19.633</v>
      </c>
      <c r="AH23" s="174" t="n">
        <v>20.304</v>
      </c>
      <c r="AI23" s="175">
        <f>AD23*(1+AI24)</f>
        <v/>
      </c>
      <c r="AJ23" s="175">
        <f>AE23*(1+AJ24)</f>
        <v/>
      </c>
      <c r="AK23" s="175">
        <f>SUM(AG23,AH23,AI23,AJ23)</f>
        <v/>
      </c>
      <c r="AL23" s="175">
        <f>AK23*(1+AL24)</f>
        <v/>
      </c>
      <c r="AM23" s="175">
        <f>AL23*(1+AM24)</f>
        <v/>
      </c>
      <c r="AN23" s="175">
        <f>AM23*(1+AN24)</f>
        <v/>
      </c>
      <c r="AO23" s="175">
        <f>AN23*(1+AO24)</f>
        <v/>
      </c>
      <c r="AP23" s="20" t="inlineStr">
        <is>
          <t>End-market sales as published (release Table 5; FY2022-23 prospectus note; Q1-23 = 1H-23 − Q2-23). Not published before 2022 or for 2022 quarters. Q3/Q4-26E: prior-year quarter × (1 + growth). 2027E+: prior year × (1 + scenario lever).</t>
        </is>
      </c>
      <c r="AX23" s="26" t="inlineStr">
        <is>
          <t xml:space="preserve">  Capital expenditures ($m)</t>
        </is>
      </c>
      <c r="AZ23" s="178" t="n">
        <v>16</v>
      </c>
      <c r="BB23" s="14" t="inlineStr">
        <is>
          <t>Not guided; 1H/26 $7.0m, FY25 $13.0m; ~2.4% of FY26E sales.</t>
        </is>
      </c>
    </row>
    <row r="24" ht="15" customHeight="1">
      <c r="B24" s="23" t="inlineStr">
        <is>
          <t xml:space="preserve">    y/y %</t>
        </is>
      </c>
      <c r="C24" s="24" t="n"/>
      <c r="D24" s="176">
        <f>IF(AND(ISNUMBER(D23),ISNUMBER(C23)),IFERROR(D23/C23-1,""),"")</f>
        <v/>
      </c>
      <c r="E24" s="176">
        <f>IF(AND(ISNUMBER(E23),ISNUMBER(D23)),IFERROR(E23/D23-1,""),"")</f>
        <v/>
      </c>
      <c r="F24" s="176">
        <f>IF(AND(ISNUMBER(F23),ISNUMBER(E23)),IFERROR(F23/E23-1,""),"")</f>
        <v/>
      </c>
      <c r="G24" s="176">
        <f>IF(AND(ISNUMBER(G23),ISNUMBER(F23)),IFERROR(G23/F23-1,""),"")</f>
        <v/>
      </c>
      <c r="H24" s="176">
        <f>IF(AND(ISNUMBER(H23),ISNUMBER(G23)),IFERROR(H23/G23-1,""),"")</f>
        <v/>
      </c>
      <c r="I24" s="176">
        <f>IF(AND(ISNUMBER(I23),ISNUMBER(H23)),IFERROR(I23/H23-1,""),"")</f>
        <v/>
      </c>
      <c r="J24" s="176">
        <f>IF(AND(ISNUMBER(J23),ISNUMBER(I23)),IFERROR(J23/I23-1,""),"")</f>
        <v/>
      </c>
      <c r="K24" s="176">
        <f>IF(AND(ISNUMBER(K23),ISNUMBER(J23)),IFERROR(K23/J23-1,""),"")</f>
        <v/>
      </c>
      <c r="L24" s="176">
        <f>IF(AND(ISNUMBER(L23),ISNUMBER(K23)),IFERROR(L23/K23-1,""),"")</f>
        <v/>
      </c>
      <c r="M24" s="24" t="n"/>
      <c r="N24" s="24" t="n"/>
      <c r="O24" s="24" t="n"/>
      <c r="P24" s="24" t="n"/>
      <c r="Q24" s="176">
        <f>IF(AND(ISNUMBER(Q23),ISNUMBER(L23)),IFERROR(Q23/L23-1,""),"")</f>
        <v/>
      </c>
      <c r="R24" s="176">
        <f>IF(AND(ISNUMBER(R23),ISNUMBER(M23)),IFERROR(R23/M23-1,""),"")</f>
        <v/>
      </c>
      <c r="S24" s="176">
        <f>IF(AND(ISNUMBER(S23),ISNUMBER(N23)),IFERROR(S23/N23-1,""),"")</f>
        <v/>
      </c>
      <c r="T24" s="176">
        <f>IF(AND(ISNUMBER(T23),ISNUMBER(O23)),IFERROR(T23/O23-1,""),"")</f>
        <v/>
      </c>
      <c r="U24" s="176">
        <f>IF(AND(ISNUMBER(U23),ISNUMBER(P23)),IFERROR(U23/P23-1,""),"")</f>
        <v/>
      </c>
      <c r="V24" s="176">
        <f>IF(AND(ISNUMBER(V23),ISNUMBER(Q23)),IFERROR(V23/Q23-1,""),"")</f>
        <v/>
      </c>
      <c r="W24" s="176">
        <f>IF(AND(ISNUMBER(W23),ISNUMBER(R23)),IFERROR(W23/R23-1,""),"")</f>
        <v/>
      </c>
      <c r="X24" s="176">
        <f>IF(AND(ISNUMBER(X23),ISNUMBER(S23)),IFERROR(X23/S23-1,""),"")</f>
        <v/>
      </c>
      <c r="Y24" s="176">
        <f>IF(AND(ISNUMBER(Y23),ISNUMBER(T23)),IFERROR(Y23/T23-1,""),"")</f>
        <v/>
      </c>
      <c r="Z24" s="176">
        <f>IF(AND(ISNUMBER(Z23),ISNUMBER(U23)),IFERROR(Z23/U23-1,""),"")</f>
        <v/>
      </c>
      <c r="AA24" s="176">
        <f>IF(AND(ISNUMBER(AA23),ISNUMBER(V23)),IFERROR(AA23/V23-1,""),"")</f>
        <v/>
      </c>
      <c r="AB24" s="176">
        <f>IF(AND(ISNUMBER(AB23),ISNUMBER(W23)),IFERROR(AB23/W23-1,""),"")</f>
        <v/>
      </c>
      <c r="AC24" s="176">
        <f>IF(AND(ISNUMBER(AC23),ISNUMBER(X23)),IFERROR(AC23/X23-1,""),"")</f>
        <v/>
      </c>
      <c r="AD24" s="176">
        <f>IF(AND(ISNUMBER(AD23),ISNUMBER(Y23)),IFERROR(AD23/Y23-1,""),"")</f>
        <v/>
      </c>
      <c r="AE24" s="176">
        <f>IF(AND(ISNUMBER(AE23),ISNUMBER(Z23)),IFERROR(AE23/Z23-1,""),"")</f>
        <v/>
      </c>
      <c r="AF24" s="176">
        <f>IF(AND(ISNUMBER(AF23),ISNUMBER(AA23)),IFERROR(AF23/AA23-1,""),"")</f>
        <v/>
      </c>
      <c r="AG24" s="176">
        <f>IF(AND(ISNUMBER(AG23),ISNUMBER(AB23)),IFERROR(AG23/AB23-1,""),"")</f>
        <v/>
      </c>
      <c r="AH24" s="176">
        <f>IF(AND(ISNUMBER(AH23),ISNUMBER(AC23)),IFERROR(AH23/AC23-1,""),"")</f>
        <v/>
      </c>
      <c r="AI24" s="177">
        <f>AI25+$AI$101</f>
        <v/>
      </c>
      <c r="AJ24" s="177">
        <f>AJ25+$AI$101</f>
        <v/>
      </c>
      <c r="AK24" s="177">
        <f>IF(AND(ISNUMBER(AK23),ISNUMBER(AF23)),IFERROR(AK23/AF23-1,""),"")</f>
        <v/>
      </c>
      <c r="AL24" s="177">
        <f>CHOOSE(MATCH($AP$2,{"Bull","Base","Bear"},0),$AY$39,$AZ$39,$BA$39)</f>
        <v/>
      </c>
      <c r="AM24" s="177">
        <f>CHOOSE(MATCH($AP$2,{"Bull","Base","Bear"},0),$AY$40,$AZ$40,$BA$40)</f>
        <v/>
      </c>
      <c r="AN24" s="177">
        <f>CHOOSE(MATCH($AP$2,{"Bull","Base","Bear"},0),$AY$41,$AZ$41,$BA$41)</f>
        <v/>
      </c>
      <c r="AO24" s="177">
        <f>CHOOSE(MATCH($AP$2,{"Bull","Base","Bear"},0),$AY$42,$AZ$42,$BA$42)</f>
        <v/>
      </c>
      <c r="AP24" s="6" t="inlineStr">
        <is>
          <t>Q3/Q4-26E: growth before calibration (row below) + revenue-outlook calibration Δ (Group block). 2027E–2030E: scenario lever (Bull/Base/Bear table →).</t>
        </is>
      </c>
      <c r="AX24" s="26" t="inlineStr">
        <is>
          <t xml:space="preserve">  Transaction expenses ($m)</t>
        </is>
      </c>
      <c r="AZ24" s="178" t="n">
        <v>4</v>
      </c>
      <c r="BB24" s="14" t="inlineStr">
        <is>
          <t>1H/26 $2.8m (Harper Engineering); analyst point estimate for ongoing deal activity.</t>
        </is>
      </c>
    </row>
    <row r="25" ht="15" customHeight="1">
      <c r="B25" s="26" t="inlineStr">
        <is>
          <t xml:space="preserve">    Q3/Q4-26E growth before revenue calibration (1H/26 y/y)</t>
        </is>
      </c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177">
        <f>IFERROR((AG23+AH23)/(AB23+AC23)-1,0)</f>
        <v/>
      </c>
      <c r="AJ25" s="177">
        <f>IFERROR((AG23+AH23)/(AB23+AC23)-1,0)</f>
        <v/>
      </c>
      <c r="AK25" s="25" t="n"/>
      <c r="AL25" s="49" t="n"/>
      <c r="AM25" s="49" t="n"/>
      <c r="AN25" s="49" t="n"/>
      <c r="AO25" s="49" t="n"/>
      <c r="AP25" s="20" t="inlineStr">
        <is>
          <t>1H/26 y/y growth of the line: includes LMB (closed 23-Dec-2025) and Harper Engineering (21-Jan-2026), which stay inorganic through Q4/26E; Beadlight anniversaries 28-Jul-2026.</t>
        </is>
      </c>
    </row>
    <row r="26" ht="15" customHeight="1">
      <c r="B26" s="26" t="inlineStr">
        <is>
          <t xml:space="preserve">  Aftermarket net sales</t>
        </is>
      </c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174" t="n">
        <v>17.053</v>
      </c>
      <c r="R26" s="174" t="n">
        <v>6.479</v>
      </c>
      <c r="S26" s="174" t="n">
        <v>6.308</v>
      </c>
      <c r="T26" s="174" t="n">
        <v>7.729</v>
      </c>
      <c r="U26" s="174" t="n">
        <v>8.512</v>
      </c>
      <c r="V26" s="174" t="n">
        <v>29.028</v>
      </c>
      <c r="W26" s="174" t="n">
        <v>9.407</v>
      </c>
      <c r="X26" s="174" t="n">
        <v>9.725</v>
      </c>
      <c r="Y26" s="174" t="n">
        <v>10.121</v>
      </c>
      <c r="Z26" s="174" t="n">
        <v>9.853</v>
      </c>
      <c r="AA26" s="174" t="n">
        <v>39.106</v>
      </c>
      <c r="AB26" s="174" t="n">
        <v>11.435</v>
      </c>
      <c r="AC26" s="174" t="n">
        <v>12.267</v>
      </c>
      <c r="AD26" s="174" t="n">
        <v>12.738</v>
      </c>
      <c r="AE26" s="174" t="n">
        <v>12.936</v>
      </c>
      <c r="AF26" s="174" t="n">
        <v>49.376</v>
      </c>
      <c r="AG26" s="174" t="n">
        <v>11.066</v>
      </c>
      <c r="AH26" s="174" t="n">
        <v>13.099</v>
      </c>
      <c r="AI26" s="175">
        <f>AD26*(1+AI27)</f>
        <v/>
      </c>
      <c r="AJ26" s="175">
        <f>AE26*(1+AJ27)</f>
        <v/>
      </c>
      <c r="AK26" s="175">
        <f>SUM(AG26,AH26,AI26,AJ26)</f>
        <v/>
      </c>
      <c r="AL26" s="175">
        <f>AK26*(1+AL27)</f>
        <v/>
      </c>
      <c r="AM26" s="175">
        <f>AL26*(1+AM27)</f>
        <v/>
      </c>
      <c r="AN26" s="175">
        <f>AM26*(1+AN27)</f>
        <v/>
      </c>
      <c r="AO26" s="175">
        <f>AN26*(1+AO27)</f>
        <v/>
      </c>
      <c r="AP26" s="20" t="n"/>
      <c r="AX26" s="26" t="inlineStr">
        <is>
          <t xml:space="preserve">  Minimum net debt / Adjusted EBITDA (x) — buyback floor 2027E+</t>
        </is>
      </c>
      <c r="AY26" s="185" t="n">
        <v>3</v>
      </c>
      <c r="AZ26" s="185" t="n">
        <v>2.5</v>
      </c>
      <c r="BA26" s="185" t="n">
        <v>2</v>
      </c>
      <c r="BB26" s="14" t="inlineStr">
        <is>
          <t>Net debt $830m at 30-Jun-26 = ~3.6x LTM Adjusted EBITDA (~3.1x FY26E guidance mid-point) after LMB / Harper; &lt; 5.5x keeps the SOFR + 4.25% margin. Floor = leverage at which surplus cash is returned via buybacks; until then free cash flow prepays term loans. Bull keeps more firepower deployed (higher floor).</t>
        </is>
      </c>
    </row>
    <row r="27" ht="15" customHeight="1">
      <c r="B27" s="23" t="inlineStr">
        <is>
          <t xml:space="preserve">    y/y %</t>
        </is>
      </c>
      <c r="C27" s="24" t="n"/>
      <c r="D27" s="176">
        <f>IF(AND(ISNUMBER(D26),ISNUMBER(C26)),IFERROR(D26/C26-1,""),"")</f>
        <v/>
      </c>
      <c r="E27" s="176">
        <f>IF(AND(ISNUMBER(E26),ISNUMBER(D26)),IFERROR(E26/D26-1,""),"")</f>
        <v/>
      </c>
      <c r="F27" s="176">
        <f>IF(AND(ISNUMBER(F26),ISNUMBER(E26)),IFERROR(F26/E26-1,""),"")</f>
        <v/>
      </c>
      <c r="G27" s="176">
        <f>IF(AND(ISNUMBER(G26),ISNUMBER(F26)),IFERROR(G26/F26-1,""),"")</f>
        <v/>
      </c>
      <c r="H27" s="176">
        <f>IF(AND(ISNUMBER(H26),ISNUMBER(G26)),IFERROR(H26/G26-1,""),"")</f>
        <v/>
      </c>
      <c r="I27" s="176">
        <f>IF(AND(ISNUMBER(I26),ISNUMBER(H26)),IFERROR(I26/H26-1,""),"")</f>
        <v/>
      </c>
      <c r="J27" s="176">
        <f>IF(AND(ISNUMBER(J26),ISNUMBER(I26)),IFERROR(J26/I26-1,""),"")</f>
        <v/>
      </c>
      <c r="K27" s="176">
        <f>IF(AND(ISNUMBER(K26),ISNUMBER(J26)),IFERROR(K26/J26-1,""),"")</f>
        <v/>
      </c>
      <c r="L27" s="176">
        <f>IF(AND(ISNUMBER(L26),ISNUMBER(K26)),IFERROR(L26/K26-1,""),"")</f>
        <v/>
      </c>
      <c r="M27" s="24" t="n"/>
      <c r="N27" s="24" t="n"/>
      <c r="O27" s="24" t="n"/>
      <c r="P27" s="24" t="n"/>
      <c r="Q27" s="176">
        <f>IF(AND(ISNUMBER(Q26),ISNUMBER(L26)),IFERROR(Q26/L26-1,""),"")</f>
        <v/>
      </c>
      <c r="R27" s="176">
        <f>IF(AND(ISNUMBER(R26),ISNUMBER(M26)),IFERROR(R26/M26-1,""),"")</f>
        <v/>
      </c>
      <c r="S27" s="176">
        <f>IF(AND(ISNUMBER(S26),ISNUMBER(N26)),IFERROR(S26/N26-1,""),"")</f>
        <v/>
      </c>
      <c r="T27" s="176">
        <f>IF(AND(ISNUMBER(T26),ISNUMBER(O26)),IFERROR(T26/O26-1,""),"")</f>
        <v/>
      </c>
      <c r="U27" s="176">
        <f>IF(AND(ISNUMBER(U26),ISNUMBER(P26)),IFERROR(U26/P26-1,""),"")</f>
        <v/>
      </c>
      <c r="V27" s="176">
        <f>IF(AND(ISNUMBER(V26),ISNUMBER(Q26)),IFERROR(V26/Q26-1,""),"")</f>
        <v/>
      </c>
      <c r="W27" s="176">
        <f>IF(AND(ISNUMBER(W26),ISNUMBER(R26)),IFERROR(W26/R26-1,""),"")</f>
        <v/>
      </c>
      <c r="X27" s="176">
        <f>IF(AND(ISNUMBER(X26),ISNUMBER(S26)),IFERROR(X26/S26-1,""),"")</f>
        <v/>
      </c>
      <c r="Y27" s="176">
        <f>IF(AND(ISNUMBER(Y26),ISNUMBER(T26)),IFERROR(Y26/T26-1,""),"")</f>
        <v/>
      </c>
      <c r="Z27" s="176">
        <f>IF(AND(ISNUMBER(Z26),ISNUMBER(U26)),IFERROR(Z26/U26-1,""),"")</f>
        <v/>
      </c>
      <c r="AA27" s="176">
        <f>IF(AND(ISNUMBER(AA26),ISNUMBER(V26)),IFERROR(AA26/V26-1,""),"")</f>
        <v/>
      </c>
      <c r="AB27" s="176">
        <f>IF(AND(ISNUMBER(AB26),ISNUMBER(W26)),IFERROR(AB26/W26-1,""),"")</f>
        <v/>
      </c>
      <c r="AC27" s="176">
        <f>IF(AND(ISNUMBER(AC26),ISNUMBER(X26)),IFERROR(AC26/X26-1,""),"")</f>
        <v/>
      </c>
      <c r="AD27" s="176">
        <f>IF(AND(ISNUMBER(AD26),ISNUMBER(Y26)),IFERROR(AD26/Y26-1,""),"")</f>
        <v/>
      </c>
      <c r="AE27" s="176">
        <f>IF(AND(ISNUMBER(AE26),ISNUMBER(Z26)),IFERROR(AE26/Z26-1,""),"")</f>
        <v/>
      </c>
      <c r="AF27" s="176">
        <f>IF(AND(ISNUMBER(AF26),ISNUMBER(AA26)),IFERROR(AF26/AA26-1,""),"")</f>
        <v/>
      </c>
      <c r="AG27" s="176">
        <f>IF(AND(ISNUMBER(AG26),ISNUMBER(AB26)),IFERROR(AG26/AB26-1,""),"")</f>
        <v/>
      </c>
      <c r="AH27" s="176">
        <f>IF(AND(ISNUMBER(AH26),ISNUMBER(AC26)),IFERROR(AH26/AC26-1,""),"")</f>
        <v/>
      </c>
      <c r="AI27" s="177">
        <f>AI28+$AI$101</f>
        <v/>
      </c>
      <c r="AJ27" s="177">
        <f>AJ28+$AI$101</f>
        <v/>
      </c>
      <c r="AK27" s="177">
        <f>IF(AND(ISNUMBER(AK26),ISNUMBER(AF26)),IFERROR(AK26/AF26-1,""),"")</f>
        <v/>
      </c>
      <c r="AL27" s="177">
        <f>CHOOSE(MATCH($AP$2,{"Bull","Base","Bear"},0),$AY$44,$AZ$44,$BA$44)</f>
        <v/>
      </c>
      <c r="AM27" s="177">
        <f>CHOOSE(MATCH($AP$2,{"Bull","Base","Bear"},0),$AY$45,$AZ$45,$BA$45)</f>
        <v/>
      </c>
      <c r="AN27" s="177">
        <f>CHOOSE(MATCH($AP$2,{"Bull","Base","Bear"},0),$AY$46,$AZ$46,$BA$46)</f>
        <v/>
      </c>
      <c r="AO27" s="177">
        <f>CHOOSE(MATCH($AP$2,{"Bull","Base","Bear"},0),$AY$47,$AZ$47,$BA$47)</f>
        <v/>
      </c>
      <c r="AP27" s="6" t="n"/>
    </row>
    <row r="28" ht="15" customHeight="1">
      <c r="B28" s="26" t="inlineStr">
        <is>
          <t xml:space="preserve">    Q3/Q4-26E growth before revenue calibration (1H/26 y/y)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177">
        <f>IFERROR((AG26+AH26)/(AB26+AC26)-1,0)</f>
        <v/>
      </c>
      <c r="AJ28" s="177">
        <f>IFERROR((AG26+AH26)/(AB26+AC26)-1,0)</f>
        <v/>
      </c>
      <c r="AK28" s="25" t="n"/>
      <c r="AL28" s="49" t="n"/>
      <c r="AM28" s="49" t="n"/>
      <c r="AN28" s="49" t="n"/>
      <c r="AO28" s="49" t="n"/>
      <c r="AP28" s="20" t="n"/>
      <c r="AX28" s="16" t="inlineStr">
        <is>
          <t>COM_OEM (commercial aerospace OEM sales y/y)</t>
        </is>
      </c>
      <c r="AY28" s="44" t="n">
        <v>0.03</v>
      </c>
      <c r="AZ28" s="22" t="inlineStr">
        <is>
          <t>Δ →</t>
        </is>
      </c>
      <c r="BA28" s="44" t="n">
        <v>-0.06</v>
      </c>
      <c r="BB28" s="14" t="inlineStr">
        <is>
          <t>Boeing 737 / 787 and Airbus A320 / A350 rate ramps; Harper interiors latches; FY26 commercial + BJ OEM outlook +17–20%.</t>
        </is>
      </c>
    </row>
    <row r="29" ht="15" customHeight="1">
      <c r="B29" s="17" t="inlineStr">
        <is>
          <t xml:space="preserve">  Business jet &amp; general aviation — net sales</t>
        </is>
      </c>
      <c r="C29" s="181">
        <f>IF(ISNUMBER(C23),C23+C26,"")</f>
        <v/>
      </c>
      <c r="D29" s="181">
        <f>IF(ISNUMBER(D23),D23+D26,"")</f>
        <v/>
      </c>
      <c r="E29" s="181">
        <f>IF(ISNUMBER(E23),E23+E26,"")</f>
        <v/>
      </c>
      <c r="F29" s="181">
        <f>IF(ISNUMBER(F23),F23+F26,"")</f>
        <v/>
      </c>
      <c r="G29" s="181">
        <f>IF(ISNUMBER(G23),G23+G26,"")</f>
        <v/>
      </c>
      <c r="H29" s="181">
        <f>IF(ISNUMBER(H23),H23+H26,"")</f>
        <v/>
      </c>
      <c r="I29" s="181">
        <f>IF(ISNUMBER(I23),I23+I26,"")</f>
        <v/>
      </c>
      <c r="J29" s="181">
        <f>IF(ISNUMBER(J23),J23+J26,"")</f>
        <v/>
      </c>
      <c r="K29" s="181">
        <f>IF(ISNUMBER(K23),K23+K26,"")</f>
        <v/>
      </c>
      <c r="L29" s="181">
        <f>IF(ISNUMBER(L23),L23+L26,"")</f>
        <v/>
      </c>
      <c r="M29" s="181">
        <f>IF(ISNUMBER(M23),M23+M26,"")</f>
        <v/>
      </c>
      <c r="N29" s="181">
        <f>IF(ISNUMBER(N23),N23+N26,"")</f>
        <v/>
      </c>
      <c r="O29" s="181">
        <f>IF(ISNUMBER(O23),O23+O26,"")</f>
        <v/>
      </c>
      <c r="P29" s="181">
        <f>IF(ISNUMBER(P23),P23+P26,"")</f>
        <v/>
      </c>
      <c r="Q29" s="181">
        <f>IF(ISNUMBER(Q23),Q23+Q26,"")</f>
        <v/>
      </c>
      <c r="R29" s="181">
        <f>IF(ISNUMBER(R23),R23+R26,"")</f>
        <v/>
      </c>
      <c r="S29" s="181">
        <f>IF(ISNUMBER(S23),S23+S26,"")</f>
        <v/>
      </c>
      <c r="T29" s="181">
        <f>IF(ISNUMBER(T23),T23+T26,"")</f>
        <v/>
      </c>
      <c r="U29" s="181">
        <f>IF(ISNUMBER(U23),U23+U26,"")</f>
        <v/>
      </c>
      <c r="V29" s="181">
        <f>IF(ISNUMBER(V23),V23+V26,"")</f>
        <v/>
      </c>
      <c r="W29" s="181">
        <f>IF(ISNUMBER(W23),W23+W26,"")</f>
        <v/>
      </c>
      <c r="X29" s="181">
        <f>IF(ISNUMBER(X23),X23+X26,"")</f>
        <v/>
      </c>
      <c r="Y29" s="181">
        <f>IF(ISNUMBER(Y23),Y23+Y26,"")</f>
        <v/>
      </c>
      <c r="Z29" s="181">
        <f>IF(ISNUMBER(Z23),Z23+Z26,"")</f>
        <v/>
      </c>
      <c r="AA29" s="181">
        <f>IF(ISNUMBER(AA23),AA23+AA26,"")</f>
        <v/>
      </c>
      <c r="AB29" s="181">
        <f>IF(ISNUMBER(AB23),AB23+AB26,"")</f>
        <v/>
      </c>
      <c r="AC29" s="181">
        <f>IF(ISNUMBER(AC23),AC23+AC26,"")</f>
        <v/>
      </c>
      <c r="AD29" s="181">
        <f>IF(ISNUMBER(AD23),AD23+AD26,"")</f>
        <v/>
      </c>
      <c r="AE29" s="181">
        <f>IF(ISNUMBER(AE23),AE23+AE26,"")</f>
        <v/>
      </c>
      <c r="AF29" s="181">
        <f>IF(ISNUMBER(AF23),AF23+AF26,"")</f>
        <v/>
      </c>
      <c r="AG29" s="181">
        <f>IF(ISNUMBER(AG23),AG23+AG26,"")</f>
        <v/>
      </c>
      <c r="AH29" s="181">
        <f>IF(ISNUMBER(AH23),AH23+AH26,"")</f>
        <v/>
      </c>
      <c r="AI29" s="182">
        <f>IF(ISNUMBER(AI23),AI23+AI26,"")</f>
        <v/>
      </c>
      <c r="AJ29" s="182">
        <f>IF(ISNUMBER(AJ23),AJ23+AJ26,"")</f>
        <v/>
      </c>
      <c r="AK29" s="182">
        <f>IF(ISNUMBER(AK23),AK23+AK26,"")</f>
        <v/>
      </c>
      <c r="AL29" s="182">
        <f>IF(ISNUMBER(AL23),AL23+AL26,"")</f>
        <v/>
      </c>
      <c r="AM29" s="182">
        <f>IF(ISNUMBER(AM23),AM23+AM26,"")</f>
        <v/>
      </c>
      <c r="AN29" s="182">
        <f>IF(ISNUMBER(AN23),AN23+AN26,"")</f>
        <v/>
      </c>
      <c r="AO29" s="182">
        <f>IF(ISNUMBER(AO23),AO23+AO26,"")</f>
        <v/>
      </c>
      <c r="AP29" s="6" t="n"/>
      <c r="AR29" s="21">
        <f>IFERROR((AO29/AF29)^(1/5)-1,"n/m")</f>
        <v/>
      </c>
      <c r="AS29" s="21">
        <f>IFERROR((AF29/K29)^(1/5)-1,"n/m")</f>
        <v/>
      </c>
      <c r="AT29" s="21">
        <f>IFERROR((AF29/F29)^(1/10)-1,"n/m")</f>
        <v/>
      </c>
      <c r="AU29" s="21">
        <f>IFERROR((AF29/C29)^(1/13)-1,"n/m")</f>
        <v/>
      </c>
      <c r="AX29" s="26" t="inlineStr">
        <is>
          <t xml:space="preserve">  2027E</t>
        </is>
      </c>
      <c r="AY29" s="35">
        <f>AZ29+$AY$28</f>
        <v/>
      </c>
      <c r="AZ29" s="45" t="n">
        <v>0.14</v>
      </c>
      <c r="BA29" s="35">
        <f>AZ29+$BA$28</f>
        <v/>
      </c>
    </row>
    <row r="30" ht="15" customHeight="1">
      <c r="B30" s="23" t="inlineStr">
        <is>
          <t xml:space="preserve">  Net sales y/y %</t>
        </is>
      </c>
      <c r="C30" s="24" t="n"/>
      <c r="D30" s="176">
        <f>IF(AND(ISNUMBER(D29),ISNUMBER(C29)),IFERROR(D29/C29-1,""),"")</f>
        <v/>
      </c>
      <c r="E30" s="176">
        <f>IF(AND(ISNUMBER(E29),ISNUMBER(D29)),IFERROR(E29/D29-1,""),"")</f>
        <v/>
      </c>
      <c r="F30" s="176">
        <f>IF(AND(ISNUMBER(F29),ISNUMBER(E29)),IFERROR(F29/E29-1,""),"")</f>
        <v/>
      </c>
      <c r="G30" s="176">
        <f>IF(AND(ISNUMBER(G29),ISNUMBER(F29)),IFERROR(G29/F29-1,""),"")</f>
        <v/>
      </c>
      <c r="H30" s="176">
        <f>IF(AND(ISNUMBER(H29),ISNUMBER(G29)),IFERROR(H29/G29-1,""),"")</f>
        <v/>
      </c>
      <c r="I30" s="176">
        <f>IF(AND(ISNUMBER(I29),ISNUMBER(H29)),IFERROR(I29/H29-1,""),"")</f>
        <v/>
      </c>
      <c r="J30" s="176">
        <f>IF(AND(ISNUMBER(J29),ISNUMBER(I29)),IFERROR(J29/I29-1,""),"")</f>
        <v/>
      </c>
      <c r="K30" s="176">
        <f>IF(AND(ISNUMBER(K29),ISNUMBER(J29)),IFERROR(K29/J29-1,""),"")</f>
        <v/>
      </c>
      <c r="L30" s="176">
        <f>IF(AND(ISNUMBER(L29),ISNUMBER(K29)),IFERROR(L29/K29-1,""),"")</f>
        <v/>
      </c>
      <c r="M30" s="24" t="n"/>
      <c r="N30" s="24" t="n"/>
      <c r="O30" s="24" t="n"/>
      <c r="P30" s="24" t="n"/>
      <c r="Q30" s="176">
        <f>IF(AND(ISNUMBER(Q29),ISNUMBER(L29)),IFERROR(Q29/L29-1,""),"")</f>
        <v/>
      </c>
      <c r="R30" s="176">
        <f>IF(AND(ISNUMBER(R29),ISNUMBER(M29)),IFERROR(R29/M29-1,""),"")</f>
        <v/>
      </c>
      <c r="S30" s="176">
        <f>IF(AND(ISNUMBER(S29),ISNUMBER(N29)),IFERROR(S29/N29-1,""),"")</f>
        <v/>
      </c>
      <c r="T30" s="176">
        <f>IF(AND(ISNUMBER(T29),ISNUMBER(O29)),IFERROR(T29/O29-1,""),"")</f>
        <v/>
      </c>
      <c r="U30" s="176">
        <f>IF(AND(ISNUMBER(U29),ISNUMBER(P29)),IFERROR(U29/P29-1,""),"")</f>
        <v/>
      </c>
      <c r="V30" s="176">
        <f>IF(AND(ISNUMBER(V29),ISNUMBER(Q29)),IFERROR(V29/Q29-1,""),"")</f>
        <v/>
      </c>
      <c r="W30" s="176">
        <f>IF(AND(ISNUMBER(W29),ISNUMBER(R29)),IFERROR(W29/R29-1,""),"")</f>
        <v/>
      </c>
      <c r="X30" s="176">
        <f>IF(AND(ISNUMBER(X29),ISNUMBER(S29)),IFERROR(X29/S29-1,""),"")</f>
        <v/>
      </c>
      <c r="Y30" s="176">
        <f>IF(AND(ISNUMBER(Y29),ISNUMBER(T29)),IFERROR(Y29/T29-1,""),"")</f>
        <v/>
      </c>
      <c r="Z30" s="176">
        <f>IF(AND(ISNUMBER(Z29),ISNUMBER(U29)),IFERROR(Z29/U29-1,""),"")</f>
        <v/>
      </c>
      <c r="AA30" s="176">
        <f>IF(AND(ISNUMBER(AA29),ISNUMBER(V29)),IFERROR(AA29/V29-1,""),"")</f>
        <v/>
      </c>
      <c r="AB30" s="176">
        <f>IF(AND(ISNUMBER(AB29),ISNUMBER(W29)),IFERROR(AB29/W29-1,""),"")</f>
        <v/>
      </c>
      <c r="AC30" s="176">
        <f>IF(AND(ISNUMBER(AC29),ISNUMBER(X29)),IFERROR(AC29/X29-1,""),"")</f>
        <v/>
      </c>
      <c r="AD30" s="176">
        <f>IF(AND(ISNUMBER(AD29),ISNUMBER(Y29)),IFERROR(AD29/Y29-1,""),"")</f>
        <v/>
      </c>
      <c r="AE30" s="176">
        <f>IF(AND(ISNUMBER(AE29),ISNUMBER(Z29)),IFERROR(AE29/Z29-1,""),"")</f>
        <v/>
      </c>
      <c r="AF30" s="176">
        <f>IF(AND(ISNUMBER(AF29),ISNUMBER(AA29)),IFERROR(AF29/AA29-1,""),"")</f>
        <v/>
      </c>
      <c r="AG30" s="176">
        <f>IF(AND(ISNUMBER(AG29),ISNUMBER(AB29)),IFERROR(AG29/AB29-1,""),"")</f>
        <v/>
      </c>
      <c r="AH30" s="176">
        <f>IF(AND(ISNUMBER(AH29),ISNUMBER(AC29)),IFERROR(AH29/AC29-1,""),"")</f>
        <v/>
      </c>
      <c r="AI30" s="177">
        <f>IF(AND(ISNUMBER(AI29),ISNUMBER(AD29)),IFERROR(AI29/AD29-1,""),"")</f>
        <v/>
      </c>
      <c r="AJ30" s="177">
        <f>IF(AND(ISNUMBER(AJ29),ISNUMBER(AE29)),IFERROR(AJ29/AE29-1,""),"")</f>
        <v/>
      </c>
      <c r="AK30" s="177">
        <f>IF(AND(ISNUMBER(AK29),ISNUMBER(AF29)),IFERROR(AK29/AF29-1,""),"")</f>
        <v/>
      </c>
      <c r="AL30" s="177">
        <f>IF(AND(ISNUMBER(AL29),ISNUMBER(AK29)),IFERROR(AL29/AK29-1,""),"")</f>
        <v/>
      </c>
      <c r="AM30" s="177">
        <f>IF(AND(ISNUMBER(AM29),ISNUMBER(AL29)),IFERROR(AM29/AL29-1,""),"")</f>
        <v/>
      </c>
      <c r="AN30" s="177">
        <f>IF(AND(ISNUMBER(AN29),ISNUMBER(AM29)),IFERROR(AN29/AM29-1,""),"")</f>
        <v/>
      </c>
      <c r="AO30" s="177">
        <f>IF(AND(ISNUMBER(AO29),ISNUMBER(AN29)),IFERROR(AO29/AN29-1,""),"")</f>
        <v/>
      </c>
      <c r="AP30" s="6" t="n"/>
      <c r="AX30" s="26" t="inlineStr">
        <is>
          <t xml:space="preserve">  2028E</t>
        </is>
      </c>
      <c r="AY30" s="35">
        <f>AZ30+$AY$28</f>
        <v/>
      </c>
      <c r="AZ30" s="45" t="n">
        <v>0.12</v>
      </c>
      <c r="BA30" s="35">
        <f>AZ30+$BA$28</f>
        <v/>
      </c>
    </row>
    <row r="31" ht="15" customHeight="1">
      <c r="B31" s="26" t="inlineStr">
        <is>
          <t xml:space="preserve">  % of total net sales</t>
        </is>
      </c>
      <c r="C31" s="183">
        <f>IF(AND(ISNUMBER(C29),ISNUMBER(C90)),IFERROR(C29/C90,""),"")</f>
        <v/>
      </c>
      <c r="D31" s="183">
        <f>IF(AND(ISNUMBER(D29),ISNUMBER(D90)),IFERROR(D29/D90,""),"")</f>
        <v/>
      </c>
      <c r="E31" s="183">
        <f>IF(AND(ISNUMBER(E29),ISNUMBER(E90)),IFERROR(E29/E90,""),"")</f>
        <v/>
      </c>
      <c r="F31" s="183">
        <f>IF(AND(ISNUMBER(F29),ISNUMBER(F90)),IFERROR(F29/F90,""),"")</f>
        <v/>
      </c>
      <c r="G31" s="183">
        <f>IF(AND(ISNUMBER(G29),ISNUMBER(G90)),IFERROR(G29/G90,""),"")</f>
        <v/>
      </c>
      <c r="H31" s="183">
        <f>IF(AND(ISNUMBER(H29),ISNUMBER(H90)),IFERROR(H29/H90,""),"")</f>
        <v/>
      </c>
      <c r="I31" s="183">
        <f>IF(AND(ISNUMBER(I29),ISNUMBER(I90)),IFERROR(I29/I90,""),"")</f>
        <v/>
      </c>
      <c r="J31" s="183">
        <f>IF(AND(ISNUMBER(J29),ISNUMBER(J90)),IFERROR(J29/J90,""),"")</f>
        <v/>
      </c>
      <c r="K31" s="183">
        <f>IF(AND(ISNUMBER(K29),ISNUMBER(K90)),IFERROR(K29/K90,""),"")</f>
        <v/>
      </c>
      <c r="L31" s="183">
        <f>IF(AND(ISNUMBER(L29),ISNUMBER(L90)),IFERROR(L29/L90,""),"")</f>
        <v/>
      </c>
      <c r="M31" s="183">
        <f>IF(AND(ISNUMBER(M29),ISNUMBER(M90)),IFERROR(M29/M90,""),"")</f>
        <v/>
      </c>
      <c r="N31" s="183">
        <f>IF(AND(ISNUMBER(N29),ISNUMBER(N90)),IFERROR(N29/N90,""),"")</f>
        <v/>
      </c>
      <c r="O31" s="183">
        <f>IF(AND(ISNUMBER(O29),ISNUMBER(O90)),IFERROR(O29/O90,""),"")</f>
        <v/>
      </c>
      <c r="P31" s="183">
        <f>IF(AND(ISNUMBER(P29),ISNUMBER(P90)),IFERROR(P29/P90,""),"")</f>
        <v/>
      </c>
      <c r="Q31" s="183">
        <f>IF(AND(ISNUMBER(Q29),ISNUMBER(Q90)),IFERROR(Q29/Q90,""),"")</f>
        <v/>
      </c>
      <c r="R31" s="183">
        <f>IF(AND(ISNUMBER(R29),ISNUMBER(R90)),IFERROR(R29/R90,""),"")</f>
        <v/>
      </c>
      <c r="S31" s="183">
        <f>IF(AND(ISNUMBER(S29),ISNUMBER(S90)),IFERROR(S29/S90,""),"")</f>
        <v/>
      </c>
      <c r="T31" s="183">
        <f>IF(AND(ISNUMBER(T29),ISNUMBER(T90)),IFERROR(T29/T90,""),"")</f>
        <v/>
      </c>
      <c r="U31" s="183">
        <f>IF(AND(ISNUMBER(U29),ISNUMBER(U90)),IFERROR(U29/U90,""),"")</f>
        <v/>
      </c>
      <c r="V31" s="183">
        <f>IF(AND(ISNUMBER(V29),ISNUMBER(V90)),IFERROR(V29/V90,""),"")</f>
        <v/>
      </c>
      <c r="W31" s="183">
        <f>IF(AND(ISNUMBER(W29),ISNUMBER(W90)),IFERROR(W29/W90,""),"")</f>
        <v/>
      </c>
      <c r="X31" s="183">
        <f>IF(AND(ISNUMBER(X29),ISNUMBER(X90)),IFERROR(X29/X90,""),"")</f>
        <v/>
      </c>
      <c r="Y31" s="183">
        <f>IF(AND(ISNUMBER(Y29),ISNUMBER(Y90)),IFERROR(Y29/Y90,""),"")</f>
        <v/>
      </c>
      <c r="Z31" s="183">
        <f>IF(AND(ISNUMBER(Z29),ISNUMBER(Z90)),IFERROR(Z29/Z90,""),"")</f>
        <v/>
      </c>
      <c r="AA31" s="183">
        <f>IF(AND(ISNUMBER(AA29),ISNUMBER(AA90)),IFERROR(AA29/AA90,""),"")</f>
        <v/>
      </c>
      <c r="AB31" s="183">
        <f>IF(AND(ISNUMBER(AB29),ISNUMBER(AB90)),IFERROR(AB29/AB90,""),"")</f>
        <v/>
      </c>
      <c r="AC31" s="183">
        <f>IF(AND(ISNUMBER(AC29),ISNUMBER(AC90)),IFERROR(AC29/AC90,""),"")</f>
        <v/>
      </c>
      <c r="AD31" s="183">
        <f>IF(AND(ISNUMBER(AD29),ISNUMBER(AD90)),IFERROR(AD29/AD90,""),"")</f>
        <v/>
      </c>
      <c r="AE31" s="183">
        <f>IF(AND(ISNUMBER(AE29),ISNUMBER(AE90)),IFERROR(AE29/AE90,""),"")</f>
        <v/>
      </c>
      <c r="AF31" s="183">
        <f>IF(AND(ISNUMBER(AF29),ISNUMBER(AF90)),IFERROR(AF29/AF90,""),"")</f>
        <v/>
      </c>
      <c r="AG31" s="183">
        <f>IF(AND(ISNUMBER(AG29),ISNUMBER(AG90)),IFERROR(AG29/AG90,""),"")</f>
        <v/>
      </c>
      <c r="AH31" s="183">
        <f>IF(AND(ISNUMBER(AH29),ISNUMBER(AH90)),IFERROR(AH29/AH90,""),"")</f>
        <v/>
      </c>
      <c r="AI31" s="177">
        <f>IF(AND(ISNUMBER(AI29),ISNUMBER(AI90)),IFERROR(AI29/AI90,""),"")</f>
        <v/>
      </c>
      <c r="AJ31" s="177">
        <f>IF(AND(ISNUMBER(AJ29),ISNUMBER(AJ90)),IFERROR(AJ29/AJ90,""),"")</f>
        <v/>
      </c>
      <c r="AK31" s="177">
        <f>IF(AND(ISNUMBER(AK29),ISNUMBER(AK90)),IFERROR(AK29/AK90,""),"")</f>
        <v/>
      </c>
      <c r="AL31" s="177">
        <f>IF(AND(ISNUMBER(AL29),ISNUMBER(AL90)),IFERROR(AL29/AL90,""),"")</f>
        <v/>
      </c>
      <c r="AM31" s="177">
        <f>IF(AND(ISNUMBER(AM29),ISNUMBER(AM90)),IFERROR(AM29/AM90,""),"")</f>
        <v/>
      </c>
      <c r="AN31" s="177">
        <f>IF(AND(ISNUMBER(AN29),ISNUMBER(AN90)),IFERROR(AN29/AN90,""),"")</f>
        <v/>
      </c>
      <c r="AO31" s="177">
        <f>IF(AND(ISNUMBER(AO29),ISNUMBER(AO90)),IFERROR(AO29/AO90,""),"")</f>
        <v/>
      </c>
      <c r="AP31" s="6" t="n"/>
      <c r="AX31" s="26" t="inlineStr">
        <is>
          <t xml:space="preserve">  2029E</t>
        </is>
      </c>
      <c r="AY31" s="35">
        <f>AZ31+$AY$28</f>
        <v/>
      </c>
      <c r="AZ31" s="45" t="n">
        <v>0.1</v>
      </c>
      <c r="BA31" s="35">
        <f>AZ31+$BA$28</f>
        <v/>
      </c>
    </row>
    <row r="32" ht="15" customHeight="1">
      <c r="B32" s="26" t="inlineStr">
        <is>
          <t xml:space="preserve">  Aftermarket % of end-market sales</t>
        </is>
      </c>
      <c r="C32" s="183">
        <f>IF(AND(ISNUMBER(C26),ISNUMBER(C29)),IFERROR(C26/C29,""),"")</f>
        <v/>
      </c>
      <c r="D32" s="183">
        <f>IF(AND(ISNUMBER(D26),ISNUMBER(D29)),IFERROR(D26/D29,""),"")</f>
        <v/>
      </c>
      <c r="E32" s="183">
        <f>IF(AND(ISNUMBER(E26),ISNUMBER(E29)),IFERROR(E26/E29,""),"")</f>
        <v/>
      </c>
      <c r="F32" s="183">
        <f>IF(AND(ISNUMBER(F26),ISNUMBER(F29)),IFERROR(F26/F29,""),"")</f>
        <v/>
      </c>
      <c r="G32" s="183">
        <f>IF(AND(ISNUMBER(G26),ISNUMBER(G29)),IFERROR(G26/G29,""),"")</f>
        <v/>
      </c>
      <c r="H32" s="183">
        <f>IF(AND(ISNUMBER(H26),ISNUMBER(H29)),IFERROR(H26/H29,""),"")</f>
        <v/>
      </c>
      <c r="I32" s="183">
        <f>IF(AND(ISNUMBER(I26),ISNUMBER(I29)),IFERROR(I26/I29,""),"")</f>
        <v/>
      </c>
      <c r="J32" s="183">
        <f>IF(AND(ISNUMBER(J26),ISNUMBER(J29)),IFERROR(J26/J29,""),"")</f>
        <v/>
      </c>
      <c r="K32" s="183">
        <f>IF(AND(ISNUMBER(K26),ISNUMBER(K29)),IFERROR(K26/K29,""),"")</f>
        <v/>
      </c>
      <c r="L32" s="183">
        <f>IF(AND(ISNUMBER(L26),ISNUMBER(L29)),IFERROR(L26/L29,""),"")</f>
        <v/>
      </c>
      <c r="M32" s="183">
        <f>IF(AND(ISNUMBER(M26),ISNUMBER(M29)),IFERROR(M26/M29,""),"")</f>
        <v/>
      </c>
      <c r="N32" s="183">
        <f>IF(AND(ISNUMBER(N26),ISNUMBER(N29)),IFERROR(N26/N29,""),"")</f>
        <v/>
      </c>
      <c r="O32" s="183">
        <f>IF(AND(ISNUMBER(O26),ISNUMBER(O29)),IFERROR(O26/O29,""),"")</f>
        <v/>
      </c>
      <c r="P32" s="183">
        <f>IF(AND(ISNUMBER(P26),ISNUMBER(P29)),IFERROR(P26/P29,""),"")</f>
        <v/>
      </c>
      <c r="Q32" s="183">
        <f>IF(AND(ISNUMBER(Q26),ISNUMBER(Q29)),IFERROR(Q26/Q29,""),"")</f>
        <v/>
      </c>
      <c r="R32" s="183">
        <f>IF(AND(ISNUMBER(R26),ISNUMBER(R29)),IFERROR(R26/R29,""),"")</f>
        <v/>
      </c>
      <c r="S32" s="183">
        <f>IF(AND(ISNUMBER(S26),ISNUMBER(S29)),IFERROR(S26/S29,""),"")</f>
        <v/>
      </c>
      <c r="T32" s="183">
        <f>IF(AND(ISNUMBER(T26),ISNUMBER(T29)),IFERROR(T26/T29,""),"")</f>
        <v/>
      </c>
      <c r="U32" s="183">
        <f>IF(AND(ISNUMBER(U26),ISNUMBER(U29)),IFERROR(U26/U29,""),"")</f>
        <v/>
      </c>
      <c r="V32" s="183">
        <f>IF(AND(ISNUMBER(V26),ISNUMBER(V29)),IFERROR(V26/V29,""),"")</f>
        <v/>
      </c>
      <c r="W32" s="183">
        <f>IF(AND(ISNUMBER(W26),ISNUMBER(W29)),IFERROR(W26/W29,""),"")</f>
        <v/>
      </c>
      <c r="X32" s="183">
        <f>IF(AND(ISNUMBER(X26),ISNUMBER(X29)),IFERROR(X26/X29,""),"")</f>
        <v/>
      </c>
      <c r="Y32" s="183">
        <f>IF(AND(ISNUMBER(Y26),ISNUMBER(Y29)),IFERROR(Y26/Y29,""),"")</f>
        <v/>
      </c>
      <c r="Z32" s="183">
        <f>IF(AND(ISNUMBER(Z26),ISNUMBER(Z29)),IFERROR(Z26/Z29,""),"")</f>
        <v/>
      </c>
      <c r="AA32" s="183">
        <f>IF(AND(ISNUMBER(AA26),ISNUMBER(AA29)),IFERROR(AA26/AA29,""),"")</f>
        <v/>
      </c>
      <c r="AB32" s="183">
        <f>IF(AND(ISNUMBER(AB26),ISNUMBER(AB29)),IFERROR(AB26/AB29,""),"")</f>
        <v/>
      </c>
      <c r="AC32" s="183">
        <f>IF(AND(ISNUMBER(AC26),ISNUMBER(AC29)),IFERROR(AC26/AC29,""),"")</f>
        <v/>
      </c>
      <c r="AD32" s="183">
        <f>IF(AND(ISNUMBER(AD26),ISNUMBER(AD29)),IFERROR(AD26/AD29,""),"")</f>
        <v/>
      </c>
      <c r="AE32" s="183">
        <f>IF(AND(ISNUMBER(AE26),ISNUMBER(AE29)),IFERROR(AE26/AE29,""),"")</f>
        <v/>
      </c>
      <c r="AF32" s="183">
        <f>IF(AND(ISNUMBER(AF26),ISNUMBER(AF29)),IFERROR(AF26/AF29,""),"")</f>
        <v/>
      </c>
      <c r="AG32" s="183">
        <f>IF(AND(ISNUMBER(AG26),ISNUMBER(AG29)),IFERROR(AG26/AG29,""),"")</f>
        <v/>
      </c>
      <c r="AH32" s="183">
        <f>IF(AND(ISNUMBER(AH26),ISNUMBER(AH29)),IFERROR(AH26/AH29,""),"")</f>
        <v/>
      </c>
      <c r="AI32" s="177">
        <f>IF(AND(ISNUMBER(AI26),ISNUMBER(AI29)),IFERROR(AI26/AI29,""),"")</f>
        <v/>
      </c>
      <c r="AJ32" s="177">
        <f>IF(AND(ISNUMBER(AJ26),ISNUMBER(AJ29)),IFERROR(AJ26/AJ29,""),"")</f>
        <v/>
      </c>
      <c r="AK32" s="177">
        <f>IF(AND(ISNUMBER(AK26),ISNUMBER(AK29)),IFERROR(AK26/AK29,""),"")</f>
        <v/>
      </c>
      <c r="AL32" s="177">
        <f>IF(AND(ISNUMBER(AL26),ISNUMBER(AL29)),IFERROR(AL26/AL29,""),"")</f>
        <v/>
      </c>
      <c r="AM32" s="177">
        <f>IF(AND(ISNUMBER(AM26),ISNUMBER(AM29)),IFERROR(AM26/AM29,""),"")</f>
        <v/>
      </c>
      <c r="AN32" s="177">
        <f>IF(AND(ISNUMBER(AN26),ISNUMBER(AN29)),IFERROR(AN26/AN29,""),"")</f>
        <v/>
      </c>
      <c r="AO32" s="177">
        <f>IF(AND(ISNUMBER(AO26),ISNUMBER(AO29)),IFERROR(AO26/AO29,""),"")</f>
        <v/>
      </c>
      <c r="AP32" s="6" t="n"/>
      <c r="AX32" s="26" t="inlineStr">
        <is>
          <t xml:space="preserve">  2030E</t>
        </is>
      </c>
      <c r="AY32" s="35">
        <f>AZ32+$AY$28</f>
        <v/>
      </c>
      <c r="AZ32" s="45" t="n">
        <v>0.09</v>
      </c>
      <c r="BA32" s="35">
        <f>AZ32+$BA$28</f>
        <v/>
      </c>
    </row>
    <row r="33" ht="15" customHeight="1">
      <c r="AX33" s="16" t="inlineStr">
        <is>
          <t>COM_AM (commercial aerospace aftermarket y/y)</t>
        </is>
      </c>
      <c r="AY33" s="44" t="n">
        <v>0.02</v>
      </c>
      <c r="AZ33" s="22" t="inlineStr">
        <is>
          <t>Δ →</t>
        </is>
      </c>
      <c r="BA33" s="44" t="n">
        <v>-0.04</v>
      </c>
      <c r="BB33" s="14" t="inlineStr">
        <is>
          <t>Installed-base growth, aging fleets and price (proprietary, sole-source parts); FY26 outlook low-double digits.</t>
        </is>
      </c>
    </row>
    <row r="34" ht="15" customHeight="1">
      <c r="B34" s="15" t="inlineStr">
        <is>
          <t>Defense (military aircraft components, restraints, sensors; LMB fans &amp; motors from Dec-2025)</t>
        </is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6" t="inlineStr">
        <is>
          <t>DEFENSE — modelling logic</t>
        </is>
      </c>
      <c r="AX34" s="26" t="inlineStr">
        <is>
          <t xml:space="preserve">  2027E</t>
        </is>
      </c>
      <c r="AY34" s="35">
        <f>AZ34+$AY$33</f>
        <v/>
      </c>
      <c r="AZ34" s="45" t="n">
        <v>0.1</v>
      </c>
      <c r="BA34" s="35">
        <f>AZ34+$BA$33</f>
        <v/>
      </c>
    </row>
    <row r="35" ht="15" customHeight="1">
      <c r="B35" s="26" t="inlineStr">
        <is>
          <t xml:space="preserve">  OEM net sales</t>
        </is>
      </c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174" t="n">
        <v>26.631</v>
      </c>
      <c r="R35" s="174" t="n">
        <v>7.392</v>
      </c>
      <c r="S35" s="174" t="n">
        <v>7.15</v>
      </c>
      <c r="T35" s="174" t="n">
        <v>8.004</v>
      </c>
      <c r="U35" s="174" t="n">
        <v>7.853</v>
      </c>
      <c r="V35" s="174" t="n">
        <v>30.399</v>
      </c>
      <c r="W35" s="174" t="n">
        <v>7.786</v>
      </c>
      <c r="X35" s="174" t="n">
        <v>8.855</v>
      </c>
      <c r="Y35" s="174" t="n">
        <v>10.152</v>
      </c>
      <c r="Z35" s="174" t="n">
        <v>11.523</v>
      </c>
      <c r="AA35" s="174" t="n">
        <v>38.316</v>
      </c>
      <c r="AB35" s="174" t="n">
        <v>11.726</v>
      </c>
      <c r="AC35" s="174" t="n">
        <v>14.332</v>
      </c>
      <c r="AD35" s="174" t="n">
        <v>13.752</v>
      </c>
      <c r="AE35" s="174" t="n">
        <v>16.16</v>
      </c>
      <c r="AF35" s="174" t="n">
        <v>55.97</v>
      </c>
      <c r="AG35" s="174" t="n">
        <v>23.042</v>
      </c>
      <c r="AH35" s="174" t="n">
        <v>26.971</v>
      </c>
      <c r="AI35" s="175">
        <f>AD35*(1+AI36)</f>
        <v/>
      </c>
      <c r="AJ35" s="175">
        <f>AE35*(1+AJ36)</f>
        <v/>
      </c>
      <c r="AK35" s="175">
        <f>SUM(AG35,AH35,AI35,AJ35)</f>
        <v/>
      </c>
      <c r="AL35" s="175">
        <f>AK35*(1+AL36)</f>
        <v/>
      </c>
      <c r="AM35" s="175">
        <f>AL35*(1+AM36)</f>
        <v/>
      </c>
      <c r="AN35" s="175">
        <f>AM35*(1+AN36)</f>
        <v/>
      </c>
      <c r="AO35" s="175">
        <f>AN35*(1+AO36)</f>
        <v/>
      </c>
      <c r="AP35" s="20" t="inlineStr">
        <is>
          <t>End-market sales as published (release Table 5; FY2022-23 prospectus note; Q1-23 = 1H-23 − Q2-23). Not published before 2022 or for 2022 quarters. Q3/Q4-26E: prior-year quarter × (1 + growth). 2027E+: prior year × (1 + scenario lever).</t>
        </is>
      </c>
      <c r="AX35" s="26" t="inlineStr">
        <is>
          <t xml:space="preserve">  2028E</t>
        </is>
      </c>
      <c r="AY35" s="35">
        <f>AZ35+$AY$33</f>
        <v/>
      </c>
      <c r="AZ35" s="45" t="n">
        <v>0.09</v>
      </c>
      <c r="BA35" s="35">
        <f>AZ35+$BA$33</f>
        <v/>
      </c>
    </row>
    <row r="36" ht="15" customHeight="1">
      <c r="B36" s="23" t="inlineStr">
        <is>
          <t xml:space="preserve">    y/y %</t>
        </is>
      </c>
      <c r="C36" s="24" t="n"/>
      <c r="D36" s="176">
        <f>IF(AND(ISNUMBER(D35),ISNUMBER(C35)),IFERROR(D35/C35-1,""),"")</f>
        <v/>
      </c>
      <c r="E36" s="176">
        <f>IF(AND(ISNUMBER(E35),ISNUMBER(D35)),IFERROR(E35/D35-1,""),"")</f>
        <v/>
      </c>
      <c r="F36" s="176">
        <f>IF(AND(ISNUMBER(F35),ISNUMBER(E35)),IFERROR(F35/E35-1,""),"")</f>
        <v/>
      </c>
      <c r="G36" s="176">
        <f>IF(AND(ISNUMBER(G35),ISNUMBER(F35)),IFERROR(G35/F35-1,""),"")</f>
        <v/>
      </c>
      <c r="H36" s="176">
        <f>IF(AND(ISNUMBER(H35),ISNUMBER(G35)),IFERROR(H35/G35-1,""),"")</f>
        <v/>
      </c>
      <c r="I36" s="176">
        <f>IF(AND(ISNUMBER(I35),ISNUMBER(H35)),IFERROR(I35/H35-1,""),"")</f>
        <v/>
      </c>
      <c r="J36" s="176">
        <f>IF(AND(ISNUMBER(J35),ISNUMBER(I35)),IFERROR(J35/I35-1,""),"")</f>
        <v/>
      </c>
      <c r="K36" s="176">
        <f>IF(AND(ISNUMBER(K35),ISNUMBER(J35)),IFERROR(K35/J35-1,""),"")</f>
        <v/>
      </c>
      <c r="L36" s="176">
        <f>IF(AND(ISNUMBER(L35),ISNUMBER(K35)),IFERROR(L35/K35-1,""),"")</f>
        <v/>
      </c>
      <c r="M36" s="24" t="n"/>
      <c r="N36" s="24" t="n"/>
      <c r="O36" s="24" t="n"/>
      <c r="P36" s="24" t="n"/>
      <c r="Q36" s="176">
        <f>IF(AND(ISNUMBER(Q35),ISNUMBER(L35)),IFERROR(Q35/L35-1,""),"")</f>
        <v/>
      </c>
      <c r="R36" s="176">
        <f>IF(AND(ISNUMBER(R35),ISNUMBER(M35)),IFERROR(R35/M35-1,""),"")</f>
        <v/>
      </c>
      <c r="S36" s="176">
        <f>IF(AND(ISNUMBER(S35),ISNUMBER(N35)),IFERROR(S35/N35-1,""),"")</f>
        <v/>
      </c>
      <c r="T36" s="176">
        <f>IF(AND(ISNUMBER(T35),ISNUMBER(O35)),IFERROR(T35/O35-1,""),"")</f>
        <v/>
      </c>
      <c r="U36" s="176">
        <f>IF(AND(ISNUMBER(U35),ISNUMBER(P35)),IFERROR(U35/P35-1,""),"")</f>
        <v/>
      </c>
      <c r="V36" s="176">
        <f>IF(AND(ISNUMBER(V35),ISNUMBER(Q35)),IFERROR(V35/Q35-1,""),"")</f>
        <v/>
      </c>
      <c r="W36" s="176">
        <f>IF(AND(ISNUMBER(W35),ISNUMBER(R35)),IFERROR(W35/R35-1,""),"")</f>
        <v/>
      </c>
      <c r="X36" s="176">
        <f>IF(AND(ISNUMBER(X35),ISNUMBER(S35)),IFERROR(X35/S35-1,""),"")</f>
        <v/>
      </c>
      <c r="Y36" s="176">
        <f>IF(AND(ISNUMBER(Y35),ISNUMBER(T35)),IFERROR(Y35/T35-1,""),"")</f>
        <v/>
      </c>
      <c r="Z36" s="176">
        <f>IF(AND(ISNUMBER(Z35),ISNUMBER(U35)),IFERROR(Z35/U35-1,""),"")</f>
        <v/>
      </c>
      <c r="AA36" s="176">
        <f>IF(AND(ISNUMBER(AA35),ISNUMBER(V35)),IFERROR(AA35/V35-1,""),"")</f>
        <v/>
      </c>
      <c r="AB36" s="176">
        <f>IF(AND(ISNUMBER(AB35),ISNUMBER(W35)),IFERROR(AB35/W35-1,""),"")</f>
        <v/>
      </c>
      <c r="AC36" s="176">
        <f>IF(AND(ISNUMBER(AC35),ISNUMBER(X35)),IFERROR(AC35/X35-1,""),"")</f>
        <v/>
      </c>
      <c r="AD36" s="176">
        <f>IF(AND(ISNUMBER(AD35),ISNUMBER(Y35)),IFERROR(AD35/Y35-1,""),"")</f>
        <v/>
      </c>
      <c r="AE36" s="176">
        <f>IF(AND(ISNUMBER(AE35),ISNUMBER(Z35)),IFERROR(AE35/Z35-1,""),"")</f>
        <v/>
      </c>
      <c r="AF36" s="176">
        <f>IF(AND(ISNUMBER(AF35),ISNUMBER(AA35)),IFERROR(AF35/AA35-1,""),"")</f>
        <v/>
      </c>
      <c r="AG36" s="176">
        <f>IF(AND(ISNUMBER(AG35),ISNUMBER(AB35)),IFERROR(AG35/AB35-1,""),"")</f>
        <v/>
      </c>
      <c r="AH36" s="176">
        <f>IF(AND(ISNUMBER(AH35),ISNUMBER(AC35)),IFERROR(AH35/AC35-1,""),"")</f>
        <v/>
      </c>
      <c r="AI36" s="177">
        <f>AI37+$AI$101</f>
        <v/>
      </c>
      <c r="AJ36" s="177">
        <f>AJ37+$AI$101</f>
        <v/>
      </c>
      <c r="AK36" s="177">
        <f>IF(AND(ISNUMBER(AK35),ISNUMBER(AF35)),IFERROR(AK35/AF35-1,""),"")</f>
        <v/>
      </c>
      <c r="AL36" s="177">
        <f>CHOOSE(MATCH($AP$2,{"Bull","Base","Bear"},0),$AY$49,$AZ$49,$BA$49)</f>
        <v/>
      </c>
      <c r="AM36" s="177">
        <f>CHOOSE(MATCH($AP$2,{"Bull","Base","Bear"},0),$AY$50,$AZ$50,$BA$50)</f>
        <v/>
      </c>
      <c r="AN36" s="177">
        <f>CHOOSE(MATCH($AP$2,{"Bull","Base","Bear"},0),$AY$51,$AZ$51,$BA$51)</f>
        <v/>
      </c>
      <c r="AO36" s="177">
        <f>CHOOSE(MATCH($AP$2,{"Bull","Base","Bear"},0),$AY$52,$AZ$52,$BA$52)</f>
        <v/>
      </c>
      <c r="AP36" s="6" t="inlineStr">
        <is>
          <t>Q3/Q4-26E: growth before calibration (row below) + revenue-outlook calibration Δ (Group block). 2027E–2030E: scenario lever (Bull/Base/Bear table →).</t>
        </is>
      </c>
      <c r="AX36" s="26" t="inlineStr">
        <is>
          <t xml:space="preserve">  2029E</t>
        </is>
      </c>
      <c r="AY36" s="35">
        <f>AZ36+$AY$33</f>
        <v/>
      </c>
      <c r="AZ36" s="45" t="n">
        <v>0.08</v>
      </c>
      <c r="BA36" s="35">
        <f>AZ36+$BA$33</f>
        <v/>
      </c>
    </row>
    <row r="37" ht="15" customHeight="1">
      <c r="B37" s="26" t="inlineStr">
        <is>
          <t xml:space="preserve">    Q3/Q4-26E growth before revenue calibration (1H/26 y/y)</t>
        </is>
      </c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177">
        <f>IFERROR((AG35+AH35)/(AB35+AC35)-1,0)</f>
        <v/>
      </c>
      <c r="AJ37" s="177">
        <f>IFERROR((AG35+AH35)/(AB35+AC35)-1,0)</f>
        <v/>
      </c>
      <c r="AK37" s="25" t="n"/>
      <c r="AL37" s="49" t="n"/>
      <c r="AM37" s="49" t="n"/>
      <c r="AN37" s="49" t="n"/>
      <c r="AO37" s="49" t="n"/>
      <c r="AP37" s="20" t="inlineStr">
        <is>
          <t>1H/26 y/y growth of the line: includes LMB (closed 23-Dec-2025) and Harper Engineering (21-Jan-2026), which stay inorganic through Q4/26E; Beadlight anniversaries 28-Jul-2026.</t>
        </is>
      </c>
      <c r="AX37" s="26" t="inlineStr">
        <is>
          <t xml:space="preserve">  2030E</t>
        </is>
      </c>
      <c r="AY37" s="35">
        <f>AZ37+$AY$33</f>
        <v/>
      </c>
      <c r="AZ37" s="45" t="n">
        <v>0.08</v>
      </c>
      <c r="BA37" s="35">
        <f>AZ37+$BA$33</f>
        <v/>
      </c>
    </row>
    <row r="38" ht="15" customHeight="1">
      <c r="B38" s="26" t="inlineStr">
        <is>
          <t xml:space="preserve">  Aftermarket net sales</t>
        </is>
      </c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174" t="n">
        <v>31.554</v>
      </c>
      <c r="R38" s="174" t="n">
        <v>7.842</v>
      </c>
      <c r="S38" s="174" t="n">
        <v>5.996</v>
      </c>
      <c r="T38" s="174" t="n">
        <v>7.218</v>
      </c>
      <c r="U38" s="174" t="n">
        <v>7.783</v>
      </c>
      <c r="V38" s="174" t="n">
        <v>28.839</v>
      </c>
      <c r="W38" s="174" t="n">
        <v>8.849</v>
      </c>
      <c r="X38" s="174" t="n">
        <v>12.022</v>
      </c>
      <c r="Y38" s="174" t="n">
        <v>11.81</v>
      </c>
      <c r="Z38" s="174" t="n">
        <v>17.951</v>
      </c>
      <c r="AA38" s="174" t="n">
        <v>50.632</v>
      </c>
      <c r="AB38" s="174" t="n">
        <v>17.056</v>
      </c>
      <c r="AC38" s="174" t="n">
        <v>17.139</v>
      </c>
      <c r="AD38" s="174" t="n">
        <v>15.032</v>
      </c>
      <c r="AE38" s="174" t="n">
        <v>17.442</v>
      </c>
      <c r="AF38" s="174" t="n">
        <v>66.669</v>
      </c>
      <c r="AG38" s="174" t="n">
        <v>17.607</v>
      </c>
      <c r="AH38" s="174" t="n">
        <v>18.062</v>
      </c>
      <c r="AI38" s="175">
        <f>AD38*(1+AI39)</f>
        <v/>
      </c>
      <c r="AJ38" s="175">
        <f>AE38*(1+AJ39)</f>
        <v/>
      </c>
      <c r="AK38" s="175">
        <f>SUM(AG38,AH38,AI38,AJ38)</f>
        <v/>
      </c>
      <c r="AL38" s="175">
        <f>AK38*(1+AL39)</f>
        <v/>
      </c>
      <c r="AM38" s="175">
        <f>AL38*(1+AM39)</f>
        <v/>
      </c>
      <c r="AN38" s="175">
        <f>AM38*(1+AN39)</f>
        <v/>
      </c>
      <c r="AO38" s="175">
        <f>AN38*(1+AO39)</f>
        <v/>
      </c>
      <c r="AP38" s="20" t="n"/>
      <c r="AX38" s="16" t="inlineStr">
        <is>
          <t>BJ_OEM (business jet &amp; GA OEM y/y)</t>
        </is>
      </c>
      <c r="AY38" s="44" t="n">
        <v>0.02</v>
      </c>
      <c r="AZ38" s="22" t="inlineStr">
        <is>
          <t>Δ →</t>
        </is>
      </c>
      <c r="BA38" s="44" t="n">
        <v>-0.05</v>
      </c>
      <c r="BB38" s="14" t="inlineStr">
        <is>
          <t>Business-jet deliveries (Gulfstream G700/G800, Bombardier Global 8000, Textron); auto-throttle content.</t>
        </is>
      </c>
    </row>
    <row r="39" ht="15" customHeight="1">
      <c r="B39" s="23" t="inlineStr">
        <is>
          <t xml:space="preserve">    y/y %</t>
        </is>
      </c>
      <c r="C39" s="24" t="n"/>
      <c r="D39" s="176">
        <f>IF(AND(ISNUMBER(D38),ISNUMBER(C38)),IFERROR(D38/C38-1,""),"")</f>
        <v/>
      </c>
      <c r="E39" s="176">
        <f>IF(AND(ISNUMBER(E38),ISNUMBER(D38)),IFERROR(E38/D38-1,""),"")</f>
        <v/>
      </c>
      <c r="F39" s="176">
        <f>IF(AND(ISNUMBER(F38),ISNUMBER(E38)),IFERROR(F38/E38-1,""),"")</f>
        <v/>
      </c>
      <c r="G39" s="176">
        <f>IF(AND(ISNUMBER(G38),ISNUMBER(F38)),IFERROR(G38/F38-1,""),"")</f>
        <v/>
      </c>
      <c r="H39" s="176">
        <f>IF(AND(ISNUMBER(H38),ISNUMBER(G38)),IFERROR(H38/G38-1,""),"")</f>
        <v/>
      </c>
      <c r="I39" s="176">
        <f>IF(AND(ISNUMBER(I38),ISNUMBER(H38)),IFERROR(I38/H38-1,""),"")</f>
        <v/>
      </c>
      <c r="J39" s="176">
        <f>IF(AND(ISNUMBER(J38),ISNUMBER(I38)),IFERROR(J38/I38-1,""),"")</f>
        <v/>
      </c>
      <c r="K39" s="176">
        <f>IF(AND(ISNUMBER(K38),ISNUMBER(J38)),IFERROR(K38/J38-1,""),"")</f>
        <v/>
      </c>
      <c r="L39" s="176">
        <f>IF(AND(ISNUMBER(L38),ISNUMBER(K38)),IFERROR(L38/K38-1,""),"")</f>
        <v/>
      </c>
      <c r="M39" s="24" t="n"/>
      <c r="N39" s="24" t="n"/>
      <c r="O39" s="24" t="n"/>
      <c r="P39" s="24" t="n"/>
      <c r="Q39" s="176">
        <f>IF(AND(ISNUMBER(Q38),ISNUMBER(L38)),IFERROR(Q38/L38-1,""),"")</f>
        <v/>
      </c>
      <c r="R39" s="176">
        <f>IF(AND(ISNUMBER(R38),ISNUMBER(M38)),IFERROR(R38/M38-1,""),"")</f>
        <v/>
      </c>
      <c r="S39" s="176">
        <f>IF(AND(ISNUMBER(S38),ISNUMBER(N38)),IFERROR(S38/N38-1,""),"")</f>
        <v/>
      </c>
      <c r="T39" s="176">
        <f>IF(AND(ISNUMBER(T38),ISNUMBER(O38)),IFERROR(T38/O38-1,""),"")</f>
        <v/>
      </c>
      <c r="U39" s="176">
        <f>IF(AND(ISNUMBER(U38),ISNUMBER(P38)),IFERROR(U38/P38-1,""),"")</f>
        <v/>
      </c>
      <c r="V39" s="176">
        <f>IF(AND(ISNUMBER(V38),ISNUMBER(Q38)),IFERROR(V38/Q38-1,""),"")</f>
        <v/>
      </c>
      <c r="W39" s="176">
        <f>IF(AND(ISNUMBER(W38),ISNUMBER(R38)),IFERROR(W38/R38-1,""),"")</f>
        <v/>
      </c>
      <c r="X39" s="176">
        <f>IF(AND(ISNUMBER(X38),ISNUMBER(S38)),IFERROR(X38/S38-1,""),"")</f>
        <v/>
      </c>
      <c r="Y39" s="176">
        <f>IF(AND(ISNUMBER(Y38),ISNUMBER(T38)),IFERROR(Y38/T38-1,""),"")</f>
        <v/>
      </c>
      <c r="Z39" s="176">
        <f>IF(AND(ISNUMBER(Z38),ISNUMBER(U38)),IFERROR(Z38/U38-1,""),"")</f>
        <v/>
      </c>
      <c r="AA39" s="176">
        <f>IF(AND(ISNUMBER(AA38),ISNUMBER(V38)),IFERROR(AA38/V38-1,""),"")</f>
        <v/>
      </c>
      <c r="AB39" s="176">
        <f>IF(AND(ISNUMBER(AB38),ISNUMBER(W38)),IFERROR(AB38/W38-1,""),"")</f>
        <v/>
      </c>
      <c r="AC39" s="176">
        <f>IF(AND(ISNUMBER(AC38),ISNUMBER(X38)),IFERROR(AC38/X38-1,""),"")</f>
        <v/>
      </c>
      <c r="AD39" s="176">
        <f>IF(AND(ISNUMBER(AD38),ISNUMBER(Y38)),IFERROR(AD38/Y38-1,""),"")</f>
        <v/>
      </c>
      <c r="AE39" s="176">
        <f>IF(AND(ISNUMBER(AE38),ISNUMBER(Z38)),IFERROR(AE38/Z38-1,""),"")</f>
        <v/>
      </c>
      <c r="AF39" s="176">
        <f>IF(AND(ISNUMBER(AF38),ISNUMBER(AA38)),IFERROR(AF38/AA38-1,""),"")</f>
        <v/>
      </c>
      <c r="AG39" s="176">
        <f>IF(AND(ISNUMBER(AG38),ISNUMBER(AB38)),IFERROR(AG38/AB38-1,""),"")</f>
        <v/>
      </c>
      <c r="AH39" s="176">
        <f>IF(AND(ISNUMBER(AH38),ISNUMBER(AC38)),IFERROR(AH38/AC38-1,""),"")</f>
        <v/>
      </c>
      <c r="AI39" s="177">
        <f>AI40+$AI$101</f>
        <v/>
      </c>
      <c r="AJ39" s="177">
        <f>AJ40+$AI$101</f>
        <v/>
      </c>
      <c r="AK39" s="177">
        <f>IF(AND(ISNUMBER(AK38),ISNUMBER(AF38)),IFERROR(AK38/AF38-1,""),"")</f>
        <v/>
      </c>
      <c r="AL39" s="177">
        <f>CHOOSE(MATCH($AP$2,{"Bull","Base","Bear"},0),$AY$54,$AZ$54,$BA$54)</f>
        <v/>
      </c>
      <c r="AM39" s="177">
        <f>CHOOSE(MATCH($AP$2,{"Bull","Base","Bear"},0),$AY$55,$AZ$55,$BA$55)</f>
        <v/>
      </c>
      <c r="AN39" s="177">
        <f>CHOOSE(MATCH($AP$2,{"Bull","Base","Bear"},0),$AY$56,$AZ$56,$BA$56)</f>
        <v/>
      </c>
      <c r="AO39" s="177">
        <f>CHOOSE(MATCH($AP$2,{"Bull","Base","Bear"},0),$AY$57,$AZ$57,$BA$57)</f>
        <v/>
      </c>
      <c r="AP39" s="6" t="n"/>
      <c r="AX39" s="26" t="inlineStr">
        <is>
          <t xml:space="preserve">  2027E</t>
        </is>
      </c>
      <c r="AY39" s="35">
        <f>AZ39+$AY$38</f>
        <v/>
      </c>
      <c r="AZ39" s="45" t="n">
        <v>0.07000000000000001</v>
      </c>
      <c r="BA39" s="35">
        <f>AZ39+$BA$38</f>
        <v/>
      </c>
    </row>
    <row r="40" ht="15" customHeight="1">
      <c r="B40" s="26" t="inlineStr">
        <is>
          <t xml:space="preserve">    Q3/Q4-26E growth before revenue calibration (1H/26 y/y)</t>
        </is>
      </c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177">
        <f>IFERROR((AG38+AH38)/(AB38+AC38)-1,0)</f>
        <v/>
      </c>
      <c r="AJ40" s="177">
        <f>IFERROR((AG38+AH38)/(AB38+AC38)-1,0)</f>
        <v/>
      </c>
      <c r="AK40" s="25" t="n"/>
      <c r="AL40" s="49" t="n"/>
      <c r="AM40" s="49" t="n"/>
      <c r="AN40" s="49" t="n"/>
      <c r="AO40" s="49" t="n"/>
      <c r="AP40" s="20" t="n"/>
      <c r="AX40" s="26" t="inlineStr">
        <is>
          <t xml:space="preserve">  2028E</t>
        </is>
      </c>
      <c r="AY40" s="35">
        <f>AZ40+$AY$38</f>
        <v/>
      </c>
      <c r="AZ40" s="45" t="n">
        <v>0.06</v>
      </c>
      <c r="BA40" s="35">
        <f>AZ40+$BA$38</f>
        <v/>
      </c>
    </row>
    <row r="41" ht="15" customHeight="1">
      <c r="B41" s="17" t="inlineStr">
        <is>
          <t xml:space="preserve">  Defense — net sales</t>
        </is>
      </c>
      <c r="C41" s="181">
        <f>IF(ISNUMBER(C35),C35+C38,"")</f>
        <v/>
      </c>
      <c r="D41" s="181">
        <f>IF(ISNUMBER(D35),D35+D38,"")</f>
        <v/>
      </c>
      <c r="E41" s="181">
        <f>IF(ISNUMBER(E35),E35+E38,"")</f>
        <v/>
      </c>
      <c r="F41" s="181">
        <f>IF(ISNUMBER(F35),F35+F38,"")</f>
        <v/>
      </c>
      <c r="G41" s="181">
        <f>IF(ISNUMBER(G35),G35+G38,"")</f>
        <v/>
      </c>
      <c r="H41" s="181">
        <f>IF(ISNUMBER(H35),H35+H38,"")</f>
        <v/>
      </c>
      <c r="I41" s="181">
        <f>IF(ISNUMBER(I35),I35+I38,"")</f>
        <v/>
      </c>
      <c r="J41" s="181">
        <f>IF(ISNUMBER(J35),J35+J38,"")</f>
        <v/>
      </c>
      <c r="K41" s="181">
        <f>IF(ISNUMBER(K35),K35+K38,"")</f>
        <v/>
      </c>
      <c r="L41" s="181">
        <f>IF(ISNUMBER(L35),L35+L38,"")</f>
        <v/>
      </c>
      <c r="M41" s="181">
        <f>IF(ISNUMBER(M35),M35+M38,"")</f>
        <v/>
      </c>
      <c r="N41" s="181">
        <f>IF(ISNUMBER(N35),N35+N38,"")</f>
        <v/>
      </c>
      <c r="O41" s="181">
        <f>IF(ISNUMBER(O35),O35+O38,"")</f>
        <v/>
      </c>
      <c r="P41" s="181">
        <f>IF(ISNUMBER(P35),P35+P38,"")</f>
        <v/>
      </c>
      <c r="Q41" s="181">
        <f>IF(ISNUMBER(Q35),Q35+Q38,"")</f>
        <v/>
      </c>
      <c r="R41" s="181">
        <f>IF(ISNUMBER(R35),R35+R38,"")</f>
        <v/>
      </c>
      <c r="S41" s="181">
        <f>IF(ISNUMBER(S35),S35+S38,"")</f>
        <v/>
      </c>
      <c r="T41" s="181">
        <f>IF(ISNUMBER(T35),T35+T38,"")</f>
        <v/>
      </c>
      <c r="U41" s="181">
        <f>IF(ISNUMBER(U35),U35+U38,"")</f>
        <v/>
      </c>
      <c r="V41" s="181">
        <f>IF(ISNUMBER(V35),V35+V38,"")</f>
        <v/>
      </c>
      <c r="W41" s="181">
        <f>IF(ISNUMBER(W35),W35+W38,"")</f>
        <v/>
      </c>
      <c r="X41" s="181">
        <f>IF(ISNUMBER(X35),X35+X38,"")</f>
        <v/>
      </c>
      <c r="Y41" s="181">
        <f>IF(ISNUMBER(Y35),Y35+Y38,"")</f>
        <v/>
      </c>
      <c r="Z41" s="181">
        <f>IF(ISNUMBER(Z35),Z35+Z38,"")</f>
        <v/>
      </c>
      <c r="AA41" s="181">
        <f>IF(ISNUMBER(AA35),AA35+AA38,"")</f>
        <v/>
      </c>
      <c r="AB41" s="181">
        <f>IF(ISNUMBER(AB35),AB35+AB38,"")</f>
        <v/>
      </c>
      <c r="AC41" s="181">
        <f>IF(ISNUMBER(AC35),AC35+AC38,"")</f>
        <v/>
      </c>
      <c r="AD41" s="181">
        <f>IF(ISNUMBER(AD35),AD35+AD38,"")</f>
        <v/>
      </c>
      <c r="AE41" s="181">
        <f>IF(ISNUMBER(AE35),AE35+AE38,"")</f>
        <v/>
      </c>
      <c r="AF41" s="181">
        <f>IF(ISNUMBER(AF35),AF35+AF38,"")</f>
        <v/>
      </c>
      <c r="AG41" s="181">
        <f>IF(ISNUMBER(AG35),AG35+AG38,"")</f>
        <v/>
      </c>
      <c r="AH41" s="181">
        <f>IF(ISNUMBER(AH35),AH35+AH38,"")</f>
        <v/>
      </c>
      <c r="AI41" s="182">
        <f>IF(ISNUMBER(AI35),AI35+AI38,"")</f>
        <v/>
      </c>
      <c r="AJ41" s="182">
        <f>IF(ISNUMBER(AJ35),AJ35+AJ38,"")</f>
        <v/>
      </c>
      <c r="AK41" s="182">
        <f>IF(ISNUMBER(AK35),AK35+AK38,"")</f>
        <v/>
      </c>
      <c r="AL41" s="182">
        <f>IF(ISNUMBER(AL35),AL35+AL38,"")</f>
        <v/>
      </c>
      <c r="AM41" s="182">
        <f>IF(ISNUMBER(AM35),AM35+AM38,"")</f>
        <v/>
      </c>
      <c r="AN41" s="182">
        <f>IF(ISNUMBER(AN35),AN35+AN38,"")</f>
        <v/>
      </c>
      <c r="AO41" s="182">
        <f>IF(ISNUMBER(AO35),AO35+AO38,"")</f>
        <v/>
      </c>
      <c r="AP41" s="6" t="n"/>
      <c r="AR41" s="21">
        <f>IFERROR((AO41/AF41)^(1/5)-1,"n/m")</f>
        <v/>
      </c>
      <c r="AS41" s="21">
        <f>IFERROR((AF41/K41)^(1/5)-1,"n/m")</f>
        <v/>
      </c>
      <c r="AT41" s="21">
        <f>IFERROR((AF41/F41)^(1/10)-1,"n/m")</f>
        <v/>
      </c>
      <c r="AU41" s="21">
        <f>IFERROR((AF41/C41)^(1/13)-1,"n/m")</f>
        <v/>
      </c>
      <c r="AX41" s="26" t="inlineStr">
        <is>
          <t xml:space="preserve">  2029E</t>
        </is>
      </c>
      <c r="AY41" s="35">
        <f>AZ41+$AY$38</f>
        <v/>
      </c>
      <c r="AZ41" s="45" t="n">
        <v>0.06</v>
      </c>
      <c r="BA41" s="35">
        <f>AZ41+$BA$38</f>
        <v/>
      </c>
    </row>
    <row r="42" ht="15" customHeight="1">
      <c r="B42" s="23" t="inlineStr">
        <is>
          <t xml:space="preserve">  Net sales y/y %</t>
        </is>
      </c>
      <c r="C42" s="24" t="n"/>
      <c r="D42" s="176">
        <f>IF(AND(ISNUMBER(D41),ISNUMBER(C41)),IFERROR(D41/C41-1,""),"")</f>
        <v/>
      </c>
      <c r="E42" s="176">
        <f>IF(AND(ISNUMBER(E41),ISNUMBER(D41)),IFERROR(E41/D41-1,""),"")</f>
        <v/>
      </c>
      <c r="F42" s="176">
        <f>IF(AND(ISNUMBER(F41),ISNUMBER(E41)),IFERROR(F41/E41-1,""),"")</f>
        <v/>
      </c>
      <c r="G42" s="176">
        <f>IF(AND(ISNUMBER(G41),ISNUMBER(F41)),IFERROR(G41/F41-1,""),"")</f>
        <v/>
      </c>
      <c r="H42" s="176">
        <f>IF(AND(ISNUMBER(H41),ISNUMBER(G41)),IFERROR(H41/G41-1,""),"")</f>
        <v/>
      </c>
      <c r="I42" s="176">
        <f>IF(AND(ISNUMBER(I41),ISNUMBER(H41)),IFERROR(I41/H41-1,""),"")</f>
        <v/>
      </c>
      <c r="J42" s="176">
        <f>IF(AND(ISNUMBER(J41),ISNUMBER(I41)),IFERROR(J41/I41-1,""),"")</f>
        <v/>
      </c>
      <c r="K42" s="176">
        <f>IF(AND(ISNUMBER(K41),ISNUMBER(J41)),IFERROR(K41/J41-1,""),"")</f>
        <v/>
      </c>
      <c r="L42" s="176">
        <f>IF(AND(ISNUMBER(L41),ISNUMBER(K41)),IFERROR(L41/K41-1,""),"")</f>
        <v/>
      </c>
      <c r="M42" s="24" t="n"/>
      <c r="N42" s="24" t="n"/>
      <c r="O42" s="24" t="n"/>
      <c r="P42" s="24" t="n"/>
      <c r="Q42" s="176">
        <f>IF(AND(ISNUMBER(Q41),ISNUMBER(L41)),IFERROR(Q41/L41-1,""),"")</f>
        <v/>
      </c>
      <c r="R42" s="176">
        <f>IF(AND(ISNUMBER(R41),ISNUMBER(M41)),IFERROR(R41/M41-1,""),"")</f>
        <v/>
      </c>
      <c r="S42" s="176">
        <f>IF(AND(ISNUMBER(S41),ISNUMBER(N41)),IFERROR(S41/N41-1,""),"")</f>
        <v/>
      </c>
      <c r="T42" s="176">
        <f>IF(AND(ISNUMBER(T41),ISNUMBER(O41)),IFERROR(T41/O41-1,""),"")</f>
        <v/>
      </c>
      <c r="U42" s="176">
        <f>IF(AND(ISNUMBER(U41),ISNUMBER(P41)),IFERROR(U41/P41-1,""),"")</f>
        <v/>
      </c>
      <c r="V42" s="176">
        <f>IF(AND(ISNUMBER(V41),ISNUMBER(Q41)),IFERROR(V41/Q41-1,""),"")</f>
        <v/>
      </c>
      <c r="W42" s="176">
        <f>IF(AND(ISNUMBER(W41),ISNUMBER(R41)),IFERROR(W41/R41-1,""),"")</f>
        <v/>
      </c>
      <c r="X42" s="176">
        <f>IF(AND(ISNUMBER(X41),ISNUMBER(S41)),IFERROR(X41/S41-1,""),"")</f>
        <v/>
      </c>
      <c r="Y42" s="176">
        <f>IF(AND(ISNUMBER(Y41),ISNUMBER(T41)),IFERROR(Y41/T41-1,""),"")</f>
        <v/>
      </c>
      <c r="Z42" s="176">
        <f>IF(AND(ISNUMBER(Z41),ISNUMBER(U41)),IFERROR(Z41/U41-1,""),"")</f>
        <v/>
      </c>
      <c r="AA42" s="176">
        <f>IF(AND(ISNUMBER(AA41),ISNUMBER(V41)),IFERROR(AA41/V41-1,""),"")</f>
        <v/>
      </c>
      <c r="AB42" s="176">
        <f>IF(AND(ISNUMBER(AB41),ISNUMBER(W41)),IFERROR(AB41/W41-1,""),"")</f>
        <v/>
      </c>
      <c r="AC42" s="176">
        <f>IF(AND(ISNUMBER(AC41),ISNUMBER(X41)),IFERROR(AC41/X41-1,""),"")</f>
        <v/>
      </c>
      <c r="AD42" s="176">
        <f>IF(AND(ISNUMBER(AD41),ISNUMBER(Y41)),IFERROR(AD41/Y41-1,""),"")</f>
        <v/>
      </c>
      <c r="AE42" s="176">
        <f>IF(AND(ISNUMBER(AE41),ISNUMBER(Z41)),IFERROR(AE41/Z41-1,""),"")</f>
        <v/>
      </c>
      <c r="AF42" s="176">
        <f>IF(AND(ISNUMBER(AF41),ISNUMBER(AA41)),IFERROR(AF41/AA41-1,""),"")</f>
        <v/>
      </c>
      <c r="AG42" s="176">
        <f>IF(AND(ISNUMBER(AG41),ISNUMBER(AB41)),IFERROR(AG41/AB41-1,""),"")</f>
        <v/>
      </c>
      <c r="AH42" s="176">
        <f>IF(AND(ISNUMBER(AH41),ISNUMBER(AC41)),IFERROR(AH41/AC41-1,""),"")</f>
        <v/>
      </c>
      <c r="AI42" s="177">
        <f>IF(AND(ISNUMBER(AI41),ISNUMBER(AD41)),IFERROR(AI41/AD41-1,""),"")</f>
        <v/>
      </c>
      <c r="AJ42" s="177">
        <f>IF(AND(ISNUMBER(AJ41),ISNUMBER(AE41)),IFERROR(AJ41/AE41-1,""),"")</f>
        <v/>
      </c>
      <c r="AK42" s="177">
        <f>IF(AND(ISNUMBER(AK41),ISNUMBER(AF41)),IFERROR(AK41/AF41-1,""),"")</f>
        <v/>
      </c>
      <c r="AL42" s="177">
        <f>IF(AND(ISNUMBER(AL41),ISNUMBER(AK41)),IFERROR(AL41/AK41-1,""),"")</f>
        <v/>
      </c>
      <c r="AM42" s="177">
        <f>IF(AND(ISNUMBER(AM41),ISNUMBER(AL41)),IFERROR(AM41/AL41-1,""),"")</f>
        <v/>
      </c>
      <c r="AN42" s="177">
        <f>IF(AND(ISNUMBER(AN41),ISNUMBER(AM41)),IFERROR(AN41/AM41-1,""),"")</f>
        <v/>
      </c>
      <c r="AO42" s="177">
        <f>IF(AND(ISNUMBER(AO41),ISNUMBER(AN41)),IFERROR(AO41/AN41-1,""),"")</f>
        <v/>
      </c>
      <c r="AP42" s="6" t="n"/>
      <c r="AX42" s="26" t="inlineStr">
        <is>
          <t xml:space="preserve">  2030E</t>
        </is>
      </c>
      <c r="AY42" s="35">
        <f>AZ42+$AY$38</f>
        <v/>
      </c>
      <c r="AZ42" s="45" t="n">
        <v>0.05</v>
      </c>
      <c r="BA42" s="35">
        <f>AZ42+$BA$38</f>
        <v/>
      </c>
    </row>
    <row r="43" ht="15" customHeight="1">
      <c r="B43" s="26" t="inlineStr">
        <is>
          <t xml:space="preserve">  % of total net sales</t>
        </is>
      </c>
      <c r="C43" s="183">
        <f>IF(AND(ISNUMBER(C41),ISNUMBER(C90)),IFERROR(C41/C90,""),"")</f>
        <v/>
      </c>
      <c r="D43" s="183">
        <f>IF(AND(ISNUMBER(D41),ISNUMBER(D90)),IFERROR(D41/D90,""),"")</f>
        <v/>
      </c>
      <c r="E43" s="183">
        <f>IF(AND(ISNUMBER(E41),ISNUMBER(E90)),IFERROR(E41/E90,""),"")</f>
        <v/>
      </c>
      <c r="F43" s="183">
        <f>IF(AND(ISNUMBER(F41),ISNUMBER(F90)),IFERROR(F41/F90,""),"")</f>
        <v/>
      </c>
      <c r="G43" s="183">
        <f>IF(AND(ISNUMBER(G41),ISNUMBER(G90)),IFERROR(G41/G90,""),"")</f>
        <v/>
      </c>
      <c r="H43" s="183">
        <f>IF(AND(ISNUMBER(H41),ISNUMBER(H90)),IFERROR(H41/H90,""),"")</f>
        <v/>
      </c>
      <c r="I43" s="183">
        <f>IF(AND(ISNUMBER(I41),ISNUMBER(I90)),IFERROR(I41/I90,""),"")</f>
        <v/>
      </c>
      <c r="J43" s="183">
        <f>IF(AND(ISNUMBER(J41),ISNUMBER(J90)),IFERROR(J41/J90,""),"")</f>
        <v/>
      </c>
      <c r="K43" s="183">
        <f>IF(AND(ISNUMBER(K41),ISNUMBER(K90)),IFERROR(K41/K90,""),"")</f>
        <v/>
      </c>
      <c r="L43" s="183">
        <f>IF(AND(ISNUMBER(L41),ISNUMBER(L90)),IFERROR(L41/L90,""),"")</f>
        <v/>
      </c>
      <c r="M43" s="183">
        <f>IF(AND(ISNUMBER(M41),ISNUMBER(M90)),IFERROR(M41/M90,""),"")</f>
        <v/>
      </c>
      <c r="N43" s="183">
        <f>IF(AND(ISNUMBER(N41),ISNUMBER(N90)),IFERROR(N41/N90,""),"")</f>
        <v/>
      </c>
      <c r="O43" s="183">
        <f>IF(AND(ISNUMBER(O41),ISNUMBER(O90)),IFERROR(O41/O90,""),"")</f>
        <v/>
      </c>
      <c r="P43" s="183">
        <f>IF(AND(ISNUMBER(P41),ISNUMBER(P90)),IFERROR(P41/P90,""),"")</f>
        <v/>
      </c>
      <c r="Q43" s="183">
        <f>IF(AND(ISNUMBER(Q41),ISNUMBER(Q90)),IFERROR(Q41/Q90,""),"")</f>
        <v/>
      </c>
      <c r="R43" s="183">
        <f>IF(AND(ISNUMBER(R41),ISNUMBER(R90)),IFERROR(R41/R90,""),"")</f>
        <v/>
      </c>
      <c r="S43" s="183">
        <f>IF(AND(ISNUMBER(S41),ISNUMBER(S90)),IFERROR(S41/S90,""),"")</f>
        <v/>
      </c>
      <c r="T43" s="183">
        <f>IF(AND(ISNUMBER(T41),ISNUMBER(T90)),IFERROR(T41/T90,""),"")</f>
        <v/>
      </c>
      <c r="U43" s="183">
        <f>IF(AND(ISNUMBER(U41),ISNUMBER(U90)),IFERROR(U41/U90,""),"")</f>
        <v/>
      </c>
      <c r="V43" s="183">
        <f>IF(AND(ISNUMBER(V41),ISNUMBER(V90)),IFERROR(V41/V90,""),"")</f>
        <v/>
      </c>
      <c r="W43" s="183">
        <f>IF(AND(ISNUMBER(W41),ISNUMBER(W90)),IFERROR(W41/W90,""),"")</f>
        <v/>
      </c>
      <c r="X43" s="183">
        <f>IF(AND(ISNUMBER(X41),ISNUMBER(X90)),IFERROR(X41/X90,""),"")</f>
        <v/>
      </c>
      <c r="Y43" s="183">
        <f>IF(AND(ISNUMBER(Y41),ISNUMBER(Y90)),IFERROR(Y41/Y90,""),"")</f>
        <v/>
      </c>
      <c r="Z43" s="183">
        <f>IF(AND(ISNUMBER(Z41),ISNUMBER(Z90)),IFERROR(Z41/Z90,""),"")</f>
        <v/>
      </c>
      <c r="AA43" s="183">
        <f>IF(AND(ISNUMBER(AA41),ISNUMBER(AA90)),IFERROR(AA41/AA90,""),"")</f>
        <v/>
      </c>
      <c r="AB43" s="183">
        <f>IF(AND(ISNUMBER(AB41),ISNUMBER(AB90)),IFERROR(AB41/AB90,""),"")</f>
        <v/>
      </c>
      <c r="AC43" s="183">
        <f>IF(AND(ISNUMBER(AC41),ISNUMBER(AC90)),IFERROR(AC41/AC90,""),"")</f>
        <v/>
      </c>
      <c r="AD43" s="183">
        <f>IF(AND(ISNUMBER(AD41),ISNUMBER(AD90)),IFERROR(AD41/AD90,""),"")</f>
        <v/>
      </c>
      <c r="AE43" s="183">
        <f>IF(AND(ISNUMBER(AE41),ISNUMBER(AE90)),IFERROR(AE41/AE90,""),"")</f>
        <v/>
      </c>
      <c r="AF43" s="183">
        <f>IF(AND(ISNUMBER(AF41),ISNUMBER(AF90)),IFERROR(AF41/AF90,""),"")</f>
        <v/>
      </c>
      <c r="AG43" s="183">
        <f>IF(AND(ISNUMBER(AG41),ISNUMBER(AG90)),IFERROR(AG41/AG90,""),"")</f>
        <v/>
      </c>
      <c r="AH43" s="183">
        <f>IF(AND(ISNUMBER(AH41),ISNUMBER(AH90)),IFERROR(AH41/AH90,""),"")</f>
        <v/>
      </c>
      <c r="AI43" s="177">
        <f>IF(AND(ISNUMBER(AI41),ISNUMBER(AI90)),IFERROR(AI41/AI90,""),"")</f>
        <v/>
      </c>
      <c r="AJ43" s="177">
        <f>IF(AND(ISNUMBER(AJ41),ISNUMBER(AJ90)),IFERROR(AJ41/AJ90,""),"")</f>
        <v/>
      </c>
      <c r="AK43" s="177">
        <f>IF(AND(ISNUMBER(AK41),ISNUMBER(AK90)),IFERROR(AK41/AK90,""),"")</f>
        <v/>
      </c>
      <c r="AL43" s="177">
        <f>IF(AND(ISNUMBER(AL41),ISNUMBER(AL90)),IFERROR(AL41/AL90,""),"")</f>
        <v/>
      </c>
      <c r="AM43" s="177">
        <f>IF(AND(ISNUMBER(AM41),ISNUMBER(AM90)),IFERROR(AM41/AM90,""),"")</f>
        <v/>
      </c>
      <c r="AN43" s="177">
        <f>IF(AND(ISNUMBER(AN41),ISNUMBER(AN90)),IFERROR(AN41/AN90,""),"")</f>
        <v/>
      </c>
      <c r="AO43" s="177">
        <f>IF(AND(ISNUMBER(AO41),ISNUMBER(AO90)),IFERROR(AO41/AO90,""),"")</f>
        <v/>
      </c>
      <c r="AP43" s="6" t="n"/>
      <c r="AX43" s="16" t="inlineStr">
        <is>
          <t>BJ_AM (business jet &amp; GA aftermarket y/y)</t>
        </is>
      </c>
      <c r="AY43" s="44" t="n">
        <v>0.02</v>
      </c>
      <c r="AZ43" s="22" t="inlineStr">
        <is>
          <t>Δ →</t>
        </is>
      </c>
      <c r="BA43" s="44" t="n">
        <v>-0.03</v>
      </c>
      <c r="BB43" s="14" t="inlineStr">
        <is>
          <t>Flight hours of the business-jet fleet; brakes and replacement parts.</t>
        </is>
      </c>
    </row>
    <row r="44" ht="15" customHeight="1">
      <c r="B44" s="26" t="inlineStr">
        <is>
          <t xml:space="preserve">  Aftermarket % of end-market sales</t>
        </is>
      </c>
      <c r="C44" s="183">
        <f>IF(AND(ISNUMBER(C38),ISNUMBER(C41)),IFERROR(C38/C41,""),"")</f>
        <v/>
      </c>
      <c r="D44" s="183">
        <f>IF(AND(ISNUMBER(D38),ISNUMBER(D41)),IFERROR(D38/D41,""),"")</f>
        <v/>
      </c>
      <c r="E44" s="183">
        <f>IF(AND(ISNUMBER(E38),ISNUMBER(E41)),IFERROR(E38/E41,""),"")</f>
        <v/>
      </c>
      <c r="F44" s="183">
        <f>IF(AND(ISNUMBER(F38),ISNUMBER(F41)),IFERROR(F38/F41,""),"")</f>
        <v/>
      </c>
      <c r="G44" s="183">
        <f>IF(AND(ISNUMBER(G38),ISNUMBER(G41)),IFERROR(G38/G41,""),"")</f>
        <v/>
      </c>
      <c r="H44" s="183">
        <f>IF(AND(ISNUMBER(H38),ISNUMBER(H41)),IFERROR(H38/H41,""),"")</f>
        <v/>
      </c>
      <c r="I44" s="183">
        <f>IF(AND(ISNUMBER(I38),ISNUMBER(I41)),IFERROR(I38/I41,""),"")</f>
        <v/>
      </c>
      <c r="J44" s="183">
        <f>IF(AND(ISNUMBER(J38),ISNUMBER(J41)),IFERROR(J38/J41,""),"")</f>
        <v/>
      </c>
      <c r="K44" s="183">
        <f>IF(AND(ISNUMBER(K38),ISNUMBER(K41)),IFERROR(K38/K41,""),"")</f>
        <v/>
      </c>
      <c r="L44" s="183">
        <f>IF(AND(ISNUMBER(L38),ISNUMBER(L41)),IFERROR(L38/L41,""),"")</f>
        <v/>
      </c>
      <c r="M44" s="183">
        <f>IF(AND(ISNUMBER(M38),ISNUMBER(M41)),IFERROR(M38/M41,""),"")</f>
        <v/>
      </c>
      <c r="N44" s="183">
        <f>IF(AND(ISNUMBER(N38),ISNUMBER(N41)),IFERROR(N38/N41,""),"")</f>
        <v/>
      </c>
      <c r="O44" s="183">
        <f>IF(AND(ISNUMBER(O38),ISNUMBER(O41)),IFERROR(O38/O41,""),"")</f>
        <v/>
      </c>
      <c r="P44" s="183">
        <f>IF(AND(ISNUMBER(P38),ISNUMBER(P41)),IFERROR(P38/P41,""),"")</f>
        <v/>
      </c>
      <c r="Q44" s="183">
        <f>IF(AND(ISNUMBER(Q38),ISNUMBER(Q41)),IFERROR(Q38/Q41,""),"")</f>
        <v/>
      </c>
      <c r="R44" s="183">
        <f>IF(AND(ISNUMBER(R38),ISNUMBER(R41)),IFERROR(R38/R41,""),"")</f>
        <v/>
      </c>
      <c r="S44" s="183">
        <f>IF(AND(ISNUMBER(S38),ISNUMBER(S41)),IFERROR(S38/S41,""),"")</f>
        <v/>
      </c>
      <c r="T44" s="183">
        <f>IF(AND(ISNUMBER(T38),ISNUMBER(T41)),IFERROR(T38/T41,""),"")</f>
        <v/>
      </c>
      <c r="U44" s="183">
        <f>IF(AND(ISNUMBER(U38),ISNUMBER(U41)),IFERROR(U38/U41,""),"")</f>
        <v/>
      </c>
      <c r="V44" s="183">
        <f>IF(AND(ISNUMBER(V38),ISNUMBER(V41)),IFERROR(V38/V41,""),"")</f>
        <v/>
      </c>
      <c r="W44" s="183">
        <f>IF(AND(ISNUMBER(W38),ISNUMBER(W41)),IFERROR(W38/W41,""),"")</f>
        <v/>
      </c>
      <c r="X44" s="183">
        <f>IF(AND(ISNUMBER(X38),ISNUMBER(X41)),IFERROR(X38/X41,""),"")</f>
        <v/>
      </c>
      <c r="Y44" s="183">
        <f>IF(AND(ISNUMBER(Y38),ISNUMBER(Y41)),IFERROR(Y38/Y41,""),"")</f>
        <v/>
      </c>
      <c r="Z44" s="183">
        <f>IF(AND(ISNUMBER(Z38),ISNUMBER(Z41)),IFERROR(Z38/Z41,""),"")</f>
        <v/>
      </c>
      <c r="AA44" s="183">
        <f>IF(AND(ISNUMBER(AA38),ISNUMBER(AA41)),IFERROR(AA38/AA41,""),"")</f>
        <v/>
      </c>
      <c r="AB44" s="183">
        <f>IF(AND(ISNUMBER(AB38),ISNUMBER(AB41)),IFERROR(AB38/AB41,""),"")</f>
        <v/>
      </c>
      <c r="AC44" s="183">
        <f>IF(AND(ISNUMBER(AC38),ISNUMBER(AC41)),IFERROR(AC38/AC41,""),"")</f>
        <v/>
      </c>
      <c r="AD44" s="183">
        <f>IF(AND(ISNUMBER(AD38),ISNUMBER(AD41)),IFERROR(AD38/AD41,""),"")</f>
        <v/>
      </c>
      <c r="AE44" s="183">
        <f>IF(AND(ISNUMBER(AE38),ISNUMBER(AE41)),IFERROR(AE38/AE41,""),"")</f>
        <v/>
      </c>
      <c r="AF44" s="183">
        <f>IF(AND(ISNUMBER(AF38),ISNUMBER(AF41)),IFERROR(AF38/AF41,""),"")</f>
        <v/>
      </c>
      <c r="AG44" s="183">
        <f>IF(AND(ISNUMBER(AG38),ISNUMBER(AG41)),IFERROR(AG38/AG41,""),"")</f>
        <v/>
      </c>
      <c r="AH44" s="183">
        <f>IF(AND(ISNUMBER(AH38),ISNUMBER(AH41)),IFERROR(AH38/AH41,""),"")</f>
        <v/>
      </c>
      <c r="AI44" s="177">
        <f>IF(AND(ISNUMBER(AI38),ISNUMBER(AI41)),IFERROR(AI38/AI41,""),"")</f>
        <v/>
      </c>
      <c r="AJ44" s="177">
        <f>IF(AND(ISNUMBER(AJ38),ISNUMBER(AJ41)),IFERROR(AJ38/AJ41,""),"")</f>
        <v/>
      </c>
      <c r="AK44" s="177">
        <f>IF(AND(ISNUMBER(AK38),ISNUMBER(AK41)),IFERROR(AK38/AK41,""),"")</f>
        <v/>
      </c>
      <c r="AL44" s="177">
        <f>IF(AND(ISNUMBER(AL38),ISNUMBER(AL41)),IFERROR(AL38/AL41,""),"")</f>
        <v/>
      </c>
      <c r="AM44" s="177">
        <f>IF(AND(ISNUMBER(AM38),ISNUMBER(AM41)),IFERROR(AM38/AM41,""),"")</f>
        <v/>
      </c>
      <c r="AN44" s="177">
        <f>IF(AND(ISNUMBER(AN38),ISNUMBER(AN41)),IFERROR(AN38/AN41,""),"")</f>
        <v/>
      </c>
      <c r="AO44" s="177">
        <f>IF(AND(ISNUMBER(AO38),ISNUMBER(AO41)),IFERROR(AO38/AO41,""),"")</f>
        <v/>
      </c>
      <c r="AP44" s="6" t="n"/>
      <c r="AX44" s="26" t="inlineStr">
        <is>
          <t xml:space="preserve">  2027E</t>
        </is>
      </c>
      <c r="AY44" s="35">
        <f>AZ44+$AY$43</f>
        <v/>
      </c>
      <c r="AZ44" s="45" t="n">
        <v>0.08</v>
      </c>
      <c r="BA44" s="35">
        <f>AZ44+$BA$43</f>
        <v/>
      </c>
    </row>
    <row r="45" ht="15" customHeight="1">
      <c r="AX45" s="26" t="inlineStr">
        <is>
          <t xml:space="preserve">  2028E</t>
        </is>
      </c>
      <c r="AY45" s="35">
        <f>AZ45+$AY$43</f>
        <v/>
      </c>
      <c r="AZ45" s="45" t="n">
        <v>0.07000000000000001</v>
      </c>
      <c r="BA45" s="35">
        <f>AZ45+$BA$43</f>
        <v/>
      </c>
    </row>
    <row r="46" ht="15" customHeight="1">
      <c r="B46" s="15" t="inlineStr">
        <is>
          <t>Other (industrial / non-aerospace; "Non-Aerospace" in the Q2-25 and Q3-25 releases)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6" t="inlineStr">
        <is>
          <t>OTHER / NON-AEROSPACE — modelling logic</t>
        </is>
      </c>
      <c r="AX46" s="26" t="inlineStr">
        <is>
          <t xml:space="preserve">  2029E</t>
        </is>
      </c>
      <c r="AY46" s="35">
        <f>AZ46+$AY$43</f>
        <v/>
      </c>
      <c r="AZ46" s="45" t="n">
        <v>0.07000000000000001</v>
      </c>
      <c r="BA46" s="35">
        <f>AZ46+$BA$43</f>
        <v/>
      </c>
    </row>
    <row r="47" ht="15" customHeight="1">
      <c r="B47" s="26" t="inlineStr">
        <is>
          <t xml:space="preserve">  OEM net sales</t>
        </is>
      </c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174" t="n">
        <v>12.626</v>
      </c>
      <c r="R47" s="174" t="n">
        <v>4.59</v>
      </c>
      <c r="S47" s="174" t="n">
        <v>5.066</v>
      </c>
      <c r="T47" s="174" t="n">
        <v>5.667</v>
      </c>
      <c r="U47" s="174" t="n">
        <v>5.722</v>
      </c>
      <c r="V47" s="174" t="n">
        <v>21.045</v>
      </c>
      <c r="W47" s="174" t="n">
        <v>4.3</v>
      </c>
      <c r="X47" s="174" t="n">
        <v>3.451</v>
      </c>
      <c r="Y47" s="174" t="n">
        <v>2.976</v>
      </c>
      <c r="Z47" s="174" t="n">
        <v>3.269</v>
      </c>
      <c r="AA47" s="174" t="n">
        <v>13.996</v>
      </c>
      <c r="AB47" s="174" t="n">
        <v>2.866</v>
      </c>
      <c r="AC47" s="174" t="n">
        <v>2.655</v>
      </c>
      <c r="AD47" s="174" t="n">
        <v>3.315</v>
      </c>
      <c r="AE47" s="174" t="n">
        <v>3.947</v>
      </c>
      <c r="AF47" s="174" t="n">
        <v>12.783</v>
      </c>
      <c r="AG47" s="174" t="n">
        <v>4.768</v>
      </c>
      <c r="AH47" s="174" t="n">
        <v>5.001</v>
      </c>
      <c r="AI47" s="175">
        <f>AD47*(1+AI48)</f>
        <v/>
      </c>
      <c r="AJ47" s="175">
        <f>AE47*(1+AJ48)</f>
        <v/>
      </c>
      <c r="AK47" s="175">
        <f>SUM(AG47,AH47,AI47,AJ47)</f>
        <v/>
      </c>
      <c r="AL47" s="175">
        <f>AK47*(1+AL48)</f>
        <v/>
      </c>
      <c r="AM47" s="175">
        <f>AL47*(1+AM48)</f>
        <v/>
      </c>
      <c r="AN47" s="175">
        <f>AM47*(1+AN48)</f>
        <v/>
      </c>
      <c r="AO47" s="175">
        <f>AN47*(1+AO48)</f>
        <v/>
      </c>
      <c r="AP47" s="20" t="inlineStr">
        <is>
          <t>End-market sales as published (release Table 5; FY2022-23 prospectus note; Q1-23 = 1H-23 − Q2-23). Not published before 2022 or for 2022 quarters. Q3/Q4-26E: prior-year quarter × (1 + growth). 2027E+: prior year × (1 + scenario lever).</t>
        </is>
      </c>
      <c r="AX47" s="26" t="inlineStr">
        <is>
          <t xml:space="preserve">  2030E</t>
        </is>
      </c>
      <c r="AY47" s="35">
        <f>AZ47+$AY$43</f>
        <v/>
      </c>
      <c r="AZ47" s="45" t="n">
        <v>0.06</v>
      </c>
      <c r="BA47" s="35">
        <f>AZ47+$BA$43</f>
        <v/>
      </c>
    </row>
    <row r="48" ht="15" customHeight="1">
      <c r="B48" s="23" t="inlineStr">
        <is>
          <t xml:space="preserve">    y/y %</t>
        </is>
      </c>
      <c r="C48" s="24" t="n"/>
      <c r="D48" s="176">
        <f>IF(AND(ISNUMBER(D47),ISNUMBER(C47)),IFERROR(D47/C47-1,""),"")</f>
        <v/>
      </c>
      <c r="E48" s="176">
        <f>IF(AND(ISNUMBER(E47),ISNUMBER(D47)),IFERROR(E47/D47-1,""),"")</f>
        <v/>
      </c>
      <c r="F48" s="176">
        <f>IF(AND(ISNUMBER(F47),ISNUMBER(E47)),IFERROR(F47/E47-1,""),"")</f>
        <v/>
      </c>
      <c r="G48" s="176">
        <f>IF(AND(ISNUMBER(G47),ISNUMBER(F47)),IFERROR(G47/F47-1,""),"")</f>
        <v/>
      </c>
      <c r="H48" s="176">
        <f>IF(AND(ISNUMBER(H47),ISNUMBER(G47)),IFERROR(H47/G47-1,""),"")</f>
        <v/>
      </c>
      <c r="I48" s="176">
        <f>IF(AND(ISNUMBER(I47),ISNUMBER(H47)),IFERROR(I47/H47-1,""),"")</f>
        <v/>
      </c>
      <c r="J48" s="176">
        <f>IF(AND(ISNUMBER(J47),ISNUMBER(I47)),IFERROR(J47/I47-1,""),"")</f>
        <v/>
      </c>
      <c r="K48" s="176">
        <f>IF(AND(ISNUMBER(K47),ISNUMBER(J47)),IFERROR(K47/J47-1,""),"")</f>
        <v/>
      </c>
      <c r="L48" s="176">
        <f>IF(AND(ISNUMBER(L47),ISNUMBER(K47)),IFERROR(L47/K47-1,""),"")</f>
        <v/>
      </c>
      <c r="M48" s="24" t="n"/>
      <c r="N48" s="24" t="n"/>
      <c r="O48" s="24" t="n"/>
      <c r="P48" s="24" t="n"/>
      <c r="Q48" s="176">
        <f>IF(AND(ISNUMBER(Q47),ISNUMBER(L47)),IFERROR(Q47/L47-1,""),"")</f>
        <v/>
      </c>
      <c r="R48" s="176">
        <f>IF(AND(ISNUMBER(R47),ISNUMBER(M47)),IFERROR(R47/M47-1,""),"")</f>
        <v/>
      </c>
      <c r="S48" s="176">
        <f>IF(AND(ISNUMBER(S47),ISNUMBER(N47)),IFERROR(S47/N47-1,""),"")</f>
        <v/>
      </c>
      <c r="T48" s="176">
        <f>IF(AND(ISNUMBER(T47),ISNUMBER(O47)),IFERROR(T47/O47-1,""),"")</f>
        <v/>
      </c>
      <c r="U48" s="176">
        <f>IF(AND(ISNUMBER(U47),ISNUMBER(P47)),IFERROR(U47/P47-1,""),"")</f>
        <v/>
      </c>
      <c r="V48" s="176">
        <f>IF(AND(ISNUMBER(V47),ISNUMBER(Q47)),IFERROR(V47/Q47-1,""),"")</f>
        <v/>
      </c>
      <c r="W48" s="176">
        <f>IF(AND(ISNUMBER(W47),ISNUMBER(R47)),IFERROR(W47/R47-1,""),"")</f>
        <v/>
      </c>
      <c r="X48" s="176">
        <f>IF(AND(ISNUMBER(X47),ISNUMBER(S47)),IFERROR(X47/S47-1,""),"")</f>
        <v/>
      </c>
      <c r="Y48" s="176">
        <f>IF(AND(ISNUMBER(Y47),ISNUMBER(T47)),IFERROR(Y47/T47-1,""),"")</f>
        <v/>
      </c>
      <c r="Z48" s="176">
        <f>IF(AND(ISNUMBER(Z47),ISNUMBER(U47)),IFERROR(Z47/U47-1,""),"")</f>
        <v/>
      </c>
      <c r="AA48" s="176">
        <f>IF(AND(ISNUMBER(AA47),ISNUMBER(V47)),IFERROR(AA47/V47-1,""),"")</f>
        <v/>
      </c>
      <c r="AB48" s="176">
        <f>IF(AND(ISNUMBER(AB47),ISNUMBER(W47)),IFERROR(AB47/W47-1,""),"")</f>
        <v/>
      </c>
      <c r="AC48" s="176">
        <f>IF(AND(ISNUMBER(AC47),ISNUMBER(X47)),IFERROR(AC47/X47-1,""),"")</f>
        <v/>
      </c>
      <c r="AD48" s="176">
        <f>IF(AND(ISNUMBER(AD47),ISNUMBER(Y47)),IFERROR(AD47/Y47-1,""),"")</f>
        <v/>
      </c>
      <c r="AE48" s="176">
        <f>IF(AND(ISNUMBER(AE47),ISNUMBER(Z47)),IFERROR(AE47/Z47-1,""),"")</f>
        <v/>
      </c>
      <c r="AF48" s="176">
        <f>IF(AND(ISNUMBER(AF47),ISNUMBER(AA47)),IFERROR(AF47/AA47-1,""),"")</f>
        <v/>
      </c>
      <c r="AG48" s="176">
        <f>IF(AND(ISNUMBER(AG47),ISNUMBER(AB47)),IFERROR(AG47/AB47-1,""),"")</f>
        <v/>
      </c>
      <c r="AH48" s="176">
        <f>IF(AND(ISNUMBER(AH47),ISNUMBER(AC47)),IFERROR(AH47/AC47-1,""),"")</f>
        <v/>
      </c>
      <c r="AI48" s="177">
        <f>AI49+$AI$101</f>
        <v/>
      </c>
      <c r="AJ48" s="177">
        <f>AJ49+$AI$101</f>
        <v/>
      </c>
      <c r="AK48" s="177">
        <f>IF(AND(ISNUMBER(AK47),ISNUMBER(AF47)),IFERROR(AK47/AF47-1,""),"")</f>
        <v/>
      </c>
      <c r="AL48" s="177">
        <f>CHOOSE(MATCH($AP$2,{"Bull","Base","Bear"},0),$AY$59,$AZ$59,$BA$59)</f>
        <v/>
      </c>
      <c r="AM48" s="177">
        <f>CHOOSE(MATCH($AP$2,{"Bull","Base","Bear"},0),$AY$60,$AZ$60,$BA$60)</f>
        <v/>
      </c>
      <c r="AN48" s="177">
        <f>CHOOSE(MATCH($AP$2,{"Bull","Base","Bear"},0),$AY$61,$AZ$61,$BA$61)</f>
        <v/>
      </c>
      <c r="AO48" s="177">
        <f>CHOOSE(MATCH($AP$2,{"Bull","Base","Bear"},0),$AY$62,$AZ$62,$BA$62)</f>
        <v/>
      </c>
      <c r="AP48" s="6" t="inlineStr">
        <is>
          <t>Q3/Q4-26E: growth before calibration (row below) + revenue-outlook calibration Δ (Group block). 2027E–2030E: scenario lever (Bull/Base/Bear table →).</t>
        </is>
      </c>
      <c r="AX48" s="16" t="inlineStr">
        <is>
          <t>DEF_OEM (defense OEM y/y)</t>
        </is>
      </c>
      <c r="AY48" s="44" t="n">
        <v>0.02</v>
      </c>
      <c r="AZ48" s="22" t="inlineStr">
        <is>
          <t>Δ →</t>
        </is>
      </c>
      <c r="BA48" s="44" t="n">
        <v>-0.04</v>
      </c>
      <c r="BB48" s="14" t="inlineStr">
        <is>
          <t>Military aircraft and systems build (LMB fans &amp; motors from Dec-25); FY26 defense outlook mid-single digits.</t>
        </is>
      </c>
    </row>
    <row r="49" ht="15" customHeight="1">
      <c r="B49" s="26" t="inlineStr">
        <is>
          <t xml:space="preserve">    Q3/Q4-26E growth before revenue calibration (1H/26 y/y)</t>
        </is>
      </c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177">
        <f>IFERROR((AG47+AH47)/(AB47+AC47)-1,0)</f>
        <v/>
      </c>
      <c r="AJ49" s="177">
        <f>IFERROR((AG47+AH47)/(AB47+AC47)-1,0)</f>
        <v/>
      </c>
      <c r="AK49" s="25" t="n"/>
      <c r="AL49" s="49" t="n"/>
      <c r="AM49" s="49" t="n"/>
      <c r="AN49" s="49" t="n"/>
      <c r="AO49" s="49" t="n"/>
      <c r="AP49" s="20" t="inlineStr">
        <is>
          <t>1H/26 y/y growth of the line: includes LMB (closed 23-Dec-2025) and Harper Engineering (21-Jan-2026), which stay inorganic through Q4/26E; Beadlight anniversaries 28-Jul-2026.</t>
        </is>
      </c>
      <c r="AX49" s="26" t="inlineStr">
        <is>
          <t xml:space="preserve">  2027E</t>
        </is>
      </c>
      <c r="AY49" s="35">
        <f>AZ49+$AY$48</f>
        <v/>
      </c>
      <c r="AZ49" s="45" t="n">
        <v>0.08</v>
      </c>
      <c r="BA49" s="35">
        <f>AZ49+$BA$48</f>
        <v/>
      </c>
    </row>
    <row r="50" ht="15" customHeight="1">
      <c r="B50" s="26" t="inlineStr">
        <is>
          <t xml:space="preserve">  Aftermarket net sales</t>
        </is>
      </c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174" t="n">
        <v>12.874</v>
      </c>
      <c r="R50" s="174" t="n">
        <v>3.553</v>
      </c>
      <c r="S50" s="174" t="n">
        <v>5.126</v>
      </c>
      <c r="T50" s="174" t="n">
        <v>4.028</v>
      </c>
      <c r="U50" s="174" t="n">
        <v>4.513</v>
      </c>
      <c r="V50" s="174" t="n">
        <v>17.22</v>
      </c>
      <c r="W50" s="174" t="n">
        <v>3.953</v>
      </c>
      <c r="X50" s="174" t="n">
        <v>4.331</v>
      </c>
      <c r="Y50" s="174" t="n">
        <v>3.667</v>
      </c>
      <c r="Z50" s="174" t="n">
        <v>4.404</v>
      </c>
      <c r="AA50" s="174" t="n">
        <v>16.355</v>
      </c>
      <c r="AB50" s="174" t="n">
        <v>3.686</v>
      </c>
      <c r="AC50" s="174" t="n">
        <v>4.559</v>
      </c>
      <c r="AD50" s="174" t="n">
        <v>3.227</v>
      </c>
      <c r="AE50" s="174" t="n">
        <v>3.409</v>
      </c>
      <c r="AF50" s="174" t="n">
        <v>14.881</v>
      </c>
      <c r="AG50" s="174" t="n">
        <v>4.936</v>
      </c>
      <c r="AH50" s="174" t="n">
        <v>4.726</v>
      </c>
      <c r="AI50" s="175">
        <f>AD50*(1+AI51)</f>
        <v/>
      </c>
      <c r="AJ50" s="175">
        <f>AE50*(1+AJ51)</f>
        <v/>
      </c>
      <c r="AK50" s="175">
        <f>SUM(AG50,AH50,AI50,AJ50)</f>
        <v/>
      </c>
      <c r="AL50" s="175">
        <f>AK50*(1+AL51)</f>
        <v/>
      </c>
      <c r="AM50" s="175">
        <f>AL50*(1+AM51)</f>
        <v/>
      </c>
      <c r="AN50" s="175">
        <f>AM50*(1+AN51)</f>
        <v/>
      </c>
      <c r="AO50" s="175">
        <f>AN50*(1+AO51)</f>
        <v/>
      </c>
      <c r="AP50" s="20" t="n"/>
      <c r="AX50" s="26" t="inlineStr">
        <is>
          <t xml:space="preserve">  2028E</t>
        </is>
      </c>
      <c r="AY50" s="35">
        <f>AZ50+$AY$48</f>
        <v/>
      </c>
      <c r="AZ50" s="45" t="n">
        <v>0.07000000000000001</v>
      </c>
      <c r="BA50" s="35">
        <f>AZ50+$BA$48</f>
        <v/>
      </c>
    </row>
    <row r="51" ht="15" customHeight="1">
      <c r="B51" s="23" t="inlineStr">
        <is>
          <t xml:space="preserve">    y/y %</t>
        </is>
      </c>
      <c r="C51" s="24" t="n"/>
      <c r="D51" s="176">
        <f>IF(AND(ISNUMBER(D50),ISNUMBER(C50)),IFERROR(D50/C50-1,""),"")</f>
        <v/>
      </c>
      <c r="E51" s="176">
        <f>IF(AND(ISNUMBER(E50),ISNUMBER(D50)),IFERROR(E50/D50-1,""),"")</f>
        <v/>
      </c>
      <c r="F51" s="176">
        <f>IF(AND(ISNUMBER(F50),ISNUMBER(E50)),IFERROR(F50/E50-1,""),"")</f>
        <v/>
      </c>
      <c r="G51" s="176">
        <f>IF(AND(ISNUMBER(G50),ISNUMBER(F50)),IFERROR(G50/F50-1,""),"")</f>
        <v/>
      </c>
      <c r="H51" s="176">
        <f>IF(AND(ISNUMBER(H50),ISNUMBER(G50)),IFERROR(H50/G50-1,""),"")</f>
        <v/>
      </c>
      <c r="I51" s="176">
        <f>IF(AND(ISNUMBER(I50),ISNUMBER(H50)),IFERROR(I50/H50-1,""),"")</f>
        <v/>
      </c>
      <c r="J51" s="176">
        <f>IF(AND(ISNUMBER(J50),ISNUMBER(I50)),IFERROR(J50/I50-1,""),"")</f>
        <v/>
      </c>
      <c r="K51" s="176">
        <f>IF(AND(ISNUMBER(K50),ISNUMBER(J50)),IFERROR(K50/J50-1,""),"")</f>
        <v/>
      </c>
      <c r="L51" s="176">
        <f>IF(AND(ISNUMBER(L50),ISNUMBER(K50)),IFERROR(L50/K50-1,""),"")</f>
        <v/>
      </c>
      <c r="M51" s="24" t="n"/>
      <c r="N51" s="24" t="n"/>
      <c r="O51" s="24" t="n"/>
      <c r="P51" s="24" t="n"/>
      <c r="Q51" s="176">
        <f>IF(AND(ISNUMBER(Q50),ISNUMBER(L50)),IFERROR(Q50/L50-1,""),"")</f>
        <v/>
      </c>
      <c r="R51" s="176">
        <f>IF(AND(ISNUMBER(R50),ISNUMBER(M50)),IFERROR(R50/M50-1,""),"")</f>
        <v/>
      </c>
      <c r="S51" s="176">
        <f>IF(AND(ISNUMBER(S50),ISNUMBER(N50)),IFERROR(S50/N50-1,""),"")</f>
        <v/>
      </c>
      <c r="T51" s="176">
        <f>IF(AND(ISNUMBER(T50),ISNUMBER(O50)),IFERROR(T50/O50-1,""),"")</f>
        <v/>
      </c>
      <c r="U51" s="176">
        <f>IF(AND(ISNUMBER(U50),ISNUMBER(P50)),IFERROR(U50/P50-1,""),"")</f>
        <v/>
      </c>
      <c r="V51" s="176">
        <f>IF(AND(ISNUMBER(V50),ISNUMBER(Q50)),IFERROR(V50/Q50-1,""),"")</f>
        <v/>
      </c>
      <c r="W51" s="176">
        <f>IF(AND(ISNUMBER(W50),ISNUMBER(R50)),IFERROR(W50/R50-1,""),"")</f>
        <v/>
      </c>
      <c r="X51" s="176">
        <f>IF(AND(ISNUMBER(X50),ISNUMBER(S50)),IFERROR(X50/S50-1,""),"")</f>
        <v/>
      </c>
      <c r="Y51" s="176">
        <f>IF(AND(ISNUMBER(Y50),ISNUMBER(T50)),IFERROR(Y50/T50-1,""),"")</f>
        <v/>
      </c>
      <c r="Z51" s="176">
        <f>IF(AND(ISNUMBER(Z50),ISNUMBER(U50)),IFERROR(Z50/U50-1,""),"")</f>
        <v/>
      </c>
      <c r="AA51" s="176">
        <f>IF(AND(ISNUMBER(AA50),ISNUMBER(V50)),IFERROR(AA50/V50-1,""),"")</f>
        <v/>
      </c>
      <c r="AB51" s="176">
        <f>IF(AND(ISNUMBER(AB50),ISNUMBER(W50)),IFERROR(AB50/W50-1,""),"")</f>
        <v/>
      </c>
      <c r="AC51" s="176">
        <f>IF(AND(ISNUMBER(AC50),ISNUMBER(X50)),IFERROR(AC50/X50-1,""),"")</f>
        <v/>
      </c>
      <c r="AD51" s="176">
        <f>IF(AND(ISNUMBER(AD50),ISNUMBER(Y50)),IFERROR(AD50/Y50-1,""),"")</f>
        <v/>
      </c>
      <c r="AE51" s="176">
        <f>IF(AND(ISNUMBER(AE50),ISNUMBER(Z50)),IFERROR(AE50/Z50-1,""),"")</f>
        <v/>
      </c>
      <c r="AF51" s="176">
        <f>IF(AND(ISNUMBER(AF50),ISNUMBER(AA50)),IFERROR(AF50/AA50-1,""),"")</f>
        <v/>
      </c>
      <c r="AG51" s="176">
        <f>IF(AND(ISNUMBER(AG50),ISNUMBER(AB50)),IFERROR(AG50/AB50-1,""),"")</f>
        <v/>
      </c>
      <c r="AH51" s="176">
        <f>IF(AND(ISNUMBER(AH50),ISNUMBER(AC50)),IFERROR(AH50/AC50-1,""),"")</f>
        <v/>
      </c>
      <c r="AI51" s="177">
        <f>AI52+$AI$101</f>
        <v/>
      </c>
      <c r="AJ51" s="177">
        <f>AJ52+$AI$101</f>
        <v/>
      </c>
      <c r="AK51" s="177">
        <f>IF(AND(ISNUMBER(AK50),ISNUMBER(AF50)),IFERROR(AK50/AF50-1,""),"")</f>
        <v/>
      </c>
      <c r="AL51" s="177">
        <f>CHOOSE(MATCH($AP$2,{"Bull","Base","Bear"},0),$AY$64,$AZ$64,$BA$64)</f>
        <v/>
      </c>
      <c r="AM51" s="177">
        <f>CHOOSE(MATCH($AP$2,{"Bull","Base","Bear"},0),$AY$65,$AZ$65,$BA$65)</f>
        <v/>
      </c>
      <c r="AN51" s="177">
        <f>CHOOSE(MATCH($AP$2,{"Bull","Base","Bear"},0),$AY$66,$AZ$66,$BA$66)</f>
        <v/>
      </c>
      <c r="AO51" s="177">
        <f>CHOOSE(MATCH($AP$2,{"Bull","Base","Bear"},0),$AY$67,$AZ$67,$BA$67)</f>
        <v/>
      </c>
      <c r="AP51" s="6" t="n"/>
      <c r="AX51" s="26" t="inlineStr">
        <is>
          <t xml:space="preserve">  2029E</t>
        </is>
      </c>
      <c r="AY51" s="35">
        <f>AZ51+$AY$48</f>
        <v/>
      </c>
      <c r="AZ51" s="45" t="n">
        <v>0.07000000000000001</v>
      </c>
      <c r="BA51" s="35">
        <f>AZ51+$BA$48</f>
        <v/>
      </c>
    </row>
    <row r="52" ht="15" customHeight="1">
      <c r="B52" s="26" t="inlineStr">
        <is>
          <t xml:space="preserve">    Q3/Q4-26E growth before revenue calibration (1H/26 y/y)</t>
        </is>
      </c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177">
        <f>IFERROR((AG50+AH50)/(AB50+AC50)-1,0)</f>
        <v/>
      </c>
      <c r="AJ52" s="177">
        <f>IFERROR((AG50+AH50)/(AB50+AC50)-1,0)</f>
        <v/>
      </c>
      <c r="AK52" s="25" t="n"/>
      <c r="AL52" s="49" t="n"/>
      <c r="AM52" s="49" t="n"/>
      <c r="AN52" s="49" t="n"/>
      <c r="AO52" s="49" t="n"/>
      <c r="AP52" s="20" t="n"/>
      <c r="AX52" s="26" t="inlineStr">
        <is>
          <t xml:space="preserve">  2030E</t>
        </is>
      </c>
      <c r="AY52" s="35">
        <f>AZ52+$AY$48</f>
        <v/>
      </c>
      <c r="AZ52" s="45" t="n">
        <v>0.06</v>
      </c>
      <c r="BA52" s="35">
        <f>AZ52+$BA$48</f>
        <v/>
      </c>
    </row>
    <row r="53" ht="15" customHeight="1">
      <c r="B53" s="17" t="inlineStr">
        <is>
          <t xml:space="preserve">  Other / non-aerospace — net sales</t>
        </is>
      </c>
      <c r="C53" s="181">
        <f>IF(ISNUMBER(C47),C47+C50,"")</f>
        <v/>
      </c>
      <c r="D53" s="181">
        <f>IF(ISNUMBER(D47),D47+D50,"")</f>
        <v/>
      </c>
      <c r="E53" s="181">
        <f>IF(ISNUMBER(E47),E47+E50,"")</f>
        <v/>
      </c>
      <c r="F53" s="181">
        <f>IF(ISNUMBER(F47),F47+F50,"")</f>
        <v/>
      </c>
      <c r="G53" s="181">
        <f>IF(ISNUMBER(G47),G47+G50,"")</f>
        <v/>
      </c>
      <c r="H53" s="181">
        <f>IF(ISNUMBER(H47),H47+H50,"")</f>
        <v/>
      </c>
      <c r="I53" s="181">
        <f>IF(ISNUMBER(I47),I47+I50,"")</f>
        <v/>
      </c>
      <c r="J53" s="181">
        <f>IF(ISNUMBER(J47),J47+J50,"")</f>
        <v/>
      </c>
      <c r="K53" s="181">
        <f>IF(ISNUMBER(K47),K47+K50,"")</f>
        <v/>
      </c>
      <c r="L53" s="181">
        <f>IF(ISNUMBER(L47),L47+L50,"")</f>
        <v/>
      </c>
      <c r="M53" s="181">
        <f>IF(ISNUMBER(M47),M47+M50,"")</f>
        <v/>
      </c>
      <c r="N53" s="181">
        <f>IF(ISNUMBER(N47),N47+N50,"")</f>
        <v/>
      </c>
      <c r="O53" s="181">
        <f>IF(ISNUMBER(O47),O47+O50,"")</f>
        <v/>
      </c>
      <c r="P53" s="181">
        <f>IF(ISNUMBER(P47),P47+P50,"")</f>
        <v/>
      </c>
      <c r="Q53" s="181">
        <f>IF(ISNUMBER(Q47),Q47+Q50,"")</f>
        <v/>
      </c>
      <c r="R53" s="181">
        <f>IF(ISNUMBER(R47),R47+R50,"")</f>
        <v/>
      </c>
      <c r="S53" s="181">
        <f>IF(ISNUMBER(S47),S47+S50,"")</f>
        <v/>
      </c>
      <c r="T53" s="181">
        <f>IF(ISNUMBER(T47),T47+T50,"")</f>
        <v/>
      </c>
      <c r="U53" s="181">
        <f>IF(ISNUMBER(U47),U47+U50,"")</f>
        <v/>
      </c>
      <c r="V53" s="181">
        <f>IF(ISNUMBER(V47),V47+V50,"")</f>
        <v/>
      </c>
      <c r="W53" s="181">
        <f>IF(ISNUMBER(W47),W47+W50,"")</f>
        <v/>
      </c>
      <c r="X53" s="181">
        <f>IF(ISNUMBER(X47),X47+X50,"")</f>
        <v/>
      </c>
      <c r="Y53" s="181">
        <f>IF(ISNUMBER(Y47),Y47+Y50,"")</f>
        <v/>
      </c>
      <c r="Z53" s="181">
        <f>IF(ISNUMBER(Z47),Z47+Z50,"")</f>
        <v/>
      </c>
      <c r="AA53" s="181">
        <f>IF(ISNUMBER(AA47),AA47+AA50,"")</f>
        <v/>
      </c>
      <c r="AB53" s="181">
        <f>IF(ISNUMBER(AB47),AB47+AB50,"")</f>
        <v/>
      </c>
      <c r="AC53" s="181">
        <f>IF(ISNUMBER(AC47),AC47+AC50,"")</f>
        <v/>
      </c>
      <c r="AD53" s="181">
        <f>IF(ISNUMBER(AD47),AD47+AD50,"")</f>
        <v/>
      </c>
      <c r="AE53" s="181">
        <f>IF(ISNUMBER(AE47),AE47+AE50,"")</f>
        <v/>
      </c>
      <c r="AF53" s="181">
        <f>IF(ISNUMBER(AF47),AF47+AF50,"")</f>
        <v/>
      </c>
      <c r="AG53" s="181">
        <f>IF(ISNUMBER(AG47),AG47+AG50,"")</f>
        <v/>
      </c>
      <c r="AH53" s="181">
        <f>IF(ISNUMBER(AH47),AH47+AH50,"")</f>
        <v/>
      </c>
      <c r="AI53" s="182">
        <f>IF(ISNUMBER(AI47),AI47+AI50,"")</f>
        <v/>
      </c>
      <c r="AJ53" s="182">
        <f>IF(ISNUMBER(AJ47),AJ47+AJ50,"")</f>
        <v/>
      </c>
      <c r="AK53" s="182">
        <f>IF(ISNUMBER(AK47),AK47+AK50,"")</f>
        <v/>
      </c>
      <c r="AL53" s="182">
        <f>IF(ISNUMBER(AL47),AL47+AL50,"")</f>
        <v/>
      </c>
      <c r="AM53" s="182">
        <f>IF(ISNUMBER(AM47),AM47+AM50,"")</f>
        <v/>
      </c>
      <c r="AN53" s="182">
        <f>IF(ISNUMBER(AN47),AN47+AN50,"")</f>
        <v/>
      </c>
      <c r="AO53" s="182">
        <f>IF(ISNUMBER(AO47),AO47+AO50,"")</f>
        <v/>
      </c>
      <c r="AP53" s="6" t="n"/>
      <c r="AR53" s="21">
        <f>IFERROR((AO53/AF53)^(1/5)-1,"n/m")</f>
        <v/>
      </c>
      <c r="AS53" s="21">
        <f>IFERROR((AF53/K53)^(1/5)-1,"n/m")</f>
        <v/>
      </c>
      <c r="AT53" s="21">
        <f>IFERROR((AF53/F53)^(1/10)-1,"n/m")</f>
        <v/>
      </c>
      <c r="AU53" s="21">
        <f>IFERROR((AF53/C53)^(1/13)-1,"n/m")</f>
        <v/>
      </c>
      <c r="AX53" s="16" t="inlineStr">
        <is>
          <t>DEF_AM (defense aftermarket y/y)</t>
        </is>
      </c>
      <c r="AY53" s="44" t="n">
        <v>0.02</v>
      </c>
      <c r="AZ53" s="22" t="inlineStr">
        <is>
          <t>Δ →</t>
        </is>
      </c>
      <c r="BA53" s="44" t="n">
        <v>-0.03</v>
      </c>
      <c r="BB53" s="14" t="inlineStr">
        <is>
          <t>Readiness / sustainment spares.</t>
        </is>
      </c>
    </row>
    <row r="54" collapsed="1" ht="15" customHeight="1">
      <c r="B54" s="23" t="inlineStr">
        <is>
          <t xml:space="preserve">  Net sales y/y %</t>
        </is>
      </c>
      <c r="C54" s="24" t="n"/>
      <c r="D54" s="176">
        <f>IF(AND(ISNUMBER(D53),ISNUMBER(C53)),IFERROR(D53/C53-1,""),"")</f>
        <v/>
      </c>
      <c r="E54" s="176">
        <f>IF(AND(ISNUMBER(E53),ISNUMBER(D53)),IFERROR(E53/D53-1,""),"")</f>
        <v/>
      </c>
      <c r="F54" s="176">
        <f>IF(AND(ISNUMBER(F53),ISNUMBER(E53)),IFERROR(F53/E53-1,""),"")</f>
        <v/>
      </c>
      <c r="G54" s="176">
        <f>IF(AND(ISNUMBER(G53),ISNUMBER(F53)),IFERROR(G53/F53-1,""),"")</f>
        <v/>
      </c>
      <c r="H54" s="176">
        <f>IF(AND(ISNUMBER(H53),ISNUMBER(G53)),IFERROR(H53/G53-1,""),"")</f>
        <v/>
      </c>
      <c r="I54" s="176">
        <f>IF(AND(ISNUMBER(I53),ISNUMBER(H53)),IFERROR(I53/H53-1,""),"")</f>
        <v/>
      </c>
      <c r="J54" s="176">
        <f>IF(AND(ISNUMBER(J53),ISNUMBER(I53)),IFERROR(J53/I53-1,""),"")</f>
        <v/>
      </c>
      <c r="K54" s="176">
        <f>IF(AND(ISNUMBER(K53),ISNUMBER(J53)),IFERROR(K53/J53-1,""),"")</f>
        <v/>
      </c>
      <c r="L54" s="176">
        <f>IF(AND(ISNUMBER(L53),ISNUMBER(K53)),IFERROR(L53/K53-1,""),"")</f>
        <v/>
      </c>
      <c r="M54" s="24" t="n"/>
      <c r="N54" s="24" t="n"/>
      <c r="O54" s="24" t="n"/>
      <c r="P54" s="24" t="n"/>
      <c r="Q54" s="176">
        <f>IF(AND(ISNUMBER(Q53),ISNUMBER(L53)),IFERROR(Q53/L53-1,""),"")</f>
        <v/>
      </c>
      <c r="R54" s="176">
        <f>IF(AND(ISNUMBER(R53),ISNUMBER(M53)),IFERROR(R53/M53-1,""),"")</f>
        <v/>
      </c>
      <c r="S54" s="176">
        <f>IF(AND(ISNUMBER(S53),ISNUMBER(N53)),IFERROR(S53/N53-1,""),"")</f>
        <v/>
      </c>
      <c r="T54" s="176">
        <f>IF(AND(ISNUMBER(T53),ISNUMBER(O53)),IFERROR(T53/O53-1,""),"")</f>
        <v/>
      </c>
      <c r="U54" s="176">
        <f>IF(AND(ISNUMBER(U53),ISNUMBER(P53)),IFERROR(U53/P53-1,""),"")</f>
        <v/>
      </c>
      <c r="V54" s="176">
        <f>IF(AND(ISNUMBER(V53),ISNUMBER(Q53)),IFERROR(V53/Q53-1,""),"")</f>
        <v/>
      </c>
      <c r="W54" s="176">
        <f>IF(AND(ISNUMBER(W53),ISNUMBER(R53)),IFERROR(W53/R53-1,""),"")</f>
        <v/>
      </c>
      <c r="X54" s="176">
        <f>IF(AND(ISNUMBER(X53),ISNUMBER(S53)),IFERROR(X53/S53-1,""),"")</f>
        <v/>
      </c>
      <c r="Y54" s="176">
        <f>IF(AND(ISNUMBER(Y53),ISNUMBER(T53)),IFERROR(Y53/T53-1,""),"")</f>
        <v/>
      </c>
      <c r="Z54" s="176">
        <f>IF(AND(ISNUMBER(Z53),ISNUMBER(U53)),IFERROR(Z53/U53-1,""),"")</f>
        <v/>
      </c>
      <c r="AA54" s="176">
        <f>IF(AND(ISNUMBER(AA53),ISNUMBER(V53)),IFERROR(AA53/V53-1,""),"")</f>
        <v/>
      </c>
      <c r="AB54" s="176">
        <f>IF(AND(ISNUMBER(AB53),ISNUMBER(W53)),IFERROR(AB53/W53-1,""),"")</f>
        <v/>
      </c>
      <c r="AC54" s="176">
        <f>IF(AND(ISNUMBER(AC53),ISNUMBER(X53)),IFERROR(AC53/X53-1,""),"")</f>
        <v/>
      </c>
      <c r="AD54" s="176">
        <f>IF(AND(ISNUMBER(AD53),ISNUMBER(Y53)),IFERROR(AD53/Y53-1,""),"")</f>
        <v/>
      </c>
      <c r="AE54" s="176">
        <f>IF(AND(ISNUMBER(AE53),ISNUMBER(Z53)),IFERROR(AE53/Z53-1,""),"")</f>
        <v/>
      </c>
      <c r="AF54" s="176">
        <f>IF(AND(ISNUMBER(AF53),ISNUMBER(AA53)),IFERROR(AF53/AA53-1,""),"")</f>
        <v/>
      </c>
      <c r="AG54" s="176">
        <f>IF(AND(ISNUMBER(AG53),ISNUMBER(AB53)),IFERROR(AG53/AB53-1,""),"")</f>
        <v/>
      </c>
      <c r="AH54" s="176">
        <f>IF(AND(ISNUMBER(AH53),ISNUMBER(AC53)),IFERROR(AH53/AC53-1,""),"")</f>
        <v/>
      </c>
      <c r="AI54" s="177">
        <f>IF(AND(ISNUMBER(AI53),ISNUMBER(AD53)),IFERROR(AI53/AD53-1,""),"")</f>
        <v/>
      </c>
      <c r="AJ54" s="177">
        <f>IF(AND(ISNUMBER(AJ53),ISNUMBER(AE53)),IFERROR(AJ53/AE53-1,""),"")</f>
        <v/>
      </c>
      <c r="AK54" s="177">
        <f>IF(AND(ISNUMBER(AK53),ISNUMBER(AF53)),IFERROR(AK53/AF53-1,""),"")</f>
        <v/>
      </c>
      <c r="AL54" s="177">
        <f>IF(AND(ISNUMBER(AL53),ISNUMBER(AK53)),IFERROR(AL53/AK53-1,""),"")</f>
        <v/>
      </c>
      <c r="AM54" s="177">
        <f>IF(AND(ISNUMBER(AM53),ISNUMBER(AL53)),IFERROR(AM53/AL53-1,""),"")</f>
        <v/>
      </c>
      <c r="AN54" s="177">
        <f>IF(AND(ISNUMBER(AN53),ISNUMBER(AM53)),IFERROR(AN53/AM53-1,""),"")</f>
        <v/>
      </c>
      <c r="AO54" s="177">
        <f>IF(AND(ISNUMBER(AO53),ISNUMBER(AN53)),IFERROR(AO53/AN53-1,""),"")</f>
        <v/>
      </c>
      <c r="AP54" s="6" t="n"/>
      <c r="AX54" s="26" t="inlineStr">
        <is>
          <t xml:space="preserve">  2027E</t>
        </is>
      </c>
      <c r="AY54" s="35">
        <f>AZ54+$AY$53</f>
        <v/>
      </c>
      <c r="AZ54" s="45" t="n">
        <v>0.06</v>
      </c>
      <c r="BA54" s="35">
        <f>AZ54+$BA$53</f>
        <v/>
      </c>
    </row>
    <row r="55" ht="15" customHeight="1">
      <c r="B55" s="26" t="inlineStr">
        <is>
          <t xml:space="preserve">  % of total net sales</t>
        </is>
      </c>
      <c r="C55" s="183">
        <f>IF(AND(ISNUMBER(C53),ISNUMBER(C90)),IFERROR(C53/C90,""),"")</f>
        <v/>
      </c>
      <c r="D55" s="183">
        <f>IF(AND(ISNUMBER(D53),ISNUMBER(D90)),IFERROR(D53/D90,""),"")</f>
        <v/>
      </c>
      <c r="E55" s="183">
        <f>IF(AND(ISNUMBER(E53),ISNUMBER(E90)),IFERROR(E53/E90,""),"")</f>
        <v/>
      </c>
      <c r="F55" s="183">
        <f>IF(AND(ISNUMBER(F53),ISNUMBER(F90)),IFERROR(F53/F90,""),"")</f>
        <v/>
      </c>
      <c r="G55" s="183">
        <f>IF(AND(ISNUMBER(G53),ISNUMBER(G90)),IFERROR(G53/G90,""),"")</f>
        <v/>
      </c>
      <c r="H55" s="183">
        <f>IF(AND(ISNUMBER(H53),ISNUMBER(H90)),IFERROR(H53/H90,""),"")</f>
        <v/>
      </c>
      <c r="I55" s="183">
        <f>IF(AND(ISNUMBER(I53),ISNUMBER(I90)),IFERROR(I53/I90,""),"")</f>
        <v/>
      </c>
      <c r="J55" s="183">
        <f>IF(AND(ISNUMBER(J53),ISNUMBER(J90)),IFERROR(J53/J90,""),"")</f>
        <v/>
      </c>
      <c r="K55" s="183">
        <f>IF(AND(ISNUMBER(K53),ISNUMBER(K90)),IFERROR(K53/K90,""),"")</f>
        <v/>
      </c>
      <c r="L55" s="183">
        <f>IF(AND(ISNUMBER(L53),ISNUMBER(L90)),IFERROR(L53/L90,""),"")</f>
        <v/>
      </c>
      <c r="M55" s="183">
        <f>IF(AND(ISNUMBER(M53),ISNUMBER(M90)),IFERROR(M53/M90,""),"")</f>
        <v/>
      </c>
      <c r="N55" s="183">
        <f>IF(AND(ISNUMBER(N53),ISNUMBER(N90)),IFERROR(N53/N90,""),"")</f>
        <v/>
      </c>
      <c r="O55" s="183">
        <f>IF(AND(ISNUMBER(O53),ISNUMBER(O90)),IFERROR(O53/O90,""),"")</f>
        <v/>
      </c>
      <c r="P55" s="183">
        <f>IF(AND(ISNUMBER(P53),ISNUMBER(P90)),IFERROR(P53/P90,""),"")</f>
        <v/>
      </c>
      <c r="Q55" s="183">
        <f>IF(AND(ISNUMBER(Q53),ISNUMBER(Q90)),IFERROR(Q53/Q90,""),"")</f>
        <v/>
      </c>
      <c r="R55" s="183">
        <f>IF(AND(ISNUMBER(R53),ISNUMBER(R90)),IFERROR(R53/R90,""),"")</f>
        <v/>
      </c>
      <c r="S55" s="183">
        <f>IF(AND(ISNUMBER(S53),ISNUMBER(S90)),IFERROR(S53/S90,""),"")</f>
        <v/>
      </c>
      <c r="T55" s="183">
        <f>IF(AND(ISNUMBER(T53),ISNUMBER(T90)),IFERROR(T53/T90,""),"")</f>
        <v/>
      </c>
      <c r="U55" s="183">
        <f>IF(AND(ISNUMBER(U53),ISNUMBER(U90)),IFERROR(U53/U90,""),"")</f>
        <v/>
      </c>
      <c r="V55" s="183">
        <f>IF(AND(ISNUMBER(V53),ISNUMBER(V90)),IFERROR(V53/V90,""),"")</f>
        <v/>
      </c>
      <c r="W55" s="183">
        <f>IF(AND(ISNUMBER(W53),ISNUMBER(W90)),IFERROR(W53/W90,""),"")</f>
        <v/>
      </c>
      <c r="X55" s="183">
        <f>IF(AND(ISNUMBER(X53),ISNUMBER(X90)),IFERROR(X53/X90,""),"")</f>
        <v/>
      </c>
      <c r="Y55" s="183">
        <f>IF(AND(ISNUMBER(Y53),ISNUMBER(Y90)),IFERROR(Y53/Y90,""),"")</f>
        <v/>
      </c>
      <c r="Z55" s="183">
        <f>IF(AND(ISNUMBER(Z53),ISNUMBER(Z90)),IFERROR(Z53/Z90,""),"")</f>
        <v/>
      </c>
      <c r="AA55" s="183">
        <f>IF(AND(ISNUMBER(AA53),ISNUMBER(AA90)),IFERROR(AA53/AA90,""),"")</f>
        <v/>
      </c>
      <c r="AB55" s="183">
        <f>IF(AND(ISNUMBER(AB53),ISNUMBER(AB90)),IFERROR(AB53/AB90,""),"")</f>
        <v/>
      </c>
      <c r="AC55" s="183">
        <f>IF(AND(ISNUMBER(AC53),ISNUMBER(AC90)),IFERROR(AC53/AC90,""),"")</f>
        <v/>
      </c>
      <c r="AD55" s="183">
        <f>IF(AND(ISNUMBER(AD53),ISNUMBER(AD90)),IFERROR(AD53/AD90,""),"")</f>
        <v/>
      </c>
      <c r="AE55" s="183">
        <f>IF(AND(ISNUMBER(AE53),ISNUMBER(AE90)),IFERROR(AE53/AE90,""),"")</f>
        <v/>
      </c>
      <c r="AF55" s="183">
        <f>IF(AND(ISNUMBER(AF53),ISNUMBER(AF90)),IFERROR(AF53/AF90,""),"")</f>
        <v/>
      </c>
      <c r="AG55" s="183">
        <f>IF(AND(ISNUMBER(AG53),ISNUMBER(AG90)),IFERROR(AG53/AG90,""),"")</f>
        <v/>
      </c>
      <c r="AH55" s="183">
        <f>IF(AND(ISNUMBER(AH53),ISNUMBER(AH90)),IFERROR(AH53/AH90,""),"")</f>
        <v/>
      </c>
      <c r="AI55" s="177">
        <f>IF(AND(ISNUMBER(AI53),ISNUMBER(AI90)),IFERROR(AI53/AI90,""),"")</f>
        <v/>
      </c>
      <c r="AJ55" s="177">
        <f>IF(AND(ISNUMBER(AJ53),ISNUMBER(AJ90)),IFERROR(AJ53/AJ90,""),"")</f>
        <v/>
      </c>
      <c r="AK55" s="177">
        <f>IF(AND(ISNUMBER(AK53),ISNUMBER(AK90)),IFERROR(AK53/AK90,""),"")</f>
        <v/>
      </c>
      <c r="AL55" s="177">
        <f>IF(AND(ISNUMBER(AL53),ISNUMBER(AL90)),IFERROR(AL53/AL90,""),"")</f>
        <v/>
      </c>
      <c r="AM55" s="177">
        <f>IF(AND(ISNUMBER(AM53),ISNUMBER(AM90)),IFERROR(AM53/AM90,""),"")</f>
        <v/>
      </c>
      <c r="AN55" s="177">
        <f>IF(AND(ISNUMBER(AN53),ISNUMBER(AN90)),IFERROR(AN53/AN90,""),"")</f>
        <v/>
      </c>
      <c r="AO55" s="177">
        <f>IF(AND(ISNUMBER(AO53),ISNUMBER(AO90)),IFERROR(AO53/AO90,""),"")</f>
        <v/>
      </c>
      <c r="AP55" s="6" t="n"/>
      <c r="AX55" s="26" t="inlineStr">
        <is>
          <t xml:space="preserve">  2028E</t>
        </is>
      </c>
      <c r="AY55" s="35">
        <f>AZ55+$AY$53</f>
        <v/>
      </c>
      <c r="AZ55" s="45" t="n">
        <v>0.06</v>
      </c>
      <c r="BA55" s="35">
        <f>AZ55+$BA$53</f>
        <v/>
      </c>
    </row>
    <row r="56" ht="15" customHeight="1">
      <c r="B56" s="26" t="inlineStr">
        <is>
          <t xml:space="preserve">  Aftermarket % of end-market sales</t>
        </is>
      </c>
      <c r="C56" s="183">
        <f>IF(AND(ISNUMBER(C50),ISNUMBER(C53)),IFERROR(C50/C53,""),"")</f>
        <v/>
      </c>
      <c r="D56" s="183">
        <f>IF(AND(ISNUMBER(D50),ISNUMBER(D53)),IFERROR(D50/D53,""),"")</f>
        <v/>
      </c>
      <c r="E56" s="183">
        <f>IF(AND(ISNUMBER(E50),ISNUMBER(E53)),IFERROR(E50/E53,""),"")</f>
        <v/>
      </c>
      <c r="F56" s="183">
        <f>IF(AND(ISNUMBER(F50),ISNUMBER(F53)),IFERROR(F50/F53,""),"")</f>
        <v/>
      </c>
      <c r="G56" s="183">
        <f>IF(AND(ISNUMBER(G50),ISNUMBER(G53)),IFERROR(G50/G53,""),"")</f>
        <v/>
      </c>
      <c r="H56" s="183">
        <f>IF(AND(ISNUMBER(H50),ISNUMBER(H53)),IFERROR(H50/H53,""),"")</f>
        <v/>
      </c>
      <c r="I56" s="183">
        <f>IF(AND(ISNUMBER(I50),ISNUMBER(I53)),IFERROR(I50/I53,""),"")</f>
        <v/>
      </c>
      <c r="J56" s="183">
        <f>IF(AND(ISNUMBER(J50),ISNUMBER(J53)),IFERROR(J50/J53,""),"")</f>
        <v/>
      </c>
      <c r="K56" s="183">
        <f>IF(AND(ISNUMBER(K50),ISNUMBER(K53)),IFERROR(K50/K53,""),"")</f>
        <v/>
      </c>
      <c r="L56" s="183">
        <f>IF(AND(ISNUMBER(L50),ISNUMBER(L53)),IFERROR(L50/L53,""),"")</f>
        <v/>
      </c>
      <c r="M56" s="183">
        <f>IF(AND(ISNUMBER(M50),ISNUMBER(M53)),IFERROR(M50/M53,""),"")</f>
        <v/>
      </c>
      <c r="N56" s="183">
        <f>IF(AND(ISNUMBER(N50),ISNUMBER(N53)),IFERROR(N50/N53,""),"")</f>
        <v/>
      </c>
      <c r="O56" s="183">
        <f>IF(AND(ISNUMBER(O50),ISNUMBER(O53)),IFERROR(O50/O53,""),"")</f>
        <v/>
      </c>
      <c r="P56" s="183">
        <f>IF(AND(ISNUMBER(P50),ISNUMBER(P53)),IFERROR(P50/P53,""),"")</f>
        <v/>
      </c>
      <c r="Q56" s="183">
        <f>IF(AND(ISNUMBER(Q50),ISNUMBER(Q53)),IFERROR(Q50/Q53,""),"")</f>
        <v/>
      </c>
      <c r="R56" s="183">
        <f>IF(AND(ISNUMBER(R50),ISNUMBER(R53)),IFERROR(R50/R53,""),"")</f>
        <v/>
      </c>
      <c r="S56" s="183">
        <f>IF(AND(ISNUMBER(S50),ISNUMBER(S53)),IFERROR(S50/S53,""),"")</f>
        <v/>
      </c>
      <c r="T56" s="183">
        <f>IF(AND(ISNUMBER(T50),ISNUMBER(T53)),IFERROR(T50/T53,""),"")</f>
        <v/>
      </c>
      <c r="U56" s="183">
        <f>IF(AND(ISNUMBER(U50),ISNUMBER(U53)),IFERROR(U50/U53,""),"")</f>
        <v/>
      </c>
      <c r="V56" s="183">
        <f>IF(AND(ISNUMBER(V50),ISNUMBER(V53)),IFERROR(V50/V53,""),"")</f>
        <v/>
      </c>
      <c r="W56" s="183">
        <f>IF(AND(ISNUMBER(W50),ISNUMBER(W53)),IFERROR(W50/W53,""),"")</f>
        <v/>
      </c>
      <c r="X56" s="183">
        <f>IF(AND(ISNUMBER(X50),ISNUMBER(X53)),IFERROR(X50/X53,""),"")</f>
        <v/>
      </c>
      <c r="Y56" s="183">
        <f>IF(AND(ISNUMBER(Y50),ISNUMBER(Y53)),IFERROR(Y50/Y53,""),"")</f>
        <v/>
      </c>
      <c r="Z56" s="183">
        <f>IF(AND(ISNUMBER(Z50),ISNUMBER(Z53)),IFERROR(Z50/Z53,""),"")</f>
        <v/>
      </c>
      <c r="AA56" s="183">
        <f>IF(AND(ISNUMBER(AA50),ISNUMBER(AA53)),IFERROR(AA50/AA53,""),"")</f>
        <v/>
      </c>
      <c r="AB56" s="183">
        <f>IF(AND(ISNUMBER(AB50),ISNUMBER(AB53)),IFERROR(AB50/AB53,""),"")</f>
        <v/>
      </c>
      <c r="AC56" s="183">
        <f>IF(AND(ISNUMBER(AC50),ISNUMBER(AC53)),IFERROR(AC50/AC53,""),"")</f>
        <v/>
      </c>
      <c r="AD56" s="183">
        <f>IF(AND(ISNUMBER(AD50),ISNUMBER(AD53)),IFERROR(AD50/AD53,""),"")</f>
        <v/>
      </c>
      <c r="AE56" s="183">
        <f>IF(AND(ISNUMBER(AE50),ISNUMBER(AE53)),IFERROR(AE50/AE53,""),"")</f>
        <v/>
      </c>
      <c r="AF56" s="183">
        <f>IF(AND(ISNUMBER(AF50),ISNUMBER(AF53)),IFERROR(AF50/AF53,""),"")</f>
        <v/>
      </c>
      <c r="AG56" s="183">
        <f>IF(AND(ISNUMBER(AG50),ISNUMBER(AG53)),IFERROR(AG50/AG53,""),"")</f>
        <v/>
      </c>
      <c r="AH56" s="183">
        <f>IF(AND(ISNUMBER(AH50),ISNUMBER(AH53)),IFERROR(AH50/AH53,""),"")</f>
        <v/>
      </c>
      <c r="AI56" s="177">
        <f>IF(AND(ISNUMBER(AI50),ISNUMBER(AI53)),IFERROR(AI50/AI53,""),"")</f>
        <v/>
      </c>
      <c r="AJ56" s="177">
        <f>IF(AND(ISNUMBER(AJ50),ISNUMBER(AJ53)),IFERROR(AJ50/AJ53,""),"")</f>
        <v/>
      </c>
      <c r="AK56" s="177">
        <f>IF(AND(ISNUMBER(AK50),ISNUMBER(AK53)),IFERROR(AK50/AK53,""),"")</f>
        <v/>
      </c>
      <c r="AL56" s="177">
        <f>IF(AND(ISNUMBER(AL50),ISNUMBER(AL53)),IFERROR(AL50/AL53,""),"")</f>
        <v/>
      </c>
      <c r="AM56" s="177">
        <f>IF(AND(ISNUMBER(AM50),ISNUMBER(AM53)),IFERROR(AM50/AM53,""),"")</f>
        <v/>
      </c>
      <c r="AN56" s="177">
        <f>IF(AND(ISNUMBER(AN50),ISNUMBER(AN53)),IFERROR(AN50/AN53,""),"")</f>
        <v/>
      </c>
      <c r="AO56" s="177">
        <f>IF(AND(ISNUMBER(AO50),ISNUMBER(AO53)),IFERROR(AO50/AO53,""),"")</f>
        <v/>
      </c>
      <c r="AP56" s="6" t="n"/>
      <c r="AX56" s="26" t="inlineStr">
        <is>
          <t xml:space="preserve">  2029E</t>
        </is>
      </c>
      <c r="AY56" s="35">
        <f>AZ56+$AY$53</f>
        <v/>
      </c>
      <c r="AZ56" s="45" t="n">
        <v>0.05</v>
      </c>
      <c r="BA56" s="35">
        <f>AZ56+$BA$53</f>
        <v/>
      </c>
    </row>
    <row r="57" ht="15" customHeight="1">
      <c r="AX57" s="26" t="inlineStr">
        <is>
          <t xml:space="preserve">  2030E</t>
        </is>
      </c>
      <c r="AY57" s="35">
        <f>AZ57+$AY$53</f>
        <v/>
      </c>
      <c r="AZ57" s="45" t="n">
        <v>0.05</v>
      </c>
      <c r="BA57" s="35">
        <f>AZ57+$BA$53</f>
        <v/>
      </c>
    </row>
    <row r="58" ht="15" customHeight="1">
      <c r="B58" s="15" t="inlineStr">
        <is>
          <t>OEM / aftermarket mix (all end markets)</t>
        </is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6" t="inlineStr">
        <is>
          <t>MIX — outputs</t>
        </is>
      </c>
      <c r="AX58" s="16" t="inlineStr">
        <is>
          <t>OTH_OEM (other / non-aerospace OEM y/y)</t>
        </is>
      </c>
      <c r="AY58" s="44" t="n">
        <v>0.02</v>
      </c>
      <c r="AZ58" s="22" t="inlineStr">
        <is>
          <t>Δ →</t>
        </is>
      </c>
      <c r="BA58" s="44" t="n">
        <v>-0.04</v>
      </c>
      <c r="BB58" s="14" t="inlineStr">
        <is>
          <t>Industrial applications (~6% of sales).</t>
        </is>
      </c>
    </row>
    <row r="59" ht="15" customHeight="1">
      <c r="B59" s="26" t="inlineStr">
        <is>
          <t xml:space="preserve">  Total OEM net sales</t>
        </is>
      </c>
      <c r="C59" s="186">
        <f>IF(ISNUMBER(C11),C11+C23+C35+C47,"")</f>
        <v/>
      </c>
      <c r="D59" s="186">
        <f>IF(ISNUMBER(D11),D11+D23+D35+D47,"")</f>
        <v/>
      </c>
      <c r="E59" s="186">
        <f>IF(ISNUMBER(E11),E11+E23+E35+E47,"")</f>
        <v/>
      </c>
      <c r="F59" s="186">
        <f>IF(ISNUMBER(F11),F11+F23+F35+F47,"")</f>
        <v/>
      </c>
      <c r="G59" s="186">
        <f>IF(ISNUMBER(G11),G11+G23+G35+G47,"")</f>
        <v/>
      </c>
      <c r="H59" s="186">
        <f>IF(ISNUMBER(H11),H11+H23+H35+H47,"")</f>
        <v/>
      </c>
      <c r="I59" s="186">
        <f>IF(ISNUMBER(I11),I11+I23+I35+I47,"")</f>
        <v/>
      </c>
      <c r="J59" s="186">
        <f>IF(ISNUMBER(J11),J11+J23+J35+J47,"")</f>
        <v/>
      </c>
      <c r="K59" s="186">
        <f>IF(ISNUMBER(K11),K11+K23+K35+K47,"")</f>
        <v/>
      </c>
      <c r="L59" s="186">
        <f>IF(ISNUMBER(L11),L11+L23+L35+L47,"")</f>
        <v/>
      </c>
      <c r="M59" s="186">
        <f>IF(ISNUMBER(M11),M11+M23+M35+M47,"")</f>
        <v/>
      </c>
      <c r="N59" s="186">
        <f>IF(ISNUMBER(N11),N11+N23+N35+N47,"")</f>
        <v/>
      </c>
      <c r="O59" s="186">
        <f>IF(ISNUMBER(O11),O11+O23+O35+O47,"")</f>
        <v/>
      </c>
      <c r="P59" s="186">
        <f>IF(ISNUMBER(P11),P11+P23+P35+P47,"")</f>
        <v/>
      </c>
      <c r="Q59" s="186">
        <f>IF(ISNUMBER(Q11),Q11+Q23+Q35+Q47,"")</f>
        <v/>
      </c>
      <c r="R59" s="186">
        <f>IF(ISNUMBER(R11),R11+R23+R35+R47,"")</f>
        <v/>
      </c>
      <c r="S59" s="186">
        <f>IF(ISNUMBER(S11),S11+S23+S35+S47,"")</f>
        <v/>
      </c>
      <c r="T59" s="186">
        <f>IF(ISNUMBER(T11),T11+T23+T35+T47,"")</f>
        <v/>
      </c>
      <c r="U59" s="186">
        <f>IF(ISNUMBER(U11),U11+U23+U35+U47,"")</f>
        <v/>
      </c>
      <c r="V59" s="186">
        <f>IF(ISNUMBER(V11),V11+V23+V35+V47,"")</f>
        <v/>
      </c>
      <c r="W59" s="186">
        <f>IF(ISNUMBER(W11),W11+W23+W35+W47,"")</f>
        <v/>
      </c>
      <c r="X59" s="186">
        <f>IF(ISNUMBER(X11),X11+X23+X35+X47,"")</f>
        <v/>
      </c>
      <c r="Y59" s="186">
        <f>IF(ISNUMBER(Y11),Y11+Y23+Y35+Y47,"")</f>
        <v/>
      </c>
      <c r="Z59" s="186">
        <f>IF(ISNUMBER(Z11),Z11+Z23+Z35+Z47,"")</f>
        <v/>
      </c>
      <c r="AA59" s="186">
        <f>IF(ISNUMBER(AA11),AA11+AA23+AA35+AA47,"")</f>
        <v/>
      </c>
      <c r="AB59" s="186">
        <f>IF(ISNUMBER(AB11),AB11+AB23+AB35+AB47,"")</f>
        <v/>
      </c>
      <c r="AC59" s="186">
        <f>IF(ISNUMBER(AC11),AC11+AC23+AC35+AC47,"")</f>
        <v/>
      </c>
      <c r="AD59" s="186">
        <f>IF(ISNUMBER(AD11),AD11+AD23+AD35+AD47,"")</f>
        <v/>
      </c>
      <c r="AE59" s="186">
        <f>IF(ISNUMBER(AE11),AE11+AE23+AE35+AE47,"")</f>
        <v/>
      </c>
      <c r="AF59" s="186">
        <f>IF(ISNUMBER(AF11),AF11+AF23+AF35+AF47,"")</f>
        <v/>
      </c>
      <c r="AG59" s="186">
        <f>IF(ISNUMBER(AG11),AG11+AG23+AG35+AG47,"")</f>
        <v/>
      </c>
      <c r="AH59" s="186">
        <f>IF(ISNUMBER(AH11),AH11+AH23+AH35+AH47,"")</f>
        <v/>
      </c>
      <c r="AI59" s="175">
        <f>IF(ISNUMBER(AI11),AI11+AI23+AI35+AI47,"")</f>
        <v/>
      </c>
      <c r="AJ59" s="175">
        <f>IF(ISNUMBER(AJ11),AJ11+AJ23+AJ35+AJ47,"")</f>
        <v/>
      </c>
      <c r="AK59" s="175">
        <f>IF(ISNUMBER(AK11),AK11+AK23+AK35+AK47,"")</f>
        <v/>
      </c>
      <c r="AL59" s="175">
        <f>IF(ISNUMBER(AL11),AL11+AL23+AL35+AL47,"")</f>
        <v/>
      </c>
      <c r="AM59" s="175">
        <f>IF(ISNUMBER(AM11),AM11+AM23+AM35+AM47,"")</f>
        <v/>
      </c>
      <c r="AN59" s="175">
        <f>IF(ISNUMBER(AN11),AN11+AN23+AN35+AN47,"")</f>
        <v/>
      </c>
      <c r="AO59" s="175">
        <f>IF(ISNUMBER(AO11),AO11+AO23+AO35+AO47,"")</f>
        <v/>
      </c>
      <c r="AP59" s="20" t="n"/>
      <c r="AR59" s="21">
        <f>IFERROR((AO59/AF59)^(1/5)-1,"n/m")</f>
        <v/>
      </c>
      <c r="AS59" s="21">
        <f>IFERROR((AF59/K59)^(1/5)-1,"n/m")</f>
        <v/>
      </c>
      <c r="AT59" s="21">
        <f>IFERROR((AF59/F59)^(1/10)-1,"n/m")</f>
        <v/>
      </c>
      <c r="AU59" s="21">
        <f>IFERROR((AF59/C59)^(1/13)-1,"n/m")</f>
        <v/>
      </c>
      <c r="AX59" s="26" t="inlineStr">
        <is>
          <t xml:space="preserve">  2027E</t>
        </is>
      </c>
      <c r="AY59" s="35">
        <f>AZ59+$AY$58</f>
        <v/>
      </c>
      <c r="AZ59" s="45" t="n">
        <v>0.04</v>
      </c>
      <c r="BA59" s="35">
        <f>AZ59+$BA$58</f>
        <v/>
      </c>
    </row>
    <row r="60" ht="15" customHeight="1">
      <c r="B60" s="26" t="inlineStr">
        <is>
          <t xml:space="preserve">  Total aftermarket net sales</t>
        </is>
      </c>
      <c r="C60" s="186">
        <f>IF(ISNUMBER(C14),C14+C26+C38+C50,"")</f>
        <v/>
      </c>
      <c r="D60" s="186">
        <f>IF(ISNUMBER(D14),D14+D26+D38+D50,"")</f>
        <v/>
      </c>
      <c r="E60" s="186">
        <f>IF(ISNUMBER(E14),E14+E26+E38+E50,"")</f>
        <v/>
      </c>
      <c r="F60" s="186">
        <f>IF(ISNUMBER(F14),F14+F26+F38+F50,"")</f>
        <v/>
      </c>
      <c r="G60" s="186">
        <f>IF(ISNUMBER(G14),G14+G26+G38+G50,"")</f>
        <v/>
      </c>
      <c r="H60" s="186">
        <f>IF(ISNUMBER(H14),H14+H26+H38+H50,"")</f>
        <v/>
      </c>
      <c r="I60" s="186">
        <f>IF(ISNUMBER(I14),I14+I26+I38+I50,"")</f>
        <v/>
      </c>
      <c r="J60" s="186">
        <f>IF(ISNUMBER(J14),J14+J26+J38+J50,"")</f>
        <v/>
      </c>
      <c r="K60" s="186">
        <f>IF(ISNUMBER(K14),K14+K26+K38+K50,"")</f>
        <v/>
      </c>
      <c r="L60" s="186">
        <f>IF(ISNUMBER(L14),L14+L26+L38+L50,"")</f>
        <v/>
      </c>
      <c r="M60" s="186">
        <f>IF(ISNUMBER(M14),M14+M26+M38+M50,"")</f>
        <v/>
      </c>
      <c r="N60" s="186">
        <f>IF(ISNUMBER(N14),N14+N26+N38+N50,"")</f>
        <v/>
      </c>
      <c r="O60" s="186">
        <f>IF(ISNUMBER(O14),O14+O26+O38+O50,"")</f>
        <v/>
      </c>
      <c r="P60" s="186">
        <f>IF(ISNUMBER(P14),P14+P26+P38+P50,"")</f>
        <v/>
      </c>
      <c r="Q60" s="186">
        <f>IF(ISNUMBER(Q14),Q14+Q26+Q38+Q50,"")</f>
        <v/>
      </c>
      <c r="R60" s="186">
        <f>IF(ISNUMBER(R14),R14+R26+R38+R50,"")</f>
        <v/>
      </c>
      <c r="S60" s="186">
        <f>IF(ISNUMBER(S14),S14+S26+S38+S50,"")</f>
        <v/>
      </c>
      <c r="T60" s="186">
        <f>IF(ISNUMBER(T14),T14+T26+T38+T50,"")</f>
        <v/>
      </c>
      <c r="U60" s="186">
        <f>IF(ISNUMBER(U14),U14+U26+U38+U50,"")</f>
        <v/>
      </c>
      <c r="V60" s="186">
        <f>IF(ISNUMBER(V14),V14+V26+V38+V50,"")</f>
        <v/>
      </c>
      <c r="W60" s="186">
        <f>IF(ISNUMBER(W14),W14+W26+W38+W50,"")</f>
        <v/>
      </c>
      <c r="X60" s="186">
        <f>IF(ISNUMBER(X14),X14+X26+X38+X50,"")</f>
        <v/>
      </c>
      <c r="Y60" s="186">
        <f>IF(ISNUMBER(Y14),Y14+Y26+Y38+Y50,"")</f>
        <v/>
      </c>
      <c r="Z60" s="186">
        <f>IF(ISNUMBER(Z14),Z14+Z26+Z38+Z50,"")</f>
        <v/>
      </c>
      <c r="AA60" s="186">
        <f>IF(ISNUMBER(AA14),AA14+AA26+AA38+AA50,"")</f>
        <v/>
      </c>
      <c r="AB60" s="186">
        <f>IF(ISNUMBER(AB14),AB14+AB26+AB38+AB50,"")</f>
        <v/>
      </c>
      <c r="AC60" s="186">
        <f>IF(ISNUMBER(AC14),AC14+AC26+AC38+AC50,"")</f>
        <v/>
      </c>
      <c r="AD60" s="186">
        <f>IF(ISNUMBER(AD14),AD14+AD26+AD38+AD50,"")</f>
        <v/>
      </c>
      <c r="AE60" s="186">
        <f>IF(ISNUMBER(AE14),AE14+AE26+AE38+AE50,"")</f>
        <v/>
      </c>
      <c r="AF60" s="186">
        <f>IF(ISNUMBER(AF14),AF14+AF26+AF38+AF50,"")</f>
        <v/>
      </c>
      <c r="AG60" s="186">
        <f>IF(ISNUMBER(AG14),AG14+AG26+AG38+AG50,"")</f>
        <v/>
      </c>
      <c r="AH60" s="186">
        <f>IF(ISNUMBER(AH14),AH14+AH26+AH38+AH50,"")</f>
        <v/>
      </c>
      <c r="AI60" s="175">
        <f>IF(ISNUMBER(AI14),AI14+AI26+AI38+AI50,"")</f>
        <v/>
      </c>
      <c r="AJ60" s="175">
        <f>IF(ISNUMBER(AJ14),AJ14+AJ26+AJ38+AJ50,"")</f>
        <v/>
      </c>
      <c r="AK60" s="175">
        <f>IF(ISNUMBER(AK14),AK14+AK26+AK38+AK50,"")</f>
        <v/>
      </c>
      <c r="AL60" s="175">
        <f>IF(ISNUMBER(AL14),AL14+AL26+AL38+AL50,"")</f>
        <v/>
      </c>
      <c r="AM60" s="175">
        <f>IF(ISNUMBER(AM14),AM14+AM26+AM38+AM50,"")</f>
        <v/>
      </c>
      <c r="AN60" s="175">
        <f>IF(ISNUMBER(AN14),AN14+AN26+AN38+AN50,"")</f>
        <v/>
      </c>
      <c r="AO60" s="175">
        <f>IF(ISNUMBER(AO14),AO14+AO26+AO38+AO50,"")</f>
        <v/>
      </c>
      <c r="AP60" s="20" t="n"/>
      <c r="AR60" s="21">
        <f>IFERROR((AO60/AF60)^(1/5)-1,"n/m")</f>
        <v/>
      </c>
      <c r="AS60" s="21">
        <f>IFERROR((AF60/K60)^(1/5)-1,"n/m")</f>
        <v/>
      </c>
      <c r="AT60" s="21">
        <f>IFERROR((AF60/F60)^(1/10)-1,"n/m")</f>
        <v/>
      </c>
      <c r="AU60" s="21">
        <f>IFERROR((AF60/C60)^(1/13)-1,"n/m")</f>
        <v/>
      </c>
      <c r="AX60" s="26" t="inlineStr">
        <is>
          <t xml:space="preserve">  2028E</t>
        </is>
      </c>
      <c r="AY60" s="35">
        <f>AZ60+$AY$58</f>
        <v/>
      </c>
      <c r="AZ60" s="45" t="n">
        <v>0.04</v>
      </c>
      <c r="BA60" s="35">
        <f>AZ60+$BA$58</f>
        <v/>
      </c>
    </row>
    <row r="61" ht="15" customHeight="1">
      <c r="B61" s="26" t="inlineStr">
        <is>
          <t xml:space="preserve">  Aftermarket % of net sales</t>
        </is>
      </c>
      <c r="C61" s="183">
        <f>IF(AND(ISNUMBER(C60),ISNUMBER(C90)),IFERROR(C60/C90,""),"")</f>
        <v/>
      </c>
      <c r="D61" s="183">
        <f>IF(AND(ISNUMBER(D60),ISNUMBER(D90)),IFERROR(D60/D90,""),"")</f>
        <v/>
      </c>
      <c r="E61" s="183">
        <f>IF(AND(ISNUMBER(E60),ISNUMBER(E90)),IFERROR(E60/E90,""),"")</f>
        <v/>
      </c>
      <c r="F61" s="183">
        <f>IF(AND(ISNUMBER(F60),ISNUMBER(F90)),IFERROR(F60/F90,""),"")</f>
        <v/>
      </c>
      <c r="G61" s="183">
        <f>IF(AND(ISNUMBER(G60),ISNUMBER(G90)),IFERROR(G60/G90,""),"")</f>
        <v/>
      </c>
      <c r="H61" s="183">
        <f>IF(AND(ISNUMBER(H60),ISNUMBER(H90)),IFERROR(H60/H90,""),"")</f>
        <v/>
      </c>
      <c r="I61" s="183">
        <f>IF(AND(ISNUMBER(I60),ISNUMBER(I90)),IFERROR(I60/I90,""),"")</f>
        <v/>
      </c>
      <c r="J61" s="183">
        <f>IF(AND(ISNUMBER(J60),ISNUMBER(J90)),IFERROR(J60/J90,""),"")</f>
        <v/>
      </c>
      <c r="K61" s="183">
        <f>IF(AND(ISNUMBER(K60),ISNUMBER(K90)),IFERROR(K60/K90,""),"")</f>
        <v/>
      </c>
      <c r="L61" s="183">
        <f>IF(AND(ISNUMBER(L60),ISNUMBER(L90)),IFERROR(L60/L90,""),"")</f>
        <v/>
      </c>
      <c r="M61" s="183">
        <f>IF(AND(ISNUMBER(M60),ISNUMBER(M90)),IFERROR(M60/M90,""),"")</f>
        <v/>
      </c>
      <c r="N61" s="183">
        <f>IF(AND(ISNUMBER(N60),ISNUMBER(N90)),IFERROR(N60/N90,""),"")</f>
        <v/>
      </c>
      <c r="O61" s="183">
        <f>IF(AND(ISNUMBER(O60),ISNUMBER(O90)),IFERROR(O60/O90,""),"")</f>
        <v/>
      </c>
      <c r="P61" s="183">
        <f>IF(AND(ISNUMBER(P60),ISNUMBER(P90)),IFERROR(P60/P90,""),"")</f>
        <v/>
      </c>
      <c r="Q61" s="183">
        <f>IF(AND(ISNUMBER(Q60),ISNUMBER(Q90)),IFERROR(Q60/Q90,""),"")</f>
        <v/>
      </c>
      <c r="R61" s="183">
        <f>IF(AND(ISNUMBER(R60),ISNUMBER(R90)),IFERROR(R60/R90,""),"")</f>
        <v/>
      </c>
      <c r="S61" s="183">
        <f>IF(AND(ISNUMBER(S60),ISNUMBER(S90)),IFERROR(S60/S90,""),"")</f>
        <v/>
      </c>
      <c r="T61" s="183">
        <f>IF(AND(ISNUMBER(T60),ISNUMBER(T90)),IFERROR(T60/T90,""),"")</f>
        <v/>
      </c>
      <c r="U61" s="183">
        <f>IF(AND(ISNUMBER(U60),ISNUMBER(U90)),IFERROR(U60/U90,""),"")</f>
        <v/>
      </c>
      <c r="V61" s="183">
        <f>IF(AND(ISNUMBER(V60),ISNUMBER(V90)),IFERROR(V60/V90,""),"")</f>
        <v/>
      </c>
      <c r="W61" s="183">
        <f>IF(AND(ISNUMBER(W60),ISNUMBER(W90)),IFERROR(W60/W90,""),"")</f>
        <v/>
      </c>
      <c r="X61" s="183">
        <f>IF(AND(ISNUMBER(X60),ISNUMBER(X90)),IFERROR(X60/X90,""),"")</f>
        <v/>
      </c>
      <c r="Y61" s="183">
        <f>IF(AND(ISNUMBER(Y60),ISNUMBER(Y90)),IFERROR(Y60/Y90,""),"")</f>
        <v/>
      </c>
      <c r="Z61" s="183">
        <f>IF(AND(ISNUMBER(Z60),ISNUMBER(Z90)),IFERROR(Z60/Z90,""),"")</f>
        <v/>
      </c>
      <c r="AA61" s="183">
        <f>IF(AND(ISNUMBER(AA60),ISNUMBER(AA90)),IFERROR(AA60/AA90,""),"")</f>
        <v/>
      </c>
      <c r="AB61" s="183">
        <f>IF(AND(ISNUMBER(AB60),ISNUMBER(AB90)),IFERROR(AB60/AB90,""),"")</f>
        <v/>
      </c>
      <c r="AC61" s="183">
        <f>IF(AND(ISNUMBER(AC60),ISNUMBER(AC90)),IFERROR(AC60/AC90,""),"")</f>
        <v/>
      </c>
      <c r="AD61" s="183">
        <f>IF(AND(ISNUMBER(AD60),ISNUMBER(AD90)),IFERROR(AD60/AD90,""),"")</f>
        <v/>
      </c>
      <c r="AE61" s="183">
        <f>IF(AND(ISNUMBER(AE60),ISNUMBER(AE90)),IFERROR(AE60/AE90,""),"")</f>
        <v/>
      </c>
      <c r="AF61" s="183">
        <f>IF(AND(ISNUMBER(AF60),ISNUMBER(AF90)),IFERROR(AF60/AF90,""),"")</f>
        <v/>
      </c>
      <c r="AG61" s="183">
        <f>IF(AND(ISNUMBER(AG60),ISNUMBER(AG90)),IFERROR(AG60/AG90,""),"")</f>
        <v/>
      </c>
      <c r="AH61" s="183">
        <f>IF(AND(ISNUMBER(AH60),ISNUMBER(AH90)),IFERROR(AH60/AH90,""),"")</f>
        <v/>
      </c>
      <c r="AI61" s="177">
        <f>IF(AND(ISNUMBER(AI60),ISNUMBER(AI90)),IFERROR(AI60/AI90,""),"")</f>
        <v/>
      </c>
      <c r="AJ61" s="177">
        <f>IF(AND(ISNUMBER(AJ60),ISNUMBER(AJ90)),IFERROR(AJ60/AJ90,""),"")</f>
        <v/>
      </c>
      <c r="AK61" s="177">
        <f>IF(AND(ISNUMBER(AK60),ISNUMBER(AK90)),IFERROR(AK60/AK90,""),"")</f>
        <v/>
      </c>
      <c r="AL61" s="177">
        <f>IF(AND(ISNUMBER(AL60),ISNUMBER(AL90)),IFERROR(AL60/AL90,""),"")</f>
        <v/>
      </c>
      <c r="AM61" s="177">
        <f>IF(AND(ISNUMBER(AM60),ISNUMBER(AM90)),IFERROR(AM60/AM90,""),"")</f>
        <v/>
      </c>
      <c r="AN61" s="177">
        <f>IF(AND(ISNUMBER(AN60),ISNUMBER(AN90)),IFERROR(AN60/AN90,""),"")</f>
        <v/>
      </c>
      <c r="AO61" s="177">
        <f>IF(AND(ISNUMBER(AO60),ISNUMBER(AO90)),IFERROR(AO60/AO90,""),"")</f>
        <v/>
      </c>
      <c r="AP61" s="6" t="n"/>
      <c r="AR61" s="39">
        <f>IFERROR(AVERAGE(AK61,AL61,AM61,AN61,AO61),"n/m")</f>
        <v/>
      </c>
      <c r="AS61" s="39">
        <f>IFERROR(AVERAGE(L61,Q61,V61,AA61,AF61),"n/m")</f>
        <v/>
      </c>
      <c r="AT61" s="39">
        <f>IFERROR(AVERAGE(G61,H61,I61,J61,K61,L61,Q61,V61,AA61,AF61),"n/m")</f>
        <v/>
      </c>
      <c r="AU61" s="39">
        <f>IFERROR(AVERAGE(C61,D61,E61,F61,G61,H61,I61,J61,K61,L61,Q61,V61,AA61,AF61),"n/m")</f>
        <v/>
      </c>
      <c r="AX61" s="26" t="inlineStr">
        <is>
          <t xml:space="preserve">  2029E</t>
        </is>
      </c>
      <c r="AY61" s="35">
        <f>AZ61+$AY$58</f>
        <v/>
      </c>
      <c r="AZ61" s="45" t="n">
        <v>0.04</v>
      </c>
      <c r="BA61" s="35">
        <f>AZ61+$BA$58</f>
        <v/>
      </c>
    </row>
    <row r="62" ht="15" customHeight="1">
      <c r="B62" s="23" t="inlineStr">
        <is>
          <t xml:space="preserve">  Commercial + business jet &amp; GA OEM y/y % (company outlook metric)</t>
        </is>
      </c>
      <c r="C62" s="24" t="n"/>
      <c r="D62" s="176">
        <f>IFERROR((D11+D23)/(C11+C23)-1,"")</f>
        <v/>
      </c>
      <c r="E62" s="176">
        <f>IFERROR((E11+E23)/(D11+D23)-1,"")</f>
        <v/>
      </c>
      <c r="F62" s="176">
        <f>IFERROR((F11+F23)/(E11+E23)-1,"")</f>
        <v/>
      </c>
      <c r="G62" s="176">
        <f>IFERROR((G11+G23)/(F11+F23)-1,"")</f>
        <v/>
      </c>
      <c r="H62" s="176">
        <f>IFERROR((H11+H23)/(G11+G23)-1,"")</f>
        <v/>
      </c>
      <c r="I62" s="176">
        <f>IFERROR((I11+I23)/(H11+H23)-1,"")</f>
        <v/>
      </c>
      <c r="J62" s="176">
        <f>IFERROR((J11+J23)/(I11+I23)-1,"")</f>
        <v/>
      </c>
      <c r="K62" s="176">
        <f>IFERROR((K11+K23)/(J11+J23)-1,"")</f>
        <v/>
      </c>
      <c r="L62" s="176">
        <f>IFERROR((L11+L23)/(K11+K23)-1,"")</f>
        <v/>
      </c>
      <c r="M62" s="24" t="n"/>
      <c r="N62" s="24" t="n"/>
      <c r="O62" s="24" t="n"/>
      <c r="P62" s="24" t="n"/>
      <c r="Q62" s="176">
        <f>IFERROR((Q11+Q23)/(L11+L23)-1,"")</f>
        <v/>
      </c>
      <c r="R62" s="176">
        <f>IFERROR((R11+R23)/(M11+M23)-1,"")</f>
        <v/>
      </c>
      <c r="S62" s="176">
        <f>IFERROR((S11+S23)/(N11+N23)-1,"")</f>
        <v/>
      </c>
      <c r="T62" s="176">
        <f>IFERROR((T11+T23)/(O11+O23)-1,"")</f>
        <v/>
      </c>
      <c r="U62" s="176">
        <f>IFERROR((U11+U23)/(P11+P23)-1,"")</f>
        <v/>
      </c>
      <c r="V62" s="176">
        <f>IFERROR((V11+V23)/(Q11+Q23)-1,"")</f>
        <v/>
      </c>
      <c r="W62" s="176">
        <f>IFERROR((W11+W23)/(R11+R23)-1,"")</f>
        <v/>
      </c>
      <c r="X62" s="176">
        <f>IFERROR((X11+X23)/(S11+S23)-1,"")</f>
        <v/>
      </c>
      <c r="Y62" s="176">
        <f>IFERROR((Y11+Y23)/(T11+T23)-1,"")</f>
        <v/>
      </c>
      <c r="Z62" s="176">
        <f>IFERROR((Z11+Z23)/(U11+U23)-1,"")</f>
        <v/>
      </c>
      <c r="AA62" s="176">
        <f>IFERROR((AA11+AA23)/(V11+V23)-1,"")</f>
        <v/>
      </c>
      <c r="AB62" s="176">
        <f>IFERROR((AB11+AB23)/(W11+W23)-1,"")</f>
        <v/>
      </c>
      <c r="AC62" s="176">
        <f>IFERROR((AC11+AC23)/(X11+X23)-1,"")</f>
        <v/>
      </c>
      <c r="AD62" s="176">
        <f>IFERROR((AD11+AD23)/(Y11+Y23)-1,"")</f>
        <v/>
      </c>
      <c r="AE62" s="176">
        <f>IFERROR((AE11+AE23)/(Z11+Z23)-1,"")</f>
        <v/>
      </c>
      <c r="AF62" s="176">
        <f>IFERROR((AF11+AF23)/(AA11+AA23)-1,"")</f>
        <v/>
      </c>
      <c r="AG62" s="176">
        <f>IFERROR((AG11+AG23)/(AB11+AB23)-1,"")</f>
        <v/>
      </c>
      <c r="AH62" s="176">
        <f>IFERROR((AH11+AH23)/(AC11+AC23)-1,"")</f>
        <v/>
      </c>
      <c r="AI62" s="177">
        <f>IFERROR((AI11+AI23)/(AD11+AD23)-1,"")</f>
        <v/>
      </c>
      <c r="AJ62" s="177">
        <f>IFERROR((AJ11+AJ23)/(AE11+AE23)-1,"")</f>
        <v/>
      </c>
      <c r="AK62" s="177">
        <f>IFERROR((AK11+AK23)/(AF11+AF23)-1,"")</f>
        <v/>
      </c>
      <c r="AL62" s="177">
        <f>IFERROR((AL11+AL23)/(AK11+AK23)-1,"")</f>
        <v/>
      </c>
      <c r="AM62" s="177">
        <f>IFERROR((AM11+AM23)/(AL11+AL23)-1,"")</f>
        <v/>
      </c>
      <c r="AN62" s="177">
        <f>IFERROR((AN11+AN23)/(AM11+AM23)-1,"")</f>
        <v/>
      </c>
      <c r="AO62" s="177">
        <f>IFERROR((AO11+AO23)/(AN11+AN23)-1,"")</f>
        <v/>
      </c>
      <c r="AP62" s="6" t="inlineStr">
        <is>
          <t>FY26 outlook (Q2-26 release): commercial, business jet &amp; GA OEM growth 17–20%; aftermarket low-double digits; defense mid-single digits.</t>
        </is>
      </c>
      <c r="AX62" s="26" t="inlineStr">
        <is>
          <t xml:space="preserve">  2030E</t>
        </is>
      </c>
      <c r="AY62" s="35">
        <f>AZ62+$AY$58</f>
        <v/>
      </c>
      <c r="AZ62" s="45" t="n">
        <v>0.04</v>
      </c>
      <c r="BA62" s="35">
        <f>AZ62+$BA$58</f>
        <v/>
      </c>
    </row>
    <row r="63" ht="15" customHeight="1">
      <c r="B63" s="23" t="inlineStr">
        <is>
          <t xml:space="preserve">  Commercial + business jet &amp; GA aftermarket y/y %</t>
        </is>
      </c>
      <c r="C63" s="24" t="n"/>
      <c r="D63" s="176">
        <f>IFERROR((D14+D26)/(C14+C26)-1,"")</f>
        <v/>
      </c>
      <c r="E63" s="176">
        <f>IFERROR((E14+E26)/(D14+D26)-1,"")</f>
        <v/>
      </c>
      <c r="F63" s="176">
        <f>IFERROR((F14+F26)/(E14+E26)-1,"")</f>
        <v/>
      </c>
      <c r="G63" s="176">
        <f>IFERROR((G14+G26)/(F14+F26)-1,"")</f>
        <v/>
      </c>
      <c r="H63" s="176">
        <f>IFERROR((H14+H26)/(G14+G26)-1,"")</f>
        <v/>
      </c>
      <c r="I63" s="176">
        <f>IFERROR((I14+I26)/(H14+H26)-1,"")</f>
        <v/>
      </c>
      <c r="J63" s="176">
        <f>IFERROR((J14+J26)/(I14+I26)-1,"")</f>
        <v/>
      </c>
      <c r="K63" s="176">
        <f>IFERROR((K14+K26)/(J14+J26)-1,"")</f>
        <v/>
      </c>
      <c r="L63" s="176">
        <f>IFERROR((L14+L26)/(K14+K26)-1,"")</f>
        <v/>
      </c>
      <c r="M63" s="24" t="n"/>
      <c r="N63" s="24" t="n"/>
      <c r="O63" s="24" t="n"/>
      <c r="P63" s="24" t="n"/>
      <c r="Q63" s="176">
        <f>IFERROR((Q14+Q26)/(L14+L26)-1,"")</f>
        <v/>
      </c>
      <c r="R63" s="176">
        <f>IFERROR((R14+R26)/(M14+M26)-1,"")</f>
        <v/>
      </c>
      <c r="S63" s="176">
        <f>IFERROR((S14+S26)/(N14+N26)-1,"")</f>
        <v/>
      </c>
      <c r="T63" s="176">
        <f>IFERROR((T14+T26)/(O14+O26)-1,"")</f>
        <v/>
      </c>
      <c r="U63" s="176">
        <f>IFERROR((U14+U26)/(P14+P26)-1,"")</f>
        <v/>
      </c>
      <c r="V63" s="176">
        <f>IFERROR((V14+V26)/(Q14+Q26)-1,"")</f>
        <v/>
      </c>
      <c r="W63" s="176">
        <f>IFERROR((W14+W26)/(R14+R26)-1,"")</f>
        <v/>
      </c>
      <c r="X63" s="176">
        <f>IFERROR((X14+X26)/(S14+S26)-1,"")</f>
        <v/>
      </c>
      <c r="Y63" s="176">
        <f>IFERROR((Y14+Y26)/(T14+T26)-1,"")</f>
        <v/>
      </c>
      <c r="Z63" s="176">
        <f>IFERROR((Z14+Z26)/(U14+U26)-1,"")</f>
        <v/>
      </c>
      <c r="AA63" s="176">
        <f>IFERROR((AA14+AA26)/(V14+V26)-1,"")</f>
        <v/>
      </c>
      <c r="AB63" s="176">
        <f>IFERROR((AB14+AB26)/(W14+W26)-1,"")</f>
        <v/>
      </c>
      <c r="AC63" s="176">
        <f>IFERROR((AC14+AC26)/(X14+X26)-1,"")</f>
        <v/>
      </c>
      <c r="AD63" s="176">
        <f>IFERROR((AD14+AD26)/(Y14+Y26)-1,"")</f>
        <v/>
      </c>
      <c r="AE63" s="176">
        <f>IFERROR((AE14+AE26)/(Z14+Z26)-1,"")</f>
        <v/>
      </c>
      <c r="AF63" s="176">
        <f>IFERROR((AF14+AF26)/(AA14+AA26)-1,"")</f>
        <v/>
      </c>
      <c r="AG63" s="176">
        <f>IFERROR((AG14+AG26)/(AB14+AB26)-1,"")</f>
        <v/>
      </c>
      <c r="AH63" s="176">
        <f>IFERROR((AH14+AH26)/(AC14+AC26)-1,"")</f>
        <v/>
      </c>
      <c r="AI63" s="177">
        <f>IFERROR((AI14+AI26)/(AD14+AD26)-1,"")</f>
        <v/>
      </c>
      <c r="AJ63" s="177">
        <f>IFERROR((AJ14+AJ26)/(AE14+AE26)-1,"")</f>
        <v/>
      </c>
      <c r="AK63" s="177">
        <f>IFERROR((AK14+AK26)/(AF14+AF26)-1,"")</f>
        <v/>
      </c>
      <c r="AL63" s="177">
        <f>IFERROR((AL14+AL26)/(AK14+AK26)-1,"")</f>
        <v/>
      </c>
      <c r="AM63" s="177">
        <f>IFERROR((AM14+AM26)/(AL14+AL26)-1,"")</f>
        <v/>
      </c>
      <c r="AN63" s="177">
        <f>IFERROR((AN14+AN26)/(AM14+AM26)-1,"")</f>
        <v/>
      </c>
      <c r="AO63" s="177">
        <f>IFERROR((AO14+AO26)/(AN14+AN26)-1,"")</f>
        <v/>
      </c>
      <c r="AP63" s="6" t="n"/>
      <c r="AX63" s="16" t="inlineStr">
        <is>
          <t>OTH_AM (other / non-aerospace aftermarket y/y)</t>
        </is>
      </c>
      <c r="AY63" s="44" t="n">
        <v>0.02</v>
      </c>
      <c r="AZ63" s="22" t="inlineStr">
        <is>
          <t>Δ →</t>
        </is>
      </c>
      <c r="BA63" s="44" t="n">
        <v>-0.04</v>
      </c>
      <c r="BB63" s="14" t="inlineStr">
        <is>
          <t>Industrial aftermarket.</t>
        </is>
      </c>
    </row>
    <row r="64" ht="15" customHeight="1">
      <c r="B64" s="23" t="inlineStr">
        <is>
          <t xml:space="preserve">  Defense y/y %</t>
        </is>
      </c>
      <c r="C64" s="24" t="n"/>
      <c r="D64" s="176">
        <f>IFERROR(D41/C41-1,"")</f>
        <v/>
      </c>
      <c r="E64" s="176">
        <f>IFERROR(E41/D41-1,"")</f>
        <v/>
      </c>
      <c r="F64" s="176">
        <f>IFERROR(F41/E41-1,"")</f>
        <v/>
      </c>
      <c r="G64" s="176">
        <f>IFERROR(G41/F41-1,"")</f>
        <v/>
      </c>
      <c r="H64" s="176">
        <f>IFERROR(H41/G41-1,"")</f>
        <v/>
      </c>
      <c r="I64" s="176">
        <f>IFERROR(I41/H41-1,"")</f>
        <v/>
      </c>
      <c r="J64" s="176">
        <f>IFERROR(J41/I41-1,"")</f>
        <v/>
      </c>
      <c r="K64" s="176">
        <f>IFERROR(K41/J41-1,"")</f>
        <v/>
      </c>
      <c r="L64" s="176">
        <f>IFERROR(L41/K41-1,"")</f>
        <v/>
      </c>
      <c r="M64" s="24" t="n"/>
      <c r="N64" s="24" t="n"/>
      <c r="O64" s="24" t="n"/>
      <c r="P64" s="24" t="n"/>
      <c r="Q64" s="176">
        <f>IFERROR(Q41/L41-1,"")</f>
        <v/>
      </c>
      <c r="R64" s="176">
        <f>IFERROR(R41/M41-1,"")</f>
        <v/>
      </c>
      <c r="S64" s="176">
        <f>IFERROR(S41/N41-1,"")</f>
        <v/>
      </c>
      <c r="T64" s="176">
        <f>IFERROR(T41/O41-1,"")</f>
        <v/>
      </c>
      <c r="U64" s="176">
        <f>IFERROR(U41/P41-1,"")</f>
        <v/>
      </c>
      <c r="V64" s="176">
        <f>IFERROR(V41/Q41-1,"")</f>
        <v/>
      </c>
      <c r="W64" s="176">
        <f>IFERROR(W41/R41-1,"")</f>
        <v/>
      </c>
      <c r="X64" s="176">
        <f>IFERROR(X41/S41-1,"")</f>
        <v/>
      </c>
      <c r="Y64" s="176">
        <f>IFERROR(Y41/T41-1,"")</f>
        <v/>
      </c>
      <c r="Z64" s="176">
        <f>IFERROR(Z41/U41-1,"")</f>
        <v/>
      </c>
      <c r="AA64" s="176">
        <f>IFERROR(AA41/V41-1,"")</f>
        <v/>
      </c>
      <c r="AB64" s="176">
        <f>IFERROR(AB41/W41-1,"")</f>
        <v/>
      </c>
      <c r="AC64" s="176">
        <f>IFERROR(AC41/X41-1,"")</f>
        <v/>
      </c>
      <c r="AD64" s="176">
        <f>IFERROR(AD41/Y41-1,"")</f>
        <v/>
      </c>
      <c r="AE64" s="176">
        <f>IFERROR(AE41/Z41-1,"")</f>
        <v/>
      </c>
      <c r="AF64" s="176">
        <f>IFERROR(AF41/AA41-1,"")</f>
        <v/>
      </c>
      <c r="AG64" s="176">
        <f>IFERROR(AG41/AB41-1,"")</f>
        <v/>
      </c>
      <c r="AH64" s="176">
        <f>IFERROR(AH41/AC41-1,"")</f>
        <v/>
      </c>
      <c r="AI64" s="177">
        <f>IFERROR(AI41/AD41-1,"")</f>
        <v/>
      </c>
      <c r="AJ64" s="177">
        <f>IFERROR(AJ41/AE41-1,"")</f>
        <v/>
      </c>
      <c r="AK64" s="177">
        <f>IFERROR(AK41/AF41-1,"")</f>
        <v/>
      </c>
      <c r="AL64" s="177">
        <f>IFERROR(AL41/AK41-1,"")</f>
        <v/>
      </c>
      <c r="AM64" s="177">
        <f>IFERROR(AM41/AL41-1,"")</f>
        <v/>
      </c>
      <c r="AN64" s="177">
        <f>IFERROR(AN41/AM41-1,"")</f>
        <v/>
      </c>
      <c r="AO64" s="177">
        <f>IFERROR(AO41/AN41-1,"")</f>
        <v/>
      </c>
      <c r="AP64" s="6" t="n"/>
      <c r="AX64" s="26" t="inlineStr">
        <is>
          <t xml:space="preserve">  2027E</t>
        </is>
      </c>
      <c r="AY64" s="35">
        <f>AZ64+$AY$63</f>
        <v/>
      </c>
      <c r="AZ64" s="45" t="n">
        <v>0.04</v>
      </c>
      <c r="BA64" s="35">
        <f>AZ64+$BA$63</f>
        <v/>
      </c>
    </row>
    <row r="65" ht="15" customHeight="1">
      <c r="B65" s="26" t="inlineStr">
        <is>
          <t xml:space="preserve">  Net sales not split by end market (pre-2022 annual; 2022 quarters)</t>
        </is>
      </c>
      <c r="C65" s="186">
        <f>IF(ISNUMBER(C127),C127-N(C59)-N(C60),"")</f>
        <v/>
      </c>
      <c r="D65" s="186">
        <f>IF(ISNUMBER(D127),D127-N(D59)-N(D60),"")</f>
        <v/>
      </c>
      <c r="E65" s="186">
        <f>IF(ISNUMBER(E127),E127-N(E59)-N(E60),"")</f>
        <v/>
      </c>
      <c r="F65" s="186">
        <f>IF(ISNUMBER(F127),F127-N(F59)-N(F60),"")</f>
        <v/>
      </c>
      <c r="G65" s="186">
        <f>IF(ISNUMBER(G127),G127-N(G59)-N(G60),"")</f>
        <v/>
      </c>
      <c r="H65" s="186">
        <f>IF(ISNUMBER(H127),H127-N(H59)-N(H60),"")</f>
        <v/>
      </c>
      <c r="I65" s="186">
        <f>IF(ISNUMBER(I127),I127-N(I59)-N(I60),"")</f>
        <v/>
      </c>
      <c r="J65" s="186">
        <f>IF(ISNUMBER(J127),J127-N(J59)-N(J60),"")</f>
        <v/>
      </c>
      <c r="K65" s="186">
        <f>IF(ISNUMBER(K127),K127-N(K59)-N(K60),"")</f>
        <v/>
      </c>
      <c r="L65" s="186">
        <f>IF(ISNUMBER(L127),L127-N(L59)-N(L60),"")</f>
        <v/>
      </c>
      <c r="M65" s="186">
        <f>IF(ISNUMBER(M127),M127-N(M59)-N(M60),"")</f>
        <v/>
      </c>
      <c r="N65" s="186">
        <f>IF(ISNUMBER(N127),N127-N(N59)-N(N60),"")</f>
        <v/>
      </c>
      <c r="O65" s="186">
        <f>IF(ISNUMBER(O127),O127-N(O59)-N(O60),"")</f>
        <v/>
      </c>
      <c r="P65" s="186">
        <f>IF(ISNUMBER(P127),P127-N(P59)-N(P60),"")</f>
        <v/>
      </c>
      <c r="Q65" s="186">
        <f>IF(ISNUMBER(Q127),Q127-N(Q59)-N(Q60),"")</f>
        <v/>
      </c>
      <c r="R65" s="186">
        <f>IF(ISNUMBER(R127),R127-N(R59)-N(R60),"")</f>
        <v/>
      </c>
      <c r="S65" s="186">
        <f>IF(ISNUMBER(S127),S127-N(S59)-N(S60),"")</f>
        <v/>
      </c>
      <c r="T65" s="186">
        <f>IF(ISNUMBER(T127),T127-N(T59)-N(T60),"")</f>
        <v/>
      </c>
      <c r="U65" s="186">
        <f>IF(ISNUMBER(U127),U127-N(U59)-N(U60),"")</f>
        <v/>
      </c>
      <c r="V65" s="186">
        <f>IF(ISNUMBER(V127),V127-N(V59)-N(V60),"")</f>
        <v/>
      </c>
      <c r="W65" s="186">
        <f>IF(ISNUMBER(W127),W127-N(W59)-N(W60),"")</f>
        <v/>
      </c>
      <c r="X65" s="186">
        <f>IF(ISNUMBER(X127),X127-N(X59)-N(X60),"")</f>
        <v/>
      </c>
      <c r="Y65" s="186">
        <f>IF(ISNUMBER(Y127),Y127-N(Y59)-N(Y60),"")</f>
        <v/>
      </c>
      <c r="Z65" s="186">
        <f>IF(ISNUMBER(Z127),Z127-N(Z59)-N(Z60),"")</f>
        <v/>
      </c>
      <c r="AA65" s="186">
        <f>IF(ISNUMBER(AA127),AA127-N(AA59)-N(AA60),"")</f>
        <v/>
      </c>
      <c r="AB65" s="186">
        <f>IF(ISNUMBER(AB127),AB127-N(AB59)-N(AB60),"")</f>
        <v/>
      </c>
      <c r="AC65" s="186">
        <f>IF(ISNUMBER(AC127),AC127-N(AC59)-N(AC60),"")</f>
        <v/>
      </c>
      <c r="AD65" s="186">
        <f>IF(ISNUMBER(AD127),AD127-N(AD59)-N(AD60),"")</f>
        <v/>
      </c>
      <c r="AE65" s="186">
        <f>IF(ISNUMBER(AE127),AE127-N(AE59)-N(AE60),"")</f>
        <v/>
      </c>
      <c r="AF65" s="186">
        <f>IF(ISNUMBER(AF127),AF127-N(AF59)-N(AF60),"")</f>
        <v/>
      </c>
      <c r="AG65" s="186">
        <f>IF(ISNUMBER(AG127),AG127-N(AG59)-N(AG60),"")</f>
        <v/>
      </c>
      <c r="AH65" s="186">
        <f>IF(ISNUMBER(AH127),AH127-N(AH59)-N(AH60),"")</f>
        <v/>
      </c>
      <c r="AI65" s="37" t="n"/>
      <c r="AJ65" s="37" t="n"/>
      <c r="AK65" s="37" t="n"/>
      <c r="AL65" s="37" t="n"/>
      <c r="AM65" s="37" t="n"/>
      <c r="AN65" s="37" t="n"/>
      <c r="AO65" s="37" t="n"/>
      <c r="AP65" s="20" t="inlineStr">
        <is>
          <t>Net sales less the end-market split: end-market sales were first disclosed for FY2022 (prospectus).</t>
        </is>
      </c>
      <c r="AX65" s="26" t="inlineStr">
        <is>
          <t xml:space="preserve">  2028E</t>
        </is>
      </c>
      <c r="AY65" s="35">
        <f>AZ65+$AY$63</f>
        <v/>
      </c>
      <c r="AZ65" s="45" t="n">
        <v>0.04</v>
      </c>
      <c r="BA65" s="35">
        <f>AZ65+$BA$63</f>
        <v/>
      </c>
    </row>
    <row r="66" ht="15" customHeight="1">
      <c r="AX66" s="26" t="inlineStr">
        <is>
          <t xml:space="preserve">  2029E</t>
        </is>
      </c>
      <c r="AY66" s="35">
        <f>AZ66+$AY$63</f>
        <v/>
      </c>
      <c r="AZ66" s="45" t="n">
        <v>0.04</v>
      </c>
      <c r="BA66" s="35">
        <f>AZ66+$BA$63</f>
        <v/>
      </c>
    </row>
    <row r="67" ht="15" customHeight="1">
      <c r="B67" s="15" t="inlineStr">
        <is>
          <t>Organic vs acquired net sales (company definition: acquisitions organic from the 13th month)</t>
        </is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6" t="inlineStr">
        <is>
          <t>ORGANIC / ACQUIRED — as published in each release; acquisitions: SCHROTH Jul-22, DAC Jul-23, CAV Sep-23, AAI Aug-24, Beadlight Jul-25, LMB Dec-25, Harper Jan-26</t>
        </is>
      </c>
      <c r="AX67" s="26" t="inlineStr">
        <is>
          <t xml:space="preserve">  2030E</t>
        </is>
      </c>
      <c r="AY67" s="35">
        <f>AZ67+$AY$63</f>
        <v/>
      </c>
      <c r="AZ67" s="45" t="n">
        <v>0.04</v>
      </c>
      <c r="BA67" s="35">
        <f>AZ67+$BA$63</f>
        <v/>
      </c>
    </row>
    <row r="68" ht="15" customHeight="1">
      <c r="B68" s="26" t="inlineStr">
        <is>
          <t xml:space="preserve">  Organic net sales (as published)</t>
        </is>
      </c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174" t="n">
        <v>272.9</v>
      </c>
      <c r="W68" s="174" t="n">
        <v>82.5</v>
      </c>
      <c r="X68" s="174" t="n">
        <v>86.59999999999999</v>
      </c>
      <c r="Y68" s="174" t="n">
        <v>96.5</v>
      </c>
      <c r="Z68" s="174" t="n">
        <v>99.3</v>
      </c>
      <c r="AA68" s="174" t="n">
        <v>364.9</v>
      </c>
      <c r="AB68" s="174" t="n">
        <v>102</v>
      </c>
      <c r="AC68" s="174" t="n">
        <v>108</v>
      </c>
      <c r="AD68" s="174" t="n">
        <v>115</v>
      </c>
      <c r="AE68" s="174" t="n">
        <v>129.1</v>
      </c>
      <c r="AF68" s="174" t="n">
        <v>454.2</v>
      </c>
      <c r="AG68" s="174" t="n">
        <v>127.7</v>
      </c>
      <c r="AH68" s="174" t="n">
        <v>138.3</v>
      </c>
      <c r="AI68" s="175">
        <f>AI127-AI69</f>
        <v/>
      </c>
      <c r="AJ68" s="175">
        <f>AJ127-AJ69</f>
        <v/>
      </c>
      <c r="AK68" s="175">
        <f>SUM(AG68,AH68,AI68,AJ68)</f>
        <v/>
      </c>
      <c r="AL68" s="37" t="n"/>
      <c r="AM68" s="37" t="n"/>
      <c r="AN68" s="37" t="n"/>
      <c r="AO68" s="37" t="n"/>
      <c r="AP68" s="20" t="inlineStr">
        <is>
          <t>Net sales of businesses owned in both periods (company definition). Q3/Q4-26E = net sales − acquisition sales input.</t>
        </is>
      </c>
      <c r="AR68" s="21">
        <f>IFERROR((AO68/AF68)^(1/5)-1,"n/m")</f>
        <v/>
      </c>
      <c r="AS68" s="21">
        <f>IFERROR((AF68/K68)^(1/5)-1,"n/m")</f>
        <v/>
      </c>
      <c r="AT68" s="21">
        <f>IFERROR((AF68/F68)^(1/10)-1,"n/m")</f>
        <v/>
      </c>
      <c r="AU68" s="21">
        <f>IFERROR((AF68/C68)^(1/13)-1,"n/m")</f>
        <v/>
      </c>
      <c r="AX68" s="16" t="inlineStr">
        <is>
          <t>EBM (Adjusted EBITDA margin, current portfolio)</t>
        </is>
      </c>
      <c r="AY68" s="44" t="n">
        <v>0.01</v>
      </c>
      <c r="AZ68" s="22" t="inlineStr">
        <is>
          <t>Δ →</t>
        </is>
      </c>
      <c r="BA68" s="44" t="n">
        <v>-0.025</v>
      </c>
      <c r="BB68" s="14" t="inlineStr">
        <is>
          <t>FY25 38.1%; 1H/26 40.5%; FY26 guidance ~40%. Strategic value drivers (pricing, cost, productivity) + mix towards aftermarket; ~50 bps p.a. expansion.</t>
        </is>
      </c>
    </row>
    <row r="69" ht="15" customHeight="1">
      <c r="B69" s="26" t="inlineStr">
        <is>
          <t xml:space="preserve">  Net acquisition sales (net sales − organic)</t>
        </is>
      </c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174" t="n">
        <v>44.577</v>
      </c>
      <c r="W69" s="174" t="n">
        <v>9.343999999999999</v>
      </c>
      <c r="X69" s="174" t="n">
        <v>10.415</v>
      </c>
      <c r="Y69" s="174" t="n">
        <v>7.019</v>
      </c>
      <c r="Z69" s="174" t="n">
        <v>11.141</v>
      </c>
      <c r="AA69" s="174" t="n">
        <v>37.919</v>
      </c>
      <c r="AB69" s="174" t="n">
        <v>12.659</v>
      </c>
      <c r="AC69" s="174" t="n">
        <v>15.123</v>
      </c>
      <c r="AD69" s="174" t="n">
        <v>11.751</v>
      </c>
      <c r="AE69" s="174" t="n">
        <v>2.65</v>
      </c>
      <c r="AF69" s="174" t="n">
        <v>42.083</v>
      </c>
      <c r="AG69" s="174" t="n">
        <v>28.388</v>
      </c>
      <c r="AH69" s="174" t="n">
        <v>33.279</v>
      </c>
      <c r="AI69" s="187" t="n">
        <v>31</v>
      </c>
      <c r="AJ69" s="187" t="n">
        <v>30</v>
      </c>
      <c r="AK69" s="175">
        <f>SUM(AG69,AH69,AI69,AJ69)</f>
        <v/>
      </c>
      <c r="AL69" s="37" t="n"/>
      <c r="AM69" s="37" t="n"/>
      <c r="AN69" s="37" t="n"/>
      <c r="AO69" s="37" t="n"/>
      <c r="AP69" s="20" t="inlineStr">
        <is>
          <t>Q3/Q4-26E inputs: LMB (~$15m a quarter; ~$60m FY26 per the company) + Harper Engineering (~$16m a quarter) not in the prior-year quarter. Q2-26 net acquisition sales $33.3m incl. Beadlight (anniversaries 28-Jul-26). Q4: LMB consolidated from 23-Dec-25 (≈ one week in Q4-25).</t>
        </is>
      </c>
      <c r="AX69" s="26" t="inlineStr">
        <is>
          <t xml:space="preserve">  2027E</t>
        </is>
      </c>
      <c r="AY69" s="35">
        <f>AZ69+$AY$68</f>
        <v/>
      </c>
      <c r="AZ69" s="45" t="n">
        <v>0.405</v>
      </c>
      <c r="BA69" s="35">
        <f>AZ69+$BA$68</f>
        <v/>
      </c>
    </row>
    <row r="70" ht="15" customHeight="1">
      <c r="B70" s="23" t="inlineStr">
        <is>
          <t xml:space="preserve">  Organic growth % (organic sales ÷ prior-period net sales − 1)</t>
        </is>
      </c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188" t="n">
        <v>0.14</v>
      </c>
      <c r="W70" s="188" t="n">
        <v>0.111</v>
      </c>
      <c r="X70" s="188" t="n">
        <v>0.17</v>
      </c>
      <c r="Y70" s="188" t="n">
        <v>0.165</v>
      </c>
      <c r="Z70" s="188" t="n">
        <v>0.149</v>
      </c>
      <c r="AA70" s="188" t="n">
        <v>0.15</v>
      </c>
      <c r="AB70" s="188" t="n">
        <v>0.111</v>
      </c>
      <c r="AC70" s="188" t="n">
        <v>0.113</v>
      </c>
      <c r="AD70" s="188" t="n">
        <v>0.111</v>
      </c>
      <c r="AE70" s="188" t="n">
        <v>0.169</v>
      </c>
      <c r="AF70" s="188" t="n">
        <v>0.127</v>
      </c>
      <c r="AG70" s="188" t="n">
        <v>0.114</v>
      </c>
      <c r="AH70" s="188" t="n">
        <v>0.123</v>
      </c>
      <c r="AI70" s="177">
        <f>IFERROR(AI68/AD127-1,"")</f>
        <v/>
      </c>
      <c r="AJ70" s="177">
        <f>IFERROR(AJ68/AE127-1,"")</f>
        <v/>
      </c>
      <c r="AK70" s="177">
        <f>IFERROR(AK68/AF127-1,"")</f>
        <v/>
      </c>
      <c r="AL70" s="177">
        <f>IFERROR((AL127-AL80)/(AK127-AK80)-1,"")</f>
        <v/>
      </c>
      <c r="AM70" s="177">
        <f>IFERROR((AM127-AM80)/(AL127-AL80)-1,"")</f>
        <v/>
      </c>
      <c r="AN70" s="177">
        <f>IFERROR((AN127-AN80)/(AM127-AM80)-1,"")</f>
        <v/>
      </c>
      <c r="AO70" s="177">
        <f>IFERROR((AO127-AO80)/(AN127-AN80)-1,"")</f>
        <v/>
      </c>
      <c r="AP70" s="6" t="inlineStr">
        <is>
          <t>Historical as published. 2027E+: growth of the current portfolio excluding future acquisitions (LMB / Harper organic from 2027).</t>
        </is>
      </c>
      <c r="AR70" s="39">
        <f>IFERROR(AVERAGE(AK70,AL70,AM70,AN70,AO70),"n/m")</f>
        <v/>
      </c>
      <c r="AS70" s="39">
        <f>IFERROR(AVERAGE(L70,Q70,V70,AA70,AF70),"n/m")</f>
        <v/>
      </c>
      <c r="AT70" s="39">
        <f>IFERROR(AVERAGE(G70,H70,I70,J70,K70,L70,Q70,V70,AA70,AF70),"n/m")</f>
        <v/>
      </c>
      <c r="AU70" s="39">
        <f>IFERROR(AVERAGE(C70,D70,E70,F70,G70,H70,I70,J70,K70,L70,Q70,V70,AA70,AF70),"n/m")</f>
        <v/>
      </c>
      <c r="AX70" s="26" t="inlineStr">
        <is>
          <t xml:space="preserve">  2028E</t>
        </is>
      </c>
      <c r="AY70" s="35">
        <f>AZ70+$AY$68</f>
        <v/>
      </c>
      <c r="AZ70" s="45" t="n">
        <v>0.41</v>
      </c>
      <c r="BA70" s="35">
        <f>AZ70+$BA$68</f>
        <v/>
      </c>
    </row>
    <row r="71" ht="15" customHeight="1">
      <c r="B71" s="23" t="inlineStr">
        <is>
          <t xml:space="preserve">  Acquisition contribution to growth %</t>
        </is>
      </c>
      <c r="C71" s="24" t="n"/>
      <c r="D71" s="176">
        <f>IF(AND(ISNUMBER(D69),ISNUMBER(C127)),IFERROR(D69/C127,""),"")</f>
        <v/>
      </c>
      <c r="E71" s="176">
        <f>IF(AND(ISNUMBER(E69),ISNUMBER(D127)),IFERROR(E69/D127,""),"")</f>
        <v/>
      </c>
      <c r="F71" s="176">
        <f>IF(AND(ISNUMBER(F69),ISNUMBER(E127)),IFERROR(F69/E127,""),"")</f>
        <v/>
      </c>
      <c r="G71" s="176">
        <f>IF(AND(ISNUMBER(G69),ISNUMBER(F127)),IFERROR(G69/F127,""),"")</f>
        <v/>
      </c>
      <c r="H71" s="176">
        <f>IF(AND(ISNUMBER(H69),ISNUMBER(G127)),IFERROR(H69/G127,""),"")</f>
        <v/>
      </c>
      <c r="I71" s="176">
        <f>IF(AND(ISNUMBER(I69),ISNUMBER(H127)),IFERROR(I69/H127,""),"")</f>
        <v/>
      </c>
      <c r="J71" s="176">
        <f>IF(AND(ISNUMBER(J69),ISNUMBER(I127)),IFERROR(J69/I127,""),"")</f>
        <v/>
      </c>
      <c r="K71" s="176">
        <f>IF(AND(ISNUMBER(K69),ISNUMBER(J127)),IFERROR(K69/J127,""),"")</f>
        <v/>
      </c>
      <c r="L71" s="176">
        <f>IF(AND(ISNUMBER(L69),ISNUMBER(K127)),IFERROR(L69/K127,""),"")</f>
        <v/>
      </c>
      <c r="M71" s="24" t="n"/>
      <c r="N71" s="24" t="n"/>
      <c r="O71" s="24" t="n"/>
      <c r="P71" s="24" t="n"/>
      <c r="Q71" s="176">
        <f>IF(AND(ISNUMBER(Q69),ISNUMBER(L127)),IFERROR(Q69/L127,""),"")</f>
        <v/>
      </c>
      <c r="R71" s="176">
        <f>IF(AND(ISNUMBER(R69),ISNUMBER(M127)),IFERROR(R69/M127,""),"")</f>
        <v/>
      </c>
      <c r="S71" s="176">
        <f>IF(AND(ISNUMBER(S69),ISNUMBER(N127)),IFERROR(S69/N127,""),"")</f>
        <v/>
      </c>
      <c r="T71" s="176">
        <f>IF(AND(ISNUMBER(T69),ISNUMBER(O127)),IFERROR(T69/O127,""),"")</f>
        <v/>
      </c>
      <c r="U71" s="176">
        <f>IF(AND(ISNUMBER(U69),ISNUMBER(P127)),IFERROR(U69/P127,""),"")</f>
        <v/>
      </c>
      <c r="V71" s="176">
        <f>IF(AND(ISNUMBER(V69),ISNUMBER(Q127)),IFERROR(V69/Q127,""),"")</f>
        <v/>
      </c>
      <c r="W71" s="176">
        <f>IF(AND(ISNUMBER(W69),ISNUMBER(R127)),IFERROR(W69/R127,""),"")</f>
        <v/>
      </c>
      <c r="X71" s="176">
        <f>IF(AND(ISNUMBER(X69),ISNUMBER(S127)),IFERROR(X69/S127,""),"")</f>
        <v/>
      </c>
      <c r="Y71" s="176">
        <f>IF(AND(ISNUMBER(Y69),ISNUMBER(T127)),IFERROR(Y69/T127,""),"")</f>
        <v/>
      </c>
      <c r="Z71" s="176">
        <f>IF(AND(ISNUMBER(Z69),ISNUMBER(U127)),IFERROR(Z69/U127,""),"")</f>
        <v/>
      </c>
      <c r="AA71" s="176">
        <f>IF(AND(ISNUMBER(AA69),ISNUMBER(V127)),IFERROR(AA69/V127,""),"")</f>
        <v/>
      </c>
      <c r="AB71" s="176">
        <f>IF(AND(ISNUMBER(AB69),ISNUMBER(W127)),IFERROR(AB69/W127,""),"")</f>
        <v/>
      </c>
      <c r="AC71" s="176">
        <f>IF(AND(ISNUMBER(AC69),ISNUMBER(X127)),IFERROR(AC69/X127,""),"")</f>
        <v/>
      </c>
      <c r="AD71" s="176">
        <f>IF(AND(ISNUMBER(AD69),ISNUMBER(Y127)),IFERROR(AD69/Y127,""),"")</f>
        <v/>
      </c>
      <c r="AE71" s="176">
        <f>IF(AND(ISNUMBER(AE69),ISNUMBER(Z127)),IFERROR(AE69/Z127,""),"")</f>
        <v/>
      </c>
      <c r="AF71" s="176">
        <f>IF(AND(ISNUMBER(AF69),ISNUMBER(AA127)),IFERROR(AF69/AA127,""),"")</f>
        <v/>
      </c>
      <c r="AG71" s="176">
        <f>IF(AND(ISNUMBER(AG69),ISNUMBER(AB127)),IFERROR(AG69/AB127,""),"")</f>
        <v/>
      </c>
      <c r="AH71" s="176">
        <f>IF(AND(ISNUMBER(AH69),ISNUMBER(AC127)),IFERROR(AH69/AC127,""),"")</f>
        <v/>
      </c>
      <c r="AI71" s="177">
        <f>IF(AND(ISNUMBER(AI69),ISNUMBER(AD127)),IFERROR(AI69/AD127,""),"")</f>
        <v/>
      </c>
      <c r="AJ71" s="177">
        <f>IF(AND(ISNUMBER(AJ69),ISNUMBER(AE127)),IFERROR(AJ69/AE127,""),"")</f>
        <v/>
      </c>
      <c r="AK71" s="177">
        <f>IF(AND(ISNUMBER(AK69),ISNUMBER(AF127)),IFERROR(AK69/AF127,""),"")</f>
        <v/>
      </c>
      <c r="AL71" s="177">
        <f>IFERROR(AL80/AK127,"")</f>
        <v/>
      </c>
      <c r="AM71" s="177">
        <f>IFERROR(AM80/AL127,"")</f>
        <v/>
      </c>
      <c r="AN71" s="177">
        <f>IFERROR(AN80/AM127,"")</f>
        <v/>
      </c>
      <c r="AO71" s="177">
        <f>IFERROR(AO80/AN127,"")</f>
        <v/>
      </c>
      <c r="AP71" s="6" t="n"/>
      <c r="AR71" s="39">
        <f>IFERROR(AVERAGE(AK71,AL71,AM71,AN71,AO71),"n/m")</f>
        <v/>
      </c>
      <c r="AS71" s="39">
        <f>IFERROR(AVERAGE(L71,Q71,V71,AA71,AF71),"n/m")</f>
        <v/>
      </c>
      <c r="AT71" s="39">
        <f>IFERROR(AVERAGE(G71,H71,I71,J71,K71,L71,Q71,V71,AA71,AF71),"n/m")</f>
        <v/>
      </c>
      <c r="AU71" s="39">
        <f>IFERROR(AVERAGE(C71,D71,E71,F71,G71,H71,I71,J71,K71,L71,Q71,V71,AA71,AF71),"n/m")</f>
        <v/>
      </c>
      <c r="AX71" s="26" t="inlineStr">
        <is>
          <t xml:space="preserve">  2029E</t>
        </is>
      </c>
      <c r="AY71" s="35">
        <f>AZ71+$AY$68</f>
        <v/>
      </c>
      <c r="AZ71" s="45" t="n">
        <v>0.415</v>
      </c>
      <c r="BA71" s="35">
        <f>AZ71+$BA$68</f>
        <v/>
      </c>
    </row>
    <row r="72" collapsed="1" ht="15" customHeight="1">
      <c r="B72" s="61" t="inlineStr">
        <is>
          <t xml:space="preserve">  Check: published organic growth vs organic sales ÷ prior net sales (should be 0.0%)</t>
        </is>
      </c>
      <c r="C72" s="47" t="n"/>
      <c r="D72" s="183">
        <f>IF(AND(ISNUMBER(D70),ISNUMBER(D68),ISNUMBER(C127)),IF(ABS(D68/C127-1-D70)&lt;0.0015,0,ROUND(D68/C127-1-D70,3)),"n/p")</f>
        <v/>
      </c>
      <c r="E72" s="183">
        <f>IF(AND(ISNUMBER(E70),ISNUMBER(E68),ISNUMBER(D127)),IF(ABS(E68/D127-1-E70)&lt;0.0015,0,ROUND(E68/D127-1-E70,3)),"n/p")</f>
        <v/>
      </c>
      <c r="F72" s="183">
        <f>IF(AND(ISNUMBER(F70),ISNUMBER(F68),ISNUMBER(E127)),IF(ABS(F68/E127-1-F70)&lt;0.0015,0,ROUND(F68/E127-1-F70,3)),"n/p")</f>
        <v/>
      </c>
      <c r="G72" s="183">
        <f>IF(AND(ISNUMBER(G70),ISNUMBER(G68),ISNUMBER(F127)),IF(ABS(G68/F127-1-G70)&lt;0.0015,0,ROUND(G68/F127-1-G70,3)),"n/p")</f>
        <v/>
      </c>
      <c r="H72" s="183">
        <f>IF(AND(ISNUMBER(H70),ISNUMBER(H68),ISNUMBER(G127)),IF(ABS(H68/G127-1-H70)&lt;0.0015,0,ROUND(H68/G127-1-H70,3)),"n/p")</f>
        <v/>
      </c>
      <c r="I72" s="183">
        <f>IF(AND(ISNUMBER(I70),ISNUMBER(I68),ISNUMBER(H127)),IF(ABS(I68/H127-1-I70)&lt;0.0015,0,ROUND(I68/H127-1-I70,3)),"n/p")</f>
        <v/>
      </c>
      <c r="J72" s="183">
        <f>IF(AND(ISNUMBER(J70),ISNUMBER(J68),ISNUMBER(I127)),IF(ABS(J68/I127-1-J70)&lt;0.0015,0,ROUND(J68/I127-1-J70,3)),"n/p")</f>
        <v/>
      </c>
      <c r="K72" s="183">
        <f>IF(AND(ISNUMBER(K70),ISNUMBER(K68),ISNUMBER(J127)),IF(ABS(K68/J127-1-K70)&lt;0.0015,0,ROUND(K68/J127-1-K70,3)),"n/p")</f>
        <v/>
      </c>
      <c r="L72" s="183">
        <f>IF(AND(ISNUMBER(L70),ISNUMBER(L68),ISNUMBER(K127)),IF(ABS(L68/K127-1-L70)&lt;0.0015,0,ROUND(L68/K127-1-L70,3)),"n/p")</f>
        <v/>
      </c>
      <c r="M72" s="47" t="n"/>
      <c r="N72" s="47" t="n"/>
      <c r="O72" s="47" t="n"/>
      <c r="P72" s="47" t="n"/>
      <c r="Q72" s="183">
        <f>IF(AND(ISNUMBER(Q70),ISNUMBER(Q68),ISNUMBER(L127)),IF(ABS(Q68/L127-1-Q70)&lt;0.0015,0,ROUND(Q68/L127-1-Q70,3)),"n/p")</f>
        <v/>
      </c>
      <c r="R72" s="183">
        <f>IF(AND(ISNUMBER(R70),ISNUMBER(R68),ISNUMBER(M127)),IF(ABS(R68/M127-1-R70)&lt;0.0015,0,ROUND(R68/M127-1-R70,3)),"n/p")</f>
        <v/>
      </c>
      <c r="S72" s="183">
        <f>IF(AND(ISNUMBER(S70),ISNUMBER(S68),ISNUMBER(N127)),IF(ABS(S68/N127-1-S70)&lt;0.0015,0,ROUND(S68/N127-1-S70,3)),"n/p")</f>
        <v/>
      </c>
      <c r="T72" s="183">
        <f>IF(AND(ISNUMBER(T70),ISNUMBER(T68),ISNUMBER(O127)),IF(ABS(T68/O127-1-T70)&lt;0.0015,0,ROUND(T68/O127-1-T70,3)),"n/p")</f>
        <v/>
      </c>
      <c r="U72" s="183">
        <f>IF(AND(ISNUMBER(U70),ISNUMBER(U68),ISNUMBER(P127)),IF(ABS(U68/P127-1-U70)&lt;0.0015,0,ROUND(U68/P127-1-U70,3)),"n/p")</f>
        <v/>
      </c>
      <c r="V72" s="183">
        <f>IF(AND(ISNUMBER(V70),ISNUMBER(V68),ISNUMBER(Q127)),IF(ABS(V68/Q127-1-V70)&lt;0.0015,0,ROUND(V68/Q127-1-V70,3)),"n/p")</f>
        <v/>
      </c>
      <c r="W72" s="183">
        <f>IF(AND(ISNUMBER(W70),ISNUMBER(W68),ISNUMBER(R127)),IF(ABS(W68/R127-1-W70)&lt;0.0015,0,ROUND(W68/R127-1-W70,3)),"n/p")</f>
        <v/>
      </c>
      <c r="X72" s="183">
        <f>IF(AND(ISNUMBER(X70),ISNUMBER(X68),ISNUMBER(S127)),IF(ABS(X68/S127-1-X70)&lt;0.0015,0,ROUND(X68/S127-1-X70,3)),"n/p")</f>
        <v/>
      </c>
      <c r="Y72" s="183">
        <f>IF(AND(ISNUMBER(Y70),ISNUMBER(Y68),ISNUMBER(T127)),IF(ABS(Y68/T127-1-Y70)&lt;0.0015,0,ROUND(Y68/T127-1-Y70,3)),"n/p")</f>
        <v/>
      </c>
      <c r="Z72" s="183">
        <f>IF(AND(ISNUMBER(Z70),ISNUMBER(Z68),ISNUMBER(U127)),IF(ABS(Z68/U127-1-Z70)&lt;0.0015,0,ROUND(Z68/U127-1-Z70,3)),"n/p")</f>
        <v/>
      </c>
      <c r="AA72" s="183">
        <f>IF(AND(ISNUMBER(AA70),ISNUMBER(AA68),ISNUMBER(V127)),IF(ABS(AA68/V127-1-AA70)&lt;0.0015,0,ROUND(AA68/V127-1-AA70,3)),"n/p")</f>
        <v/>
      </c>
      <c r="AB72" s="183">
        <f>IF(AND(ISNUMBER(AB70),ISNUMBER(AB68),ISNUMBER(W127)),IF(ABS(AB68/W127-1-AB70)&lt;0.0015,0,ROUND(AB68/W127-1-AB70,3)),"n/p")</f>
        <v/>
      </c>
      <c r="AC72" s="183">
        <f>IF(AND(ISNUMBER(AC70),ISNUMBER(AC68),ISNUMBER(X127)),IF(ABS(AC68/X127-1-AC70)&lt;0.0015,0,ROUND(AC68/X127-1-AC70,3)),"n/p")</f>
        <v/>
      </c>
      <c r="AD72" s="183">
        <f>IF(AND(ISNUMBER(AD70),ISNUMBER(AD68),ISNUMBER(Y127)),IF(ABS(AD68/Y127-1-AD70)&lt;0.0015,0,ROUND(AD68/Y127-1-AD70,3)),"n/p")</f>
        <v/>
      </c>
      <c r="AE72" s="183">
        <f>IF(AND(ISNUMBER(AE70),ISNUMBER(AE68),ISNUMBER(Z127)),IF(ABS(AE68/Z127-1-AE70)&lt;0.0015,0,ROUND(AE68/Z127-1-AE70,3)),"n/p")</f>
        <v/>
      </c>
      <c r="AF72" s="183">
        <f>IF(AND(ISNUMBER(AF70),ISNUMBER(AF68),ISNUMBER(AA127)),IF(ABS(AF68/AA127-1-AF70)&lt;0.0015,0,ROUND(AF68/AA127-1-AF70,3)),"n/p")</f>
        <v/>
      </c>
      <c r="AG72" s="183">
        <f>IF(AND(ISNUMBER(AG70),ISNUMBER(AG68),ISNUMBER(AB127)),IF(ABS(AG68/AB127-1-AG70)&lt;0.0015,0,ROUND(AG68/AB127-1-AG70,3)),"n/p")</f>
        <v/>
      </c>
      <c r="AH72" s="183">
        <f>IF(AND(ISNUMBER(AH70),ISNUMBER(AH68),ISNUMBER(AC127)),IF(ABS(AH68/AC127-1-AH70)&lt;0.0015,0,ROUND(AH68/AC127-1-AH70,3)),"n/p")</f>
        <v/>
      </c>
      <c r="AI72" s="6" t="n"/>
      <c r="AJ72" s="6" t="n"/>
      <c r="AK72" s="6" t="n"/>
      <c r="AL72" s="6" t="n"/>
      <c r="AM72" s="6" t="n"/>
      <c r="AN72" s="6" t="n"/>
      <c r="AO72" s="6" t="n"/>
      <c r="AP72" s="6" t="n"/>
      <c r="AX72" s="26" t="inlineStr">
        <is>
          <t xml:space="preserve">  2030E</t>
        </is>
      </c>
      <c r="AY72" s="35">
        <f>AZ72+$AY$68</f>
        <v/>
      </c>
      <c r="AZ72" s="45" t="n">
        <v>0.42</v>
      </c>
      <c r="BA72" s="35">
        <f>AZ72+$BA$68</f>
        <v/>
      </c>
    </row>
    <row r="73" ht="15" customHeight="1">
      <c r="AX73" s="16" t="inlineStr">
        <is>
          <t>M&amp;A_spend (bolt-on acquisitions, $m)</t>
        </is>
      </c>
      <c r="AY73" s="53" t="n">
        <v>200</v>
      </c>
      <c r="AZ73" s="22" t="inlineStr">
        <is>
          <t>Δ →</t>
        </is>
      </c>
      <c r="BA73" s="53" t="n">
        <v>-300</v>
      </c>
      <c r="BB73" s="14" t="inlineStr">
        <is>
          <t>Loar deployed $60m (2023), $384m (2024), $508m (2025) and $250m (1H/26) on acquisitions; ~$750m pipeline. Base ~$300m p.a.</t>
        </is>
      </c>
    </row>
    <row r="74" ht="15" customHeight="1">
      <c r="B74" s="15" t="inlineStr">
        <is>
          <t>Future acquisitions (M&amp;A lever — bolt-ons, unallocated; deals closed from 2027E)</t>
        </is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6" t="inlineStr">
        <is>
          <t>M&amp;A LEVER — acquired sales = spend ÷ EV/sales; mid-year convention</t>
        </is>
      </c>
      <c r="AX74" s="26" t="inlineStr">
        <is>
          <t xml:space="preserve">  2027E</t>
        </is>
      </c>
      <c r="AY74" s="54">
        <f>MAX(0,AZ74+$AY$73)</f>
        <v/>
      </c>
      <c r="AZ74" s="27" t="n">
        <v>300</v>
      </c>
      <c r="BA74" s="54">
        <f>MAX(0,AZ74+$BA$73)</f>
        <v/>
      </c>
    </row>
    <row r="75" ht="15" customHeight="1">
      <c r="B75" s="26" t="inlineStr">
        <is>
          <t xml:space="preserve">  Acquisition spend (USDm, scenario)</t>
        </is>
      </c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7" t="n"/>
      <c r="AJ75" s="37" t="n"/>
      <c r="AK75" s="189" t="n">
        <v>0</v>
      </c>
      <c r="AL75" s="190">
        <f>MAX(0,CHOOSE(MATCH($AP$2,{"Bull","Base","Bear"},0),$AY$74,$AZ$74,$BA$74))</f>
        <v/>
      </c>
      <c r="AM75" s="190">
        <f>MAX(0,CHOOSE(MATCH($AP$2,{"Bull","Base","Bear"},0),$AY$75,$AZ$75,$BA$75))</f>
        <v/>
      </c>
      <c r="AN75" s="190">
        <f>MAX(0,CHOOSE(MATCH($AP$2,{"Bull","Base","Bear"},0),$AY$76,$AZ$76,$BA$76))</f>
        <v/>
      </c>
      <c r="AO75" s="190">
        <f>MAX(0,CHOOSE(MATCH($AP$2,{"Bull","Base","Bear"},0),$AY$77,$AZ$77,$BA$77))</f>
        <v/>
      </c>
      <c r="AP75" s="20" t="inlineStr">
        <is>
          <t>Scenario lever M&amp;A_spend (Base ~$300m p.a.; Loar acquired $508m in 2025 incl. LMB and $250m in 1H/26). Spend funded from cash / term-loan draws (debt schedule).</t>
        </is>
      </c>
      <c r="AX75" s="26" t="inlineStr">
        <is>
          <t xml:space="preserve">  2028E</t>
        </is>
      </c>
      <c r="AY75" s="54">
        <f>MAX(0,AZ75+$AY$73)</f>
        <v/>
      </c>
      <c r="AZ75" s="27" t="n">
        <v>300</v>
      </c>
      <c r="BA75" s="54">
        <f>MAX(0,AZ75+$BA$73)</f>
        <v/>
      </c>
    </row>
    <row r="76" ht="15" customHeight="1">
      <c r="B76" s="26" t="inlineStr">
        <is>
          <t xml:space="preserve">  Purchase multiple — EV / sales (x)</t>
        </is>
      </c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25" t="n"/>
      <c r="AJ76" s="25" t="n"/>
      <c r="AK76" s="191" t="n">
        <v>0</v>
      </c>
      <c r="AL76" s="191" t="n">
        <v>6</v>
      </c>
      <c r="AM76" s="191" t="n">
        <v>6</v>
      </c>
      <c r="AN76" s="191" t="n">
        <v>6</v>
      </c>
      <c r="AO76" s="191" t="n">
        <v>6</v>
      </c>
      <c r="AP76" s="20" t="inlineStr">
        <is>
          <t>Loar deals: AAI $383.5m, LMB $474.8m on ~$60m 2026E sales (~7.9x), Harper $249.8m (+ up to $55m earn-out); 6.0x input.</t>
        </is>
      </c>
      <c r="AX76" s="26" t="inlineStr">
        <is>
          <t xml:space="preserve">  2029E</t>
        </is>
      </c>
      <c r="AY76" s="54">
        <f>MAX(0,AZ76+$AY$73)</f>
        <v/>
      </c>
      <c r="AZ76" s="27" t="n">
        <v>300</v>
      </c>
      <c r="BA76" s="54">
        <f>MAX(0,AZ76+$BA$73)</f>
        <v/>
      </c>
    </row>
    <row r="77" ht="15" customHeight="1">
      <c r="B77" s="26" t="inlineStr">
        <is>
          <t xml:space="preserve">  Annualised sales acquired in the year</t>
        </is>
      </c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7" t="n"/>
      <c r="AJ77" s="37" t="n"/>
      <c r="AK77" s="189" t="n">
        <v>0</v>
      </c>
      <c r="AL77" s="190">
        <f>IFERROR(AL75/AL76,0)</f>
        <v/>
      </c>
      <c r="AM77" s="190">
        <f>IFERROR(AM75/AM76,0)</f>
        <v/>
      </c>
      <c r="AN77" s="190">
        <f>IFERROR(AN75/AN76,0)</f>
        <v/>
      </c>
      <c r="AO77" s="190">
        <f>IFERROR(AO75/AO76,0)</f>
        <v/>
      </c>
      <c r="AP77" s="20" t="n"/>
      <c r="AX77" s="26" t="inlineStr">
        <is>
          <t xml:space="preserve">  2030E</t>
        </is>
      </c>
      <c r="AY77" s="54">
        <f>MAX(0,AZ77+$AY$73)</f>
        <v/>
      </c>
      <c r="AZ77" s="27" t="n">
        <v>300</v>
      </c>
      <c r="BA77" s="54">
        <f>MAX(0,AZ77+$BA$73)</f>
        <v/>
      </c>
    </row>
    <row r="78" ht="15" customHeight="1">
      <c r="B78" s="26" t="inlineStr">
        <is>
          <t xml:space="preserve">  Growth of acquired businesses after acquisition %</t>
        </is>
      </c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25" t="n"/>
      <c r="AJ78" s="25" t="n"/>
      <c r="AK78" s="192" t="n">
        <v>0</v>
      </c>
      <c r="AL78" s="192" t="n">
        <v>0.07000000000000001</v>
      </c>
      <c r="AM78" s="192" t="n">
        <v>0.07000000000000001</v>
      </c>
      <c r="AN78" s="192" t="n">
        <v>0.07000000000000001</v>
      </c>
      <c r="AO78" s="192" t="n">
        <v>0.07000000000000001</v>
      </c>
      <c r="AP78" s="20" t="n"/>
    </row>
    <row r="79" ht="15" customHeight="1">
      <c r="B79" s="26" t="inlineStr">
        <is>
          <t xml:space="preserve">  Run-rate sales of businesses acquired (year end)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7" t="n"/>
      <c r="AJ79" s="37" t="n"/>
      <c r="AK79" s="189" t="n">
        <v>0</v>
      </c>
      <c r="AL79" s="190">
        <f>AK79*(1+AL78)+AL77</f>
        <v/>
      </c>
      <c r="AM79" s="190">
        <f>AL79*(1+AM78)+AM77</f>
        <v/>
      </c>
      <c r="AN79" s="190">
        <f>AM79*(1+AN78)+AN77</f>
        <v/>
      </c>
      <c r="AO79" s="190">
        <f>AN79*(1+AO78)+AO77</f>
        <v/>
      </c>
      <c r="AP79" s="20" t="n"/>
    </row>
    <row r="80" collapsed="1" ht="15" customHeight="1">
      <c r="B80" s="17" t="inlineStr">
        <is>
          <t xml:space="preserve">  Net sales from future acquisitions</t>
        </is>
      </c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34" t="n"/>
      <c r="AJ80" s="34" t="n"/>
      <c r="AK80" s="193" t="n">
        <v>0</v>
      </c>
      <c r="AL80" s="194">
        <f>AK79*(1+AL78)+0.5*AL77</f>
        <v/>
      </c>
      <c r="AM80" s="194">
        <f>AL79*(1+AM78)+0.5*AM77</f>
        <v/>
      </c>
      <c r="AN80" s="194">
        <f>AM79*(1+AN78)+0.5*AN77</f>
        <v/>
      </c>
      <c r="AO80" s="194">
        <f>AN79*(1+AO78)+0.5*AO77</f>
        <v/>
      </c>
      <c r="AP80" s="6" t="inlineStr">
        <is>
          <t>Mid-year convention: half a year of sales in the year of acquisition. Unallocated to end markets (separate line in the Group build).</t>
        </is>
      </c>
    </row>
    <row r="81" ht="15" customHeight="1">
      <c r="B81" s="26" t="inlineStr">
        <is>
          <t xml:space="preserve">  Adjusted EBITDA margin of acquired businesses %</t>
        </is>
      </c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25" t="n"/>
      <c r="AJ81" s="25" t="n"/>
      <c r="AK81" s="192" t="n">
        <v>0</v>
      </c>
      <c r="AL81" s="192" t="n">
        <v>0.4</v>
      </c>
      <c r="AM81" s="192" t="n">
        <v>0.4</v>
      </c>
      <c r="AN81" s="192" t="n">
        <v>0.4</v>
      </c>
      <c r="AO81" s="192" t="n">
        <v>0.4</v>
      </c>
      <c r="AP81" s="20" t="inlineStr">
        <is>
          <t>LMB: ~$30m Adjusted EBITDA on ~$60m sales (2026E, company); Loar targets niche proprietary businesses with ≥35–40% margins post value drivers.</t>
        </is>
      </c>
    </row>
    <row r="82" ht="15" customHeight="1">
      <c r="B82" s="26" t="inlineStr">
        <is>
          <t xml:space="preserve">  Adjusted EBITDA from future acquisitions</t>
        </is>
      </c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7" t="n"/>
      <c r="AJ82" s="37" t="n"/>
      <c r="AK82" s="189" t="n">
        <v>0</v>
      </c>
      <c r="AL82" s="190">
        <f>AL80*AL81</f>
        <v/>
      </c>
      <c r="AM82" s="190">
        <f>AM80*AM81</f>
        <v/>
      </c>
      <c r="AN82" s="190">
        <f>AN80*AN81</f>
        <v/>
      </c>
      <c r="AO82" s="190">
        <f>AO80*AO81</f>
        <v/>
      </c>
      <c r="AP82" s="20" t="n"/>
    </row>
    <row r="83" ht="15" customHeight="1">
      <c r="B83" s="26" t="inlineStr">
        <is>
          <t xml:space="preserve">  PP&amp;E % of spend</t>
        </is>
      </c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25" t="n"/>
      <c r="AJ83" s="25" t="n"/>
      <c r="AK83" s="192" t="n">
        <v>0</v>
      </c>
      <c r="AL83" s="192" t="n">
        <v>0.02</v>
      </c>
      <c r="AM83" s="192" t="n">
        <v>0.02</v>
      </c>
      <c r="AN83" s="192" t="n">
        <v>0.02</v>
      </c>
      <c r="AO83" s="192" t="n">
        <v>0.02</v>
      </c>
      <c r="AP83" s="20" t="n"/>
    </row>
    <row r="84" ht="15" customHeight="1">
      <c r="B84" s="26" t="inlineStr">
        <is>
          <t xml:space="preserve">  Acquired intangibles % of spend</t>
        </is>
      </c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25" t="n"/>
      <c r="AJ84" s="25" t="n"/>
      <c r="AK84" s="192" t="n">
        <v>0</v>
      </c>
      <c r="AL84" s="192" t="n">
        <v>0.5</v>
      </c>
      <c r="AM84" s="192" t="n">
        <v>0.5</v>
      </c>
      <c r="AN84" s="192" t="n">
        <v>0.5</v>
      </c>
      <c r="AO84" s="192" t="n">
        <v>0.5</v>
      </c>
      <c r="AP84" s="20" t="inlineStr">
        <is>
          <t>Recent PPAs: AAI 40%, LMB 45%, Harper 61% of consideration in intangibles (customer relationships, trade names, technology).</t>
        </is>
      </c>
    </row>
    <row r="85" ht="15" customHeight="1">
      <c r="B85" s="26" t="inlineStr">
        <is>
          <t xml:space="preserve">  Intangible amortization life (years)</t>
        </is>
      </c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25" t="n"/>
      <c r="AJ85" s="25" t="n"/>
      <c r="AK85" s="195" t="n">
        <v>0</v>
      </c>
      <c r="AL85" s="195" t="n">
        <v>15</v>
      </c>
      <c r="AM85" s="195" t="n">
        <v>15</v>
      </c>
      <c r="AN85" s="195" t="n">
        <v>15</v>
      </c>
      <c r="AO85" s="195" t="n">
        <v>15</v>
      </c>
      <c r="AP85" s="20" t="n"/>
    </row>
    <row r="86" ht="15" customHeight="1">
      <c r="B86" s="26" t="inlineStr">
        <is>
          <t xml:space="preserve">  Cumulative acquired intangibles (gross)</t>
        </is>
      </c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7" t="n"/>
      <c r="AJ86" s="37" t="n"/>
      <c r="AK86" s="189" t="n">
        <v>0</v>
      </c>
      <c r="AL86" s="190">
        <f>AK86+AL75*AL84</f>
        <v/>
      </c>
      <c r="AM86" s="190">
        <f>AL86+AM75*AM84</f>
        <v/>
      </c>
      <c r="AN86" s="190">
        <f>AM86+AN75*AN84</f>
        <v/>
      </c>
      <c r="AO86" s="190">
        <f>AN86+AO75*AO84</f>
        <v/>
      </c>
      <c r="AP86" s="20" t="n"/>
    </row>
    <row r="87" ht="15" customHeight="1">
      <c r="B87" s="26" t="inlineStr">
        <is>
          <t xml:space="preserve">  Amortization of future-acquisition intangibles</t>
        </is>
      </c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7" t="n"/>
      <c r="AJ87" s="37" t="n"/>
      <c r="AK87" s="189" t="n">
        <v>0</v>
      </c>
      <c r="AL87" s="190">
        <f>IFERROR((AK86+0.5*AL75*AL84)/AL85,0)</f>
        <v/>
      </c>
      <c r="AM87" s="190">
        <f>IFERROR((AL86+0.5*AM75*AM84)/AM85,0)</f>
        <v/>
      </c>
      <c r="AN87" s="190">
        <f>IFERROR((AM86+0.5*AN75*AN84)/AN85,0)</f>
        <v/>
      </c>
      <c r="AO87" s="190">
        <f>IFERROR((AN86+0.5*AO75*AO84)/AO85,0)</f>
        <v/>
      </c>
      <c r="AP87" s="20" t="inlineStr">
        <is>
          <t>Non-cash; added back in Adjusted EPS (current company definition) and excluded from Adjusted EBITDA.</t>
        </is>
      </c>
    </row>
    <row r="88" collapsed="1" ht="15" customHeight="1">
      <c r="AX88" s="12" t="n"/>
      <c r="AY88" s="13" t="n"/>
      <c r="AZ88" s="13" t="n"/>
      <c r="BA88" s="13" t="n"/>
      <c r="BB88" s="14" t="n"/>
    </row>
    <row r="89" ht="15" customHeight="1">
      <c r="B89" s="15" t="inlineStr">
        <is>
          <t>Group Total — net sales &amp; Adjusted EBITDA (end-market build) → FY26 outlook calibration</t>
        </is>
      </c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6" t="inlineStr">
        <is>
          <t>GROUP TOTAL (CONSOLIDATED) — modelling logic</t>
        </is>
      </c>
    </row>
    <row r="90" ht="15" customHeight="1">
      <c r="B90" s="59" t="inlineStr">
        <is>
          <t>Net sales (end-market build)</t>
        </is>
      </c>
      <c r="C90" s="196">
        <f>IF(ISNUMBER(C11),N(C11)+N(C14)+N(C23)+N(C26)+N(C35)+N(C38)+N(C47)+N(C50),C127)</f>
        <v/>
      </c>
      <c r="D90" s="196">
        <f>IF(ISNUMBER(D11),N(D11)+N(D14)+N(D23)+N(D26)+N(D35)+N(D38)+N(D47)+N(D50),D127)</f>
        <v/>
      </c>
      <c r="E90" s="196">
        <f>IF(ISNUMBER(E11),N(E11)+N(E14)+N(E23)+N(E26)+N(E35)+N(E38)+N(E47)+N(E50),E127)</f>
        <v/>
      </c>
      <c r="F90" s="196">
        <f>IF(ISNUMBER(F11),N(F11)+N(F14)+N(F23)+N(F26)+N(F35)+N(F38)+N(F47)+N(F50),F127)</f>
        <v/>
      </c>
      <c r="G90" s="196">
        <f>IF(ISNUMBER(G11),N(G11)+N(G14)+N(G23)+N(G26)+N(G35)+N(G38)+N(G47)+N(G50),G127)</f>
        <v/>
      </c>
      <c r="H90" s="196">
        <f>IF(ISNUMBER(H11),N(H11)+N(H14)+N(H23)+N(H26)+N(H35)+N(H38)+N(H47)+N(H50),H127)</f>
        <v/>
      </c>
      <c r="I90" s="196">
        <f>IF(ISNUMBER(I11),N(I11)+N(I14)+N(I23)+N(I26)+N(I35)+N(I38)+N(I47)+N(I50),I127)</f>
        <v/>
      </c>
      <c r="J90" s="196">
        <f>IF(ISNUMBER(J11),N(J11)+N(J14)+N(J23)+N(J26)+N(J35)+N(J38)+N(J47)+N(J50),J127)</f>
        <v/>
      </c>
      <c r="K90" s="196">
        <f>IF(ISNUMBER(K11),N(K11)+N(K14)+N(K23)+N(K26)+N(K35)+N(K38)+N(K47)+N(K50),K127)</f>
        <v/>
      </c>
      <c r="L90" s="196">
        <f>IF(ISNUMBER(L11),N(L11)+N(L14)+N(L23)+N(L26)+N(L35)+N(L38)+N(L47)+N(L50),L127)</f>
        <v/>
      </c>
      <c r="M90" s="196">
        <f>IF(ISNUMBER(M11),N(M11)+N(M14)+N(M23)+N(M26)+N(M35)+N(M38)+N(M47)+N(M50),M127)</f>
        <v/>
      </c>
      <c r="N90" s="196">
        <f>IF(ISNUMBER(N11),N(N11)+N(N14)+N(N23)+N(N26)+N(N35)+N(N38)+N(N47)+N(N50),N127)</f>
        <v/>
      </c>
      <c r="O90" s="196">
        <f>IF(ISNUMBER(O11),N(O11)+N(O14)+N(O23)+N(O26)+N(O35)+N(O38)+N(O47)+N(O50),O127)</f>
        <v/>
      </c>
      <c r="P90" s="196">
        <f>IF(ISNUMBER(P11),N(P11)+N(P14)+N(P23)+N(P26)+N(P35)+N(P38)+N(P47)+N(P50),P127)</f>
        <v/>
      </c>
      <c r="Q90" s="196">
        <f>IF(ISNUMBER(Q11),N(Q11)+N(Q14)+N(Q23)+N(Q26)+N(Q35)+N(Q38)+N(Q47)+N(Q50),Q127)</f>
        <v/>
      </c>
      <c r="R90" s="196">
        <f>IF(ISNUMBER(R11),N(R11)+N(R14)+N(R23)+N(R26)+N(R35)+N(R38)+N(R47)+N(R50),R127)</f>
        <v/>
      </c>
      <c r="S90" s="196">
        <f>IF(ISNUMBER(S11),N(S11)+N(S14)+N(S23)+N(S26)+N(S35)+N(S38)+N(S47)+N(S50),S127)</f>
        <v/>
      </c>
      <c r="T90" s="196">
        <f>IF(ISNUMBER(T11),N(T11)+N(T14)+N(T23)+N(T26)+N(T35)+N(T38)+N(T47)+N(T50),T127)</f>
        <v/>
      </c>
      <c r="U90" s="196">
        <f>IF(ISNUMBER(U11),N(U11)+N(U14)+N(U23)+N(U26)+N(U35)+N(U38)+N(U47)+N(U50),U127)</f>
        <v/>
      </c>
      <c r="V90" s="196">
        <f>IF(ISNUMBER(V11),N(V11)+N(V14)+N(V23)+N(V26)+N(V35)+N(V38)+N(V47)+N(V50),V127)</f>
        <v/>
      </c>
      <c r="W90" s="196">
        <f>IF(ISNUMBER(W11),N(W11)+N(W14)+N(W23)+N(W26)+N(W35)+N(W38)+N(W47)+N(W50),W127)</f>
        <v/>
      </c>
      <c r="X90" s="196">
        <f>IF(ISNUMBER(X11),N(X11)+N(X14)+N(X23)+N(X26)+N(X35)+N(X38)+N(X47)+N(X50),X127)</f>
        <v/>
      </c>
      <c r="Y90" s="196">
        <f>IF(ISNUMBER(Y11),N(Y11)+N(Y14)+N(Y23)+N(Y26)+N(Y35)+N(Y38)+N(Y47)+N(Y50),Y127)</f>
        <v/>
      </c>
      <c r="Z90" s="196">
        <f>IF(ISNUMBER(Z11),N(Z11)+N(Z14)+N(Z23)+N(Z26)+N(Z35)+N(Z38)+N(Z47)+N(Z50),Z127)</f>
        <v/>
      </c>
      <c r="AA90" s="196">
        <f>IF(ISNUMBER(AA11),N(AA11)+N(AA14)+N(AA23)+N(AA26)+N(AA35)+N(AA38)+N(AA47)+N(AA50),AA127)</f>
        <v/>
      </c>
      <c r="AB90" s="196">
        <f>IF(ISNUMBER(AB11),N(AB11)+N(AB14)+N(AB23)+N(AB26)+N(AB35)+N(AB38)+N(AB47)+N(AB50),AB127)</f>
        <v/>
      </c>
      <c r="AC90" s="196">
        <f>IF(ISNUMBER(AC11),N(AC11)+N(AC14)+N(AC23)+N(AC26)+N(AC35)+N(AC38)+N(AC47)+N(AC50),AC127)</f>
        <v/>
      </c>
      <c r="AD90" s="196">
        <f>IF(ISNUMBER(AD11),N(AD11)+N(AD14)+N(AD23)+N(AD26)+N(AD35)+N(AD38)+N(AD47)+N(AD50),AD127)</f>
        <v/>
      </c>
      <c r="AE90" s="196">
        <f>IF(ISNUMBER(AE11),N(AE11)+N(AE14)+N(AE23)+N(AE26)+N(AE35)+N(AE38)+N(AE47)+N(AE50),AE127)</f>
        <v/>
      </c>
      <c r="AF90" s="196">
        <f>IF(ISNUMBER(AF11),N(AF11)+N(AF14)+N(AF23)+N(AF26)+N(AF35)+N(AF38)+N(AF47)+N(AF50),AF127)</f>
        <v/>
      </c>
      <c r="AG90" s="196">
        <f>IF(ISNUMBER(AG11),N(AG11)+N(AG14)+N(AG23)+N(AG26)+N(AG35)+N(AG38)+N(AG47)+N(AG50),AG127)</f>
        <v/>
      </c>
      <c r="AH90" s="196">
        <f>IF(ISNUMBER(AH11),N(AH11)+N(AH14)+N(AH23)+N(AH26)+N(AH35)+N(AH38)+N(AH47)+N(AH50),AH127)</f>
        <v/>
      </c>
      <c r="AI90" s="196">
        <f>AI11+AI14+AI23+AI26+AI35+AI38+AI47+AI50+N(AI80)</f>
        <v/>
      </c>
      <c r="AJ90" s="196">
        <f>AJ11+AJ14+AJ23+AJ26+AJ35+AJ38+AJ47+AJ50+N(AJ80)</f>
        <v/>
      </c>
      <c r="AK90" s="196">
        <f>AK11+AK14+AK23+AK26+AK35+AK38+AK47+AK50+N(AK80)</f>
        <v/>
      </c>
      <c r="AL90" s="196">
        <f>AL11+AL14+AL23+AL26+AL35+AL38+AL47+AL50+N(AL80)</f>
        <v/>
      </c>
      <c r="AM90" s="196">
        <f>AM11+AM14+AM23+AM26+AM35+AM38+AM47+AM50+N(AM80)</f>
        <v/>
      </c>
      <c r="AN90" s="196">
        <f>AN11+AN14+AN23+AN26+AN35+AN38+AN47+AN50+N(AN80)</f>
        <v/>
      </c>
      <c r="AO90" s="196">
        <f>AO11+AO14+AO23+AO26+AO35+AO38+AO47+AO50+N(AO80)</f>
        <v/>
      </c>
      <c r="AP90" s="6" t="inlineStr">
        <is>
          <t>Σ end-market OEM + aftermarket sales (+ future acquisitions from 2027E). Before 2022 (and 2022 quarters) = reported net sales (no split).</t>
        </is>
      </c>
      <c r="AR90" s="21">
        <f>IFERROR((AO90/AF90)^(1/5)-1,"n/m")</f>
        <v/>
      </c>
      <c r="AS90" s="21">
        <f>IFERROR((AF90/K90)^(1/5)-1,"n/m")</f>
        <v/>
      </c>
      <c r="AT90" s="21">
        <f>IFERROR((AF90/F90)^(1/10)-1,"n/m")</f>
        <v/>
      </c>
      <c r="AU90" s="21">
        <f>IFERROR((AF90/C90)^(1/13)-1,"n/m")</f>
        <v/>
      </c>
    </row>
    <row r="91" ht="15" customHeight="1">
      <c r="B91" s="23" t="inlineStr">
        <is>
          <t xml:space="preserve">  Net sales y/y %</t>
        </is>
      </c>
      <c r="C91" s="24" t="n"/>
      <c r="D91" s="176">
        <f>IF(AND(ISNUMBER(D90),ISNUMBER(C90)),IFERROR(D90/C90-1,""),"")</f>
        <v/>
      </c>
      <c r="E91" s="176">
        <f>IF(AND(ISNUMBER(E90),ISNUMBER(D90)),IFERROR(E90/D90-1,""),"")</f>
        <v/>
      </c>
      <c r="F91" s="176">
        <f>IF(AND(ISNUMBER(F90),ISNUMBER(E90)),IFERROR(F90/E90-1,""),"")</f>
        <v/>
      </c>
      <c r="G91" s="176">
        <f>IF(AND(ISNUMBER(G90),ISNUMBER(F90)),IFERROR(G90/F90-1,""),"")</f>
        <v/>
      </c>
      <c r="H91" s="176">
        <f>IF(AND(ISNUMBER(H90),ISNUMBER(G90)),IFERROR(H90/G90-1,""),"")</f>
        <v/>
      </c>
      <c r="I91" s="176">
        <f>IF(AND(ISNUMBER(I90),ISNUMBER(H90)),IFERROR(I90/H90-1,""),"")</f>
        <v/>
      </c>
      <c r="J91" s="176">
        <f>IF(AND(ISNUMBER(J90),ISNUMBER(I90)),IFERROR(J90/I90-1,""),"")</f>
        <v/>
      </c>
      <c r="K91" s="176">
        <f>IF(AND(ISNUMBER(K90),ISNUMBER(J90)),IFERROR(K90/J90-1,""),"")</f>
        <v/>
      </c>
      <c r="L91" s="176">
        <f>IF(AND(ISNUMBER(L90),ISNUMBER(K90)),IFERROR(L90/K90-1,""),"")</f>
        <v/>
      </c>
      <c r="M91" s="24" t="n"/>
      <c r="N91" s="24" t="n"/>
      <c r="O91" s="24" t="n"/>
      <c r="P91" s="24" t="n"/>
      <c r="Q91" s="176">
        <f>IF(AND(ISNUMBER(Q90),ISNUMBER(L90)),IFERROR(Q90/L90-1,""),"")</f>
        <v/>
      </c>
      <c r="R91" s="176">
        <f>IF(AND(ISNUMBER(R90),ISNUMBER(M90)),IFERROR(R90/M90-1,""),"")</f>
        <v/>
      </c>
      <c r="S91" s="176">
        <f>IF(AND(ISNUMBER(S90),ISNUMBER(N90)),IFERROR(S90/N90-1,""),"")</f>
        <v/>
      </c>
      <c r="T91" s="176">
        <f>IF(AND(ISNUMBER(T90),ISNUMBER(O90)),IFERROR(T90/O90-1,""),"")</f>
        <v/>
      </c>
      <c r="U91" s="176">
        <f>IF(AND(ISNUMBER(U90),ISNUMBER(P90)),IFERROR(U90/P90-1,""),"")</f>
        <v/>
      </c>
      <c r="V91" s="176">
        <f>IF(AND(ISNUMBER(V90),ISNUMBER(Q90)),IFERROR(V90/Q90-1,""),"")</f>
        <v/>
      </c>
      <c r="W91" s="176">
        <f>IF(AND(ISNUMBER(W90),ISNUMBER(R90)),IFERROR(W90/R90-1,""),"")</f>
        <v/>
      </c>
      <c r="X91" s="176">
        <f>IF(AND(ISNUMBER(X90),ISNUMBER(S90)),IFERROR(X90/S90-1,""),"")</f>
        <v/>
      </c>
      <c r="Y91" s="176">
        <f>IF(AND(ISNUMBER(Y90),ISNUMBER(T90)),IFERROR(Y90/T90-1,""),"")</f>
        <v/>
      </c>
      <c r="Z91" s="176">
        <f>IF(AND(ISNUMBER(Z90),ISNUMBER(U90)),IFERROR(Z90/U90-1,""),"")</f>
        <v/>
      </c>
      <c r="AA91" s="176">
        <f>IF(AND(ISNUMBER(AA90),ISNUMBER(V90)),IFERROR(AA90/V90-1,""),"")</f>
        <v/>
      </c>
      <c r="AB91" s="176">
        <f>IF(AND(ISNUMBER(AB90),ISNUMBER(W90)),IFERROR(AB90/W90-1,""),"")</f>
        <v/>
      </c>
      <c r="AC91" s="176">
        <f>IF(AND(ISNUMBER(AC90),ISNUMBER(X90)),IFERROR(AC90/X90-1,""),"")</f>
        <v/>
      </c>
      <c r="AD91" s="176">
        <f>IF(AND(ISNUMBER(AD90),ISNUMBER(Y90)),IFERROR(AD90/Y90-1,""),"")</f>
        <v/>
      </c>
      <c r="AE91" s="176">
        <f>IF(AND(ISNUMBER(AE90),ISNUMBER(Z90)),IFERROR(AE90/Z90-1,""),"")</f>
        <v/>
      </c>
      <c r="AF91" s="176">
        <f>IF(AND(ISNUMBER(AF90),ISNUMBER(AA90)),IFERROR(AF90/AA90-1,""),"")</f>
        <v/>
      </c>
      <c r="AG91" s="176">
        <f>IF(AND(ISNUMBER(AG90),ISNUMBER(AB90)),IFERROR(AG90/AB90-1,""),"")</f>
        <v/>
      </c>
      <c r="AH91" s="176">
        <f>IF(AND(ISNUMBER(AH90),ISNUMBER(AC90)),IFERROR(AH90/AC90-1,""),"")</f>
        <v/>
      </c>
      <c r="AI91" s="177">
        <f>IF(AND(ISNUMBER(AI90),ISNUMBER(AD90)),IFERROR(AI90/AD90-1,""),"")</f>
        <v/>
      </c>
      <c r="AJ91" s="177">
        <f>IF(AND(ISNUMBER(AJ90),ISNUMBER(AE90)),IFERROR(AJ90/AE90-1,""),"")</f>
        <v/>
      </c>
      <c r="AK91" s="177">
        <f>IF(AND(ISNUMBER(AK90),ISNUMBER(AF90)),IFERROR(AK90/AF90-1,""),"")</f>
        <v/>
      </c>
      <c r="AL91" s="177">
        <f>IF(AND(ISNUMBER(AL90),ISNUMBER(AK90)),IFERROR(AL90/AK90-1,""),"")</f>
        <v/>
      </c>
      <c r="AM91" s="177">
        <f>IF(AND(ISNUMBER(AM90),ISNUMBER(AL90)),IFERROR(AM90/AL90-1,""),"")</f>
        <v/>
      </c>
      <c r="AN91" s="177">
        <f>IF(AND(ISNUMBER(AN90),ISNUMBER(AM90)),IFERROR(AN90/AM90-1,""),"")</f>
        <v/>
      </c>
      <c r="AO91" s="177">
        <f>IF(AND(ISNUMBER(AO90),ISNUMBER(AN90)),IFERROR(AO90/AN90-1,""),"")</f>
        <v/>
      </c>
      <c r="AP91" s="6" t="n"/>
    </row>
    <row r="92" ht="15" customHeight="1">
      <c r="B92" s="61" t="inlineStr">
        <is>
          <t xml:space="preserve">  Check: end-market build vs consolidated net sales (should be 0)</t>
        </is>
      </c>
      <c r="C92" s="186">
        <f>IF(ISNUMBER(C90),IF(ABS(C90-C127)&lt;=0.15,0,ROUND(C90-C127,1)),"")</f>
        <v/>
      </c>
      <c r="D92" s="186">
        <f>IF(ISNUMBER(D90),IF(ABS(D90-D127)&lt;=0.15,0,ROUND(D90-D127,1)),"")</f>
        <v/>
      </c>
      <c r="E92" s="186">
        <f>IF(ISNUMBER(E90),IF(ABS(E90-E127)&lt;=0.15,0,ROUND(E90-E127,1)),"")</f>
        <v/>
      </c>
      <c r="F92" s="186">
        <f>IF(ISNUMBER(F90),IF(ABS(F90-F127)&lt;=0.15,0,ROUND(F90-F127,1)),"")</f>
        <v/>
      </c>
      <c r="G92" s="186">
        <f>IF(ISNUMBER(G90),IF(ABS(G90-G127)&lt;=0.15,0,ROUND(G90-G127,1)),"")</f>
        <v/>
      </c>
      <c r="H92" s="186">
        <f>IF(ISNUMBER(H90),IF(ABS(H90-H127)&lt;=0.15,0,ROUND(H90-H127,1)),"")</f>
        <v/>
      </c>
      <c r="I92" s="186">
        <f>IF(ISNUMBER(I90),IF(ABS(I90-I127)&lt;=0.15,0,ROUND(I90-I127,1)),"")</f>
        <v/>
      </c>
      <c r="J92" s="186">
        <f>IF(ISNUMBER(J90),IF(ABS(J90-J127)&lt;=0.15,0,ROUND(J90-J127,1)),"")</f>
        <v/>
      </c>
      <c r="K92" s="186">
        <f>IF(ISNUMBER(K90),IF(ABS(K90-K127)&lt;=0.15,0,ROUND(K90-K127,1)),"")</f>
        <v/>
      </c>
      <c r="L92" s="186">
        <f>IF(ISNUMBER(L90),IF(ABS(L90-L127)&lt;=0.15,0,ROUND(L90-L127,1)),"")</f>
        <v/>
      </c>
      <c r="M92" s="186">
        <f>IF(ISNUMBER(M90),IF(ABS(M90-M127)&lt;=0.15,0,ROUND(M90-M127,1)),"")</f>
        <v/>
      </c>
      <c r="N92" s="186">
        <f>IF(ISNUMBER(N90),IF(ABS(N90-N127)&lt;=0.15,0,ROUND(N90-N127,1)),"")</f>
        <v/>
      </c>
      <c r="O92" s="186">
        <f>IF(ISNUMBER(O90),IF(ABS(O90-O127)&lt;=0.15,0,ROUND(O90-O127,1)),"")</f>
        <v/>
      </c>
      <c r="P92" s="186">
        <f>IF(ISNUMBER(P90),IF(ABS(P90-P127)&lt;=0.15,0,ROUND(P90-P127,1)),"")</f>
        <v/>
      </c>
      <c r="Q92" s="186">
        <f>IF(ISNUMBER(Q90),IF(ABS(Q90-Q127)&lt;=0.15,0,ROUND(Q90-Q127,1)),"")</f>
        <v/>
      </c>
      <c r="R92" s="186">
        <f>IF(ISNUMBER(R90),IF(ABS(R90-R127)&lt;=0.15,0,ROUND(R90-R127,1)),"")</f>
        <v/>
      </c>
      <c r="S92" s="186">
        <f>IF(ISNUMBER(S90),IF(ABS(S90-S127)&lt;=0.15,0,ROUND(S90-S127,1)),"")</f>
        <v/>
      </c>
      <c r="T92" s="186">
        <f>IF(ISNUMBER(T90),IF(ABS(T90-T127)&lt;=0.15,0,ROUND(T90-T127,1)),"")</f>
        <v/>
      </c>
      <c r="U92" s="186">
        <f>IF(ISNUMBER(U90),IF(ABS(U90-U127)&lt;=0.15,0,ROUND(U90-U127,1)),"")</f>
        <v/>
      </c>
      <c r="V92" s="186">
        <f>IF(ISNUMBER(V90),IF(ABS(V90-V127)&lt;=0.15,0,ROUND(V90-V127,1)),"")</f>
        <v/>
      </c>
      <c r="W92" s="186">
        <f>IF(ISNUMBER(W90),IF(ABS(W90-W127)&lt;=0.15,0,ROUND(W90-W127,1)),"")</f>
        <v/>
      </c>
      <c r="X92" s="186">
        <f>IF(ISNUMBER(X90),IF(ABS(X90-X127)&lt;=0.15,0,ROUND(X90-X127,1)),"")</f>
        <v/>
      </c>
      <c r="Y92" s="186">
        <f>IF(ISNUMBER(Y90),IF(ABS(Y90-Y127)&lt;=0.15,0,ROUND(Y90-Y127,1)),"")</f>
        <v/>
      </c>
      <c r="Z92" s="186">
        <f>IF(ISNUMBER(Z90),IF(ABS(Z90-Z127)&lt;=0.15,0,ROUND(Z90-Z127,1)),"")</f>
        <v/>
      </c>
      <c r="AA92" s="186">
        <f>IF(ISNUMBER(AA90),IF(ABS(AA90-AA127)&lt;=0.15,0,ROUND(AA90-AA127,1)),"")</f>
        <v/>
      </c>
      <c r="AB92" s="186">
        <f>IF(ISNUMBER(AB90),IF(ABS(AB90-AB127)&lt;=0.15,0,ROUND(AB90-AB127,1)),"")</f>
        <v/>
      </c>
      <c r="AC92" s="186">
        <f>IF(ISNUMBER(AC90),IF(ABS(AC90-AC127)&lt;=0.15,0,ROUND(AC90-AC127,1)),"")</f>
        <v/>
      </c>
      <c r="AD92" s="186">
        <f>IF(ISNUMBER(AD90),IF(ABS(AD90-AD127)&lt;=0.15,0,ROUND(AD90-AD127,1)),"")</f>
        <v/>
      </c>
      <c r="AE92" s="186">
        <f>IF(ISNUMBER(AE90),IF(ABS(AE90-AE127)&lt;=0.15,0,ROUND(AE90-AE127,1)),"")</f>
        <v/>
      </c>
      <c r="AF92" s="186">
        <f>IF(ISNUMBER(AF90),IF(ABS(AF90-AF127)&lt;=0.15,0,ROUND(AF90-AF127,1)),"")</f>
        <v/>
      </c>
      <c r="AG92" s="186">
        <f>IF(ISNUMBER(AG90),IF(ABS(AG90-AG127)&lt;=0.15,0,ROUND(AG90-AG127,1)),"")</f>
        <v/>
      </c>
      <c r="AH92" s="186">
        <f>IF(ISNUMBER(AH90),IF(ABS(AH90-AH127)&lt;=0.15,0,ROUND(AH90-AH127,1)),"")</f>
        <v/>
      </c>
      <c r="AI92" s="197">
        <f>IF(ISNUMBER(AI90),IF(ABS(AI90-AI127)&lt;=0.15,0,ROUND(AI90-AI127,1)),"")</f>
        <v/>
      </c>
      <c r="AJ92" s="197">
        <f>IF(ISNUMBER(AJ90),IF(ABS(AJ90-AJ127)&lt;=0.15,0,ROUND(AJ90-AJ127,1)),"")</f>
        <v/>
      </c>
      <c r="AK92" s="197">
        <f>IF(ISNUMBER(AK90),IF(ABS(AK90-AK127)&lt;=0.15,0,ROUND(AK90-AK127,1)),"")</f>
        <v/>
      </c>
      <c r="AL92" s="197">
        <f>IF(ISNUMBER(AL90),IF(ABS(AL90-AL127)&lt;=0.15,0,ROUND(AL90-AL127,1)),"")</f>
        <v/>
      </c>
      <c r="AM92" s="197">
        <f>IF(ISNUMBER(AM90),IF(ABS(AM90-AM127)&lt;=0.15,0,ROUND(AM90-AM127,1)),"")</f>
        <v/>
      </c>
      <c r="AN92" s="197">
        <f>IF(ISNUMBER(AN90),IF(ABS(AN90-AN127)&lt;=0.15,0,ROUND(AN90-AN127,1)),"")</f>
        <v/>
      </c>
      <c r="AO92" s="197">
        <f>IF(ISNUMBER(AO90),IF(ABS(AO90-AO127)&lt;=0.15,0,ROUND(AO90-AO127,1)),"")</f>
        <v/>
      </c>
      <c r="AP92" s="6" t="n"/>
    </row>
    <row r="93" ht="15" customHeight="1">
      <c r="B93" s="26" t="inlineStr">
        <is>
          <t xml:space="preserve">  Adjusted EBITDA margin % (current portfolio, before future M&amp;A)</t>
        </is>
      </c>
      <c r="C93" s="183">
        <f>IF(ISNUMBER(C176),IFERROR(C176/C127,""),"")</f>
        <v/>
      </c>
      <c r="D93" s="183">
        <f>IF(ISNUMBER(D176),IFERROR(D176/D127,""),"")</f>
        <v/>
      </c>
      <c r="E93" s="183">
        <f>IF(ISNUMBER(E176),IFERROR(E176/E127,""),"")</f>
        <v/>
      </c>
      <c r="F93" s="183">
        <f>IF(ISNUMBER(F176),IFERROR(F176/F127,""),"")</f>
        <v/>
      </c>
      <c r="G93" s="183">
        <f>IF(ISNUMBER(G176),IFERROR(G176/G127,""),"")</f>
        <v/>
      </c>
      <c r="H93" s="183">
        <f>IF(ISNUMBER(H176),IFERROR(H176/H127,""),"")</f>
        <v/>
      </c>
      <c r="I93" s="183">
        <f>IF(ISNUMBER(I176),IFERROR(I176/I127,""),"")</f>
        <v/>
      </c>
      <c r="J93" s="183">
        <f>IF(ISNUMBER(J176),IFERROR(J176/J127,""),"")</f>
        <v/>
      </c>
      <c r="K93" s="183">
        <f>IF(ISNUMBER(K176),IFERROR(K176/K127,""),"")</f>
        <v/>
      </c>
      <c r="L93" s="183">
        <f>IF(ISNUMBER(L176),IFERROR(L176/L127,""),"")</f>
        <v/>
      </c>
      <c r="M93" s="183">
        <f>IF(ISNUMBER(M176),IFERROR(M176/M127,""),"")</f>
        <v/>
      </c>
      <c r="N93" s="183">
        <f>IF(ISNUMBER(N176),IFERROR(N176/N127,""),"")</f>
        <v/>
      </c>
      <c r="O93" s="183">
        <f>IF(ISNUMBER(O176),IFERROR(O176/O127,""),"")</f>
        <v/>
      </c>
      <c r="P93" s="183">
        <f>IF(ISNUMBER(P176),IFERROR(P176/P127,""),"")</f>
        <v/>
      </c>
      <c r="Q93" s="183">
        <f>IF(ISNUMBER(Q176),IFERROR(Q176/Q127,""),"")</f>
        <v/>
      </c>
      <c r="R93" s="183">
        <f>IF(ISNUMBER(R176),IFERROR(R176/R127,""),"")</f>
        <v/>
      </c>
      <c r="S93" s="183">
        <f>IF(ISNUMBER(S176),IFERROR(S176/S127,""),"")</f>
        <v/>
      </c>
      <c r="T93" s="183">
        <f>IF(ISNUMBER(T176),IFERROR(T176/T127,""),"")</f>
        <v/>
      </c>
      <c r="U93" s="183">
        <f>IF(ISNUMBER(U176),IFERROR(U176/U127,""),"")</f>
        <v/>
      </c>
      <c r="V93" s="183">
        <f>IF(ISNUMBER(V176),IFERROR(V176/V127,""),"")</f>
        <v/>
      </c>
      <c r="W93" s="183">
        <f>IF(ISNUMBER(W176),IFERROR(W176/W127,""),"")</f>
        <v/>
      </c>
      <c r="X93" s="183">
        <f>IF(ISNUMBER(X176),IFERROR(X176/X127,""),"")</f>
        <v/>
      </c>
      <c r="Y93" s="183">
        <f>IF(ISNUMBER(Y176),IFERROR(Y176/Y127,""),"")</f>
        <v/>
      </c>
      <c r="Z93" s="183">
        <f>IF(ISNUMBER(Z176),IFERROR(Z176/Z127,""),"")</f>
        <v/>
      </c>
      <c r="AA93" s="183">
        <f>IF(ISNUMBER(AA176),IFERROR(AA176/AA127,""),"")</f>
        <v/>
      </c>
      <c r="AB93" s="183">
        <f>IF(ISNUMBER(AB176),IFERROR(AB176/AB127,""),"")</f>
        <v/>
      </c>
      <c r="AC93" s="183">
        <f>IF(ISNUMBER(AC176),IFERROR(AC176/AC127,""),"")</f>
        <v/>
      </c>
      <c r="AD93" s="183">
        <f>IF(ISNUMBER(AD176),IFERROR(AD176/AD127,""),"")</f>
        <v/>
      </c>
      <c r="AE93" s="183">
        <f>IF(ISNUMBER(AE176),IFERROR(AE176/AE127,""),"")</f>
        <v/>
      </c>
      <c r="AF93" s="183">
        <f>IF(ISNUMBER(AF176),IFERROR(AF176/AF127,""),"")</f>
        <v/>
      </c>
      <c r="AG93" s="183">
        <f>IF(ISNUMBER(AG176),IFERROR(AG176/AG127,""),"")</f>
        <v/>
      </c>
      <c r="AH93" s="183">
        <f>IF(ISNUMBER(AH176),IFERROR(AH176/AH127,""),"")</f>
        <v/>
      </c>
      <c r="AI93" s="177">
        <f>AI94+$AI$105</f>
        <v/>
      </c>
      <c r="AJ93" s="177">
        <f>AJ94+$AI$105</f>
        <v/>
      </c>
      <c r="AK93" s="177">
        <f>IFERROR((AK95)/AK127,"")</f>
        <v/>
      </c>
      <c r="AL93" s="177">
        <f>CHOOSE(MATCH($AP$2,{"Bull","Base","Bear"},0),$AY$69,$AZ$69,$BA$69)</f>
        <v/>
      </c>
      <c r="AM93" s="177">
        <f>CHOOSE(MATCH($AP$2,{"Bull","Base","Bear"},0),$AY$70,$AZ$70,$BA$70)</f>
        <v/>
      </c>
      <c r="AN93" s="177">
        <f>CHOOSE(MATCH($AP$2,{"Bull","Base","Bear"},0),$AY$71,$AZ$71,$BA$71)</f>
        <v/>
      </c>
      <c r="AO93" s="177">
        <f>CHOOSE(MATCH($AP$2,{"Bull","Base","Bear"},0),$AY$72,$AZ$72,$BA$72)</f>
        <v/>
      </c>
      <c r="AP93" s="6" t="inlineStr">
        <is>
          <t>Historical = published Adjusted EBITDA ÷ net sales. Q3/Q4-26E: margin before calibration + Adjusted-EBITDA-outlook calibration Δ. 2027E–2030E: scenario lever (current portfolio).</t>
        </is>
      </c>
      <c r="AR93" s="39">
        <f>IFERROR(AVERAGE(AK93,AL93,AM93,AN93,AO93),"n/m")</f>
        <v/>
      </c>
      <c r="AS93" s="39">
        <f>IFERROR(AVERAGE(L93,Q93,V93,AA93,AF93),"n/m")</f>
        <v/>
      </c>
      <c r="AT93" s="39">
        <f>IFERROR(AVERAGE(G93,H93,I93,J93,K93,L93,Q93,V93,AA93,AF93),"n/m")</f>
        <v/>
      </c>
      <c r="AU93" s="39">
        <f>IFERROR(AVERAGE(C93,D93,E93,F93,G93,H93,I93,J93,K93,L93,Q93,V93,AA93,AF93),"n/m")</f>
        <v/>
      </c>
    </row>
    <row r="94" ht="15" customHeight="1">
      <c r="B94" s="26" t="inlineStr">
        <is>
          <t xml:space="preserve">  Adjusted EBITDA margin before outlook calibration % (Q3/Q4-26E helper)</t>
        </is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177">
        <f>AD93+((AG176+AH176)/(AG127+AH127)-(AB176+AC176)/(AB127+AC127))</f>
        <v/>
      </c>
      <c r="AJ94" s="177">
        <f>AE93+((AG176+AH176)/(AG127+AH127)-(AB176+AC176)/(AB127+AC127))</f>
        <v/>
      </c>
      <c r="AK94" s="25" t="n"/>
      <c r="AL94" s="25" t="n"/>
      <c r="AM94" s="25" t="n"/>
      <c r="AN94" s="25" t="n"/>
      <c r="AO94" s="25" t="n"/>
      <c r="AP94" s="6" t="inlineStr">
        <is>
          <t>Prior-year quarter margin + (1H/26 − 1H/25 Adjusted EBITDA margin drift: +2.5pts, LMB / Harper mix and value drivers).</t>
        </is>
      </c>
    </row>
    <row r="95" ht="15" customHeight="1">
      <c r="B95" s="59" t="inlineStr">
        <is>
          <t>Adjusted EBITDA (end-market build)</t>
        </is>
      </c>
      <c r="C95" s="196">
        <f>C176</f>
        <v/>
      </c>
      <c r="D95" s="196">
        <f>D176</f>
        <v/>
      </c>
      <c r="E95" s="196">
        <f>E176</f>
        <v/>
      </c>
      <c r="F95" s="196">
        <f>F176</f>
        <v/>
      </c>
      <c r="G95" s="196">
        <f>G176</f>
        <v/>
      </c>
      <c r="H95" s="196">
        <f>H176</f>
        <v/>
      </c>
      <c r="I95" s="196">
        <f>I176</f>
        <v/>
      </c>
      <c r="J95" s="196">
        <f>J176</f>
        <v/>
      </c>
      <c r="K95" s="196">
        <f>K176</f>
        <v/>
      </c>
      <c r="L95" s="196">
        <f>L176</f>
        <v/>
      </c>
      <c r="M95" s="196">
        <f>M176</f>
        <v/>
      </c>
      <c r="N95" s="196">
        <f>N176</f>
        <v/>
      </c>
      <c r="O95" s="196">
        <f>O176</f>
        <v/>
      </c>
      <c r="P95" s="196">
        <f>P176</f>
        <v/>
      </c>
      <c r="Q95" s="196">
        <f>Q176</f>
        <v/>
      </c>
      <c r="R95" s="196">
        <f>R176</f>
        <v/>
      </c>
      <c r="S95" s="196">
        <f>S176</f>
        <v/>
      </c>
      <c r="T95" s="196">
        <f>T176</f>
        <v/>
      </c>
      <c r="U95" s="196">
        <f>U176</f>
        <v/>
      </c>
      <c r="V95" s="196">
        <f>V176</f>
        <v/>
      </c>
      <c r="W95" s="196">
        <f>W176</f>
        <v/>
      </c>
      <c r="X95" s="196">
        <f>X176</f>
        <v/>
      </c>
      <c r="Y95" s="196">
        <f>Y176</f>
        <v/>
      </c>
      <c r="Z95" s="196">
        <f>Z176</f>
        <v/>
      </c>
      <c r="AA95" s="196">
        <f>AA176</f>
        <v/>
      </c>
      <c r="AB95" s="196">
        <f>AB176</f>
        <v/>
      </c>
      <c r="AC95" s="196">
        <f>AC176</f>
        <v/>
      </c>
      <c r="AD95" s="196">
        <f>AD176</f>
        <v/>
      </c>
      <c r="AE95" s="196">
        <f>AE176</f>
        <v/>
      </c>
      <c r="AF95" s="196">
        <f>AF176</f>
        <v/>
      </c>
      <c r="AG95" s="196">
        <f>AG176</f>
        <v/>
      </c>
      <c r="AH95" s="196">
        <f>AH176</f>
        <v/>
      </c>
      <c r="AI95" s="196">
        <f>AI127*AI93</f>
        <v/>
      </c>
      <c r="AJ95" s="196">
        <f>AJ127*AJ93</f>
        <v/>
      </c>
      <c r="AK95" s="196">
        <f>SUM(AG95,AH95,AI95,AJ95)</f>
        <v/>
      </c>
      <c r="AL95" s="196">
        <f>(AL127-AL80)*AL93+AL82</f>
        <v/>
      </c>
      <c r="AM95" s="196">
        <f>(AM127-AM80)*AM93+AM82</f>
        <v/>
      </c>
      <c r="AN95" s="196">
        <f>(AN127-AN80)*AN93+AN82</f>
        <v/>
      </c>
      <c r="AO95" s="196">
        <f>(AO127-AO80)*AO93+AO82</f>
        <v/>
      </c>
      <c r="AP95" s="6" t="inlineStr">
        <is>
          <t>Loar's primary profit KPI and guidance metric. Forecast = net sales × Adjusted EBITDA margin (+ future acquisitions' EBITDA). Drives the GAAP P&amp;L below.</t>
        </is>
      </c>
      <c r="AR95" s="21">
        <f>IFERROR((AO95/AF95)^(1/5)-1,"n/m")</f>
        <v/>
      </c>
      <c r="AS95" s="21">
        <f>IFERROR((AF95/K95)^(1/5)-1,"n/m")</f>
        <v/>
      </c>
      <c r="AT95" s="21">
        <f>IFERROR((AF95/F95)^(1/10)-1,"n/m")</f>
        <v/>
      </c>
      <c r="AU95" s="21">
        <f>IFERROR((AF95/C95)^(1/13)-1,"n/m")</f>
        <v/>
      </c>
    </row>
    <row r="96" ht="15" customHeight="1">
      <c r="B96" s="23" t="inlineStr">
        <is>
          <t xml:space="preserve">  Adjusted EBITDA y/y %</t>
        </is>
      </c>
      <c r="C96" s="24" t="n"/>
      <c r="D96" s="176">
        <f>IF(AND(ISNUMBER(D95),ISNUMBER(C95)),IFERROR(D95/C95-1,""),"")</f>
        <v/>
      </c>
      <c r="E96" s="176">
        <f>IF(AND(ISNUMBER(E95),ISNUMBER(D95)),IFERROR(E95/D95-1,""),"")</f>
        <v/>
      </c>
      <c r="F96" s="176">
        <f>IF(AND(ISNUMBER(F95),ISNUMBER(E95)),IFERROR(F95/E95-1,""),"")</f>
        <v/>
      </c>
      <c r="G96" s="176">
        <f>IF(AND(ISNUMBER(G95),ISNUMBER(F95)),IFERROR(G95/F95-1,""),"")</f>
        <v/>
      </c>
      <c r="H96" s="176">
        <f>IF(AND(ISNUMBER(H95),ISNUMBER(G95)),IFERROR(H95/G95-1,""),"")</f>
        <v/>
      </c>
      <c r="I96" s="176">
        <f>IF(AND(ISNUMBER(I95),ISNUMBER(H95)),IFERROR(I95/H95-1,""),"")</f>
        <v/>
      </c>
      <c r="J96" s="176">
        <f>IF(AND(ISNUMBER(J95),ISNUMBER(I95)),IFERROR(J95/I95-1,""),"")</f>
        <v/>
      </c>
      <c r="K96" s="176">
        <f>IF(AND(ISNUMBER(K95),ISNUMBER(J95)),IFERROR(K95/J95-1,""),"")</f>
        <v/>
      </c>
      <c r="L96" s="176">
        <f>IF(AND(ISNUMBER(L95),ISNUMBER(K95)),IFERROR(L95/K95-1,""),"")</f>
        <v/>
      </c>
      <c r="M96" s="24" t="n"/>
      <c r="N96" s="24" t="n"/>
      <c r="O96" s="24" t="n"/>
      <c r="P96" s="24" t="n"/>
      <c r="Q96" s="176">
        <f>IF(AND(ISNUMBER(Q95),ISNUMBER(L95)),IFERROR(Q95/L95-1,""),"")</f>
        <v/>
      </c>
      <c r="R96" s="176">
        <f>IF(AND(ISNUMBER(R95),ISNUMBER(M95)),IFERROR(R95/M95-1,""),"")</f>
        <v/>
      </c>
      <c r="S96" s="176">
        <f>IF(AND(ISNUMBER(S95),ISNUMBER(N95)),IFERROR(S95/N95-1,""),"")</f>
        <v/>
      </c>
      <c r="T96" s="176">
        <f>IF(AND(ISNUMBER(T95),ISNUMBER(O95)),IFERROR(T95/O95-1,""),"")</f>
        <v/>
      </c>
      <c r="U96" s="176">
        <f>IF(AND(ISNUMBER(U95),ISNUMBER(P95)),IFERROR(U95/P95-1,""),"")</f>
        <v/>
      </c>
      <c r="V96" s="176">
        <f>IF(AND(ISNUMBER(V95),ISNUMBER(Q95)),IFERROR(V95/Q95-1,""),"")</f>
        <v/>
      </c>
      <c r="W96" s="176">
        <f>IF(AND(ISNUMBER(W95),ISNUMBER(R95)),IFERROR(W95/R95-1,""),"")</f>
        <v/>
      </c>
      <c r="X96" s="176">
        <f>IF(AND(ISNUMBER(X95),ISNUMBER(S95)),IFERROR(X95/S95-1,""),"")</f>
        <v/>
      </c>
      <c r="Y96" s="176">
        <f>IF(AND(ISNUMBER(Y95),ISNUMBER(T95)),IFERROR(Y95/T95-1,""),"")</f>
        <v/>
      </c>
      <c r="Z96" s="176">
        <f>IF(AND(ISNUMBER(Z95),ISNUMBER(U95)),IFERROR(Z95/U95-1,""),"")</f>
        <v/>
      </c>
      <c r="AA96" s="176">
        <f>IF(AND(ISNUMBER(AA95),ISNUMBER(V95)),IFERROR(AA95/V95-1,""),"")</f>
        <v/>
      </c>
      <c r="AB96" s="176">
        <f>IF(AND(ISNUMBER(AB95),ISNUMBER(W95)),IFERROR(AB95/W95-1,""),"")</f>
        <v/>
      </c>
      <c r="AC96" s="176">
        <f>IF(AND(ISNUMBER(AC95),ISNUMBER(X95)),IFERROR(AC95/X95-1,""),"")</f>
        <v/>
      </c>
      <c r="AD96" s="176">
        <f>IF(AND(ISNUMBER(AD95),ISNUMBER(Y95)),IFERROR(AD95/Y95-1,""),"")</f>
        <v/>
      </c>
      <c r="AE96" s="176">
        <f>IF(AND(ISNUMBER(AE95),ISNUMBER(Z95)),IFERROR(AE95/Z95-1,""),"")</f>
        <v/>
      </c>
      <c r="AF96" s="176">
        <f>IF(AND(ISNUMBER(AF95),ISNUMBER(AA95)),IFERROR(AF95/AA95-1,""),"")</f>
        <v/>
      </c>
      <c r="AG96" s="176">
        <f>IF(AND(ISNUMBER(AG95),ISNUMBER(AB95)),IFERROR(AG95/AB95-1,""),"")</f>
        <v/>
      </c>
      <c r="AH96" s="176">
        <f>IF(AND(ISNUMBER(AH95),ISNUMBER(AC95)),IFERROR(AH95/AC95-1,""),"")</f>
        <v/>
      </c>
      <c r="AI96" s="177">
        <f>IF(AND(ISNUMBER(AI95),ISNUMBER(AD95)),IFERROR(AI95/AD95-1,""),"")</f>
        <v/>
      </c>
      <c r="AJ96" s="177">
        <f>IF(AND(ISNUMBER(AJ95),ISNUMBER(AE95)),IFERROR(AJ95/AE95-1,""),"")</f>
        <v/>
      </c>
      <c r="AK96" s="177">
        <f>IF(AND(ISNUMBER(AK95),ISNUMBER(AF95)),IFERROR(AK95/AF95-1,""),"")</f>
        <v/>
      </c>
      <c r="AL96" s="177">
        <f>IF(AND(ISNUMBER(AL95),ISNUMBER(AK95)),IFERROR(AL95/AK95-1,""),"")</f>
        <v/>
      </c>
      <c r="AM96" s="177">
        <f>IF(AND(ISNUMBER(AM95),ISNUMBER(AL95)),IFERROR(AM95/AL95-1,""),"")</f>
        <v/>
      </c>
      <c r="AN96" s="177">
        <f>IF(AND(ISNUMBER(AN95),ISNUMBER(AM95)),IFERROR(AN95/AM95-1,""),"")</f>
        <v/>
      </c>
      <c r="AO96" s="177">
        <f>IF(AND(ISNUMBER(AO95),ISNUMBER(AN95)),IFERROR(AO95/AN95-1,""),"")</f>
        <v/>
      </c>
      <c r="AP96" s="6" t="n"/>
    </row>
    <row r="97" ht="15" customHeight="1">
      <c r="B97" s="61" t="inlineStr">
        <is>
          <t xml:space="preserve">  Check: build vs Adjusted EBITDA bridge (should be 0)</t>
        </is>
      </c>
      <c r="C97" s="186">
        <f>IF(AND(ISNUMBER(C95),ISNUMBER(C174)),ROUND(C95-C174,1),"")</f>
        <v/>
      </c>
      <c r="D97" s="186">
        <f>IF(AND(ISNUMBER(D95),ISNUMBER(D174)),ROUND(D95-D174,1),"")</f>
        <v/>
      </c>
      <c r="E97" s="186">
        <f>IF(AND(ISNUMBER(E95),ISNUMBER(E174)),ROUND(E95-E174,1),"")</f>
        <v/>
      </c>
      <c r="F97" s="186">
        <f>IF(AND(ISNUMBER(F95),ISNUMBER(F174)),ROUND(F95-F174,1),"")</f>
        <v/>
      </c>
      <c r="G97" s="186">
        <f>IF(AND(ISNUMBER(G95),ISNUMBER(G174)),ROUND(G95-G174,1),"")</f>
        <v/>
      </c>
      <c r="H97" s="186">
        <f>IF(AND(ISNUMBER(H95),ISNUMBER(H174)),ROUND(H95-H174,1),"")</f>
        <v/>
      </c>
      <c r="I97" s="186">
        <f>IF(AND(ISNUMBER(I95),ISNUMBER(I174)),ROUND(I95-I174,1),"")</f>
        <v/>
      </c>
      <c r="J97" s="186">
        <f>IF(AND(ISNUMBER(J95),ISNUMBER(J174)),ROUND(J95-J174,1),"")</f>
        <v/>
      </c>
      <c r="K97" s="186">
        <f>IF(AND(ISNUMBER(K95),ISNUMBER(K174)),ROUND(K95-K174,1),"")</f>
        <v/>
      </c>
      <c r="L97" s="186">
        <f>IF(AND(ISNUMBER(L95),ISNUMBER(L174)),ROUND(L95-L174,1),"")</f>
        <v/>
      </c>
      <c r="M97" s="186">
        <f>IF(AND(ISNUMBER(M95),ISNUMBER(M174)),ROUND(M95-M174,1),"")</f>
        <v/>
      </c>
      <c r="N97" s="186">
        <f>IF(AND(ISNUMBER(N95),ISNUMBER(N174)),ROUND(N95-N174,1),"")</f>
        <v/>
      </c>
      <c r="O97" s="186">
        <f>IF(AND(ISNUMBER(O95),ISNUMBER(O174)),ROUND(O95-O174,1),"")</f>
        <v/>
      </c>
      <c r="P97" s="186">
        <f>IF(AND(ISNUMBER(P95),ISNUMBER(P174)),ROUND(P95-P174,1),"")</f>
        <v/>
      </c>
      <c r="Q97" s="186">
        <f>IF(AND(ISNUMBER(Q95),ISNUMBER(Q174)),ROUND(Q95-Q174,1),"")</f>
        <v/>
      </c>
      <c r="R97" s="186">
        <f>IF(AND(ISNUMBER(R95),ISNUMBER(R174)),ROUND(R95-R174,1),"")</f>
        <v/>
      </c>
      <c r="S97" s="186">
        <f>IF(AND(ISNUMBER(S95),ISNUMBER(S174)),ROUND(S95-S174,1),"")</f>
        <v/>
      </c>
      <c r="T97" s="186">
        <f>IF(AND(ISNUMBER(T95),ISNUMBER(T174)),ROUND(T95-T174,1),"")</f>
        <v/>
      </c>
      <c r="U97" s="186">
        <f>IF(AND(ISNUMBER(U95),ISNUMBER(U174)),ROUND(U95-U174,1),"")</f>
        <v/>
      </c>
      <c r="V97" s="186">
        <f>IF(AND(ISNUMBER(V95),ISNUMBER(V174)),ROUND(V95-V174,1),"")</f>
        <v/>
      </c>
      <c r="W97" s="186">
        <f>IF(AND(ISNUMBER(W95),ISNUMBER(W174)),ROUND(W95-W174,1),"")</f>
        <v/>
      </c>
      <c r="X97" s="186">
        <f>IF(AND(ISNUMBER(X95),ISNUMBER(X174)),ROUND(X95-X174,1),"")</f>
        <v/>
      </c>
      <c r="Y97" s="186">
        <f>IF(AND(ISNUMBER(Y95),ISNUMBER(Y174)),ROUND(Y95-Y174,1),"")</f>
        <v/>
      </c>
      <c r="Z97" s="186">
        <f>IF(AND(ISNUMBER(Z95),ISNUMBER(Z174)),ROUND(Z95-Z174,1),"")</f>
        <v/>
      </c>
      <c r="AA97" s="186">
        <f>IF(AND(ISNUMBER(AA95),ISNUMBER(AA174)),ROUND(AA95-AA174,1),"")</f>
        <v/>
      </c>
      <c r="AB97" s="186">
        <f>IF(AND(ISNUMBER(AB95),ISNUMBER(AB174)),ROUND(AB95-AB174,1),"")</f>
        <v/>
      </c>
      <c r="AC97" s="186">
        <f>IF(AND(ISNUMBER(AC95),ISNUMBER(AC174)),ROUND(AC95-AC174,1),"")</f>
        <v/>
      </c>
      <c r="AD97" s="186">
        <f>IF(AND(ISNUMBER(AD95),ISNUMBER(AD174)),ROUND(AD95-AD174,1),"")</f>
        <v/>
      </c>
      <c r="AE97" s="186">
        <f>IF(AND(ISNUMBER(AE95),ISNUMBER(AE174)),ROUND(AE95-AE174,1),"")</f>
        <v/>
      </c>
      <c r="AF97" s="186">
        <f>IF(AND(ISNUMBER(AF95),ISNUMBER(AF174)),ROUND(AF95-AF174,1),"")</f>
        <v/>
      </c>
      <c r="AG97" s="186">
        <f>IF(AND(ISNUMBER(AG95),ISNUMBER(AG174)),ROUND(AG95-AG174,1),"")</f>
        <v/>
      </c>
      <c r="AH97" s="186">
        <f>IF(AND(ISNUMBER(AH95),ISNUMBER(AH174)),ROUND(AH95-AH174,1),"")</f>
        <v/>
      </c>
      <c r="AI97" s="197">
        <f>IF(AND(ISNUMBER(AI95),ISNUMBER(AI174)),ROUND(AI95-AI174,1),"")</f>
        <v/>
      </c>
      <c r="AJ97" s="197">
        <f>IF(AND(ISNUMBER(AJ95),ISNUMBER(AJ174)),ROUND(AJ95-AJ174,1),"")</f>
        <v/>
      </c>
      <c r="AK97" s="197">
        <f>IF(AND(ISNUMBER(AK95),ISNUMBER(AK174)),ROUND(AK95-AK174,1),"")</f>
        <v/>
      </c>
      <c r="AL97" s="197">
        <f>IF(AND(ISNUMBER(AL95),ISNUMBER(AL174)),ROUND(AL95-AL174,1),"")</f>
        <v/>
      </c>
      <c r="AM97" s="197">
        <f>IF(AND(ISNUMBER(AM95),ISNUMBER(AM174)),ROUND(AM95-AM174,1),"")</f>
        <v/>
      </c>
      <c r="AN97" s="197">
        <f>IF(AND(ISNUMBER(AN95),ISNUMBER(AN174)),ROUND(AN95-AN174,1),"")</f>
        <v/>
      </c>
      <c r="AO97" s="197">
        <f>IF(AND(ISNUMBER(AO95),ISNUMBER(AO174)),ROUND(AO95-AO174,1),"")</f>
        <v/>
      </c>
      <c r="AP97" s="6" t="n"/>
    </row>
    <row r="98" ht="15" customHeight="1">
      <c r="B98" s="42" t="inlineStr">
        <is>
          <t xml:space="preserve">  Memo: FY26 net sales guidance (scenario end-point)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6" t="n"/>
      <c r="AJ98" s="6" t="n"/>
      <c r="AK98" s="197">
        <f>CHOOSE(MATCH($AP$2,{"Bull","Base","Bear"},0),$AY$12,$AZ$12,$BA$12)</f>
        <v/>
      </c>
      <c r="AL98" s="6" t="n"/>
      <c r="AM98" s="6" t="n"/>
      <c r="AN98" s="6" t="n"/>
      <c r="AO98" s="6" t="n"/>
      <c r="AP98" s="6" t="inlineStr">
        <is>
          <t>Company FY26 net sales guidance $665–675m (raised in the Q2-26 release, 6-Aug-2026). Drives the revenue-outlook calibration.</t>
        </is>
      </c>
    </row>
    <row r="99" ht="15" customHeight="1">
      <c r="B99" s="26" t="inlineStr">
        <is>
          <t xml:space="preserve">  Net sales before revenue calibration (Q3/Q4-26E helper)</t>
        </is>
      </c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175">
        <f>AD11*(1+AI13)+AD14*(1+AI16)+AD23*(1+AI25)+AD26*(1+AI28)+AD35*(1+AI37)+AD38*(1+AI40)+AD47*(1+AI49)+AD50*(1+AI52)</f>
        <v/>
      </c>
      <c r="AJ99" s="175">
        <f>AE11*(1+AJ13)+AE14*(1+AJ16)+AE23*(1+AJ25)+AE26*(1+AJ28)+AE35*(1+AJ37)+AE38*(1+AJ40)+AE47*(1+AJ49)+AE50*(1+AJ52)</f>
        <v/>
      </c>
      <c r="AK99" s="37" t="n"/>
      <c r="AL99" s="37" t="n"/>
      <c r="AM99" s="37" t="n"/>
      <c r="AN99" s="37" t="n"/>
      <c r="AO99" s="37" t="n"/>
      <c r="AP99" s="20" t="n"/>
    </row>
    <row r="100" ht="15" customHeight="1">
      <c r="B100" s="26" t="inlineStr">
        <is>
          <t xml:space="preserve">  Net sales sensitivity to +1.00 of growth (Q3/Q4-26E helper)</t>
        </is>
      </c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175">
        <f>AD11+AD14+AD23+AD26+AD35+AD38+AD47+AD50</f>
        <v/>
      </c>
      <c r="AJ100" s="175">
        <f>AE11+AE14+AE23+AE26+AE35+AE38+AE47+AE50</f>
        <v/>
      </c>
      <c r="AK100" s="37" t="n"/>
      <c r="AL100" s="37" t="n"/>
      <c r="AM100" s="37" t="n"/>
      <c r="AN100" s="37" t="n"/>
      <c r="AO100" s="37" t="n"/>
      <c r="AP100" s="20" t="n"/>
    </row>
    <row r="101" ht="15" customHeight="1">
      <c r="B101" s="26" t="inlineStr">
        <is>
          <t xml:space="preserve">  Outlook calibration: Δ y/y growth applied to all end-market lines (Q3/Q4-26E)</t>
        </is>
      </c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177">
        <f>(AK98-AG90-AH90-AI99-AJ99)/(AI100+AJ100)</f>
        <v/>
      </c>
      <c r="AJ101" s="177">
        <f>$AI$101</f>
        <v/>
      </c>
      <c r="AK101" s="25" t="n"/>
      <c r="AL101" s="49" t="n"/>
      <c r="AM101" s="49" t="n"/>
      <c r="AN101" s="49" t="n"/>
      <c r="AO101" s="49" t="n"/>
      <c r="AP101" s="20" t="inlineStr">
        <is>
          <t>Solves the uniform growth shift (vs 1H/26 y/y rates) so that FY26 net sales = the FY26 guidance end-point for the active scenario.</t>
        </is>
      </c>
    </row>
    <row r="102" ht="15" customHeight="1">
      <c r="B102" s="61" t="inlineStr">
        <is>
          <t xml:space="preserve">  Check: FY26 net sales vs guidance end-point (should be 0)</t>
        </is>
      </c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6" t="n"/>
      <c r="AJ102" s="6" t="n"/>
      <c r="AK102" s="197">
        <f>ROUND(AK90-AK98,1)</f>
        <v/>
      </c>
      <c r="AL102" s="6" t="n"/>
      <c r="AM102" s="6" t="n"/>
      <c r="AN102" s="6" t="n"/>
      <c r="AO102" s="6" t="n"/>
      <c r="AP102" s="6" t="n"/>
    </row>
    <row r="103" ht="15" customHeight="1">
      <c r="B103" s="42" t="inlineStr">
        <is>
          <t xml:space="preserve">  Memo: FY26 Adjusted EBITDA guidance (scenario end-point)</t>
        </is>
      </c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6" t="n"/>
      <c r="AJ103" s="6" t="n"/>
      <c r="AK103" s="197">
        <f>CHOOSE(MATCH($AP$2,{"Bull","Base","Bear"},0),$AY$13,$AZ$13,$BA$13)</f>
        <v/>
      </c>
      <c r="AL103" s="6" t="n"/>
      <c r="AM103" s="6" t="n"/>
      <c r="AN103" s="6" t="n"/>
      <c r="AO103" s="6" t="n"/>
      <c r="AP103" s="6" t="inlineStr">
        <is>
          <t>Company FY26 Adjusted EBITDA guidance $265–270m (raised in the Q2-26 release). Drives the margin calibration.</t>
        </is>
      </c>
    </row>
    <row r="104" ht="15" customHeight="1">
      <c r="B104" s="26" t="inlineStr">
        <is>
          <t xml:space="preserve">  Adjusted EBITDA before margin calibration (Q3/Q4-26E helper)</t>
        </is>
      </c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175">
        <f>AI127*AI94</f>
        <v/>
      </c>
      <c r="AJ104" s="175">
        <f>AJ127*AJ94</f>
        <v/>
      </c>
      <c r="AK104" s="37" t="n"/>
      <c r="AL104" s="37" t="n"/>
      <c r="AM104" s="37" t="n"/>
      <c r="AN104" s="37" t="n"/>
      <c r="AO104" s="37" t="n"/>
      <c r="AP104" s="20" t="n"/>
    </row>
    <row r="105" ht="15" customHeight="1">
      <c r="B105" s="26" t="inlineStr">
        <is>
          <t xml:space="preserve">  Outlook calibration: Δ Adjusted EBITDA margin (Q3/Q4-26E)</t>
        </is>
      </c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177">
        <f>(AK103-AG95-AH95-AI104-AJ104)/(AI127+AJ127)</f>
        <v/>
      </c>
      <c r="AJ105" s="177">
        <f>$AI$105</f>
        <v/>
      </c>
      <c r="AK105" s="25" t="n"/>
      <c r="AL105" s="49" t="n"/>
      <c r="AM105" s="49" t="n"/>
      <c r="AN105" s="49" t="n"/>
      <c r="AO105" s="49" t="n"/>
      <c r="AP105" s="20" t="inlineStr">
        <is>
          <t>Solves the uniform margin shift so that FY26 Adjusted EBITDA = the guidance end-point for the active scenario.</t>
        </is>
      </c>
    </row>
    <row r="106" ht="15" customHeight="1">
      <c r="B106" s="61" t="inlineStr">
        <is>
          <t xml:space="preserve">  Check: FY26 Adjusted EBITDA vs guidance end-point (should be 0)</t>
        </is>
      </c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6" t="n"/>
      <c r="AJ106" s="6" t="n"/>
      <c r="AK106" s="197">
        <f>ROUND(AK95-AK103,1)</f>
        <v/>
      </c>
      <c r="AL106" s="6" t="n"/>
      <c r="AM106" s="6" t="n"/>
      <c r="AN106" s="6" t="n"/>
      <c r="AO106" s="6" t="n"/>
      <c r="AP106" s="6" t="n"/>
    </row>
    <row r="107" ht="15" customHeight="1">
      <c r="B107" s="42" t="inlineStr">
        <is>
          <t xml:space="preserve">  Memo: FY26 net income guidance (scenario end-point) — model net income − guidance shown in the next row</t>
        </is>
      </c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6" t="n"/>
      <c r="AJ107" s="6" t="n"/>
      <c r="AK107" s="197">
        <f>CHOOSE(MATCH($AP$2,{"Bull","Base","Bear"},0),$AY$14,$AZ$14,$BA$14)</f>
        <v/>
      </c>
      <c r="AL107" s="6" t="n"/>
      <c r="AM107" s="6" t="n"/>
      <c r="AN107" s="6" t="n"/>
      <c r="AO107" s="6" t="n"/>
      <c r="AP107" s="6" t="inlineStr">
        <is>
          <t>Not calibrated: net income follows from the guided D&amp;A, interest and the tax-rate point estimate.</t>
        </is>
      </c>
    </row>
    <row r="108" ht="15" customHeight="1">
      <c r="B108" s="42" t="inlineStr">
        <is>
          <t xml:space="preserve">  Model FY26 net income − guidance end-point (information; not forced to 0)</t>
        </is>
      </c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37" t="n"/>
      <c r="AJ108" s="37" t="n"/>
      <c r="AK108" s="175">
        <f>AK141-AK107</f>
        <v/>
      </c>
      <c r="AL108" s="37" t="n"/>
      <c r="AM108" s="37" t="n"/>
      <c r="AN108" s="37" t="n"/>
      <c r="AO108" s="37" t="n"/>
      <c r="AP108" s="6" t="n"/>
    </row>
    <row r="109" ht="15" customHeight="1">
      <c r="B109" s="42" t="inlineStr">
        <is>
          <t xml:space="preserve">  Memo: FY26 Adjusted EPS guidance (scenario end-point, $)</t>
        </is>
      </c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6" t="n"/>
      <c r="AJ109" s="6" t="n"/>
      <c r="AK109" s="198">
        <f>CHOOSE(MATCH($AP$2,{"Bull","Base","Bear"},0),$AY$15,$AZ$15,$BA$15)</f>
        <v/>
      </c>
      <c r="AL109" s="6" t="n"/>
      <c r="AM109" s="6" t="n"/>
      <c r="AN109" s="6" t="n"/>
      <c r="AO109" s="6" t="n"/>
      <c r="AP109" s="6" t="n"/>
    </row>
    <row r="110" ht="15" customHeight="1">
      <c r="B110" s="42" t="inlineStr">
        <is>
          <t xml:space="preserve">  Model FY26 Adjusted EPS − guidance end-point ($; information)</t>
        </is>
      </c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6" t="n"/>
      <c r="AJ110" s="6" t="n"/>
      <c r="AK110" s="198">
        <f>AK204-AK109</f>
        <v/>
      </c>
      <c r="AL110" s="6" t="n"/>
      <c r="AM110" s="6" t="n"/>
      <c r="AN110" s="6" t="n"/>
      <c r="AO110" s="6" t="n"/>
      <c r="AP110" s="6" t="n"/>
    </row>
    <row r="111" ht="15" customHeight="1">
      <c r="AX111" s="12" t="n"/>
      <c r="AY111" s="13" t="n"/>
      <c r="AZ111" s="13" t="n"/>
      <c r="BA111" s="13" t="n"/>
      <c r="BB111" s="14" t="n"/>
    </row>
    <row r="112" ht="15" customHeight="1">
      <c r="B112" s="15" t="inlineStr">
        <is>
          <t>Cost drivers &amp; D&amp;A</t>
        </is>
      </c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6" t="inlineStr">
        <is>
          <t>COST DRIVERS — inputs that drive forecast cost lines (Q3/Q4-26E: FY26 guidance point estimates less 1H/26)</t>
        </is>
      </c>
    </row>
    <row r="113" ht="15" customHeight="1">
      <c r="B113" s="26" t="inlineStr">
        <is>
          <t xml:space="preserve">  Depreciation</t>
        </is>
      </c>
      <c r="C113" s="174" t="n">
        <v>0.399</v>
      </c>
      <c r="D113" s="174" t="n">
        <v>1.416</v>
      </c>
      <c r="E113" s="174" t="n">
        <v>2.028</v>
      </c>
      <c r="F113" s="174" t="n">
        <v>2.163</v>
      </c>
      <c r="G113" s="174" t="n">
        <v>5.073</v>
      </c>
      <c r="H113" s="174" t="n">
        <v>5.39</v>
      </c>
      <c r="I113" s="174" t="n">
        <v>7.256</v>
      </c>
      <c r="J113" s="174" t="n">
        <v>7.879</v>
      </c>
      <c r="K113" s="174" t="n">
        <v>8.622</v>
      </c>
      <c r="L113" s="174" t="n">
        <v>9.143000000000001</v>
      </c>
      <c r="M113" s="174" t="n">
        <v>2.281</v>
      </c>
      <c r="N113" s="174" t="n">
        <v>2.187</v>
      </c>
      <c r="O113" s="174" t="n">
        <v>2.115</v>
      </c>
      <c r="P113" s="174" t="n">
        <v>2.299</v>
      </c>
      <c r="Q113" s="174" t="n">
        <v>8.882</v>
      </c>
      <c r="R113" s="174" t="n">
        <v>2.446</v>
      </c>
      <c r="S113" s="174" t="n">
        <v>2.537</v>
      </c>
      <c r="T113" s="174" t="n">
        <v>2.314</v>
      </c>
      <c r="U113" s="174" t="n">
        <v>2.641</v>
      </c>
      <c r="V113" s="174" t="n">
        <v>9.938000000000001</v>
      </c>
      <c r="W113" s="174" t="n">
        <v>2.678</v>
      </c>
      <c r="X113" s="174" t="n">
        <v>2.73</v>
      </c>
      <c r="Y113" s="174" t="n">
        <v>2.775</v>
      </c>
      <c r="Z113" s="174" t="n">
        <v>3.061</v>
      </c>
      <c r="AA113" s="174" t="n">
        <v>11.244</v>
      </c>
      <c r="AB113" s="174" t="n">
        <v>2.899</v>
      </c>
      <c r="AC113" s="174" t="n">
        <v>3.05</v>
      </c>
      <c r="AD113" s="174" t="n">
        <v>2.926</v>
      </c>
      <c r="AE113" s="174" t="n">
        <v>3.061</v>
      </c>
      <c r="AF113" s="174" t="n">
        <v>11.935</v>
      </c>
      <c r="AG113" s="174" t="n">
        <v>3.252</v>
      </c>
      <c r="AH113" s="174" t="n">
        <v>3.374</v>
      </c>
      <c r="AI113" s="175">
        <f>($AZ$20-(AG113+AH113))/2</f>
        <v/>
      </c>
      <c r="AJ113" s="175">
        <f>($AZ$20-(AG113+AH113))/2</f>
        <v/>
      </c>
      <c r="AK113" s="175">
        <f>SUM(AG113,AH113,AI113,AJ113)</f>
        <v/>
      </c>
      <c r="AL113" s="175">
        <f>AL127*AL114</f>
        <v/>
      </c>
      <c r="AM113" s="175">
        <f>AM127*AM114</f>
        <v/>
      </c>
      <c r="AN113" s="175">
        <f>AN127*AN114</f>
        <v/>
      </c>
      <c r="AO113" s="175">
        <f>AO127*AO114</f>
        <v/>
      </c>
      <c r="AP113" s="20" t="inlineStr">
        <is>
          <t>Q3/Q4-26E: FY26 guidance (~$15m) less 1H/26, split evenly. 2027E+: net sales × depreciation %.</t>
        </is>
      </c>
      <c r="AR113" s="21">
        <f>IFERROR((AO113/AF113)^(1/5)-1,"n/m")</f>
        <v/>
      </c>
      <c r="AS113" s="21">
        <f>IFERROR((AF113/K113)^(1/5)-1,"n/m")</f>
        <v/>
      </c>
      <c r="AT113" s="21">
        <f>IFERROR((AF113/F113)^(1/10)-1,"n/m")</f>
        <v/>
      </c>
      <c r="AU113" s="21">
        <f>IFERROR((AF113/C113)^(1/13)-1,"n/m")</f>
        <v/>
      </c>
    </row>
    <row r="114" ht="15" customHeight="1">
      <c r="B114" s="26" t="inlineStr">
        <is>
          <t xml:space="preserve">  Depreciation % of net sales</t>
        </is>
      </c>
      <c r="C114" s="183">
        <f>IF(AND(ISNUMBER(C113),ISNUMBER(C127)),IFERROR(C113/C127,""),"")</f>
        <v/>
      </c>
      <c r="D114" s="183">
        <f>IF(AND(ISNUMBER(D113),ISNUMBER(D127)),IFERROR(D113/D127,""),"")</f>
        <v/>
      </c>
      <c r="E114" s="183">
        <f>IF(AND(ISNUMBER(E113),ISNUMBER(E127)),IFERROR(E113/E127,""),"")</f>
        <v/>
      </c>
      <c r="F114" s="183">
        <f>IF(AND(ISNUMBER(F113),ISNUMBER(F127)),IFERROR(F113/F127,""),"")</f>
        <v/>
      </c>
      <c r="G114" s="183">
        <f>IF(AND(ISNUMBER(G113),ISNUMBER(G127)),IFERROR(G113/G127,""),"")</f>
        <v/>
      </c>
      <c r="H114" s="183">
        <f>IF(AND(ISNUMBER(H113),ISNUMBER(H127)),IFERROR(H113/H127,""),"")</f>
        <v/>
      </c>
      <c r="I114" s="183">
        <f>IF(AND(ISNUMBER(I113),ISNUMBER(I127)),IFERROR(I113/I127,""),"")</f>
        <v/>
      </c>
      <c r="J114" s="183">
        <f>IF(AND(ISNUMBER(J113),ISNUMBER(J127)),IFERROR(J113/J127,""),"")</f>
        <v/>
      </c>
      <c r="K114" s="183">
        <f>IF(AND(ISNUMBER(K113),ISNUMBER(K127)),IFERROR(K113/K127,""),"")</f>
        <v/>
      </c>
      <c r="L114" s="183">
        <f>IF(AND(ISNUMBER(L113),ISNUMBER(L127)),IFERROR(L113/L127,""),"")</f>
        <v/>
      </c>
      <c r="M114" s="183">
        <f>IF(AND(ISNUMBER(M113),ISNUMBER(M127)),IFERROR(M113/M127,""),"")</f>
        <v/>
      </c>
      <c r="N114" s="183">
        <f>IF(AND(ISNUMBER(N113),ISNUMBER(N127)),IFERROR(N113/N127,""),"")</f>
        <v/>
      </c>
      <c r="O114" s="183">
        <f>IF(AND(ISNUMBER(O113),ISNUMBER(O127)),IFERROR(O113/O127,""),"")</f>
        <v/>
      </c>
      <c r="P114" s="183">
        <f>IF(AND(ISNUMBER(P113),ISNUMBER(P127)),IFERROR(P113/P127,""),"")</f>
        <v/>
      </c>
      <c r="Q114" s="183">
        <f>IF(AND(ISNUMBER(Q113),ISNUMBER(Q127)),IFERROR(Q113/Q127,""),"")</f>
        <v/>
      </c>
      <c r="R114" s="183">
        <f>IF(AND(ISNUMBER(R113),ISNUMBER(R127)),IFERROR(R113/R127,""),"")</f>
        <v/>
      </c>
      <c r="S114" s="183">
        <f>IF(AND(ISNUMBER(S113),ISNUMBER(S127)),IFERROR(S113/S127,""),"")</f>
        <v/>
      </c>
      <c r="T114" s="183">
        <f>IF(AND(ISNUMBER(T113),ISNUMBER(T127)),IFERROR(T113/T127,""),"")</f>
        <v/>
      </c>
      <c r="U114" s="183">
        <f>IF(AND(ISNUMBER(U113),ISNUMBER(U127)),IFERROR(U113/U127,""),"")</f>
        <v/>
      </c>
      <c r="V114" s="183">
        <f>IF(AND(ISNUMBER(V113),ISNUMBER(V127)),IFERROR(V113/V127,""),"")</f>
        <v/>
      </c>
      <c r="W114" s="183">
        <f>IF(AND(ISNUMBER(W113),ISNUMBER(W127)),IFERROR(W113/W127,""),"")</f>
        <v/>
      </c>
      <c r="X114" s="183">
        <f>IF(AND(ISNUMBER(X113),ISNUMBER(X127)),IFERROR(X113/X127,""),"")</f>
        <v/>
      </c>
      <c r="Y114" s="183">
        <f>IF(AND(ISNUMBER(Y113),ISNUMBER(Y127)),IFERROR(Y113/Y127,""),"")</f>
        <v/>
      </c>
      <c r="Z114" s="183">
        <f>IF(AND(ISNUMBER(Z113),ISNUMBER(Z127)),IFERROR(Z113/Z127,""),"")</f>
        <v/>
      </c>
      <c r="AA114" s="183">
        <f>IF(AND(ISNUMBER(AA113),ISNUMBER(AA127)),IFERROR(AA113/AA127,""),"")</f>
        <v/>
      </c>
      <c r="AB114" s="183">
        <f>IF(AND(ISNUMBER(AB113),ISNUMBER(AB127)),IFERROR(AB113/AB127,""),"")</f>
        <v/>
      </c>
      <c r="AC114" s="183">
        <f>IF(AND(ISNUMBER(AC113),ISNUMBER(AC127)),IFERROR(AC113/AC127,""),"")</f>
        <v/>
      </c>
      <c r="AD114" s="183">
        <f>IF(AND(ISNUMBER(AD113),ISNUMBER(AD127)),IFERROR(AD113/AD127,""),"")</f>
        <v/>
      </c>
      <c r="AE114" s="183">
        <f>IF(AND(ISNUMBER(AE113),ISNUMBER(AE127)),IFERROR(AE113/AE127,""),"")</f>
        <v/>
      </c>
      <c r="AF114" s="183">
        <f>IF(AND(ISNUMBER(AF113),ISNUMBER(AF127)),IFERROR(AF113/AF127,""),"")</f>
        <v/>
      </c>
      <c r="AG114" s="183">
        <f>IF(AND(ISNUMBER(AG113),ISNUMBER(AG127)),IFERROR(AG113/AG127,""),"")</f>
        <v/>
      </c>
      <c r="AH114" s="183">
        <f>IF(AND(ISNUMBER(AH113),ISNUMBER(AH127)),IFERROR(AH113/AH127,""),"")</f>
        <v/>
      </c>
      <c r="AI114" s="177">
        <f>IF(AND(ISNUMBER(AI113),ISNUMBER(AI127)),IFERROR(AI113/AI127,""),"")</f>
        <v/>
      </c>
      <c r="AJ114" s="177">
        <f>IF(AND(ISNUMBER(AJ113),ISNUMBER(AJ127)),IFERROR(AJ113/AJ127,""),"")</f>
        <v/>
      </c>
      <c r="AK114" s="177">
        <f>IF(AND(ISNUMBER(AK113),ISNUMBER(AK127)),IFERROR(AK113/AK127,""),"")</f>
        <v/>
      </c>
      <c r="AL114" s="192" t="n">
        <v>0.022</v>
      </c>
      <c r="AM114" s="192" t="n">
        <v>0.022</v>
      </c>
      <c r="AN114" s="192" t="n">
        <v>0.022</v>
      </c>
      <c r="AO114" s="192" t="n">
        <v>0.022</v>
      </c>
      <c r="AP114" s="6" t="n"/>
      <c r="AR114" s="39">
        <f>IFERROR(AVERAGE(AK114,AL114,AM114,AN114,AO114),"n/m")</f>
        <v/>
      </c>
      <c r="AS114" s="39">
        <f>IFERROR(AVERAGE(L114,Q114,V114,AA114,AF114),"n/m")</f>
        <v/>
      </c>
      <c r="AT114" s="39">
        <f>IFERROR(AVERAGE(G114,H114,I114,J114,K114,L114,Q114,V114,AA114,AF114),"n/m")</f>
        <v/>
      </c>
      <c r="AU114" s="39">
        <f>IFERROR(AVERAGE(C114,D114,E114,F114,G114,H114,I114,J114,K114,L114,Q114,V114,AA114,AF114),"n/m")</f>
        <v/>
      </c>
    </row>
    <row r="115" ht="15" customHeight="1">
      <c r="B115" s="26" t="inlineStr">
        <is>
          <t xml:space="preserve">  Amortization of intangible &amp; other long-term assets</t>
        </is>
      </c>
      <c r="C115" s="174" t="n">
        <v>0.8169999999999999</v>
      </c>
      <c r="D115" s="174" t="n">
        <v>1.385</v>
      </c>
      <c r="E115" s="174" t="n">
        <v>0.906</v>
      </c>
      <c r="F115" s="174" t="n">
        <v>1.246</v>
      </c>
      <c r="G115" s="174" t="n">
        <v>4.795</v>
      </c>
      <c r="H115" s="174" t="n">
        <v>8.398999999999999</v>
      </c>
      <c r="I115" s="174" t="n">
        <v>16.405</v>
      </c>
      <c r="J115" s="174" t="n">
        <v>21.919</v>
      </c>
      <c r="K115" s="174" t="n">
        <v>22.429</v>
      </c>
      <c r="L115" s="174" t="n">
        <v>23.55</v>
      </c>
      <c r="M115" s="174" t="n">
        <v>5.796</v>
      </c>
      <c r="N115" s="174" t="n">
        <v>5.775</v>
      </c>
      <c r="O115" s="174" t="n">
        <v>6.65</v>
      </c>
      <c r="P115" s="174" t="n">
        <v>6.853</v>
      </c>
      <c r="Q115" s="174" t="n">
        <v>25.074</v>
      </c>
      <c r="R115" s="174" t="n">
        <v>6.88</v>
      </c>
      <c r="S115" s="174" t="n">
        <v>6.888</v>
      </c>
      <c r="T115" s="174" t="n">
        <v>7.101</v>
      </c>
      <c r="U115" s="174" t="n">
        <v>7.217</v>
      </c>
      <c r="V115" s="174" t="n">
        <v>28.086</v>
      </c>
      <c r="W115" s="174" t="n">
        <v>7.265</v>
      </c>
      <c r="X115" s="174" t="n">
        <v>7.039</v>
      </c>
      <c r="Y115" s="174" t="n">
        <v>7.945</v>
      </c>
      <c r="Z115" s="174" t="n">
        <v>9.577</v>
      </c>
      <c r="AA115" s="174" t="n">
        <v>31.826</v>
      </c>
      <c r="AB115" s="174" t="n">
        <v>9.56</v>
      </c>
      <c r="AC115" s="174" t="n">
        <v>9.637</v>
      </c>
      <c r="AD115" s="174" t="n">
        <v>9.863</v>
      </c>
      <c r="AE115" s="174" t="n">
        <v>10.005</v>
      </c>
      <c r="AF115" s="174" t="n">
        <v>39.065</v>
      </c>
      <c r="AG115" s="174" t="n">
        <v>15.69</v>
      </c>
      <c r="AH115" s="174" t="n">
        <v>16.57</v>
      </c>
      <c r="AI115" s="175">
        <f>($AZ$21-(AG115+AH115))/2</f>
        <v/>
      </c>
      <c r="AJ115" s="175">
        <f>($AZ$21-(AG115+AH115))/2</f>
        <v/>
      </c>
      <c r="AK115" s="175">
        <f>SUM(AG115,AH115,AI115,AJ115)</f>
        <v/>
      </c>
      <c r="AL115" s="175">
        <f>AL116+N(AL87)</f>
        <v/>
      </c>
      <c r="AM115" s="175">
        <f>AM116+N(AM87)</f>
        <v/>
      </c>
      <c r="AN115" s="175">
        <f>AN116+N(AN87)</f>
        <v/>
      </c>
      <c r="AO115" s="175">
        <f>AO116+N(AO87)</f>
        <v/>
      </c>
      <c r="AP115" s="20" t="inlineStr">
        <is>
          <t>Q3/Q4-26E: FY26 guidance (~$65m) less 1H/26. 2027E+: existing-intangibles schedule (row below) + future-acquisition amortization. Charged mostly to SG&amp;A (2025: $34.2m of $38.5m).</t>
        </is>
      </c>
      <c r="AR115" s="21">
        <f>IFERROR((AO115/AF115)^(1/5)-1,"n/m")</f>
        <v/>
      </c>
      <c r="AS115" s="21">
        <f>IFERROR((AF115/K115)^(1/5)-1,"n/m")</f>
        <v/>
      </c>
      <c r="AT115" s="21">
        <f>IFERROR((AF115/F115)^(1/10)-1,"n/m")</f>
        <v/>
      </c>
      <c r="AU115" s="21">
        <f>IFERROR((AF115/C115)^(1/13)-1,"n/m")</f>
        <v/>
      </c>
    </row>
    <row r="116" ht="15" customHeight="1">
      <c r="B116" s="26" t="inlineStr">
        <is>
          <t xml:space="preserve">  Amortization schedule — intangibles held at 30-Jun-2026 (input)</t>
        </is>
      </c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25" t="n"/>
      <c r="AJ116" s="25" t="n"/>
      <c r="AK116" s="25" t="n"/>
      <c r="AL116" s="187" t="n">
        <v>65.2</v>
      </c>
      <c r="AM116" s="187" t="n">
        <v>65.09999999999999</v>
      </c>
      <c r="AN116" s="187" t="n">
        <v>65.09999999999999</v>
      </c>
      <c r="AO116" s="187" t="n">
        <v>62.5</v>
      </c>
      <c r="AP116" s="20" t="inlineStr">
        <is>
          <t>FY2025 10-K Note 15: estimated amortization of intangible assets held at 31-Dec-2025 (before Harper Engineering, acquired Jan-2026, $153.5m of intangibles). 10-K schedule 2027 $50.6m, 2028–29 $50.6m, 2030 $48.0m; + Harper ~$10.2m p.a. ($153.5m over ~15 yrs) + ~$4.4m other long-term-asset amortization / LMB measurement-period step-up (FY26 guide $65m vs ~$60.6m schedule).</t>
        </is>
      </c>
    </row>
    <row r="117" ht="15" customHeight="1">
      <c r="B117" s="26" t="inlineStr">
        <is>
          <t xml:space="preserve">  SG&amp;A % of net sales (incl. amortization, SBC &amp; integration costs in SG&amp;A)</t>
        </is>
      </c>
      <c r="C117" s="183">
        <f>IF(AND(ISNUMBER(C131),ISNUMBER(C127)),IFERROR(C131/C127,""),"")</f>
        <v/>
      </c>
      <c r="D117" s="183">
        <f>IF(AND(ISNUMBER(D131),ISNUMBER(D127)),IFERROR(D131/D127,""),"")</f>
        <v/>
      </c>
      <c r="E117" s="183">
        <f>IF(AND(ISNUMBER(E131),ISNUMBER(E127)),IFERROR(E131/E127,""),"")</f>
        <v/>
      </c>
      <c r="F117" s="183">
        <f>IF(AND(ISNUMBER(F131),ISNUMBER(F127)),IFERROR(F131/F127,""),"")</f>
        <v/>
      </c>
      <c r="G117" s="183">
        <f>IF(AND(ISNUMBER(G131),ISNUMBER(G127)),IFERROR(G131/G127,""),"")</f>
        <v/>
      </c>
      <c r="H117" s="183">
        <f>IF(AND(ISNUMBER(H131),ISNUMBER(H127)),IFERROR(H131/H127,""),"")</f>
        <v/>
      </c>
      <c r="I117" s="183">
        <f>IF(AND(ISNUMBER(I131),ISNUMBER(I127)),IFERROR(I131/I127,""),"")</f>
        <v/>
      </c>
      <c r="J117" s="183">
        <f>IF(AND(ISNUMBER(J131),ISNUMBER(J127)),IFERROR(J131/J127,""),"")</f>
        <v/>
      </c>
      <c r="K117" s="183">
        <f>IF(AND(ISNUMBER(K131),ISNUMBER(K127)),IFERROR(K131/K127,""),"")</f>
        <v/>
      </c>
      <c r="L117" s="183">
        <f>IF(AND(ISNUMBER(L131),ISNUMBER(L127)),IFERROR(L131/L127,""),"")</f>
        <v/>
      </c>
      <c r="M117" s="183">
        <f>IF(AND(ISNUMBER(M131),ISNUMBER(M127)),IFERROR(M131/M127,""),"")</f>
        <v/>
      </c>
      <c r="N117" s="183">
        <f>IF(AND(ISNUMBER(N131),ISNUMBER(N127)),IFERROR(N131/N127,""),"")</f>
        <v/>
      </c>
      <c r="O117" s="183">
        <f>IF(AND(ISNUMBER(O131),ISNUMBER(O127)),IFERROR(O131/O127,""),"")</f>
        <v/>
      </c>
      <c r="P117" s="183">
        <f>IF(AND(ISNUMBER(P131),ISNUMBER(P127)),IFERROR(P131/P127,""),"")</f>
        <v/>
      </c>
      <c r="Q117" s="183">
        <f>IF(AND(ISNUMBER(Q131),ISNUMBER(Q127)),IFERROR(Q131/Q127,""),"")</f>
        <v/>
      </c>
      <c r="R117" s="183">
        <f>IF(AND(ISNUMBER(R131),ISNUMBER(R127)),IFERROR(R131/R127,""),"")</f>
        <v/>
      </c>
      <c r="S117" s="183">
        <f>IF(AND(ISNUMBER(S131),ISNUMBER(S127)),IFERROR(S131/S127,""),"")</f>
        <v/>
      </c>
      <c r="T117" s="183">
        <f>IF(AND(ISNUMBER(T131),ISNUMBER(T127)),IFERROR(T131/T127,""),"")</f>
        <v/>
      </c>
      <c r="U117" s="183">
        <f>IF(AND(ISNUMBER(U131),ISNUMBER(U127)),IFERROR(U131/U127,""),"")</f>
        <v/>
      </c>
      <c r="V117" s="183">
        <f>IF(AND(ISNUMBER(V131),ISNUMBER(V127)),IFERROR(V131/V127,""),"")</f>
        <v/>
      </c>
      <c r="W117" s="183">
        <f>IF(AND(ISNUMBER(W131),ISNUMBER(W127)),IFERROR(W131/W127,""),"")</f>
        <v/>
      </c>
      <c r="X117" s="183">
        <f>IF(AND(ISNUMBER(X131),ISNUMBER(X127)),IFERROR(X131/X127,""),"")</f>
        <v/>
      </c>
      <c r="Y117" s="183">
        <f>IF(AND(ISNUMBER(Y131),ISNUMBER(Y127)),IFERROR(Y131/Y127,""),"")</f>
        <v/>
      </c>
      <c r="Z117" s="183">
        <f>IF(AND(ISNUMBER(Z131),ISNUMBER(Z127)),IFERROR(Z131/Z127,""),"")</f>
        <v/>
      </c>
      <c r="AA117" s="183">
        <f>IF(AND(ISNUMBER(AA131),ISNUMBER(AA127)),IFERROR(AA131/AA127,""),"")</f>
        <v/>
      </c>
      <c r="AB117" s="183">
        <f>IF(AND(ISNUMBER(AB131),ISNUMBER(AB127)),IFERROR(AB131/AB127,""),"")</f>
        <v/>
      </c>
      <c r="AC117" s="183">
        <f>IF(AND(ISNUMBER(AC131),ISNUMBER(AC127)),IFERROR(AC131/AC127,""),"")</f>
        <v/>
      </c>
      <c r="AD117" s="183">
        <f>IF(AND(ISNUMBER(AD131),ISNUMBER(AD127)),IFERROR(AD131/AD127,""),"")</f>
        <v/>
      </c>
      <c r="AE117" s="183">
        <f>IF(AND(ISNUMBER(AE131),ISNUMBER(AE127)),IFERROR(AE131/AE127,""),"")</f>
        <v/>
      </c>
      <c r="AF117" s="183">
        <f>IF(AND(ISNUMBER(AF131),ISNUMBER(AF127)),IFERROR(AF131/AF127,""),"")</f>
        <v/>
      </c>
      <c r="AG117" s="183">
        <f>IF(AND(ISNUMBER(AG131),ISNUMBER(AG127)),IFERROR(AG131/AG127,""),"")</f>
        <v/>
      </c>
      <c r="AH117" s="183">
        <f>IF(AND(ISNUMBER(AH131),ISNUMBER(AH127)),IFERROR(AH131/AH127,""),"")</f>
        <v/>
      </c>
      <c r="AI117" s="177">
        <f>IFERROR((AG131+AH131)/(AG127+AH127),"")</f>
        <v/>
      </c>
      <c r="AJ117" s="177">
        <f>IFERROR((AG131+AH131)/(AG127+AH127),"")</f>
        <v/>
      </c>
      <c r="AK117" s="177">
        <f>IF(AND(ISNUMBER(AK131),ISNUMBER(AK127)),IFERROR(AK131/AK127,""),"")</f>
        <v/>
      </c>
      <c r="AL117" s="192" t="n">
        <v>0.27</v>
      </c>
      <c r="AM117" s="192" t="n">
        <v>0.27</v>
      </c>
      <c r="AN117" s="192" t="n">
        <v>0.27</v>
      </c>
      <c r="AO117" s="192" t="n">
        <v>0.27</v>
      </c>
      <c r="AP117" s="6" t="inlineStr">
        <is>
          <t>Q3/Q4-26E at the 1H/26 ratio; 2027E+ input (operating leverage on fixed costs). Gross profit is implied: GAAP operating income (from Adjusted EBITDA) + SG&amp;A + transaction &amp; other items.</t>
        </is>
      </c>
      <c r="AR117" s="39">
        <f>IFERROR(AVERAGE(AK117,AL117,AM117,AN117,AO117),"n/m")</f>
        <v/>
      </c>
      <c r="AS117" s="39">
        <f>IFERROR(AVERAGE(L117,Q117,V117,AA117,AF117),"n/m")</f>
        <v/>
      </c>
      <c r="AT117" s="39">
        <f>IFERROR(AVERAGE(G117,H117,I117,J117,K117,L117,Q117,V117,AA117,AF117),"n/m")</f>
        <v/>
      </c>
      <c r="AU117" s="39">
        <f>IFERROR(AVERAGE(C117,D117,E117,F117,G117,H117,I117,J117,K117,L117,Q117,V117,AA117,AF117),"n/m")</f>
        <v/>
      </c>
    </row>
    <row r="118" ht="15" customHeight="1">
      <c r="B118" s="26" t="inlineStr">
        <is>
          <t xml:space="preserve">  Stock-based compensation</t>
        </is>
      </c>
      <c r="C118" s="174" t="n">
        <v>0.101</v>
      </c>
      <c r="D118" s="174" t="n">
        <v>0.166</v>
      </c>
      <c r="E118" s="174" t="n">
        <v>0.189</v>
      </c>
      <c r="F118" s="174" t="n">
        <v>0.189</v>
      </c>
      <c r="G118" s="174" t="n">
        <v>0.247</v>
      </c>
      <c r="H118" s="174" t="n">
        <v>0.9340000000000001</v>
      </c>
      <c r="I118" s="174" t="n">
        <v>1.665</v>
      </c>
      <c r="J118" s="174" t="n">
        <v>1.686</v>
      </c>
      <c r="K118" s="174" t="n">
        <v>1.686</v>
      </c>
      <c r="L118" s="174" t="n">
        <v>1.686</v>
      </c>
      <c r="M118" s="174" t="n">
        <v>0.421</v>
      </c>
      <c r="N118" s="174" t="n">
        <v>0.451</v>
      </c>
      <c r="O118" s="174" t="n">
        <v>0.509</v>
      </c>
      <c r="P118" s="174" t="n">
        <v>0.145</v>
      </c>
      <c r="Q118" s="174" t="n">
        <v>1.526</v>
      </c>
      <c r="R118" s="174" t="n">
        <v>0.093</v>
      </c>
      <c r="S118" s="174" t="n">
        <v>0.093</v>
      </c>
      <c r="T118" s="174" t="n">
        <v>0.093</v>
      </c>
      <c r="U118" s="174" t="n">
        <v>0.093</v>
      </c>
      <c r="V118" s="174" t="n">
        <v>0.372</v>
      </c>
      <c r="W118" s="174" t="n">
        <v>0.08699999999999999</v>
      </c>
      <c r="X118" s="174" t="n">
        <v>4.387</v>
      </c>
      <c r="Y118" s="174" t="n">
        <v>3.094</v>
      </c>
      <c r="Z118" s="174" t="n">
        <v>3.535</v>
      </c>
      <c r="AA118" s="174" t="n">
        <v>11.103</v>
      </c>
      <c r="AB118" s="174" t="n">
        <v>3.089</v>
      </c>
      <c r="AC118" s="174" t="n">
        <v>3.65</v>
      </c>
      <c r="AD118" s="174" t="n">
        <v>3.878</v>
      </c>
      <c r="AE118" s="174" t="n">
        <v>4.314</v>
      </c>
      <c r="AF118" s="174" t="n">
        <v>14.931</v>
      </c>
      <c r="AG118" s="174" t="n">
        <v>4.392</v>
      </c>
      <c r="AH118" s="174" t="n">
        <v>4.581</v>
      </c>
      <c r="AI118" s="175">
        <f>(AG118+AH118)/2</f>
        <v/>
      </c>
      <c r="AJ118" s="175">
        <f>(AG118+AH118)/2</f>
        <v/>
      </c>
      <c r="AK118" s="175">
        <f>SUM(AG118,AH118,AI118,AJ118)</f>
        <v/>
      </c>
      <c r="AL118" s="175">
        <f>AL127*AL119</f>
        <v/>
      </c>
      <c r="AM118" s="175">
        <f>AM127*AM119</f>
        <v/>
      </c>
      <c r="AN118" s="175">
        <f>AN127*AN119</f>
        <v/>
      </c>
      <c r="AO118" s="175">
        <f>AO127*AO119</f>
        <v/>
      </c>
      <c r="AP118" s="20" t="inlineStr">
        <is>
          <t>Q3/Q4-26E at the 1H/26 run-rate; 2027E+: % of net sales.</t>
        </is>
      </c>
    </row>
    <row r="119" ht="15" customHeight="1">
      <c r="B119" s="26" t="inlineStr">
        <is>
          <t xml:space="preserve">  Stock-based compensation % of net sales</t>
        </is>
      </c>
      <c r="C119" s="183">
        <f>IF(AND(ISNUMBER(C118),ISNUMBER(C127)),IFERROR(C118/C127,""),"")</f>
        <v/>
      </c>
      <c r="D119" s="183">
        <f>IF(AND(ISNUMBER(D118),ISNUMBER(D127)),IFERROR(D118/D127,""),"")</f>
        <v/>
      </c>
      <c r="E119" s="183">
        <f>IF(AND(ISNUMBER(E118),ISNUMBER(E127)),IFERROR(E118/E127,""),"")</f>
        <v/>
      </c>
      <c r="F119" s="183">
        <f>IF(AND(ISNUMBER(F118),ISNUMBER(F127)),IFERROR(F118/F127,""),"")</f>
        <v/>
      </c>
      <c r="G119" s="183">
        <f>IF(AND(ISNUMBER(G118),ISNUMBER(G127)),IFERROR(G118/G127,""),"")</f>
        <v/>
      </c>
      <c r="H119" s="183">
        <f>IF(AND(ISNUMBER(H118),ISNUMBER(H127)),IFERROR(H118/H127,""),"")</f>
        <v/>
      </c>
      <c r="I119" s="183">
        <f>IF(AND(ISNUMBER(I118),ISNUMBER(I127)),IFERROR(I118/I127,""),"")</f>
        <v/>
      </c>
      <c r="J119" s="183">
        <f>IF(AND(ISNUMBER(J118),ISNUMBER(J127)),IFERROR(J118/J127,""),"")</f>
        <v/>
      </c>
      <c r="K119" s="183">
        <f>IF(AND(ISNUMBER(K118),ISNUMBER(K127)),IFERROR(K118/K127,""),"")</f>
        <v/>
      </c>
      <c r="L119" s="183">
        <f>IF(AND(ISNUMBER(L118),ISNUMBER(L127)),IFERROR(L118/L127,""),"")</f>
        <v/>
      </c>
      <c r="M119" s="183">
        <f>IF(AND(ISNUMBER(M118),ISNUMBER(M127)),IFERROR(M118/M127,""),"")</f>
        <v/>
      </c>
      <c r="N119" s="183">
        <f>IF(AND(ISNUMBER(N118),ISNUMBER(N127)),IFERROR(N118/N127,""),"")</f>
        <v/>
      </c>
      <c r="O119" s="183">
        <f>IF(AND(ISNUMBER(O118),ISNUMBER(O127)),IFERROR(O118/O127,""),"")</f>
        <v/>
      </c>
      <c r="P119" s="183">
        <f>IF(AND(ISNUMBER(P118),ISNUMBER(P127)),IFERROR(P118/P127,""),"")</f>
        <v/>
      </c>
      <c r="Q119" s="183">
        <f>IF(AND(ISNUMBER(Q118),ISNUMBER(Q127)),IFERROR(Q118/Q127,""),"")</f>
        <v/>
      </c>
      <c r="R119" s="183">
        <f>IF(AND(ISNUMBER(R118),ISNUMBER(R127)),IFERROR(R118/R127,""),"")</f>
        <v/>
      </c>
      <c r="S119" s="183">
        <f>IF(AND(ISNUMBER(S118),ISNUMBER(S127)),IFERROR(S118/S127,""),"")</f>
        <v/>
      </c>
      <c r="T119" s="183">
        <f>IF(AND(ISNUMBER(T118),ISNUMBER(T127)),IFERROR(T118/T127,""),"")</f>
        <v/>
      </c>
      <c r="U119" s="183">
        <f>IF(AND(ISNUMBER(U118),ISNUMBER(U127)),IFERROR(U118/U127,""),"")</f>
        <v/>
      </c>
      <c r="V119" s="183">
        <f>IF(AND(ISNUMBER(V118),ISNUMBER(V127)),IFERROR(V118/V127,""),"")</f>
        <v/>
      </c>
      <c r="W119" s="183">
        <f>IF(AND(ISNUMBER(W118),ISNUMBER(W127)),IFERROR(W118/W127,""),"")</f>
        <v/>
      </c>
      <c r="X119" s="183">
        <f>IF(AND(ISNUMBER(X118),ISNUMBER(X127)),IFERROR(X118/X127,""),"")</f>
        <v/>
      </c>
      <c r="Y119" s="183">
        <f>IF(AND(ISNUMBER(Y118),ISNUMBER(Y127)),IFERROR(Y118/Y127,""),"")</f>
        <v/>
      </c>
      <c r="Z119" s="183">
        <f>IF(AND(ISNUMBER(Z118),ISNUMBER(Z127)),IFERROR(Z118/Z127,""),"")</f>
        <v/>
      </c>
      <c r="AA119" s="183">
        <f>IF(AND(ISNUMBER(AA118),ISNUMBER(AA127)),IFERROR(AA118/AA127,""),"")</f>
        <v/>
      </c>
      <c r="AB119" s="183">
        <f>IF(AND(ISNUMBER(AB118),ISNUMBER(AB127)),IFERROR(AB118/AB127,""),"")</f>
        <v/>
      </c>
      <c r="AC119" s="183">
        <f>IF(AND(ISNUMBER(AC118),ISNUMBER(AC127)),IFERROR(AC118/AC127,""),"")</f>
        <v/>
      </c>
      <c r="AD119" s="183">
        <f>IF(AND(ISNUMBER(AD118),ISNUMBER(AD127)),IFERROR(AD118/AD127,""),"")</f>
        <v/>
      </c>
      <c r="AE119" s="183">
        <f>IF(AND(ISNUMBER(AE118),ISNUMBER(AE127)),IFERROR(AE118/AE127,""),"")</f>
        <v/>
      </c>
      <c r="AF119" s="183">
        <f>IF(AND(ISNUMBER(AF118),ISNUMBER(AF127)),IFERROR(AF118/AF127,""),"")</f>
        <v/>
      </c>
      <c r="AG119" s="183">
        <f>IF(AND(ISNUMBER(AG118),ISNUMBER(AG127)),IFERROR(AG118/AG127,""),"")</f>
        <v/>
      </c>
      <c r="AH119" s="183">
        <f>IF(AND(ISNUMBER(AH118),ISNUMBER(AH127)),IFERROR(AH118/AH127,""),"")</f>
        <v/>
      </c>
      <c r="AI119" s="177">
        <f>IF(AND(ISNUMBER(AI118),ISNUMBER(AI127)),IFERROR(AI118/AI127,""),"")</f>
        <v/>
      </c>
      <c r="AJ119" s="177">
        <f>IF(AND(ISNUMBER(AJ118),ISNUMBER(AJ127)),IFERROR(AJ118/AJ127,""),"")</f>
        <v/>
      </c>
      <c r="AK119" s="177">
        <f>IF(AND(ISNUMBER(AK118),ISNUMBER(AK127)),IFERROR(AK118/AK127,""),"")</f>
        <v/>
      </c>
      <c r="AL119" s="192" t="n">
        <v>0.026</v>
      </c>
      <c r="AM119" s="192" t="n">
        <v>0.026</v>
      </c>
      <c r="AN119" s="192" t="n">
        <v>0.026</v>
      </c>
      <c r="AO119" s="192" t="n">
        <v>0.026</v>
      </c>
      <c r="AP119" s="6" t="n"/>
      <c r="AR119" s="39">
        <f>IFERROR(AVERAGE(AK119,AL119,AM119,AN119,AO119),"n/m")</f>
        <v/>
      </c>
      <c r="AS119" s="39">
        <f>IFERROR(AVERAGE(L119,Q119,V119,AA119,AF119),"n/m")</f>
        <v/>
      </c>
      <c r="AT119" s="39">
        <f>IFERROR(AVERAGE(G119,H119,I119,J119,K119,L119,Q119,V119,AA119,AF119),"n/m")</f>
        <v/>
      </c>
      <c r="AU119" s="39">
        <f>IFERROR(AVERAGE(C119,D119,E119,F119,G119,H119,I119,J119,K119,L119,Q119,V119,AA119,AF119),"n/m")</f>
        <v/>
      </c>
    </row>
    <row r="120" ht="15" customHeight="1">
      <c r="B120" s="26" t="inlineStr">
        <is>
          <t xml:space="preserve">  Transaction expenses (acquisition deal costs)</t>
        </is>
      </c>
      <c r="C120" s="174" t="n">
        <v>0.664</v>
      </c>
      <c r="D120" s="174" t="n">
        <v>0.6879999999999999</v>
      </c>
      <c r="E120" s="174" t="n">
        <v>0</v>
      </c>
      <c r="F120" s="174" t="n">
        <v>1.84</v>
      </c>
      <c r="G120" s="174" t="n">
        <v>1.416</v>
      </c>
      <c r="H120" s="174" t="n">
        <v>10.074</v>
      </c>
      <c r="I120" s="174" t="n">
        <v>2.135</v>
      </c>
      <c r="J120" s="174" t="n">
        <v>2.811</v>
      </c>
      <c r="K120" s="174" t="n">
        <v>2.001</v>
      </c>
      <c r="L120" s="174" t="n">
        <v>0.804</v>
      </c>
      <c r="M120" s="174" t="n">
        <v>0.183</v>
      </c>
      <c r="N120" s="174" t="n">
        <v>0.575</v>
      </c>
      <c r="O120" s="174" t="n">
        <v>4.503</v>
      </c>
      <c r="P120" s="174" t="n">
        <v>1.104</v>
      </c>
      <c r="Q120" s="174" t="n">
        <v>6.365</v>
      </c>
      <c r="R120" s="174" t="n">
        <v>0.183</v>
      </c>
      <c r="S120" s="174" t="n">
        <v>0.421</v>
      </c>
      <c r="T120" s="174" t="n">
        <v>2.022</v>
      </c>
      <c r="U120" s="174" t="n">
        <v>0.768</v>
      </c>
      <c r="V120" s="174" t="n">
        <v>3.394</v>
      </c>
      <c r="W120" s="174" t="n">
        <v>0.176</v>
      </c>
      <c r="X120" s="174" t="n">
        <v>0.929</v>
      </c>
      <c r="Y120" s="174" t="n">
        <v>1.444</v>
      </c>
      <c r="Z120" s="174" t="n">
        <v>0.841</v>
      </c>
      <c r="AA120" s="174" t="n">
        <v>3.39</v>
      </c>
      <c r="AB120" s="174" t="n">
        <v>0.46</v>
      </c>
      <c r="AC120" s="174" t="n">
        <v>1.984</v>
      </c>
      <c r="AD120" s="174" t="n">
        <v>1.846</v>
      </c>
      <c r="AE120" s="174" t="n">
        <v>6.991</v>
      </c>
      <c r="AF120" s="174" t="n">
        <v>11.281</v>
      </c>
      <c r="AG120" s="174" t="n">
        <v>1.239</v>
      </c>
      <c r="AH120" s="174" t="n">
        <v>1.561</v>
      </c>
      <c r="AI120" s="175">
        <f>($AZ$24-(AG120+AH120))/2</f>
        <v/>
      </c>
      <c r="AJ120" s="175">
        <f>($AZ$24-(AG120+AH120))/2</f>
        <v/>
      </c>
      <c r="AK120" s="175">
        <f>SUM(AG120,AH120,AI120,AJ120)</f>
        <v/>
      </c>
      <c r="AL120" s="175">
        <f>AL75*AL121</f>
        <v/>
      </c>
      <c r="AM120" s="175">
        <f>AM75*AM121</f>
        <v/>
      </c>
      <c r="AN120" s="175">
        <f>AN75*AN121</f>
        <v/>
      </c>
      <c r="AO120" s="175">
        <f>AO75*AO121</f>
        <v/>
      </c>
      <c r="AP120" s="20" t="inlineStr">
        <is>
          <t>Q3/Q4-26E: FY26 point estimate less 1H/26. 2027E+: % of acquisition spend (M&amp;A lever).</t>
        </is>
      </c>
    </row>
    <row r="121" ht="15" customHeight="1">
      <c r="B121" s="26" t="inlineStr">
        <is>
          <t xml:space="preserve">  Transaction expenses % of acquisition spend</t>
        </is>
      </c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25" t="n"/>
      <c r="AJ121" s="25" t="n"/>
      <c r="AK121" s="25" t="n"/>
      <c r="AL121" s="192" t="n">
        <v>0.015</v>
      </c>
      <c r="AM121" s="192" t="n">
        <v>0.015</v>
      </c>
      <c r="AN121" s="192" t="n">
        <v>0.015</v>
      </c>
      <c r="AO121" s="192" t="n">
        <v>0.015</v>
      </c>
      <c r="AP121" s="6" t="n"/>
    </row>
    <row r="122" ht="15" customHeight="1">
      <c r="B122" s="26" t="inlineStr">
        <is>
          <t xml:space="preserve">  Acquisition &amp; facility integration costs</t>
        </is>
      </c>
      <c r="C122" s="174" t="n">
        <v>0</v>
      </c>
      <c r="D122" s="174" t="n">
        <v>0.021</v>
      </c>
      <c r="E122" s="174" t="n">
        <v>0.021</v>
      </c>
      <c r="F122" s="174" t="n">
        <v>0.451</v>
      </c>
      <c r="G122" s="174" t="n">
        <v>0.197</v>
      </c>
      <c r="H122" s="174" t="n">
        <v>1.101</v>
      </c>
      <c r="I122" s="174" t="n">
        <v>2.406</v>
      </c>
      <c r="J122" s="174" t="n">
        <v>0.931</v>
      </c>
      <c r="K122" s="174" t="n">
        <v>0.405</v>
      </c>
      <c r="L122" s="174" t="n">
        <v>0.642</v>
      </c>
      <c r="M122" s="174" t="n">
        <v>0.341</v>
      </c>
      <c r="N122" s="174" t="n">
        <v>0.49</v>
      </c>
      <c r="O122" s="174" t="n">
        <v>0.304</v>
      </c>
      <c r="P122" s="174" t="n">
        <v>0.778</v>
      </c>
      <c r="Q122" s="174" t="n">
        <v>1.913</v>
      </c>
      <c r="R122" s="174" t="n">
        <v>0.237</v>
      </c>
      <c r="S122" s="174" t="n">
        <v>0.248</v>
      </c>
      <c r="T122" s="174" t="n">
        <v>0.432</v>
      </c>
      <c r="U122" s="174" t="n">
        <v>0.704</v>
      </c>
      <c r="V122" s="174" t="n">
        <v>1.621</v>
      </c>
      <c r="W122" s="174" t="n">
        <v>1.467</v>
      </c>
      <c r="X122" s="174" t="n">
        <v>0.625</v>
      </c>
      <c r="Y122" s="174" t="n">
        <v>1.288</v>
      </c>
      <c r="Z122" s="174" t="n">
        <v>1.11</v>
      </c>
      <c r="AA122" s="174" t="n">
        <v>4.491</v>
      </c>
      <c r="AB122" s="174" t="n">
        <v>0.981</v>
      </c>
      <c r="AC122" s="174" t="n">
        <v>1.48</v>
      </c>
      <c r="AD122" s="174" t="n">
        <v>1.377</v>
      </c>
      <c r="AE122" s="174" t="n">
        <v>1.626</v>
      </c>
      <c r="AF122" s="174" t="n">
        <v>5.465</v>
      </c>
      <c r="AG122" s="174" t="n">
        <v>0.213</v>
      </c>
      <c r="AH122" s="174" t="n">
        <v>0.244</v>
      </c>
      <c r="AI122" s="187" t="n">
        <v>0.5</v>
      </c>
      <c r="AJ122" s="187" t="n">
        <v>0.5</v>
      </c>
      <c r="AK122" s="175">
        <f>SUM(AG122,AH122,AI122,AJ122)</f>
        <v/>
      </c>
      <c r="AL122" s="187" t="n">
        <v>2</v>
      </c>
      <c r="AM122" s="187" t="n">
        <v>2</v>
      </c>
      <c r="AN122" s="187" t="n">
        <v>2</v>
      </c>
      <c r="AO122" s="187" t="n">
        <v>2</v>
      </c>
      <c r="AP122" s="20" t="inlineStr">
        <is>
          <t>Booked in cost of sales / SG&amp;A; added back in Adjusted EBITDA. 1H/26 $0.5m (2025: $5.5m).</t>
        </is>
      </c>
    </row>
    <row r="123" ht="15" customHeight="1">
      <c r="B123" s="26" t="inlineStr">
        <is>
          <t xml:space="preserve">  Recognition of inventory step-up (purchase accounting)</t>
        </is>
      </c>
      <c r="C123" s="174" t="n">
        <v>1.341</v>
      </c>
      <c r="D123" s="174" t="n">
        <v>0.666</v>
      </c>
      <c r="E123" s="174" t="n">
        <v>0.16</v>
      </c>
      <c r="F123" s="174" t="n">
        <v>0.414</v>
      </c>
      <c r="G123" s="174" t="n">
        <v>1.385</v>
      </c>
      <c r="H123" s="174" t="n">
        <v>6.929</v>
      </c>
      <c r="I123" s="174" t="n">
        <v>1.162</v>
      </c>
      <c r="J123" s="174" t="n">
        <v>2.001</v>
      </c>
      <c r="K123" s="174" t="n">
        <v>3.241</v>
      </c>
      <c r="L123" s="174" t="n">
        <v>0.74</v>
      </c>
      <c r="M123" s="174" t="n">
        <v>0</v>
      </c>
      <c r="N123" s="174" t="n">
        <v>0</v>
      </c>
      <c r="O123" s="174" t="n">
        <v>0.27</v>
      </c>
      <c r="P123" s="174" t="n">
        <v>0.434</v>
      </c>
      <c r="Q123" s="174" t="n">
        <v>0.704</v>
      </c>
      <c r="R123" s="174" t="n">
        <v>0</v>
      </c>
      <c r="S123" s="174" t="n">
        <v>0</v>
      </c>
      <c r="T123" s="174" t="n">
        <v>0.201</v>
      </c>
      <c r="U123" s="174" t="n">
        <v>0.402</v>
      </c>
      <c r="V123" s="174" t="n">
        <v>0.603</v>
      </c>
      <c r="W123" s="36" t="n"/>
      <c r="X123" s="36" t="n"/>
      <c r="Y123" s="174" t="n">
        <v>0.276</v>
      </c>
      <c r="Z123" s="174" t="n">
        <v>0.826</v>
      </c>
      <c r="AA123" s="174" t="n">
        <v>1.102</v>
      </c>
      <c r="AB123" s="36" t="n"/>
      <c r="AC123" s="36" t="n"/>
      <c r="AD123" s="174" t="n">
        <v>0.045</v>
      </c>
      <c r="AE123" s="174" t="n">
        <v>0</v>
      </c>
      <c r="AF123" s="174" t="n">
        <v>0.045</v>
      </c>
      <c r="AG123" s="174" t="n">
        <v>4.916</v>
      </c>
      <c r="AH123" s="174" t="n">
        <v>0</v>
      </c>
      <c r="AI123" s="187" t="n">
        <v>0</v>
      </c>
      <c r="AJ123" s="187" t="n">
        <v>0</v>
      </c>
      <c r="AK123" s="175">
        <f>SUM(AG123,AH123,AI123,AJ123)</f>
        <v/>
      </c>
      <c r="AL123" s="187" t="n">
        <v>0</v>
      </c>
      <c r="AM123" s="187" t="n">
        <v>0</v>
      </c>
      <c r="AN123" s="187" t="n">
        <v>0</v>
      </c>
      <c r="AO123" s="187" t="n">
        <v>0</v>
      </c>
      <c r="AP123" s="20" t="inlineStr">
        <is>
          <t>LMB $4.5m and Harper $0.4m fully recognised in 1H/26 (Q2-26 10-Q). None forecast.</t>
        </is>
      </c>
    </row>
    <row r="124" ht="15" customHeight="1">
      <c r="B124" s="26" t="inlineStr">
        <is>
          <t xml:space="preserve">  Other (income) expense added back (contingent consideration, grants, insurance; expense = +)</t>
        </is>
      </c>
      <c r="C124" s="174" t="n">
        <v>0</v>
      </c>
      <c r="D124" s="174" t="n">
        <v>0</v>
      </c>
      <c r="E124" s="174" t="n">
        <v>0</v>
      </c>
      <c r="F124" s="174" t="n">
        <v>0</v>
      </c>
      <c r="G124" s="174" t="n">
        <v>-0.5</v>
      </c>
      <c r="H124" s="174" t="n">
        <v>2.313</v>
      </c>
      <c r="I124" s="174" t="n">
        <v>-3.521</v>
      </c>
      <c r="J124" s="174" t="n">
        <v>0</v>
      </c>
      <c r="K124" s="174" t="n">
        <v>-1.663</v>
      </c>
      <c r="L124" s="174" t="n">
        <v>0.396</v>
      </c>
      <c r="M124" s="174" t="n">
        <v>-0.662</v>
      </c>
      <c r="N124" s="174" t="n">
        <v>0</v>
      </c>
      <c r="O124" s="174" t="n">
        <v>0</v>
      </c>
      <c r="P124" s="174" t="n">
        <v>-0.199</v>
      </c>
      <c r="Q124" s="174" t="n">
        <v>-0.861</v>
      </c>
      <c r="R124" s="174" t="n">
        <v>-0.048</v>
      </c>
      <c r="S124" s="174" t="n">
        <v>-0.079</v>
      </c>
      <c r="T124" s="174" t="n">
        <v>-0.356</v>
      </c>
      <c r="U124" s="174" t="n">
        <v>-0.279</v>
      </c>
      <c r="V124" s="174" t="n">
        <v>-0.762</v>
      </c>
      <c r="W124" s="174" t="n">
        <v>0</v>
      </c>
      <c r="X124" s="174" t="n">
        <v>-2.867</v>
      </c>
      <c r="Y124" s="174" t="n">
        <v>-1.574</v>
      </c>
      <c r="Z124" s="174" t="n">
        <v>-0.011</v>
      </c>
      <c r="AA124" s="174" t="n">
        <v>-4.452</v>
      </c>
      <c r="AB124" s="36" t="n"/>
      <c r="AC124" s="174" t="n">
        <v>0</v>
      </c>
      <c r="AD124" s="174" t="n">
        <v>0.154</v>
      </c>
      <c r="AE124" s="174" t="n">
        <v>0.005</v>
      </c>
      <c r="AF124" s="174" t="n">
        <v>0.159</v>
      </c>
      <c r="AG124" s="36" t="n"/>
      <c r="AH124" s="174" t="n">
        <v>1.267</v>
      </c>
      <c r="AI124" s="187" t="n">
        <v>0</v>
      </c>
      <c r="AJ124" s="187" t="n">
        <v>0</v>
      </c>
      <c r="AK124" s="175">
        <f>SUM(AG124,AH124,AI124,AJ124)</f>
        <v/>
      </c>
      <c r="AL124" s="187" t="n">
        <v>0</v>
      </c>
      <c r="AM124" s="187" t="n">
        <v>0</v>
      </c>
      <c r="AN124" s="187" t="n">
        <v>0</v>
      </c>
      <c r="AO124" s="187" t="n">
        <v>0</v>
      </c>
      <c r="AP124" s="20" t="n"/>
    </row>
    <row r="125" ht="15" customHeight="1">
      <c r="AX125" s="12" t="n"/>
      <c r="AY125" s="13" t="n"/>
      <c r="AZ125" s="13" t="n"/>
      <c r="BA125" s="13" t="n"/>
      <c r="BB125" s="14" t="n"/>
    </row>
    <row r="126" ht="15" customHeight="1">
      <c r="B126" s="11" t="inlineStr">
        <is>
          <t>CONSOLIDATED STATEMENT OF INCOME (US GAAP)</t>
        </is>
      </c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inlineStr">
        <is>
          <t>CONSOLIDATED IS — forecast logic (operating income = Adjusted EBITDA − D&amp;A − EBITDA adjusting items; gross profit implied)</t>
        </is>
      </c>
    </row>
    <row r="127" ht="15" customHeight="1">
      <c r="B127" s="59" t="inlineStr">
        <is>
          <t>Net sales</t>
        </is>
      </c>
      <c r="C127" s="199" t="n">
        <v>8.923</v>
      </c>
      <c r="D127" s="199" t="n">
        <v>22.983</v>
      </c>
      <c r="E127" s="199" t="n">
        <v>39.24</v>
      </c>
      <c r="F127" s="199" t="n">
        <v>42.371</v>
      </c>
      <c r="G127" s="199" t="n">
        <v>75.78</v>
      </c>
      <c r="H127" s="199" t="n">
        <v>94.346</v>
      </c>
      <c r="I127" s="199" t="n">
        <v>112.572</v>
      </c>
      <c r="J127" s="199" t="n">
        <v>182.623</v>
      </c>
      <c r="K127" s="199" t="n">
        <v>164.564</v>
      </c>
      <c r="L127" s="199" t="n">
        <v>188.897</v>
      </c>
      <c r="M127" s="199" t="n">
        <v>53.42</v>
      </c>
      <c r="N127" s="199" t="n">
        <v>53.887</v>
      </c>
      <c r="O127" s="199" t="n">
        <v>62.865</v>
      </c>
      <c r="P127" s="199" t="n">
        <v>69.262</v>
      </c>
      <c r="Q127" s="199" t="n">
        <v>239.434</v>
      </c>
      <c r="R127" s="199" t="n">
        <v>74.246</v>
      </c>
      <c r="S127" s="199" t="n">
        <v>73.989</v>
      </c>
      <c r="T127" s="199" t="n">
        <v>82.807</v>
      </c>
      <c r="U127" s="199" t="n">
        <v>86.435</v>
      </c>
      <c r="V127" s="199" t="n">
        <v>317.477</v>
      </c>
      <c r="W127" s="199" t="n">
        <v>91.84399999999999</v>
      </c>
      <c r="X127" s="199" t="n">
        <v>97.015</v>
      </c>
      <c r="Y127" s="199" t="n">
        <v>103.519</v>
      </c>
      <c r="Z127" s="199" t="n">
        <v>110.441</v>
      </c>
      <c r="AA127" s="199" t="n">
        <v>402.819</v>
      </c>
      <c r="AB127" s="199" t="n">
        <v>114.659</v>
      </c>
      <c r="AC127" s="199" t="n">
        <v>123.123</v>
      </c>
      <c r="AD127" s="199" t="n">
        <v>126.751</v>
      </c>
      <c r="AE127" s="199" t="n">
        <v>131.75</v>
      </c>
      <c r="AF127" s="199" t="n">
        <v>496.283</v>
      </c>
      <c r="AG127" s="199" t="n">
        <v>156.088</v>
      </c>
      <c r="AH127" s="199" t="n">
        <v>171.579</v>
      </c>
      <c r="AI127" s="196">
        <f>AI90</f>
        <v/>
      </c>
      <c r="AJ127" s="196">
        <f>AJ90</f>
        <v/>
      </c>
      <c r="AK127" s="196">
        <f>SUM(AG127,AH127,AI127,AJ127)</f>
        <v/>
      </c>
      <c r="AL127" s="196">
        <f>AL90</f>
        <v/>
      </c>
      <c r="AM127" s="196">
        <f>AM90</f>
        <v/>
      </c>
      <c r="AN127" s="196">
        <f>AN90</f>
        <v/>
      </c>
      <c r="AO127" s="196">
        <f>AO90</f>
        <v/>
      </c>
      <c r="AP127" s="6" t="inlineStr">
        <is>
          <t>Forecast linked to the end-market build.</t>
        </is>
      </c>
      <c r="AR127" s="21">
        <f>IFERROR((AO127/AF127)^(1/5)-1,"n/m")</f>
        <v/>
      </c>
      <c r="AS127" s="21">
        <f>IFERROR((AF127/K127)^(1/5)-1,"n/m")</f>
        <v/>
      </c>
      <c r="AT127" s="21">
        <f>IFERROR((AF127/F127)^(1/10)-1,"n/m")</f>
        <v/>
      </c>
      <c r="AU127" s="21">
        <f>IFERROR((AF127/C127)^(1/13)-1,"n/m")</f>
        <v/>
      </c>
    </row>
    <row r="128" ht="15" customHeight="1">
      <c r="B128" s="26" t="inlineStr">
        <is>
          <t>Cost of sales</t>
        </is>
      </c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174" t="n">
        <v>28.813</v>
      </c>
      <c r="N128" s="174" t="n">
        <v>29.15</v>
      </c>
      <c r="O128" s="174" t="n">
        <v>32.189</v>
      </c>
      <c r="P128" s="174" t="n">
        <v>37.782</v>
      </c>
      <c r="Q128" s="174" t="n">
        <v>127.934</v>
      </c>
      <c r="R128" s="174" t="n">
        <v>38.211</v>
      </c>
      <c r="S128" s="174" t="n">
        <v>36.517</v>
      </c>
      <c r="T128" s="174" t="n">
        <v>42.176</v>
      </c>
      <c r="U128" s="174" t="n">
        <v>46.309</v>
      </c>
      <c r="V128" s="174" t="n">
        <v>163.213</v>
      </c>
      <c r="W128" s="174" t="n">
        <v>47.411</v>
      </c>
      <c r="X128" s="174" t="n">
        <v>49.489</v>
      </c>
      <c r="Y128" s="174" t="n">
        <v>50.615</v>
      </c>
      <c r="Z128" s="174" t="n">
        <v>56.479</v>
      </c>
      <c r="AA128" s="174" t="n">
        <v>203.994</v>
      </c>
      <c r="AB128" s="174" t="n">
        <v>54.953</v>
      </c>
      <c r="AC128" s="174" t="n">
        <v>56.924</v>
      </c>
      <c r="AD128" s="174" t="n">
        <v>59.973</v>
      </c>
      <c r="AE128" s="174" t="n">
        <v>63.108</v>
      </c>
      <c r="AF128" s="174" t="n">
        <v>234.958</v>
      </c>
      <c r="AG128" s="174" t="n">
        <v>76.84699999999999</v>
      </c>
      <c r="AH128" s="174" t="n">
        <v>80.377</v>
      </c>
      <c r="AI128" s="175">
        <f>AI127-AI129</f>
        <v/>
      </c>
      <c r="AJ128" s="175">
        <f>AJ127-AJ129</f>
        <v/>
      </c>
      <c r="AK128" s="175">
        <f>SUM(AG128,AH128,AI128,AJ128)</f>
        <v/>
      </c>
      <c r="AL128" s="175">
        <f>AL127-AL129</f>
        <v/>
      </c>
      <c r="AM128" s="175">
        <f>AM127-AM129</f>
        <v/>
      </c>
      <c r="AN128" s="175">
        <f>AN127-AN129</f>
        <v/>
      </c>
      <c r="AO128" s="175">
        <f>AO127-AO129</f>
        <v/>
      </c>
      <c r="AP128" s="20" t="n"/>
    </row>
    <row r="129" ht="15" customHeight="1">
      <c r="B129" s="17" t="inlineStr">
        <is>
          <t>Gross profit</t>
        </is>
      </c>
      <c r="C129" s="181">
        <f>IF(ISNUMBER(C128),C127-C128,"")</f>
        <v/>
      </c>
      <c r="D129" s="181">
        <f>IF(ISNUMBER(D128),D127-D128,"")</f>
        <v/>
      </c>
      <c r="E129" s="181">
        <f>IF(ISNUMBER(E128),E127-E128,"")</f>
        <v/>
      </c>
      <c r="F129" s="181">
        <f>IF(ISNUMBER(F128),F127-F128,"")</f>
        <v/>
      </c>
      <c r="G129" s="181">
        <f>IF(ISNUMBER(G128),G127-G128,"")</f>
        <v/>
      </c>
      <c r="H129" s="181">
        <f>IF(ISNUMBER(H128),H127-H128,"")</f>
        <v/>
      </c>
      <c r="I129" s="181">
        <f>IF(ISNUMBER(I128),I127-I128,"")</f>
        <v/>
      </c>
      <c r="J129" s="181">
        <f>IF(ISNUMBER(J128),J127-J128,"")</f>
        <v/>
      </c>
      <c r="K129" s="181">
        <f>IF(ISNUMBER(K128),K127-K128,"")</f>
        <v/>
      </c>
      <c r="L129" s="181">
        <f>IF(ISNUMBER(L128),L127-L128,"")</f>
        <v/>
      </c>
      <c r="M129" s="181">
        <f>IF(ISNUMBER(M128),M127-M128,"")</f>
        <v/>
      </c>
      <c r="N129" s="181">
        <f>IF(ISNUMBER(N128),N127-N128,"")</f>
        <v/>
      </c>
      <c r="O129" s="181">
        <f>IF(ISNUMBER(O128),O127-O128,"")</f>
        <v/>
      </c>
      <c r="P129" s="181">
        <f>IF(ISNUMBER(P128),P127-P128,"")</f>
        <v/>
      </c>
      <c r="Q129" s="181">
        <f>IF(ISNUMBER(Q128),Q127-Q128,"")</f>
        <v/>
      </c>
      <c r="R129" s="181">
        <f>IF(ISNUMBER(R128),R127-R128,"")</f>
        <v/>
      </c>
      <c r="S129" s="181">
        <f>IF(ISNUMBER(S128),S127-S128,"")</f>
        <v/>
      </c>
      <c r="T129" s="181">
        <f>IF(ISNUMBER(T128),T127-T128,"")</f>
        <v/>
      </c>
      <c r="U129" s="181">
        <f>IF(ISNUMBER(U128),U127-U128,"")</f>
        <v/>
      </c>
      <c r="V129" s="181">
        <f>IF(ISNUMBER(V128),V127-V128,"")</f>
        <v/>
      </c>
      <c r="W129" s="181">
        <f>IF(ISNUMBER(W128),W127-W128,"")</f>
        <v/>
      </c>
      <c r="X129" s="181">
        <f>IF(ISNUMBER(X128),X127-X128,"")</f>
        <v/>
      </c>
      <c r="Y129" s="181">
        <f>IF(ISNUMBER(Y128),Y127-Y128,"")</f>
        <v/>
      </c>
      <c r="Z129" s="181">
        <f>IF(ISNUMBER(Z128),Z127-Z128,"")</f>
        <v/>
      </c>
      <c r="AA129" s="181">
        <f>IF(ISNUMBER(AA128),AA127-AA128,"")</f>
        <v/>
      </c>
      <c r="AB129" s="181">
        <f>IF(ISNUMBER(AB128),AB127-AB128,"")</f>
        <v/>
      </c>
      <c r="AC129" s="181">
        <f>IF(ISNUMBER(AC128),AC127-AC128,"")</f>
        <v/>
      </c>
      <c r="AD129" s="181">
        <f>IF(ISNUMBER(AD128),AD127-AD128,"")</f>
        <v/>
      </c>
      <c r="AE129" s="181">
        <f>IF(ISNUMBER(AE128),AE127-AE128,"")</f>
        <v/>
      </c>
      <c r="AF129" s="181">
        <f>IF(ISNUMBER(AF128),AF127-AF128,"")</f>
        <v/>
      </c>
      <c r="AG129" s="181">
        <f>IF(ISNUMBER(AG128),AG127-AG128,"")</f>
        <v/>
      </c>
      <c r="AH129" s="181">
        <f>IF(ISNUMBER(AH128),AH127-AH128,"")</f>
        <v/>
      </c>
      <c r="AI129" s="182">
        <f>AI134+AI131+AI132-AI133</f>
        <v/>
      </c>
      <c r="AJ129" s="182">
        <f>AJ134+AJ131+AJ132-AJ133</f>
        <v/>
      </c>
      <c r="AK129" s="182">
        <f>AK134+AK131+AK132-AK133</f>
        <v/>
      </c>
      <c r="AL129" s="182">
        <f>AL134+AL131+AL132-AL133</f>
        <v/>
      </c>
      <c r="AM129" s="182">
        <f>AM134+AM131+AM132-AM133</f>
        <v/>
      </c>
      <c r="AN129" s="182">
        <f>AN134+AN131+AN132-AN133</f>
        <v/>
      </c>
      <c r="AO129" s="182">
        <f>AO134+AO131+AO132-AO133</f>
        <v/>
      </c>
      <c r="AP129" s="6" t="inlineStr">
        <is>
          <t>Forecast = operating income + SG&amp;A + transaction expenses − other income (implied by the Adjusted EBITDA build).</t>
        </is>
      </c>
      <c r="AR129" s="21">
        <f>IFERROR((AO129/AF129)^(1/5)-1,"n/m")</f>
        <v/>
      </c>
      <c r="AS129" s="21">
        <f>IFERROR((AF129/K129)^(1/5)-1,"n/m")</f>
        <v/>
      </c>
      <c r="AT129" s="21">
        <f>IFERROR((AF129/F129)^(1/10)-1,"n/m")</f>
        <v/>
      </c>
      <c r="AU129" s="21">
        <f>IFERROR((AF129/C129)^(1/13)-1,"n/m")</f>
        <v/>
      </c>
    </row>
    <row r="130" ht="15" customHeight="1">
      <c r="B130" s="26" t="inlineStr">
        <is>
          <t xml:space="preserve">  Gross margin %</t>
        </is>
      </c>
      <c r="C130" s="183">
        <f>IF(AND(ISNUMBER(C129),ISNUMBER(C127)),IFERROR(C129/C127,""),"")</f>
        <v/>
      </c>
      <c r="D130" s="183">
        <f>IF(AND(ISNUMBER(D129),ISNUMBER(D127)),IFERROR(D129/D127,""),"")</f>
        <v/>
      </c>
      <c r="E130" s="183">
        <f>IF(AND(ISNUMBER(E129),ISNUMBER(E127)),IFERROR(E129/E127,""),"")</f>
        <v/>
      </c>
      <c r="F130" s="183">
        <f>IF(AND(ISNUMBER(F129),ISNUMBER(F127)),IFERROR(F129/F127,""),"")</f>
        <v/>
      </c>
      <c r="G130" s="183">
        <f>IF(AND(ISNUMBER(G129),ISNUMBER(G127)),IFERROR(G129/G127,""),"")</f>
        <v/>
      </c>
      <c r="H130" s="183">
        <f>IF(AND(ISNUMBER(H129),ISNUMBER(H127)),IFERROR(H129/H127,""),"")</f>
        <v/>
      </c>
      <c r="I130" s="183">
        <f>IF(AND(ISNUMBER(I129),ISNUMBER(I127)),IFERROR(I129/I127,""),"")</f>
        <v/>
      </c>
      <c r="J130" s="183">
        <f>IF(AND(ISNUMBER(J129),ISNUMBER(J127)),IFERROR(J129/J127,""),"")</f>
        <v/>
      </c>
      <c r="K130" s="183">
        <f>IF(AND(ISNUMBER(K129),ISNUMBER(K127)),IFERROR(K129/K127,""),"")</f>
        <v/>
      </c>
      <c r="L130" s="183">
        <f>IF(AND(ISNUMBER(L129),ISNUMBER(L127)),IFERROR(L129/L127,""),"")</f>
        <v/>
      </c>
      <c r="M130" s="183">
        <f>IF(AND(ISNUMBER(M129),ISNUMBER(M127)),IFERROR(M129/M127,""),"")</f>
        <v/>
      </c>
      <c r="N130" s="183">
        <f>IF(AND(ISNUMBER(N129),ISNUMBER(N127)),IFERROR(N129/N127,""),"")</f>
        <v/>
      </c>
      <c r="O130" s="183">
        <f>IF(AND(ISNUMBER(O129),ISNUMBER(O127)),IFERROR(O129/O127,""),"")</f>
        <v/>
      </c>
      <c r="P130" s="183">
        <f>IF(AND(ISNUMBER(P129),ISNUMBER(P127)),IFERROR(P129/P127,""),"")</f>
        <v/>
      </c>
      <c r="Q130" s="183">
        <f>IF(AND(ISNUMBER(Q129),ISNUMBER(Q127)),IFERROR(Q129/Q127,""),"")</f>
        <v/>
      </c>
      <c r="R130" s="183">
        <f>IF(AND(ISNUMBER(R129),ISNUMBER(R127)),IFERROR(R129/R127,""),"")</f>
        <v/>
      </c>
      <c r="S130" s="183">
        <f>IF(AND(ISNUMBER(S129),ISNUMBER(S127)),IFERROR(S129/S127,""),"")</f>
        <v/>
      </c>
      <c r="T130" s="183">
        <f>IF(AND(ISNUMBER(T129),ISNUMBER(T127)),IFERROR(T129/T127,""),"")</f>
        <v/>
      </c>
      <c r="U130" s="183">
        <f>IF(AND(ISNUMBER(U129),ISNUMBER(U127)),IFERROR(U129/U127,""),"")</f>
        <v/>
      </c>
      <c r="V130" s="183">
        <f>IF(AND(ISNUMBER(V129),ISNUMBER(V127)),IFERROR(V129/V127,""),"")</f>
        <v/>
      </c>
      <c r="W130" s="183">
        <f>IF(AND(ISNUMBER(W129),ISNUMBER(W127)),IFERROR(W129/W127,""),"")</f>
        <v/>
      </c>
      <c r="X130" s="183">
        <f>IF(AND(ISNUMBER(X129),ISNUMBER(X127)),IFERROR(X129/X127,""),"")</f>
        <v/>
      </c>
      <c r="Y130" s="183">
        <f>IF(AND(ISNUMBER(Y129),ISNUMBER(Y127)),IFERROR(Y129/Y127,""),"")</f>
        <v/>
      </c>
      <c r="Z130" s="183">
        <f>IF(AND(ISNUMBER(Z129),ISNUMBER(Z127)),IFERROR(Z129/Z127,""),"")</f>
        <v/>
      </c>
      <c r="AA130" s="183">
        <f>IF(AND(ISNUMBER(AA129),ISNUMBER(AA127)),IFERROR(AA129/AA127,""),"")</f>
        <v/>
      </c>
      <c r="AB130" s="183">
        <f>IF(AND(ISNUMBER(AB129),ISNUMBER(AB127)),IFERROR(AB129/AB127,""),"")</f>
        <v/>
      </c>
      <c r="AC130" s="183">
        <f>IF(AND(ISNUMBER(AC129),ISNUMBER(AC127)),IFERROR(AC129/AC127,""),"")</f>
        <v/>
      </c>
      <c r="AD130" s="183">
        <f>IF(AND(ISNUMBER(AD129),ISNUMBER(AD127)),IFERROR(AD129/AD127,""),"")</f>
        <v/>
      </c>
      <c r="AE130" s="183">
        <f>IF(AND(ISNUMBER(AE129),ISNUMBER(AE127)),IFERROR(AE129/AE127,""),"")</f>
        <v/>
      </c>
      <c r="AF130" s="183">
        <f>IF(AND(ISNUMBER(AF129),ISNUMBER(AF127)),IFERROR(AF129/AF127,""),"")</f>
        <v/>
      </c>
      <c r="AG130" s="183">
        <f>IF(AND(ISNUMBER(AG129),ISNUMBER(AG127)),IFERROR(AG129/AG127,""),"")</f>
        <v/>
      </c>
      <c r="AH130" s="183">
        <f>IF(AND(ISNUMBER(AH129),ISNUMBER(AH127)),IFERROR(AH129/AH127,""),"")</f>
        <v/>
      </c>
      <c r="AI130" s="177">
        <f>IF(AND(ISNUMBER(AI129),ISNUMBER(AI127)),IFERROR(AI129/AI127,""),"")</f>
        <v/>
      </c>
      <c r="AJ130" s="177">
        <f>IF(AND(ISNUMBER(AJ129),ISNUMBER(AJ127)),IFERROR(AJ129/AJ127,""),"")</f>
        <v/>
      </c>
      <c r="AK130" s="177">
        <f>IF(AND(ISNUMBER(AK129),ISNUMBER(AK127)),IFERROR(AK129/AK127,""),"")</f>
        <v/>
      </c>
      <c r="AL130" s="177">
        <f>IF(AND(ISNUMBER(AL129),ISNUMBER(AL127)),IFERROR(AL129/AL127,""),"")</f>
        <v/>
      </c>
      <c r="AM130" s="177">
        <f>IF(AND(ISNUMBER(AM129),ISNUMBER(AM127)),IFERROR(AM129/AM127,""),"")</f>
        <v/>
      </c>
      <c r="AN130" s="177">
        <f>IF(AND(ISNUMBER(AN129),ISNUMBER(AN127)),IFERROR(AN129/AN127,""),"")</f>
        <v/>
      </c>
      <c r="AO130" s="177">
        <f>IF(AND(ISNUMBER(AO129),ISNUMBER(AO127)),IFERROR(AO129/AO127,""),"")</f>
        <v/>
      </c>
      <c r="AP130" s="6" t="n"/>
      <c r="AR130" s="39">
        <f>IFERROR(AVERAGE(AK130,AL130,AM130,AN130,AO130),"n/m")</f>
        <v/>
      </c>
      <c r="AS130" s="39">
        <f>IFERROR(AVERAGE(L130,Q130,V130,AA130,AF130),"n/m")</f>
        <v/>
      </c>
      <c r="AT130" s="39">
        <f>IFERROR(AVERAGE(G130,H130,I130,J130,K130,L130,Q130,V130,AA130,AF130),"n/m")</f>
        <v/>
      </c>
      <c r="AU130" s="39">
        <f>IFERROR(AVERAGE(C130,D130,E130,F130,G130,H130,I130,J130,K130,L130,Q130,V130,AA130,AF130),"n/m")</f>
        <v/>
      </c>
    </row>
    <row r="131" ht="15" customHeight="1">
      <c r="B131" s="26" t="inlineStr">
        <is>
          <t>Selling, general &amp; administrative expenses</t>
        </is>
      </c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174" t="n">
        <v>14.909</v>
      </c>
      <c r="N131" s="174" t="n">
        <v>15.166</v>
      </c>
      <c r="O131" s="174" t="n">
        <v>18.022</v>
      </c>
      <c r="P131" s="174" t="n">
        <v>18.439</v>
      </c>
      <c r="Q131" s="174" t="n">
        <v>66.536</v>
      </c>
      <c r="R131" s="174" t="n">
        <v>18.845</v>
      </c>
      <c r="S131" s="174" t="n">
        <v>19.502</v>
      </c>
      <c r="T131" s="174" t="n">
        <v>21.863</v>
      </c>
      <c r="U131" s="174" t="n">
        <v>21.931</v>
      </c>
      <c r="V131" s="174" t="n">
        <v>82.14100000000001</v>
      </c>
      <c r="W131" s="174" t="n">
        <v>22.9</v>
      </c>
      <c r="X131" s="174" t="n">
        <v>27.276</v>
      </c>
      <c r="Y131" s="174" t="n">
        <v>30.186</v>
      </c>
      <c r="Z131" s="174" t="n">
        <v>31.893</v>
      </c>
      <c r="AA131" s="174" t="n">
        <v>112.255</v>
      </c>
      <c r="AB131" s="174" t="n">
        <v>33.102</v>
      </c>
      <c r="AC131" s="174" t="n">
        <v>36.898</v>
      </c>
      <c r="AD131" s="174" t="n">
        <v>35.758</v>
      </c>
      <c r="AE131" s="174" t="n">
        <v>37.884</v>
      </c>
      <c r="AF131" s="174" t="n">
        <v>143.642</v>
      </c>
      <c r="AG131" s="174" t="n">
        <v>44.485</v>
      </c>
      <c r="AH131" s="174" t="n">
        <v>46.522</v>
      </c>
      <c r="AI131" s="175">
        <f>AI127*AI117</f>
        <v/>
      </c>
      <c r="AJ131" s="175">
        <f>AJ127*AJ117</f>
        <v/>
      </c>
      <c r="AK131" s="175">
        <f>SUM(AG131,AH131,AI131,AJ131)</f>
        <v/>
      </c>
      <c r="AL131" s="175">
        <f>AL127*AL117</f>
        <v/>
      </c>
      <c r="AM131" s="175">
        <f>AM127*AM117</f>
        <v/>
      </c>
      <c r="AN131" s="175">
        <f>AN127*AN117</f>
        <v/>
      </c>
      <c r="AO131" s="175">
        <f>AO127*AO117</f>
        <v/>
      </c>
      <c r="AP131" s="20" t="n"/>
      <c r="AR131" s="21">
        <f>IFERROR((AO131/AF131)^(1/5)-1,"n/m")</f>
        <v/>
      </c>
      <c r="AS131" s="21">
        <f>IFERROR((AF131/K131)^(1/5)-1,"n/m")</f>
        <v/>
      </c>
      <c r="AT131" s="21">
        <f>IFERROR((AF131/F131)^(1/10)-1,"n/m")</f>
        <v/>
      </c>
      <c r="AU131" s="21">
        <f>IFERROR((AF131/C131)^(1/13)-1,"n/m")</f>
        <v/>
      </c>
    </row>
    <row r="132" ht="15" customHeight="1">
      <c r="B132" s="26" t="inlineStr">
        <is>
          <t>Transaction expenses</t>
        </is>
      </c>
      <c r="C132" s="174" t="n">
        <v>0.664</v>
      </c>
      <c r="D132" s="174" t="n">
        <v>0.6879999999999999</v>
      </c>
      <c r="E132" s="174" t="n">
        <v>0</v>
      </c>
      <c r="F132" s="174" t="n">
        <v>1.84</v>
      </c>
      <c r="G132" s="174" t="n">
        <v>1.416</v>
      </c>
      <c r="H132" s="174" t="n">
        <v>10.074</v>
      </c>
      <c r="I132" s="174" t="n">
        <v>2.135</v>
      </c>
      <c r="J132" s="174" t="n">
        <v>2.811</v>
      </c>
      <c r="K132" s="174" t="n">
        <v>2.001</v>
      </c>
      <c r="L132" s="174" t="n">
        <v>0.804</v>
      </c>
      <c r="M132" s="174" t="n">
        <v>0.183</v>
      </c>
      <c r="N132" s="174" t="n">
        <v>0.575</v>
      </c>
      <c r="O132" s="174" t="n">
        <v>4.503</v>
      </c>
      <c r="P132" s="174" t="n">
        <v>1.104</v>
      </c>
      <c r="Q132" s="174" t="n">
        <v>6.365</v>
      </c>
      <c r="R132" s="174" t="n">
        <v>0.183</v>
      </c>
      <c r="S132" s="174" t="n">
        <v>0.421</v>
      </c>
      <c r="T132" s="174" t="n">
        <v>2.022</v>
      </c>
      <c r="U132" s="174" t="n">
        <v>0.768</v>
      </c>
      <c r="V132" s="174" t="n">
        <v>3.394</v>
      </c>
      <c r="W132" s="174" t="n">
        <v>0.176</v>
      </c>
      <c r="X132" s="174" t="n">
        <v>0.929</v>
      </c>
      <c r="Y132" s="174" t="n">
        <v>1.444</v>
      </c>
      <c r="Z132" s="174" t="n">
        <v>0.841</v>
      </c>
      <c r="AA132" s="174" t="n">
        <v>3.39</v>
      </c>
      <c r="AB132" s="174" t="n">
        <v>0.46</v>
      </c>
      <c r="AC132" s="174" t="n">
        <v>1.984</v>
      </c>
      <c r="AD132" s="174" t="n">
        <v>1.846</v>
      </c>
      <c r="AE132" s="174" t="n">
        <v>6.991</v>
      </c>
      <c r="AF132" s="174" t="n">
        <v>11.281</v>
      </c>
      <c r="AG132" s="174" t="n">
        <v>1.239</v>
      </c>
      <c r="AH132" s="174" t="n">
        <v>1.561</v>
      </c>
      <c r="AI132" s="175">
        <f>AI120</f>
        <v/>
      </c>
      <c r="AJ132" s="175">
        <f>AJ120</f>
        <v/>
      </c>
      <c r="AK132" s="175">
        <f>SUM(AG132,AH132,AI132,AJ132)</f>
        <v/>
      </c>
      <c r="AL132" s="175">
        <f>AL120</f>
        <v/>
      </c>
      <c r="AM132" s="175">
        <f>AM120</f>
        <v/>
      </c>
      <c r="AN132" s="175">
        <f>AN120</f>
        <v/>
      </c>
      <c r="AO132" s="175">
        <f>AO120</f>
        <v/>
      </c>
      <c r="AP132" s="20" t="n"/>
    </row>
    <row r="133" ht="15" customHeight="1">
      <c r="B133" s="26" t="inlineStr">
        <is>
          <t>Other income (expense), net (income = +)</t>
        </is>
      </c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174" t="n">
        <v>0.662</v>
      </c>
      <c r="N133" s="174" t="n">
        <v>0</v>
      </c>
      <c r="O133" s="174" t="n">
        <v>0</v>
      </c>
      <c r="P133" s="174" t="n">
        <v>0.199</v>
      </c>
      <c r="Q133" s="174" t="n">
        <v>0.861</v>
      </c>
      <c r="R133" s="174" t="n">
        <v>0.048</v>
      </c>
      <c r="S133" s="174" t="n">
        <v>0.079</v>
      </c>
      <c r="T133" s="174" t="n">
        <v>0.356</v>
      </c>
      <c r="U133" s="174" t="n">
        <v>0.279</v>
      </c>
      <c r="V133" s="174" t="n">
        <v>0.762</v>
      </c>
      <c r="W133" s="174" t="n">
        <v>0</v>
      </c>
      <c r="X133" s="174" t="n">
        <v>2.867</v>
      </c>
      <c r="Y133" s="174" t="n">
        <v>1.574</v>
      </c>
      <c r="Z133" s="174" t="n">
        <v>0.011</v>
      </c>
      <c r="AA133" s="174" t="n">
        <v>4.452</v>
      </c>
      <c r="AB133" s="174" t="n">
        <v>0</v>
      </c>
      <c r="AC133" s="174" t="n">
        <v>0</v>
      </c>
      <c r="AD133" s="174" t="n">
        <v>-0.154</v>
      </c>
      <c r="AE133" s="174" t="n">
        <v>-0.005</v>
      </c>
      <c r="AF133" s="174" t="n">
        <v>-0.159</v>
      </c>
      <c r="AG133" s="174" t="n">
        <v>0</v>
      </c>
      <c r="AH133" s="174" t="n">
        <v>-1.267</v>
      </c>
      <c r="AI133" s="175">
        <f>-AI124</f>
        <v/>
      </c>
      <c r="AJ133" s="175">
        <f>-AJ124</f>
        <v/>
      </c>
      <c r="AK133" s="175">
        <f>SUM(AG133,AH133,AI133,AJ133)</f>
        <v/>
      </c>
      <c r="AL133" s="175">
        <f>-AL124</f>
        <v/>
      </c>
      <c r="AM133" s="175">
        <f>-AM124</f>
        <v/>
      </c>
      <c r="AN133" s="175">
        <f>-AN124</f>
        <v/>
      </c>
      <c r="AO133" s="175">
        <f>-AO124</f>
        <v/>
      </c>
      <c r="AP133" s="20" t="inlineStr">
        <is>
          <t>AMJP grants 2020–23, CAV contingent-consideration release &amp; DAC insurance 2024 (income); Harper contingent consideration Q2-26 (expense).</t>
        </is>
      </c>
    </row>
    <row r="134" ht="15" customHeight="1">
      <c r="B134" s="59" t="inlineStr">
        <is>
          <t>Operating income</t>
        </is>
      </c>
      <c r="C134" s="199" t="n">
        <v>-2.23</v>
      </c>
      <c r="D134" s="199" t="n">
        <v>-0.9429999999999999</v>
      </c>
      <c r="E134" s="199" t="n">
        <v>3.558</v>
      </c>
      <c r="F134" s="199" t="n">
        <v>2.944</v>
      </c>
      <c r="G134" s="199" t="n">
        <v>9.238</v>
      </c>
      <c r="H134" s="199" t="n">
        <v>-4.448</v>
      </c>
      <c r="I134" s="199" t="n">
        <v>10.024</v>
      </c>
      <c r="J134" s="199" t="n">
        <v>25.926</v>
      </c>
      <c r="K134" s="199" t="n">
        <v>13.665</v>
      </c>
      <c r="L134" s="199" t="n">
        <v>23.684</v>
      </c>
      <c r="M134" s="199" t="n">
        <v>10.177</v>
      </c>
      <c r="N134" s="199" t="n">
        <v>8.996</v>
      </c>
      <c r="O134" s="199" t="n">
        <v>8.151</v>
      </c>
      <c r="P134" s="199" t="n">
        <v>12.136</v>
      </c>
      <c r="Q134" s="199" t="n">
        <v>39.46</v>
      </c>
      <c r="R134" s="199" t="n">
        <v>17.055</v>
      </c>
      <c r="S134" s="199" t="n">
        <v>17.628</v>
      </c>
      <c r="T134" s="199" t="n">
        <v>17.102</v>
      </c>
      <c r="U134" s="199" t="n">
        <v>17.706</v>
      </c>
      <c r="V134" s="199" t="n">
        <v>69.491</v>
      </c>
      <c r="W134" s="199" t="n">
        <v>21.357</v>
      </c>
      <c r="X134" s="199" t="n">
        <v>22.188</v>
      </c>
      <c r="Y134" s="199" t="n">
        <v>22.848</v>
      </c>
      <c r="Z134" s="199" t="n">
        <v>21.239</v>
      </c>
      <c r="AA134" s="199" t="n">
        <v>87.63200000000001</v>
      </c>
      <c r="AB134" s="199" t="n">
        <v>26.144</v>
      </c>
      <c r="AC134" s="199" t="n">
        <v>27.317</v>
      </c>
      <c r="AD134" s="199" t="n">
        <v>29.02</v>
      </c>
      <c r="AE134" s="199" t="n">
        <v>23.762</v>
      </c>
      <c r="AF134" s="199" t="n">
        <v>106.243</v>
      </c>
      <c r="AG134" s="199" t="n">
        <v>33.517</v>
      </c>
      <c r="AH134" s="199" t="n">
        <v>41.852</v>
      </c>
      <c r="AI134" s="196">
        <f>AI95-AI113-AI115-(AI123+AI124+AI120+AI118+AI122)</f>
        <v/>
      </c>
      <c r="AJ134" s="196">
        <f>AJ95-AJ113-AJ115-(AJ123+AJ124+AJ120+AJ118+AJ122)</f>
        <v/>
      </c>
      <c r="AK134" s="196">
        <f>SUM(AG134,AH134,AI134,AJ134)</f>
        <v/>
      </c>
      <c r="AL134" s="196">
        <f>AL95-AL113-AL115-(AL123+AL124+AL120+AL118+AL122)</f>
        <v/>
      </c>
      <c r="AM134" s="196">
        <f>AM95-AM113-AM115-(AM123+AM124+AM120+AM118+AM122)</f>
        <v/>
      </c>
      <c r="AN134" s="196">
        <f>AN95-AN113-AN115-(AN123+AN124+AN120+AN118+AN122)</f>
        <v/>
      </c>
      <c r="AO134" s="196">
        <f>AO95-AO113-AO115-(AO123+AO124+AO120+AO118+AO122)</f>
        <v/>
      </c>
      <c r="AP134" s="6" t="inlineStr">
        <is>
          <t>Historical as reported (FY2012–21: prospectus EBITDA reconciliation). Forecast = Adjusted EBITDA − D&amp;A − EBITDA adjusting items.</t>
        </is>
      </c>
      <c r="AR134" s="21">
        <f>IFERROR((AO134/AF134)^(1/5)-1,"n/m")</f>
        <v/>
      </c>
      <c r="AS134" s="21">
        <f>IFERROR((AF134/K134)^(1/5)-1,"n/m")</f>
        <v/>
      </c>
      <c r="AT134" s="21">
        <f>IFERROR((AF134/F134)^(1/10)-1,"n/m")</f>
        <v/>
      </c>
      <c r="AU134" s="21">
        <f>IFERROR((AF134/C134)^(1/13)-1,"n/m")</f>
        <v/>
      </c>
    </row>
    <row r="135" ht="15" customHeight="1">
      <c r="B135" s="26" t="inlineStr">
        <is>
          <t xml:space="preserve">  Operating margin (GAAP) %</t>
        </is>
      </c>
      <c r="C135" s="183">
        <f>IF(AND(ISNUMBER(C134),ISNUMBER(C127)),IFERROR(C134/C127,""),"")</f>
        <v/>
      </c>
      <c r="D135" s="183">
        <f>IF(AND(ISNUMBER(D134),ISNUMBER(D127)),IFERROR(D134/D127,""),"")</f>
        <v/>
      </c>
      <c r="E135" s="183">
        <f>IF(AND(ISNUMBER(E134),ISNUMBER(E127)),IFERROR(E134/E127,""),"")</f>
        <v/>
      </c>
      <c r="F135" s="183">
        <f>IF(AND(ISNUMBER(F134),ISNUMBER(F127)),IFERROR(F134/F127,""),"")</f>
        <v/>
      </c>
      <c r="G135" s="183">
        <f>IF(AND(ISNUMBER(G134),ISNUMBER(G127)),IFERROR(G134/G127,""),"")</f>
        <v/>
      </c>
      <c r="H135" s="183">
        <f>IF(AND(ISNUMBER(H134),ISNUMBER(H127)),IFERROR(H134/H127,""),"")</f>
        <v/>
      </c>
      <c r="I135" s="183">
        <f>IF(AND(ISNUMBER(I134),ISNUMBER(I127)),IFERROR(I134/I127,""),"")</f>
        <v/>
      </c>
      <c r="J135" s="183">
        <f>IF(AND(ISNUMBER(J134),ISNUMBER(J127)),IFERROR(J134/J127,""),"")</f>
        <v/>
      </c>
      <c r="K135" s="183">
        <f>IF(AND(ISNUMBER(K134),ISNUMBER(K127)),IFERROR(K134/K127,""),"")</f>
        <v/>
      </c>
      <c r="L135" s="183">
        <f>IF(AND(ISNUMBER(L134),ISNUMBER(L127)),IFERROR(L134/L127,""),"")</f>
        <v/>
      </c>
      <c r="M135" s="183">
        <f>IF(AND(ISNUMBER(M134),ISNUMBER(M127)),IFERROR(M134/M127,""),"")</f>
        <v/>
      </c>
      <c r="N135" s="183">
        <f>IF(AND(ISNUMBER(N134),ISNUMBER(N127)),IFERROR(N134/N127,""),"")</f>
        <v/>
      </c>
      <c r="O135" s="183">
        <f>IF(AND(ISNUMBER(O134),ISNUMBER(O127)),IFERROR(O134/O127,""),"")</f>
        <v/>
      </c>
      <c r="P135" s="183">
        <f>IF(AND(ISNUMBER(P134),ISNUMBER(P127)),IFERROR(P134/P127,""),"")</f>
        <v/>
      </c>
      <c r="Q135" s="183">
        <f>IF(AND(ISNUMBER(Q134),ISNUMBER(Q127)),IFERROR(Q134/Q127,""),"")</f>
        <v/>
      </c>
      <c r="R135" s="183">
        <f>IF(AND(ISNUMBER(R134),ISNUMBER(R127)),IFERROR(R134/R127,""),"")</f>
        <v/>
      </c>
      <c r="S135" s="183">
        <f>IF(AND(ISNUMBER(S134),ISNUMBER(S127)),IFERROR(S134/S127,""),"")</f>
        <v/>
      </c>
      <c r="T135" s="183">
        <f>IF(AND(ISNUMBER(T134),ISNUMBER(T127)),IFERROR(T134/T127,""),"")</f>
        <v/>
      </c>
      <c r="U135" s="183">
        <f>IF(AND(ISNUMBER(U134),ISNUMBER(U127)),IFERROR(U134/U127,""),"")</f>
        <v/>
      </c>
      <c r="V135" s="183">
        <f>IF(AND(ISNUMBER(V134),ISNUMBER(V127)),IFERROR(V134/V127,""),"")</f>
        <v/>
      </c>
      <c r="W135" s="183">
        <f>IF(AND(ISNUMBER(W134),ISNUMBER(W127)),IFERROR(W134/W127,""),"")</f>
        <v/>
      </c>
      <c r="X135" s="183">
        <f>IF(AND(ISNUMBER(X134),ISNUMBER(X127)),IFERROR(X134/X127,""),"")</f>
        <v/>
      </c>
      <c r="Y135" s="183">
        <f>IF(AND(ISNUMBER(Y134),ISNUMBER(Y127)),IFERROR(Y134/Y127,""),"")</f>
        <v/>
      </c>
      <c r="Z135" s="183">
        <f>IF(AND(ISNUMBER(Z134),ISNUMBER(Z127)),IFERROR(Z134/Z127,""),"")</f>
        <v/>
      </c>
      <c r="AA135" s="183">
        <f>IF(AND(ISNUMBER(AA134),ISNUMBER(AA127)),IFERROR(AA134/AA127,""),"")</f>
        <v/>
      </c>
      <c r="AB135" s="183">
        <f>IF(AND(ISNUMBER(AB134),ISNUMBER(AB127)),IFERROR(AB134/AB127,""),"")</f>
        <v/>
      </c>
      <c r="AC135" s="183">
        <f>IF(AND(ISNUMBER(AC134),ISNUMBER(AC127)),IFERROR(AC134/AC127,""),"")</f>
        <v/>
      </c>
      <c r="AD135" s="183">
        <f>IF(AND(ISNUMBER(AD134),ISNUMBER(AD127)),IFERROR(AD134/AD127,""),"")</f>
        <v/>
      </c>
      <c r="AE135" s="183">
        <f>IF(AND(ISNUMBER(AE134),ISNUMBER(AE127)),IFERROR(AE134/AE127,""),"")</f>
        <v/>
      </c>
      <c r="AF135" s="183">
        <f>IF(AND(ISNUMBER(AF134),ISNUMBER(AF127)),IFERROR(AF134/AF127,""),"")</f>
        <v/>
      </c>
      <c r="AG135" s="183">
        <f>IF(AND(ISNUMBER(AG134),ISNUMBER(AG127)),IFERROR(AG134/AG127,""),"")</f>
        <v/>
      </c>
      <c r="AH135" s="183">
        <f>IF(AND(ISNUMBER(AH134),ISNUMBER(AH127)),IFERROR(AH134/AH127,""),"")</f>
        <v/>
      </c>
      <c r="AI135" s="177">
        <f>IF(AND(ISNUMBER(AI134),ISNUMBER(AI127)),IFERROR(AI134/AI127,""),"")</f>
        <v/>
      </c>
      <c r="AJ135" s="177">
        <f>IF(AND(ISNUMBER(AJ134),ISNUMBER(AJ127)),IFERROR(AJ134/AJ127,""),"")</f>
        <v/>
      </c>
      <c r="AK135" s="177">
        <f>IF(AND(ISNUMBER(AK134),ISNUMBER(AK127)),IFERROR(AK134/AK127,""),"")</f>
        <v/>
      </c>
      <c r="AL135" s="177">
        <f>IF(AND(ISNUMBER(AL134),ISNUMBER(AL127)),IFERROR(AL134/AL127,""),"")</f>
        <v/>
      </c>
      <c r="AM135" s="177">
        <f>IF(AND(ISNUMBER(AM134),ISNUMBER(AM127)),IFERROR(AM134/AM127,""),"")</f>
        <v/>
      </c>
      <c r="AN135" s="177">
        <f>IF(AND(ISNUMBER(AN134),ISNUMBER(AN127)),IFERROR(AN134/AN127,""),"")</f>
        <v/>
      </c>
      <c r="AO135" s="177">
        <f>IF(AND(ISNUMBER(AO134),ISNUMBER(AO127)),IFERROR(AO134/AO127,""),"")</f>
        <v/>
      </c>
      <c r="AP135" s="6" t="n"/>
      <c r="AR135" s="39">
        <f>IFERROR(AVERAGE(AK135,AL135,AM135,AN135,AO135),"n/m")</f>
        <v/>
      </c>
      <c r="AS135" s="39">
        <f>IFERROR(AVERAGE(L135,Q135,V135,AA135,AF135),"n/m")</f>
        <v/>
      </c>
      <c r="AT135" s="39">
        <f>IFERROR(AVERAGE(G135,H135,I135,J135,K135,L135,Q135,V135,AA135,AF135),"n/m")</f>
        <v/>
      </c>
      <c r="AU135" s="39">
        <f>IFERROR(AVERAGE(C135,D135,E135,F135,G135,H135,I135,J135,K135,L135,Q135,V135,AA135,AF135),"n/m")</f>
        <v/>
      </c>
    </row>
    <row r="136" ht="15" customHeight="1">
      <c r="B136" s="26" t="inlineStr">
        <is>
          <t>Interest expense, net</t>
        </is>
      </c>
      <c r="C136" s="174" t="n">
        <v>0.014</v>
      </c>
      <c r="D136" s="174" t="n">
        <v>0.01</v>
      </c>
      <c r="E136" s="174" t="n">
        <v>0.015</v>
      </c>
      <c r="F136" s="174" t="n">
        <v>0.981</v>
      </c>
      <c r="G136" s="174" t="n">
        <v>8.933</v>
      </c>
      <c r="H136" s="174" t="n">
        <v>10.61</v>
      </c>
      <c r="I136" s="174" t="n">
        <v>16.846</v>
      </c>
      <c r="J136" s="174" t="n">
        <v>29.304</v>
      </c>
      <c r="K136" s="174" t="n">
        <v>32.864</v>
      </c>
      <c r="L136" s="174" t="n">
        <v>31.637</v>
      </c>
      <c r="M136" s="174" t="n">
        <v>7.762</v>
      </c>
      <c r="N136" s="174" t="n">
        <v>7.832</v>
      </c>
      <c r="O136" s="174" t="n">
        <v>11.832</v>
      </c>
      <c r="P136" s="174" t="n">
        <v>14.645</v>
      </c>
      <c r="Q136" s="174" t="n">
        <v>42.071</v>
      </c>
      <c r="R136" s="174" t="n">
        <v>15.402</v>
      </c>
      <c r="S136" s="174" t="n">
        <v>16.568</v>
      </c>
      <c r="T136" s="174" t="n">
        <v>17.155</v>
      </c>
      <c r="U136" s="174" t="n">
        <v>17.929</v>
      </c>
      <c r="V136" s="174" t="n">
        <v>67.054</v>
      </c>
      <c r="W136" s="174" t="n">
        <v>17.734</v>
      </c>
      <c r="X136" s="174" t="n">
        <v>10.636</v>
      </c>
      <c r="Y136" s="174" t="n">
        <v>9.962</v>
      </c>
      <c r="Z136" s="174" t="n">
        <v>13.78</v>
      </c>
      <c r="AA136" s="174" t="n">
        <v>52.112</v>
      </c>
      <c r="AB136" s="174" t="n">
        <v>6.459</v>
      </c>
      <c r="AC136" s="174" t="n">
        <v>6.481</v>
      </c>
      <c r="AD136" s="174" t="n">
        <v>6.012</v>
      </c>
      <c r="AE136" s="174" t="n">
        <v>6.713</v>
      </c>
      <c r="AF136" s="174" t="n">
        <v>25.665</v>
      </c>
      <c r="AG136" s="174" t="n">
        <v>18.71</v>
      </c>
      <c r="AH136" s="174" t="n">
        <v>20.014</v>
      </c>
      <c r="AI136" s="175">
        <f>($AZ$19-(AG136+AH136))/2</f>
        <v/>
      </c>
      <c r="AJ136" s="175">
        <f>($AZ$19-(AG136+AH136))/2</f>
        <v/>
      </c>
      <c r="AK136" s="175">
        <f>SUM(AG136,AH136,AI136,AJ136)</f>
        <v/>
      </c>
      <c r="AL136" s="175">
        <f>AK344*AL351+AK348*AL350-AK257*AL352</f>
        <v/>
      </c>
      <c r="AM136" s="175">
        <f>AL344*AM351+AL348*AM350-AL257*AM352</f>
        <v/>
      </c>
      <c r="AN136" s="175">
        <f>AM344*AN351+AM348*AN350-AM257*AN352</f>
        <v/>
      </c>
      <c r="AO136" s="175">
        <f>AN344*AO351+AN348*AO350-AN257*AO352</f>
        <v/>
      </c>
      <c r="AP136" s="20" t="inlineStr">
        <is>
          <t>Q3/Q4-26E: FY26 guidance (~$80m) less 1H/26, split evenly. 2027E+ = rate × opening term loans + rate × other debt − yield × opening cash (no circularity). Includes debt-cost amortization.</t>
        </is>
      </c>
    </row>
    <row r="137" ht="15" customHeight="1">
      <c r="B137" s="26" t="inlineStr">
        <is>
          <t>Refinancing costs / loss on debt extinguishment &amp; other non-operating items</t>
        </is>
      </c>
      <c r="C137" s="174" t="n">
        <v>0</v>
      </c>
      <c r="D137" s="174" t="n">
        <v>0</v>
      </c>
      <c r="E137" s="174" t="n">
        <v>-0.15</v>
      </c>
      <c r="F137" s="174" t="n">
        <v>0</v>
      </c>
      <c r="G137" s="174" t="n">
        <v>-0.07199999999999999</v>
      </c>
      <c r="H137" s="174" t="n">
        <v>5.233</v>
      </c>
      <c r="I137" s="174" t="n">
        <v>0</v>
      </c>
      <c r="J137" s="174" t="n">
        <v>0</v>
      </c>
      <c r="K137" s="174" t="n">
        <v>0</v>
      </c>
      <c r="L137" s="174" t="n">
        <v>0</v>
      </c>
      <c r="M137" s="174" t="n">
        <v>0</v>
      </c>
      <c r="N137" s="174" t="n">
        <v>0</v>
      </c>
      <c r="O137" s="174" t="n">
        <v>0</v>
      </c>
      <c r="P137" s="174" t="n">
        <v>0</v>
      </c>
      <c r="Q137" s="174" t="n">
        <v>0</v>
      </c>
      <c r="R137" s="174" t="n">
        <v>0</v>
      </c>
      <c r="S137" s="174" t="n">
        <v>0</v>
      </c>
      <c r="T137" s="174" t="n">
        <v>0</v>
      </c>
      <c r="U137" s="174" t="n">
        <v>0</v>
      </c>
      <c r="V137" s="174" t="n">
        <v>0</v>
      </c>
      <c r="W137" s="174" t="n">
        <v>0</v>
      </c>
      <c r="X137" s="174" t="n">
        <v>1.645</v>
      </c>
      <c r="Y137" s="174" t="n">
        <v>0</v>
      </c>
      <c r="Z137" s="174" t="n">
        <v>4.814</v>
      </c>
      <c r="AA137" s="174" t="n">
        <v>6.459</v>
      </c>
      <c r="AB137" s="174" t="n">
        <v>0</v>
      </c>
      <c r="AC137" s="174" t="n">
        <v>0</v>
      </c>
      <c r="AD137" s="174" t="n">
        <v>0</v>
      </c>
      <c r="AE137" s="174" t="n">
        <v>0</v>
      </c>
      <c r="AF137" s="174" t="n">
        <v>0</v>
      </c>
      <c r="AG137" s="174" t="n">
        <v>0</v>
      </c>
      <c r="AH137" s="174" t="n">
        <v>0</v>
      </c>
      <c r="AI137" s="187" t="n">
        <v>0</v>
      </c>
      <c r="AJ137" s="187" t="n">
        <v>0</v>
      </c>
      <c r="AK137" s="175">
        <f>SUM(AG137,AH137,AI137,AJ137)</f>
        <v/>
      </c>
      <c r="AL137" s="187" t="n">
        <v>0</v>
      </c>
      <c r="AM137" s="187" t="n">
        <v>0</v>
      </c>
      <c r="AN137" s="187" t="n">
        <v>0</v>
      </c>
      <c r="AO137" s="187" t="n">
        <v>0</v>
      </c>
      <c r="AP137" s="20" t="inlineStr">
        <is>
          <t>2024: write-off of unamortized debt costs on the IPO / follow-on term-loan repayments ($1.6m Q2, $4.8m Q4). 2016–17: loss on extinguishment; 2015–16 FX / insurance gains.</t>
        </is>
      </c>
    </row>
    <row r="138" ht="15" customHeight="1">
      <c r="B138" s="17" t="inlineStr">
        <is>
          <t>Income before income taxes</t>
        </is>
      </c>
      <c r="C138" s="181">
        <f>IF(ISNUMBER(C134),C134-C136-N(C137),"")</f>
        <v/>
      </c>
      <c r="D138" s="181">
        <f>IF(ISNUMBER(D134),D134-D136-N(D137),"")</f>
        <v/>
      </c>
      <c r="E138" s="181">
        <f>IF(ISNUMBER(E134),E134-E136-N(E137),"")</f>
        <v/>
      </c>
      <c r="F138" s="181">
        <f>IF(ISNUMBER(F134),F134-F136-N(F137),"")</f>
        <v/>
      </c>
      <c r="G138" s="181">
        <f>IF(ISNUMBER(G134),G134-G136-N(G137),"")</f>
        <v/>
      </c>
      <c r="H138" s="181">
        <f>IF(ISNUMBER(H134),H134-H136-N(H137),"")</f>
        <v/>
      </c>
      <c r="I138" s="181">
        <f>IF(ISNUMBER(I134),I134-I136-N(I137),"")</f>
        <v/>
      </c>
      <c r="J138" s="181">
        <f>IF(ISNUMBER(J134),J134-J136-N(J137),"")</f>
        <v/>
      </c>
      <c r="K138" s="181">
        <f>IF(ISNUMBER(K134),K134-K136-N(K137),"")</f>
        <v/>
      </c>
      <c r="L138" s="181">
        <f>IF(ISNUMBER(L134),L134-L136-N(L137),"")</f>
        <v/>
      </c>
      <c r="M138" s="181">
        <f>IF(ISNUMBER(M134),M134-M136-N(M137),"")</f>
        <v/>
      </c>
      <c r="N138" s="181">
        <f>IF(ISNUMBER(N134),N134-N136-N(N137),"")</f>
        <v/>
      </c>
      <c r="O138" s="181">
        <f>IF(ISNUMBER(O134),O134-O136-N(O137),"")</f>
        <v/>
      </c>
      <c r="P138" s="181">
        <f>IF(ISNUMBER(P134),P134-P136-N(P137),"")</f>
        <v/>
      </c>
      <c r="Q138" s="181">
        <f>IF(ISNUMBER(Q134),Q134-Q136-N(Q137),"")</f>
        <v/>
      </c>
      <c r="R138" s="181">
        <f>IF(ISNUMBER(R134),R134-R136-N(R137),"")</f>
        <v/>
      </c>
      <c r="S138" s="181">
        <f>IF(ISNUMBER(S134),S134-S136-N(S137),"")</f>
        <v/>
      </c>
      <c r="T138" s="181">
        <f>IF(ISNUMBER(T134),T134-T136-N(T137),"")</f>
        <v/>
      </c>
      <c r="U138" s="181">
        <f>IF(ISNUMBER(U134),U134-U136-N(U137),"")</f>
        <v/>
      </c>
      <c r="V138" s="181">
        <f>IF(ISNUMBER(V134),V134-V136-N(V137),"")</f>
        <v/>
      </c>
      <c r="W138" s="181">
        <f>IF(ISNUMBER(W134),W134-W136-N(W137),"")</f>
        <v/>
      </c>
      <c r="X138" s="181">
        <f>IF(ISNUMBER(X134),X134-X136-N(X137),"")</f>
        <v/>
      </c>
      <c r="Y138" s="181">
        <f>IF(ISNUMBER(Y134),Y134-Y136-N(Y137),"")</f>
        <v/>
      </c>
      <c r="Z138" s="181">
        <f>IF(ISNUMBER(Z134),Z134-Z136-N(Z137),"")</f>
        <v/>
      </c>
      <c r="AA138" s="181">
        <f>IF(ISNUMBER(AA134),AA134-AA136-N(AA137),"")</f>
        <v/>
      </c>
      <c r="AB138" s="181">
        <f>IF(ISNUMBER(AB134),AB134-AB136-N(AB137),"")</f>
        <v/>
      </c>
      <c r="AC138" s="181">
        <f>IF(ISNUMBER(AC134),AC134-AC136-N(AC137),"")</f>
        <v/>
      </c>
      <c r="AD138" s="181">
        <f>IF(ISNUMBER(AD134),AD134-AD136-N(AD137),"")</f>
        <v/>
      </c>
      <c r="AE138" s="181">
        <f>IF(ISNUMBER(AE134),AE134-AE136-N(AE137),"")</f>
        <v/>
      </c>
      <c r="AF138" s="181">
        <f>IF(ISNUMBER(AF134),AF134-AF136-N(AF137),"")</f>
        <v/>
      </c>
      <c r="AG138" s="181">
        <f>IF(ISNUMBER(AG134),AG134-AG136-N(AG137),"")</f>
        <v/>
      </c>
      <c r="AH138" s="181">
        <f>IF(ISNUMBER(AH134),AH134-AH136-N(AH137),"")</f>
        <v/>
      </c>
      <c r="AI138" s="182">
        <f>IF(ISNUMBER(AI134),AI134-AI136-N(AI137),"")</f>
        <v/>
      </c>
      <c r="AJ138" s="182">
        <f>IF(ISNUMBER(AJ134),AJ134-AJ136-N(AJ137),"")</f>
        <v/>
      </c>
      <c r="AK138" s="182">
        <f>IF(ISNUMBER(AK134),AK134-AK136-N(AK137),"")</f>
        <v/>
      </c>
      <c r="AL138" s="182">
        <f>IF(ISNUMBER(AL134),AL134-AL136-N(AL137),"")</f>
        <v/>
      </c>
      <c r="AM138" s="182">
        <f>IF(ISNUMBER(AM134),AM134-AM136-N(AM137),"")</f>
        <v/>
      </c>
      <c r="AN138" s="182">
        <f>IF(ISNUMBER(AN134),AN134-AN136-N(AN137),"")</f>
        <v/>
      </c>
      <c r="AO138" s="182">
        <f>IF(ISNUMBER(AO134),AO134-AO136-N(AO137),"")</f>
        <v/>
      </c>
      <c r="AP138" s="6" t="n"/>
    </row>
    <row r="139" ht="15" customHeight="1">
      <c r="B139" s="26" t="inlineStr">
        <is>
          <t>Income tax provision (benefit)</t>
        </is>
      </c>
      <c r="C139" s="174" t="n">
        <v>0.16</v>
      </c>
      <c r="D139" s="174" t="n">
        <v>0.105</v>
      </c>
      <c r="E139" s="174" t="n">
        <v>-2.382</v>
      </c>
      <c r="F139" s="174" t="n">
        <v>0.6850000000000001</v>
      </c>
      <c r="G139" s="174" t="n">
        <v>0.499</v>
      </c>
      <c r="H139" s="174" t="n">
        <v>-13.228</v>
      </c>
      <c r="I139" s="174" t="n">
        <v>-1.101</v>
      </c>
      <c r="J139" s="174" t="n">
        <v>0.774</v>
      </c>
      <c r="K139" s="174" t="n">
        <v>-2.147</v>
      </c>
      <c r="L139" s="174" t="n">
        <v>-2.599</v>
      </c>
      <c r="M139" s="174" t="n">
        <v>1.042</v>
      </c>
      <c r="N139" s="174" t="n">
        <v>0.6</v>
      </c>
      <c r="O139" s="174" t="n">
        <v>-2.303</v>
      </c>
      <c r="P139" s="174" t="n">
        <v>0.519</v>
      </c>
      <c r="Q139" s="174" t="n">
        <v>-0.142</v>
      </c>
      <c r="R139" s="174" t="n">
        <v>9.172000000000001</v>
      </c>
      <c r="S139" s="174" t="n">
        <v>0.437</v>
      </c>
      <c r="T139" s="174" t="n">
        <v>-2.907</v>
      </c>
      <c r="U139" s="174" t="n">
        <v>0.35</v>
      </c>
      <c r="V139" s="174" t="n">
        <v>7.052</v>
      </c>
      <c r="W139" s="174" t="n">
        <v>1.374</v>
      </c>
      <c r="X139" s="174" t="n">
        <v>2.266</v>
      </c>
      <c r="Y139" s="174" t="n">
        <v>4.23</v>
      </c>
      <c r="Z139" s="174" t="n">
        <v>-1.04</v>
      </c>
      <c r="AA139" s="174" t="n">
        <v>6.83</v>
      </c>
      <c r="AB139" s="174" t="n">
        <v>4.369</v>
      </c>
      <c r="AC139" s="174" t="n">
        <v>4.123</v>
      </c>
      <c r="AD139" s="174" t="n">
        <v>-4.598</v>
      </c>
      <c r="AE139" s="174" t="n">
        <v>4.538</v>
      </c>
      <c r="AF139" s="174" t="n">
        <v>8.432</v>
      </c>
      <c r="AG139" s="174" t="n">
        <v>3.664</v>
      </c>
      <c r="AH139" s="174" t="n">
        <v>5.096</v>
      </c>
      <c r="AI139" s="175">
        <f>AI138*AI140</f>
        <v/>
      </c>
      <c r="AJ139" s="175">
        <f>AJ138*AJ140</f>
        <v/>
      </c>
      <c r="AK139" s="175">
        <f>SUM(AG139,AH139,AI139,AJ139)</f>
        <v/>
      </c>
      <c r="AL139" s="175">
        <f>AL138*AL140</f>
        <v/>
      </c>
      <c r="AM139" s="175">
        <f>AM138*AM140</f>
        <v/>
      </c>
      <c r="AN139" s="175">
        <f>AN138*AN140</f>
        <v/>
      </c>
      <c r="AO139" s="175">
        <f>AO138*AO140</f>
        <v/>
      </c>
      <c r="AP139" s="20" t="n"/>
    </row>
    <row r="140" ht="15" customHeight="1">
      <c r="B140" s="26" t="inlineStr">
        <is>
          <t xml:space="preserve">  Effective tax rate</t>
        </is>
      </c>
      <c r="C140" s="183">
        <f>IF(AND(ISNUMBER(C139),ISNUMBER(C138)),IFERROR(C139/C138,""),"")</f>
        <v/>
      </c>
      <c r="D140" s="183">
        <f>IF(AND(ISNUMBER(D139),ISNUMBER(D138)),IFERROR(D139/D138,""),"")</f>
        <v/>
      </c>
      <c r="E140" s="183">
        <f>IF(AND(ISNUMBER(E139),ISNUMBER(E138)),IFERROR(E139/E138,""),"")</f>
        <v/>
      </c>
      <c r="F140" s="183">
        <f>IF(AND(ISNUMBER(F139),ISNUMBER(F138)),IFERROR(F139/F138,""),"")</f>
        <v/>
      </c>
      <c r="G140" s="183">
        <f>IF(AND(ISNUMBER(G139),ISNUMBER(G138)),IFERROR(G139/G138,""),"")</f>
        <v/>
      </c>
      <c r="H140" s="183">
        <f>IF(AND(ISNUMBER(H139),ISNUMBER(H138)),IFERROR(H139/H138,""),"")</f>
        <v/>
      </c>
      <c r="I140" s="183">
        <f>IF(AND(ISNUMBER(I139),ISNUMBER(I138)),IFERROR(I139/I138,""),"")</f>
        <v/>
      </c>
      <c r="J140" s="183">
        <f>IF(AND(ISNUMBER(J139),ISNUMBER(J138)),IFERROR(J139/J138,""),"")</f>
        <v/>
      </c>
      <c r="K140" s="183">
        <f>IF(AND(ISNUMBER(K139),ISNUMBER(K138)),IFERROR(K139/K138,""),"")</f>
        <v/>
      </c>
      <c r="L140" s="183">
        <f>IF(AND(ISNUMBER(L139),ISNUMBER(L138)),IFERROR(L139/L138,""),"")</f>
        <v/>
      </c>
      <c r="M140" s="183">
        <f>IF(AND(ISNUMBER(M139),ISNUMBER(M138)),IFERROR(M139/M138,""),"")</f>
        <v/>
      </c>
      <c r="N140" s="183">
        <f>IF(AND(ISNUMBER(N139),ISNUMBER(N138)),IFERROR(N139/N138,""),"")</f>
        <v/>
      </c>
      <c r="O140" s="183">
        <f>IF(AND(ISNUMBER(O139),ISNUMBER(O138)),IFERROR(O139/O138,""),"")</f>
        <v/>
      </c>
      <c r="P140" s="183">
        <f>IF(AND(ISNUMBER(P139),ISNUMBER(P138)),IFERROR(P139/P138,""),"")</f>
        <v/>
      </c>
      <c r="Q140" s="183">
        <f>IF(AND(ISNUMBER(Q139),ISNUMBER(Q138)),IFERROR(Q139/Q138,""),"")</f>
        <v/>
      </c>
      <c r="R140" s="183">
        <f>IF(AND(ISNUMBER(R139),ISNUMBER(R138)),IFERROR(R139/R138,""),"")</f>
        <v/>
      </c>
      <c r="S140" s="183">
        <f>IF(AND(ISNUMBER(S139),ISNUMBER(S138)),IFERROR(S139/S138,""),"")</f>
        <v/>
      </c>
      <c r="T140" s="183">
        <f>IF(AND(ISNUMBER(T139),ISNUMBER(T138)),IFERROR(T139/T138,""),"")</f>
        <v/>
      </c>
      <c r="U140" s="183">
        <f>IF(AND(ISNUMBER(U139),ISNUMBER(U138)),IFERROR(U139/U138,""),"")</f>
        <v/>
      </c>
      <c r="V140" s="183">
        <f>IF(AND(ISNUMBER(V139),ISNUMBER(V138)),IFERROR(V139/V138,""),"")</f>
        <v/>
      </c>
      <c r="W140" s="183">
        <f>IF(AND(ISNUMBER(W139),ISNUMBER(W138)),IFERROR(W139/W138,""),"")</f>
        <v/>
      </c>
      <c r="X140" s="183">
        <f>IF(AND(ISNUMBER(X139),ISNUMBER(X138)),IFERROR(X139/X138,""),"")</f>
        <v/>
      </c>
      <c r="Y140" s="183">
        <f>IF(AND(ISNUMBER(Y139),ISNUMBER(Y138)),IFERROR(Y139/Y138,""),"")</f>
        <v/>
      </c>
      <c r="Z140" s="183">
        <f>IF(AND(ISNUMBER(Z139),ISNUMBER(Z138)),IFERROR(Z139/Z138,""),"")</f>
        <v/>
      </c>
      <c r="AA140" s="183">
        <f>IF(AND(ISNUMBER(AA139),ISNUMBER(AA138)),IFERROR(AA139/AA138,""),"")</f>
        <v/>
      </c>
      <c r="AB140" s="183">
        <f>IF(AND(ISNUMBER(AB139),ISNUMBER(AB138)),IFERROR(AB139/AB138,""),"")</f>
        <v/>
      </c>
      <c r="AC140" s="183">
        <f>IF(AND(ISNUMBER(AC139),ISNUMBER(AC138)),IFERROR(AC139/AC138,""),"")</f>
        <v/>
      </c>
      <c r="AD140" s="183">
        <f>IF(AND(ISNUMBER(AD139),ISNUMBER(AD138)),IFERROR(AD139/AD138,""),"")</f>
        <v/>
      </c>
      <c r="AE140" s="183">
        <f>IF(AND(ISNUMBER(AE139),ISNUMBER(AE138)),IFERROR(AE139/AE138,""),"")</f>
        <v/>
      </c>
      <c r="AF140" s="183">
        <f>IF(AND(ISNUMBER(AF139),ISNUMBER(AF138)),IFERROR(AF139/AF138,""),"")</f>
        <v/>
      </c>
      <c r="AG140" s="183">
        <f>IF(AND(ISNUMBER(AG139),ISNUMBER(AG138)),IFERROR(AG139/AG138,""),"")</f>
        <v/>
      </c>
      <c r="AH140" s="183">
        <f>IF(AND(ISNUMBER(AH139),ISNUMBER(AH138)),IFERROR(AH139/AH138,""),"")</f>
        <v/>
      </c>
      <c r="AI140" s="177">
        <f>$AZ$22</f>
        <v/>
      </c>
      <c r="AJ140" s="177">
        <f>$AZ$22</f>
        <v/>
      </c>
      <c r="AK140" s="177">
        <f>IF(AND(ISNUMBER(AK139),ISNUMBER(AK138)),IFERROR(AK139/AK138,""),"")</f>
        <v/>
      </c>
      <c r="AL140" s="192" t="n">
        <v>0.24</v>
      </c>
      <c r="AM140" s="192" t="n">
        <v>0.24</v>
      </c>
      <c r="AN140" s="192" t="n">
        <v>0.24</v>
      </c>
      <c r="AO140" s="192" t="n">
        <v>0.24</v>
      </c>
      <c r="AP140" s="6" t="inlineStr">
        <is>
          <t>Pre-IPO rates are not meaningful (LLC structure, valuation allowances). Q3/Q4-26E: point estimate (1H/26 23.9%). 2027E+ input.</t>
        </is>
      </c>
      <c r="AR140" s="39">
        <f>IFERROR(AVERAGE(AK140,AL140,AM140,AN140,AO140),"n/m")</f>
        <v/>
      </c>
      <c r="AS140" s="39">
        <f>IFERROR(AVERAGE(L140,Q140,V140,AA140,AF140),"n/m")</f>
        <v/>
      </c>
      <c r="AT140" s="39">
        <f>IFERROR(AVERAGE(G140,H140,I140,J140,K140,L140,Q140,V140,AA140,AF140),"n/m")</f>
        <v/>
      </c>
      <c r="AU140" s="39">
        <f>IFERROR(AVERAGE(C140,D140,E140,F140,G140,H140,I140,J140,K140,L140,Q140,V140,AA140,AF140),"n/m")</f>
        <v/>
      </c>
    </row>
    <row r="141" ht="15" customHeight="1">
      <c r="B141" s="59" t="inlineStr">
        <is>
          <t>Net income (loss)</t>
        </is>
      </c>
      <c r="C141" s="196">
        <f>IF(ISNUMBER(C138),C138-C139,"")</f>
        <v/>
      </c>
      <c r="D141" s="196">
        <f>IF(ISNUMBER(D138),D138-D139,"")</f>
        <v/>
      </c>
      <c r="E141" s="196">
        <f>IF(ISNUMBER(E138),E138-E139,"")</f>
        <v/>
      </c>
      <c r="F141" s="196">
        <f>IF(ISNUMBER(F138),F138-F139,"")</f>
        <v/>
      </c>
      <c r="G141" s="196">
        <f>IF(ISNUMBER(G138),G138-G139,"")</f>
        <v/>
      </c>
      <c r="H141" s="196">
        <f>IF(ISNUMBER(H138),H138-H139,"")</f>
        <v/>
      </c>
      <c r="I141" s="196">
        <f>IF(ISNUMBER(I138),I138-I139,"")</f>
        <v/>
      </c>
      <c r="J141" s="196">
        <f>IF(ISNUMBER(J138),J138-J139,"")</f>
        <v/>
      </c>
      <c r="K141" s="196">
        <f>IF(ISNUMBER(K138),K138-K139,"")</f>
        <v/>
      </c>
      <c r="L141" s="196">
        <f>IF(ISNUMBER(L138),L138-L139,"")</f>
        <v/>
      </c>
      <c r="M141" s="196">
        <f>IF(ISNUMBER(M138),M138-M139,"")</f>
        <v/>
      </c>
      <c r="N141" s="196">
        <f>IF(ISNUMBER(N138),N138-N139,"")</f>
        <v/>
      </c>
      <c r="O141" s="196">
        <f>IF(ISNUMBER(O138),O138-O139,"")</f>
        <v/>
      </c>
      <c r="P141" s="196">
        <f>IF(ISNUMBER(P138),P138-P139,"")</f>
        <v/>
      </c>
      <c r="Q141" s="196">
        <f>IF(ISNUMBER(Q138),Q138-Q139,"")</f>
        <v/>
      </c>
      <c r="R141" s="196">
        <f>IF(ISNUMBER(R138),R138-R139,"")</f>
        <v/>
      </c>
      <c r="S141" s="196">
        <f>IF(ISNUMBER(S138),S138-S139,"")</f>
        <v/>
      </c>
      <c r="T141" s="196">
        <f>IF(ISNUMBER(T138),T138-T139,"")</f>
        <v/>
      </c>
      <c r="U141" s="196">
        <f>IF(ISNUMBER(U138),U138-U139,"")</f>
        <v/>
      </c>
      <c r="V141" s="196">
        <f>IF(ISNUMBER(V138),V138-V139,"")</f>
        <v/>
      </c>
      <c r="W141" s="196">
        <f>IF(ISNUMBER(W138),W138-W139,"")</f>
        <v/>
      </c>
      <c r="X141" s="196">
        <f>IF(ISNUMBER(X138),X138-X139,"")</f>
        <v/>
      </c>
      <c r="Y141" s="196">
        <f>IF(ISNUMBER(Y138),Y138-Y139,"")</f>
        <v/>
      </c>
      <c r="Z141" s="196">
        <f>IF(ISNUMBER(Z138),Z138-Z139,"")</f>
        <v/>
      </c>
      <c r="AA141" s="196">
        <f>IF(ISNUMBER(AA138),AA138-AA139,"")</f>
        <v/>
      </c>
      <c r="AB141" s="196">
        <f>IF(ISNUMBER(AB138),AB138-AB139,"")</f>
        <v/>
      </c>
      <c r="AC141" s="196">
        <f>IF(ISNUMBER(AC138),AC138-AC139,"")</f>
        <v/>
      </c>
      <c r="AD141" s="196">
        <f>IF(ISNUMBER(AD138),AD138-AD139,"")</f>
        <v/>
      </c>
      <c r="AE141" s="196">
        <f>IF(ISNUMBER(AE138),AE138-AE139,"")</f>
        <v/>
      </c>
      <c r="AF141" s="196">
        <f>IF(ISNUMBER(AF138),AF138-AF139,"")</f>
        <v/>
      </c>
      <c r="AG141" s="196">
        <f>IF(ISNUMBER(AG138),AG138-AG139,"")</f>
        <v/>
      </c>
      <c r="AH141" s="196">
        <f>IF(ISNUMBER(AH138),AH138-AH139,"")</f>
        <v/>
      </c>
      <c r="AI141" s="196">
        <f>IF(ISNUMBER(AI138),AI138-AI139,"")</f>
        <v/>
      </c>
      <c r="AJ141" s="196">
        <f>IF(ISNUMBER(AJ138),AJ138-AJ139,"")</f>
        <v/>
      </c>
      <c r="AK141" s="196">
        <f>IF(ISNUMBER(AK138),AK138-AK139,"")</f>
        <v/>
      </c>
      <c r="AL141" s="196">
        <f>IF(ISNUMBER(AL138),AL138-AL139,"")</f>
        <v/>
      </c>
      <c r="AM141" s="196">
        <f>IF(ISNUMBER(AM138),AM138-AM139,"")</f>
        <v/>
      </c>
      <c r="AN141" s="196">
        <f>IF(ISNUMBER(AN138),AN138-AN139,"")</f>
        <v/>
      </c>
      <c r="AO141" s="196">
        <f>IF(ISNUMBER(AO138),AO138-AO139,"")</f>
        <v/>
      </c>
      <c r="AP141" s="6" t="n"/>
    </row>
    <row r="142" ht="15" customHeight="1">
      <c r="B142" s="61" t="inlineStr">
        <is>
          <t xml:space="preserve">  Check: net income vs reported (should be 0; ±0.01 rounding)</t>
        </is>
      </c>
      <c r="C142" s="186">
        <f>IF(ISNUMBER(C143),IF(ABS(C141-C143)&lt;=0.015,0,ROUND(C141-C143,2)),"")</f>
        <v/>
      </c>
      <c r="D142" s="186">
        <f>IF(ISNUMBER(D143),IF(ABS(D141-D143)&lt;=0.015,0,ROUND(D141-D143,2)),"")</f>
        <v/>
      </c>
      <c r="E142" s="186">
        <f>IF(ISNUMBER(E143),IF(ABS(E141-E143)&lt;=0.015,0,ROUND(E141-E143,2)),"")</f>
        <v/>
      </c>
      <c r="F142" s="186">
        <f>IF(ISNUMBER(F143),IF(ABS(F141-F143)&lt;=0.015,0,ROUND(F141-F143,2)),"")</f>
        <v/>
      </c>
      <c r="G142" s="186">
        <f>IF(ISNUMBER(G143),IF(ABS(G141-G143)&lt;=0.015,0,ROUND(G141-G143,2)),"")</f>
        <v/>
      </c>
      <c r="H142" s="186">
        <f>IF(ISNUMBER(H143),IF(ABS(H141-H143)&lt;=0.015,0,ROUND(H141-H143,2)),"")</f>
        <v/>
      </c>
      <c r="I142" s="186">
        <f>IF(ISNUMBER(I143),IF(ABS(I141-I143)&lt;=0.015,0,ROUND(I141-I143,2)),"")</f>
        <v/>
      </c>
      <c r="J142" s="186">
        <f>IF(ISNUMBER(J143),IF(ABS(J141-J143)&lt;=0.015,0,ROUND(J141-J143,2)),"")</f>
        <v/>
      </c>
      <c r="K142" s="186">
        <f>IF(ISNUMBER(K143),IF(ABS(K141-K143)&lt;=0.015,0,ROUND(K141-K143,2)),"")</f>
        <v/>
      </c>
      <c r="L142" s="186">
        <f>IF(ISNUMBER(L143),IF(ABS(L141-L143)&lt;=0.015,0,ROUND(L141-L143,2)),"")</f>
        <v/>
      </c>
      <c r="M142" s="186">
        <f>IF(ISNUMBER(M143),IF(ABS(M141-M143)&lt;=0.015,0,ROUND(M141-M143,2)),"")</f>
        <v/>
      </c>
      <c r="N142" s="186">
        <f>IF(ISNUMBER(N143),IF(ABS(N141-N143)&lt;=0.015,0,ROUND(N141-N143,2)),"")</f>
        <v/>
      </c>
      <c r="O142" s="186">
        <f>IF(ISNUMBER(O143),IF(ABS(O141-O143)&lt;=0.015,0,ROUND(O141-O143,2)),"")</f>
        <v/>
      </c>
      <c r="P142" s="186">
        <f>IF(ISNUMBER(P143),IF(ABS(P141-P143)&lt;=0.015,0,ROUND(P141-P143,2)),"")</f>
        <v/>
      </c>
      <c r="Q142" s="186">
        <f>IF(ISNUMBER(Q143),IF(ABS(Q141-Q143)&lt;=0.015,0,ROUND(Q141-Q143,2)),"")</f>
        <v/>
      </c>
      <c r="R142" s="186">
        <f>IF(ISNUMBER(R143),IF(ABS(R141-R143)&lt;=0.015,0,ROUND(R141-R143,2)),"")</f>
        <v/>
      </c>
      <c r="S142" s="186">
        <f>IF(ISNUMBER(S143),IF(ABS(S141-S143)&lt;=0.015,0,ROUND(S141-S143,2)),"")</f>
        <v/>
      </c>
      <c r="T142" s="186">
        <f>IF(ISNUMBER(T143),IF(ABS(T141-T143)&lt;=0.015,0,ROUND(T141-T143,2)),"")</f>
        <v/>
      </c>
      <c r="U142" s="186">
        <f>IF(ISNUMBER(U143),IF(ABS(U141-U143)&lt;=0.015,0,ROUND(U141-U143,2)),"")</f>
        <v/>
      </c>
      <c r="V142" s="186">
        <f>IF(ISNUMBER(V143),IF(ABS(V141-V143)&lt;=0.015,0,ROUND(V141-V143,2)),"")</f>
        <v/>
      </c>
      <c r="W142" s="186">
        <f>IF(ISNUMBER(W143),IF(ABS(W141-W143)&lt;=0.015,0,ROUND(W141-W143,2)),"")</f>
        <v/>
      </c>
      <c r="X142" s="186">
        <f>IF(ISNUMBER(X143),IF(ABS(X141-X143)&lt;=0.015,0,ROUND(X141-X143,2)),"")</f>
        <v/>
      </c>
      <c r="Y142" s="186">
        <f>IF(ISNUMBER(Y143),IF(ABS(Y141-Y143)&lt;=0.015,0,ROUND(Y141-Y143,2)),"")</f>
        <v/>
      </c>
      <c r="Z142" s="186">
        <f>IF(ISNUMBER(Z143),IF(ABS(Z141-Z143)&lt;=0.015,0,ROUND(Z141-Z143,2)),"")</f>
        <v/>
      </c>
      <c r="AA142" s="186">
        <f>IF(ISNUMBER(AA143),IF(ABS(AA141-AA143)&lt;=0.015,0,ROUND(AA141-AA143,2)),"")</f>
        <v/>
      </c>
      <c r="AB142" s="186">
        <f>IF(ISNUMBER(AB143),IF(ABS(AB141-AB143)&lt;=0.015,0,ROUND(AB141-AB143,2)),"")</f>
        <v/>
      </c>
      <c r="AC142" s="186">
        <f>IF(ISNUMBER(AC143),IF(ABS(AC141-AC143)&lt;=0.015,0,ROUND(AC141-AC143,2)),"")</f>
        <v/>
      </c>
      <c r="AD142" s="186">
        <f>IF(ISNUMBER(AD143),IF(ABS(AD141-AD143)&lt;=0.015,0,ROUND(AD141-AD143,2)),"")</f>
        <v/>
      </c>
      <c r="AE142" s="186">
        <f>IF(ISNUMBER(AE143),IF(ABS(AE141-AE143)&lt;=0.015,0,ROUND(AE141-AE143,2)),"")</f>
        <v/>
      </c>
      <c r="AF142" s="186">
        <f>IF(ISNUMBER(AF143),IF(ABS(AF141-AF143)&lt;=0.015,0,ROUND(AF141-AF143,2)),"")</f>
        <v/>
      </c>
      <c r="AG142" s="186">
        <f>IF(ISNUMBER(AG143),IF(ABS(AG141-AG143)&lt;=0.015,0,ROUND(AG141-AG143,2)),"")</f>
        <v/>
      </c>
      <c r="AH142" s="186">
        <f>IF(ISNUMBER(AH143),IF(ABS(AH141-AH143)&lt;=0.015,0,ROUND(AH141-AH143,2)),"")</f>
        <v/>
      </c>
      <c r="AI142" s="6" t="n"/>
      <c r="AJ142" s="6" t="n"/>
      <c r="AK142" s="6" t="n"/>
      <c r="AL142" s="6" t="n"/>
      <c r="AM142" s="6" t="n"/>
      <c r="AN142" s="6" t="n"/>
      <c r="AO142" s="6" t="n"/>
      <c r="AP142" s="6" t="n"/>
    </row>
    <row r="143" ht="15" customHeight="1">
      <c r="B143" s="42" t="inlineStr">
        <is>
          <t xml:space="preserve">  Memo: net income (loss) as reported</t>
        </is>
      </c>
      <c r="C143" s="174" t="n">
        <v>-2.404</v>
      </c>
      <c r="D143" s="174" t="n">
        <v>-1.058</v>
      </c>
      <c r="E143" s="174" t="n">
        <v>6.075</v>
      </c>
      <c r="F143" s="174" t="n">
        <v>1.278</v>
      </c>
      <c r="G143" s="174" t="n">
        <v>-0.122</v>
      </c>
      <c r="H143" s="174" t="n">
        <v>-7.063</v>
      </c>
      <c r="I143" s="174" t="n">
        <v>-5.721</v>
      </c>
      <c r="J143" s="174" t="n">
        <v>-4.152</v>
      </c>
      <c r="K143" s="174" t="n">
        <v>-17.052</v>
      </c>
      <c r="L143" s="174" t="n">
        <v>-5.354</v>
      </c>
      <c r="M143" s="174" t="n">
        <v>1.373</v>
      </c>
      <c r="N143" s="174" t="n">
        <v>0.5639999999999999</v>
      </c>
      <c r="O143" s="174" t="n">
        <v>-1.378</v>
      </c>
      <c r="P143" s="174" t="n">
        <v>-3.028</v>
      </c>
      <c r="Q143" s="174" t="n">
        <v>-2.469</v>
      </c>
      <c r="R143" s="174" t="n">
        <v>-7.519</v>
      </c>
      <c r="S143" s="174" t="n">
        <v>0.623</v>
      </c>
      <c r="T143" s="174" t="n">
        <v>2.854</v>
      </c>
      <c r="U143" s="174" t="n">
        <v>-0.573</v>
      </c>
      <c r="V143" s="174" t="n">
        <v>-4.615</v>
      </c>
      <c r="W143" s="174" t="n">
        <v>2.249</v>
      </c>
      <c r="X143" s="174" t="n">
        <v>7.641</v>
      </c>
      <c r="Y143" s="174" t="n">
        <v>8.656000000000001</v>
      </c>
      <c r="Z143" s="174" t="n">
        <v>3.685</v>
      </c>
      <c r="AA143" s="174" t="n">
        <v>22.231</v>
      </c>
      <c r="AB143" s="174" t="n">
        <v>15.316</v>
      </c>
      <c r="AC143" s="174" t="n">
        <v>16.713</v>
      </c>
      <c r="AD143" s="174" t="n">
        <v>27.606</v>
      </c>
      <c r="AE143" s="174" t="n">
        <v>12.511</v>
      </c>
      <c r="AF143" s="174" t="n">
        <v>72.146</v>
      </c>
      <c r="AG143" s="174" t="n">
        <v>11.143</v>
      </c>
      <c r="AH143" s="174" t="n">
        <v>16.742</v>
      </c>
      <c r="AI143" s="6" t="n"/>
      <c r="AJ143" s="6" t="n"/>
      <c r="AK143" s="6" t="n"/>
      <c r="AL143" s="6" t="n"/>
      <c r="AM143" s="6" t="n"/>
      <c r="AN143" s="6" t="n"/>
      <c r="AO143" s="6" t="n"/>
      <c r="AP143" s="6" t="n"/>
    </row>
    <row r="144" ht="15" customHeight="1">
      <c r="B144" s="42" t="inlineStr">
        <is>
          <t xml:space="preserve">  Memo: depreciation &amp; amortization (total)</t>
        </is>
      </c>
      <c r="C144" s="186">
        <f>IF(ISNUMBER(C113),C113+C115,"")</f>
        <v/>
      </c>
      <c r="D144" s="186">
        <f>IF(ISNUMBER(D113),D113+D115,"")</f>
        <v/>
      </c>
      <c r="E144" s="186">
        <f>IF(ISNUMBER(E113),E113+E115,"")</f>
        <v/>
      </c>
      <c r="F144" s="186">
        <f>IF(ISNUMBER(F113),F113+F115,"")</f>
        <v/>
      </c>
      <c r="G144" s="186">
        <f>IF(ISNUMBER(G113),G113+G115,"")</f>
        <v/>
      </c>
      <c r="H144" s="186">
        <f>IF(ISNUMBER(H113),H113+H115,"")</f>
        <v/>
      </c>
      <c r="I144" s="186">
        <f>IF(ISNUMBER(I113),I113+I115,"")</f>
        <v/>
      </c>
      <c r="J144" s="186">
        <f>IF(ISNUMBER(J113),J113+J115,"")</f>
        <v/>
      </c>
      <c r="K144" s="186">
        <f>IF(ISNUMBER(K113),K113+K115,"")</f>
        <v/>
      </c>
      <c r="L144" s="186">
        <f>IF(ISNUMBER(L113),L113+L115,"")</f>
        <v/>
      </c>
      <c r="M144" s="186">
        <f>IF(ISNUMBER(M113),M113+M115,"")</f>
        <v/>
      </c>
      <c r="N144" s="186">
        <f>IF(ISNUMBER(N113),N113+N115,"")</f>
        <v/>
      </c>
      <c r="O144" s="186">
        <f>IF(ISNUMBER(O113),O113+O115,"")</f>
        <v/>
      </c>
      <c r="P144" s="186">
        <f>IF(ISNUMBER(P113),P113+P115,"")</f>
        <v/>
      </c>
      <c r="Q144" s="186">
        <f>IF(ISNUMBER(Q113),Q113+Q115,"")</f>
        <v/>
      </c>
      <c r="R144" s="186">
        <f>IF(ISNUMBER(R113),R113+R115,"")</f>
        <v/>
      </c>
      <c r="S144" s="186">
        <f>IF(ISNUMBER(S113),S113+S115,"")</f>
        <v/>
      </c>
      <c r="T144" s="186">
        <f>IF(ISNUMBER(T113),T113+T115,"")</f>
        <v/>
      </c>
      <c r="U144" s="186">
        <f>IF(ISNUMBER(U113),U113+U115,"")</f>
        <v/>
      </c>
      <c r="V144" s="186">
        <f>IF(ISNUMBER(V113),V113+V115,"")</f>
        <v/>
      </c>
      <c r="W144" s="186">
        <f>IF(ISNUMBER(W113),W113+W115,"")</f>
        <v/>
      </c>
      <c r="X144" s="186">
        <f>IF(ISNUMBER(X113),X113+X115,"")</f>
        <v/>
      </c>
      <c r="Y144" s="186">
        <f>IF(ISNUMBER(Y113),Y113+Y115,"")</f>
        <v/>
      </c>
      <c r="Z144" s="186">
        <f>IF(ISNUMBER(Z113),Z113+Z115,"")</f>
        <v/>
      </c>
      <c r="AA144" s="186">
        <f>IF(ISNUMBER(AA113),AA113+AA115,"")</f>
        <v/>
      </c>
      <c r="AB144" s="186">
        <f>IF(ISNUMBER(AB113),AB113+AB115,"")</f>
        <v/>
      </c>
      <c r="AC144" s="186">
        <f>IF(ISNUMBER(AC113),AC113+AC115,"")</f>
        <v/>
      </c>
      <c r="AD144" s="186">
        <f>IF(ISNUMBER(AD113),AD113+AD115,"")</f>
        <v/>
      </c>
      <c r="AE144" s="186">
        <f>IF(ISNUMBER(AE113),AE113+AE115,"")</f>
        <v/>
      </c>
      <c r="AF144" s="186">
        <f>IF(ISNUMBER(AF113),AF113+AF115,"")</f>
        <v/>
      </c>
      <c r="AG144" s="186">
        <f>IF(ISNUMBER(AG113),AG113+AG115,"")</f>
        <v/>
      </c>
      <c r="AH144" s="186">
        <f>IF(ISNUMBER(AH113),AH113+AH115,"")</f>
        <v/>
      </c>
      <c r="AI144" s="175">
        <f>IF(ISNUMBER(AI113),AI113+AI115,"")</f>
        <v/>
      </c>
      <c r="AJ144" s="175">
        <f>IF(ISNUMBER(AJ113),AJ113+AJ115,"")</f>
        <v/>
      </c>
      <c r="AK144" s="175">
        <f>IF(ISNUMBER(AK113),AK113+AK115,"")</f>
        <v/>
      </c>
      <c r="AL144" s="175">
        <f>IF(ISNUMBER(AL113),AL113+AL115,"")</f>
        <v/>
      </c>
      <c r="AM144" s="175">
        <f>IF(ISNUMBER(AM113),AM113+AM115,"")</f>
        <v/>
      </c>
      <c r="AN144" s="175">
        <f>IF(ISNUMBER(AN113),AN113+AN115,"")</f>
        <v/>
      </c>
      <c r="AO144" s="175">
        <f>IF(ISNUMBER(AO113),AO113+AO115,"")</f>
        <v/>
      </c>
      <c r="AP144" s="6" t="n"/>
      <c r="AR144" s="21">
        <f>IFERROR((AO144/AF144)^(1/5)-1,"n/m")</f>
        <v/>
      </c>
      <c r="AS144" s="21">
        <f>IFERROR((AF144/K144)^(1/5)-1,"n/m")</f>
        <v/>
      </c>
      <c r="AT144" s="21">
        <f>IFERROR((AF144/F144)^(1/10)-1,"n/m")</f>
        <v/>
      </c>
      <c r="AU144" s="21">
        <f>IFERROR((AF144/C144)^(1/13)-1,"n/m")</f>
        <v/>
      </c>
    </row>
    <row r="145" ht="15" customHeight="1">
      <c r="B145" s="42" t="inlineStr">
        <is>
          <t xml:space="preserve">  Memo: stock-based compensation</t>
        </is>
      </c>
      <c r="C145" s="186">
        <f>C118</f>
        <v/>
      </c>
      <c r="D145" s="186">
        <f>D118</f>
        <v/>
      </c>
      <c r="E145" s="186">
        <f>E118</f>
        <v/>
      </c>
      <c r="F145" s="186">
        <f>F118</f>
        <v/>
      </c>
      <c r="G145" s="186">
        <f>G118</f>
        <v/>
      </c>
      <c r="H145" s="186">
        <f>H118</f>
        <v/>
      </c>
      <c r="I145" s="186">
        <f>I118</f>
        <v/>
      </c>
      <c r="J145" s="186">
        <f>J118</f>
        <v/>
      </c>
      <c r="K145" s="186">
        <f>K118</f>
        <v/>
      </c>
      <c r="L145" s="186">
        <f>L118</f>
        <v/>
      </c>
      <c r="M145" s="186">
        <f>M118</f>
        <v/>
      </c>
      <c r="N145" s="186">
        <f>N118</f>
        <v/>
      </c>
      <c r="O145" s="186">
        <f>O118</f>
        <v/>
      </c>
      <c r="P145" s="186">
        <f>P118</f>
        <v/>
      </c>
      <c r="Q145" s="186">
        <f>Q118</f>
        <v/>
      </c>
      <c r="R145" s="186">
        <f>R118</f>
        <v/>
      </c>
      <c r="S145" s="186">
        <f>S118</f>
        <v/>
      </c>
      <c r="T145" s="186">
        <f>T118</f>
        <v/>
      </c>
      <c r="U145" s="186">
        <f>U118</f>
        <v/>
      </c>
      <c r="V145" s="186">
        <f>V118</f>
        <v/>
      </c>
      <c r="W145" s="186">
        <f>W118</f>
        <v/>
      </c>
      <c r="X145" s="186">
        <f>X118</f>
        <v/>
      </c>
      <c r="Y145" s="186">
        <f>Y118</f>
        <v/>
      </c>
      <c r="Z145" s="186">
        <f>Z118</f>
        <v/>
      </c>
      <c r="AA145" s="186">
        <f>AA118</f>
        <v/>
      </c>
      <c r="AB145" s="186">
        <f>AB118</f>
        <v/>
      </c>
      <c r="AC145" s="186">
        <f>AC118</f>
        <v/>
      </c>
      <c r="AD145" s="186">
        <f>AD118</f>
        <v/>
      </c>
      <c r="AE145" s="186">
        <f>AE118</f>
        <v/>
      </c>
      <c r="AF145" s="186">
        <f>AF118</f>
        <v/>
      </c>
      <c r="AG145" s="186">
        <f>AG118</f>
        <v/>
      </c>
      <c r="AH145" s="186">
        <f>AH118</f>
        <v/>
      </c>
      <c r="AI145" s="175">
        <f>AI118</f>
        <v/>
      </c>
      <c r="AJ145" s="175">
        <f>AJ118</f>
        <v/>
      </c>
      <c r="AK145" s="175">
        <f>AK118</f>
        <v/>
      </c>
      <c r="AL145" s="175">
        <f>AL118</f>
        <v/>
      </c>
      <c r="AM145" s="175">
        <f>AM118</f>
        <v/>
      </c>
      <c r="AN145" s="175">
        <f>AN118</f>
        <v/>
      </c>
      <c r="AO145" s="175">
        <f>AO118</f>
        <v/>
      </c>
      <c r="AP145" s="6" t="n"/>
    </row>
    <row r="146" ht="15" customHeight="1">
      <c r="B146" s="26" t="inlineStr">
        <is>
          <t>(Earnings per share — common shares from the April-2024 IPO; pre-IPO LLC units not meaningful)</t>
        </is>
      </c>
      <c r="AP146" s="6" t="n"/>
    </row>
    <row r="147" ht="15" customHeight="1">
      <c r="B147" s="26" t="inlineStr">
        <is>
          <t xml:space="preserve">  Weighted-average basic shares (m)</t>
        </is>
      </c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174" t="n">
        <v>87.53400000000001</v>
      </c>
      <c r="Y147" s="174" t="n">
        <v>89.70399999999999</v>
      </c>
      <c r="Z147" s="174" t="n">
        <v>90.541</v>
      </c>
      <c r="AA147" s="174" t="n">
        <v>89.366</v>
      </c>
      <c r="AB147" s="174" t="n">
        <v>93.556</v>
      </c>
      <c r="AC147" s="174" t="n">
        <v>93.586</v>
      </c>
      <c r="AD147" s="174" t="n">
        <v>93.622</v>
      </c>
      <c r="AE147" s="174" t="n">
        <v>93.622</v>
      </c>
      <c r="AF147" s="174" t="n">
        <v>93.59699999999999</v>
      </c>
      <c r="AG147" s="174" t="n">
        <v>93.623</v>
      </c>
      <c r="AH147" s="174" t="n">
        <v>93.64700000000001</v>
      </c>
      <c r="AI147" s="175">
        <f>$AH$147+$AK$275*0.25-$AK$274*0.25</f>
        <v/>
      </c>
      <c r="AJ147" s="175">
        <f>$AH$147+$AK$275*0.75-$AK$274*0.75</f>
        <v/>
      </c>
      <c r="AK147" s="175">
        <f>AVERAGE(AG147,AH147,AI147,AJ147)</f>
        <v/>
      </c>
      <c r="AL147" s="175">
        <f>AVERAGE(AL276,AL277)</f>
        <v/>
      </c>
      <c r="AM147" s="175">
        <f>AVERAGE(AM276,AM277)</f>
        <v/>
      </c>
      <c r="AN147" s="175">
        <f>AVERAGE(AN276,AN277)</f>
        <v/>
      </c>
      <c r="AO147" s="175">
        <f>AVERAGE(AO276,AO277)</f>
        <v/>
      </c>
      <c r="AP147" s="20" t="inlineStr">
        <is>
          <t>Q3/Q4-26E: Q2/26 + equity-plan issuance − 2H/26 buybacks phased (¼ in Q3, ¾ in Q4). 2027E+: average of beginning and ending shares.</t>
        </is>
      </c>
    </row>
    <row r="148" ht="15" customHeight="1">
      <c r="B148" s="26" t="inlineStr">
        <is>
          <t xml:space="preserve">  Weighted-average diluted shares (m)</t>
        </is>
      </c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174" t="n">
        <v>89.242</v>
      </c>
      <c r="Y148" s="174" t="n">
        <v>91.931</v>
      </c>
      <c r="Z148" s="174" t="n">
        <v>93.242</v>
      </c>
      <c r="AA148" s="174" t="n">
        <v>91.684</v>
      </c>
      <c r="AB148" s="174" t="n">
        <v>95.771</v>
      </c>
      <c r="AC148" s="174" t="n">
        <v>96.113</v>
      </c>
      <c r="AD148" s="174" t="n">
        <v>95.875</v>
      </c>
      <c r="AE148" s="174" t="n">
        <v>95.813</v>
      </c>
      <c r="AF148" s="174" t="n">
        <v>95.893</v>
      </c>
      <c r="AG148" s="174" t="n">
        <v>95.651</v>
      </c>
      <c r="AH148" s="174" t="n">
        <v>95.521</v>
      </c>
      <c r="AI148" s="175">
        <f>AI147+($AH$148-$AH$147)</f>
        <v/>
      </c>
      <c r="AJ148" s="175">
        <f>AJ147+($AH$148-$AH$147)</f>
        <v/>
      </c>
      <c r="AK148" s="175">
        <f>AVERAGE(AG148,AH148,AI148,AJ148)</f>
        <v/>
      </c>
      <c r="AL148" s="175">
        <f>AL147+AL340</f>
        <v/>
      </c>
      <c r="AM148" s="175">
        <f>AM147+AM340</f>
        <v/>
      </c>
      <c r="AN148" s="175">
        <f>AN147+AN340</f>
        <v/>
      </c>
      <c r="AO148" s="175">
        <f>AO147+AO340</f>
        <v/>
      </c>
      <c r="AP148" s="20" t="n"/>
      <c r="AR148" s="21">
        <f>IFERROR((AO148/AF148)^(1/5)-1,"n/m")</f>
        <v/>
      </c>
      <c r="AS148" s="21">
        <f>IFERROR((AF148/K148)^(1/5)-1,"n/m")</f>
        <v/>
      </c>
      <c r="AT148" s="21">
        <f>IFERROR((AF148/F148)^(1/10)-1,"n/m")</f>
        <v/>
      </c>
      <c r="AU148" s="21">
        <f>IFERROR((AF148/C148)^(1/13)-1,"n/m")</f>
        <v/>
      </c>
    </row>
    <row r="149" collapsed="1" ht="15" customHeight="1">
      <c r="B149" s="26" t="inlineStr">
        <is>
          <t>EPS – basic ($)</t>
        </is>
      </c>
      <c r="C149" s="200">
        <f>IF(ISNUMBER(C147),IFERROR(C141/C147,""),"")</f>
        <v/>
      </c>
      <c r="D149" s="200">
        <f>IF(ISNUMBER(D147),IFERROR(D141/D147,""),"")</f>
        <v/>
      </c>
      <c r="E149" s="200">
        <f>IF(ISNUMBER(E147),IFERROR(E141/E147,""),"")</f>
        <v/>
      </c>
      <c r="F149" s="200">
        <f>IF(ISNUMBER(F147),IFERROR(F141/F147,""),"")</f>
        <v/>
      </c>
      <c r="G149" s="200">
        <f>IF(ISNUMBER(G147),IFERROR(G141/G147,""),"")</f>
        <v/>
      </c>
      <c r="H149" s="200">
        <f>IF(ISNUMBER(H147),IFERROR(H141/H147,""),"")</f>
        <v/>
      </c>
      <c r="I149" s="200">
        <f>IF(ISNUMBER(I147),IFERROR(I141/I147,""),"")</f>
        <v/>
      </c>
      <c r="J149" s="200">
        <f>IF(ISNUMBER(J147),IFERROR(J141/J147,""),"")</f>
        <v/>
      </c>
      <c r="K149" s="200">
        <f>IF(ISNUMBER(K147),IFERROR(K141/K147,""),"")</f>
        <v/>
      </c>
      <c r="L149" s="200">
        <f>IF(ISNUMBER(L147),IFERROR(L141/L147,""),"")</f>
        <v/>
      </c>
      <c r="M149" s="200">
        <f>IF(ISNUMBER(M147),IFERROR(M141/M147,""),"")</f>
        <v/>
      </c>
      <c r="N149" s="200">
        <f>IF(ISNUMBER(N147),IFERROR(N141/N147,""),"")</f>
        <v/>
      </c>
      <c r="O149" s="200">
        <f>IF(ISNUMBER(O147),IFERROR(O141/O147,""),"")</f>
        <v/>
      </c>
      <c r="P149" s="200">
        <f>IF(ISNUMBER(P147),IFERROR(P141/P147,""),"")</f>
        <v/>
      </c>
      <c r="Q149" s="200">
        <f>IF(ISNUMBER(Q147),IFERROR(Q141/Q147,""),"")</f>
        <v/>
      </c>
      <c r="R149" s="200">
        <f>IF(ISNUMBER(R147),IFERROR(R141/R147,""),"")</f>
        <v/>
      </c>
      <c r="S149" s="200">
        <f>IF(ISNUMBER(S147),IFERROR(S141/S147,""),"")</f>
        <v/>
      </c>
      <c r="T149" s="200">
        <f>IF(ISNUMBER(T147),IFERROR(T141/T147,""),"")</f>
        <v/>
      </c>
      <c r="U149" s="200">
        <f>IF(ISNUMBER(U147),IFERROR(U141/U147,""),"")</f>
        <v/>
      </c>
      <c r="V149" s="200">
        <f>IF(ISNUMBER(V147),IFERROR(V141/V147,""),"")</f>
        <v/>
      </c>
      <c r="W149" s="200">
        <f>IF(ISNUMBER(W147),IFERROR(W141/W147,""),"")</f>
        <v/>
      </c>
      <c r="X149" s="200">
        <f>IF(ISNUMBER(X147),IFERROR(X141/X147,""),"")</f>
        <v/>
      </c>
      <c r="Y149" s="200">
        <f>IF(ISNUMBER(Y147),IFERROR(Y141/Y147,""),"")</f>
        <v/>
      </c>
      <c r="Z149" s="200">
        <f>IF(ISNUMBER(Z147),IFERROR(Z141/Z147,""),"")</f>
        <v/>
      </c>
      <c r="AA149" s="200">
        <f>IF(ISNUMBER(AA147),IFERROR(AA141/AA147,""),"")</f>
        <v/>
      </c>
      <c r="AB149" s="200">
        <f>IF(ISNUMBER(AB147),IFERROR(AB141/AB147,""),"")</f>
        <v/>
      </c>
      <c r="AC149" s="200">
        <f>IF(ISNUMBER(AC147),IFERROR(AC141/AC147,""),"")</f>
        <v/>
      </c>
      <c r="AD149" s="200">
        <f>IF(ISNUMBER(AD147),IFERROR(AD141/AD147,""),"")</f>
        <v/>
      </c>
      <c r="AE149" s="200">
        <f>IF(ISNUMBER(AE147),IFERROR(AE141/AE147,""),"")</f>
        <v/>
      </c>
      <c r="AF149" s="200">
        <f>IF(ISNUMBER(AF147),IFERROR(AF141/AF147,""),"")</f>
        <v/>
      </c>
      <c r="AG149" s="200">
        <f>IF(ISNUMBER(AG147),IFERROR(AG141/AG147,""),"")</f>
        <v/>
      </c>
      <c r="AH149" s="200">
        <f>IF(ISNUMBER(AH147),IFERROR(AH141/AH147,""),"")</f>
        <v/>
      </c>
      <c r="AI149" s="201">
        <f>IF(ISNUMBER(AI147),IFERROR(AI141/AI147,""),"")</f>
        <v/>
      </c>
      <c r="AJ149" s="201">
        <f>IF(ISNUMBER(AJ147),IFERROR(AJ141/AJ147,""),"")</f>
        <v/>
      </c>
      <c r="AK149" s="201">
        <f>IF(ISNUMBER(AK147),IFERROR(AK141/AK147,""),"")</f>
        <v/>
      </c>
      <c r="AL149" s="201">
        <f>IF(ISNUMBER(AL147),IFERROR(AL141/AL147,""),"")</f>
        <v/>
      </c>
      <c r="AM149" s="201">
        <f>IF(ISNUMBER(AM147),IFERROR(AM141/AM147,""),"")</f>
        <v/>
      </c>
      <c r="AN149" s="201">
        <f>IF(ISNUMBER(AN147),IFERROR(AN141/AN147,""),"")</f>
        <v/>
      </c>
      <c r="AO149" s="201">
        <f>IF(ISNUMBER(AO147),IFERROR(AO141/AO147,""),"")</f>
        <v/>
      </c>
      <c r="AP149" s="6" t="n"/>
    </row>
    <row r="150" ht="15" customHeight="1">
      <c r="B150" s="59" t="inlineStr">
        <is>
          <t>EPS – diluted ($)</t>
        </is>
      </c>
      <c r="C150" s="202">
        <f>IF(ISNUMBER(C148),IFERROR(C141/C148,""),"")</f>
        <v/>
      </c>
      <c r="D150" s="202">
        <f>IF(ISNUMBER(D148),IFERROR(D141/D148,""),"")</f>
        <v/>
      </c>
      <c r="E150" s="202">
        <f>IF(ISNUMBER(E148),IFERROR(E141/E148,""),"")</f>
        <v/>
      </c>
      <c r="F150" s="202">
        <f>IF(ISNUMBER(F148),IFERROR(F141/F148,""),"")</f>
        <v/>
      </c>
      <c r="G150" s="202">
        <f>IF(ISNUMBER(G148),IFERROR(G141/G148,""),"")</f>
        <v/>
      </c>
      <c r="H150" s="202">
        <f>IF(ISNUMBER(H148),IFERROR(H141/H148,""),"")</f>
        <v/>
      </c>
      <c r="I150" s="202">
        <f>IF(ISNUMBER(I148),IFERROR(I141/I148,""),"")</f>
        <v/>
      </c>
      <c r="J150" s="202">
        <f>IF(ISNUMBER(J148),IFERROR(J141/J148,""),"")</f>
        <v/>
      </c>
      <c r="K150" s="202">
        <f>IF(ISNUMBER(K148),IFERROR(K141/K148,""),"")</f>
        <v/>
      </c>
      <c r="L150" s="202">
        <f>IF(ISNUMBER(L148),IFERROR(L141/L148,""),"")</f>
        <v/>
      </c>
      <c r="M150" s="202">
        <f>IF(ISNUMBER(M148),IFERROR(M141/M148,""),"")</f>
        <v/>
      </c>
      <c r="N150" s="202">
        <f>IF(ISNUMBER(N148),IFERROR(N141/N148,""),"")</f>
        <v/>
      </c>
      <c r="O150" s="202">
        <f>IF(ISNUMBER(O148),IFERROR(O141/O148,""),"")</f>
        <v/>
      </c>
      <c r="P150" s="202">
        <f>IF(ISNUMBER(P148),IFERROR(P141/P148,""),"")</f>
        <v/>
      </c>
      <c r="Q150" s="202">
        <f>IF(ISNUMBER(Q148),IFERROR(Q141/Q148,""),"")</f>
        <v/>
      </c>
      <c r="R150" s="202">
        <f>IF(ISNUMBER(R148),IFERROR(R141/R148,""),"")</f>
        <v/>
      </c>
      <c r="S150" s="202">
        <f>IF(ISNUMBER(S148),IFERROR(S141/S148,""),"")</f>
        <v/>
      </c>
      <c r="T150" s="202">
        <f>IF(ISNUMBER(T148),IFERROR(T141/T148,""),"")</f>
        <v/>
      </c>
      <c r="U150" s="202">
        <f>IF(ISNUMBER(U148),IFERROR(U141/U148,""),"")</f>
        <v/>
      </c>
      <c r="V150" s="202">
        <f>IF(ISNUMBER(V148),IFERROR(V141/V148,""),"")</f>
        <v/>
      </c>
      <c r="W150" s="202">
        <f>IF(ISNUMBER(W148),IFERROR(W141/W148,""),"")</f>
        <v/>
      </c>
      <c r="X150" s="202">
        <f>IF(ISNUMBER(X148),IFERROR(X141/X148,""),"")</f>
        <v/>
      </c>
      <c r="Y150" s="202">
        <f>IF(ISNUMBER(Y148),IFERROR(Y141/Y148,""),"")</f>
        <v/>
      </c>
      <c r="Z150" s="202">
        <f>IF(ISNUMBER(Z148),IFERROR(Z141/Z148,""),"")</f>
        <v/>
      </c>
      <c r="AA150" s="202">
        <f>IF(ISNUMBER(AA148),IFERROR(AA141/AA148,""),"")</f>
        <v/>
      </c>
      <c r="AB150" s="202">
        <f>IF(ISNUMBER(AB148),IFERROR(AB141/AB148,""),"")</f>
        <v/>
      </c>
      <c r="AC150" s="202">
        <f>IF(ISNUMBER(AC148),IFERROR(AC141/AC148,""),"")</f>
        <v/>
      </c>
      <c r="AD150" s="202">
        <f>IF(ISNUMBER(AD148),IFERROR(AD141/AD148,""),"")</f>
        <v/>
      </c>
      <c r="AE150" s="202">
        <f>IF(ISNUMBER(AE148),IFERROR(AE141/AE148,""),"")</f>
        <v/>
      </c>
      <c r="AF150" s="202">
        <f>IF(ISNUMBER(AF148),IFERROR(AF141/AF148,""),"")</f>
        <v/>
      </c>
      <c r="AG150" s="202">
        <f>IF(ISNUMBER(AG148),IFERROR(AG141/AG148,""),"")</f>
        <v/>
      </c>
      <c r="AH150" s="202">
        <f>IF(ISNUMBER(AH148),IFERROR(AH141/AH148,""),"")</f>
        <v/>
      </c>
      <c r="AI150" s="202">
        <f>IF(ISNUMBER(AI148),IFERROR(AI141/AI148,""),"")</f>
        <v/>
      </c>
      <c r="AJ150" s="202">
        <f>IF(ISNUMBER(AJ148),IFERROR(AJ141/AJ148,""),"")</f>
        <v/>
      </c>
      <c r="AK150" s="202">
        <f>IF(ISNUMBER(AK148),IFERROR(AK141/AK148,""),"")</f>
        <v/>
      </c>
      <c r="AL150" s="202">
        <f>IF(ISNUMBER(AL148),IFERROR(AL141/AL148,""),"")</f>
        <v/>
      </c>
      <c r="AM150" s="202">
        <f>IF(ISNUMBER(AM148),IFERROR(AM141/AM148,""),"")</f>
        <v/>
      </c>
      <c r="AN150" s="202">
        <f>IF(ISNUMBER(AN148),IFERROR(AN141/AN148,""),"")</f>
        <v/>
      </c>
      <c r="AO150" s="202">
        <f>IF(ISNUMBER(AO148),IFERROR(AO141/AO148,""),"")</f>
        <v/>
      </c>
      <c r="AP150" s="20" t="inlineStr">
        <is>
          <t>Net income / weighted diluted shares (may differ by ±$0.01 vs reported). FY2024 weighting as published (IPO 29-Apr-2024).</t>
        </is>
      </c>
    </row>
    <row r="151" ht="15" customHeight="1">
      <c r="B151" s="23" t="inlineStr">
        <is>
          <t xml:space="preserve">  EPS – diluted y/y %</t>
        </is>
      </c>
      <c r="C151" s="24" t="n"/>
      <c r="D151" s="176">
        <f>IF(AND(ISNUMBER(D150),ISNUMBER(C150)),IFERROR(D150/C150-1,""),"")</f>
        <v/>
      </c>
      <c r="E151" s="176">
        <f>IF(AND(ISNUMBER(E150),ISNUMBER(D150)),IFERROR(E150/D150-1,""),"")</f>
        <v/>
      </c>
      <c r="F151" s="176">
        <f>IF(AND(ISNUMBER(F150),ISNUMBER(E150)),IFERROR(F150/E150-1,""),"")</f>
        <v/>
      </c>
      <c r="G151" s="176">
        <f>IF(AND(ISNUMBER(G150),ISNUMBER(F150)),IFERROR(G150/F150-1,""),"")</f>
        <v/>
      </c>
      <c r="H151" s="176">
        <f>IF(AND(ISNUMBER(H150),ISNUMBER(G150)),IFERROR(H150/G150-1,""),"")</f>
        <v/>
      </c>
      <c r="I151" s="176">
        <f>IF(AND(ISNUMBER(I150),ISNUMBER(H150)),IFERROR(I150/H150-1,""),"")</f>
        <v/>
      </c>
      <c r="J151" s="176">
        <f>IF(AND(ISNUMBER(J150),ISNUMBER(I150)),IFERROR(J150/I150-1,""),"")</f>
        <v/>
      </c>
      <c r="K151" s="176">
        <f>IF(AND(ISNUMBER(K150),ISNUMBER(J150)),IFERROR(K150/J150-1,""),"")</f>
        <v/>
      </c>
      <c r="L151" s="176">
        <f>IF(AND(ISNUMBER(L150),ISNUMBER(K150)),IFERROR(L150/K150-1,""),"")</f>
        <v/>
      </c>
      <c r="M151" s="24" t="n"/>
      <c r="N151" s="24" t="n"/>
      <c r="O151" s="24" t="n"/>
      <c r="P151" s="24" t="n"/>
      <c r="Q151" s="176">
        <f>IF(AND(ISNUMBER(Q150),ISNUMBER(L150)),IFERROR(Q150/L150-1,""),"")</f>
        <v/>
      </c>
      <c r="R151" s="176">
        <f>IF(AND(ISNUMBER(R150),ISNUMBER(M150)),IFERROR(R150/M150-1,""),"")</f>
        <v/>
      </c>
      <c r="S151" s="176">
        <f>IF(AND(ISNUMBER(S150),ISNUMBER(N150)),IFERROR(S150/N150-1,""),"")</f>
        <v/>
      </c>
      <c r="T151" s="176">
        <f>IF(AND(ISNUMBER(T150),ISNUMBER(O150)),IFERROR(T150/O150-1,""),"")</f>
        <v/>
      </c>
      <c r="U151" s="176">
        <f>IF(AND(ISNUMBER(U150),ISNUMBER(P150)),IFERROR(U150/P150-1,""),"")</f>
        <v/>
      </c>
      <c r="V151" s="176">
        <f>IF(AND(ISNUMBER(V150),ISNUMBER(Q150)),IFERROR(V150/Q150-1,""),"")</f>
        <v/>
      </c>
      <c r="W151" s="176">
        <f>IF(AND(ISNUMBER(W150),ISNUMBER(R150)),IFERROR(W150/R150-1,""),"")</f>
        <v/>
      </c>
      <c r="X151" s="176">
        <f>IF(AND(ISNUMBER(X150),ISNUMBER(S150)),IFERROR(X150/S150-1,""),"")</f>
        <v/>
      </c>
      <c r="Y151" s="176">
        <f>IF(AND(ISNUMBER(Y150),ISNUMBER(T150)),IFERROR(Y150/T150-1,""),"")</f>
        <v/>
      </c>
      <c r="Z151" s="176">
        <f>IF(AND(ISNUMBER(Z150),ISNUMBER(U150)),IFERROR(Z150/U150-1,""),"")</f>
        <v/>
      </c>
      <c r="AA151" s="176">
        <f>IF(AND(ISNUMBER(AA150),ISNUMBER(V150)),IFERROR(AA150/V150-1,""),"")</f>
        <v/>
      </c>
      <c r="AB151" s="176">
        <f>IF(AND(ISNUMBER(AB150),ISNUMBER(W150)),IFERROR(AB150/W150-1,""),"")</f>
        <v/>
      </c>
      <c r="AC151" s="176">
        <f>IF(AND(ISNUMBER(AC150),ISNUMBER(X150)),IFERROR(AC150/X150-1,""),"")</f>
        <v/>
      </c>
      <c r="AD151" s="176">
        <f>IF(AND(ISNUMBER(AD150),ISNUMBER(Y150)),IFERROR(AD150/Y150-1,""),"")</f>
        <v/>
      </c>
      <c r="AE151" s="176">
        <f>IF(AND(ISNUMBER(AE150),ISNUMBER(Z150)),IFERROR(AE150/Z150-1,""),"")</f>
        <v/>
      </c>
      <c r="AF151" s="176">
        <f>IF(AND(ISNUMBER(AF150),ISNUMBER(AA150)),IFERROR(AF150/AA150-1,""),"")</f>
        <v/>
      </c>
      <c r="AG151" s="176">
        <f>IF(AND(ISNUMBER(AG150),ISNUMBER(AB150)),IFERROR(AG150/AB150-1,""),"")</f>
        <v/>
      </c>
      <c r="AH151" s="176">
        <f>IF(AND(ISNUMBER(AH150),ISNUMBER(AC150)),IFERROR(AH150/AC150-1,""),"")</f>
        <v/>
      </c>
      <c r="AI151" s="177">
        <f>IF(AND(ISNUMBER(AI150),ISNUMBER(AD150)),IFERROR(AI150/AD150-1,""),"")</f>
        <v/>
      </c>
      <c r="AJ151" s="177">
        <f>IF(AND(ISNUMBER(AJ150),ISNUMBER(AE150)),IFERROR(AJ150/AE150-1,""),"")</f>
        <v/>
      </c>
      <c r="AK151" s="177">
        <f>IF(AND(ISNUMBER(AK150),ISNUMBER(AF150)),IFERROR(AK150/AF150-1,""),"")</f>
        <v/>
      </c>
      <c r="AL151" s="177">
        <f>IF(AND(ISNUMBER(AL150),ISNUMBER(AK150)),IFERROR(AL150/AK150-1,""),"")</f>
        <v/>
      </c>
      <c r="AM151" s="177">
        <f>IF(AND(ISNUMBER(AM150),ISNUMBER(AL150)),IFERROR(AM150/AL150-1,""),"")</f>
        <v/>
      </c>
      <c r="AN151" s="177">
        <f>IF(AND(ISNUMBER(AN150),ISNUMBER(AM150)),IFERROR(AN150/AM150-1,""),"")</f>
        <v/>
      </c>
      <c r="AO151" s="177">
        <f>IF(AND(ISNUMBER(AO150),ISNUMBER(AN150)),IFERROR(AO150/AN150-1,""),"")</f>
        <v/>
      </c>
      <c r="AP151" s="6" t="n"/>
    </row>
    <row r="152" ht="15" customHeight="1">
      <c r="B152" s="42" t="inlineStr">
        <is>
          <t xml:space="preserve">  Memo: EPS – diluted as reported ($)</t>
        </is>
      </c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03" t="n">
        <v>0.09</v>
      </c>
      <c r="Y152" s="203" t="n">
        <v>0.09</v>
      </c>
      <c r="Z152" s="203" t="n">
        <v>0.04</v>
      </c>
      <c r="AA152" s="203" t="n">
        <v>0.24</v>
      </c>
      <c r="AB152" s="203" t="n">
        <v>0.16</v>
      </c>
      <c r="AC152" s="203" t="n">
        <v>0.17</v>
      </c>
      <c r="AD152" s="203" t="n">
        <v>0.29</v>
      </c>
      <c r="AE152" s="203" t="n">
        <v>0.13</v>
      </c>
      <c r="AF152" s="203" t="n">
        <v>0.75</v>
      </c>
      <c r="AG152" s="203" t="n">
        <v>0.12</v>
      </c>
      <c r="AH152" s="203" t="n">
        <v>0.18</v>
      </c>
      <c r="AI152" s="6" t="n"/>
      <c r="AJ152" s="6" t="n"/>
      <c r="AK152" s="6" t="n"/>
      <c r="AL152" s="6" t="n"/>
      <c r="AM152" s="6" t="n"/>
      <c r="AN152" s="6" t="n"/>
      <c r="AO152" s="6" t="n"/>
      <c r="AP152" s="6" t="n"/>
    </row>
    <row r="153" ht="15" customHeight="1">
      <c r="B153" s="26" t="inlineStr">
        <is>
          <t xml:space="preserve">  Dividends declared per share ($)</t>
        </is>
      </c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204" t="n">
        <v>0</v>
      </c>
      <c r="AJ153" s="204" t="n">
        <v>0</v>
      </c>
      <c r="AK153" s="37" t="n"/>
      <c r="AL153" s="204" t="n">
        <v>0</v>
      </c>
      <c r="AM153" s="204" t="n">
        <v>0</v>
      </c>
      <c r="AN153" s="204" t="n">
        <v>0</v>
      </c>
      <c r="AO153" s="204" t="n">
        <v>0</v>
      </c>
      <c r="AP153" s="20" t="inlineStr">
        <is>
          <t>Loar has not paid and does not anticipate paying regular cash dividends (10-K); free cash flow funds acquisitions and debt reduction.</t>
        </is>
      </c>
    </row>
    <row r="154" ht="15" customHeight="1">
      <c r="AX154" s="12" t="n"/>
      <c r="AY154" s="13" t="n"/>
      <c r="AZ154" s="13" t="n"/>
      <c r="BA154" s="13" t="n"/>
      <c r="BB154" s="14" t="n"/>
    </row>
    <row r="155" ht="15" customHeight="1">
      <c r="B155" s="11" t="inlineStr">
        <is>
          <t>RECONCILIATION: NET INCOME → EBITDA → ADJUSTED EBITDA (company definition, as published)</t>
        </is>
      </c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inlineStr">
        <is>
          <t>ADJUSTED EBITDA — per Loar release Table 4 / prospectus reconciliations (net income + interest + refinancing + tax = operating income; + D&amp;A = EBITDA; + adjustments)</t>
        </is>
      </c>
    </row>
    <row r="156" collapsed="1" ht="15" customHeight="1">
      <c r="B156" s="17" t="inlineStr">
        <is>
          <t>Net income (loss) (GAAP)</t>
        </is>
      </c>
      <c r="C156" s="181">
        <f>C141</f>
        <v/>
      </c>
      <c r="D156" s="181">
        <f>D141</f>
        <v/>
      </c>
      <c r="E156" s="181">
        <f>E141</f>
        <v/>
      </c>
      <c r="F156" s="181">
        <f>F141</f>
        <v/>
      </c>
      <c r="G156" s="181">
        <f>G141</f>
        <v/>
      </c>
      <c r="H156" s="181">
        <f>H141</f>
        <v/>
      </c>
      <c r="I156" s="181">
        <f>I141</f>
        <v/>
      </c>
      <c r="J156" s="181">
        <f>J141</f>
        <v/>
      </c>
      <c r="K156" s="181">
        <f>K141</f>
        <v/>
      </c>
      <c r="L156" s="181">
        <f>L141</f>
        <v/>
      </c>
      <c r="M156" s="181">
        <f>M141</f>
        <v/>
      </c>
      <c r="N156" s="181">
        <f>N141</f>
        <v/>
      </c>
      <c r="O156" s="181">
        <f>O141</f>
        <v/>
      </c>
      <c r="P156" s="181">
        <f>P141</f>
        <v/>
      </c>
      <c r="Q156" s="181">
        <f>Q141</f>
        <v/>
      </c>
      <c r="R156" s="181">
        <f>R141</f>
        <v/>
      </c>
      <c r="S156" s="181">
        <f>S141</f>
        <v/>
      </c>
      <c r="T156" s="181">
        <f>T141</f>
        <v/>
      </c>
      <c r="U156" s="181">
        <f>U141</f>
        <v/>
      </c>
      <c r="V156" s="181">
        <f>V141</f>
        <v/>
      </c>
      <c r="W156" s="181">
        <f>W141</f>
        <v/>
      </c>
      <c r="X156" s="181">
        <f>X141</f>
        <v/>
      </c>
      <c r="Y156" s="181">
        <f>Y141</f>
        <v/>
      </c>
      <c r="Z156" s="181">
        <f>Z141</f>
        <v/>
      </c>
      <c r="AA156" s="181">
        <f>AA141</f>
        <v/>
      </c>
      <c r="AB156" s="181">
        <f>AB141</f>
        <v/>
      </c>
      <c r="AC156" s="181">
        <f>AC141</f>
        <v/>
      </c>
      <c r="AD156" s="181">
        <f>AD141</f>
        <v/>
      </c>
      <c r="AE156" s="181">
        <f>AE141</f>
        <v/>
      </c>
      <c r="AF156" s="181">
        <f>AF141</f>
        <v/>
      </c>
      <c r="AG156" s="181">
        <f>AG141</f>
        <v/>
      </c>
      <c r="AH156" s="181">
        <f>AH141</f>
        <v/>
      </c>
      <c r="AI156" s="182">
        <f>AI141</f>
        <v/>
      </c>
      <c r="AJ156" s="182">
        <f>AJ141</f>
        <v/>
      </c>
      <c r="AK156" s="182">
        <f>AK141</f>
        <v/>
      </c>
      <c r="AL156" s="182">
        <f>AL141</f>
        <v/>
      </c>
      <c r="AM156" s="182">
        <f>AM141</f>
        <v/>
      </c>
      <c r="AN156" s="182">
        <f>AN141</f>
        <v/>
      </c>
      <c r="AO156" s="182">
        <f>AO141</f>
        <v/>
      </c>
      <c r="AP156" s="6" t="n"/>
    </row>
    <row r="157" ht="15" customHeight="1">
      <c r="B157" s="26" t="inlineStr">
        <is>
          <t xml:space="preserve">  (+) Income tax provision (benefit)</t>
        </is>
      </c>
      <c r="C157" s="186">
        <f>C139</f>
        <v/>
      </c>
      <c r="D157" s="186">
        <f>D139</f>
        <v/>
      </c>
      <c r="E157" s="186">
        <f>E139</f>
        <v/>
      </c>
      <c r="F157" s="186">
        <f>F139</f>
        <v/>
      </c>
      <c r="G157" s="186">
        <f>G139</f>
        <v/>
      </c>
      <c r="H157" s="186">
        <f>H139</f>
        <v/>
      </c>
      <c r="I157" s="186">
        <f>I139</f>
        <v/>
      </c>
      <c r="J157" s="186">
        <f>J139</f>
        <v/>
      </c>
      <c r="K157" s="186">
        <f>K139</f>
        <v/>
      </c>
      <c r="L157" s="186">
        <f>L139</f>
        <v/>
      </c>
      <c r="M157" s="186">
        <f>M139</f>
        <v/>
      </c>
      <c r="N157" s="186">
        <f>N139</f>
        <v/>
      </c>
      <c r="O157" s="186">
        <f>O139</f>
        <v/>
      </c>
      <c r="P157" s="186">
        <f>P139</f>
        <v/>
      </c>
      <c r="Q157" s="186">
        <f>Q139</f>
        <v/>
      </c>
      <c r="R157" s="186">
        <f>R139</f>
        <v/>
      </c>
      <c r="S157" s="186">
        <f>S139</f>
        <v/>
      </c>
      <c r="T157" s="186">
        <f>T139</f>
        <v/>
      </c>
      <c r="U157" s="186">
        <f>U139</f>
        <v/>
      </c>
      <c r="V157" s="186">
        <f>V139</f>
        <v/>
      </c>
      <c r="W157" s="186">
        <f>W139</f>
        <v/>
      </c>
      <c r="X157" s="186">
        <f>X139</f>
        <v/>
      </c>
      <c r="Y157" s="186">
        <f>Y139</f>
        <v/>
      </c>
      <c r="Z157" s="186">
        <f>Z139</f>
        <v/>
      </c>
      <c r="AA157" s="186">
        <f>AA139</f>
        <v/>
      </c>
      <c r="AB157" s="186">
        <f>AB139</f>
        <v/>
      </c>
      <c r="AC157" s="186">
        <f>AC139</f>
        <v/>
      </c>
      <c r="AD157" s="186">
        <f>AD139</f>
        <v/>
      </c>
      <c r="AE157" s="186">
        <f>AE139</f>
        <v/>
      </c>
      <c r="AF157" s="186">
        <f>AF139</f>
        <v/>
      </c>
      <c r="AG157" s="186">
        <f>AG139</f>
        <v/>
      </c>
      <c r="AH157" s="186">
        <f>AH139</f>
        <v/>
      </c>
      <c r="AI157" s="175">
        <f>AI139</f>
        <v/>
      </c>
      <c r="AJ157" s="175">
        <f>AJ139</f>
        <v/>
      </c>
      <c r="AK157" s="175">
        <f>AK139</f>
        <v/>
      </c>
      <c r="AL157" s="175">
        <f>AL139</f>
        <v/>
      </c>
      <c r="AM157" s="175">
        <f>AM139</f>
        <v/>
      </c>
      <c r="AN157" s="175">
        <f>AN139</f>
        <v/>
      </c>
      <c r="AO157" s="175">
        <f>AO139</f>
        <v/>
      </c>
      <c r="AP157" s="20" t="n"/>
    </row>
    <row r="158" ht="15" customHeight="1">
      <c r="B158" s="26" t="inlineStr">
        <is>
          <t xml:space="preserve">  (+) Interest expense, net</t>
        </is>
      </c>
      <c r="C158" s="186">
        <f>C136</f>
        <v/>
      </c>
      <c r="D158" s="186">
        <f>D136</f>
        <v/>
      </c>
      <c r="E158" s="186">
        <f>E136</f>
        <v/>
      </c>
      <c r="F158" s="186">
        <f>F136</f>
        <v/>
      </c>
      <c r="G158" s="186">
        <f>G136</f>
        <v/>
      </c>
      <c r="H158" s="186">
        <f>H136</f>
        <v/>
      </c>
      <c r="I158" s="186">
        <f>I136</f>
        <v/>
      </c>
      <c r="J158" s="186">
        <f>J136</f>
        <v/>
      </c>
      <c r="K158" s="186">
        <f>K136</f>
        <v/>
      </c>
      <c r="L158" s="186">
        <f>L136</f>
        <v/>
      </c>
      <c r="M158" s="186">
        <f>M136</f>
        <v/>
      </c>
      <c r="N158" s="186">
        <f>N136</f>
        <v/>
      </c>
      <c r="O158" s="186">
        <f>O136</f>
        <v/>
      </c>
      <c r="P158" s="186">
        <f>P136</f>
        <v/>
      </c>
      <c r="Q158" s="186">
        <f>Q136</f>
        <v/>
      </c>
      <c r="R158" s="186">
        <f>R136</f>
        <v/>
      </c>
      <c r="S158" s="186">
        <f>S136</f>
        <v/>
      </c>
      <c r="T158" s="186">
        <f>T136</f>
        <v/>
      </c>
      <c r="U158" s="186">
        <f>U136</f>
        <v/>
      </c>
      <c r="V158" s="186">
        <f>V136</f>
        <v/>
      </c>
      <c r="W158" s="186">
        <f>W136</f>
        <v/>
      </c>
      <c r="X158" s="186">
        <f>X136</f>
        <v/>
      </c>
      <c r="Y158" s="186">
        <f>Y136</f>
        <v/>
      </c>
      <c r="Z158" s="186">
        <f>Z136</f>
        <v/>
      </c>
      <c r="AA158" s="186">
        <f>AA136</f>
        <v/>
      </c>
      <c r="AB158" s="186">
        <f>AB136</f>
        <v/>
      </c>
      <c r="AC158" s="186">
        <f>AC136</f>
        <v/>
      </c>
      <c r="AD158" s="186">
        <f>AD136</f>
        <v/>
      </c>
      <c r="AE158" s="186">
        <f>AE136</f>
        <v/>
      </c>
      <c r="AF158" s="186">
        <f>AF136</f>
        <v/>
      </c>
      <c r="AG158" s="186">
        <f>AG136</f>
        <v/>
      </c>
      <c r="AH158" s="186">
        <f>AH136</f>
        <v/>
      </c>
      <c r="AI158" s="175">
        <f>AI136</f>
        <v/>
      </c>
      <c r="AJ158" s="175">
        <f>AJ136</f>
        <v/>
      </c>
      <c r="AK158" s="175">
        <f>AK136</f>
        <v/>
      </c>
      <c r="AL158" s="175">
        <f>AL136</f>
        <v/>
      </c>
      <c r="AM158" s="175">
        <f>AM136</f>
        <v/>
      </c>
      <c r="AN158" s="175">
        <f>AN136</f>
        <v/>
      </c>
      <c r="AO158" s="175">
        <f>AO136</f>
        <v/>
      </c>
      <c r="AP158" s="20" t="n"/>
    </row>
    <row r="159" ht="15" customHeight="1">
      <c r="B159" s="26" t="inlineStr">
        <is>
          <t xml:space="preserve">  (+) Refinancing costs / loss on extinguishment (− FX &amp; insurance gains, 2015–16)</t>
        </is>
      </c>
      <c r="C159" s="186">
        <f>N(C137)</f>
        <v/>
      </c>
      <c r="D159" s="186">
        <f>N(D137)</f>
        <v/>
      </c>
      <c r="E159" s="186">
        <f>N(E137)</f>
        <v/>
      </c>
      <c r="F159" s="186">
        <f>N(F137)</f>
        <v/>
      </c>
      <c r="G159" s="186">
        <f>N(G137)</f>
        <v/>
      </c>
      <c r="H159" s="186">
        <f>N(H137)</f>
        <v/>
      </c>
      <c r="I159" s="186">
        <f>N(I137)</f>
        <v/>
      </c>
      <c r="J159" s="186">
        <f>N(J137)</f>
        <v/>
      </c>
      <c r="K159" s="186">
        <f>N(K137)</f>
        <v/>
      </c>
      <c r="L159" s="186">
        <f>N(L137)</f>
        <v/>
      </c>
      <c r="M159" s="186">
        <f>N(M137)</f>
        <v/>
      </c>
      <c r="N159" s="186">
        <f>N(N137)</f>
        <v/>
      </c>
      <c r="O159" s="186">
        <f>N(O137)</f>
        <v/>
      </c>
      <c r="P159" s="186">
        <f>N(P137)</f>
        <v/>
      </c>
      <c r="Q159" s="186">
        <f>N(Q137)</f>
        <v/>
      </c>
      <c r="R159" s="186">
        <f>N(R137)</f>
        <v/>
      </c>
      <c r="S159" s="186">
        <f>N(S137)</f>
        <v/>
      </c>
      <c r="T159" s="186">
        <f>N(T137)</f>
        <v/>
      </c>
      <c r="U159" s="186">
        <f>N(U137)</f>
        <v/>
      </c>
      <c r="V159" s="186">
        <f>N(V137)</f>
        <v/>
      </c>
      <c r="W159" s="186">
        <f>N(W137)</f>
        <v/>
      </c>
      <c r="X159" s="186">
        <f>N(X137)</f>
        <v/>
      </c>
      <c r="Y159" s="186">
        <f>N(Y137)</f>
        <v/>
      </c>
      <c r="Z159" s="186">
        <f>N(Z137)</f>
        <v/>
      </c>
      <c r="AA159" s="186">
        <f>N(AA137)</f>
        <v/>
      </c>
      <c r="AB159" s="186">
        <f>N(AB137)</f>
        <v/>
      </c>
      <c r="AC159" s="186">
        <f>N(AC137)</f>
        <v/>
      </c>
      <c r="AD159" s="186">
        <f>N(AD137)</f>
        <v/>
      </c>
      <c r="AE159" s="186">
        <f>N(AE137)</f>
        <v/>
      </c>
      <c r="AF159" s="186">
        <f>N(AF137)</f>
        <v/>
      </c>
      <c r="AG159" s="186">
        <f>N(AG137)</f>
        <v/>
      </c>
      <c r="AH159" s="186">
        <f>N(AH137)</f>
        <v/>
      </c>
      <c r="AI159" s="175">
        <f>N(AI137)</f>
        <v/>
      </c>
      <c r="AJ159" s="175">
        <f>N(AJ137)</f>
        <v/>
      </c>
      <c r="AK159" s="175">
        <f>N(AK137)</f>
        <v/>
      </c>
      <c r="AL159" s="175">
        <f>N(AL137)</f>
        <v/>
      </c>
      <c r="AM159" s="175">
        <f>N(AM137)</f>
        <v/>
      </c>
      <c r="AN159" s="175">
        <f>N(AN137)</f>
        <v/>
      </c>
      <c r="AO159" s="175">
        <f>N(AO137)</f>
        <v/>
      </c>
      <c r="AP159" s="20" t="n"/>
    </row>
    <row r="160" ht="15" customHeight="1">
      <c r="B160" s="17" t="inlineStr">
        <is>
          <t xml:space="preserve">  = Operating income</t>
        </is>
      </c>
      <c r="C160" s="181">
        <f>IF(ISNUMBER(C156),C156+C157+C158+C159,"")</f>
        <v/>
      </c>
      <c r="D160" s="181">
        <f>IF(ISNUMBER(D156),D156+D157+D158+D159,"")</f>
        <v/>
      </c>
      <c r="E160" s="181">
        <f>IF(ISNUMBER(E156),E156+E157+E158+E159,"")</f>
        <v/>
      </c>
      <c r="F160" s="181">
        <f>IF(ISNUMBER(F156),F156+F157+F158+F159,"")</f>
        <v/>
      </c>
      <c r="G160" s="181">
        <f>IF(ISNUMBER(G156),G156+G157+G158+G159,"")</f>
        <v/>
      </c>
      <c r="H160" s="181">
        <f>IF(ISNUMBER(H156),H156+H157+H158+H159,"")</f>
        <v/>
      </c>
      <c r="I160" s="181">
        <f>IF(ISNUMBER(I156),I156+I157+I158+I159,"")</f>
        <v/>
      </c>
      <c r="J160" s="181">
        <f>IF(ISNUMBER(J156),J156+J157+J158+J159,"")</f>
        <v/>
      </c>
      <c r="K160" s="181">
        <f>IF(ISNUMBER(K156),K156+K157+K158+K159,"")</f>
        <v/>
      </c>
      <c r="L160" s="181">
        <f>IF(ISNUMBER(L156),L156+L157+L158+L159,"")</f>
        <v/>
      </c>
      <c r="M160" s="181">
        <f>IF(ISNUMBER(M156),M156+M157+M158+M159,"")</f>
        <v/>
      </c>
      <c r="N160" s="181">
        <f>IF(ISNUMBER(N156),N156+N157+N158+N159,"")</f>
        <v/>
      </c>
      <c r="O160" s="181">
        <f>IF(ISNUMBER(O156),O156+O157+O158+O159,"")</f>
        <v/>
      </c>
      <c r="P160" s="181">
        <f>IF(ISNUMBER(P156),P156+P157+P158+P159,"")</f>
        <v/>
      </c>
      <c r="Q160" s="181">
        <f>IF(ISNUMBER(Q156),Q156+Q157+Q158+Q159,"")</f>
        <v/>
      </c>
      <c r="R160" s="181">
        <f>IF(ISNUMBER(R156),R156+R157+R158+R159,"")</f>
        <v/>
      </c>
      <c r="S160" s="181">
        <f>IF(ISNUMBER(S156),S156+S157+S158+S159,"")</f>
        <v/>
      </c>
      <c r="T160" s="181">
        <f>IF(ISNUMBER(T156),T156+T157+T158+T159,"")</f>
        <v/>
      </c>
      <c r="U160" s="181">
        <f>IF(ISNUMBER(U156),U156+U157+U158+U159,"")</f>
        <v/>
      </c>
      <c r="V160" s="181">
        <f>IF(ISNUMBER(V156),V156+V157+V158+V159,"")</f>
        <v/>
      </c>
      <c r="W160" s="181">
        <f>IF(ISNUMBER(W156),W156+W157+W158+W159,"")</f>
        <v/>
      </c>
      <c r="X160" s="181">
        <f>IF(ISNUMBER(X156),X156+X157+X158+X159,"")</f>
        <v/>
      </c>
      <c r="Y160" s="181">
        <f>IF(ISNUMBER(Y156),Y156+Y157+Y158+Y159,"")</f>
        <v/>
      </c>
      <c r="Z160" s="181">
        <f>IF(ISNUMBER(Z156),Z156+Z157+Z158+Z159,"")</f>
        <v/>
      </c>
      <c r="AA160" s="181">
        <f>IF(ISNUMBER(AA156),AA156+AA157+AA158+AA159,"")</f>
        <v/>
      </c>
      <c r="AB160" s="181">
        <f>IF(ISNUMBER(AB156),AB156+AB157+AB158+AB159,"")</f>
        <v/>
      </c>
      <c r="AC160" s="181">
        <f>IF(ISNUMBER(AC156),AC156+AC157+AC158+AC159,"")</f>
        <v/>
      </c>
      <c r="AD160" s="181">
        <f>IF(ISNUMBER(AD156),AD156+AD157+AD158+AD159,"")</f>
        <v/>
      </c>
      <c r="AE160" s="181">
        <f>IF(ISNUMBER(AE156),AE156+AE157+AE158+AE159,"")</f>
        <v/>
      </c>
      <c r="AF160" s="181">
        <f>IF(ISNUMBER(AF156),AF156+AF157+AF158+AF159,"")</f>
        <v/>
      </c>
      <c r="AG160" s="181">
        <f>IF(ISNUMBER(AG156),AG156+AG157+AG158+AG159,"")</f>
        <v/>
      </c>
      <c r="AH160" s="181">
        <f>IF(ISNUMBER(AH156),AH156+AH157+AH158+AH159,"")</f>
        <v/>
      </c>
      <c r="AI160" s="182">
        <f>IF(ISNUMBER(AI156),AI156+AI157+AI158+AI159,"")</f>
        <v/>
      </c>
      <c r="AJ160" s="182">
        <f>IF(ISNUMBER(AJ156),AJ156+AJ157+AJ158+AJ159,"")</f>
        <v/>
      </c>
      <c r="AK160" s="182">
        <f>IF(ISNUMBER(AK156),AK156+AK157+AK158+AK159,"")</f>
        <v/>
      </c>
      <c r="AL160" s="182">
        <f>IF(ISNUMBER(AL156),AL156+AL157+AL158+AL159,"")</f>
        <v/>
      </c>
      <c r="AM160" s="182">
        <f>IF(ISNUMBER(AM156),AM156+AM157+AM158+AM159,"")</f>
        <v/>
      </c>
      <c r="AN160" s="182">
        <f>IF(ISNUMBER(AN156),AN156+AN157+AN158+AN159,"")</f>
        <v/>
      </c>
      <c r="AO160" s="182">
        <f>IF(ISNUMBER(AO156),AO156+AO157+AO158+AO159,"")</f>
        <v/>
      </c>
      <c r="AP160" s="6" t="n"/>
    </row>
    <row r="161" ht="15" customHeight="1">
      <c r="B161" s="26" t="inlineStr">
        <is>
          <t xml:space="preserve">  (+) Depreciation</t>
        </is>
      </c>
      <c r="C161" s="186">
        <f>C113</f>
        <v/>
      </c>
      <c r="D161" s="186">
        <f>D113</f>
        <v/>
      </c>
      <c r="E161" s="186">
        <f>E113</f>
        <v/>
      </c>
      <c r="F161" s="186">
        <f>F113</f>
        <v/>
      </c>
      <c r="G161" s="186">
        <f>G113</f>
        <v/>
      </c>
      <c r="H161" s="186">
        <f>H113</f>
        <v/>
      </c>
      <c r="I161" s="186">
        <f>I113</f>
        <v/>
      </c>
      <c r="J161" s="186">
        <f>J113</f>
        <v/>
      </c>
      <c r="K161" s="186">
        <f>K113</f>
        <v/>
      </c>
      <c r="L161" s="186">
        <f>L113</f>
        <v/>
      </c>
      <c r="M161" s="186">
        <f>M113</f>
        <v/>
      </c>
      <c r="N161" s="186">
        <f>N113</f>
        <v/>
      </c>
      <c r="O161" s="186">
        <f>O113</f>
        <v/>
      </c>
      <c r="P161" s="186">
        <f>P113</f>
        <v/>
      </c>
      <c r="Q161" s="186">
        <f>Q113</f>
        <v/>
      </c>
      <c r="R161" s="186">
        <f>R113</f>
        <v/>
      </c>
      <c r="S161" s="186">
        <f>S113</f>
        <v/>
      </c>
      <c r="T161" s="186">
        <f>T113</f>
        <v/>
      </c>
      <c r="U161" s="186">
        <f>U113</f>
        <v/>
      </c>
      <c r="V161" s="186">
        <f>V113</f>
        <v/>
      </c>
      <c r="W161" s="186">
        <f>W113</f>
        <v/>
      </c>
      <c r="X161" s="186">
        <f>X113</f>
        <v/>
      </c>
      <c r="Y161" s="186">
        <f>Y113</f>
        <v/>
      </c>
      <c r="Z161" s="186">
        <f>Z113</f>
        <v/>
      </c>
      <c r="AA161" s="186">
        <f>AA113</f>
        <v/>
      </c>
      <c r="AB161" s="186">
        <f>AB113</f>
        <v/>
      </c>
      <c r="AC161" s="186">
        <f>AC113</f>
        <v/>
      </c>
      <c r="AD161" s="186">
        <f>AD113</f>
        <v/>
      </c>
      <c r="AE161" s="186">
        <f>AE113</f>
        <v/>
      </c>
      <c r="AF161" s="186">
        <f>AF113</f>
        <v/>
      </c>
      <c r="AG161" s="186">
        <f>AG113</f>
        <v/>
      </c>
      <c r="AH161" s="186">
        <f>AH113</f>
        <v/>
      </c>
      <c r="AI161" s="175">
        <f>AI113</f>
        <v/>
      </c>
      <c r="AJ161" s="175">
        <f>AJ113</f>
        <v/>
      </c>
      <c r="AK161" s="175">
        <f>AK113</f>
        <v/>
      </c>
      <c r="AL161" s="175">
        <f>AL113</f>
        <v/>
      </c>
      <c r="AM161" s="175">
        <f>AM113</f>
        <v/>
      </c>
      <c r="AN161" s="175">
        <f>AN113</f>
        <v/>
      </c>
      <c r="AO161" s="175">
        <f>AO113</f>
        <v/>
      </c>
      <c r="AP161" s="20" t="n"/>
    </row>
    <row r="162" ht="15" customHeight="1">
      <c r="B162" s="26" t="inlineStr">
        <is>
          <t xml:space="preserve">  (+) Amortization (intangible &amp; other long-term assets)</t>
        </is>
      </c>
      <c r="C162" s="186">
        <f>C115</f>
        <v/>
      </c>
      <c r="D162" s="186">
        <f>D115</f>
        <v/>
      </c>
      <c r="E162" s="186">
        <f>E115</f>
        <v/>
      </c>
      <c r="F162" s="186">
        <f>F115</f>
        <v/>
      </c>
      <c r="G162" s="186">
        <f>G115</f>
        <v/>
      </c>
      <c r="H162" s="186">
        <f>H115</f>
        <v/>
      </c>
      <c r="I162" s="186">
        <f>I115</f>
        <v/>
      </c>
      <c r="J162" s="186">
        <f>J115</f>
        <v/>
      </c>
      <c r="K162" s="186">
        <f>K115</f>
        <v/>
      </c>
      <c r="L162" s="186">
        <f>L115</f>
        <v/>
      </c>
      <c r="M162" s="186">
        <f>M115</f>
        <v/>
      </c>
      <c r="N162" s="186">
        <f>N115</f>
        <v/>
      </c>
      <c r="O162" s="186">
        <f>O115</f>
        <v/>
      </c>
      <c r="P162" s="186">
        <f>P115</f>
        <v/>
      </c>
      <c r="Q162" s="186">
        <f>Q115</f>
        <v/>
      </c>
      <c r="R162" s="186">
        <f>R115</f>
        <v/>
      </c>
      <c r="S162" s="186">
        <f>S115</f>
        <v/>
      </c>
      <c r="T162" s="186">
        <f>T115</f>
        <v/>
      </c>
      <c r="U162" s="186">
        <f>U115</f>
        <v/>
      </c>
      <c r="V162" s="186">
        <f>V115</f>
        <v/>
      </c>
      <c r="W162" s="186">
        <f>W115</f>
        <v/>
      </c>
      <c r="X162" s="186">
        <f>X115</f>
        <v/>
      </c>
      <c r="Y162" s="186">
        <f>Y115</f>
        <v/>
      </c>
      <c r="Z162" s="186">
        <f>Z115</f>
        <v/>
      </c>
      <c r="AA162" s="186">
        <f>AA115</f>
        <v/>
      </c>
      <c r="AB162" s="186">
        <f>AB115</f>
        <v/>
      </c>
      <c r="AC162" s="186">
        <f>AC115</f>
        <v/>
      </c>
      <c r="AD162" s="186">
        <f>AD115</f>
        <v/>
      </c>
      <c r="AE162" s="186">
        <f>AE115</f>
        <v/>
      </c>
      <c r="AF162" s="186">
        <f>AF115</f>
        <v/>
      </c>
      <c r="AG162" s="186">
        <f>AG115</f>
        <v/>
      </c>
      <c r="AH162" s="186">
        <f>AH115</f>
        <v/>
      </c>
      <c r="AI162" s="175">
        <f>AI115</f>
        <v/>
      </c>
      <c r="AJ162" s="175">
        <f>AJ115</f>
        <v/>
      </c>
      <c r="AK162" s="175">
        <f>AK115</f>
        <v/>
      </c>
      <c r="AL162" s="175">
        <f>AL115</f>
        <v/>
      </c>
      <c r="AM162" s="175">
        <f>AM115</f>
        <v/>
      </c>
      <c r="AN162" s="175">
        <f>AN115</f>
        <v/>
      </c>
      <c r="AO162" s="175">
        <f>AO115</f>
        <v/>
      </c>
      <c r="AP162" s="20" t="n"/>
    </row>
    <row r="163" ht="15" customHeight="1">
      <c r="B163" s="59" t="inlineStr">
        <is>
          <t xml:space="preserve">  = EBITDA</t>
        </is>
      </c>
      <c r="C163" s="196">
        <f>IF(AND(ISNUMBER(C160),ISNUMBER(C161)),C160+C161+C162,"")</f>
        <v/>
      </c>
      <c r="D163" s="196">
        <f>IF(AND(ISNUMBER(D160),ISNUMBER(D161)),D160+D161+D162,"")</f>
        <v/>
      </c>
      <c r="E163" s="196">
        <f>IF(AND(ISNUMBER(E160),ISNUMBER(E161)),E160+E161+E162,"")</f>
        <v/>
      </c>
      <c r="F163" s="196">
        <f>IF(AND(ISNUMBER(F160),ISNUMBER(F161)),F160+F161+F162,"")</f>
        <v/>
      </c>
      <c r="G163" s="196">
        <f>IF(AND(ISNUMBER(G160),ISNUMBER(G161)),G160+G161+G162,"")</f>
        <v/>
      </c>
      <c r="H163" s="196">
        <f>IF(AND(ISNUMBER(H160),ISNUMBER(H161)),H160+H161+H162,"")</f>
        <v/>
      </c>
      <c r="I163" s="196">
        <f>IF(AND(ISNUMBER(I160),ISNUMBER(I161)),I160+I161+I162,"")</f>
        <v/>
      </c>
      <c r="J163" s="196">
        <f>IF(AND(ISNUMBER(J160),ISNUMBER(J161)),J160+J161+J162,"")</f>
        <v/>
      </c>
      <c r="K163" s="196">
        <f>IF(AND(ISNUMBER(K160),ISNUMBER(K161)),K160+K161+K162,"")</f>
        <v/>
      </c>
      <c r="L163" s="196">
        <f>IF(AND(ISNUMBER(L160),ISNUMBER(L161)),L160+L161+L162,"")</f>
        <v/>
      </c>
      <c r="M163" s="196">
        <f>IF(AND(ISNUMBER(M160),ISNUMBER(M161)),M160+M161+M162,"")</f>
        <v/>
      </c>
      <c r="N163" s="196">
        <f>IF(AND(ISNUMBER(N160),ISNUMBER(N161)),N160+N161+N162,"")</f>
        <v/>
      </c>
      <c r="O163" s="196">
        <f>IF(AND(ISNUMBER(O160),ISNUMBER(O161)),O160+O161+O162,"")</f>
        <v/>
      </c>
      <c r="P163" s="196">
        <f>IF(AND(ISNUMBER(P160),ISNUMBER(P161)),P160+P161+P162,"")</f>
        <v/>
      </c>
      <c r="Q163" s="196">
        <f>IF(AND(ISNUMBER(Q160),ISNUMBER(Q161)),Q160+Q161+Q162,"")</f>
        <v/>
      </c>
      <c r="R163" s="196">
        <f>IF(AND(ISNUMBER(R160),ISNUMBER(R161)),R160+R161+R162,"")</f>
        <v/>
      </c>
      <c r="S163" s="196">
        <f>IF(AND(ISNUMBER(S160),ISNUMBER(S161)),S160+S161+S162,"")</f>
        <v/>
      </c>
      <c r="T163" s="196">
        <f>IF(AND(ISNUMBER(T160),ISNUMBER(T161)),T160+T161+T162,"")</f>
        <v/>
      </c>
      <c r="U163" s="196">
        <f>IF(AND(ISNUMBER(U160),ISNUMBER(U161)),U160+U161+U162,"")</f>
        <v/>
      </c>
      <c r="V163" s="196">
        <f>IF(AND(ISNUMBER(V160),ISNUMBER(V161)),V160+V161+V162,"")</f>
        <v/>
      </c>
      <c r="W163" s="196">
        <f>IF(AND(ISNUMBER(W160),ISNUMBER(W161)),W160+W161+W162,"")</f>
        <v/>
      </c>
      <c r="X163" s="196">
        <f>IF(AND(ISNUMBER(X160),ISNUMBER(X161)),X160+X161+X162,"")</f>
        <v/>
      </c>
      <c r="Y163" s="196">
        <f>IF(AND(ISNUMBER(Y160),ISNUMBER(Y161)),Y160+Y161+Y162,"")</f>
        <v/>
      </c>
      <c r="Z163" s="196">
        <f>IF(AND(ISNUMBER(Z160),ISNUMBER(Z161)),Z160+Z161+Z162,"")</f>
        <v/>
      </c>
      <c r="AA163" s="196">
        <f>IF(AND(ISNUMBER(AA160),ISNUMBER(AA161)),AA160+AA161+AA162,"")</f>
        <v/>
      </c>
      <c r="AB163" s="196">
        <f>IF(AND(ISNUMBER(AB160),ISNUMBER(AB161)),AB160+AB161+AB162,"")</f>
        <v/>
      </c>
      <c r="AC163" s="196">
        <f>IF(AND(ISNUMBER(AC160),ISNUMBER(AC161)),AC160+AC161+AC162,"")</f>
        <v/>
      </c>
      <c r="AD163" s="196">
        <f>IF(AND(ISNUMBER(AD160),ISNUMBER(AD161)),AD160+AD161+AD162,"")</f>
        <v/>
      </c>
      <c r="AE163" s="196">
        <f>IF(AND(ISNUMBER(AE160),ISNUMBER(AE161)),AE160+AE161+AE162,"")</f>
        <v/>
      </c>
      <c r="AF163" s="196">
        <f>IF(AND(ISNUMBER(AF160),ISNUMBER(AF161)),AF160+AF161+AF162,"")</f>
        <v/>
      </c>
      <c r="AG163" s="196">
        <f>IF(AND(ISNUMBER(AG160),ISNUMBER(AG161)),AG160+AG161+AG162,"")</f>
        <v/>
      </c>
      <c r="AH163" s="196">
        <f>IF(AND(ISNUMBER(AH160),ISNUMBER(AH161)),AH160+AH161+AH162,"")</f>
        <v/>
      </c>
      <c r="AI163" s="196">
        <f>IF(AND(ISNUMBER(AI160),ISNUMBER(AI161)),AI160+AI161+AI162,"")</f>
        <v/>
      </c>
      <c r="AJ163" s="196">
        <f>IF(AND(ISNUMBER(AJ160),ISNUMBER(AJ161)),AJ160+AJ161+AJ162,"")</f>
        <v/>
      </c>
      <c r="AK163" s="196">
        <f>IF(AND(ISNUMBER(AK160),ISNUMBER(AK161)),AK160+AK161+AK162,"")</f>
        <v/>
      </c>
      <c r="AL163" s="196">
        <f>IF(AND(ISNUMBER(AL160),ISNUMBER(AL161)),AL160+AL161+AL162,"")</f>
        <v/>
      </c>
      <c r="AM163" s="196">
        <f>IF(AND(ISNUMBER(AM160),ISNUMBER(AM161)),AM160+AM161+AM162,"")</f>
        <v/>
      </c>
      <c r="AN163" s="196">
        <f>IF(AND(ISNUMBER(AN160),ISNUMBER(AN161)),AN160+AN161+AN162,"")</f>
        <v/>
      </c>
      <c r="AO163" s="196">
        <f>IF(AND(ISNUMBER(AO160),ISNUMBER(AO161)),AO160+AO161+AO162,"")</f>
        <v/>
      </c>
      <c r="AP163" s="6" t="n"/>
      <c r="AR163" s="21">
        <f>IFERROR((AO163/AF163)^(1/5)-1,"n/m")</f>
        <v/>
      </c>
      <c r="AS163" s="21">
        <f>IFERROR((AF163/K163)^(1/5)-1,"n/m")</f>
        <v/>
      </c>
      <c r="AT163" s="21">
        <f>IFERROR((AF163/F163)^(1/10)-1,"n/m")</f>
        <v/>
      </c>
      <c r="AU163" s="21">
        <f>IFERROR((AF163/C163)^(1/13)-1,"n/m")</f>
        <v/>
      </c>
    </row>
    <row r="164" ht="15" customHeight="1">
      <c r="B164" s="42" t="inlineStr">
        <is>
          <t xml:space="preserve">  Memo: EBITDA as published</t>
        </is>
      </c>
      <c r="C164" s="174" t="n">
        <v>-1.014</v>
      </c>
      <c r="D164" s="174" t="n">
        <v>1.858</v>
      </c>
      <c r="E164" s="174" t="n">
        <v>6.492</v>
      </c>
      <c r="F164" s="174" t="n">
        <v>6.353</v>
      </c>
      <c r="G164" s="174" t="n">
        <v>19.106</v>
      </c>
      <c r="H164" s="174" t="n">
        <v>9.340999999999999</v>
      </c>
      <c r="I164" s="174" t="n">
        <v>33.685</v>
      </c>
      <c r="J164" s="174" t="n">
        <v>55.724</v>
      </c>
      <c r="K164" s="174" t="n">
        <v>44.716</v>
      </c>
      <c r="L164" s="174" t="n">
        <v>56.377</v>
      </c>
      <c r="M164" s="174" t="n">
        <v>18.254</v>
      </c>
      <c r="N164" s="174" t="n">
        <v>16.958</v>
      </c>
      <c r="O164" s="174" t="n">
        <v>16.916</v>
      </c>
      <c r="P164" s="174" t="n">
        <v>21.288</v>
      </c>
      <c r="Q164" s="174" t="n">
        <v>73.416</v>
      </c>
      <c r="R164" s="174" t="n">
        <v>26.381</v>
      </c>
      <c r="S164" s="174" t="n">
        <v>27.053</v>
      </c>
      <c r="T164" s="174" t="n">
        <v>26.517</v>
      </c>
      <c r="U164" s="174" t="n">
        <v>27.564</v>
      </c>
      <c r="V164" s="174" t="n">
        <v>107.515</v>
      </c>
      <c r="W164" s="174" t="n">
        <v>31.3</v>
      </c>
      <c r="X164" s="174" t="n">
        <v>31.957</v>
      </c>
      <c r="Y164" s="174" t="n">
        <v>33.568</v>
      </c>
      <c r="Z164" s="174" t="n">
        <v>33.877</v>
      </c>
      <c r="AA164" s="174" t="n">
        <v>130.702</v>
      </c>
      <c r="AB164" s="174" t="n">
        <v>38.603</v>
      </c>
      <c r="AC164" s="174" t="n">
        <v>40.004</v>
      </c>
      <c r="AD164" s="174" t="n">
        <v>41.809</v>
      </c>
      <c r="AE164" s="174" t="n">
        <v>36.828</v>
      </c>
      <c r="AF164" s="174" t="n">
        <v>157.243</v>
      </c>
      <c r="AG164" s="174" t="n">
        <v>52.459</v>
      </c>
      <c r="AH164" s="174" t="n">
        <v>61.796</v>
      </c>
      <c r="AI164" s="6" t="n"/>
      <c r="AJ164" s="6" t="n"/>
      <c r="AK164" s="6" t="n"/>
      <c r="AL164" s="6" t="n"/>
      <c r="AM164" s="6" t="n"/>
      <c r="AN164" s="6" t="n"/>
      <c r="AO164" s="6" t="n"/>
      <c r="AP164" s="6" t="n"/>
    </row>
    <row r="165" ht="15" customHeight="1">
      <c r="B165" s="61" t="inlineStr">
        <is>
          <t xml:space="preserve">  Check: model EBITDA vs published (should be 0)</t>
        </is>
      </c>
      <c r="C165" s="186">
        <f>IF(ISNUMBER(C164),IF(ABS(C163-C164)&lt;=0.015,0,ROUND(C163-C164,2)),"n/p")</f>
        <v/>
      </c>
      <c r="D165" s="186">
        <f>IF(ISNUMBER(D164),IF(ABS(D163-D164)&lt;=0.015,0,ROUND(D163-D164,2)),"n/p")</f>
        <v/>
      </c>
      <c r="E165" s="186">
        <f>IF(ISNUMBER(E164),IF(ABS(E163-E164)&lt;=0.015,0,ROUND(E163-E164,2)),"n/p")</f>
        <v/>
      </c>
      <c r="F165" s="186">
        <f>IF(ISNUMBER(F164),IF(ABS(F163-F164)&lt;=0.015,0,ROUND(F163-F164,2)),"n/p")</f>
        <v/>
      </c>
      <c r="G165" s="186">
        <f>IF(ISNUMBER(G164),IF(ABS(G163-G164)&lt;=0.015,0,ROUND(G163-G164,2)),"n/p")</f>
        <v/>
      </c>
      <c r="H165" s="186">
        <f>IF(ISNUMBER(H164),IF(ABS(H163-H164)&lt;=0.015,0,ROUND(H163-H164,2)),"n/p")</f>
        <v/>
      </c>
      <c r="I165" s="186">
        <f>IF(ISNUMBER(I164),IF(ABS(I163-I164)&lt;=0.015,0,ROUND(I163-I164,2)),"n/p")</f>
        <v/>
      </c>
      <c r="J165" s="186">
        <f>IF(ISNUMBER(J164),IF(ABS(J163-J164)&lt;=0.015,0,ROUND(J163-J164,2)),"n/p")</f>
        <v/>
      </c>
      <c r="K165" s="186">
        <f>IF(ISNUMBER(K164),IF(ABS(K163-K164)&lt;=0.015,0,ROUND(K163-K164,2)),"n/p")</f>
        <v/>
      </c>
      <c r="L165" s="186">
        <f>IF(ISNUMBER(L164),IF(ABS(L163-L164)&lt;=0.015,0,ROUND(L163-L164,2)),"n/p")</f>
        <v/>
      </c>
      <c r="M165" s="186">
        <f>IF(ISNUMBER(M164),IF(ABS(M163-M164)&lt;=0.015,0,ROUND(M163-M164,2)),"n/p")</f>
        <v/>
      </c>
      <c r="N165" s="186">
        <f>IF(ISNUMBER(N164),IF(ABS(N163-N164)&lt;=0.015,0,ROUND(N163-N164,2)),"n/p")</f>
        <v/>
      </c>
      <c r="O165" s="186">
        <f>IF(ISNUMBER(O164),IF(ABS(O163-O164)&lt;=0.015,0,ROUND(O163-O164,2)),"n/p")</f>
        <v/>
      </c>
      <c r="P165" s="186">
        <f>IF(ISNUMBER(P164),IF(ABS(P163-P164)&lt;=0.015,0,ROUND(P163-P164,2)),"n/p")</f>
        <v/>
      </c>
      <c r="Q165" s="186">
        <f>IF(ISNUMBER(Q164),IF(ABS(Q163-Q164)&lt;=0.015,0,ROUND(Q163-Q164,2)),"n/p")</f>
        <v/>
      </c>
      <c r="R165" s="186">
        <f>IF(ISNUMBER(R164),IF(ABS(R163-R164)&lt;=0.015,0,ROUND(R163-R164,2)),"n/p")</f>
        <v/>
      </c>
      <c r="S165" s="186">
        <f>IF(ISNUMBER(S164),IF(ABS(S163-S164)&lt;=0.015,0,ROUND(S163-S164,2)),"n/p")</f>
        <v/>
      </c>
      <c r="T165" s="186">
        <f>IF(ISNUMBER(T164),IF(ABS(T163-T164)&lt;=0.015,0,ROUND(T163-T164,2)),"n/p")</f>
        <v/>
      </c>
      <c r="U165" s="186">
        <f>IF(ISNUMBER(U164),IF(ABS(U163-U164)&lt;=0.015,0,ROUND(U163-U164,2)),"n/p")</f>
        <v/>
      </c>
      <c r="V165" s="186">
        <f>IF(ISNUMBER(V164),IF(ABS(V163-V164)&lt;=0.015,0,ROUND(V163-V164,2)),"n/p")</f>
        <v/>
      </c>
      <c r="W165" s="186">
        <f>IF(ISNUMBER(W164),IF(ABS(W163-W164)&lt;=0.015,0,ROUND(W163-W164,2)),"n/p")</f>
        <v/>
      </c>
      <c r="X165" s="186">
        <f>IF(ISNUMBER(X164),IF(ABS(X163-X164)&lt;=0.015,0,ROUND(X163-X164,2)),"n/p")</f>
        <v/>
      </c>
      <c r="Y165" s="186">
        <f>IF(ISNUMBER(Y164),IF(ABS(Y163-Y164)&lt;=0.015,0,ROUND(Y163-Y164,2)),"n/p")</f>
        <v/>
      </c>
      <c r="Z165" s="186">
        <f>IF(ISNUMBER(Z164),IF(ABS(Z163-Z164)&lt;=0.015,0,ROUND(Z163-Z164,2)),"n/p")</f>
        <v/>
      </c>
      <c r="AA165" s="186">
        <f>IF(ISNUMBER(AA164),IF(ABS(AA163-AA164)&lt;=0.015,0,ROUND(AA163-AA164,2)),"n/p")</f>
        <v/>
      </c>
      <c r="AB165" s="186">
        <f>IF(ISNUMBER(AB164),IF(ABS(AB163-AB164)&lt;=0.015,0,ROUND(AB163-AB164,2)),"n/p")</f>
        <v/>
      </c>
      <c r="AC165" s="186">
        <f>IF(ISNUMBER(AC164),IF(ABS(AC163-AC164)&lt;=0.015,0,ROUND(AC163-AC164,2)),"n/p")</f>
        <v/>
      </c>
      <c r="AD165" s="186">
        <f>IF(ISNUMBER(AD164),IF(ABS(AD163-AD164)&lt;=0.015,0,ROUND(AD163-AD164,2)),"n/p")</f>
        <v/>
      </c>
      <c r="AE165" s="186">
        <f>IF(ISNUMBER(AE164),IF(ABS(AE163-AE164)&lt;=0.015,0,ROUND(AE163-AE164,2)),"n/p")</f>
        <v/>
      </c>
      <c r="AF165" s="186">
        <f>IF(ISNUMBER(AF164),IF(ABS(AF163-AF164)&lt;=0.015,0,ROUND(AF163-AF164,2)),"n/p")</f>
        <v/>
      </c>
      <c r="AG165" s="186">
        <f>IF(ISNUMBER(AG164),IF(ABS(AG163-AG164)&lt;=0.015,0,ROUND(AG163-AG164,2)),"n/p")</f>
        <v/>
      </c>
      <c r="AH165" s="186">
        <f>IF(ISNUMBER(AH164),IF(ABS(AH163-AH164)&lt;=0.015,0,ROUND(AH163-AH164,2)),"n/p")</f>
        <v/>
      </c>
      <c r="AI165" s="6" t="n"/>
      <c r="AJ165" s="6" t="n"/>
      <c r="AK165" s="6" t="n"/>
      <c r="AL165" s="6" t="n"/>
      <c r="AM165" s="6" t="n"/>
      <c r="AN165" s="6" t="n"/>
      <c r="AO165" s="6" t="n"/>
      <c r="AP165" s="6" t="n"/>
    </row>
    <row r="166" ht="15" customHeight="1">
      <c r="B166" s="26" t="inlineStr">
        <is>
          <t xml:space="preserve">  (+) Recognition of inventory step-up</t>
        </is>
      </c>
      <c r="C166" s="186">
        <f>C123</f>
        <v/>
      </c>
      <c r="D166" s="186">
        <f>D123</f>
        <v/>
      </c>
      <c r="E166" s="186">
        <f>E123</f>
        <v/>
      </c>
      <c r="F166" s="186">
        <f>F123</f>
        <v/>
      </c>
      <c r="G166" s="186">
        <f>G123</f>
        <v/>
      </c>
      <c r="H166" s="186">
        <f>H123</f>
        <v/>
      </c>
      <c r="I166" s="186">
        <f>I123</f>
        <v/>
      </c>
      <c r="J166" s="186">
        <f>J123</f>
        <v/>
      </c>
      <c r="K166" s="186">
        <f>K123</f>
        <v/>
      </c>
      <c r="L166" s="186">
        <f>L123</f>
        <v/>
      </c>
      <c r="M166" s="186">
        <f>M123</f>
        <v/>
      </c>
      <c r="N166" s="186">
        <f>N123</f>
        <v/>
      </c>
      <c r="O166" s="186">
        <f>O123</f>
        <v/>
      </c>
      <c r="P166" s="186">
        <f>P123</f>
        <v/>
      </c>
      <c r="Q166" s="186">
        <f>Q123</f>
        <v/>
      </c>
      <c r="R166" s="186">
        <f>R123</f>
        <v/>
      </c>
      <c r="S166" s="186">
        <f>S123</f>
        <v/>
      </c>
      <c r="T166" s="186">
        <f>T123</f>
        <v/>
      </c>
      <c r="U166" s="186">
        <f>U123</f>
        <v/>
      </c>
      <c r="V166" s="186">
        <f>V123</f>
        <v/>
      </c>
      <c r="W166" s="186">
        <f>W123</f>
        <v/>
      </c>
      <c r="X166" s="186">
        <f>X123</f>
        <v/>
      </c>
      <c r="Y166" s="186">
        <f>Y123</f>
        <v/>
      </c>
      <c r="Z166" s="186">
        <f>Z123</f>
        <v/>
      </c>
      <c r="AA166" s="186">
        <f>AA123</f>
        <v/>
      </c>
      <c r="AB166" s="186">
        <f>AB123</f>
        <v/>
      </c>
      <c r="AC166" s="186">
        <f>AC123</f>
        <v/>
      </c>
      <c r="AD166" s="186">
        <f>AD123</f>
        <v/>
      </c>
      <c r="AE166" s="186">
        <f>AE123</f>
        <v/>
      </c>
      <c r="AF166" s="186">
        <f>AF123</f>
        <v/>
      </c>
      <c r="AG166" s="186">
        <f>AG123</f>
        <v/>
      </c>
      <c r="AH166" s="186">
        <f>AH123</f>
        <v/>
      </c>
      <c r="AI166" s="175">
        <f>AI123</f>
        <v/>
      </c>
      <c r="AJ166" s="175">
        <f>AJ123</f>
        <v/>
      </c>
      <c r="AK166" s="175">
        <f>AK123</f>
        <v/>
      </c>
      <c r="AL166" s="175">
        <f>AL123</f>
        <v/>
      </c>
      <c r="AM166" s="175">
        <f>AM123</f>
        <v/>
      </c>
      <c r="AN166" s="175">
        <f>AN123</f>
        <v/>
      </c>
      <c r="AO166" s="175">
        <f>AO123</f>
        <v/>
      </c>
      <c r="AP166" s="20" t="n"/>
    </row>
    <row r="167" ht="15" customHeight="1">
      <c r="B167" s="26" t="inlineStr">
        <is>
          <t xml:space="preserve">  (+/−) Other (income) expense (grants, contingent consideration, insurance; 2017–21 asset write-offs)</t>
        </is>
      </c>
      <c r="C167" s="186">
        <f>C124</f>
        <v/>
      </c>
      <c r="D167" s="186">
        <f>D124</f>
        <v/>
      </c>
      <c r="E167" s="186">
        <f>E124</f>
        <v/>
      </c>
      <c r="F167" s="186">
        <f>F124</f>
        <v/>
      </c>
      <c r="G167" s="186">
        <f>G124</f>
        <v/>
      </c>
      <c r="H167" s="186">
        <f>H124</f>
        <v/>
      </c>
      <c r="I167" s="186">
        <f>I124</f>
        <v/>
      </c>
      <c r="J167" s="186">
        <f>J124</f>
        <v/>
      </c>
      <c r="K167" s="186">
        <f>K124</f>
        <v/>
      </c>
      <c r="L167" s="186">
        <f>L124</f>
        <v/>
      </c>
      <c r="M167" s="186">
        <f>M124</f>
        <v/>
      </c>
      <c r="N167" s="186">
        <f>N124</f>
        <v/>
      </c>
      <c r="O167" s="186">
        <f>O124</f>
        <v/>
      </c>
      <c r="P167" s="186">
        <f>P124</f>
        <v/>
      </c>
      <c r="Q167" s="186">
        <f>Q124</f>
        <v/>
      </c>
      <c r="R167" s="186">
        <f>R124</f>
        <v/>
      </c>
      <c r="S167" s="186">
        <f>S124</f>
        <v/>
      </c>
      <c r="T167" s="186">
        <f>T124</f>
        <v/>
      </c>
      <c r="U167" s="186">
        <f>U124</f>
        <v/>
      </c>
      <c r="V167" s="186">
        <f>V124</f>
        <v/>
      </c>
      <c r="W167" s="186">
        <f>W124</f>
        <v/>
      </c>
      <c r="X167" s="186">
        <f>X124</f>
        <v/>
      </c>
      <c r="Y167" s="186">
        <f>Y124</f>
        <v/>
      </c>
      <c r="Z167" s="186">
        <f>Z124</f>
        <v/>
      </c>
      <c r="AA167" s="186">
        <f>AA124</f>
        <v/>
      </c>
      <c r="AB167" s="186">
        <f>AB124</f>
        <v/>
      </c>
      <c r="AC167" s="186">
        <f>AC124</f>
        <v/>
      </c>
      <c r="AD167" s="186">
        <f>AD124</f>
        <v/>
      </c>
      <c r="AE167" s="186">
        <f>AE124</f>
        <v/>
      </c>
      <c r="AF167" s="186">
        <f>AF124</f>
        <v/>
      </c>
      <c r="AG167" s="186">
        <f>AG124</f>
        <v/>
      </c>
      <c r="AH167" s="186">
        <f>AH124</f>
        <v/>
      </c>
      <c r="AI167" s="175">
        <f>AI124</f>
        <v/>
      </c>
      <c r="AJ167" s="175">
        <f>AJ124</f>
        <v/>
      </c>
      <c r="AK167" s="175">
        <f>AK124</f>
        <v/>
      </c>
      <c r="AL167" s="175">
        <f>AL124</f>
        <v/>
      </c>
      <c r="AM167" s="175">
        <f>AM124</f>
        <v/>
      </c>
      <c r="AN167" s="175">
        <f>AN124</f>
        <v/>
      </c>
      <c r="AO167" s="175">
        <f>AO124</f>
        <v/>
      </c>
      <c r="AP167" s="20" t="n"/>
    </row>
    <row r="168" ht="15" customHeight="1">
      <c r="B168" s="26" t="inlineStr">
        <is>
          <t xml:space="preserve">  (+) Transaction expenses</t>
        </is>
      </c>
      <c r="C168" s="186">
        <f>C120</f>
        <v/>
      </c>
      <c r="D168" s="186">
        <f>D120</f>
        <v/>
      </c>
      <c r="E168" s="186">
        <f>E120</f>
        <v/>
      </c>
      <c r="F168" s="186">
        <f>F120</f>
        <v/>
      </c>
      <c r="G168" s="186">
        <f>G120</f>
        <v/>
      </c>
      <c r="H168" s="186">
        <f>H120</f>
        <v/>
      </c>
      <c r="I168" s="186">
        <f>I120</f>
        <v/>
      </c>
      <c r="J168" s="186">
        <f>J120</f>
        <v/>
      </c>
      <c r="K168" s="186">
        <f>K120</f>
        <v/>
      </c>
      <c r="L168" s="186">
        <f>L120</f>
        <v/>
      </c>
      <c r="M168" s="186">
        <f>M120</f>
        <v/>
      </c>
      <c r="N168" s="186">
        <f>N120</f>
        <v/>
      </c>
      <c r="O168" s="186">
        <f>O120</f>
        <v/>
      </c>
      <c r="P168" s="186">
        <f>P120</f>
        <v/>
      </c>
      <c r="Q168" s="186">
        <f>Q120</f>
        <v/>
      </c>
      <c r="R168" s="186">
        <f>R120</f>
        <v/>
      </c>
      <c r="S168" s="186">
        <f>S120</f>
        <v/>
      </c>
      <c r="T168" s="186">
        <f>T120</f>
        <v/>
      </c>
      <c r="U168" s="186">
        <f>U120</f>
        <v/>
      </c>
      <c r="V168" s="186">
        <f>V120</f>
        <v/>
      </c>
      <c r="W168" s="186">
        <f>W120</f>
        <v/>
      </c>
      <c r="X168" s="186">
        <f>X120</f>
        <v/>
      </c>
      <c r="Y168" s="186">
        <f>Y120</f>
        <v/>
      </c>
      <c r="Z168" s="186">
        <f>Z120</f>
        <v/>
      </c>
      <c r="AA168" s="186">
        <f>AA120</f>
        <v/>
      </c>
      <c r="AB168" s="186">
        <f>AB120</f>
        <v/>
      </c>
      <c r="AC168" s="186">
        <f>AC120</f>
        <v/>
      </c>
      <c r="AD168" s="186">
        <f>AD120</f>
        <v/>
      </c>
      <c r="AE168" s="186">
        <f>AE120</f>
        <v/>
      </c>
      <c r="AF168" s="186">
        <f>AF120</f>
        <v/>
      </c>
      <c r="AG168" s="186">
        <f>AG120</f>
        <v/>
      </c>
      <c r="AH168" s="186">
        <f>AH120</f>
        <v/>
      </c>
      <c r="AI168" s="175">
        <f>AI120</f>
        <v/>
      </c>
      <c r="AJ168" s="175">
        <f>AJ120</f>
        <v/>
      </c>
      <c r="AK168" s="175">
        <f>AK120</f>
        <v/>
      </c>
      <c r="AL168" s="175">
        <f>AL120</f>
        <v/>
      </c>
      <c r="AM168" s="175">
        <f>AM120</f>
        <v/>
      </c>
      <c r="AN168" s="175">
        <f>AN120</f>
        <v/>
      </c>
      <c r="AO168" s="175">
        <f>AO120</f>
        <v/>
      </c>
      <c r="AP168" s="20" t="n"/>
    </row>
    <row r="169" ht="15" customHeight="1">
      <c r="B169" s="26" t="inlineStr">
        <is>
          <t xml:space="preserve">  (+) Stock-based compensation</t>
        </is>
      </c>
      <c r="C169" s="186">
        <f>C118</f>
        <v/>
      </c>
      <c r="D169" s="186">
        <f>D118</f>
        <v/>
      </c>
      <c r="E169" s="186">
        <f>E118</f>
        <v/>
      </c>
      <c r="F169" s="186">
        <f>F118</f>
        <v/>
      </c>
      <c r="G169" s="186">
        <f>G118</f>
        <v/>
      </c>
      <c r="H169" s="186">
        <f>H118</f>
        <v/>
      </c>
      <c r="I169" s="186">
        <f>I118</f>
        <v/>
      </c>
      <c r="J169" s="186">
        <f>J118</f>
        <v/>
      </c>
      <c r="K169" s="186">
        <f>K118</f>
        <v/>
      </c>
      <c r="L169" s="186">
        <f>L118</f>
        <v/>
      </c>
      <c r="M169" s="186">
        <f>M118</f>
        <v/>
      </c>
      <c r="N169" s="186">
        <f>N118</f>
        <v/>
      </c>
      <c r="O169" s="186">
        <f>O118</f>
        <v/>
      </c>
      <c r="P169" s="186">
        <f>P118</f>
        <v/>
      </c>
      <c r="Q169" s="186">
        <f>Q118</f>
        <v/>
      </c>
      <c r="R169" s="186">
        <f>R118</f>
        <v/>
      </c>
      <c r="S169" s="186">
        <f>S118</f>
        <v/>
      </c>
      <c r="T169" s="186">
        <f>T118</f>
        <v/>
      </c>
      <c r="U169" s="186">
        <f>U118</f>
        <v/>
      </c>
      <c r="V169" s="186">
        <f>V118</f>
        <v/>
      </c>
      <c r="W169" s="186">
        <f>W118</f>
        <v/>
      </c>
      <c r="X169" s="186">
        <f>X118</f>
        <v/>
      </c>
      <c r="Y169" s="186">
        <f>Y118</f>
        <v/>
      </c>
      <c r="Z169" s="186">
        <f>Z118</f>
        <v/>
      </c>
      <c r="AA169" s="186">
        <f>AA118</f>
        <v/>
      </c>
      <c r="AB169" s="186">
        <f>AB118</f>
        <v/>
      </c>
      <c r="AC169" s="186">
        <f>AC118</f>
        <v/>
      </c>
      <c r="AD169" s="186">
        <f>AD118</f>
        <v/>
      </c>
      <c r="AE169" s="186">
        <f>AE118</f>
        <v/>
      </c>
      <c r="AF169" s="186">
        <f>AF118</f>
        <v/>
      </c>
      <c r="AG169" s="186">
        <f>AG118</f>
        <v/>
      </c>
      <c r="AH169" s="186">
        <f>AH118</f>
        <v/>
      </c>
      <c r="AI169" s="175">
        <f>AI118</f>
        <v/>
      </c>
      <c r="AJ169" s="175">
        <f>AJ118</f>
        <v/>
      </c>
      <c r="AK169" s="175">
        <f>AK118</f>
        <v/>
      </c>
      <c r="AL169" s="175">
        <f>AL118</f>
        <v/>
      </c>
      <c r="AM169" s="175">
        <f>AM118</f>
        <v/>
      </c>
      <c r="AN169" s="175">
        <f>AN118</f>
        <v/>
      </c>
      <c r="AO169" s="175">
        <f>AO118</f>
        <v/>
      </c>
      <c r="AP169" s="20" t="n"/>
    </row>
    <row r="170" ht="15" customHeight="1">
      <c r="B170" s="26" t="inlineStr">
        <is>
          <t xml:space="preserve">  (+) Acquisition &amp; facility integration costs</t>
        </is>
      </c>
      <c r="C170" s="186">
        <f>C122</f>
        <v/>
      </c>
      <c r="D170" s="186">
        <f>D122</f>
        <v/>
      </c>
      <c r="E170" s="186">
        <f>E122</f>
        <v/>
      </c>
      <c r="F170" s="186">
        <f>F122</f>
        <v/>
      </c>
      <c r="G170" s="186">
        <f>G122</f>
        <v/>
      </c>
      <c r="H170" s="186">
        <f>H122</f>
        <v/>
      </c>
      <c r="I170" s="186">
        <f>I122</f>
        <v/>
      </c>
      <c r="J170" s="186">
        <f>J122</f>
        <v/>
      </c>
      <c r="K170" s="186">
        <f>K122</f>
        <v/>
      </c>
      <c r="L170" s="186">
        <f>L122</f>
        <v/>
      </c>
      <c r="M170" s="186">
        <f>M122</f>
        <v/>
      </c>
      <c r="N170" s="186">
        <f>N122</f>
        <v/>
      </c>
      <c r="O170" s="186">
        <f>O122</f>
        <v/>
      </c>
      <c r="P170" s="186">
        <f>P122</f>
        <v/>
      </c>
      <c r="Q170" s="186">
        <f>Q122</f>
        <v/>
      </c>
      <c r="R170" s="186">
        <f>R122</f>
        <v/>
      </c>
      <c r="S170" s="186">
        <f>S122</f>
        <v/>
      </c>
      <c r="T170" s="186">
        <f>T122</f>
        <v/>
      </c>
      <c r="U170" s="186">
        <f>U122</f>
        <v/>
      </c>
      <c r="V170" s="186">
        <f>V122</f>
        <v/>
      </c>
      <c r="W170" s="186">
        <f>W122</f>
        <v/>
      </c>
      <c r="X170" s="186">
        <f>X122</f>
        <v/>
      </c>
      <c r="Y170" s="186">
        <f>Y122</f>
        <v/>
      </c>
      <c r="Z170" s="186">
        <f>Z122</f>
        <v/>
      </c>
      <c r="AA170" s="186">
        <f>AA122</f>
        <v/>
      </c>
      <c r="AB170" s="186">
        <f>AB122</f>
        <v/>
      </c>
      <c r="AC170" s="186">
        <f>AC122</f>
        <v/>
      </c>
      <c r="AD170" s="186">
        <f>AD122</f>
        <v/>
      </c>
      <c r="AE170" s="186">
        <f>AE122</f>
        <v/>
      </c>
      <c r="AF170" s="186">
        <f>AF122</f>
        <v/>
      </c>
      <c r="AG170" s="186">
        <f>AG122</f>
        <v/>
      </c>
      <c r="AH170" s="186">
        <f>AH122</f>
        <v/>
      </c>
      <c r="AI170" s="175">
        <f>AI122</f>
        <v/>
      </c>
      <c r="AJ170" s="175">
        <f>AJ122</f>
        <v/>
      </c>
      <c r="AK170" s="175">
        <f>AK122</f>
        <v/>
      </c>
      <c r="AL170" s="175">
        <f>AL122</f>
        <v/>
      </c>
      <c r="AM170" s="175">
        <f>AM122</f>
        <v/>
      </c>
      <c r="AN170" s="175">
        <f>AN122</f>
        <v/>
      </c>
      <c r="AO170" s="175">
        <f>AO122</f>
        <v/>
      </c>
      <c r="AP170" s="20" t="n"/>
    </row>
    <row r="171" ht="15" customHeight="1">
      <c r="B171" s="26" t="inlineStr">
        <is>
          <t xml:space="preserve">  (+) COVID-19 related expenses (2020–22)</t>
        </is>
      </c>
      <c r="C171" s="174" t="n">
        <v>0</v>
      </c>
      <c r="D171" s="174" t="n">
        <v>0</v>
      </c>
      <c r="E171" s="174" t="n">
        <v>0</v>
      </c>
      <c r="F171" s="174" t="n">
        <v>0</v>
      </c>
      <c r="G171" s="174" t="n">
        <v>0</v>
      </c>
      <c r="H171" s="174" t="n">
        <v>0</v>
      </c>
      <c r="I171" s="174" t="n">
        <v>0</v>
      </c>
      <c r="J171" s="174" t="n">
        <v>0</v>
      </c>
      <c r="K171" s="174" t="n">
        <v>0.399</v>
      </c>
      <c r="L171" s="174" t="n">
        <v>0.147</v>
      </c>
      <c r="M171" s="174" t="n">
        <v>0.05</v>
      </c>
      <c r="N171" s="174" t="n">
        <v>0.017</v>
      </c>
      <c r="O171" s="174" t="n">
        <v>0.11</v>
      </c>
      <c r="P171" s="174" t="n">
        <v>0.033</v>
      </c>
      <c r="Q171" s="174" t="n">
        <v>0.21</v>
      </c>
      <c r="R171" s="174" t="n">
        <v>0</v>
      </c>
      <c r="S171" s="174" t="n">
        <v>0</v>
      </c>
      <c r="T171" s="174" t="n">
        <v>0</v>
      </c>
      <c r="U171" s="174" t="n">
        <v>0</v>
      </c>
      <c r="V171" s="174" t="n">
        <v>0</v>
      </c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175">
        <f>0</f>
        <v/>
      </c>
      <c r="AJ171" s="175">
        <f>0</f>
        <v/>
      </c>
      <c r="AK171" s="175">
        <f>SUM(AG171,AH171,AI171,AJ171)</f>
        <v/>
      </c>
      <c r="AL171" s="175">
        <f>0</f>
        <v/>
      </c>
      <c r="AM171" s="175">
        <f>0</f>
        <v/>
      </c>
      <c r="AN171" s="175">
        <f>0</f>
        <v/>
      </c>
      <c r="AO171" s="175">
        <f>0</f>
        <v/>
      </c>
      <c r="AP171" s="20" t="n"/>
    </row>
    <row r="172" ht="15" customHeight="1">
      <c r="B172" s="26" t="inlineStr">
        <is>
          <t xml:space="preserve">  (+) Management service agreement fees (2012–17)</t>
        </is>
      </c>
      <c r="C172" s="174" t="n">
        <v>0.554</v>
      </c>
      <c r="D172" s="174" t="n">
        <v>0.454</v>
      </c>
      <c r="E172" s="174" t="n">
        <v>0.5669999999999999</v>
      </c>
      <c r="F172" s="174" t="n">
        <v>0.616</v>
      </c>
      <c r="G172" s="174" t="n">
        <v>1.157</v>
      </c>
      <c r="H172" s="174" t="n">
        <v>0.843</v>
      </c>
      <c r="I172" s="174" t="n">
        <v>0</v>
      </c>
      <c r="J172" s="174" t="n">
        <v>0</v>
      </c>
      <c r="K172" s="174" t="n">
        <v>0</v>
      </c>
      <c r="L172" s="174" t="n">
        <v>0</v>
      </c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175">
        <f>0</f>
        <v/>
      </c>
      <c r="AJ172" s="175">
        <f>0</f>
        <v/>
      </c>
      <c r="AK172" s="175">
        <f>SUM(AG172,AH172,AI172,AJ172)</f>
        <v/>
      </c>
      <c r="AL172" s="175">
        <f>0</f>
        <v/>
      </c>
      <c r="AM172" s="175">
        <f>0</f>
        <v/>
      </c>
      <c r="AN172" s="175">
        <f>0</f>
        <v/>
      </c>
      <c r="AO172" s="175">
        <f>0</f>
        <v/>
      </c>
      <c r="AP172" s="20" t="n"/>
    </row>
    <row r="173" ht="15" customHeight="1">
      <c r="B173" s="17" t="inlineStr">
        <is>
          <t xml:space="preserve">  Total adjusting items (= "gross adjustments to EBITDA")</t>
        </is>
      </c>
      <c r="C173" s="181">
        <f>IF(ISNUMBER(C163),N(C166)+N(C167)+N(C168)+N(C169)+N(C170)+N(C171)+N(C172),"")</f>
        <v/>
      </c>
      <c r="D173" s="181">
        <f>IF(ISNUMBER(D163),N(D166)+N(D167)+N(D168)+N(D169)+N(D170)+N(D171)+N(D172),"")</f>
        <v/>
      </c>
      <c r="E173" s="181">
        <f>IF(ISNUMBER(E163),N(E166)+N(E167)+N(E168)+N(E169)+N(E170)+N(E171)+N(E172),"")</f>
        <v/>
      </c>
      <c r="F173" s="181">
        <f>IF(ISNUMBER(F163),N(F166)+N(F167)+N(F168)+N(F169)+N(F170)+N(F171)+N(F172),"")</f>
        <v/>
      </c>
      <c r="G173" s="181">
        <f>IF(ISNUMBER(G163),N(G166)+N(G167)+N(G168)+N(G169)+N(G170)+N(G171)+N(G172),"")</f>
        <v/>
      </c>
      <c r="H173" s="181">
        <f>IF(ISNUMBER(H163),N(H166)+N(H167)+N(H168)+N(H169)+N(H170)+N(H171)+N(H172),"")</f>
        <v/>
      </c>
      <c r="I173" s="181">
        <f>IF(ISNUMBER(I163),N(I166)+N(I167)+N(I168)+N(I169)+N(I170)+N(I171)+N(I172),"")</f>
        <v/>
      </c>
      <c r="J173" s="181">
        <f>IF(ISNUMBER(J163),N(J166)+N(J167)+N(J168)+N(J169)+N(J170)+N(J171)+N(J172),"")</f>
        <v/>
      </c>
      <c r="K173" s="181">
        <f>IF(ISNUMBER(K163),N(K166)+N(K167)+N(K168)+N(K169)+N(K170)+N(K171)+N(K172),"")</f>
        <v/>
      </c>
      <c r="L173" s="181">
        <f>IF(ISNUMBER(L163),N(L166)+N(L167)+N(L168)+N(L169)+N(L170)+N(L171)+N(L172),"")</f>
        <v/>
      </c>
      <c r="M173" s="181">
        <f>IF(ISNUMBER(M163),N(M166)+N(M167)+N(M168)+N(M169)+N(M170)+N(M171)+N(M172),"")</f>
        <v/>
      </c>
      <c r="N173" s="181">
        <f>IF(ISNUMBER(N163),N(N166)+N(N167)+N(N168)+N(N169)+N(N170)+N(N171)+N(N172),"")</f>
        <v/>
      </c>
      <c r="O173" s="181">
        <f>IF(ISNUMBER(O163),N(O166)+N(O167)+N(O168)+N(O169)+N(O170)+N(O171)+N(O172),"")</f>
        <v/>
      </c>
      <c r="P173" s="181">
        <f>IF(ISNUMBER(P163),N(P166)+N(P167)+N(P168)+N(P169)+N(P170)+N(P171)+N(P172),"")</f>
        <v/>
      </c>
      <c r="Q173" s="181">
        <f>IF(ISNUMBER(Q163),N(Q166)+N(Q167)+N(Q168)+N(Q169)+N(Q170)+N(Q171)+N(Q172),"")</f>
        <v/>
      </c>
      <c r="R173" s="181">
        <f>IF(ISNUMBER(R163),N(R166)+N(R167)+N(R168)+N(R169)+N(R170)+N(R171)+N(R172),"")</f>
        <v/>
      </c>
      <c r="S173" s="181">
        <f>IF(ISNUMBER(S163),N(S166)+N(S167)+N(S168)+N(S169)+N(S170)+N(S171)+N(S172),"")</f>
        <v/>
      </c>
      <c r="T173" s="181">
        <f>IF(ISNUMBER(T163),N(T166)+N(T167)+N(T168)+N(T169)+N(T170)+N(T171)+N(T172),"")</f>
        <v/>
      </c>
      <c r="U173" s="181">
        <f>IF(ISNUMBER(U163),N(U166)+N(U167)+N(U168)+N(U169)+N(U170)+N(U171)+N(U172),"")</f>
        <v/>
      </c>
      <c r="V173" s="181">
        <f>IF(ISNUMBER(V163),N(V166)+N(V167)+N(V168)+N(V169)+N(V170)+N(V171)+N(V172),"")</f>
        <v/>
      </c>
      <c r="W173" s="181">
        <f>IF(ISNUMBER(W163),N(W166)+N(W167)+N(W168)+N(W169)+N(W170)+N(W171)+N(W172),"")</f>
        <v/>
      </c>
      <c r="X173" s="181">
        <f>IF(ISNUMBER(X163),N(X166)+N(X167)+N(X168)+N(X169)+N(X170)+N(X171)+N(X172),"")</f>
        <v/>
      </c>
      <c r="Y173" s="181">
        <f>IF(ISNUMBER(Y163),N(Y166)+N(Y167)+N(Y168)+N(Y169)+N(Y170)+N(Y171)+N(Y172),"")</f>
        <v/>
      </c>
      <c r="Z173" s="181">
        <f>IF(ISNUMBER(Z163),N(Z166)+N(Z167)+N(Z168)+N(Z169)+N(Z170)+N(Z171)+N(Z172),"")</f>
        <v/>
      </c>
      <c r="AA173" s="181">
        <f>IF(ISNUMBER(AA163),N(AA166)+N(AA167)+N(AA168)+N(AA169)+N(AA170)+N(AA171)+N(AA172),"")</f>
        <v/>
      </c>
      <c r="AB173" s="181">
        <f>IF(ISNUMBER(AB163),N(AB166)+N(AB167)+N(AB168)+N(AB169)+N(AB170)+N(AB171)+N(AB172),"")</f>
        <v/>
      </c>
      <c r="AC173" s="181">
        <f>IF(ISNUMBER(AC163),N(AC166)+N(AC167)+N(AC168)+N(AC169)+N(AC170)+N(AC171)+N(AC172),"")</f>
        <v/>
      </c>
      <c r="AD173" s="181">
        <f>IF(ISNUMBER(AD163),N(AD166)+N(AD167)+N(AD168)+N(AD169)+N(AD170)+N(AD171)+N(AD172),"")</f>
        <v/>
      </c>
      <c r="AE173" s="181">
        <f>IF(ISNUMBER(AE163),N(AE166)+N(AE167)+N(AE168)+N(AE169)+N(AE170)+N(AE171)+N(AE172),"")</f>
        <v/>
      </c>
      <c r="AF173" s="181">
        <f>IF(ISNUMBER(AF163),N(AF166)+N(AF167)+N(AF168)+N(AF169)+N(AF170)+N(AF171)+N(AF172),"")</f>
        <v/>
      </c>
      <c r="AG173" s="181">
        <f>IF(ISNUMBER(AG163),N(AG166)+N(AG167)+N(AG168)+N(AG169)+N(AG170)+N(AG171)+N(AG172),"")</f>
        <v/>
      </c>
      <c r="AH173" s="181">
        <f>IF(ISNUMBER(AH163),N(AH166)+N(AH167)+N(AH168)+N(AH169)+N(AH170)+N(AH171)+N(AH172),"")</f>
        <v/>
      </c>
      <c r="AI173" s="182">
        <f>IF(ISNUMBER(AI163),N(AI166)+N(AI167)+N(AI168)+N(AI169)+N(AI170)+N(AI171)+N(AI172),"")</f>
        <v/>
      </c>
      <c r="AJ173" s="182">
        <f>IF(ISNUMBER(AJ163),N(AJ166)+N(AJ167)+N(AJ168)+N(AJ169)+N(AJ170)+N(AJ171)+N(AJ172),"")</f>
        <v/>
      </c>
      <c r="AK173" s="182">
        <f>IF(ISNUMBER(AK163),N(AK166)+N(AK167)+N(AK168)+N(AK169)+N(AK170)+N(AK171)+N(AK172),"")</f>
        <v/>
      </c>
      <c r="AL173" s="182">
        <f>IF(ISNUMBER(AL163),N(AL166)+N(AL167)+N(AL168)+N(AL169)+N(AL170)+N(AL171)+N(AL172),"")</f>
        <v/>
      </c>
      <c r="AM173" s="182">
        <f>IF(ISNUMBER(AM163),N(AM166)+N(AM167)+N(AM168)+N(AM169)+N(AM170)+N(AM171)+N(AM172),"")</f>
        <v/>
      </c>
      <c r="AN173" s="182">
        <f>IF(ISNUMBER(AN163),N(AN166)+N(AN167)+N(AN168)+N(AN169)+N(AN170)+N(AN171)+N(AN172),"")</f>
        <v/>
      </c>
      <c r="AO173" s="182">
        <f>IF(ISNUMBER(AO163),N(AO166)+N(AO167)+N(AO168)+N(AO169)+N(AO170)+N(AO171)+N(AO172),"")</f>
        <v/>
      </c>
      <c r="AP173" s="6" t="n"/>
    </row>
    <row r="174" ht="15" customHeight="1">
      <c r="B174" s="59" t="inlineStr">
        <is>
          <t xml:space="preserve">  = Adjusted EBITDA (model bridge)</t>
        </is>
      </c>
      <c r="C174" s="196">
        <f>IF(ISNUMBER(C163),C163+C173,"")</f>
        <v/>
      </c>
      <c r="D174" s="196">
        <f>IF(ISNUMBER(D163),D163+D173,"")</f>
        <v/>
      </c>
      <c r="E174" s="196">
        <f>IF(ISNUMBER(E163),E163+E173,"")</f>
        <v/>
      </c>
      <c r="F174" s="196">
        <f>IF(ISNUMBER(F163),F163+F173,"")</f>
        <v/>
      </c>
      <c r="G174" s="196">
        <f>IF(ISNUMBER(G163),G163+G173,"")</f>
        <v/>
      </c>
      <c r="H174" s="196">
        <f>IF(ISNUMBER(H163),H163+H173,"")</f>
        <v/>
      </c>
      <c r="I174" s="196">
        <f>IF(ISNUMBER(I163),I163+I173,"")</f>
        <v/>
      </c>
      <c r="J174" s="196">
        <f>IF(ISNUMBER(J163),J163+J173,"")</f>
        <v/>
      </c>
      <c r="K174" s="196">
        <f>IF(ISNUMBER(K163),K163+K173,"")</f>
        <v/>
      </c>
      <c r="L174" s="196">
        <f>IF(ISNUMBER(L163),L163+L173,"")</f>
        <v/>
      </c>
      <c r="M174" s="196">
        <f>IF(ISNUMBER(M163),M163+M173,"")</f>
        <v/>
      </c>
      <c r="N174" s="196">
        <f>IF(ISNUMBER(N163),N163+N173,"")</f>
        <v/>
      </c>
      <c r="O174" s="196">
        <f>IF(ISNUMBER(O163),O163+O173,"")</f>
        <v/>
      </c>
      <c r="P174" s="196">
        <f>IF(ISNUMBER(P163),P163+P173,"")</f>
        <v/>
      </c>
      <c r="Q174" s="196">
        <f>IF(ISNUMBER(Q163),Q163+Q173,"")</f>
        <v/>
      </c>
      <c r="R174" s="196">
        <f>IF(ISNUMBER(R163),R163+R173,"")</f>
        <v/>
      </c>
      <c r="S174" s="196">
        <f>IF(ISNUMBER(S163),S163+S173,"")</f>
        <v/>
      </c>
      <c r="T174" s="196">
        <f>IF(ISNUMBER(T163),T163+T173,"")</f>
        <v/>
      </c>
      <c r="U174" s="196">
        <f>IF(ISNUMBER(U163),U163+U173,"")</f>
        <v/>
      </c>
      <c r="V174" s="196">
        <f>IF(ISNUMBER(V163),V163+V173,"")</f>
        <v/>
      </c>
      <c r="W174" s="196">
        <f>IF(ISNUMBER(W163),W163+W173,"")</f>
        <v/>
      </c>
      <c r="X174" s="196">
        <f>IF(ISNUMBER(X163),X163+X173,"")</f>
        <v/>
      </c>
      <c r="Y174" s="196">
        <f>IF(ISNUMBER(Y163),Y163+Y173,"")</f>
        <v/>
      </c>
      <c r="Z174" s="196">
        <f>IF(ISNUMBER(Z163),Z163+Z173,"")</f>
        <v/>
      </c>
      <c r="AA174" s="196">
        <f>IF(ISNUMBER(AA163),AA163+AA173,"")</f>
        <v/>
      </c>
      <c r="AB174" s="196">
        <f>IF(ISNUMBER(AB163),AB163+AB173,"")</f>
        <v/>
      </c>
      <c r="AC174" s="196">
        <f>IF(ISNUMBER(AC163),AC163+AC173,"")</f>
        <v/>
      </c>
      <c r="AD174" s="196">
        <f>IF(ISNUMBER(AD163),AD163+AD173,"")</f>
        <v/>
      </c>
      <c r="AE174" s="196">
        <f>IF(ISNUMBER(AE163),AE163+AE173,"")</f>
        <v/>
      </c>
      <c r="AF174" s="196">
        <f>IF(ISNUMBER(AF163),AF163+AF173,"")</f>
        <v/>
      </c>
      <c r="AG174" s="196">
        <f>IF(ISNUMBER(AG163),AG163+AG173,"")</f>
        <v/>
      </c>
      <c r="AH174" s="196">
        <f>IF(ISNUMBER(AH163),AH163+AH173,"")</f>
        <v/>
      </c>
      <c r="AI174" s="196">
        <f>IF(ISNUMBER(AI163),AI163+AI173,"")</f>
        <v/>
      </c>
      <c r="AJ174" s="196">
        <f>IF(ISNUMBER(AJ163),AJ163+AJ173,"")</f>
        <v/>
      </c>
      <c r="AK174" s="196">
        <f>IF(ISNUMBER(AK163),AK163+AK173,"")</f>
        <v/>
      </c>
      <c r="AL174" s="196">
        <f>IF(ISNUMBER(AL163),AL163+AL173,"")</f>
        <v/>
      </c>
      <c r="AM174" s="196">
        <f>IF(ISNUMBER(AM163),AM163+AM173,"")</f>
        <v/>
      </c>
      <c r="AN174" s="196">
        <f>IF(ISNUMBER(AN163),AN163+AN173,"")</f>
        <v/>
      </c>
      <c r="AO174" s="196">
        <f>IF(ISNUMBER(AO163),AO163+AO173,"")</f>
        <v/>
      </c>
      <c r="AP174" s="6" t="inlineStr">
        <is>
          <t>Rebuilt from the published reconciliation lines; forecast = EBITDA + forecast adjusting items (equals the end-market build — check in the Group block).</t>
        </is>
      </c>
      <c r="AR174" s="21">
        <f>IFERROR((AO174/AF174)^(1/5)-1,"n/m")</f>
        <v/>
      </c>
      <c r="AS174" s="21">
        <f>IFERROR((AF174/K174)^(1/5)-1,"n/m")</f>
        <v/>
      </c>
      <c r="AT174" s="21">
        <f>IFERROR((AF174/F174)^(1/10)-1,"n/m")</f>
        <v/>
      </c>
      <c r="AU174" s="21">
        <f>IFERROR((AF174/C174)^(1/13)-1,"n/m")</f>
        <v/>
      </c>
    </row>
    <row r="175" ht="15" customHeight="1">
      <c r="B175" s="26" t="inlineStr">
        <is>
          <t xml:space="preserve">  Adjusted EBITDA margin %</t>
        </is>
      </c>
      <c r="C175" s="183">
        <f>IF(AND(ISNUMBER(C174),ISNUMBER(C127)),IFERROR(C174/C127,""),"")</f>
        <v/>
      </c>
      <c r="D175" s="183">
        <f>IF(AND(ISNUMBER(D174),ISNUMBER(D127)),IFERROR(D174/D127,""),"")</f>
        <v/>
      </c>
      <c r="E175" s="183">
        <f>IF(AND(ISNUMBER(E174),ISNUMBER(E127)),IFERROR(E174/E127,""),"")</f>
        <v/>
      </c>
      <c r="F175" s="183">
        <f>IF(AND(ISNUMBER(F174),ISNUMBER(F127)),IFERROR(F174/F127,""),"")</f>
        <v/>
      </c>
      <c r="G175" s="183">
        <f>IF(AND(ISNUMBER(G174),ISNUMBER(G127)),IFERROR(G174/G127,""),"")</f>
        <v/>
      </c>
      <c r="H175" s="183">
        <f>IF(AND(ISNUMBER(H174),ISNUMBER(H127)),IFERROR(H174/H127,""),"")</f>
        <v/>
      </c>
      <c r="I175" s="183">
        <f>IF(AND(ISNUMBER(I174),ISNUMBER(I127)),IFERROR(I174/I127,""),"")</f>
        <v/>
      </c>
      <c r="J175" s="183">
        <f>IF(AND(ISNUMBER(J174),ISNUMBER(J127)),IFERROR(J174/J127,""),"")</f>
        <v/>
      </c>
      <c r="K175" s="183">
        <f>IF(AND(ISNUMBER(K174),ISNUMBER(K127)),IFERROR(K174/K127,""),"")</f>
        <v/>
      </c>
      <c r="L175" s="183">
        <f>IF(AND(ISNUMBER(L174),ISNUMBER(L127)),IFERROR(L174/L127,""),"")</f>
        <v/>
      </c>
      <c r="M175" s="183">
        <f>IF(AND(ISNUMBER(M174),ISNUMBER(M127)),IFERROR(M174/M127,""),"")</f>
        <v/>
      </c>
      <c r="N175" s="183">
        <f>IF(AND(ISNUMBER(N174),ISNUMBER(N127)),IFERROR(N174/N127,""),"")</f>
        <v/>
      </c>
      <c r="O175" s="183">
        <f>IF(AND(ISNUMBER(O174),ISNUMBER(O127)),IFERROR(O174/O127,""),"")</f>
        <v/>
      </c>
      <c r="P175" s="183">
        <f>IF(AND(ISNUMBER(P174),ISNUMBER(P127)),IFERROR(P174/P127,""),"")</f>
        <v/>
      </c>
      <c r="Q175" s="183">
        <f>IF(AND(ISNUMBER(Q174),ISNUMBER(Q127)),IFERROR(Q174/Q127,""),"")</f>
        <v/>
      </c>
      <c r="R175" s="183">
        <f>IF(AND(ISNUMBER(R174),ISNUMBER(R127)),IFERROR(R174/R127,""),"")</f>
        <v/>
      </c>
      <c r="S175" s="183">
        <f>IF(AND(ISNUMBER(S174),ISNUMBER(S127)),IFERROR(S174/S127,""),"")</f>
        <v/>
      </c>
      <c r="T175" s="183">
        <f>IF(AND(ISNUMBER(T174),ISNUMBER(T127)),IFERROR(T174/T127,""),"")</f>
        <v/>
      </c>
      <c r="U175" s="183">
        <f>IF(AND(ISNUMBER(U174),ISNUMBER(U127)),IFERROR(U174/U127,""),"")</f>
        <v/>
      </c>
      <c r="V175" s="183">
        <f>IF(AND(ISNUMBER(V174),ISNUMBER(V127)),IFERROR(V174/V127,""),"")</f>
        <v/>
      </c>
      <c r="W175" s="183">
        <f>IF(AND(ISNUMBER(W174),ISNUMBER(W127)),IFERROR(W174/W127,""),"")</f>
        <v/>
      </c>
      <c r="X175" s="183">
        <f>IF(AND(ISNUMBER(X174),ISNUMBER(X127)),IFERROR(X174/X127,""),"")</f>
        <v/>
      </c>
      <c r="Y175" s="183">
        <f>IF(AND(ISNUMBER(Y174),ISNUMBER(Y127)),IFERROR(Y174/Y127,""),"")</f>
        <v/>
      </c>
      <c r="Z175" s="183">
        <f>IF(AND(ISNUMBER(Z174),ISNUMBER(Z127)),IFERROR(Z174/Z127,""),"")</f>
        <v/>
      </c>
      <c r="AA175" s="183">
        <f>IF(AND(ISNUMBER(AA174),ISNUMBER(AA127)),IFERROR(AA174/AA127,""),"")</f>
        <v/>
      </c>
      <c r="AB175" s="183">
        <f>IF(AND(ISNUMBER(AB174),ISNUMBER(AB127)),IFERROR(AB174/AB127,""),"")</f>
        <v/>
      </c>
      <c r="AC175" s="183">
        <f>IF(AND(ISNUMBER(AC174),ISNUMBER(AC127)),IFERROR(AC174/AC127,""),"")</f>
        <v/>
      </c>
      <c r="AD175" s="183">
        <f>IF(AND(ISNUMBER(AD174),ISNUMBER(AD127)),IFERROR(AD174/AD127,""),"")</f>
        <v/>
      </c>
      <c r="AE175" s="183">
        <f>IF(AND(ISNUMBER(AE174),ISNUMBER(AE127)),IFERROR(AE174/AE127,""),"")</f>
        <v/>
      </c>
      <c r="AF175" s="183">
        <f>IF(AND(ISNUMBER(AF174),ISNUMBER(AF127)),IFERROR(AF174/AF127,""),"")</f>
        <v/>
      </c>
      <c r="AG175" s="183">
        <f>IF(AND(ISNUMBER(AG174),ISNUMBER(AG127)),IFERROR(AG174/AG127,""),"")</f>
        <v/>
      </c>
      <c r="AH175" s="183">
        <f>IF(AND(ISNUMBER(AH174),ISNUMBER(AH127)),IFERROR(AH174/AH127,""),"")</f>
        <v/>
      </c>
      <c r="AI175" s="177">
        <f>IF(AND(ISNUMBER(AI174),ISNUMBER(AI127)),IFERROR(AI174/AI127,""),"")</f>
        <v/>
      </c>
      <c r="AJ175" s="177">
        <f>IF(AND(ISNUMBER(AJ174),ISNUMBER(AJ127)),IFERROR(AJ174/AJ127,""),"")</f>
        <v/>
      </c>
      <c r="AK175" s="177">
        <f>IF(AND(ISNUMBER(AK174),ISNUMBER(AK127)),IFERROR(AK174/AK127,""),"")</f>
        <v/>
      </c>
      <c r="AL175" s="177">
        <f>IF(AND(ISNUMBER(AL174),ISNUMBER(AL127)),IFERROR(AL174/AL127,""),"")</f>
        <v/>
      </c>
      <c r="AM175" s="177">
        <f>IF(AND(ISNUMBER(AM174),ISNUMBER(AM127)),IFERROR(AM174/AM127,""),"")</f>
        <v/>
      </c>
      <c r="AN175" s="177">
        <f>IF(AND(ISNUMBER(AN174),ISNUMBER(AN127)),IFERROR(AN174/AN127,""),"")</f>
        <v/>
      </c>
      <c r="AO175" s="177">
        <f>IF(AND(ISNUMBER(AO174),ISNUMBER(AO127)),IFERROR(AO174/AO127,""),"")</f>
        <v/>
      </c>
      <c r="AP175" s="6" t="n"/>
      <c r="AR175" s="39">
        <f>IFERROR(AVERAGE(AK175,AL175,AM175,AN175,AO175),"n/m")</f>
        <v/>
      </c>
      <c r="AS175" s="39">
        <f>IFERROR(AVERAGE(L175,Q175,V175,AA175,AF175),"n/m")</f>
        <v/>
      </c>
      <c r="AT175" s="39">
        <f>IFERROR(AVERAGE(G175,H175,I175,J175,K175,L175,Q175,V175,AA175,AF175),"n/m")</f>
        <v/>
      </c>
      <c r="AU175" s="39">
        <f>IFERROR(AVERAGE(C175,D175,E175,F175,G175,H175,I175,J175,K175,L175,Q175,V175,AA175,AF175),"n/m")</f>
        <v/>
      </c>
    </row>
    <row r="176" ht="15" customHeight="1">
      <c r="B176" s="42" t="inlineStr">
        <is>
          <t xml:space="preserve">  Company-published Adjusted EBITDA</t>
        </is>
      </c>
      <c r="C176" s="174" t="n">
        <v>1.646</v>
      </c>
      <c r="D176" s="174" t="n">
        <v>3.853</v>
      </c>
      <c r="E176" s="174" t="n">
        <v>7.429</v>
      </c>
      <c r="F176" s="174" t="n">
        <v>9.863</v>
      </c>
      <c r="G176" s="174" t="n">
        <v>23.008</v>
      </c>
      <c r="H176" s="174" t="n">
        <v>31.535</v>
      </c>
      <c r="I176" s="174" t="n">
        <v>37.532</v>
      </c>
      <c r="J176" s="174" t="n">
        <v>63.153</v>
      </c>
      <c r="K176" s="174" t="n">
        <v>50.785</v>
      </c>
      <c r="L176" s="174" t="n">
        <v>60.792</v>
      </c>
      <c r="M176" s="174" t="n">
        <v>18.587</v>
      </c>
      <c r="N176" s="174" t="n">
        <v>18.491</v>
      </c>
      <c r="O176" s="174" t="n">
        <v>22.612</v>
      </c>
      <c r="P176" s="174" t="n">
        <v>23.583</v>
      </c>
      <c r="Q176" s="174" t="n">
        <v>83.273</v>
      </c>
      <c r="R176" s="174" t="n">
        <v>26.846</v>
      </c>
      <c r="S176" s="174" t="n">
        <v>27.736</v>
      </c>
      <c r="T176" s="174" t="n">
        <v>28.909</v>
      </c>
      <c r="U176" s="174" t="n">
        <v>29.252</v>
      </c>
      <c r="V176" s="174" t="n">
        <v>112.743</v>
      </c>
      <c r="W176" s="174" t="n">
        <v>33.03</v>
      </c>
      <c r="X176" s="174" t="n">
        <v>35.031</v>
      </c>
      <c r="Y176" s="174" t="n">
        <v>38.096</v>
      </c>
      <c r="Z176" s="174" t="n">
        <v>40.178</v>
      </c>
      <c r="AA176" s="174" t="n">
        <v>146.336</v>
      </c>
      <c r="AB176" s="174" t="n">
        <v>43.133</v>
      </c>
      <c r="AC176" s="174" t="n">
        <v>47.118</v>
      </c>
      <c r="AD176" s="174" t="n">
        <v>49.109</v>
      </c>
      <c r="AE176" s="174" t="n">
        <v>49.764</v>
      </c>
      <c r="AF176" s="174" t="n">
        <v>189.124</v>
      </c>
      <c r="AG176" s="174" t="n">
        <v>63.219</v>
      </c>
      <c r="AH176" s="174" t="n">
        <v>69.449</v>
      </c>
      <c r="AI176" s="6" t="n"/>
      <c r="AJ176" s="6" t="n"/>
      <c r="AK176" s="6" t="n"/>
      <c r="AL176" s="6" t="n"/>
      <c r="AM176" s="6" t="n"/>
      <c r="AN176" s="6" t="n"/>
      <c r="AO176" s="6" t="n"/>
      <c r="AP176" s="6" t="n"/>
    </row>
    <row r="177" ht="15" customHeight="1">
      <c r="B177" s="61" t="inlineStr">
        <is>
          <t xml:space="preserve">  Check: model bridge vs company-published (should be 0)</t>
        </is>
      </c>
      <c r="C177" s="186">
        <f>IF(ISNUMBER(C176),IF(ABS(C174-C176)&lt;=0.015,0,ROUND(C174-C176,2)),"n/p")</f>
        <v/>
      </c>
      <c r="D177" s="186">
        <f>IF(ISNUMBER(D176),IF(ABS(D174-D176)&lt;=0.015,0,ROUND(D174-D176,2)),"n/p")</f>
        <v/>
      </c>
      <c r="E177" s="186">
        <f>IF(ISNUMBER(E176),IF(ABS(E174-E176)&lt;=0.015,0,ROUND(E174-E176,2)),"n/p")</f>
        <v/>
      </c>
      <c r="F177" s="186">
        <f>IF(ISNUMBER(F176),IF(ABS(F174-F176)&lt;=0.015,0,ROUND(F174-F176,2)),"n/p")</f>
        <v/>
      </c>
      <c r="G177" s="186">
        <f>IF(ISNUMBER(G176),IF(ABS(G174-G176)&lt;=0.015,0,ROUND(G174-G176,2)),"n/p")</f>
        <v/>
      </c>
      <c r="H177" s="186">
        <f>IF(ISNUMBER(H176),IF(ABS(H174-H176)&lt;=0.015,0,ROUND(H174-H176,2)),"n/p")</f>
        <v/>
      </c>
      <c r="I177" s="186">
        <f>IF(ISNUMBER(I176),IF(ABS(I174-I176)&lt;=0.015,0,ROUND(I174-I176,2)),"n/p")</f>
        <v/>
      </c>
      <c r="J177" s="186">
        <f>IF(ISNUMBER(J176),IF(ABS(J174-J176)&lt;=0.015,0,ROUND(J174-J176,2)),"n/p")</f>
        <v/>
      </c>
      <c r="K177" s="186">
        <f>IF(ISNUMBER(K176),IF(ABS(K174-K176)&lt;=0.015,0,ROUND(K174-K176,2)),"n/p")</f>
        <v/>
      </c>
      <c r="L177" s="186">
        <f>IF(ISNUMBER(L176),IF(ABS(L174-L176)&lt;=0.015,0,ROUND(L174-L176,2)),"n/p")</f>
        <v/>
      </c>
      <c r="M177" s="186">
        <f>IF(ISNUMBER(M176),IF(ABS(M174-M176)&lt;=0.015,0,ROUND(M174-M176,2)),"n/p")</f>
        <v/>
      </c>
      <c r="N177" s="186">
        <f>IF(ISNUMBER(N176),IF(ABS(N174-N176)&lt;=0.015,0,ROUND(N174-N176,2)),"n/p")</f>
        <v/>
      </c>
      <c r="O177" s="186">
        <f>IF(ISNUMBER(O176),IF(ABS(O174-O176)&lt;=0.015,0,ROUND(O174-O176,2)),"n/p")</f>
        <v/>
      </c>
      <c r="P177" s="186">
        <f>IF(ISNUMBER(P176),IF(ABS(P174-P176)&lt;=0.015,0,ROUND(P174-P176,2)),"n/p")</f>
        <v/>
      </c>
      <c r="Q177" s="186">
        <f>IF(ISNUMBER(Q176),IF(ABS(Q174-Q176)&lt;=0.015,0,ROUND(Q174-Q176,2)),"n/p")</f>
        <v/>
      </c>
      <c r="R177" s="186">
        <f>IF(ISNUMBER(R176),IF(ABS(R174-R176)&lt;=0.015,0,ROUND(R174-R176,2)),"n/p")</f>
        <v/>
      </c>
      <c r="S177" s="186">
        <f>IF(ISNUMBER(S176),IF(ABS(S174-S176)&lt;=0.015,0,ROUND(S174-S176,2)),"n/p")</f>
        <v/>
      </c>
      <c r="T177" s="186">
        <f>IF(ISNUMBER(T176),IF(ABS(T174-T176)&lt;=0.015,0,ROUND(T174-T176,2)),"n/p")</f>
        <v/>
      </c>
      <c r="U177" s="186">
        <f>IF(ISNUMBER(U176),IF(ABS(U174-U176)&lt;=0.015,0,ROUND(U174-U176,2)),"n/p")</f>
        <v/>
      </c>
      <c r="V177" s="186">
        <f>IF(ISNUMBER(V176),IF(ABS(V174-V176)&lt;=0.015,0,ROUND(V174-V176,2)),"n/p")</f>
        <v/>
      </c>
      <c r="W177" s="186">
        <f>IF(ISNUMBER(W176),IF(ABS(W174-W176)&lt;=0.015,0,ROUND(W174-W176,2)),"n/p")</f>
        <v/>
      </c>
      <c r="X177" s="186">
        <f>IF(ISNUMBER(X176),IF(ABS(X174-X176)&lt;=0.015,0,ROUND(X174-X176,2)),"n/p")</f>
        <v/>
      </c>
      <c r="Y177" s="186">
        <f>IF(ISNUMBER(Y176),IF(ABS(Y174-Y176)&lt;=0.015,0,ROUND(Y174-Y176,2)),"n/p")</f>
        <v/>
      </c>
      <c r="Z177" s="186">
        <f>IF(ISNUMBER(Z176),IF(ABS(Z174-Z176)&lt;=0.015,0,ROUND(Z174-Z176,2)),"n/p")</f>
        <v/>
      </c>
      <c r="AA177" s="186">
        <f>IF(ISNUMBER(AA176),IF(ABS(AA174-AA176)&lt;=0.015,0,ROUND(AA174-AA176,2)),"n/p")</f>
        <v/>
      </c>
      <c r="AB177" s="186">
        <f>IF(ISNUMBER(AB176),IF(ABS(AB174-AB176)&lt;=0.015,0,ROUND(AB174-AB176,2)),"n/p")</f>
        <v/>
      </c>
      <c r="AC177" s="186">
        <f>IF(ISNUMBER(AC176),IF(ABS(AC174-AC176)&lt;=0.015,0,ROUND(AC174-AC176,2)),"n/p")</f>
        <v/>
      </c>
      <c r="AD177" s="186">
        <f>IF(ISNUMBER(AD176),IF(ABS(AD174-AD176)&lt;=0.015,0,ROUND(AD174-AD176,2)),"n/p")</f>
        <v/>
      </c>
      <c r="AE177" s="186">
        <f>IF(ISNUMBER(AE176),IF(ABS(AE174-AE176)&lt;=0.015,0,ROUND(AE174-AE176,2)),"n/p")</f>
        <v/>
      </c>
      <c r="AF177" s="186">
        <f>IF(ISNUMBER(AF176),IF(ABS(AF174-AF176)&lt;=0.015,0,ROUND(AF174-AF176,2)),"n/p")</f>
        <v/>
      </c>
      <c r="AG177" s="186">
        <f>IF(ISNUMBER(AG176),IF(ABS(AG174-AG176)&lt;=0.015,0,ROUND(AG174-AG176,2)),"n/p")</f>
        <v/>
      </c>
      <c r="AH177" s="186">
        <f>IF(ISNUMBER(AH176),IF(ABS(AH174-AH176)&lt;=0.015,0,ROUND(AH174-AH176,2)),"n/p")</f>
        <v/>
      </c>
      <c r="AI177" s="6" t="n"/>
      <c r="AJ177" s="6" t="n"/>
      <c r="AK177" s="6" t="n"/>
      <c r="AL177" s="6" t="n"/>
      <c r="AM177" s="6" t="n"/>
      <c r="AN177" s="6" t="n"/>
      <c r="AO177" s="6" t="n"/>
      <c r="AP177" s="6" t="n"/>
    </row>
    <row r="178" ht="15" customHeight="1">
      <c r="B178" s="67" t="inlineStr">
        <is>
          <t xml:space="preserve">  Definition basis (company Adjusted EBITDA definition in force)</t>
        </is>
      </c>
      <c r="C178" s="205" t="inlineStr">
        <is>
          <t>FY2012–21: prospectus reconciliation (adds inventory step-up, other (income) loss, transaction, SBC, integration, COVID 2020–21, management fees to 2017)</t>
        </is>
      </c>
      <c r="M178" s="205" t="inlineStr">
        <is>
          <t>2022–23: prospectus quarterly / annual reconciliations (COVID add-back to Q4-22)</t>
        </is>
      </c>
      <c r="W178" s="205" t="inlineStr">
        <is>
          <t>Release Table 4: + refinancing costs below operating income (Q2-24, Q4-24); other income / contingent consideration deducted</t>
        </is>
      </c>
      <c r="AH178" s="205" t="inlineStr">
        <is>
          <t>Q2-26: + other expense (increase in Harper Engineering contingent consideration)</t>
        </is>
      </c>
      <c r="AI178" s="6" t="n"/>
      <c r="AJ178" s="6" t="n"/>
      <c r="AK178" s="6" t="n"/>
      <c r="AL178" s="6" t="n"/>
      <c r="AM178" s="6" t="n"/>
      <c r="AN178" s="6" t="n"/>
      <c r="AO178" s="6" t="n"/>
      <c r="AP178" s="20" t="inlineStr">
        <is>
          <t>Definition changes are flagged in the column where they take effect (cell comment gives the detail).</t>
        </is>
      </c>
    </row>
    <row r="179" ht="15" customHeight="1">
      <c r="B179" s="26" t="inlineStr">
        <is>
          <t>To adjusted EBITA / EBIT:</t>
        </is>
      </c>
      <c r="AP179" s="6" t="n"/>
    </row>
    <row r="180" ht="15" customHeight="1">
      <c r="B180" s="26" t="inlineStr">
        <is>
          <t xml:space="preserve">  (−) Depreciation</t>
        </is>
      </c>
      <c r="C180" s="186">
        <f>IF(ISNUMBER(C161),-C161,"")</f>
        <v/>
      </c>
      <c r="D180" s="186">
        <f>IF(ISNUMBER(D161),-D161,"")</f>
        <v/>
      </c>
      <c r="E180" s="186">
        <f>IF(ISNUMBER(E161),-E161,"")</f>
        <v/>
      </c>
      <c r="F180" s="186">
        <f>IF(ISNUMBER(F161),-F161,"")</f>
        <v/>
      </c>
      <c r="G180" s="186">
        <f>IF(ISNUMBER(G161),-G161,"")</f>
        <v/>
      </c>
      <c r="H180" s="186">
        <f>IF(ISNUMBER(H161),-H161,"")</f>
        <v/>
      </c>
      <c r="I180" s="186">
        <f>IF(ISNUMBER(I161),-I161,"")</f>
        <v/>
      </c>
      <c r="J180" s="186">
        <f>IF(ISNUMBER(J161),-J161,"")</f>
        <v/>
      </c>
      <c r="K180" s="186">
        <f>IF(ISNUMBER(K161),-K161,"")</f>
        <v/>
      </c>
      <c r="L180" s="186">
        <f>IF(ISNUMBER(L161),-L161,"")</f>
        <v/>
      </c>
      <c r="M180" s="186">
        <f>IF(ISNUMBER(M161),-M161,"")</f>
        <v/>
      </c>
      <c r="N180" s="186">
        <f>IF(ISNUMBER(N161),-N161,"")</f>
        <v/>
      </c>
      <c r="O180" s="186">
        <f>IF(ISNUMBER(O161),-O161,"")</f>
        <v/>
      </c>
      <c r="P180" s="186">
        <f>IF(ISNUMBER(P161),-P161,"")</f>
        <v/>
      </c>
      <c r="Q180" s="186">
        <f>IF(ISNUMBER(Q161),-Q161,"")</f>
        <v/>
      </c>
      <c r="R180" s="186">
        <f>IF(ISNUMBER(R161),-R161,"")</f>
        <v/>
      </c>
      <c r="S180" s="186">
        <f>IF(ISNUMBER(S161),-S161,"")</f>
        <v/>
      </c>
      <c r="T180" s="186">
        <f>IF(ISNUMBER(T161),-T161,"")</f>
        <v/>
      </c>
      <c r="U180" s="186">
        <f>IF(ISNUMBER(U161),-U161,"")</f>
        <v/>
      </c>
      <c r="V180" s="186">
        <f>IF(ISNUMBER(V161),-V161,"")</f>
        <v/>
      </c>
      <c r="W180" s="186">
        <f>IF(ISNUMBER(W161),-W161,"")</f>
        <v/>
      </c>
      <c r="X180" s="186">
        <f>IF(ISNUMBER(X161),-X161,"")</f>
        <v/>
      </c>
      <c r="Y180" s="186">
        <f>IF(ISNUMBER(Y161),-Y161,"")</f>
        <v/>
      </c>
      <c r="Z180" s="186">
        <f>IF(ISNUMBER(Z161),-Z161,"")</f>
        <v/>
      </c>
      <c r="AA180" s="186">
        <f>IF(ISNUMBER(AA161),-AA161,"")</f>
        <v/>
      </c>
      <c r="AB180" s="186">
        <f>IF(ISNUMBER(AB161),-AB161,"")</f>
        <v/>
      </c>
      <c r="AC180" s="186">
        <f>IF(ISNUMBER(AC161),-AC161,"")</f>
        <v/>
      </c>
      <c r="AD180" s="186">
        <f>IF(ISNUMBER(AD161),-AD161,"")</f>
        <v/>
      </c>
      <c r="AE180" s="186">
        <f>IF(ISNUMBER(AE161),-AE161,"")</f>
        <v/>
      </c>
      <c r="AF180" s="186">
        <f>IF(ISNUMBER(AF161),-AF161,"")</f>
        <v/>
      </c>
      <c r="AG180" s="186">
        <f>IF(ISNUMBER(AG161),-AG161,"")</f>
        <v/>
      </c>
      <c r="AH180" s="186">
        <f>IF(ISNUMBER(AH161),-AH161,"")</f>
        <v/>
      </c>
      <c r="AI180" s="175">
        <f>IF(ISNUMBER(AI161),-AI161,"")</f>
        <v/>
      </c>
      <c r="AJ180" s="175">
        <f>IF(ISNUMBER(AJ161),-AJ161,"")</f>
        <v/>
      </c>
      <c r="AK180" s="175">
        <f>IF(ISNUMBER(AK161),-AK161,"")</f>
        <v/>
      </c>
      <c r="AL180" s="175">
        <f>IF(ISNUMBER(AL161),-AL161,"")</f>
        <v/>
      </c>
      <c r="AM180" s="175">
        <f>IF(ISNUMBER(AM161),-AM161,"")</f>
        <v/>
      </c>
      <c r="AN180" s="175">
        <f>IF(ISNUMBER(AN161),-AN161,"")</f>
        <v/>
      </c>
      <c r="AO180" s="175">
        <f>IF(ISNUMBER(AO161),-AO161,"")</f>
        <v/>
      </c>
      <c r="AP180" s="20" t="n"/>
    </row>
    <row r="181" ht="15" customHeight="1">
      <c r="B181" s="17" t="inlineStr">
        <is>
          <t xml:space="preserve">  = Adjusted EBITA (Adjusted EBITDA − depreciation; pre-amortization operating profit)</t>
        </is>
      </c>
      <c r="C181" s="181">
        <f>IF(ISNUMBER(C174),C174+C180,"")</f>
        <v/>
      </c>
      <c r="D181" s="181">
        <f>IF(ISNUMBER(D174),D174+D180,"")</f>
        <v/>
      </c>
      <c r="E181" s="181">
        <f>IF(ISNUMBER(E174),E174+E180,"")</f>
        <v/>
      </c>
      <c r="F181" s="181">
        <f>IF(ISNUMBER(F174),F174+F180,"")</f>
        <v/>
      </c>
      <c r="G181" s="181">
        <f>IF(ISNUMBER(G174),G174+G180,"")</f>
        <v/>
      </c>
      <c r="H181" s="181">
        <f>IF(ISNUMBER(H174),H174+H180,"")</f>
        <v/>
      </c>
      <c r="I181" s="181">
        <f>IF(ISNUMBER(I174),I174+I180,"")</f>
        <v/>
      </c>
      <c r="J181" s="181">
        <f>IF(ISNUMBER(J174),J174+J180,"")</f>
        <v/>
      </c>
      <c r="K181" s="181">
        <f>IF(ISNUMBER(K174),K174+K180,"")</f>
        <v/>
      </c>
      <c r="L181" s="181">
        <f>IF(ISNUMBER(L174),L174+L180,"")</f>
        <v/>
      </c>
      <c r="M181" s="181">
        <f>IF(ISNUMBER(M174),M174+M180,"")</f>
        <v/>
      </c>
      <c r="N181" s="181">
        <f>IF(ISNUMBER(N174),N174+N180,"")</f>
        <v/>
      </c>
      <c r="O181" s="181">
        <f>IF(ISNUMBER(O174),O174+O180,"")</f>
        <v/>
      </c>
      <c r="P181" s="181">
        <f>IF(ISNUMBER(P174),P174+P180,"")</f>
        <v/>
      </c>
      <c r="Q181" s="181">
        <f>IF(ISNUMBER(Q174),Q174+Q180,"")</f>
        <v/>
      </c>
      <c r="R181" s="181">
        <f>IF(ISNUMBER(R174),R174+R180,"")</f>
        <v/>
      </c>
      <c r="S181" s="181">
        <f>IF(ISNUMBER(S174),S174+S180,"")</f>
        <v/>
      </c>
      <c r="T181" s="181">
        <f>IF(ISNUMBER(T174),T174+T180,"")</f>
        <v/>
      </c>
      <c r="U181" s="181">
        <f>IF(ISNUMBER(U174),U174+U180,"")</f>
        <v/>
      </c>
      <c r="V181" s="181">
        <f>IF(ISNUMBER(V174),V174+V180,"")</f>
        <v/>
      </c>
      <c r="W181" s="181">
        <f>IF(ISNUMBER(W174),W174+W180,"")</f>
        <v/>
      </c>
      <c r="X181" s="181">
        <f>IF(ISNUMBER(X174),X174+X180,"")</f>
        <v/>
      </c>
      <c r="Y181" s="181">
        <f>IF(ISNUMBER(Y174),Y174+Y180,"")</f>
        <v/>
      </c>
      <c r="Z181" s="181">
        <f>IF(ISNUMBER(Z174),Z174+Z180,"")</f>
        <v/>
      </c>
      <c r="AA181" s="181">
        <f>IF(ISNUMBER(AA174),AA174+AA180,"")</f>
        <v/>
      </c>
      <c r="AB181" s="181">
        <f>IF(ISNUMBER(AB174),AB174+AB180,"")</f>
        <v/>
      </c>
      <c r="AC181" s="181">
        <f>IF(ISNUMBER(AC174),AC174+AC180,"")</f>
        <v/>
      </c>
      <c r="AD181" s="181">
        <f>IF(ISNUMBER(AD174),AD174+AD180,"")</f>
        <v/>
      </c>
      <c r="AE181" s="181">
        <f>IF(ISNUMBER(AE174),AE174+AE180,"")</f>
        <v/>
      </c>
      <c r="AF181" s="181">
        <f>IF(ISNUMBER(AF174),AF174+AF180,"")</f>
        <v/>
      </c>
      <c r="AG181" s="181">
        <f>IF(ISNUMBER(AG174),AG174+AG180,"")</f>
        <v/>
      </c>
      <c r="AH181" s="181">
        <f>IF(ISNUMBER(AH174),AH174+AH180,"")</f>
        <v/>
      </c>
      <c r="AI181" s="182">
        <f>IF(ISNUMBER(AI174),AI174+AI180,"")</f>
        <v/>
      </c>
      <c r="AJ181" s="182">
        <f>IF(ISNUMBER(AJ174),AJ174+AJ180,"")</f>
        <v/>
      </c>
      <c r="AK181" s="182">
        <f>IF(ISNUMBER(AK174),AK174+AK180,"")</f>
        <v/>
      </c>
      <c r="AL181" s="182">
        <f>IF(ISNUMBER(AL174),AL174+AL180,"")</f>
        <v/>
      </c>
      <c r="AM181" s="182">
        <f>IF(ISNUMBER(AM174),AM174+AM180,"")</f>
        <v/>
      </c>
      <c r="AN181" s="182">
        <f>IF(ISNUMBER(AN174),AN174+AN180,"")</f>
        <v/>
      </c>
      <c r="AO181" s="182">
        <f>IF(ISNUMBER(AO174),AO174+AO180,"")</f>
        <v/>
      </c>
      <c r="AP181" s="6" t="n"/>
    </row>
    <row r="182" ht="15" customHeight="1">
      <c r="B182" s="26" t="inlineStr">
        <is>
          <t xml:space="preserve">  (−) Amortization</t>
        </is>
      </c>
      <c r="C182" s="186">
        <f>IF(ISNUMBER(C162),-C162,"")</f>
        <v/>
      </c>
      <c r="D182" s="186">
        <f>IF(ISNUMBER(D162),-D162,"")</f>
        <v/>
      </c>
      <c r="E182" s="186">
        <f>IF(ISNUMBER(E162),-E162,"")</f>
        <v/>
      </c>
      <c r="F182" s="186">
        <f>IF(ISNUMBER(F162),-F162,"")</f>
        <v/>
      </c>
      <c r="G182" s="186">
        <f>IF(ISNUMBER(G162),-G162,"")</f>
        <v/>
      </c>
      <c r="H182" s="186">
        <f>IF(ISNUMBER(H162),-H162,"")</f>
        <v/>
      </c>
      <c r="I182" s="186">
        <f>IF(ISNUMBER(I162),-I162,"")</f>
        <v/>
      </c>
      <c r="J182" s="186">
        <f>IF(ISNUMBER(J162),-J162,"")</f>
        <v/>
      </c>
      <c r="K182" s="186">
        <f>IF(ISNUMBER(K162),-K162,"")</f>
        <v/>
      </c>
      <c r="L182" s="186">
        <f>IF(ISNUMBER(L162),-L162,"")</f>
        <v/>
      </c>
      <c r="M182" s="186">
        <f>IF(ISNUMBER(M162),-M162,"")</f>
        <v/>
      </c>
      <c r="N182" s="186">
        <f>IF(ISNUMBER(N162),-N162,"")</f>
        <v/>
      </c>
      <c r="O182" s="186">
        <f>IF(ISNUMBER(O162),-O162,"")</f>
        <v/>
      </c>
      <c r="P182" s="186">
        <f>IF(ISNUMBER(P162),-P162,"")</f>
        <v/>
      </c>
      <c r="Q182" s="186">
        <f>IF(ISNUMBER(Q162),-Q162,"")</f>
        <v/>
      </c>
      <c r="R182" s="186">
        <f>IF(ISNUMBER(R162),-R162,"")</f>
        <v/>
      </c>
      <c r="S182" s="186">
        <f>IF(ISNUMBER(S162),-S162,"")</f>
        <v/>
      </c>
      <c r="T182" s="186">
        <f>IF(ISNUMBER(T162),-T162,"")</f>
        <v/>
      </c>
      <c r="U182" s="186">
        <f>IF(ISNUMBER(U162),-U162,"")</f>
        <v/>
      </c>
      <c r="V182" s="186">
        <f>IF(ISNUMBER(V162),-V162,"")</f>
        <v/>
      </c>
      <c r="W182" s="186">
        <f>IF(ISNUMBER(W162),-W162,"")</f>
        <v/>
      </c>
      <c r="X182" s="186">
        <f>IF(ISNUMBER(X162),-X162,"")</f>
        <v/>
      </c>
      <c r="Y182" s="186">
        <f>IF(ISNUMBER(Y162),-Y162,"")</f>
        <v/>
      </c>
      <c r="Z182" s="186">
        <f>IF(ISNUMBER(Z162),-Z162,"")</f>
        <v/>
      </c>
      <c r="AA182" s="186">
        <f>IF(ISNUMBER(AA162),-AA162,"")</f>
        <v/>
      </c>
      <c r="AB182" s="186">
        <f>IF(ISNUMBER(AB162),-AB162,"")</f>
        <v/>
      </c>
      <c r="AC182" s="186">
        <f>IF(ISNUMBER(AC162),-AC162,"")</f>
        <v/>
      </c>
      <c r="AD182" s="186">
        <f>IF(ISNUMBER(AD162),-AD162,"")</f>
        <v/>
      </c>
      <c r="AE182" s="186">
        <f>IF(ISNUMBER(AE162),-AE162,"")</f>
        <v/>
      </c>
      <c r="AF182" s="186">
        <f>IF(ISNUMBER(AF162),-AF162,"")</f>
        <v/>
      </c>
      <c r="AG182" s="186">
        <f>IF(ISNUMBER(AG162),-AG162,"")</f>
        <v/>
      </c>
      <c r="AH182" s="186">
        <f>IF(ISNUMBER(AH162),-AH162,"")</f>
        <v/>
      </c>
      <c r="AI182" s="175">
        <f>IF(ISNUMBER(AI162),-AI162,"")</f>
        <v/>
      </c>
      <c r="AJ182" s="175">
        <f>IF(ISNUMBER(AJ162),-AJ162,"")</f>
        <v/>
      </c>
      <c r="AK182" s="175">
        <f>IF(ISNUMBER(AK162),-AK162,"")</f>
        <v/>
      </c>
      <c r="AL182" s="175">
        <f>IF(ISNUMBER(AL162),-AL162,"")</f>
        <v/>
      </c>
      <c r="AM182" s="175">
        <f>IF(ISNUMBER(AM162),-AM162,"")</f>
        <v/>
      </c>
      <c r="AN182" s="175">
        <f>IF(ISNUMBER(AN162),-AN162,"")</f>
        <v/>
      </c>
      <c r="AO182" s="175">
        <f>IF(ISNUMBER(AO162),-AO162,"")</f>
        <v/>
      </c>
      <c r="AP182" s="20" t="n"/>
    </row>
    <row r="183" ht="15" customHeight="1">
      <c r="B183" s="59" t="inlineStr">
        <is>
          <t xml:space="preserve">  = Adjusted EBIT (model; Adjusted EBITDA − D&amp;A)</t>
        </is>
      </c>
      <c r="C183" s="196">
        <f>IF(ISNUMBER(C181),C181+C182,"")</f>
        <v/>
      </c>
      <c r="D183" s="196">
        <f>IF(ISNUMBER(D181),D181+D182,"")</f>
        <v/>
      </c>
      <c r="E183" s="196">
        <f>IF(ISNUMBER(E181),E181+E182,"")</f>
        <v/>
      </c>
      <c r="F183" s="196">
        <f>IF(ISNUMBER(F181),F181+F182,"")</f>
        <v/>
      </c>
      <c r="G183" s="196">
        <f>IF(ISNUMBER(G181),G181+G182,"")</f>
        <v/>
      </c>
      <c r="H183" s="196">
        <f>IF(ISNUMBER(H181),H181+H182,"")</f>
        <v/>
      </c>
      <c r="I183" s="196">
        <f>IF(ISNUMBER(I181),I181+I182,"")</f>
        <v/>
      </c>
      <c r="J183" s="196">
        <f>IF(ISNUMBER(J181),J181+J182,"")</f>
        <v/>
      </c>
      <c r="K183" s="196">
        <f>IF(ISNUMBER(K181),K181+K182,"")</f>
        <v/>
      </c>
      <c r="L183" s="196">
        <f>IF(ISNUMBER(L181),L181+L182,"")</f>
        <v/>
      </c>
      <c r="M183" s="196">
        <f>IF(ISNUMBER(M181),M181+M182,"")</f>
        <v/>
      </c>
      <c r="N183" s="196">
        <f>IF(ISNUMBER(N181),N181+N182,"")</f>
        <v/>
      </c>
      <c r="O183" s="196">
        <f>IF(ISNUMBER(O181),O181+O182,"")</f>
        <v/>
      </c>
      <c r="P183" s="196">
        <f>IF(ISNUMBER(P181),P181+P182,"")</f>
        <v/>
      </c>
      <c r="Q183" s="196">
        <f>IF(ISNUMBER(Q181),Q181+Q182,"")</f>
        <v/>
      </c>
      <c r="R183" s="196">
        <f>IF(ISNUMBER(R181),R181+R182,"")</f>
        <v/>
      </c>
      <c r="S183" s="196">
        <f>IF(ISNUMBER(S181),S181+S182,"")</f>
        <v/>
      </c>
      <c r="T183" s="196">
        <f>IF(ISNUMBER(T181),T181+T182,"")</f>
        <v/>
      </c>
      <c r="U183" s="196">
        <f>IF(ISNUMBER(U181),U181+U182,"")</f>
        <v/>
      </c>
      <c r="V183" s="196">
        <f>IF(ISNUMBER(V181),V181+V182,"")</f>
        <v/>
      </c>
      <c r="W183" s="196">
        <f>IF(ISNUMBER(W181),W181+W182,"")</f>
        <v/>
      </c>
      <c r="X183" s="196">
        <f>IF(ISNUMBER(X181),X181+X182,"")</f>
        <v/>
      </c>
      <c r="Y183" s="196">
        <f>IF(ISNUMBER(Y181),Y181+Y182,"")</f>
        <v/>
      </c>
      <c r="Z183" s="196">
        <f>IF(ISNUMBER(Z181),Z181+Z182,"")</f>
        <v/>
      </c>
      <c r="AA183" s="196">
        <f>IF(ISNUMBER(AA181),AA181+AA182,"")</f>
        <v/>
      </c>
      <c r="AB183" s="196">
        <f>IF(ISNUMBER(AB181),AB181+AB182,"")</f>
        <v/>
      </c>
      <c r="AC183" s="196">
        <f>IF(ISNUMBER(AC181),AC181+AC182,"")</f>
        <v/>
      </c>
      <c r="AD183" s="196">
        <f>IF(ISNUMBER(AD181),AD181+AD182,"")</f>
        <v/>
      </c>
      <c r="AE183" s="196">
        <f>IF(ISNUMBER(AE181),AE181+AE182,"")</f>
        <v/>
      </c>
      <c r="AF183" s="196">
        <f>IF(ISNUMBER(AF181),AF181+AF182,"")</f>
        <v/>
      </c>
      <c r="AG183" s="196">
        <f>IF(ISNUMBER(AG181),AG181+AG182,"")</f>
        <v/>
      </c>
      <c r="AH183" s="196">
        <f>IF(ISNUMBER(AH181),AH181+AH182,"")</f>
        <v/>
      </c>
      <c r="AI183" s="196">
        <f>IF(ISNUMBER(AI181),AI181+AI182,"")</f>
        <v/>
      </c>
      <c r="AJ183" s="196">
        <f>IF(ISNUMBER(AJ181),AJ181+AJ182,"")</f>
        <v/>
      </c>
      <c r="AK183" s="196">
        <f>IF(ISNUMBER(AK181),AK181+AK182,"")</f>
        <v/>
      </c>
      <c r="AL183" s="196">
        <f>IF(ISNUMBER(AL181),AL181+AL182,"")</f>
        <v/>
      </c>
      <c r="AM183" s="196">
        <f>IF(ISNUMBER(AM181),AM181+AM182,"")</f>
        <v/>
      </c>
      <c r="AN183" s="196">
        <f>IF(ISNUMBER(AN181),AN181+AN182,"")</f>
        <v/>
      </c>
      <c r="AO183" s="196">
        <f>IF(ISNUMBER(AO181),AO181+AO182,"")</f>
        <v/>
      </c>
      <c r="AP183" s="6" t="inlineStr">
        <is>
          <t>Used for NOPAT / ROIC and the DCF (amortization of acquired intangibles deducted, so returns are on a full-cost basis).</t>
        </is>
      </c>
    </row>
    <row r="184" ht="15" customHeight="1">
      <c r="B184" s="26" t="inlineStr">
        <is>
          <t xml:space="preserve">  Adjusted EBIT margin %</t>
        </is>
      </c>
      <c r="C184" s="183">
        <f>IF(AND(ISNUMBER(C183),ISNUMBER(C127)),IFERROR(C183/C127,""),"")</f>
        <v/>
      </c>
      <c r="D184" s="183">
        <f>IF(AND(ISNUMBER(D183),ISNUMBER(D127)),IFERROR(D183/D127,""),"")</f>
        <v/>
      </c>
      <c r="E184" s="183">
        <f>IF(AND(ISNUMBER(E183),ISNUMBER(E127)),IFERROR(E183/E127,""),"")</f>
        <v/>
      </c>
      <c r="F184" s="183">
        <f>IF(AND(ISNUMBER(F183),ISNUMBER(F127)),IFERROR(F183/F127,""),"")</f>
        <v/>
      </c>
      <c r="G184" s="183">
        <f>IF(AND(ISNUMBER(G183),ISNUMBER(G127)),IFERROR(G183/G127,""),"")</f>
        <v/>
      </c>
      <c r="H184" s="183">
        <f>IF(AND(ISNUMBER(H183),ISNUMBER(H127)),IFERROR(H183/H127,""),"")</f>
        <v/>
      </c>
      <c r="I184" s="183">
        <f>IF(AND(ISNUMBER(I183),ISNUMBER(I127)),IFERROR(I183/I127,""),"")</f>
        <v/>
      </c>
      <c r="J184" s="183">
        <f>IF(AND(ISNUMBER(J183),ISNUMBER(J127)),IFERROR(J183/J127,""),"")</f>
        <v/>
      </c>
      <c r="K184" s="183">
        <f>IF(AND(ISNUMBER(K183),ISNUMBER(K127)),IFERROR(K183/K127,""),"")</f>
        <v/>
      </c>
      <c r="L184" s="183">
        <f>IF(AND(ISNUMBER(L183),ISNUMBER(L127)),IFERROR(L183/L127,""),"")</f>
        <v/>
      </c>
      <c r="M184" s="183">
        <f>IF(AND(ISNUMBER(M183),ISNUMBER(M127)),IFERROR(M183/M127,""),"")</f>
        <v/>
      </c>
      <c r="N184" s="183">
        <f>IF(AND(ISNUMBER(N183),ISNUMBER(N127)),IFERROR(N183/N127,""),"")</f>
        <v/>
      </c>
      <c r="O184" s="183">
        <f>IF(AND(ISNUMBER(O183),ISNUMBER(O127)),IFERROR(O183/O127,""),"")</f>
        <v/>
      </c>
      <c r="P184" s="183">
        <f>IF(AND(ISNUMBER(P183),ISNUMBER(P127)),IFERROR(P183/P127,""),"")</f>
        <v/>
      </c>
      <c r="Q184" s="183">
        <f>IF(AND(ISNUMBER(Q183),ISNUMBER(Q127)),IFERROR(Q183/Q127,""),"")</f>
        <v/>
      </c>
      <c r="R184" s="183">
        <f>IF(AND(ISNUMBER(R183),ISNUMBER(R127)),IFERROR(R183/R127,""),"")</f>
        <v/>
      </c>
      <c r="S184" s="183">
        <f>IF(AND(ISNUMBER(S183),ISNUMBER(S127)),IFERROR(S183/S127,""),"")</f>
        <v/>
      </c>
      <c r="T184" s="183">
        <f>IF(AND(ISNUMBER(T183),ISNUMBER(T127)),IFERROR(T183/T127,""),"")</f>
        <v/>
      </c>
      <c r="U184" s="183">
        <f>IF(AND(ISNUMBER(U183),ISNUMBER(U127)),IFERROR(U183/U127,""),"")</f>
        <v/>
      </c>
      <c r="V184" s="183">
        <f>IF(AND(ISNUMBER(V183),ISNUMBER(V127)),IFERROR(V183/V127,""),"")</f>
        <v/>
      </c>
      <c r="W184" s="183">
        <f>IF(AND(ISNUMBER(W183),ISNUMBER(W127)),IFERROR(W183/W127,""),"")</f>
        <v/>
      </c>
      <c r="X184" s="183">
        <f>IF(AND(ISNUMBER(X183),ISNUMBER(X127)),IFERROR(X183/X127,""),"")</f>
        <v/>
      </c>
      <c r="Y184" s="183">
        <f>IF(AND(ISNUMBER(Y183),ISNUMBER(Y127)),IFERROR(Y183/Y127,""),"")</f>
        <v/>
      </c>
      <c r="Z184" s="183">
        <f>IF(AND(ISNUMBER(Z183),ISNUMBER(Z127)),IFERROR(Z183/Z127,""),"")</f>
        <v/>
      </c>
      <c r="AA184" s="183">
        <f>IF(AND(ISNUMBER(AA183),ISNUMBER(AA127)),IFERROR(AA183/AA127,""),"")</f>
        <v/>
      </c>
      <c r="AB184" s="183">
        <f>IF(AND(ISNUMBER(AB183),ISNUMBER(AB127)),IFERROR(AB183/AB127,""),"")</f>
        <v/>
      </c>
      <c r="AC184" s="183">
        <f>IF(AND(ISNUMBER(AC183),ISNUMBER(AC127)),IFERROR(AC183/AC127,""),"")</f>
        <v/>
      </c>
      <c r="AD184" s="183">
        <f>IF(AND(ISNUMBER(AD183),ISNUMBER(AD127)),IFERROR(AD183/AD127,""),"")</f>
        <v/>
      </c>
      <c r="AE184" s="183">
        <f>IF(AND(ISNUMBER(AE183),ISNUMBER(AE127)),IFERROR(AE183/AE127,""),"")</f>
        <v/>
      </c>
      <c r="AF184" s="183">
        <f>IF(AND(ISNUMBER(AF183),ISNUMBER(AF127)),IFERROR(AF183/AF127,""),"")</f>
        <v/>
      </c>
      <c r="AG184" s="183">
        <f>IF(AND(ISNUMBER(AG183),ISNUMBER(AG127)),IFERROR(AG183/AG127,""),"")</f>
        <v/>
      </c>
      <c r="AH184" s="183">
        <f>IF(AND(ISNUMBER(AH183),ISNUMBER(AH127)),IFERROR(AH183/AH127,""),"")</f>
        <v/>
      </c>
      <c r="AI184" s="177">
        <f>IF(AND(ISNUMBER(AI183),ISNUMBER(AI127)),IFERROR(AI183/AI127,""),"")</f>
        <v/>
      </c>
      <c r="AJ184" s="177">
        <f>IF(AND(ISNUMBER(AJ183),ISNUMBER(AJ127)),IFERROR(AJ183/AJ127,""),"")</f>
        <v/>
      </c>
      <c r="AK184" s="177">
        <f>IF(AND(ISNUMBER(AK183),ISNUMBER(AK127)),IFERROR(AK183/AK127,""),"")</f>
        <v/>
      </c>
      <c r="AL184" s="177">
        <f>IF(AND(ISNUMBER(AL183),ISNUMBER(AL127)),IFERROR(AL183/AL127,""),"")</f>
        <v/>
      </c>
      <c r="AM184" s="177">
        <f>IF(AND(ISNUMBER(AM183),ISNUMBER(AM127)),IFERROR(AM183/AM127,""),"")</f>
        <v/>
      </c>
      <c r="AN184" s="177">
        <f>IF(AND(ISNUMBER(AN183),ISNUMBER(AN127)),IFERROR(AN183/AN127,""),"")</f>
        <v/>
      </c>
      <c r="AO184" s="177">
        <f>IF(AND(ISNUMBER(AO183),ISNUMBER(AO127)),IFERROR(AO183/AO127,""),"")</f>
        <v/>
      </c>
      <c r="AP184" s="6" t="n"/>
      <c r="AR184" s="39">
        <f>IFERROR(AVERAGE(AK184,AL184,AM184,AN184,AO184),"n/m")</f>
        <v/>
      </c>
      <c r="AS184" s="39">
        <f>IFERROR(AVERAGE(L184,Q184,V184,AA184,AF184),"n/m")</f>
        <v/>
      </c>
      <c r="AT184" s="39">
        <f>IFERROR(AVERAGE(G184,H184,I184,J184,K184,L184,Q184,V184,AA184,AF184),"n/m")</f>
        <v/>
      </c>
      <c r="AU184" s="39">
        <f>IFERROR(AVERAGE(C184,D184,E184,F184,G184,H184,I184,J184,K184,L184,Q184,V184,AA184,AF184),"n/m")</f>
        <v/>
      </c>
    </row>
    <row r="185" ht="15" customHeight="1">
      <c r="AX185" s="12" t="n"/>
      <c r="AY185" s="13" t="n"/>
      <c r="AZ185" s="13" t="n"/>
      <c r="BA185" s="13" t="n"/>
      <c r="BB185" s="14" t="n"/>
    </row>
    <row r="186" ht="15" customHeight="1">
      <c r="B186" s="11" t="inlineStr">
        <is>
          <t>RECONCILIATION: GAAP OPERATING INCOME → ADJUSTED OPERATING INCOME (ADJUSTED EBITA, model definition)</t>
        </is>
      </c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inlineStr">
        <is>
          <t>ADJUSTED OPERATING INCOME — model bridge on the company items: GAAP operating income + amortization + EBITDA adjusting items (Loar does not publish an adjusted operating income)</t>
        </is>
      </c>
    </row>
    <row r="187" ht="15" customHeight="1">
      <c r="B187" s="17" t="inlineStr">
        <is>
          <t>Operating income (GAAP)</t>
        </is>
      </c>
      <c r="C187" s="181">
        <f>C134</f>
        <v/>
      </c>
      <c r="D187" s="181">
        <f>D134</f>
        <v/>
      </c>
      <c r="E187" s="181">
        <f>E134</f>
        <v/>
      </c>
      <c r="F187" s="181">
        <f>F134</f>
        <v/>
      </c>
      <c r="G187" s="181">
        <f>G134</f>
        <v/>
      </c>
      <c r="H187" s="181">
        <f>H134</f>
        <v/>
      </c>
      <c r="I187" s="181">
        <f>I134</f>
        <v/>
      </c>
      <c r="J187" s="181">
        <f>J134</f>
        <v/>
      </c>
      <c r="K187" s="181">
        <f>K134</f>
        <v/>
      </c>
      <c r="L187" s="181">
        <f>L134</f>
        <v/>
      </c>
      <c r="M187" s="181">
        <f>M134</f>
        <v/>
      </c>
      <c r="N187" s="181">
        <f>N134</f>
        <v/>
      </c>
      <c r="O187" s="181">
        <f>O134</f>
        <v/>
      </c>
      <c r="P187" s="181">
        <f>P134</f>
        <v/>
      </c>
      <c r="Q187" s="181">
        <f>Q134</f>
        <v/>
      </c>
      <c r="R187" s="181">
        <f>R134</f>
        <v/>
      </c>
      <c r="S187" s="181">
        <f>S134</f>
        <v/>
      </c>
      <c r="T187" s="181">
        <f>T134</f>
        <v/>
      </c>
      <c r="U187" s="181">
        <f>U134</f>
        <v/>
      </c>
      <c r="V187" s="181">
        <f>V134</f>
        <v/>
      </c>
      <c r="W187" s="181">
        <f>W134</f>
        <v/>
      </c>
      <c r="X187" s="181">
        <f>X134</f>
        <v/>
      </c>
      <c r="Y187" s="181">
        <f>Y134</f>
        <v/>
      </c>
      <c r="Z187" s="181">
        <f>Z134</f>
        <v/>
      </c>
      <c r="AA187" s="181">
        <f>AA134</f>
        <v/>
      </c>
      <c r="AB187" s="181">
        <f>AB134</f>
        <v/>
      </c>
      <c r="AC187" s="181">
        <f>AC134</f>
        <v/>
      </c>
      <c r="AD187" s="181">
        <f>AD134</f>
        <v/>
      </c>
      <c r="AE187" s="181">
        <f>AE134</f>
        <v/>
      </c>
      <c r="AF187" s="181">
        <f>AF134</f>
        <v/>
      </c>
      <c r="AG187" s="181">
        <f>AG134</f>
        <v/>
      </c>
      <c r="AH187" s="181">
        <f>AH134</f>
        <v/>
      </c>
      <c r="AI187" s="182">
        <f>AI134</f>
        <v/>
      </c>
      <c r="AJ187" s="182">
        <f>AJ134</f>
        <v/>
      </c>
      <c r="AK187" s="182">
        <f>AK134</f>
        <v/>
      </c>
      <c r="AL187" s="182">
        <f>AL134</f>
        <v/>
      </c>
      <c r="AM187" s="182">
        <f>AM134</f>
        <v/>
      </c>
      <c r="AN187" s="182">
        <f>AN134</f>
        <v/>
      </c>
      <c r="AO187" s="182">
        <f>AO134</f>
        <v/>
      </c>
      <c r="AP187" s="6" t="n"/>
    </row>
    <row r="188" ht="15" customHeight="1">
      <c r="B188" s="26" t="inlineStr">
        <is>
          <t xml:space="preserve">  (+) Amortization of intangible &amp; other long-term assets</t>
        </is>
      </c>
      <c r="C188" s="186">
        <f>C115</f>
        <v/>
      </c>
      <c r="D188" s="186">
        <f>D115</f>
        <v/>
      </c>
      <c r="E188" s="186">
        <f>E115</f>
        <v/>
      </c>
      <c r="F188" s="186">
        <f>F115</f>
        <v/>
      </c>
      <c r="G188" s="186">
        <f>G115</f>
        <v/>
      </c>
      <c r="H188" s="186">
        <f>H115</f>
        <v/>
      </c>
      <c r="I188" s="186">
        <f>I115</f>
        <v/>
      </c>
      <c r="J188" s="186">
        <f>J115</f>
        <v/>
      </c>
      <c r="K188" s="186">
        <f>K115</f>
        <v/>
      </c>
      <c r="L188" s="186">
        <f>L115</f>
        <v/>
      </c>
      <c r="M188" s="186">
        <f>M115</f>
        <v/>
      </c>
      <c r="N188" s="186">
        <f>N115</f>
        <v/>
      </c>
      <c r="O188" s="186">
        <f>O115</f>
        <v/>
      </c>
      <c r="P188" s="186">
        <f>P115</f>
        <v/>
      </c>
      <c r="Q188" s="186">
        <f>Q115</f>
        <v/>
      </c>
      <c r="R188" s="186">
        <f>R115</f>
        <v/>
      </c>
      <c r="S188" s="186">
        <f>S115</f>
        <v/>
      </c>
      <c r="T188" s="186">
        <f>T115</f>
        <v/>
      </c>
      <c r="U188" s="186">
        <f>U115</f>
        <v/>
      </c>
      <c r="V188" s="186">
        <f>V115</f>
        <v/>
      </c>
      <c r="W188" s="186">
        <f>W115</f>
        <v/>
      </c>
      <c r="X188" s="186">
        <f>X115</f>
        <v/>
      </c>
      <c r="Y188" s="186">
        <f>Y115</f>
        <v/>
      </c>
      <c r="Z188" s="186">
        <f>Z115</f>
        <v/>
      </c>
      <c r="AA188" s="186">
        <f>AA115</f>
        <v/>
      </c>
      <c r="AB188" s="186">
        <f>AB115</f>
        <v/>
      </c>
      <c r="AC188" s="186">
        <f>AC115</f>
        <v/>
      </c>
      <c r="AD188" s="186">
        <f>AD115</f>
        <v/>
      </c>
      <c r="AE188" s="186">
        <f>AE115</f>
        <v/>
      </c>
      <c r="AF188" s="186">
        <f>AF115</f>
        <v/>
      </c>
      <c r="AG188" s="186">
        <f>AG115</f>
        <v/>
      </c>
      <c r="AH188" s="186">
        <f>AH115</f>
        <v/>
      </c>
      <c r="AI188" s="175">
        <f>AI115</f>
        <v/>
      </c>
      <c r="AJ188" s="175">
        <f>AJ115</f>
        <v/>
      </c>
      <c r="AK188" s="175">
        <f>AK115</f>
        <v/>
      </c>
      <c r="AL188" s="175">
        <f>AL115</f>
        <v/>
      </c>
      <c r="AM188" s="175">
        <f>AM115</f>
        <v/>
      </c>
      <c r="AN188" s="175">
        <f>AN115</f>
        <v/>
      </c>
      <c r="AO188" s="175">
        <f>AO115</f>
        <v/>
      </c>
      <c r="AP188" s="20" t="n"/>
    </row>
    <row r="189" ht="15" customHeight="1">
      <c r="B189" s="26" t="inlineStr">
        <is>
          <t xml:space="preserve">  (+) EBITDA adjusting items (step-up, other, transaction, SBC, integration, COVID, MSA)</t>
        </is>
      </c>
      <c r="C189" s="186">
        <f>C173</f>
        <v/>
      </c>
      <c r="D189" s="186">
        <f>D173</f>
        <v/>
      </c>
      <c r="E189" s="186">
        <f>E173</f>
        <v/>
      </c>
      <c r="F189" s="186">
        <f>F173</f>
        <v/>
      </c>
      <c r="G189" s="186">
        <f>G173</f>
        <v/>
      </c>
      <c r="H189" s="186">
        <f>H173</f>
        <v/>
      </c>
      <c r="I189" s="186">
        <f>I173</f>
        <v/>
      </c>
      <c r="J189" s="186">
        <f>J173</f>
        <v/>
      </c>
      <c r="K189" s="186">
        <f>K173</f>
        <v/>
      </c>
      <c r="L189" s="186">
        <f>L173</f>
        <v/>
      </c>
      <c r="M189" s="186">
        <f>M173</f>
        <v/>
      </c>
      <c r="N189" s="186">
        <f>N173</f>
        <v/>
      </c>
      <c r="O189" s="186">
        <f>O173</f>
        <v/>
      </c>
      <c r="P189" s="186">
        <f>P173</f>
        <v/>
      </c>
      <c r="Q189" s="186">
        <f>Q173</f>
        <v/>
      </c>
      <c r="R189" s="186">
        <f>R173</f>
        <v/>
      </c>
      <c r="S189" s="186">
        <f>S173</f>
        <v/>
      </c>
      <c r="T189" s="186">
        <f>T173</f>
        <v/>
      </c>
      <c r="U189" s="186">
        <f>U173</f>
        <v/>
      </c>
      <c r="V189" s="186">
        <f>V173</f>
        <v/>
      </c>
      <c r="W189" s="186">
        <f>W173</f>
        <v/>
      </c>
      <c r="X189" s="186">
        <f>X173</f>
        <v/>
      </c>
      <c r="Y189" s="186">
        <f>Y173</f>
        <v/>
      </c>
      <c r="Z189" s="186">
        <f>Z173</f>
        <v/>
      </c>
      <c r="AA189" s="186">
        <f>AA173</f>
        <v/>
      </c>
      <c r="AB189" s="186">
        <f>AB173</f>
        <v/>
      </c>
      <c r="AC189" s="186">
        <f>AC173</f>
        <v/>
      </c>
      <c r="AD189" s="186">
        <f>AD173</f>
        <v/>
      </c>
      <c r="AE189" s="186">
        <f>AE173</f>
        <v/>
      </c>
      <c r="AF189" s="186">
        <f>AF173</f>
        <v/>
      </c>
      <c r="AG189" s="186">
        <f>AG173</f>
        <v/>
      </c>
      <c r="AH189" s="186">
        <f>AH173</f>
        <v/>
      </c>
      <c r="AI189" s="175">
        <f>AI173</f>
        <v/>
      </c>
      <c r="AJ189" s="175">
        <f>AJ173</f>
        <v/>
      </c>
      <c r="AK189" s="175">
        <f>AK173</f>
        <v/>
      </c>
      <c r="AL189" s="175">
        <f>AL173</f>
        <v/>
      </c>
      <c r="AM189" s="175">
        <f>AM173</f>
        <v/>
      </c>
      <c r="AN189" s="175">
        <f>AN173</f>
        <v/>
      </c>
      <c r="AO189" s="175">
        <f>AO173</f>
        <v/>
      </c>
      <c r="AP189" s="20" t="n"/>
    </row>
    <row r="190" ht="15" customHeight="1">
      <c r="B190" s="59" t="inlineStr">
        <is>
          <t xml:space="preserve">  = Adjusted operating income / Adjusted EBITA (model)</t>
        </is>
      </c>
      <c r="C190" s="196">
        <f>IF(ISNUMBER(C187),C187+C188+C189,"")</f>
        <v/>
      </c>
      <c r="D190" s="196">
        <f>IF(ISNUMBER(D187),D187+D188+D189,"")</f>
        <v/>
      </c>
      <c r="E190" s="196">
        <f>IF(ISNUMBER(E187),E187+E188+E189,"")</f>
        <v/>
      </c>
      <c r="F190" s="196">
        <f>IF(ISNUMBER(F187),F187+F188+F189,"")</f>
        <v/>
      </c>
      <c r="G190" s="196">
        <f>IF(ISNUMBER(G187),G187+G188+G189,"")</f>
        <v/>
      </c>
      <c r="H190" s="196">
        <f>IF(ISNUMBER(H187),H187+H188+H189,"")</f>
        <v/>
      </c>
      <c r="I190" s="196">
        <f>IF(ISNUMBER(I187),I187+I188+I189,"")</f>
        <v/>
      </c>
      <c r="J190" s="196">
        <f>IF(ISNUMBER(J187),J187+J188+J189,"")</f>
        <v/>
      </c>
      <c r="K190" s="196">
        <f>IF(ISNUMBER(K187),K187+K188+K189,"")</f>
        <v/>
      </c>
      <c r="L190" s="196">
        <f>IF(ISNUMBER(L187),L187+L188+L189,"")</f>
        <v/>
      </c>
      <c r="M190" s="196">
        <f>IF(ISNUMBER(M187),M187+M188+M189,"")</f>
        <v/>
      </c>
      <c r="N190" s="196">
        <f>IF(ISNUMBER(N187),N187+N188+N189,"")</f>
        <v/>
      </c>
      <c r="O190" s="196">
        <f>IF(ISNUMBER(O187),O187+O188+O189,"")</f>
        <v/>
      </c>
      <c r="P190" s="196">
        <f>IF(ISNUMBER(P187),P187+P188+P189,"")</f>
        <v/>
      </c>
      <c r="Q190" s="196">
        <f>IF(ISNUMBER(Q187),Q187+Q188+Q189,"")</f>
        <v/>
      </c>
      <c r="R190" s="196">
        <f>IF(ISNUMBER(R187),R187+R188+R189,"")</f>
        <v/>
      </c>
      <c r="S190" s="196">
        <f>IF(ISNUMBER(S187),S187+S188+S189,"")</f>
        <v/>
      </c>
      <c r="T190" s="196">
        <f>IF(ISNUMBER(T187),T187+T188+T189,"")</f>
        <v/>
      </c>
      <c r="U190" s="196">
        <f>IF(ISNUMBER(U187),U187+U188+U189,"")</f>
        <v/>
      </c>
      <c r="V190" s="196">
        <f>IF(ISNUMBER(V187),V187+V188+V189,"")</f>
        <v/>
      </c>
      <c r="W190" s="196">
        <f>IF(ISNUMBER(W187),W187+W188+W189,"")</f>
        <v/>
      </c>
      <c r="X190" s="196">
        <f>IF(ISNUMBER(X187),X187+X188+X189,"")</f>
        <v/>
      </c>
      <c r="Y190" s="196">
        <f>IF(ISNUMBER(Y187),Y187+Y188+Y189,"")</f>
        <v/>
      </c>
      <c r="Z190" s="196">
        <f>IF(ISNUMBER(Z187),Z187+Z188+Z189,"")</f>
        <v/>
      </c>
      <c r="AA190" s="196">
        <f>IF(ISNUMBER(AA187),AA187+AA188+AA189,"")</f>
        <v/>
      </c>
      <c r="AB190" s="196">
        <f>IF(ISNUMBER(AB187),AB187+AB188+AB189,"")</f>
        <v/>
      </c>
      <c r="AC190" s="196">
        <f>IF(ISNUMBER(AC187),AC187+AC188+AC189,"")</f>
        <v/>
      </c>
      <c r="AD190" s="196">
        <f>IF(ISNUMBER(AD187),AD187+AD188+AD189,"")</f>
        <v/>
      </c>
      <c r="AE190" s="196">
        <f>IF(ISNUMBER(AE187),AE187+AE188+AE189,"")</f>
        <v/>
      </c>
      <c r="AF190" s="196">
        <f>IF(ISNUMBER(AF187),AF187+AF188+AF189,"")</f>
        <v/>
      </c>
      <c r="AG190" s="196">
        <f>IF(ISNUMBER(AG187),AG187+AG188+AG189,"")</f>
        <v/>
      </c>
      <c r="AH190" s="196">
        <f>IF(ISNUMBER(AH187),AH187+AH188+AH189,"")</f>
        <v/>
      </c>
      <c r="AI190" s="196">
        <f>IF(ISNUMBER(AI187),AI187+AI188+AI189,"")</f>
        <v/>
      </c>
      <c r="AJ190" s="196">
        <f>IF(ISNUMBER(AJ187),AJ187+AJ188+AJ189,"")</f>
        <v/>
      </c>
      <c r="AK190" s="196">
        <f>IF(ISNUMBER(AK187),AK187+AK188+AK189,"")</f>
        <v/>
      </c>
      <c r="AL190" s="196">
        <f>IF(ISNUMBER(AL187),AL187+AL188+AL189,"")</f>
        <v/>
      </c>
      <c r="AM190" s="196">
        <f>IF(ISNUMBER(AM187),AM187+AM188+AM189,"")</f>
        <v/>
      </c>
      <c r="AN190" s="196">
        <f>IF(ISNUMBER(AN187),AN187+AN188+AN189,"")</f>
        <v/>
      </c>
      <c r="AO190" s="196">
        <f>IF(ISNUMBER(AO187),AO187+AO188+AO189,"")</f>
        <v/>
      </c>
      <c r="AP190" s="6" t="n"/>
      <c r="AR190" s="21">
        <f>IFERROR((AO190/AF190)^(1/5)-1,"n/m")</f>
        <v/>
      </c>
      <c r="AS190" s="21">
        <f>IFERROR((AF190/K190)^(1/5)-1,"n/m")</f>
        <v/>
      </c>
      <c r="AT190" s="21">
        <f>IFERROR((AF190/F190)^(1/10)-1,"n/m")</f>
        <v/>
      </c>
      <c r="AU190" s="21">
        <f>IFERROR((AF190/C190)^(1/13)-1,"n/m")</f>
        <v/>
      </c>
    </row>
    <row r="191" ht="15" customHeight="1">
      <c r="B191" s="26" t="inlineStr">
        <is>
          <t xml:space="preserve">  Adjusted operating (EBITA) margin %</t>
        </is>
      </c>
      <c r="C191" s="183">
        <f>IF(AND(ISNUMBER(C190),ISNUMBER(C127)),IFERROR(C190/C127,""),"")</f>
        <v/>
      </c>
      <c r="D191" s="183">
        <f>IF(AND(ISNUMBER(D190),ISNUMBER(D127)),IFERROR(D190/D127,""),"")</f>
        <v/>
      </c>
      <c r="E191" s="183">
        <f>IF(AND(ISNUMBER(E190),ISNUMBER(E127)),IFERROR(E190/E127,""),"")</f>
        <v/>
      </c>
      <c r="F191" s="183">
        <f>IF(AND(ISNUMBER(F190),ISNUMBER(F127)),IFERROR(F190/F127,""),"")</f>
        <v/>
      </c>
      <c r="G191" s="183">
        <f>IF(AND(ISNUMBER(G190),ISNUMBER(G127)),IFERROR(G190/G127,""),"")</f>
        <v/>
      </c>
      <c r="H191" s="183">
        <f>IF(AND(ISNUMBER(H190),ISNUMBER(H127)),IFERROR(H190/H127,""),"")</f>
        <v/>
      </c>
      <c r="I191" s="183">
        <f>IF(AND(ISNUMBER(I190),ISNUMBER(I127)),IFERROR(I190/I127,""),"")</f>
        <v/>
      </c>
      <c r="J191" s="183">
        <f>IF(AND(ISNUMBER(J190),ISNUMBER(J127)),IFERROR(J190/J127,""),"")</f>
        <v/>
      </c>
      <c r="K191" s="183">
        <f>IF(AND(ISNUMBER(K190),ISNUMBER(K127)),IFERROR(K190/K127,""),"")</f>
        <v/>
      </c>
      <c r="L191" s="183">
        <f>IF(AND(ISNUMBER(L190),ISNUMBER(L127)),IFERROR(L190/L127,""),"")</f>
        <v/>
      </c>
      <c r="M191" s="183">
        <f>IF(AND(ISNUMBER(M190),ISNUMBER(M127)),IFERROR(M190/M127,""),"")</f>
        <v/>
      </c>
      <c r="N191" s="183">
        <f>IF(AND(ISNUMBER(N190),ISNUMBER(N127)),IFERROR(N190/N127,""),"")</f>
        <v/>
      </c>
      <c r="O191" s="183">
        <f>IF(AND(ISNUMBER(O190),ISNUMBER(O127)),IFERROR(O190/O127,""),"")</f>
        <v/>
      </c>
      <c r="P191" s="183">
        <f>IF(AND(ISNUMBER(P190),ISNUMBER(P127)),IFERROR(P190/P127,""),"")</f>
        <v/>
      </c>
      <c r="Q191" s="183">
        <f>IF(AND(ISNUMBER(Q190),ISNUMBER(Q127)),IFERROR(Q190/Q127,""),"")</f>
        <v/>
      </c>
      <c r="R191" s="183">
        <f>IF(AND(ISNUMBER(R190),ISNUMBER(R127)),IFERROR(R190/R127,""),"")</f>
        <v/>
      </c>
      <c r="S191" s="183">
        <f>IF(AND(ISNUMBER(S190),ISNUMBER(S127)),IFERROR(S190/S127,""),"")</f>
        <v/>
      </c>
      <c r="T191" s="183">
        <f>IF(AND(ISNUMBER(T190),ISNUMBER(T127)),IFERROR(T190/T127,""),"")</f>
        <v/>
      </c>
      <c r="U191" s="183">
        <f>IF(AND(ISNUMBER(U190),ISNUMBER(U127)),IFERROR(U190/U127,""),"")</f>
        <v/>
      </c>
      <c r="V191" s="183">
        <f>IF(AND(ISNUMBER(V190),ISNUMBER(V127)),IFERROR(V190/V127,""),"")</f>
        <v/>
      </c>
      <c r="W191" s="183">
        <f>IF(AND(ISNUMBER(W190),ISNUMBER(W127)),IFERROR(W190/W127,""),"")</f>
        <v/>
      </c>
      <c r="X191" s="183">
        <f>IF(AND(ISNUMBER(X190),ISNUMBER(X127)),IFERROR(X190/X127,""),"")</f>
        <v/>
      </c>
      <c r="Y191" s="183">
        <f>IF(AND(ISNUMBER(Y190),ISNUMBER(Y127)),IFERROR(Y190/Y127,""),"")</f>
        <v/>
      </c>
      <c r="Z191" s="183">
        <f>IF(AND(ISNUMBER(Z190),ISNUMBER(Z127)),IFERROR(Z190/Z127,""),"")</f>
        <v/>
      </c>
      <c r="AA191" s="183">
        <f>IF(AND(ISNUMBER(AA190),ISNUMBER(AA127)),IFERROR(AA190/AA127,""),"")</f>
        <v/>
      </c>
      <c r="AB191" s="183">
        <f>IF(AND(ISNUMBER(AB190),ISNUMBER(AB127)),IFERROR(AB190/AB127,""),"")</f>
        <v/>
      </c>
      <c r="AC191" s="183">
        <f>IF(AND(ISNUMBER(AC190),ISNUMBER(AC127)),IFERROR(AC190/AC127,""),"")</f>
        <v/>
      </c>
      <c r="AD191" s="183">
        <f>IF(AND(ISNUMBER(AD190),ISNUMBER(AD127)),IFERROR(AD190/AD127,""),"")</f>
        <v/>
      </c>
      <c r="AE191" s="183">
        <f>IF(AND(ISNUMBER(AE190),ISNUMBER(AE127)),IFERROR(AE190/AE127,""),"")</f>
        <v/>
      </c>
      <c r="AF191" s="183">
        <f>IF(AND(ISNUMBER(AF190),ISNUMBER(AF127)),IFERROR(AF190/AF127,""),"")</f>
        <v/>
      </c>
      <c r="AG191" s="183">
        <f>IF(AND(ISNUMBER(AG190),ISNUMBER(AG127)),IFERROR(AG190/AG127,""),"")</f>
        <v/>
      </c>
      <c r="AH191" s="183">
        <f>IF(AND(ISNUMBER(AH190),ISNUMBER(AH127)),IFERROR(AH190/AH127,""),"")</f>
        <v/>
      </c>
      <c r="AI191" s="177">
        <f>IF(AND(ISNUMBER(AI190),ISNUMBER(AI127)),IFERROR(AI190/AI127,""),"")</f>
        <v/>
      </c>
      <c r="AJ191" s="177">
        <f>IF(AND(ISNUMBER(AJ190),ISNUMBER(AJ127)),IFERROR(AJ190/AJ127,""),"")</f>
        <v/>
      </c>
      <c r="AK191" s="177">
        <f>IF(AND(ISNUMBER(AK190),ISNUMBER(AK127)),IFERROR(AK190/AK127,""),"")</f>
        <v/>
      </c>
      <c r="AL191" s="177">
        <f>IF(AND(ISNUMBER(AL190),ISNUMBER(AL127)),IFERROR(AL190/AL127,""),"")</f>
        <v/>
      </c>
      <c r="AM191" s="177">
        <f>IF(AND(ISNUMBER(AM190),ISNUMBER(AM127)),IFERROR(AM190/AM127,""),"")</f>
        <v/>
      </c>
      <c r="AN191" s="177">
        <f>IF(AND(ISNUMBER(AN190),ISNUMBER(AN127)),IFERROR(AN190/AN127,""),"")</f>
        <v/>
      </c>
      <c r="AO191" s="177">
        <f>IF(AND(ISNUMBER(AO190),ISNUMBER(AO127)),IFERROR(AO190/AO127,""),"")</f>
        <v/>
      </c>
      <c r="AP191" s="6" t="n"/>
      <c r="AR191" s="39">
        <f>IFERROR(AVERAGE(AK191,AL191,AM191,AN191,AO191),"n/m")</f>
        <v/>
      </c>
      <c r="AS191" s="39">
        <f>IFERROR(AVERAGE(L191,Q191,V191,AA191,AF191),"n/m")</f>
        <v/>
      </c>
      <c r="AT191" s="39">
        <f>IFERROR(AVERAGE(G191,H191,I191,J191,K191,L191,Q191,V191,AA191,AF191),"n/m")</f>
        <v/>
      </c>
      <c r="AU191" s="39">
        <f>IFERROR(AVERAGE(C191,D191,E191,F191,G191,H191,I191,J191,K191,L191,Q191,V191,AA191,AF191),"n/m")</f>
        <v/>
      </c>
    </row>
    <row r="192" ht="15" customHeight="1">
      <c r="B192" s="61" t="inlineStr">
        <is>
          <t xml:space="preserve">  Check: Adjusted EBITA + depreciation vs company-published Adjusted EBITDA (should be 0)</t>
        </is>
      </c>
      <c r="C192" s="186">
        <f>IF(AND(ISNUMBER(C176),ISNUMBER(C190)),IF(ABS(C190+C113-C176)&lt;=0.015,0,ROUND(C190+C113-C176,2)),"n/p")</f>
        <v/>
      </c>
      <c r="D192" s="186">
        <f>IF(AND(ISNUMBER(D176),ISNUMBER(D190)),IF(ABS(D190+D113-D176)&lt;=0.015,0,ROUND(D190+D113-D176,2)),"n/p")</f>
        <v/>
      </c>
      <c r="E192" s="186">
        <f>IF(AND(ISNUMBER(E176),ISNUMBER(E190)),IF(ABS(E190+E113-E176)&lt;=0.015,0,ROUND(E190+E113-E176,2)),"n/p")</f>
        <v/>
      </c>
      <c r="F192" s="186">
        <f>IF(AND(ISNUMBER(F176),ISNUMBER(F190)),IF(ABS(F190+F113-F176)&lt;=0.015,0,ROUND(F190+F113-F176,2)),"n/p")</f>
        <v/>
      </c>
      <c r="G192" s="186">
        <f>IF(AND(ISNUMBER(G176),ISNUMBER(G190)),IF(ABS(G190+G113-G176)&lt;=0.015,0,ROUND(G190+G113-G176,2)),"n/p")</f>
        <v/>
      </c>
      <c r="H192" s="186">
        <f>IF(AND(ISNUMBER(H176),ISNUMBER(H190)),IF(ABS(H190+H113-H176)&lt;=0.015,0,ROUND(H190+H113-H176,2)),"n/p")</f>
        <v/>
      </c>
      <c r="I192" s="186">
        <f>IF(AND(ISNUMBER(I176),ISNUMBER(I190)),IF(ABS(I190+I113-I176)&lt;=0.015,0,ROUND(I190+I113-I176,2)),"n/p")</f>
        <v/>
      </c>
      <c r="J192" s="186">
        <f>IF(AND(ISNUMBER(J176),ISNUMBER(J190)),IF(ABS(J190+J113-J176)&lt;=0.015,0,ROUND(J190+J113-J176,2)),"n/p")</f>
        <v/>
      </c>
      <c r="K192" s="186">
        <f>IF(AND(ISNUMBER(K176),ISNUMBER(K190)),IF(ABS(K190+K113-K176)&lt;=0.015,0,ROUND(K190+K113-K176,2)),"n/p")</f>
        <v/>
      </c>
      <c r="L192" s="186">
        <f>IF(AND(ISNUMBER(L176),ISNUMBER(L190)),IF(ABS(L190+L113-L176)&lt;=0.015,0,ROUND(L190+L113-L176,2)),"n/p")</f>
        <v/>
      </c>
      <c r="M192" s="186">
        <f>IF(AND(ISNUMBER(M176),ISNUMBER(M190)),IF(ABS(M190+M113-M176)&lt;=0.015,0,ROUND(M190+M113-M176,2)),"n/p")</f>
        <v/>
      </c>
      <c r="N192" s="186">
        <f>IF(AND(ISNUMBER(N176),ISNUMBER(N190)),IF(ABS(N190+N113-N176)&lt;=0.015,0,ROUND(N190+N113-N176,2)),"n/p")</f>
        <v/>
      </c>
      <c r="O192" s="186">
        <f>IF(AND(ISNUMBER(O176),ISNUMBER(O190)),IF(ABS(O190+O113-O176)&lt;=0.015,0,ROUND(O190+O113-O176,2)),"n/p")</f>
        <v/>
      </c>
      <c r="P192" s="186">
        <f>IF(AND(ISNUMBER(P176),ISNUMBER(P190)),IF(ABS(P190+P113-P176)&lt;=0.015,0,ROUND(P190+P113-P176,2)),"n/p")</f>
        <v/>
      </c>
      <c r="Q192" s="186">
        <f>IF(AND(ISNUMBER(Q176),ISNUMBER(Q190)),IF(ABS(Q190+Q113-Q176)&lt;=0.015,0,ROUND(Q190+Q113-Q176,2)),"n/p")</f>
        <v/>
      </c>
      <c r="R192" s="186">
        <f>IF(AND(ISNUMBER(R176),ISNUMBER(R190)),IF(ABS(R190+R113-R176)&lt;=0.015,0,ROUND(R190+R113-R176,2)),"n/p")</f>
        <v/>
      </c>
      <c r="S192" s="186">
        <f>IF(AND(ISNUMBER(S176),ISNUMBER(S190)),IF(ABS(S190+S113-S176)&lt;=0.015,0,ROUND(S190+S113-S176,2)),"n/p")</f>
        <v/>
      </c>
      <c r="T192" s="186">
        <f>IF(AND(ISNUMBER(T176),ISNUMBER(T190)),IF(ABS(T190+T113-T176)&lt;=0.015,0,ROUND(T190+T113-T176,2)),"n/p")</f>
        <v/>
      </c>
      <c r="U192" s="186">
        <f>IF(AND(ISNUMBER(U176),ISNUMBER(U190)),IF(ABS(U190+U113-U176)&lt;=0.015,0,ROUND(U190+U113-U176,2)),"n/p")</f>
        <v/>
      </c>
      <c r="V192" s="186">
        <f>IF(AND(ISNUMBER(V176),ISNUMBER(V190)),IF(ABS(V190+V113-V176)&lt;=0.015,0,ROUND(V190+V113-V176,2)),"n/p")</f>
        <v/>
      </c>
      <c r="W192" s="186">
        <f>IF(AND(ISNUMBER(W176),ISNUMBER(W190)),IF(ABS(W190+W113-W176)&lt;=0.015,0,ROUND(W190+W113-W176,2)),"n/p")</f>
        <v/>
      </c>
      <c r="X192" s="186">
        <f>IF(AND(ISNUMBER(X176),ISNUMBER(X190)),IF(ABS(X190+X113-X176)&lt;=0.015,0,ROUND(X190+X113-X176,2)),"n/p")</f>
        <v/>
      </c>
      <c r="Y192" s="186">
        <f>IF(AND(ISNUMBER(Y176),ISNUMBER(Y190)),IF(ABS(Y190+Y113-Y176)&lt;=0.015,0,ROUND(Y190+Y113-Y176,2)),"n/p")</f>
        <v/>
      </c>
      <c r="Z192" s="186">
        <f>IF(AND(ISNUMBER(Z176),ISNUMBER(Z190)),IF(ABS(Z190+Z113-Z176)&lt;=0.015,0,ROUND(Z190+Z113-Z176,2)),"n/p")</f>
        <v/>
      </c>
      <c r="AA192" s="186">
        <f>IF(AND(ISNUMBER(AA176),ISNUMBER(AA190)),IF(ABS(AA190+AA113-AA176)&lt;=0.015,0,ROUND(AA190+AA113-AA176,2)),"n/p")</f>
        <v/>
      </c>
      <c r="AB192" s="186">
        <f>IF(AND(ISNUMBER(AB176),ISNUMBER(AB190)),IF(ABS(AB190+AB113-AB176)&lt;=0.015,0,ROUND(AB190+AB113-AB176,2)),"n/p")</f>
        <v/>
      </c>
      <c r="AC192" s="186">
        <f>IF(AND(ISNUMBER(AC176),ISNUMBER(AC190)),IF(ABS(AC190+AC113-AC176)&lt;=0.015,0,ROUND(AC190+AC113-AC176,2)),"n/p")</f>
        <v/>
      </c>
      <c r="AD192" s="186">
        <f>IF(AND(ISNUMBER(AD176),ISNUMBER(AD190)),IF(ABS(AD190+AD113-AD176)&lt;=0.015,0,ROUND(AD190+AD113-AD176,2)),"n/p")</f>
        <v/>
      </c>
      <c r="AE192" s="186">
        <f>IF(AND(ISNUMBER(AE176),ISNUMBER(AE190)),IF(ABS(AE190+AE113-AE176)&lt;=0.015,0,ROUND(AE190+AE113-AE176,2)),"n/p")</f>
        <v/>
      </c>
      <c r="AF192" s="186">
        <f>IF(AND(ISNUMBER(AF176),ISNUMBER(AF190)),IF(ABS(AF190+AF113-AF176)&lt;=0.015,0,ROUND(AF190+AF113-AF176,2)),"n/p")</f>
        <v/>
      </c>
      <c r="AG192" s="186">
        <f>IF(AND(ISNUMBER(AG176),ISNUMBER(AG190)),IF(ABS(AG190+AG113-AG176)&lt;=0.015,0,ROUND(AG190+AG113-AG176,2)),"n/p")</f>
        <v/>
      </c>
      <c r="AH192" s="186">
        <f>IF(AND(ISNUMBER(AH176),ISNUMBER(AH190)),IF(ABS(AH190+AH113-AH176)&lt;=0.015,0,ROUND(AH190+AH113-AH176,2)),"n/p")</f>
        <v/>
      </c>
      <c r="AI192" s="6" t="n"/>
      <c r="AJ192" s="6" t="n"/>
      <c r="AK192" s="6" t="n"/>
      <c r="AL192" s="6" t="n"/>
      <c r="AM192" s="6" t="n"/>
      <c r="AN192" s="6" t="n"/>
      <c r="AO192" s="6" t="n"/>
      <c r="AP192" s="6" t="n"/>
    </row>
    <row r="193" ht="15" customHeight="1">
      <c r="B193" s="23" t="inlineStr">
        <is>
          <t xml:space="preserve">  Adjusted EBITA y/y %</t>
        </is>
      </c>
      <c r="C193" s="24" t="n"/>
      <c r="D193" s="176">
        <f>IF(AND(ISNUMBER(D190),ISNUMBER(C190)),IFERROR(D190/C190-1,""),"")</f>
        <v/>
      </c>
      <c r="E193" s="176">
        <f>IF(AND(ISNUMBER(E190),ISNUMBER(D190)),IFERROR(E190/D190-1,""),"")</f>
        <v/>
      </c>
      <c r="F193" s="176">
        <f>IF(AND(ISNUMBER(F190),ISNUMBER(E190)),IFERROR(F190/E190-1,""),"")</f>
        <v/>
      </c>
      <c r="G193" s="176">
        <f>IF(AND(ISNUMBER(G190),ISNUMBER(F190)),IFERROR(G190/F190-1,""),"")</f>
        <v/>
      </c>
      <c r="H193" s="176">
        <f>IF(AND(ISNUMBER(H190),ISNUMBER(G190)),IFERROR(H190/G190-1,""),"")</f>
        <v/>
      </c>
      <c r="I193" s="176">
        <f>IF(AND(ISNUMBER(I190),ISNUMBER(H190)),IFERROR(I190/H190-1,""),"")</f>
        <v/>
      </c>
      <c r="J193" s="176">
        <f>IF(AND(ISNUMBER(J190),ISNUMBER(I190)),IFERROR(J190/I190-1,""),"")</f>
        <v/>
      </c>
      <c r="K193" s="176">
        <f>IF(AND(ISNUMBER(K190),ISNUMBER(J190)),IFERROR(K190/J190-1,""),"")</f>
        <v/>
      </c>
      <c r="L193" s="176">
        <f>IF(AND(ISNUMBER(L190),ISNUMBER(K190)),IFERROR(L190/K190-1,""),"")</f>
        <v/>
      </c>
      <c r="M193" s="24" t="n"/>
      <c r="N193" s="24" t="n"/>
      <c r="O193" s="24" t="n"/>
      <c r="P193" s="24" t="n"/>
      <c r="Q193" s="176">
        <f>IF(AND(ISNUMBER(Q190),ISNUMBER(L190)),IFERROR(Q190/L190-1,""),"")</f>
        <v/>
      </c>
      <c r="R193" s="176">
        <f>IF(AND(ISNUMBER(R190),ISNUMBER(M190)),IFERROR(R190/M190-1,""),"")</f>
        <v/>
      </c>
      <c r="S193" s="176">
        <f>IF(AND(ISNUMBER(S190),ISNUMBER(N190)),IFERROR(S190/N190-1,""),"")</f>
        <v/>
      </c>
      <c r="T193" s="176">
        <f>IF(AND(ISNUMBER(T190),ISNUMBER(O190)),IFERROR(T190/O190-1,""),"")</f>
        <v/>
      </c>
      <c r="U193" s="176">
        <f>IF(AND(ISNUMBER(U190),ISNUMBER(P190)),IFERROR(U190/P190-1,""),"")</f>
        <v/>
      </c>
      <c r="V193" s="176">
        <f>IF(AND(ISNUMBER(V190),ISNUMBER(Q190)),IFERROR(V190/Q190-1,""),"")</f>
        <v/>
      </c>
      <c r="W193" s="176">
        <f>IF(AND(ISNUMBER(W190),ISNUMBER(R190)),IFERROR(W190/R190-1,""),"")</f>
        <v/>
      </c>
      <c r="X193" s="176">
        <f>IF(AND(ISNUMBER(X190),ISNUMBER(S190)),IFERROR(X190/S190-1,""),"")</f>
        <v/>
      </c>
      <c r="Y193" s="176">
        <f>IF(AND(ISNUMBER(Y190),ISNUMBER(T190)),IFERROR(Y190/T190-1,""),"")</f>
        <v/>
      </c>
      <c r="Z193" s="176">
        <f>IF(AND(ISNUMBER(Z190),ISNUMBER(U190)),IFERROR(Z190/U190-1,""),"")</f>
        <v/>
      </c>
      <c r="AA193" s="176">
        <f>IF(AND(ISNUMBER(AA190),ISNUMBER(V190)),IFERROR(AA190/V190-1,""),"")</f>
        <v/>
      </c>
      <c r="AB193" s="176">
        <f>IF(AND(ISNUMBER(AB190),ISNUMBER(W190)),IFERROR(AB190/W190-1,""),"")</f>
        <v/>
      </c>
      <c r="AC193" s="176">
        <f>IF(AND(ISNUMBER(AC190),ISNUMBER(X190)),IFERROR(AC190/X190-1,""),"")</f>
        <v/>
      </c>
      <c r="AD193" s="176">
        <f>IF(AND(ISNUMBER(AD190),ISNUMBER(Y190)),IFERROR(AD190/Y190-1,""),"")</f>
        <v/>
      </c>
      <c r="AE193" s="176">
        <f>IF(AND(ISNUMBER(AE190),ISNUMBER(Z190)),IFERROR(AE190/Z190-1,""),"")</f>
        <v/>
      </c>
      <c r="AF193" s="176">
        <f>IF(AND(ISNUMBER(AF190),ISNUMBER(AA190)),IFERROR(AF190/AA190-1,""),"")</f>
        <v/>
      </c>
      <c r="AG193" s="176">
        <f>IF(AND(ISNUMBER(AG190),ISNUMBER(AB190)),IFERROR(AG190/AB190-1,""),"")</f>
        <v/>
      </c>
      <c r="AH193" s="176">
        <f>IF(AND(ISNUMBER(AH190),ISNUMBER(AC190)),IFERROR(AH190/AC190-1,""),"")</f>
        <v/>
      </c>
      <c r="AI193" s="177">
        <f>IF(AND(ISNUMBER(AI190),ISNUMBER(AD190)),IFERROR(AI190/AD190-1,""),"")</f>
        <v/>
      </c>
      <c r="AJ193" s="177">
        <f>IF(AND(ISNUMBER(AJ190),ISNUMBER(AE190)),IFERROR(AJ190/AE190-1,""),"")</f>
        <v/>
      </c>
      <c r="AK193" s="177">
        <f>IF(AND(ISNUMBER(AK190),ISNUMBER(AF190)),IFERROR(AK190/AF190-1,""),"")</f>
        <v/>
      </c>
      <c r="AL193" s="177">
        <f>IF(AND(ISNUMBER(AL190),ISNUMBER(AK190)),IFERROR(AL190/AK190-1,""),"")</f>
        <v/>
      </c>
      <c r="AM193" s="177">
        <f>IF(AND(ISNUMBER(AM190),ISNUMBER(AL190)),IFERROR(AM190/AL190-1,""),"")</f>
        <v/>
      </c>
      <c r="AN193" s="177">
        <f>IF(AND(ISNUMBER(AN190),ISNUMBER(AM190)),IFERROR(AN190/AM190-1,""),"")</f>
        <v/>
      </c>
      <c r="AO193" s="177">
        <f>IF(AND(ISNUMBER(AO190),ISNUMBER(AN190)),IFERROR(AO190/AN190-1,""),"")</f>
        <v/>
      </c>
      <c r="AP193" s="6" t="n"/>
    </row>
    <row r="194" ht="15" customHeight="1">
      <c r="B194" s="26" t="inlineStr">
        <is>
          <t xml:space="preserve">  Incremental Adjusted EBITA margin (Δ adjusted EBITA / Δ net sales)</t>
        </is>
      </c>
      <c r="C194" s="38" t="n"/>
      <c r="D194" s="183">
        <f>IFERROR((D190-C190)/(D127-C127),"")</f>
        <v/>
      </c>
      <c r="E194" s="183">
        <f>IFERROR((E190-D190)/(E127-D127),"")</f>
        <v/>
      </c>
      <c r="F194" s="183">
        <f>IFERROR((F190-E190)/(F127-E127),"")</f>
        <v/>
      </c>
      <c r="G194" s="183">
        <f>IFERROR((G190-F190)/(G127-F127),"")</f>
        <v/>
      </c>
      <c r="H194" s="183">
        <f>IFERROR((H190-G190)/(H127-G127),"")</f>
        <v/>
      </c>
      <c r="I194" s="183">
        <f>IFERROR((I190-H190)/(I127-H127),"")</f>
        <v/>
      </c>
      <c r="J194" s="183">
        <f>IFERROR((J190-I190)/(J127-I127),"")</f>
        <v/>
      </c>
      <c r="K194" s="183">
        <f>IFERROR((K190-J190)/(K127-J127),"")</f>
        <v/>
      </c>
      <c r="L194" s="183">
        <f>IFERROR((L190-K190)/(L127-K127),"")</f>
        <v/>
      </c>
      <c r="M194" s="38" t="n"/>
      <c r="N194" s="38" t="n"/>
      <c r="O194" s="38" t="n"/>
      <c r="P194" s="38" t="n"/>
      <c r="Q194" s="183">
        <f>IFERROR((Q190-L190)/(Q127-L127),"")</f>
        <v/>
      </c>
      <c r="R194" s="183">
        <f>IFERROR((R190-M190)/(R127-M127),"")</f>
        <v/>
      </c>
      <c r="S194" s="183">
        <f>IFERROR((S190-N190)/(S127-N127),"")</f>
        <v/>
      </c>
      <c r="T194" s="183">
        <f>IFERROR((T190-O190)/(T127-O127),"")</f>
        <v/>
      </c>
      <c r="U194" s="183">
        <f>IFERROR((U190-P190)/(U127-P127),"")</f>
        <v/>
      </c>
      <c r="V194" s="183">
        <f>IFERROR((V190-Q190)/(V127-Q127),"")</f>
        <v/>
      </c>
      <c r="W194" s="183">
        <f>IFERROR((W190-R190)/(W127-R127),"")</f>
        <v/>
      </c>
      <c r="X194" s="183">
        <f>IFERROR((X190-S190)/(X127-S127),"")</f>
        <v/>
      </c>
      <c r="Y194" s="183">
        <f>IFERROR((Y190-T190)/(Y127-T127),"")</f>
        <v/>
      </c>
      <c r="Z194" s="183">
        <f>IFERROR((Z190-U190)/(Z127-U127),"")</f>
        <v/>
      </c>
      <c r="AA194" s="183">
        <f>IFERROR((AA190-V190)/(AA127-V127),"")</f>
        <v/>
      </c>
      <c r="AB194" s="183">
        <f>IFERROR((AB190-W190)/(AB127-W127),"")</f>
        <v/>
      </c>
      <c r="AC194" s="183">
        <f>IFERROR((AC190-X190)/(AC127-X127),"")</f>
        <v/>
      </c>
      <c r="AD194" s="183">
        <f>IFERROR((AD190-Y190)/(AD127-Y127),"")</f>
        <v/>
      </c>
      <c r="AE194" s="183">
        <f>IFERROR((AE190-Z190)/(AE127-Z127),"")</f>
        <v/>
      </c>
      <c r="AF194" s="183">
        <f>IFERROR((AF190-AA190)/(AF127-AA127),"")</f>
        <v/>
      </c>
      <c r="AG194" s="183">
        <f>IFERROR((AG190-AB190)/(AG127-AB127),"")</f>
        <v/>
      </c>
      <c r="AH194" s="183">
        <f>IFERROR((AH190-AC190)/(AH127-AC127),"")</f>
        <v/>
      </c>
      <c r="AI194" s="177">
        <f>IFERROR((AI190-AD190)/(AI127-AD127),"")</f>
        <v/>
      </c>
      <c r="AJ194" s="177">
        <f>IFERROR((AJ190-AE190)/(AJ127-AE127),"")</f>
        <v/>
      </c>
      <c r="AK194" s="177">
        <f>IFERROR((AK190-AF190)/(AK127-AF127),"")</f>
        <v/>
      </c>
      <c r="AL194" s="177">
        <f>IFERROR((AL190-AK190)/(AL127-AK127),"")</f>
        <v/>
      </c>
      <c r="AM194" s="177">
        <f>IFERROR((AM190-AL190)/(AM127-AL127),"")</f>
        <v/>
      </c>
      <c r="AN194" s="177">
        <f>IFERROR((AN190-AM190)/(AN127-AM127),"")</f>
        <v/>
      </c>
      <c r="AO194" s="177">
        <f>IFERROR((AO190-AN190)/(AO127-AN127),"")</f>
        <v/>
      </c>
      <c r="AP194" s="6" t="n"/>
    </row>
    <row r="195" ht="15" customHeight="1">
      <c r="AX195" s="12" t="n"/>
      <c r="AY195" s="13" t="n"/>
      <c r="AZ195" s="13" t="n"/>
      <c r="BA195" s="13" t="n"/>
      <c r="BB195" s="14" t="n"/>
    </row>
    <row r="196" ht="15" customHeight="1">
      <c r="B196" s="11" t="inlineStr">
        <is>
          <t>RECONCILIATION: GAAP NET INCOME / DILUTED EPS → ADJUSTED NET INCOME → ADJUSTED EPS (current company definition)</t>
        </is>
      </c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inlineStr">
        <is>
          <t>ADJUSTED EPS — current definition (from the Q1-26 release): + refinancing costs + gross adjustments to EBITDA + amortization of acquired intangibles, tax-effected; applied to all periods</t>
        </is>
      </c>
    </row>
    <row r="197" ht="15" customHeight="1">
      <c r="B197" s="17" t="inlineStr">
        <is>
          <t>Net income (GAAP)</t>
        </is>
      </c>
      <c r="C197" s="181">
        <f>IF(ISNUMBER(C203),C141,"")</f>
        <v/>
      </c>
      <c r="D197" s="181">
        <f>IF(ISNUMBER(D203),D141,"")</f>
        <v/>
      </c>
      <c r="E197" s="181">
        <f>IF(ISNUMBER(E203),E141,"")</f>
        <v/>
      </c>
      <c r="F197" s="181">
        <f>IF(ISNUMBER(F203),F141,"")</f>
        <v/>
      </c>
      <c r="G197" s="181">
        <f>IF(ISNUMBER(G203),G141,"")</f>
        <v/>
      </c>
      <c r="H197" s="181">
        <f>IF(ISNUMBER(H203),H141,"")</f>
        <v/>
      </c>
      <c r="I197" s="181">
        <f>IF(ISNUMBER(I203),I141,"")</f>
        <v/>
      </c>
      <c r="J197" s="181">
        <f>IF(ISNUMBER(J203),J141,"")</f>
        <v/>
      </c>
      <c r="K197" s="181">
        <f>IF(ISNUMBER(K203),K141,"")</f>
        <v/>
      </c>
      <c r="L197" s="181">
        <f>IF(ISNUMBER(L203),L141,"")</f>
        <v/>
      </c>
      <c r="M197" s="181">
        <f>IF(ISNUMBER(M203),M141,"")</f>
        <v/>
      </c>
      <c r="N197" s="181">
        <f>IF(ISNUMBER(N203),N141,"")</f>
        <v/>
      </c>
      <c r="O197" s="181">
        <f>IF(ISNUMBER(O203),O141,"")</f>
        <v/>
      </c>
      <c r="P197" s="181">
        <f>IF(ISNUMBER(P203),P141,"")</f>
        <v/>
      </c>
      <c r="Q197" s="181">
        <f>IF(ISNUMBER(Q203),Q141,"")</f>
        <v/>
      </c>
      <c r="R197" s="181">
        <f>IF(ISNUMBER(R203),R141,"")</f>
        <v/>
      </c>
      <c r="S197" s="181">
        <f>IF(ISNUMBER(S203),S141,"")</f>
        <v/>
      </c>
      <c r="T197" s="181">
        <f>IF(ISNUMBER(T203),T141,"")</f>
        <v/>
      </c>
      <c r="U197" s="181">
        <f>IF(ISNUMBER(U203),U141,"")</f>
        <v/>
      </c>
      <c r="V197" s="181">
        <f>IF(ISNUMBER(V203),V141,"")</f>
        <v/>
      </c>
      <c r="W197" s="181">
        <f>IF(ISNUMBER(W203),W141,"")</f>
        <v/>
      </c>
      <c r="X197" s="181">
        <f>IF(ISNUMBER(X203),X141,"")</f>
        <v/>
      </c>
      <c r="Y197" s="181">
        <f>IF(ISNUMBER(Y203),Y141,"")</f>
        <v/>
      </c>
      <c r="Z197" s="181">
        <f>IF(ISNUMBER(Z203),Z141,"")</f>
        <v/>
      </c>
      <c r="AA197" s="181">
        <f>IF(ISNUMBER(AA203),AA141,"")</f>
        <v/>
      </c>
      <c r="AB197" s="181">
        <f>IF(ISNUMBER(AB203),AB141,"")</f>
        <v/>
      </c>
      <c r="AC197" s="181">
        <f>IF(ISNUMBER(AC203),AC141,"")</f>
        <v/>
      </c>
      <c r="AD197" s="181">
        <f>IF(ISNUMBER(AD203),AD141,"")</f>
        <v/>
      </c>
      <c r="AE197" s="181">
        <f>IF(ISNUMBER(AE203),AE141,"")</f>
        <v/>
      </c>
      <c r="AF197" s="181">
        <f>IF(ISNUMBER(AF203),AF141,"")</f>
        <v/>
      </c>
      <c r="AG197" s="181">
        <f>IF(ISNUMBER(AG203),AG141,"")</f>
        <v/>
      </c>
      <c r="AH197" s="181">
        <f>IF(ISNUMBER(AH203),AH141,"")</f>
        <v/>
      </c>
      <c r="AI197" s="182">
        <f>IF(ISNUMBER(AI203),AI141,"")</f>
        <v/>
      </c>
      <c r="AJ197" s="182">
        <f>IF(ISNUMBER(AJ203),AJ141,"")</f>
        <v/>
      </c>
      <c r="AK197" s="182">
        <f>IF(ISNUMBER(AK203),AK141,"")</f>
        <v/>
      </c>
      <c r="AL197" s="182">
        <f>IF(ISNUMBER(AL203),AL141,"")</f>
        <v/>
      </c>
      <c r="AM197" s="182">
        <f>IF(ISNUMBER(AM203),AM141,"")</f>
        <v/>
      </c>
      <c r="AN197" s="182">
        <f>IF(ISNUMBER(AN203),AN141,"")</f>
        <v/>
      </c>
      <c r="AO197" s="182">
        <f>IF(ISNUMBER(AO203),AO141,"")</f>
        <v/>
      </c>
      <c r="AP197" s="6" t="n"/>
    </row>
    <row r="198" ht="15" customHeight="1">
      <c r="B198" s="26" t="inlineStr">
        <is>
          <t xml:space="preserve">  (+) Refinancing costs (pre-tax)</t>
        </is>
      </c>
      <c r="C198" s="186">
        <f>IF(ISNUMBER(C203),N(C137),"")</f>
        <v/>
      </c>
      <c r="D198" s="186">
        <f>IF(ISNUMBER(D203),N(D137),"")</f>
        <v/>
      </c>
      <c r="E198" s="186">
        <f>IF(ISNUMBER(E203),N(E137),"")</f>
        <v/>
      </c>
      <c r="F198" s="186">
        <f>IF(ISNUMBER(F203),N(F137),"")</f>
        <v/>
      </c>
      <c r="G198" s="186">
        <f>IF(ISNUMBER(G203),N(G137),"")</f>
        <v/>
      </c>
      <c r="H198" s="186">
        <f>IF(ISNUMBER(H203),N(H137),"")</f>
        <v/>
      </c>
      <c r="I198" s="186">
        <f>IF(ISNUMBER(I203),N(I137),"")</f>
        <v/>
      </c>
      <c r="J198" s="186">
        <f>IF(ISNUMBER(J203),N(J137),"")</f>
        <v/>
      </c>
      <c r="K198" s="186">
        <f>IF(ISNUMBER(K203),N(K137),"")</f>
        <v/>
      </c>
      <c r="L198" s="186">
        <f>IF(ISNUMBER(L203),N(L137),"")</f>
        <v/>
      </c>
      <c r="M198" s="186">
        <f>IF(ISNUMBER(M203),N(M137),"")</f>
        <v/>
      </c>
      <c r="N198" s="186">
        <f>IF(ISNUMBER(N203),N(N137),"")</f>
        <v/>
      </c>
      <c r="O198" s="186">
        <f>IF(ISNUMBER(O203),N(O137),"")</f>
        <v/>
      </c>
      <c r="P198" s="186">
        <f>IF(ISNUMBER(P203),N(P137),"")</f>
        <v/>
      </c>
      <c r="Q198" s="186">
        <f>IF(ISNUMBER(Q203),N(Q137),"")</f>
        <v/>
      </c>
      <c r="R198" s="186">
        <f>IF(ISNUMBER(R203),N(R137),"")</f>
        <v/>
      </c>
      <c r="S198" s="186">
        <f>IF(ISNUMBER(S203),N(S137),"")</f>
        <v/>
      </c>
      <c r="T198" s="186">
        <f>IF(ISNUMBER(T203),N(T137),"")</f>
        <v/>
      </c>
      <c r="U198" s="186">
        <f>IF(ISNUMBER(U203),N(U137),"")</f>
        <v/>
      </c>
      <c r="V198" s="186">
        <f>IF(ISNUMBER(V203),N(V137),"")</f>
        <v/>
      </c>
      <c r="W198" s="186">
        <f>IF(ISNUMBER(W203),N(W137),"")</f>
        <v/>
      </c>
      <c r="X198" s="186">
        <f>IF(ISNUMBER(X203),N(X137),"")</f>
        <v/>
      </c>
      <c r="Y198" s="186">
        <f>IF(ISNUMBER(Y203),N(Y137),"")</f>
        <v/>
      </c>
      <c r="Z198" s="186">
        <f>IF(ISNUMBER(Z203),N(Z137),"")</f>
        <v/>
      </c>
      <c r="AA198" s="186">
        <f>IF(ISNUMBER(AA203),N(AA137),"")</f>
        <v/>
      </c>
      <c r="AB198" s="186">
        <f>IF(ISNUMBER(AB203),N(AB137),"")</f>
        <v/>
      </c>
      <c r="AC198" s="186">
        <f>IF(ISNUMBER(AC203),N(AC137),"")</f>
        <v/>
      </c>
      <c r="AD198" s="186">
        <f>IF(ISNUMBER(AD203),N(AD137),"")</f>
        <v/>
      </c>
      <c r="AE198" s="186">
        <f>IF(ISNUMBER(AE203),N(AE137),"")</f>
        <v/>
      </c>
      <c r="AF198" s="186">
        <f>IF(ISNUMBER(AF203),N(AF137),"")</f>
        <v/>
      </c>
      <c r="AG198" s="186">
        <f>IF(ISNUMBER(AG203),N(AG137),"")</f>
        <v/>
      </c>
      <c r="AH198" s="186">
        <f>IF(ISNUMBER(AH203),N(AH137),"")</f>
        <v/>
      </c>
      <c r="AI198" s="175">
        <f>IF(ISNUMBER(AI203),N(AI137),"")</f>
        <v/>
      </c>
      <c r="AJ198" s="175">
        <f>IF(ISNUMBER(AJ203),N(AJ137),"")</f>
        <v/>
      </c>
      <c r="AK198" s="175">
        <f>IF(ISNUMBER(AK203),N(AK137),"")</f>
        <v/>
      </c>
      <c r="AL198" s="175">
        <f>IF(ISNUMBER(AL203),N(AL137),"")</f>
        <v/>
      </c>
      <c r="AM198" s="175">
        <f>IF(ISNUMBER(AM203),N(AM137),"")</f>
        <v/>
      </c>
      <c r="AN198" s="175">
        <f>IF(ISNUMBER(AN203),N(AN137),"")</f>
        <v/>
      </c>
      <c r="AO198" s="175">
        <f>IF(ISNUMBER(AO203),N(AO137),"")</f>
        <v/>
      </c>
      <c r="AP198" s="20" t="n"/>
    </row>
    <row r="199" ht="15" customHeight="1">
      <c r="B199" s="26" t="inlineStr">
        <is>
          <t xml:space="preserve">  (+) Gross adjustments to EBITDA (pre-tax; as in the Adjusted EBITDA bridge)</t>
        </is>
      </c>
      <c r="C199" s="186">
        <f>IF(ISNUMBER(C203),C173,"")</f>
        <v/>
      </c>
      <c r="D199" s="186">
        <f>IF(ISNUMBER(D203),D173,"")</f>
        <v/>
      </c>
      <c r="E199" s="186">
        <f>IF(ISNUMBER(E203),E173,"")</f>
        <v/>
      </c>
      <c r="F199" s="186">
        <f>IF(ISNUMBER(F203),F173,"")</f>
        <v/>
      </c>
      <c r="G199" s="186">
        <f>IF(ISNUMBER(G203),G173,"")</f>
        <v/>
      </c>
      <c r="H199" s="186">
        <f>IF(ISNUMBER(H203),H173,"")</f>
        <v/>
      </c>
      <c r="I199" s="186">
        <f>IF(ISNUMBER(I203),I173,"")</f>
        <v/>
      </c>
      <c r="J199" s="186">
        <f>IF(ISNUMBER(J203),J173,"")</f>
        <v/>
      </c>
      <c r="K199" s="186">
        <f>IF(ISNUMBER(K203),K173,"")</f>
        <v/>
      </c>
      <c r="L199" s="186">
        <f>IF(ISNUMBER(L203),L173,"")</f>
        <v/>
      </c>
      <c r="M199" s="186">
        <f>IF(ISNUMBER(M203),M173,"")</f>
        <v/>
      </c>
      <c r="N199" s="186">
        <f>IF(ISNUMBER(N203),N173,"")</f>
        <v/>
      </c>
      <c r="O199" s="186">
        <f>IF(ISNUMBER(O203),O173,"")</f>
        <v/>
      </c>
      <c r="P199" s="186">
        <f>IF(ISNUMBER(P203),P173,"")</f>
        <v/>
      </c>
      <c r="Q199" s="186">
        <f>IF(ISNUMBER(Q203),Q173,"")</f>
        <v/>
      </c>
      <c r="R199" s="186">
        <f>IF(ISNUMBER(R203),R173,"")</f>
        <v/>
      </c>
      <c r="S199" s="186">
        <f>IF(ISNUMBER(S203),S173,"")</f>
        <v/>
      </c>
      <c r="T199" s="186">
        <f>IF(ISNUMBER(T203),T173,"")</f>
        <v/>
      </c>
      <c r="U199" s="186">
        <f>IF(ISNUMBER(U203),U173,"")</f>
        <v/>
      </c>
      <c r="V199" s="186">
        <f>IF(ISNUMBER(V203),V173,"")</f>
        <v/>
      </c>
      <c r="W199" s="186">
        <f>IF(ISNUMBER(W203),W173,"")</f>
        <v/>
      </c>
      <c r="X199" s="186">
        <f>IF(ISNUMBER(X203),X173,"")</f>
        <v/>
      </c>
      <c r="Y199" s="186">
        <f>IF(ISNUMBER(Y203),Y173,"")</f>
        <v/>
      </c>
      <c r="Z199" s="186">
        <f>IF(ISNUMBER(Z203),Z173,"")</f>
        <v/>
      </c>
      <c r="AA199" s="186">
        <f>IF(ISNUMBER(AA203),AA173,"")</f>
        <v/>
      </c>
      <c r="AB199" s="186">
        <f>IF(ISNUMBER(AB203),AB173,"")</f>
        <v/>
      </c>
      <c r="AC199" s="186">
        <f>IF(ISNUMBER(AC203),AC173,"")</f>
        <v/>
      </c>
      <c r="AD199" s="186">
        <f>IF(ISNUMBER(AD203),AD173,"")</f>
        <v/>
      </c>
      <c r="AE199" s="186">
        <f>IF(ISNUMBER(AE203),AE173,"")</f>
        <v/>
      </c>
      <c r="AF199" s="186">
        <f>IF(ISNUMBER(AF203),AF173,"")</f>
        <v/>
      </c>
      <c r="AG199" s="186">
        <f>IF(ISNUMBER(AG203),AG173,"")</f>
        <v/>
      </c>
      <c r="AH199" s="186">
        <f>IF(ISNUMBER(AH203),AH173,"")</f>
        <v/>
      </c>
      <c r="AI199" s="175">
        <f>IF(ISNUMBER(AI203),AI173,"")</f>
        <v/>
      </c>
      <c r="AJ199" s="175">
        <f>IF(ISNUMBER(AJ203),AJ173,"")</f>
        <v/>
      </c>
      <c r="AK199" s="175">
        <f>IF(ISNUMBER(AK203),AK173,"")</f>
        <v/>
      </c>
      <c r="AL199" s="175">
        <f>IF(ISNUMBER(AL203),AL173,"")</f>
        <v/>
      </c>
      <c r="AM199" s="175">
        <f>IF(ISNUMBER(AM203),AM173,"")</f>
        <v/>
      </c>
      <c r="AN199" s="175">
        <f>IF(ISNUMBER(AN203),AN173,"")</f>
        <v/>
      </c>
      <c r="AO199" s="175">
        <f>IF(ISNUMBER(AO203),AO173,"")</f>
        <v/>
      </c>
      <c r="AP199" s="20" t="n"/>
    </row>
    <row r="200" ht="15" customHeight="1">
      <c r="B200" s="26" t="inlineStr">
        <is>
          <t xml:space="preserve">  (+) Amortization of acquired intangible assets (pre-tax)</t>
        </is>
      </c>
      <c r="C200" s="186">
        <f>IF(ISNUMBER(C203),C115,"")</f>
        <v/>
      </c>
      <c r="D200" s="186">
        <f>IF(ISNUMBER(D203),D115,"")</f>
        <v/>
      </c>
      <c r="E200" s="186">
        <f>IF(ISNUMBER(E203),E115,"")</f>
        <v/>
      </c>
      <c r="F200" s="186">
        <f>IF(ISNUMBER(F203),F115,"")</f>
        <v/>
      </c>
      <c r="G200" s="186">
        <f>IF(ISNUMBER(G203),G115,"")</f>
        <v/>
      </c>
      <c r="H200" s="186">
        <f>IF(ISNUMBER(H203),H115,"")</f>
        <v/>
      </c>
      <c r="I200" s="186">
        <f>IF(ISNUMBER(I203),I115,"")</f>
        <v/>
      </c>
      <c r="J200" s="186">
        <f>IF(ISNUMBER(J203),J115,"")</f>
        <v/>
      </c>
      <c r="K200" s="186">
        <f>IF(ISNUMBER(K203),K115,"")</f>
        <v/>
      </c>
      <c r="L200" s="186">
        <f>IF(ISNUMBER(L203),L115,"")</f>
        <v/>
      </c>
      <c r="M200" s="186">
        <f>IF(ISNUMBER(M203),M115,"")</f>
        <v/>
      </c>
      <c r="N200" s="186">
        <f>IF(ISNUMBER(N203),N115,"")</f>
        <v/>
      </c>
      <c r="O200" s="186">
        <f>IF(ISNUMBER(O203),O115,"")</f>
        <v/>
      </c>
      <c r="P200" s="186">
        <f>IF(ISNUMBER(P203),P115,"")</f>
        <v/>
      </c>
      <c r="Q200" s="186">
        <f>IF(ISNUMBER(Q203),Q115,"")</f>
        <v/>
      </c>
      <c r="R200" s="186">
        <f>IF(ISNUMBER(R203),R115,"")</f>
        <v/>
      </c>
      <c r="S200" s="186">
        <f>IF(ISNUMBER(S203),S115,"")</f>
        <v/>
      </c>
      <c r="T200" s="186">
        <f>IF(ISNUMBER(T203),T115,"")</f>
        <v/>
      </c>
      <c r="U200" s="186">
        <f>IF(ISNUMBER(U203),U115,"")</f>
        <v/>
      </c>
      <c r="V200" s="186">
        <f>IF(ISNUMBER(V203),V115,"")</f>
        <v/>
      </c>
      <c r="W200" s="186">
        <f>IF(ISNUMBER(W203),W115,"")</f>
        <v/>
      </c>
      <c r="X200" s="186">
        <f>IF(ISNUMBER(X203),X115,"")</f>
        <v/>
      </c>
      <c r="Y200" s="186">
        <f>IF(ISNUMBER(Y203),Y115,"")</f>
        <v/>
      </c>
      <c r="Z200" s="186">
        <f>IF(ISNUMBER(Z203),Z115,"")</f>
        <v/>
      </c>
      <c r="AA200" s="186">
        <f>IF(ISNUMBER(AA203),AA115,"")</f>
        <v/>
      </c>
      <c r="AB200" s="186">
        <f>IF(ISNUMBER(AB203),AB115,"")</f>
        <v/>
      </c>
      <c r="AC200" s="186">
        <f>IF(ISNUMBER(AC203),AC115,"")</f>
        <v/>
      </c>
      <c r="AD200" s="186">
        <f>IF(ISNUMBER(AD203),AD115,"")</f>
        <v/>
      </c>
      <c r="AE200" s="186">
        <f>IF(ISNUMBER(AE203),AE115,"")</f>
        <v/>
      </c>
      <c r="AF200" s="186">
        <f>IF(ISNUMBER(AF203),AF115,"")</f>
        <v/>
      </c>
      <c r="AG200" s="186">
        <f>IF(ISNUMBER(AG203),AG115,"")</f>
        <v/>
      </c>
      <c r="AH200" s="186">
        <f>IF(ISNUMBER(AH203),AH115,"")</f>
        <v/>
      </c>
      <c r="AI200" s="175">
        <f>IF(ISNUMBER(AI203),AI115,"")</f>
        <v/>
      </c>
      <c r="AJ200" s="175">
        <f>IF(ISNUMBER(AJ203),AJ115,"")</f>
        <v/>
      </c>
      <c r="AK200" s="175">
        <f>IF(ISNUMBER(AK203),AK115,"")</f>
        <v/>
      </c>
      <c r="AL200" s="175">
        <f>IF(ISNUMBER(AL203),AL115,"")</f>
        <v/>
      </c>
      <c r="AM200" s="175">
        <f>IF(ISNUMBER(AM203),AM115,"")</f>
        <v/>
      </c>
      <c r="AN200" s="175">
        <f>IF(ISNUMBER(AN203),AN115,"")</f>
        <v/>
      </c>
      <c r="AO200" s="175">
        <f>IF(ISNUMBER(AO203),AO115,"")</f>
        <v/>
      </c>
      <c r="AP200" s="20" t="n"/>
    </row>
    <row r="201" ht="15" customHeight="1">
      <c r="B201" s="26" t="inlineStr">
        <is>
          <t xml:space="preserve">  (−) Tax adjustment</t>
        </is>
      </c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174" t="n">
        <v>-2.21936</v>
      </c>
      <c r="Y201" s="174" t="n">
        <v>-1.6718</v>
      </c>
      <c r="Z201" s="174" t="n">
        <v>-7.27448</v>
      </c>
      <c r="AA201" s="174" t="n">
        <v>-13.49424</v>
      </c>
      <c r="AB201" s="174" t="n">
        <v>-2.455</v>
      </c>
      <c r="AC201" s="174" t="n">
        <v>-3.468</v>
      </c>
      <c r="AD201" s="174" t="n">
        <v>-3.599326</v>
      </c>
      <c r="AE201" s="174" t="n">
        <v>-2.39101</v>
      </c>
      <c r="AF201" s="174" t="n">
        <v>-11.89213</v>
      </c>
      <c r="AG201" s="174" t="n">
        <v>-5.334</v>
      </c>
      <c r="AH201" s="174" t="n">
        <v>-4.713</v>
      </c>
      <c r="AI201" s="175">
        <f>-(AI198+AI199-AI118-AI120+AI200)*AI207</f>
        <v/>
      </c>
      <c r="AJ201" s="175">
        <f>-(AJ198+AJ199-AJ118-AJ120+AJ200)*AJ207</f>
        <v/>
      </c>
      <c r="AK201" s="175">
        <f>SUM(AG201,AH201,AI201,AJ201)</f>
        <v/>
      </c>
      <c r="AL201" s="175">
        <f>-(AL198+AL199-AL118-AL120+AL200)*AL207</f>
        <v/>
      </c>
      <c r="AM201" s="175">
        <f>-(AM198+AM199-AM118-AM120+AM200)*AM207</f>
        <v/>
      </c>
      <c r="AN201" s="175">
        <f>-(AN198+AN199-AN118-AN120+AN200)*AN207</f>
        <v/>
      </c>
      <c r="AO201" s="175">
        <f>-(AO198+AO199-AO118-AO120+AO200)*AO207</f>
        <v/>
      </c>
      <c r="AP201" s="20" t="inlineStr">
        <is>
          <t>Historical: published current-definition tax adjustment (Q1-25, Q2-25 restated; Q1-26, Q2-26); other periods = published prior-definition tax adjustment + amortization × tax rate on amortization (row below). Forecast: (adjustments excl. SBC and transaction costs, which the company treats as non-deductible in the applicable rate) × tax rate.</t>
        </is>
      </c>
    </row>
    <row r="202" ht="15" customHeight="1">
      <c r="B202" s="59" t="inlineStr">
        <is>
          <t xml:space="preserve">  = Adjusted net income (model bridge)</t>
        </is>
      </c>
      <c r="C202" s="196">
        <f>IF(ISNUMBER(C203),C197+C198+C199+C200+C201,"")</f>
        <v/>
      </c>
      <c r="D202" s="196">
        <f>IF(ISNUMBER(D203),D197+D198+D199+D200+D201,"")</f>
        <v/>
      </c>
      <c r="E202" s="196">
        <f>IF(ISNUMBER(E203),E197+E198+E199+E200+E201,"")</f>
        <v/>
      </c>
      <c r="F202" s="196">
        <f>IF(ISNUMBER(F203),F197+F198+F199+F200+F201,"")</f>
        <v/>
      </c>
      <c r="G202" s="196">
        <f>IF(ISNUMBER(G203),G197+G198+G199+G200+G201,"")</f>
        <v/>
      </c>
      <c r="H202" s="196">
        <f>IF(ISNUMBER(H203),H197+H198+H199+H200+H201,"")</f>
        <v/>
      </c>
      <c r="I202" s="196">
        <f>IF(ISNUMBER(I203),I197+I198+I199+I200+I201,"")</f>
        <v/>
      </c>
      <c r="J202" s="196">
        <f>IF(ISNUMBER(J203),J197+J198+J199+J200+J201,"")</f>
        <v/>
      </c>
      <c r="K202" s="196">
        <f>IF(ISNUMBER(K203),K197+K198+K199+K200+K201,"")</f>
        <v/>
      </c>
      <c r="L202" s="196">
        <f>IF(ISNUMBER(L203),L197+L198+L199+L200+L201,"")</f>
        <v/>
      </c>
      <c r="M202" s="196">
        <f>IF(ISNUMBER(M203),M197+M198+M199+M200+M201,"")</f>
        <v/>
      </c>
      <c r="N202" s="196">
        <f>IF(ISNUMBER(N203),N197+N198+N199+N200+N201,"")</f>
        <v/>
      </c>
      <c r="O202" s="196">
        <f>IF(ISNUMBER(O203),O197+O198+O199+O200+O201,"")</f>
        <v/>
      </c>
      <c r="P202" s="196">
        <f>IF(ISNUMBER(P203),P197+P198+P199+P200+P201,"")</f>
        <v/>
      </c>
      <c r="Q202" s="196">
        <f>IF(ISNUMBER(Q203),Q197+Q198+Q199+Q200+Q201,"")</f>
        <v/>
      </c>
      <c r="R202" s="196">
        <f>IF(ISNUMBER(R203),R197+R198+R199+R200+R201,"")</f>
        <v/>
      </c>
      <c r="S202" s="196">
        <f>IF(ISNUMBER(S203),S197+S198+S199+S200+S201,"")</f>
        <v/>
      </c>
      <c r="T202" s="196">
        <f>IF(ISNUMBER(T203),T197+T198+T199+T200+T201,"")</f>
        <v/>
      </c>
      <c r="U202" s="196">
        <f>IF(ISNUMBER(U203),U197+U198+U199+U200+U201,"")</f>
        <v/>
      </c>
      <c r="V202" s="196">
        <f>IF(ISNUMBER(V203),V197+V198+V199+V200+V201,"")</f>
        <v/>
      </c>
      <c r="W202" s="196">
        <f>IF(ISNUMBER(W203),W197+W198+W199+W200+W201,"")</f>
        <v/>
      </c>
      <c r="X202" s="196">
        <f>IF(ISNUMBER(X203),X197+X198+X199+X200+X201,"")</f>
        <v/>
      </c>
      <c r="Y202" s="196">
        <f>IF(ISNUMBER(Y203),Y197+Y198+Y199+Y200+Y201,"")</f>
        <v/>
      </c>
      <c r="Z202" s="196">
        <f>IF(ISNUMBER(Z203),Z197+Z198+Z199+Z200+Z201,"")</f>
        <v/>
      </c>
      <c r="AA202" s="196">
        <f>IF(ISNUMBER(AA203),AA197+AA198+AA199+AA200+AA201,"")</f>
        <v/>
      </c>
      <c r="AB202" s="196">
        <f>IF(ISNUMBER(AB203),AB197+AB198+AB199+AB200+AB201,"")</f>
        <v/>
      </c>
      <c r="AC202" s="196">
        <f>IF(ISNUMBER(AC203),AC197+AC198+AC199+AC200+AC201,"")</f>
        <v/>
      </c>
      <c r="AD202" s="196">
        <f>IF(ISNUMBER(AD203),AD197+AD198+AD199+AD200+AD201,"")</f>
        <v/>
      </c>
      <c r="AE202" s="196">
        <f>IF(ISNUMBER(AE203),AE197+AE198+AE199+AE200+AE201,"")</f>
        <v/>
      </c>
      <c r="AF202" s="196">
        <f>IF(ISNUMBER(AF203),AF197+AF198+AF199+AF200+AF201,"")</f>
        <v/>
      </c>
      <c r="AG202" s="196">
        <f>IF(ISNUMBER(AG203),AG197+AG198+AG199+AG200+AG201,"")</f>
        <v/>
      </c>
      <c r="AH202" s="196">
        <f>IF(ISNUMBER(AH203),AH197+AH198+AH199+AH200+AH201,"")</f>
        <v/>
      </c>
      <c r="AI202" s="196">
        <f>IF(ISNUMBER(AI203),AI197+AI198+AI199+AI200+AI201,"")</f>
        <v/>
      </c>
      <c r="AJ202" s="196">
        <f>IF(ISNUMBER(AJ203),AJ197+AJ198+AJ199+AJ200+AJ201,"")</f>
        <v/>
      </c>
      <c r="AK202" s="196">
        <f>IF(ISNUMBER(AK203),AK197+AK198+AK199+AK200+AK201,"")</f>
        <v/>
      </c>
      <c r="AL202" s="196">
        <f>IF(ISNUMBER(AL203),AL197+AL198+AL199+AL200+AL201,"")</f>
        <v/>
      </c>
      <c r="AM202" s="196">
        <f>IF(ISNUMBER(AM203),AM197+AM198+AM199+AM200+AM201,"")</f>
        <v/>
      </c>
      <c r="AN202" s="196">
        <f>IF(ISNUMBER(AN203),AN197+AN198+AN199+AN200+AN201,"")</f>
        <v/>
      </c>
      <c r="AO202" s="196">
        <f>IF(ISNUMBER(AO203),AO197+AO198+AO199+AO200+AO201,"")</f>
        <v/>
      </c>
      <c r="AP202" s="6" t="n"/>
      <c r="AR202" s="21">
        <f>IFERROR((AO202/AF202)^(1/5)-1,"n/m")</f>
        <v/>
      </c>
      <c r="AS202" s="21">
        <f>IFERROR((AF202/K202)^(1/5)-1,"n/m")</f>
        <v/>
      </c>
      <c r="AT202" s="21">
        <f>IFERROR((AF202/F202)^(1/10)-1,"n/m")</f>
        <v/>
      </c>
      <c r="AU202" s="21">
        <f>IFERROR((AF202/C202)^(1/13)-1,"n/m")</f>
        <v/>
      </c>
    </row>
    <row r="203" ht="15" customHeight="1">
      <c r="B203" s="26" t="inlineStr">
        <is>
          <t xml:space="preserve">  Weighted-average diluted shares (m)</t>
        </is>
      </c>
      <c r="C203" s="186">
        <f>IF(ISNUMBER(C148),C148,"")</f>
        <v/>
      </c>
      <c r="D203" s="186">
        <f>IF(ISNUMBER(D148),D148,"")</f>
        <v/>
      </c>
      <c r="E203" s="186">
        <f>IF(ISNUMBER(E148),E148,"")</f>
        <v/>
      </c>
      <c r="F203" s="186">
        <f>IF(ISNUMBER(F148),F148,"")</f>
        <v/>
      </c>
      <c r="G203" s="186">
        <f>IF(ISNUMBER(G148),G148,"")</f>
        <v/>
      </c>
      <c r="H203" s="186">
        <f>IF(ISNUMBER(H148),H148,"")</f>
        <v/>
      </c>
      <c r="I203" s="186">
        <f>IF(ISNUMBER(I148),I148,"")</f>
        <v/>
      </c>
      <c r="J203" s="186">
        <f>IF(ISNUMBER(J148),J148,"")</f>
        <v/>
      </c>
      <c r="K203" s="186">
        <f>IF(ISNUMBER(K148),K148,"")</f>
        <v/>
      </c>
      <c r="L203" s="186">
        <f>IF(ISNUMBER(L148),L148,"")</f>
        <v/>
      </c>
      <c r="M203" s="186">
        <f>IF(ISNUMBER(M148),M148,"")</f>
        <v/>
      </c>
      <c r="N203" s="186">
        <f>IF(ISNUMBER(N148),N148,"")</f>
        <v/>
      </c>
      <c r="O203" s="186">
        <f>IF(ISNUMBER(O148),O148,"")</f>
        <v/>
      </c>
      <c r="P203" s="186">
        <f>IF(ISNUMBER(P148),P148,"")</f>
        <v/>
      </c>
      <c r="Q203" s="186">
        <f>IF(ISNUMBER(Q148),Q148,"")</f>
        <v/>
      </c>
      <c r="R203" s="186">
        <f>IF(ISNUMBER(R148),R148,"")</f>
        <v/>
      </c>
      <c r="S203" s="186">
        <f>IF(ISNUMBER(S148),S148,"")</f>
        <v/>
      </c>
      <c r="T203" s="186">
        <f>IF(ISNUMBER(T148),T148,"")</f>
        <v/>
      </c>
      <c r="U203" s="186">
        <f>IF(ISNUMBER(U148),U148,"")</f>
        <v/>
      </c>
      <c r="V203" s="186">
        <f>IF(ISNUMBER(V148),V148,"")</f>
        <v/>
      </c>
      <c r="W203" s="186">
        <f>IF(ISNUMBER(W148),W148,"")</f>
        <v/>
      </c>
      <c r="X203" s="186">
        <f>IF(ISNUMBER(X148),X148,"")</f>
        <v/>
      </c>
      <c r="Y203" s="186">
        <f>IF(ISNUMBER(Y148),Y148,"")</f>
        <v/>
      </c>
      <c r="Z203" s="186">
        <f>IF(ISNUMBER(Z148),Z148,"")</f>
        <v/>
      </c>
      <c r="AA203" s="186">
        <f>IF(ISNUMBER(AA148),AA148,"")</f>
        <v/>
      </c>
      <c r="AB203" s="186">
        <f>IF(ISNUMBER(AB148),AB148,"")</f>
        <v/>
      </c>
      <c r="AC203" s="186">
        <f>IF(ISNUMBER(AC148),AC148,"")</f>
        <v/>
      </c>
      <c r="AD203" s="186">
        <f>IF(ISNUMBER(AD148),AD148,"")</f>
        <v/>
      </c>
      <c r="AE203" s="186">
        <f>IF(ISNUMBER(AE148),AE148,"")</f>
        <v/>
      </c>
      <c r="AF203" s="186">
        <f>IF(ISNUMBER(AF148),AF148,"")</f>
        <v/>
      </c>
      <c r="AG203" s="186">
        <f>IF(ISNUMBER(AG148),AG148,"")</f>
        <v/>
      </c>
      <c r="AH203" s="186">
        <f>IF(ISNUMBER(AH148),AH148,"")</f>
        <v/>
      </c>
      <c r="AI203" s="175">
        <f>IF(ISNUMBER(AI148),AI148,"")</f>
        <v/>
      </c>
      <c r="AJ203" s="175">
        <f>IF(ISNUMBER(AJ148),AJ148,"")</f>
        <v/>
      </c>
      <c r="AK203" s="175">
        <f>IF(ISNUMBER(AK148),AK148,"")</f>
        <v/>
      </c>
      <c r="AL203" s="175">
        <f>IF(ISNUMBER(AL148),AL148,"")</f>
        <v/>
      </c>
      <c r="AM203" s="175">
        <f>IF(ISNUMBER(AM148),AM148,"")</f>
        <v/>
      </c>
      <c r="AN203" s="175">
        <f>IF(ISNUMBER(AN148),AN148,"")</f>
        <v/>
      </c>
      <c r="AO203" s="175">
        <f>IF(ISNUMBER(AO148),AO148,"")</f>
        <v/>
      </c>
      <c r="AP203" s="20" t="n"/>
    </row>
    <row r="204" ht="15" customHeight="1">
      <c r="B204" s="59" t="inlineStr">
        <is>
          <t>Adjusted EPS – diluted ($) (model bridge, current definition)</t>
        </is>
      </c>
      <c r="C204" s="202">
        <f>IF(AND(ISNUMBER(C202),ISNUMBER(C203)),IFERROR(C202/C203,""),"")</f>
        <v/>
      </c>
      <c r="D204" s="202">
        <f>IF(AND(ISNUMBER(D202),ISNUMBER(D203)),IFERROR(D202/D203,""),"")</f>
        <v/>
      </c>
      <c r="E204" s="202">
        <f>IF(AND(ISNUMBER(E202),ISNUMBER(E203)),IFERROR(E202/E203,""),"")</f>
        <v/>
      </c>
      <c r="F204" s="202">
        <f>IF(AND(ISNUMBER(F202),ISNUMBER(F203)),IFERROR(F202/F203,""),"")</f>
        <v/>
      </c>
      <c r="G204" s="202">
        <f>IF(AND(ISNUMBER(G202),ISNUMBER(G203)),IFERROR(G202/G203,""),"")</f>
        <v/>
      </c>
      <c r="H204" s="202">
        <f>IF(AND(ISNUMBER(H202),ISNUMBER(H203)),IFERROR(H202/H203,""),"")</f>
        <v/>
      </c>
      <c r="I204" s="202">
        <f>IF(AND(ISNUMBER(I202),ISNUMBER(I203)),IFERROR(I202/I203,""),"")</f>
        <v/>
      </c>
      <c r="J204" s="202">
        <f>IF(AND(ISNUMBER(J202),ISNUMBER(J203)),IFERROR(J202/J203,""),"")</f>
        <v/>
      </c>
      <c r="K204" s="202">
        <f>IF(AND(ISNUMBER(K202),ISNUMBER(K203)),IFERROR(K202/K203,""),"")</f>
        <v/>
      </c>
      <c r="L204" s="202">
        <f>IF(AND(ISNUMBER(L202),ISNUMBER(L203)),IFERROR(L202/L203,""),"")</f>
        <v/>
      </c>
      <c r="M204" s="202">
        <f>IF(AND(ISNUMBER(M202),ISNUMBER(M203)),IFERROR(M202/M203,""),"")</f>
        <v/>
      </c>
      <c r="N204" s="202">
        <f>IF(AND(ISNUMBER(N202),ISNUMBER(N203)),IFERROR(N202/N203,""),"")</f>
        <v/>
      </c>
      <c r="O204" s="202">
        <f>IF(AND(ISNUMBER(O202),ISNUMBER(O203)),IFERROR(O202/O203,""),"")</f>
        <v/>
      </c>
      <c r="P204" s="202">
        <f>IF(AND(ISNUMBER(P202),ISNUMBER(P203)),IFERROR(P202/P203,""),"")</f>
        <v/>
      </c>
      <c r="Q204" s="202">
        <f>IF(AND(ISNUMBER(Q202),ISNUMBER(Q203)),IFERROR(Q202/Q203,""),"")</f>
        <v/>
      </c>
      <c r="R204" s="202">
        <f>IF(AND(ISNUMBER(R202),ISNUMBER(R203)),IFERROR(R202/R203,""),"")</f>
        <v/>
      </c>
      <c r="S204" s="202">
        <f>IF(AND(ISNUMBER(S202),ISNUMBER(S203)),IFERROR(S202/S203,""),"")</f>
        <v/>
      </c>
      <c r="T204" s="202">
        <f>IF(AND(ISNUMBER(T202),ISNUMBER(T203)),IFERROR(T202/T203,""),"")</f>
        <v/>
      </c>
      <c r="U204" s="202">
        <f>IF(AND(ISNUMBER(U202),ISNUMBER(U203)),IFERROR(U202/U203,""),"")</f>
        <v/>
      </c>
      <c r="V204" s="202">
        <f>IF(AND(ISNUMBER(V202),ISNUMBER(V203)),IFERROR(V202/V203,""),"")</f>
        <v/>
      </c>
      <c r="W204" s="202">
        <f>IF(AND(ISNUMBER(W202),ISNUMBER(W203)),IFERROR(W202/W203,""),"")</f>
        <v/>
      </c>
      <c r="X204" s="202">
        <f>IF(AND(ISNUMBER(X202),ISNUMBER(X203)),IFERROR(X202/X203,""),"")</f>
        <v/>
      </c>
      <c r="Y204" s="202">
        <f>IF(AND(ISNUMBER(Y202),ISNUMBER(Y203)),IFERROR(Y202/Y203,""),"")</f>
        <v/>
      </c>
      <c r="Z204" s="202">
        <f>IF(AND(ISNUMBER(Z202),ISNUMBER(Z203)),IFERROR(Z202/Z203,""),"")</f>
        <v/>
      </c>
      <c r="AA204" s="202">
        <f>IF(AND(ISNUMBER(AA202),ISNUMBER(AA203)),IFERROR(AA202/AA203,""),"")</f>
        <v/>
      </c>
      <c r="AB204" s="202">
        <f>IF(AND(ISNUMBER(AB202),ISNUMBER(AB203)),IFERROR(AB202/AB203,""),"")</f>
        <v/>
      </c>
      <c r="AC204" s="202">
        <f>IF(AND(ISNUMBER(AC202),ISNUMBER(AC203)),IFERROR(AC202/AC203,""),"")</f>
        <v/>
      </c>
      <c r="AD204" s="202">
        <f>IF(AND(ISNUMBER(AD202),ISNUMBER(AD203)),IFERROR(AD202/AD203,""),"")</f>
        <v/>
      </c>
      <c r="AE204" s="202">
        <f>IF(AND(ISNUMBER(AE202),ISNUMBER(AE203)),IFERROR(AE202/AE203,""),"")</f>
        <v/>
      </c>
      <c r="AF204" s="202">
        <f>IF(AND(ISNUMBER(AF202),ISNUMBER(AF203)),IFERROR(AF202/AF203,""),"")</f>
        <v/>
      </c>
      <c r="AG204" s="202">
        <f>IF(AND(ISNUMBER(AG202),ISNUMBER(AG203)),IFERROR(AG202/AG203,""),"")</f>
        <v/>
      </c>
      <c r="AH204" s="202">
        <f>IF(AND(ISNUMBER(AH202),ISNUMBER(AH203)),IFERROR(AH202/AH203,""),"")</f>
        <v/>
      </c>
      <c r="AI204" s="202">
        <f>IF(AND(ISNUMBER(AI202),ISNUMBER(AI203)),IFERROR(AI202/AI203,""),"")</f>
        <v/>
      </c>
      <c r="AJ204" s="202">
        <f>IF(AND(ISNUMBER(AJ202),ISNUMBER(AJ203)),IFERROR(AJ202/AJ203,""),"")</f>
        <v/>
      </c>
      <c r="AK204" s="202">
        <f>IF(AND(ISNUMBER(AK202),ISNUMBER(AK203)),IFERROR(AK202/AK203,""),"")</f>
        <v/>
      </c>
      <c r="AL204" s="202">
        <f>IF(AND(ISNUMBER(AL202),ISNUMBER(AL203)),IFERROR(AL202/AL203,""),"")</f>
        <v/>
      </c>
      <c r="AM204" s="202">
        <f>IF(AND(ISNUMBER(AM202),ISNUMBER(AM203)),IFERROR(AM202/AM203,""),"")</f>
        <v/>
      </c>
      <c r="AN204" s="202">
        <f>IF(AND(ISNUMBER(AN202),ISNUMBER(AN203)),IFERROR(AN202/AN203,""),"")</f>
        <v/>
      </c>
      <c r="AO204" s="202">
        <f>IF(AND(ISNUMBER(AO202),ISNUMBER(AO203)),IFERROR(AO202/AO203,""),"")</f>
        <v/>
      </c>
      <c r="AP204" s="20" t="n"/>
      <c r="AR204" s="21">
        <f>IFERROR((AO204/AF204)^(1/5)-1,"n/m")</f>
        <v/>
      </c>
      <c r="AS204" s="21">
        <f>IFERROR((AF204/K204)^(1/5)-1,"n/m")</f>
        <v/>
      </c>
      <c r="AT204" s="21">
        <f>IFERROR((AF204/F204)^(1/10)-1,"n/m")</f>
        <v/>
      </c>
      <c r="AU204" s="21">
        <f>IFERROR((AF204/C204)^(1/13)-1,"n/m")</f>
        <v/>
      </c>
    </row>
    <row r="205" ht="15" customHeight="1">
      <c r="B205" s="42" t="inlineStr">
        <is>
          <t xml:space="preserve">  Company-published Adjusted EPS – current definition ($)</t>
        </is>
      </c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03" t="n">
        <v>0.28</v>
      </c>
      <c r="AC205" s="203" t="n">
        <v>0.31</v>
      </c>
      <c r="AD205" s="28" t="n"/>
      <c r="AE205" s="28" t="n"/>
      <c r="AF205" s="28" t="n"/>
      <c r="AG205" s="203" t="n">
        <v>0.34</v>
      </c>
      <c r="AH205" s="203" t="n">
        <v>0.38</v>
      </c>
      <c r="AI205" s="6" t="n"/>
      <c r="AJ205" s="6" t="n"/>
      <c r="AK205" s="6" t="n"/>
      <c r="AL205" s="6" t="n"/>
      <c r="AM205" s="6" t="n"/>
      <c r="AN205" s="6" t="n"/>
      <c r="AO205" s="6" t="n"/>
      <c r="AP205" s="6" t="n"/>
    </row>
    <row r="206" ht="15" customHeight="1">
      <c r="B206" s="61" t="inlineStr">
        <is>
          <t xml:space="preserve">  Check: model vs company-published, current definition (should be 0.00; ±0.01 rounding)</t>
        </is>
      </c>
      <c r="C206" s="200">
        <f>IF(ISNUMBER(C205),IF(ABS(C204-C205)&lt;=0.0101,0,ROUND(C204-C205,2)),"n/p")</f>
        <v/>
      </c>
      <c r="D206" s="200">
        <f>IF(ISNUMBER(D205),IF(ABS(D204-D205)&lt;=0.0101,0,ROUND(D204-D205,2)),"n/p")</f>
        <v/>
      </c>
      <c r="E206" s="200">
        <f>IF(ISNUMBER(E205),IF(ABS(E204-E205)&lt;=0.0101,0,ROUND(E204-E205,2)),"n/p")</f>
        <v/>
      </c>
      <c r="F206" s="200">
        <f>IF(ISNUMBER(F205),IF(ABS(F204-F205)&lt;=0.0101,0,ROUND(F204-F205,2)),"n/p")</f>
        <v/>
      </c>
      <c r="G206" s="200">
        <f>IF(ISNUMBER(G205),IF(ABS(G204-G205)&lt;=0.0101,0,ROUND(G204-G205,2)),"n/p")</f>
        <v/>
      </c>
      <c r="H206" s="200">
        <f>IF(ISNUMBER(H205),IF(ABS(H204-H205)&lt;=0.0101,0,ROUND(H204-H205,2)),"n/p")</f>
        <v/>
      </c>
      <c r="I206" s="200">
        <f>IF(ISNUMBER(I205),IF(ABS(I204-I205)&lt;=0.0101,0,ROUND(I204-I205,2)),"n/p")</f>
        <v/>
      </c>
      <c r="J206" s="200">
        <f>IF(ISNUMBER(J205),IF(ABS(J204-J205)&lt;=0.0101,0,ROUND(J204-J205,2)),"n/p")</f>
        <v/>
      </c>
      <c r="K206" s="200">
        <f>IF(ISNUMBER(K205),IF(ABS(K204-K205)&lt;=0.0101,0,ROUND(K204-K205,2)),"n/p")</f>
        <v/>
      </c>
      <c r="L206" s="200">
        <f>IF(ISNUMBER(L205),IF(ABS(L204-L205)&lt;=0.0101,0,ROUND(L204-L205,2)),"n/p")</f>
        <v/>
      </c>
      <c r="M206" s="200">
        <f>IF(ISNUMBER(M205),IF(ABS(M204-M205)&lt;=0.0101,0,ROUND(M204-M205,2)),"n/p")</f>
        <v/>
      </c>
      <c r="N206" s="200">
        <f>IF(ISNUMBER(N205),IF(ABS(N204-N205)&lt;=0.0101,0,ROUND(N204-N205,2)),"n/p")</f>
        <v/>
      </c>
      <c r="O206" s="200">
        <f>IF(ISNUMBER(O205),IF(ABS(O204-O205)&lt;=0.0101,0,ROUND(O204-O205,2)),"n/p")</f>
        <v/>
      </c>
      <c r="P206" s="200">
        <f>IF(ISNUMBER(P205),IF(ABS(P204-P205)&lt;=0.0101,0,ROUND(P204-P205,2)),"n/p")</f>
        <v/>
      </c>
      <c r="Q206" s="200">
        <f>IF(ISNUMBER(Q205),IF(ABS(Q204-Q205)&lt;=0.0101,0,ROUND(Q204-Q205,2)),"n/p")</f>
        <v/>
      </c>
      <c r="R206" s="200">
        <f>IF(ISNUMBER(R205),IF(ABS(R204-R205)&lt;=0.0101,0,ROUND(R204-R205,2)),"n/p")</f>
        <v/>
      </c>
      <c r="S206" s="200">
        <f>IF(ISNUMBER(S205),IF(ABS(S204-S205)&lt;=0.0101,0,ROUND(S204-S205,2)),"n/p")</f>
        <v/>
      </c>
      <c r="T206" s="200">
        <f>IF(ISNUMBER(T205),IF(ABS(T204-T205)&lt;=0.0101,0,ROUND(T204-T205,2)),"n/p")</f>
        <v/>
      </c>
      <c r="U206" s="200">
        <f>IF(ISNUMBER(U205),IF(ABS(U204-U205)&lt;=0.0101,0,ROUND(U204-U205,2)),"n/p")</f>
        <v/>
      </c>
      <c r="V206" s="200">
        <f>IF(ISNUMBER(V205),IF(ABS(V204-V205)&lt;=0.0101,0,ROUND(V204-V205,2)),"n/p")</f>
        <v/>
      </c>
      <c r="W206" s="200">
        <f>IF(ISNUMBER(W205),IF(ABS(W204-W205)&lt;=0.0101,0,ROUND(W204-W205,2)),"n/p")</f>
        <v/>
      </c>
      <c r="X206" s="200">
        <f>IF(ISNUMBER(X205),IF(ABS(X204-X205)&lt;=0.0101,0,ROUND(X204-X205,2)),"n/p")</f>
        <v/>
      </c>
      <c r="Y206" s="200">
        <f>IF(ISNUMBER(Y205),IF(ABS(Y204-Y205)&lt;=0.0101,0,ROUND(Y204-Y205,2)),"n/p")</f>
        <v/>
      </c>
      <c r="Z206" s="200">
        <f>IF(ISNUMBER(Z205),IF(ABS(Z204-Z205)&lt;=0.0101,0,ROUND(Z204-Z205,2)),"n/p")</f>
        <v/>
      </c>
      <c r="AA206" s="200">
        <f>IF(ISNUMBER(AA205),IF(ABS(AA204-AA205)&lt;=0.0101,0,ROUND(AA204-AA205,2)),"n/p")</f>
        <v/>
      </c>
      <c r="AB206" s="200">
        <f>IF(ISNUMBER(AB205),IF(ABS(AB204-AB205)&lt;=0.0101,0,ROUND(AB204-AB205,2)),"n/p")</f>
        <v/>
      </c>
      <c r="AC206" s="200">
        <f>IF(ISNUMBER(AC205),IF(ABS(AC204-AC205)&lt;=0.0101,0,ROUND(AC204-AC205,2)),"n/p")</f>
        <v/>
      </c>
      <c r="AD206" s="200">
        <f>IF(ISNUMBER(AD205),IF(ABS(AD204-AD205)&lt;=0.0101,0,ROUND(AD204-AD205,2)),"n/p")</f>
        <v/>
      </c>
      <c r="AE206" s="200">
        <f>IF(ISNUMBER(AE205),IF(ABS(AE204-AE205)&lt;=0.0101,0,ROUND(AE204-AE205,2)),"n/p")</f>
        <v/>
      </c>
      <c r="AF206" s="200">
        <f>IF(ISNUMBER(AF205),IF(ABS(AF204-AF205)&lt;=0.0101,0,ROUND(AF204-AF205,2)),"n/p")</f>
        <v/>
      </c>
      <c r="AG206" s="200">
        <f>IF(ISNUMBER(AG205),IF(ABS(AG204-AG205)&lt;=0.0101,0,ROUND(AG204-AG205,2)),"n/p")</f>
        <v/>
      </c>
      <c r="AH206" s="200">
        <f>IF(ISNUMBER(AH205),IF(ABS(AH204-AH205)&lt;=0.0101,0,ROUND(AH204-AH205,2)),"n/p")</f>
        <v/>
      </c>
      <c r="AI206" s="6" t="n"/>
      <c r="AJ206" s="6" t="n"/>
      <c r="AK206" s="6" t="n"/>
      <c r="AL206" s="6" t="n"/>
      <c r="AM206" s="6" t="n"/>
      <c r="AN206" s="6" t="n"/>
      <c r="AO206" s="6" t="n"/>
      <c r="AP206" s="6" t="n"/>
    </row>
    <row r="207" ht="15" customHeight="1">
      <c r="B207" s="26" t="inlineStr">
        <is>
          <t xml:space="preserve">  Tax rate applied to adjustments (forecast) / on the amortization add-back (historical)</t>
        </is>
      </c>
      <c r="C207" s="183">
        <f>IF(ISNUMBER(C208),C208,IF(ISNUMBER(C209),C209,""))</f>
        <v/>
      </c>
      <c r="D207" s="183">
        <f>IF(ISNUMBER(D208),D208,IF(ISNUMBER(D209),D209,""))</f>
        <v/>
      </c>
      <c r="E207" s="183">
        <f>IF(ISNUMBER(E208),E208,IF(ISNUMBER(E209),E209,""))</f>
        <v/>
      </c>
      <c r="F207" s="183">
        <f>IF(ISNUMBER(F208),F208,IF(ISNUMBER(F209),F209,""))</f>
        <v/>
      </c>
      <c r="G207" s="183">
        <f>IF(ISNUMBER(G208),G208,IF(ISNUMBER(G209),G209,""))</f>
        <v/>
      </c>
      <c r="H207" s="183">
        <f>IF(ISNUMBER(H208),H208,IF(ISNUMBER(H209),H209,""))</f>
        <v/>
      </c>
      <c r="I207" s="183">
        <f>IF(ISNUMBER(I208),I208,IF(ISNUMBER(I209),I209,""))</f>
        <v/>
      </c>
      <c r="J207" s="183">
        <f>IF(ISNUMBER(J208),J208,IF(ISNUMBER(J209),J209,""))</f>
        <v/>
      </c>
      <c r="K207" s="183">
        <f>IF(ISNUMBER(K208),K208,IF(ISNUMBER(K209),K209,""))</f>
        <v/>
      </c>
      <c r="L207" s="183">
        <f>IF(ISNUMBER(L208),L208,IF(ISNUMBER(L209),L209,""))</f>
        <v/>
      </c>
      <c r="M207" s="183">
        <f>IF(ISNUMBER(M208),M208,IF(ISNUMBER(M209),M209,""))</f>
        <v/>
      </c>
      <c r="N207" s="183">
        <f>IF(ISNUMBER(N208),N208,IF(ISNUMBER(N209),N209,""))</f>
        <v/>
      </c>
      <c r="O207" s="183">
        <f>IF(ISNUMBER(O208),O208,IF(ISNUMBER(O209),O209,""))</f>
        <v/>
      </c>
      <c r="P207" s="183">
        <f>IF(ISNUMBER(P208),P208,IF(ISNUMBER(P209),P209,""))</f>
        <v/>
      </c>
      <c r="Q207" s="183">
        <f>IF(ISNUMBER(Q208),Q208,IF(ISNUMBER(Q209),Q209,""))</f>
        <v/>
      </c>
      <c r="R207" s="183">
        <f>IF(ISNUMBER(R208),R208,IF(ISNUMBER(R209),R209,""))</f>
        <v/>
      </c>
      <c r="S207" s="183">
        <f>IF(ISNUMBER(S208),S208,IF(ISNUMBER(S209),S209,""))</f>
        <v/>
      </c>
      <c r="T207" s="183">
        <f>IF(ISNUMBER(T208),T208,IF(ISNUMBER(T209),T209,""))</f>
        <v/>
      </c>
      <c r="U207" s="183">
        <f>IF(ISNUMBER(U208),U208,IF(ISNUMBER(U209),U209,""))</f>
        <v/>
      </c>
      <c r="V207" s="183">
        <f>IF(ISNUMBER(V208),V208,IF(ISNUMBER(V209),V209,""))</f>
        <v/>
      </c>
      <c r="W207" s="183">
        <f>IF(ISNUMBER(W208),W208,IF(ISNUMBER(W209),W209,""))</f>
        <v/>
      </c>
      <c r="X207" s="183">
        <f>IF(ISNUMBER(X208),X208,IF(ISNUMBER(X209),X209,""))</f>
        <v/>
      </c>
      <c r="Y207" s="183">
        <f>IF(ISNUMBER(Y208),Y208,IF(ISNUMBER(Y209),Y209,""))</f>
        <v/>
      </c>
      <c r="Z207" s="183">
        <f>IF(ISNUMBER(Z208),Z208,IF(ISNUMBER(Z209),Z209,""))</f>
        <v/>
      </c>
      <c r="AA207" s="183">
        <f>IF(ISNUMBER(AA208),AA208,IF(ISNUMBER(AA209),AA209,""))</f>
        <v/>
      </c>
      <c r="AB207" s="183">
        <f>IF(ISNUMBER(AB208),AB208,IF(ISNUMBER(AB209),AB209,""))</f>
        <v/>
      </c>
      <c r="AC207" s="183">
        <f>IF(ISNUMBER(AC208),AC208,IF(ISNUMBER(AC209),AC209,""))</f>
        <v/>
      </c>
      <c r="AD207" s="183">
        <f>IF(ISNUMBER(AD208),AD208,IF(ISNUMBER(AD209),AD209,""))</f>
        <v/>
      </c>
      <c r="AE207" s="183">
        <f>IF(ISNUMBER(AE208),AE208,IF(ISNUMBER(AE209),AE209,""))</f>
        <v/>
      </c>
      <c r="AF207" s="183">
        <f>IF(ISNUMBER(AF208),AF208,IF(ISNUMBER(AF209),AF209,""))</f>
        <v/>
      </c>
      <c r="AG207" s="183">
        <f>IF(ISNUMBER(AG208),AG208,IF(ISNUMBER(AG209),AG209,""))</f>
        <v/>
      </c>
      <c r="AH207" s="183">
        <f>IF(ISNUMBER(AH208),AH208,IF(ISNUMBER(AH209),AH209,""))</f>
        <v/>
      </c>
      <c r="AI207" s="177">
        <f>$AZ$22</f>
        <v/>
      </c>
      <c r="AJ207" s="177">
        <f>$AZ$22</f>
        <v/>
      </c>
      <c r="AK207" s="25" t="n"/>
      <c r="AL207" s="177">
        <f>AL140</f>
        <v/>
      </c>
      <c r="AM207" s="177">
        <f>AM140</f>
        <v/>
      </c>
      <c r="AN207" s="177">
        <f>AN140</f>
        <v/>
      </c>
      <c r="AO207" s="177">
        <f>AO140</f>
        <v/>
      </c>
      <c r="AP207" s="6" t="inlineStr">
        <is>
          <t>Historical: implied by the restated tables (Q1-25 20.2%, Q2-25 20.2%) or input (2024 24%, 2H-25 20.2%). Forecast: GAAP effective tax rate.</t>
        </is>
      </c>
    </row>
    <row r="208" ht="15" customHeight="1">
      <c r="B208" s="42" t="inlineStr">
        <is>
          <t xml:space="preserve">    Implied tax rate on amortization (current − prior definition tax adjustment ÷ amortization)</t>
        </is>
      </c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188" t="n">
        <v>0.202092</v>
      </c>
      <c r="AC208" s="188" t="n">
        <v>0.201826</v>
      </c>
      <c r="AD208" s="36" t="n"/>
      <c r="AE208" s="36" t="n"/>
      <c r="AF208" s="36" t="n"/>
      <c r="AG208" s="36" t="n"/>
      <c r="AH208" s="36" t="n"/>
      <c r="AI208" s="6" t="n"/>
      <c r="AJ208" s="6" t="n"/>
      <c r="AK208" s="6" t="n"/>
      <c r="AL208" s="6" t="n"/>
      <c r="AM208" s="6" t="n"/>
      <c r="AN208" s="6" t="n"/>
      <c r="AO208" s="6" t="n"/>
      <c r="AP208" s="6" t="n"/>
    </row>
    <row r="209" ht="15" customHeight="1">
      <c r="B209" s="42" t="inlineStr">
        <is>
          <t xml:space="preserve">    Input: tax rate on amortization (prior-definition periods)</t>
        </is>
      </c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188" t="n">
        <v>0.24</v>
      </c>
      <c r="Y209" s="188" t="n">
        <v>0.24</v>
      </c>
      <c r="Z209" s="188" t="n">
        <v>0.24</v>
      </c>
      <c r="AA209" s="188" t="n">
        <v>0.24</v>
      </c>
      <c r="AB209" s="36" t="n"/>
      <c r="AC209" s="36" t="n"/>
      <c r="AD209" s="188" t="n">
        <v>0.202</v>
      </c>
      <c r="AE209" s="188" t="n">
        <v>0.202</v>
      </c>
      <c r="AF209" s="188" t="n">
        <v>0.202</v>
      </c>
      <c r="AG209" s="36" t="n"/>
      <c r="AH209" s="36" t="n"/>
      <c r="AI209" s="6" t="n"/>
      <c r="AJ209" s="6" t="n"/>
      <c r="AK209" s="6" t="n"/>
      <c r="AL209" s="6" t="n"/>
      <c r="AM209" s="6" t="n"/>
      <c r="AN209" s="6" t="n"/>
      <c r="AO209" s="6" t="n"/>
      <c r="AP209" s="6" t="n"/>
    </row>
    <row r="210" ht="15" customHeight="1">
      <c r="B210" s="67" t="inlineStr">
        <is>
          <t xml:space="preserve">  Definition basis (company Adjusted EPS definition in force when published)</t>
        </is>
      </c>
      <c r="C210" s="205" t="inlineStr">
        <is>
          <t>No Adjusted EPS before the IPO (Loar Holdings, LLC common units)</t>
        </is>
      </c>
      <c r="X210" s="205" t="inlineStr">
        <is>
          <t>Q2-24 – Q4-25 as published: prior definition (refinancing + EBITDA adjustments, tax-effected; amortization not added back)</t>
        </is>
      </c>
      <c r="AB210" s="205" t="inlineStr">
        <is>
          <t>Q1-25 / Q2-25 restated on the current definition in the Q1-26 / Q2-26 releases (checks = 0)</t>
        </is>
      </c>
      <c r="AG210" s="205" t="inlineStr">
        <is>
          <t>Q1-26+: current definition — + amortization of acquired intangible assets (tax-effected); FY26 guidance on this basis</t>
        </is>
      </c>
      <c r="AI210" s="6" t="n"/>
      <c r="AJ210" s="6" t="n"/>
      <c r="AK210" s="6" t="n"/>
      <c r="AL210" s="6" t="n"/>
      <c r="AM210" s="6" t="n"/>
      <c r="AN210" s="6" t="n"/>
      <c r="AO210" s="6" t="n"/>
      <c r="AP210" s="20" t="n"/>
    </row>
    <row r="211" ht="15" customHeight="1">
      <c r="B211" s="23" t="inlineStr">
        <is>
          <t xml:space="preserve">  Adjusted EPS y/y %</t>
        </is>
      </c>
      <c r="C211" s="24" t="n"/>
      <c r="D211" s="176">
        <f>IF(AND(ISNUMBER(D204),ISNUMBER(C204)),IFERROR(D204/C204-1,""),"")</f>
        <v/>
      </c>
      <c r="E211" s="176">
        <f>IF(AND(ISNUMBER(E204),ISNUMBER(D204)),IFERROR(E204/D204-1,""),"")</f>
        <v/>
      </c>
      <c r="F211" s="176">
        <f>IF(AND(ISNUMBER(F204),ISNUMBER(E204)),IFERROR(F204/E204-1,""),"")</f>
        <v/>
      </c>
      <c r="G211" s="176">
        <f>IF(AND(ISNUMBER(G204),ISNUMBER(F204)),IFERROR(G204/F204-1,""),"")</f>
        <v/>
      </c>
      <c r="H211" s="176">
        <f>IF(AND(ISNUMBER(H204),ISNUMBER(G204)),IFERROR(H204/G204-1,""),"")</f>
        <v/>
      </c>
      <c r="I211" s="176">
        <f>IF(AND(ISNUMBER(I204),ISNUMBER(H204)),IFERROR(I204/H204-1,""),"")</f>
        <v/>
      </c>
      <c r="J211" s="176">
        <f>IF(AND(ISNUMBER(J204),ISNUMBER(I204)),IFERROR(J204/I204-1,""),"")</f>
        <v/>
      </c>
      <c r="K211" s="176">
        <f>IF(AND(ISNUMBER(K204),ISNUMBER(J204)),IFERROR(K204/J204-1,""),"")</f>
        <v/>
      </c>
      <c r="L211" s="176">
        <f>IF(AND(ISNUMBER(L204),ISNUMBER(K204)),IFERROR(L204/K204-1,""),"")</f>
        <v/>
      </c>
      <c r="M211" s="24" t="n"/>
      <c r="N211" s="24" t="n"/>
      <c r="O211" s="24" t="n"/>
      <c r="P211" s="24" t="n"/>
      <c r="Q211" s="176">
        <f>IF(AND(ISNUMBER(Q204),ISNUMBER(L204)),IFERROR(Q204/L204-1,""),"")</f>
        <v/>
      </c>
      <c r="R211" s="176">
        <f>IF(AND(ISNUMBER(R204),ISNUMBER(M204)),IFERROR(R204/M204-1,""),"")</f>
        <v/>
      </c>
      <c r="S211" s="176">
        <f>IF(AND(ISNUMBER(S204),ISNUMBER(N204)),IFERROR(S204/N204-1,""),"")</f>
        <v/>
      </c>
      <c r="T211" s="176">
        <f>IF(AND(ISNUMBER(T204),ISNUMBER(O204)),IFERROR(T204/O204-1,""),"")</f>
        <v/>
      </c>
      <c r="U211" s="176">
        <f>IF(AND(ISNUMBER(U204),ISNUMBER(P204)),IFERROR(U204/P204-1,""),"")</f>
        <v/>
      </c>
      <c r="V211" s="176">
        <f>IF(AND(ISNUMBER(V204),ISNUMBER(Q204)),IFERROR(V204/Q204-1,""),"")</f>
        <v/>
      </c>
      <c r="W211" s="176">
        <f>IF(AND(ISNUMBER(W204),ISNUMBER(R204)),IFERROR(W204/R204-1,""),"")</f>
        <v/>
      </c>
      <c r="X211" s="176">
        <f>IF(AND(ISNUMBER(X204),ISNUMBER(S204)),IFERROR(X204/S204-1,""),"")</f>
        <v/>
      </c>
      <c r="Y211" s="176">
        <f>IF(AND(ISNUMBER(Y204),ISNUMBER(T204)),IFERROR(Y204/T204-1,""),"")</f>
        <v/>
      </c>
      <c r="Z211" s="176">
        <f>IF(AND(ISNUMBER(Z204),ISNUMBER(U204)),IFERROR(Z204/U204-1,""),"")</f>
        <v/>
      </c>
      <c r="AA211" s="176">
        <f>IF(AND(ISNUMBER(AA204),ISNUMBER(V204)),IFERROR(AA204/V204-1,""),"")</f>
        <v/>
      </c>
      <c r="AB211" s="176">
        <f>IF(AND(ISNUMBER(AB204),ISNUMBER(W204)),IFERROR(AB204/W204-1,""),"")</f>
        <v/>
      </c>
      <c r="AC211" s="176">
        <f>IF(AND(ISNUMBER(AC204),ISNUMBER(X204)),IFERROR(AC204/X204-1,""),"")</f>
        <v/>
      </c>
      <c r="AD211" s="176">
        <f>IF(AND(ISNUMBER(AD204),ISNUMBER(Y204)),IFERROR(AD204/Y204-1,""),"")</f>
        <v/>
      </c>
      <c r="AE211" s="176">
        <f>IF(AND(ISNUMBER(AE204),ISNUMBER(Z204)),IFERROR(AE204/Z204-1,""),"")</f>
        <v/>
      </c>
      <c r="AF211" s="176">
        <f>IF(AND(ISNUMBER(AF204),ISNUMBER(AA204)),IFERROR(AF204/AA204-1,""),"")</f>
        <v/>
      </c>
      <c r="AG211" s="176">
        <f>IF(AND(ISNUMBER(AG204),ISNUMBER(AB204)),IFERROR(AG204/AB204-1,""),"")</f>
        <v/>
      </c>
      <c r="AH211" s="176">
        <f>IF(AND(ISNUMBER(AH204),ISNUMBER(AC204)),IFERROR(AH204/AC204-1,""),"")</f>
        <v/>
      </c>
      <c r="AI211" s="177">
        <f>IF(AND(ISNUMBER(AI204),ISNUMBER(AD204)),IFERROR(AI204/AD204-1,""),"")</f>
        <v/>
      </c>
      <c r="AJ211" s="177">
        <f>IF(AND(ISNUMBER(AJ204),ISNUMBER(AE204)),IFERROR(AJ204/AE204-1,""),"")</f>
        <v/>
      </c>
      <c r="AK211" s="177">
        <f>IF(AND(ISNUMBER(AK204),ISNUMBER(AF204)),IFERROR(AK204/AF204-1,""),"")</f>
        <v/>
      </c>
      <c r="AL211" s="177">
        <f>IF(AND(ISNUMBER(AL204),ISNUMBER(AK204)),IFERROR(AL204/AK204-1,""),"")</f>
        <v/>
      </c>
      <c r="AM211" s="177">
        <f>IF(AND(ISNUMBER(AM204),ISNUMBER(AL204)),IFERROR(AM204/AL204-1,""),"")</f>
        <v/>
      </c>
      <c r="AN211" s="177">
        <f>IF(AND(ISNUMBER(AN204),ISNUMBER(AM204)),IFERROR(AN204/AM204-1,""),"")</f>
        <v/>
      </c>
      <c r="AO211" s="177">
        <f>IF(AND(ISNUMBER(AO204),ISNUMBER(AN204)),IFERROR(AO204/AN204-1,""),"")</f>
        <v/>
      </c>
      <c r="AP211" s="6" t="n"/>
    </row>
    <row r="212" ht="15" customHeight="1">
      <c r="B212" s="26" t="inlineStr">
        <is>
          <t xml:space="preserve">  Prior definition (published Q2-24 – Q4-25; amortization not added back):</t>
        </is>
      </c>
      <c r="AP212" s="6" t="n"/>
    </row>
    <row r="213" ht="15" customHeight="1">
      <c r="B213" s="42" t="inlineStr">
        <is>
          <t xml:space="preserve">    Tax adjustment — prior definition (as published)</t>
        </is>
      </c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174" t="n">
        <v>-0.53</v>
      </c>
      <c r="Y213" s="174" t="n">
        <v>0.235</v>
      </c>
      <c r="Z213" s="174" t="n">
        <v>-4.976</v>
      </c>
      <c r="AA213" s="174" t="n">
        <v>-5.856</v>
      </c>
      <c r="AB213" s="174" t="n">
        <v>-0.523</v>
      </c>
      <c r="AC213" s="174" t="n">
        <v>-1.523</v>
      </c>
      <c r="AD213" s="174" t="n">
        <v>-1.607</v>
      </c>
      <c r="AE213" s="174" t="n">
        <v>-0.37</v>
      </c>
      <c r="AF213" s="174" t="n">
        <v>-4.001</v>
      </c>
      <c r="AG213" s="36" t="n"/>
      <c r="AH213" s="36" t="n"/>
      <c r="AI213" s="6" t="n"/>
      <c r="AJ213" s="6" t="n"/>
      <c r="AK213" s="6" t="n"/>
      <c r="AL213" s="6" t="n"/>
      <c r="AM213" s="6" t="n"/>
      <c r="AN213" s="6" t="n"/>
      <c r="AO213" s="6" t="n"/>
      <c r="AP213" s="6" t="n"/>
    </row>
    <row r="214" ht="15" customHeight="1">
      <c r="B214" s="42" t="inlineStr">
        <is>
          <t xml:space="preserve">    Adjusted EPS – prior definition (model = NI + refinancing + gross adjustments + prior tax adjustment)</t>
        </is>
      </c>
      <c r="C214" s="200">
        <f>IF(ISNUMBER(C213),(C197+C198+C199+C213)/C203,"")</f>
        <v/>
      </c>
      <c r="D214" s="200">
        <f>IF(ISNUMBER(D213),(D197+D198+D199+D213)/D203,"")</f>
        <v/>
      </c>
      <c r="E214" s="200">
        <f>IF(ISNUMBER(E213),(E197+E198+E199+E213)/E203,"")</f>
        <v/>
      </c>
      <c r="F214" s="200">
        <f>IF(ISNUMBER(F213),(F197+F198+F199+F213)/F203,"")</f>
        <v/>
      </c>
      <c r="G214" s="200">
        <f>IF(ISNUMBER(G213),(G197+G198+G199+G213)/G203,"")</f>
        <v/>
      </c>
      <c r="H214" s="200">
        <f>IF(ISNUMBER(H213),(H197+H198+H199+H213)/H203,"")</f>
        <v/>
      </c>
      <c r="I214" s="200">
        <f>IF(ISNUMBER(I213),(I197+I198+I199+I213)/I203,"")</f>
        <v/>
      </c>
      <c r="J214" s="200">
        <f>IF(ISNUMBER(J213),(J197+J198+J199+J213)/J203,"")</f>
        <v/>
      </c>
      <c r="K214" s="200">
        <f>IF(ISNUMBER(K213),(K197+K198+K199+K213)/K203,"")</f>
        <v/>
      </c>
      <c r="L214" s="200">
        <f>IF(ISNUMBER(L213),(L197+L198+L199+L213)/L203,"")</f>
        <v/>
      </c>
      <c r="M214" s="200">
        <f>IF(ISNUMBER(M213),(M197+M198+M199+M213)/M203,"")</f>
        <v/>
      </c>
      <c r="N214" s="200">
        <f>IF(ISNUMBER(N213),(N197+N198+N199+N213)/N203,"")</f>
        <v/>
      </c>
      <c r="O214" s="200">
        <f>IF(ISNUMBER(O213),(O197+O198+O199+O213)/O203,"")</f>
        <v/>
      </c>
      <c r="P214" s="200">
        <f>IF(ISNUMBER(P213),(P197+P198+P199+P213)/P203,"")</f>
        <v/>
      </c>
      <c r="Q214" s="200">
        <f>IF(ISNUMBER(Q213),(Q197+Q198+Q199+Q213)/Q203,"")</f>
        <v/>
      </c>
      <c r="R214" s="200">
        <f>IF(ISNUMBER(R213),(R197+R198+R199+R213)/R203,"")</f>
        <v/>
      </c>
      <c r="S214" s="200">
        <f>IF(ISNUMBER(S213),(S197+S198+S199+S213)/S203,"")</f>
        <v/>
      </c>
      <c r="T214" s="200">
        <f>IF(ISNUMBER(T213),(T197+T198+T199+T213)/T203,"")</f>
        <v/>
      </c>
      <c r="U214" s="200">
        <f>IF(ISNUMBER(U213),(U197+U198+U199+U213)/U203,"")</f>
        <v/>
      </c>
      <c r="V214" s="200">
        <f>IF(ISNUMBER(V213),(V197+V198+V199+V213)/V203,"")</f>
        <v/>
      </c>
      <c r="W214" s="200">
        <f>IF(ISNUMBER(W213),(W197+W198+W199+W213)/W203,"")</f>
        <v/>
      </c>
      <c r="X214" s="200">
        <f>IF(ISNUMBER(X213),(X197+X198+X199+X213)/X203,"")</f>
        <v/>
      </c>
      <c r="Y214" s="200">
        <f>IF(ISNUMBER(Y213),(Y197+Y198+Y199+Y213)/Y203,"")</f>
        <v/>
      </c>
      <c r="Z214" s="200">
        <f>IF(ISNUMBER(Z213),(Z197+Z198+Z199+Z213)/Z203,"")</f>
        <v/>
      </c>
      <c r="AA214" s="200">
        <f>IF(ISNUMBER(AA213),(AA197+AA198+AA199+AA213)/AA203,"")</f>
        <v/>
      </c>
      <c r="AB214" s="200">
        <f>IF(ISNUMBER(AB213),(AB197+AB198+AB199+AB213)/AB203,"")</f>
        <v/>
      </c>
      <c r="AC214" s="200">
        <f>IF(ISNUMBER(AC213),(AC197+AC198+AC199+AC213)/AC203,"")</f>
        <v/>
      </c>
      <c r="AD214" s="200">
        <f>IF(ISNUMBER(AD213),(AD197+AD198+AD199+AD213)/AD203,"")</f>
        <v/>
      </c>
      <c r="AE214" s="200">
        <f>IF(ISNUMBER(AE213),(AE197+AE198+AE199+AE213)/AE203,"")</f>
        <v/>
      </c>
      <c r="AF214" s="200">
        <f>IF(ISNUMBER(AF213),(AF197+AF198+AF199+AF213)/AF203,"")</f>
        <v/>
      </c>
      <c r="AG214" s="200">
        <f>IF(ISNUMBER(AG213),(AG197+AG198+AG199+AG213)/AG203,"")</f>
        <v/>
      </c>
      <c r="AH214" s="200">
        <f>IF(ISNUMBER(AH213),(AH197+AH198+AH199+AH213)/AH203,"")</f>
        <v/>
      </c>
      <c r="AI214" s="6" t="n"/>
      <c r="AJ214" s="6" t="n"/>
      <c r="AK214" s="6" t="n"/>
      <c r="AL214" s="6" t="n"/>
      <c r="AM214" s="6" t="n"/>
      <c r="AN214" s="6" t="n"/>
      <c r="AO214" s="6" t="n"/>
      <c r="AP214" s="6" t="n"/>
    </row>
    <row r="215" ht="15" customHeight="1">
      <c r="B215" s="42" t="inlineStr">
        <is>
          <t xml:space="preserve">    Company-published Adjusted EPS – prior definition ($, as originally reported)</t>
        </is>
      </c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03" t="n">
        <v>0.13</v>
      </c>
      <c r="Y215" s="203" t="n">
        <v>0.15</v>
      </c>
      <c r="Z215" s="203" t="n">
        <v>0.11</v>
      </c>
      <c r="AA215" s="203" t="n">
        <v>0.42</v>
      </c>
      <c r="AB215" s="203" t="n">
        <v>0.2</v>
      </c>
      <c r="AC215" s="203" t="n">
        <v>0.23</v>
      </c>
      <c r="AD215" s="203" t="n">
        <v>0.35</v>
      </c>
      <c r="AE215" s="203" t="n">
        <v>0.26</v>
      </c>
      <c r="AF215" s="203" t="n">
        <v>1.04</v>
      </c>
      <c r="AG215" s="28" t="n"/>
      <c r="AH215" s="28" t="n"/>
      <c r="AI215" s="6" t="n"/>
      <c r="AJ215" s="6" t="n"/>
      <c r="AK215" s="6" t="n"/>
      <c r="AL215" s="6" t="n"/>
      <c r="AM215" s="6" t="n"/>
      <c r="AN215" s="6" t="n"/>
      <c r="AO215" s="6" t="n"/>
      <c r="AP215" s="6" t="n"/>
    </row>
    <row r="216" ht="15" customHeight="1">
      <c r="B216" s="61" t="inlineStr">
        <is>
          <t xml:space="preserve">    Check: model vs published, prior definition (should be 0.00; ±0.01 rounding)</t>
        </is>
      </c>
      <c r="C216" s="200">
        <f>IF(ISNUMBER(C215),IF(ABS(C214-C215)&lt;=0.0101,0,ROUND(C214-C215,2)),"n/p")</f>
        <v/>
      </c>
      <c r="D216" s="200">
        <f>IF(ISNUMBER(D215),IF(ABS(D214-D215)&lt;=0.0101,0,ROUND(D214-D215,2)),"n/p")</f>
        <v/>
      </c>
      <c r="E216" s="200">
        <f>IF(ISNUMBER(E215),IF(ABS(E214-E215)&lt;=0.0101,0,ROUND(E214-E215,2)),"n/p")</f>
        <v/>
      </c>
      <c r="F216" s="200">
        <f>IF(ISNUMBER(F215),IF(ABS(F214-F215)&lt;=0.0101,0,ROUND(F214-F215,2)),"n/p")</f>
        <v/>
      </c>
      <c r="G216" s="200">
        <f>IF(ISNUMBER(G215),IF(ABS(G214-G215)&lt;=0.0101,0,ROUND(G214-G215,2)),"n/p")</f>
        <v/>
      </c>
      <c r="H216" s="200">
        <f>IF(ISNUMBER(H215),IF(ABS(H214-H215)&lt;=0.0101,0,ROUND(H214-H215,2)),"n/p")</f>
        <v/>
      </c>
      <c r="I216" s="200">
        <f>IF(ISNUMBER(I215),IF(ABS(I214-I215)&lt;=0.0101,0,ROUND(I214-I215,2)),"n/p")</f>
        <v/>
      </c>
      <c r="J216" s="200">
        <f>IF(ISNUMBER(J215),IF(ABS(J214-J215)&lt;=0.0101,0,ROUND(J214-J215,2)),"n/p")</f>
        <v/>
      </c>
      <c r="K216" s="200">
        <f>IF(ISNUMBER(K215),IF(ABS(K214-K215)&lt;=0.0101,0,ROUND(K214-K215,2)),"n/p")</f>
        <v/>
      </c>
      <c r="L216" s="200">
        <f>IF(ISNUMBER(L215),IF(ABS(L214-L215)&lt;=0.0101,0,ROUND(L214-L215,2)),"n/p")</f>
        <v/>
      </c>
      <c r="M216" s="200">
        <f>IF(ISNUMBER(M215),IF(ABS(M214-M215)&lt;=0.0101,0,ROUND(M214-M215,2)),"n/p")</f>
        <v/>
      </c>
      <c r="N216" s="200">
        <f>IF(ISNUMBER(N215),IF(ABS(N214-N215)&lt;=0.0101,0,ROUND(N214-N215,2)),"n/p")</f>
        <v/>
      </c>
      <c r="O216" s="200">
        <f>IF(ISNUMBER(O215),IF(ABS(O214-O215)&lt;=0.0101,0,ROUND(O214-O215,2)),"n/p")</f>
        <v/>
      </c>
      <c r="P216" s="200">
        <f>IF(ISNUMBER(P215),IF(ABS(P214-P215)&lt;=0.0101,0,ROUND(P214-P215,2)),"n/p")</f>
        <v/>
      </c>
      <c r="Q216" s="200">
        <f>IF(ISNUMBER(Q215),IF(ABS(Q214-Q215)&lt;=0.0101,0,ROUND(Q214-Q215,2)),"n/p")</f>
        <v/>
      </c>
      <c r="R216" s="200">
        <f>IF(ISNUMBER(R215),IF(ABS(R214-R215)&lt;=0.0101,0,ROUND(R214-R215,2)),"n/p")</f>
        <v/>
      </c>
      <c r="S216" s="200">
        <f>IF(ISNUMBER(S215),IF(ABS(S214-S215)&lt;=0.0101,0,ROUND(S214-S215,2)),"n/p")</f>
        <v/>
      </c>
      <c r="T216" s="200">
        <f>IF(ISNUMBER(T215),IF(ABS(T214-T215)&lt;=0.0101,0,ROUND(T214-T215,2)),"n/p")</f>
        <v/>
      </c>
      <c r="U216" s="200">
        <f>IF(ISNUMBER(U215),IF(ABS(U214-U215)&lt;=0.0101,0,ROUND(U214-U215,2)),"n/p")</f>
        <v/>
      </c>
      <c r="V216" s="200">
        <f>IF(ISNUMBER(V215),IF(ABS(V214-V215)&lt;=0.0101,0,ROUND(V214-V215,2)),"n/p")</f>
        <v/>
      </c>
      <c r="W216" s="200">
        <f>IF(ISNUMBER(W215),IF(ABS(W214-W215)&lt;=0.0101,0,ROUND(W214-W215,2)),"n/p")</f>
        <v/>
      </c>
      <c r="X216" s="200">
        <f>IF(ISNUMBER(X215),IF(ABS(X214-X215)&lt;=0.0101,0,ROUND(X214-X215,2)),"n/p")</f>
        <v/>
      </c>
      <c r="Y216" s="200">
        <f>IF(ISNUMBER(Y215),IF(ABS(Y214-Y215)&lt;=0.0101,0,ROUND(Y214-Y215,2)),"n/p")</f>
        <v/>
      </c>
      <c r="Z216" s="200">
        <f>IF(ISNUMBER(Z215),IF(ABS(Z214-Z215)&lt;=0.0101,0,ROUND(Z214-Z215,2)),"n/p")</f>
        <v/>
      </c>
      <c r="AA216" s="200">
        <f>IF(ISNUMBER(AA215),IF(ABS(AA214-AA215)&lt;=0.0101,0,ROUND(AA214-AA215,2)),"n/p")</f>
        <v/>
      </c>
      <c r="AB216" s="200">
        <f>IF(ISNUMBER(AB215),IF(ABS(AB214-AB215)&lt;=0.0101,0,ROUND(AB214-AB215,2)),"n/p")</f>
        <v/>
      </c>
      <c r="AC216" s="200">
        <f>IF(ISNUMBER(AC215),IF(ABS(AC214-AC215)&lt;=0.0101,0,ROUND(AC214-AC215,2)),"n/p")</f>
        <v/>
      </c>
      <c r="AD216" s="200">
        <f>IF(ISNUMBER(AD215),IF(ABS(AD214-AD215)&lt;=0.0101,0,ROUND(AD214-AD215,2)),"n/p")</f>
        <v/>
      </c>
      <c r="AE216" s="200">
        <f>IF(ISNUMBER(AE215),IF(ABS(AE214-AE215)&lt;=0.0101,0,ROUND(AE214-AE215,2)),"n/p")</f>
        <v/>
      </c>
      <c r="AF216" s="200">
        <f>IF(ISNUMBER(AF215),IF(ABS(AF214-AF215)&lt;=0.0101,0,ROUND(AF214-AF215,2)),"n/p")</f>
        <v/>
      </c>
      <c r="AG216" s="200">
        <f>IF(ISNUMBER(AG215),IF(ABS(AG214-AG215)&lt;=0.0101,0,ROUND(AG214-AG215,2)),"n/p")</f>
        <v/>
      </c>
      <c r="AH216" s="200">
        <f>IF(ISNUMBER(AH215),IF(ABS(AH214-AH215)&lt;=0.0101,0,ROUND(AH214-AH215,2)),"n/p")</f>
        <v/>
      </c>
      <c r="AI216" s="6" t="n"/>
      <c r="AJ216" s="6" t="n"/>
      <c r="AK216" s="6" t="n"/>
      <c r="AL216" s="6" t="n"/>
      <c r="AM216" s="6" t="n"/>
      <c r="AN216" s="6" t="n"/>
      <c r="AO216" s="6" t="n"/>
      <c r="AP216" s="6" t="n"/>
    </row>
    <row r="217" ht="15" customHeight="1">
      <c r="AX217" s="12" t="n"/>
      <c r="AY217" s="13" t="n"/>
      <c r="AZ217" s="13" t="n"/>
      <c r="BA217" s="13" t="n"/>
      <c r="BB217" s="14" t="n"/>
    </row>
    <row r="218" ht="15" customHeight="1">
      <c r="B218" s="11" t="inlineStr">
        <is>
          <t>GROWTH &amp; MARGINS</t>
        </is>
      </c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inlineStr">
        <is>
          <t>GROWTH &amp; MARGINS (consolidated) — forecast outputs</t>
        </is>
      </c>
    </row>
    <row r="219" ht="15" customHeight="1">
      <c r="B219" s="23" t="inlineStr">
        <is>
          <t xml:space="preserve">  Net sales y/y %</t>
        </is>
      </c>
      <c r="C219" s="24" t="n"/>
      <c r="D219" s="176">
        <f>IF(AND(ISNUMBER(D127),ISNUMBER(C127)),IFERROR(D127/C127-1,""),"")</f>
        <v/>
      </c>
      <c r="E219" s="176">
        <f>IF(AND(ISNUMBER(E127),ISNUMBER(D127)),IFERROR(E127/D127-1,""),"")</f>
        <v/>
      </c>
      <c r="F219" s="176">
        <f>IF(AND(ISNUMBER(F127),ISNUMBER(E127)),IFERROR(F127/E127-1,""),"")</f>
        <v/>
      </c>
      <c r="G219" s="176">
        <f>IF(AND(ISNUMBER(G127),ISNUMBER(F127)),IFERROR(G127/F127-1,""),"")</f>
        <v/>
      </c>
      <c r="H219" s="176">
        <f>IF(AND(ISNUMBER(H127),ISNUMBER(G127)),IFERROR(H127/G127-1,""),"")</f>
        <v/>
      </c>
      <c r="I219" s="176">
        <f>IF(AND(ISNUMBER(I127),ISNUMBER(H127)),IFERROR(I127/H127-1,""),"")</f>
        <v/>
      </c>
      <c r="J219" s="176">
        <f>IF(AND(ISNUMBER(J127),ISNUMBER(I127)),IFERROR(J127/I127-1,""),"")</f>
        <v/>
      </c>
      <c r="K219" s="176">
        <f>IF(AND(ISNUMBER(K127),ISNUMBER(J127)),IFERROR(K127/J127-1,""),"")</f>
        <v/>
      </c>
      <c r="L219" s="176">
        <f>IF(AND(ISNUMBER(L127),ISNUMBER(K127)),IFERROR(L127/K127-1,""),"")</f>
        <v/>
      </c>
      <c r="M219" s="24" t="n"/>
      <c r="N219" s="24" t="n"/>
      <c r="O219" s="24" t="n"/>
      <c r="P219" s="24" t="n"/>
      <c r="Q219" s="176">
        <f>IF(AND(ISNUMBER(Q127),ISNUMBER(L127)),IFERROR(Q127/L127-1,""),"")</f>
        <v/>
      </c>
      <c r="R219" s="176">
        <f>IF(AND(ISNUMBER(R127),ISNUMBER(M127)),IFERROR(R127/M127-1,""),"")</f>
        <v/>
      </c>
      <c r="S219" s="176">
        <f>IF(AND(ISNUMBER(S127),ISNUMBER(N127)),IFERROR(S127/N127-1,""),"")</f>
        <v/>
      </c>
      <c r="T219" s="176">
        <f>IF(AND(ISNUMBER(T127),ISNUMBER(O127)),IFERROR(T127/O127-1,""),"")</f>
        <v/>
      </c>
      <c r="U219" s="176">
        <f>IF(AND(ISNUMBER(U127),ISNUMBER(P127)),IFERROR(U127/P127-1,""),"")</f>
        <v/>
      </c>
      <c r="V219" s="176">
        <f>IF(AND(ISNUMBER(V127),ISNUMBER(Q127)),IFERROR(V127/Q127-1,""),"")</f>
        <v/>
      </c>
      <c r="W219" s="176">
        <f>IF(AND(ISNUMBER(W127),ISNUMBER(R127)),IFERROR(W127/R127-1,""),"")</f>
        <v/>
      </c>
      <c r="X219" s="176">
        <f>IF(AND(ISNUMBER(X127),ISNUMBER(S127)),IFERROR(X127/S127-1,""),"")</f>
        <v/>
      </c>
      <c r="Y219" s="176">
        <f>IF(AND(ISNUMBER(Y127),ISNUMBER(T127)),IFERROR(Y127/T127-1,""),"")</f>
        <v/>
      </c>
      <c r="Z219" s="176">
        <f>IF(AND(ISNUMBER(Z127),ISNUMBER(U127)),IFERROR(Z127/U127-1,""),"")</f>
        <v/>
      </c>
      <c r="AA219" s="176">
        <f>IF(AND(ISNUMBER(AA127),ISNUMBER(V127)),IFERROR(AA127/V127-1,""),"")</f>
        <v/>
      </c>
      <c r="AB219" s="176">
        <f>IF(AND(ISNUMBER(AB127),ISNUMBER(W127)),IFERROR(AB127/W127-1,""),"")</f>
        <v/>
      </c>
      <c r="AC219" s="176">
        <f>IF(AND(ISNUMBER(AC127),ISNUMBER(X127)),IFERROR(AC127/X127-1,""),"")</f>
        <v/>
      </c>
      <c r="AD219" s="176">
        <f>IF(AND(ISNUMBER(AD127),ISNUMBER(Y127)),IFERROR(AD127/Y127-1,""),"")</f>
        <v/>
      </c>
      <c r="AE219" s="176">
        <f>IF(AND(ISNUMBER(AE127),ISNUMBER(Z127)),IFERROR(AE127/Z127-1,""),"")</f>
        <v/>
      </c>
      <c r="AF219" s="176">
        <f>IF(AND(ISNUMBER(AF127),ISNUMBER(AA127)),IFERROR(AF127/AA127-1,""),"")</f>
        <v/>
      </c>
      <c r="AG219" s="176">
        <f>IF(AND(ISNUMBER(AG127),ISNUMBER(AB127)),IFERROR(AG127/AB127-1,""),"")</f>
        <v/>
      </c>
      <c r="AH219" s="176">
        <f>IF(AND(ISNUMBER(AH127),ISNUMBER(AC127)),IFERROR(AH127/AC127-1,""),"")</f>
        <v/>
      </c>
      <c r="AI219" s="177">
        <f>IF(AND(ISNUMBER(AI127),ISNUMBER(AD127)),IFERROR(AI127/AD127-1,""),"")</f>
        <v/>
      </c>
      <c r="AJ219" s="177">
        <f>IF(AND(ISNUMBER(AJ127),ISNUMBER(AE127)),IFERROR(AJ127/AE127-1,""),"")</f>
        <v/>
      </c>
      <c r="AK219" s="177">
        <f>IF(AND(ISNUMBER(AK127),ISNUMBER(AF127)),IFERROR(AK127/AF127-1,""),"")</f>
        <v/>
      </c>
      <c r="AL219" s="177">
        <f>IF(AND(ISNUMBER(AL127),ISNUMBER(AK127)),IFERROR(AL127/AK127-1,""),"")</f>
        <v/>
      </c>
      <c r="AM219" s="177">
        <f>IF(AND(ISNUMBER(AM127),ISNUMBER(AL127)),IFERROR(AM127/AL127-1,""),"")</f>
        <v/>
      </c>
      <c r="AN219" s="177">
        <f>IF(AND(ISNUMBER(AN127),ISNUMBER(AM127)),IFERROR(AN127/AM127-1,""),"")</f>
        <v/>
      </c>
      <c r="AO219" s="177">
        <f>IF(AND(ISNUMBER(AO127),ISNUMBER(AN127)),IFERROR(AO127/AN127-1,""),"")</f>
        <v/>
      </c>
      <c r="AP219" s="6" t="n"/>
      <c r="AR219" s="39">
        <f>IFERROR(AVERAGE(AK219,AL219,AM219,AN219,AO219),"n/m")</f>
        <v/>
      </c>
      <c r="AS219" s="39">
        <f>IFERROR(AVERAGE(L219,Q219,V219,AA219,AF219),"n/m")</f>
        <v/>
      </c>
      <c r="AT219" s="39">
        <f>IFERROR(AVERAGE(G219,H219,I219,J219,K219,L219,Q219,V219,AA219,AF219),"n/m")</f>
        <v/>
      </c>
      <c r="AU219" s="39">
        <f>IFERROR(AVERAGE(C219,D219,E219,F219,G219,H219,I219,J219,K219,L219,Q219,V219,AA219,AF219),"n/m")</f>
        <v/>
      </c>
    </row>
    <row r="220" ht="15" customHeight="1">
      <c r="B220" s="23" t="inlineStr">
        <is>
          <t xml:space="preserve">  Organic growth %</t>
        </is>
      </c>
      <c r="C220" s="24" t="n"/>
      <c r="D220" s="176">
        <f>D70</f>
        <v/>
      </c>
      <c r="E220" s="176">
        <f>E70</f>
        <v/>
      </c>
      <c r="F220" s="176">
        <f>F70</f>
        <v/>
      </c>
      <c r="G220" s="176">
        <f>G70</f>
        <v/>
      </c>
      <c r="H220" s="176">
        <f>H70</f>
        <v/>
      </c>
      <c r="I220" s="176">
        <f>I70</f>
        <v/>
      </c>
      <c r="J220" s="176">
        <f>J70</f>
        <v/>
      </c>
      <c r="K220" s="176">
        <f>K70</f>
        <v/>
      </c>
      <c r="L220" s="176">
        <f>L70</f>
        <v/>
      </c>
      <c r="M220" s="24" t="n"/>
      <c r="N220" s="24" t="n"/>
      <c r="O220" s="24" t="n"/>
      <c r="P220" s="24" t="n"/>
      <c r="Q220" s="176">
        <f>Q70</f>
        <v/>
      </c>
      <c r="R220" s="176">
        <f>R70</f>
        <v/>
      </c>
      <c r="S220" s="176">
        <f>S70</f>
        <v/>
      </c>
      <c r="T220" s="176">
        <f>T70</f>
        <v/>
      </c>
      <c r="U220" s="176">
        <f>U70</f>
        <v/>
      </c>
      <c r="V220" s="176">
        <f>V70</f>
        <v/>
      </c>
      <c r="W220" s="176">
        <f>W70</f>
        <v/>
      </c>
      <c r="X220" s="176">
        <f>X70</f>
        <v/>
      </c>
      <c r="Y220" s="176">
        <f>Y70</f>
        <v/>
      </c>
      <c r="Z220" s="176">
        <f>Z70</f>
        <v/>
      </c>
      <c r="AA220" s="176">
        <f>AA70</f>
        <v/>
      </c>
      <c r="AB220" s="176">
        <f>AB70</f>
        <v/>
      </c>
      <c r="AC220" s="176">
        <f>AC70</f>
        <v/>
      </c>
      <c r="AD220" s="176">
        <f>AD70</f>
        <v/>
      </c>
      <c r="AE220" s="176">
        <f>AE70</f>
        <v/>
      </c>
      <c r="AF220" s="176">
        <f>AF70</f>
        <v/>
      </c>
      <c r="AG220" s="176">
        <f>AG70</f>
        <v/>
      </c>
      <c r="AH220" s="176">
        <f>AH70</f>
        <v/>
      </c>
      <c r="AI220" s="177">
        <f>AI70</f>
        <v/>
      </c>
      <c r="AJ220" s="177">
        <f>AJ70</f>
        <v/>
      </c>
      <c r="AK220" s="177">
        <f>AK70</f>
        <v/>
      </c>
      <c r="AL220" s="177">
        <f>AL70</f>
        <v/>
      </c>
      <c r="AM220" s="177">
        <f>AM70</f>
        <v/>
      </c>
      <c r="AN220" s="177">
        <f>AN70</f>
        <v/>
      </c>
      <c r="AO220" s="177">
        <f>AO70</f>
        <v/>
      </c>
      <c r="AP220" s="6" t="n"/>
      <c r="AR220" s="39">
        <f>IFERROR(AVERAGE(AK220,AL220,AM220,AN220,AO220),"n/m")</f>
        <v/>
      </c>
      <c r="AS220" s="39">
        <f>IFERROR(AVERAGE(L220,Q220,V220,AA220,AF220),"n/m")</f>
        <v/>
      </c>
      <c r="AT220" s="39">
        <f>IFERROR(AVERAGE(G220,H220,I220,J220,K220,L220,Q220,V220,AA220,AF220),"n/m")</f>
        <v/>
      </c>
      <c r="AU220" s="39">
        <f>IFERROR(AVERAGE(C220,D220,E220,F220,G220,H220,I220,J220,K220,L220,Q220,V220,AA220,AF220),"n/m")</f>
        <v/>
      </c>
    </row>
    <row r="221" ht="15" customHeight="1">
      <c r="B221" s="23" t="inlineStr">
        <is>
          <t xml:space="preserve">  Total OEM net sales y/y %</t>
        </is>
      </c>
      <c r="C221" s="24" t="n"/>
      <c r="D221" s="176">
        <f>IF(AND(ISNUMBER(D59),ISNUMBER(C59)),IFERROR(D59/C59-1,""),"")</f>
        <v/>
      </c>
      <c r="E221" s="176">
        <f>IF(AND(ISNUMBER(E59),ISNUMBER(D59)),IFERROR(E59/D59-1,""),"")</f>
        <v/>
      </c>
      <c r="F221" s="176">
        <f>IF(AND(ISNUMBER(F59),ISNUMBER(E59)),IFERROR(F59/E59-1,""),"")</f>
        <v/>
      </c>
      <c r="G221" s="176">
        <f>IF(AND(ISNUMBER(G59),ISNUMBER(F59)),IFERROR(G59/F59-1,""),"")</f>
        <v/>
      </c>
      <c r="H221" s="176">
        <f>IF(AND(ISNUMBER(H59),ISNUMBER(G59)),IFERROR(H59/G59-1,""),"")</f>
        <v/>
      </c>
      <c r="I221" s="176">
        <f>IF(AND(ISNUMBER(I59),ISNUMBER(H59)),IFERROR(I59/H59-1,""),"")</f>
        <v/>
      </c>
      <c r="J221" s="176">
        <f>IF(AND(ISNUMBER(J59),ISNUMBER(I59)),IFERROR(J59/I59-1,""),"")</f>
        <v/>
      </c>
      <c r="K221" s="176">
        <f>IF(AND(ISNUMBER(K59),ISNUMBER(J59)),IFERROR(K59/J59-1,""),"")</f>
        <v/>
      </c>
      <c r="L221" s="176">
        <f>IF(AND(ISNUMBER(L59),ISNUMBER(K59)),IFERROR(L59/K59-1,""),"")</f>
        <v/>
      </c>
      <c r="M221" s="24" t="n"/>
      <c r="N221" s="24" t="n"/>
      <c r="O221" s="24" t="n"/>
      <c r="P221" s="24" t="n"/>
      <c r="Q221" s="176">
        <f>IF(AND(ISNUMBER(Q59),ISNUMBER(L59)),IFERROR(Q59/L59-1,""),"")</f>
        <v/>
      </c>
      <c r="R221" s="176">
        <f>IF(AND(ISNUMBER(R59),ISNUMBER(M59)),IFERROR(R59/M59-1,""),"")</f>
        <v/>
      </c>
      <c r="S221" s="176">
        <f>IF(AND(ISNUMBER(S59),ISNUMBER(N59)),IFERROR(S59/N59-1,""),"")</f>
        <v/>
      </c>
      <c r="T221" s="176">
        <f>IF(AND(ISNUMBER(T59),ISNUMBER(O59)),IFERROR(T59/O59-1,""),"")</f>
        <v/>
      </c>
      <c r="U221" s="176">
        <f>IF(AND(ISNUMBER(U59),ISNUMBER(P59)),IFERROR(U59/P59-1,""),"")</f>
        <v/>
      </c>
      <c r="V221" s="176">
        <f>IF(AND(ISNUMBER(V59),ISNUMBER(Q59)),IFERROR(V59/Q59-1,""),"")</f>
        <v/>
      </c>
      <c r="W221" s="176">
        <f>IF(AND(ISNUMBER(W59),ISNUMBER(R59)),IFERROR(W59/R59-1,""),"")</f>
        <v/>
      </c>
      <c r="X221" s="176">
        <f>IF(AND(ISNUMBER(X59),ISNUMBER(S59)),IFERROR(X59/S59-1,""),"")</f>
        <v/>
      </c>
      <c r="Y221" s="176">
        <f>IF(AND(ISNUMBER(Y59),ISNUMBER(T59)),IFERROR(Y59/T59-1,""),"")</f>
        <v/>
      </c>
      <c r="Z221" s="176">
        <f>IF(AND(ISNUMBER(Z59),ISNUMBER(U59)),IFERROR(Z59/U59-1,""),"")</f>
        <v/>
      </c>
      <c r="AA221" s="176">
        <f>IF(AND(ISNUMBER(AA59),ISNUMBER(V59)),IFERROR(AA59/V59-1,""),"")</f>
        <v/>
      </c>
      <c r="AB221" s="176">
        <f>IF(AND(ISNUMBER(AB59),ISNUMBER(W59)),IFERROR(AB59/W59-1,""),"")</f>
        <v/>
      </c>
      <c r="AC221" s="176">
        <f>IF(AND(ISNUMBER(AC59),ISNUMBER(X59)),IFERROR(AC59/X59-1,""),"")</f>
        <v/>
      </c>
      <c r="AD221" s="176">
        <f>IF(AND(ISNUMBER(AD59),ISNUMBER(Y59)),IFERROR(AD59/Y59-1,""),"")</f>
        <v/>
      </c>
      <c r="AE221" s="176">
        <f>IF(AND(ISNUMBER(AE59),ISNUMBER(Z59)),IFERROR(AE59/Z59-1,""),"")</f>
        <v/>
      </c>
      <c r="AF221" s="176">
        <f>IF(AND(ISNUMBER(AF59),ISNUMBER(AA59)),IFERROR(AF59/AA59-1,""),"")</f>
        <v/>
      </c>
      <c r="AG221" s="176">
        <f>IF(AND(ISNUMBER(AG59),ISNUMBER(AB59)),IFERROR(AG59/AB59-1,""),"")</f>
        <v/>
      </c>
      <c r="AH221" s="176">
        <f>IF(AND(ISNUMBER(AH59),ISNUMBER(AC59)),IFERROR(AH59/AC59-1,""),"")</f>
        <v/>
      </c>
      <c r="AI221" s="177">
        <f>IF(AND(ISNUMBER(AI59),ISNUMBER(AD59)),IFERROR(AI59/AD59-1,""),"")</f>
        <v/>
      </c>
      <c r="AJ221" s="177">
        <f>IF(AND(ISNUMBER(AJ59),ISNUMBER(AE59)),IFERROR(AJ59/AE59-1,""),"")</f>
        <v/>
      </c>
      <c r="AK221" s="177">
        <f>IF(AND(ISNUMBER(AK59),ISNUMBER(AF59)),IFERROR(AK59/AF59-1,""),"")</f>
        <v/>
      </c>
      <c r="AL221" s="177">
        <f>IF(AND(ISNUMBER(AL59),ISNUMBER(AK59)),IFERROR(AL59/AK59-1,""),"")</f>
        <v/>
      </c>
      <c r="AM221" s="177">
        <f>IF(AND(ISNUMBER(AM59),ISNUMBER(AL59)),IFERROR(AM59/AL59-1,""),"")</f>
        <v/>
      </c>
      <c r="AN221" s="177">
        <f>IF(AND(ISNUMBER(AN59),ISNUMBER(AM59)),IFERROR(AN59/AM59-1,""),"")</f>
        <v/>
      </c>
      <c r="AO221" s="177">
        <f>IF(AND(ISNUMBER(AO59),ISNUMBER(AN59)),IFERROR(AO59/AN59-1,""),"")</f>
        <v/>
      </c>
      <c r="AP221" s="6" t="n"/>
    </row>
    <row r="222" collapsed="1" ht="15" customHeight="1">
      <c r="B222" s="23" t="inlineStr">
        <is>
          <t xml:space="preserve">  Total aftermarket net sales y/y %</t>
        </is>
      </c>
      <c r="C222" s="24" t="n"/>
      <c r="D222" s="176">
        <f>IF(AND(ISNUMBER(D60),ISNUMBER(C60)),IFERROR(D60/C60-1,""),"")</f>
        <v/>
      </c>
      <c r="E222" s="176">
        <f>IF(AND(ISNUMBER(E60),ISNUMBER(D60)),IFERROR(E60/D60-1,""),"")</f>
        <v/>
      </c>
      <c r="F222" s="176">
        <f>IF(AND(ISNUMBER(F60),ISNUMBER(E60)),IFERROR(F60/E60-1,""),"")</f>
        <v/>
      </c>
      <c r="G222" s="176">
        <f>IF(AND(ISNUMBER(G60),ISNUMBER(F60)),IFERROR(G60/F60-1,""),"")</f>
        <v/>
      </c>
      <c r="H222" s="176">
        <f>IF(AND(ISNUMBER(H60),ISNUMBER(G60)),IFERROR(H60/G60-1,""),"")</f>
        <v/>
      </c>
      <c r="I222" s="176">
        <f>IF(AND(ISNUMBER(I60),ISNUMBER(H60)),IFERROR(I60/H60-1,""),"")</f>
        <v/>
      </c>
      <c r="J222" s="176">
        <f>IF(AND(ISNUMBER(J60),ISNUMBER(I60)),IFERROR(J60/I60-1,""),"")</f>
        <v/>
      </c>
      <c r="K222" s="176">
        <f>IF(AND(ISNUMBER(K60),ISNUMBER(J60)),IFERROR(K60/J60-1,""),"")</f>
        <v/>
      </c>
      <c r="L222" s="176">
        <f>IF(AND(ISNUMBER(L60),ISNUMBER(K60)),IFERROR(L60/K60-1,""),"")</f>
        <v/>
      </c>
      <c r="M222" s="24" t="n"/>
      <c r="N222" s="24" t="n"/>
      <c r="O222" s="24" t="n"/>
      <c r="P222" s="24" t="n"/>
      <c r="Q222" s="176">
        <f>IF(AND(ISNUMBER(Q60),ISNUMBER(L60)),IFERROR(Q60/L60-1,""),"")</f>
        <v/>
      </c>
      <c r="R222" s="176">
        <f>IF(AND(ISNUMBER(R60),ISNUMBER(M60)),IFERROR(R60/M60-1,""),"")</f>
        <v/>
      </c>
      <c r="S222" s="176">
        <f>IF(AND(ISNUMBER(S60),ISNUMBER(N60)),IFERROR(S60/N60-1,""),"")</f>
        <v/>
      </c>
      <c r="T222" s="176">
        <f>IF(AND(ISNUMBER(T60),ISNUMBER(O60)),IFERROR(T60/O60-1,""),"")</f>
        <v/>
      </c>
      <c r="U222" s="176">
        <f>IF(AND(ISNUMBER(U60),ISNUMBER(P60)),IFERROR(U60/P60-1,""),"")</f>
        <v/>
      </c>
      <c r="V222" s="176">
        <f>IF(AND(ISNUMBER(V60),ISNUMBER(Q60)),IFERROR(V60/Q60-1,""),"")</f>
        <v/>
      </c>
      <c r="W222" s="176">
        <f>IF(AND(ISNUMBER(W60),ISNUMBER(R60)),IFERROR(W60/R60-1,""),"")</f>
        <v/>
      </c>
      <c r="X222" s="176">
        <f>IF(AND(ISNUMBER(X60),ISNUMBER(S60)),IFERROR(X60/S60-1,""),"")</f>
        <v/>
      </c>
      <c r="Y222" s="176">
        <f>IF(AND(ISNUMBER(Y60),ISNUMBER(T60)),IFERROR(Y60/T60-1,""),"")</f>
        <v/>
      </c>
      <c r="Z222" s="176">
        <f>IF(AND(ISNUMBER(Z60),ISNUMBER(U60)),IFERROR(Z60/U60-1,""),"")</f>
        <v/>
      </c>
      <c r="AA222" s="176">
        <f>IF(AND(ISNUMBER(AA60),ISNUMBER(V60)),IFERROR(AA60/V60-1,""),"")</f>
        <v/>
      </c>
      <c r="AB222" s="176">
        <f>IF(AND(ISNUMBER(AB60),ISNUMBER(W60)),IFERROR(AB60/W60-1,""),"")</f>
        <v/>
      </c>
      <c r="AC222" s="176">
        <f>IF(AND(ISNUMBER(AC60),ISNUMBER(X60)),IFERROR(AC60/X60-1,""),"")</f>
        <v/>
      </c>
      <c r="AD222" s="176">
        <f>IF(AND(ISNUMBER(AD60),ISNUMBER(Y60)),IFERROR(AD60/Y60-1,""),"")</f>
        <v/>
      </c>
      <c r="AE222" s="176">
        <f>IF(AND(ISNUMBER(AE60),ISNUMBER(Z60)),IFERROR(AE60/Z60-1,""),"")</f>
        <v/>
      </c>
      <c r="AF222" s="176">
        <f>IF(AND(ISNUMBER(AF60),ISNUMBER(AA60)),IFERROR(AF60/AA60-1,""),"")</f>
        <v/>
      </c>
      <c r="AG222" s="176">
        <f>IF(AND(ISNUMBER(AG60),ISNUMBER(AB60)),IFERROR(AG60/AB60-1,""),"")</f>
        <v/>
      </c>
      <c r="AH222" s="176">
        <f>IF(AND(ISNUMBER(AH60),ISNUMBER(AC60)),IFERROR(AH60/AC60-1,""),"")</f>
        <v/>
      </c>
      <c r="AI222" s="177">
        <f>IF(AND(ISNUMBER(AI60),ISNUMBER(AD60)),IFERROR(AI60/AD60-1,""),"")</f>
        <v/>
      </c>
      <c r="AJ222" s="177">
        <f>IF(AND(ISNUMBER(AJ60),ISNUMBER(AE60)),IFERROR(AJ60/AE60-1,""),"")</f>
        <v/>
      </c>
      <c r="AK222" s="177">
        <f>IF(AND(ISNUMBER(AK60),ISNUMBER(AF60)),IFERROR(AK60/AF60-1,""),"")</f>
        <v/>
      </c>
      <c r="AL222" s="177">
        <f>IF(AND(ISNUMBER(AL60),ISNUMBER(AK60)),IFERROR(AL60/AK60-1,""),"")</f>
        <v/>
      </c>
      <c r="AM222" s="177">
        <f>IF(AND(ISNUMBER(AM60),ISNUMBER(AL60)),IFERROR(AM60/AL60-1,""),"")</f>
        <v/>
      </c>
      <c r="AN222" s="177">
        <f>IF(AND(ISNUMBER(AN60),ISNUMBER(AM60)),IFERROR(AN60/AM60-1,""),"")</f>
        <v/>
      </c>
      <c r="AO222" s="177">
        <f>IF(AND(ISNUMBER(AO60),ISNUMBER(AN60)),IFERROR(AO60/AN60-1,""),"")</f>
        <v/>
      </c>
      <c r="AP222" s="6" t="n"/>
    </row>
    <row r="223" ht="15" customHeight="1">
      <c r="B223" s="23" t="inlineStr">
        <is>
          <t xml:space="preserve">  Adjusted EBITDA y/y %</t>
        </is>
      </c>
      <c r="C223" s="24" t="n"/>
      <c r="D223" s="176">
        <f>IF(AND(ISNUMBER(D174),ISNUMBER(C174)),IFERROR(D174/C174-1,""),"")</f>
        <v/>
      </c>
      <c r="E223" s="176">
        <f>IF(AND(ISNUMBER(E174),ISNUMBER(D174)),IFERROR(E174/D174-1,""),"")</f>
        <v/>
      </c>
      <c r="F223" s="176">
        <f>IF(AND(ISNUMBER(F174),ISNUMBER(E174)),IFERROR(F174/E174-1,""),"")</f>
        <v/>
      </c>
      <c r="G223" s="176">
        <f>IF(AND(ISNUMBER(G174),ISNUMBER(F174)),IFERROR(G174/F174-1,""),"")</f>
        <v/>
      </c>
      <c r="H223" s="176">
        <f>IF(AND(ISNUMBER(H174),ISNUMBER(G174)),IFERROR(H174/G174-1,""),"")</f>
        <v/>
      </c>
      <c r="I223" s="176">
        <f>IF(AND(ISNUMBER(I174),ISNUMBER(H174)),IFERROR(I174/H174-1,""),"")</f>
        <v/>
      </c>
      <c r="J223" s="176">
        <f>IF(AND(ISNUMBER(J174),ISNUMBER(I174)),IFERROR(J174/I174-1,""),"")</f>
        <v/>
      </c>
      <c r="K223" s="176">
        <f>IF(AND(ISNUMBER(K174),ISNUMBER(J174)),IFERROR(K174/J174-1,""),"")</f>
        <v/>
      </c>
      <c r="L223" s="176">
        <f>IF(AND(ISNUMBER(L174),ISNUMBER(K174)),IFERROR(L174/K174-1,""),"")</f>
        <v/>
      </c>
      <c r="M223" s="24" t="n"/>
      <c r="N223" s="24" t="n"/>
      <c r="O223" s="24" t="n"/>
      <c r="P223" s="24" t="n"/>
      <c r="Q223" s="176">
        <f>IF(AND(ISNUMBER(Q174),ISNUMBER(L174)),IFERROR(Q174/L174-1,""),"")</f>
        <v/>
      </c>
      <c r="R223" s="176">
        <f>IF(AND(ISNUMBER(R174),ISNUMBER(M174)),IFERROR(R174/M174-1,""),"")</f>
        <v/>
      </c>
      <c r="S223" s="176">
        <f>IF(AND(ISNUMBER(S174),ISNUMBER(N174)),IFERROR(S174/N174-1,""),"")</f>
        <v/>
      </c>
      <c r="T223" s="176">
        <f>IF(AND(ISNUMBER(T174),ISNUMBER(O174)),IFERROR(T174/O174-1,""),"")</f>
        <v/>
      </c>
      <c r="U223" s="176">
        <f>IF(AND(ISNUMBER(U174),ISNUMBER(P174)),IFERROR(U174/P174-1,""),"")</f>
        <v/>
      </c>
      <c r="V223" s="176">
        <f>IF(AND(ISNUMBER(V174),ISNUMBER(Q174)),IFERROR(V174/Q174-1,""),"")</f>
        <v/>
      </c>
      <c r="W223" s="176">
        <f>IF(AND(ISNUMBER(W174),ISNUMBER(R174)),IFERROR(W174/R174-1,""),"")</f>
        <v/>
      </c>
      <c r="X223" s="176">
        <f>IF(AND(ISNUMBER(X174),ISNUMBER(S174)),IFERROR(X174/S174-1,""),"")</f>
        <v/>
      </c>
      <c r="Y223" s="176">
        <f>IF(AND(ISNUMBER(Y174),ISNUMBER(T174)),IFERROR(Y174/T174-1,""),"")</f>
        <v/>
      </c>
      <c r="Z223" s="176">
        <f>IF(AND(ISNUMBER(Z174),ISNUMBER(U174)),IFERROR(Z174/U174-1,""),"")</f>
        <v/>
      </c>
      <c r="AA223" s="176">
        <f>IF(AND(ISNUMBER(AA174),ISNUMBER(V174)),IFERROR(AA174/V174-1,""),"")</f>
        <v/>
      </c>
      <c r="AB223" s="176">
        <f>IF(AND(ISNUMBER(AB174),ISNUMBER(W174)),IFERROR(AB174/W174-1,""),"")</f>
        <v/>
      </c>
      <c r="AC223" s="176">
        <f>IF(AND(ISNUMBER(AC174),ISNUMBER(X174)),IFERROR(AC174/X174-1,""),"")</f>
        <v/>
      </c>
      <c r="AD223" s="176">
        <f>IF(AND(ISNUMBER(AD174),ISNUMBER(Y174)),IFERROR(AD174/Y174-1,""),"")</f>
        <v/>
      </c>
      <c r="AE223" s="176">
        <f>IF(AND(ISNUMBER(AE174),ISNUMBER(Z174)),IFERROR(AE174/Z174-1,""),"")</f>
        <v/>
      </c>
      <c r="AF223" s="176">
        <f>IF(AND(ISNUMBER(AF174),ISNUMBER(AA174)),IFERROR(AF174/AA174-1,""),"")</f>
        <v/>
      </c>
      <c r="AG223" s="176">
        <f>IF(AND(ISNUMBER(AG174),ISNUMBER(AB174)),IFERROR(AG174/AB174-1,""),"")</f>
        <v/>
      </c>
      <c r="AH223" s="176">
        <f>IF(AND(ISNUMBER(AH174),ISNUMBER(AC174)),IFERROR(AH174/AC174-1,""),"")</f>
        <v/>
      </c>
      <c r="AI223" s="177">
        <f>IF(AND(ISNUMBER(AI174),ISNUMBER(AD174)),IFERROR(AI174/AD174-1,""),"")</f>
        <v/>
      </c>
      <c r="AJ223" s="177">
        <f>IF(AND(ISNUMBER(AJ174),ISNUMBER(AE174)),IFERROR(AJ174/AE174-1,""),"")</f>
        <v/>
      </c>
      <c r="AK223" s="177">
        <f>IF(AND(ISNUMBER(AK174),ISNUMBER(AF174)),IFERROR(AK174/AF174-1,""),"")</f>
        <v/>
      </c>
      <c r="AL223" s="177">
        <f>IF(AND(ISNUMBER(AL174),ISNUMBER(AK174)),IFERROR(AL174/AK174-1,""),"")</f>
        <v/>
      </c>
      <c r="AM223" s="177">
        <f>IF(AND(ISNUMBER(AM174),ISNUMBER(AL174)),IFERROR(AM174/AL174-1,""),"")</f>
        <v/>
      </c>
      <c r="AN223" s="177">
        <f>IF(AND(ISNUMBER(AN174),ISNUMBER(AM174)),IFERROR(AN174/AM174-1,""),"")</f>
        <v/>
      </c>
      <c r="AO223" s="177">
        <f>IF(AND(ISNUMBER(AO174),ISNUMBER(AN174)),IFERROR(AO174/AN174-1,""),"")</f>
        <v/>
      </c>
      <c r="AP223" s="6" t="n"/>
    </row>
    <row r="224" ht="15" customHeight="1">
      <c r="B224" s="23" t="inlineStr">
        <is>
          <t xml:space="preserve">  Operating income (GAAP) y/y %</t>
        </is>
      </c>
      <c r="C224" s="24" t="n"/>
      <c r="D224" s="176">
        <f>IF(AND(ISNUMBER(D134),ISNUMBER(C134)),IFERROR(D134/C134-1,""),"")</f>
        <v/>
      </c>
      <c r="E224" s="176">
        <f>IF(AND(ISNUMBER(E134),ISNUMBER(D134)),IFERROR(E134/D134-1,""),"")</f>
        <v/>
      </c>
      <c r="F224" s="176">
        <f>IF(AND(ISNUMBER(F134),ISNUMBER(E134)),IFERROR(F134/E134-1,""),"")</f>
        <v/>
      </c>
      <c r="G224" s="176">
        <f>IF(AND(ISNUMBER(G134),ISNUMBER(F134)),IFERROR(G134/F134-1,""),"")</f>
        <v/>
      </c>
      <c r="H224" s="176">
        <f>IF(AND(ISNUMBER(H134),ISNUMBER(G134)),IFERROR(H134/G134-1,""),"")</f>
        <v/>
      </c>
      <c r="I224" s="176">
        <f>IF(AND(ISNUMBER(I134),ISNUMBER(H134)),IFERROR(I134/H134-1,""),"")</f>
        <v/>
      </c>
      <c r="J224" s="176">
        <f>IF(AND(ISNUMBER(J134),ISNUMBER(I134)),IFERROR(J134/I134-1,""),"")</f>
        <v/>
      </c>
      <c r="K224" s="176">
        <f>IF(AND(ISNUMBER(K134),ISNUMBER(J134)),IFERROR(K134/J134-1,""),"")</f>
        <v/>
      </c>
      <c r="L224" s="176">
        <f>IF(AND(ISNUMBER(L134),ISNUMBER(K134)),IFERROR(L134/K134-1,""),"")</f>
        <v/>
      </c>
      <c r="M224" s="24" t="n"/>
      <c r="N224" s="24" t="n"/>
      <c r="O224" s="24" t="n"/>
      <c r="P224" s="24" t="n"/>
      <c r="Q224" s="176">
        <f>IF(AND(ISNUMBER(Q134),ISNUMBER(L134)),IFERROR(Q134/L134-1,""),"")</f>
        <v/>
      </c>
      <c r="R224" s="176">
        <f>IF(AND(ISNUMBER(R134),ISNUMBER(M134)),IFERROR(R134/M134-1,""),"")</f>
        <v/>
      </c>
      <c r="S224" s="176">
        <f>IF(AND(ISNUMBER(S134),ISNUMBER(N134)),IFERROR(S134/N134-1,""),"")</f>
        <v/>
      </c>
      <c r="T224" s="176">
        <f>IF(AND(ISNUMBER(T134),ISNUMBER(O134)),IFERROR(T134/O134-1,""),"")</f>
        <v/>
      </c>
      <c r="U224" s="176">
        <f>IF(AND(ISNUMBER(U134),ISNUMBER(P134)),IFERROR(U134/P134-1,""),"")</f>
        <v/>
      </c>
      <c r="V224" s="176">
        <f>IF(AND(ISNUMBER(V134),ISNUMBER(Q134)),IFERROR(V134/Q134-1,""),"")</f>
        <v/>
      </c>
      <c r="W224" s="176">
        <f>IF(AND(ISNUMBER(W134),ISNUMBER(R134)),IFERROR(W134/R134-1,""),"")</f>
        <v/>
      </c>
      <c r="X224" s="176">
        <f>IF(AND(ISNUMBER(X134),ISNUMBER(S134)),IFERROR(X134/S134-1,""),"")</f>
        <v/>
      </c>
      <c r="Y224" s="176">
        <f>IF(AND(ISNUMBER(Y134),ISNUMBER(T134)),IFERROR(Y134/T134-1,""),"")</f>
        <v/>
      </c>
      <c r="Z224" s="176">
        <f>IF(AND(ISNUMBER(Z134),ISNUMBER(U134)),IFERROR(Z134/U134-1,""),"")</f>
        <v/>
      </c>
      <c r="AA224" s="176">
        <f>IF(AND(ISNUMBER(AA134),ISNUMBER(V134)),IFERROR(AA134/V134-1,""),"")</f>
        <v/>
      </c>
      <c r="AB224" s="176">
        <f>IF(AND(ISNUMBER(AB134),ISNUMBER(W134)),IFERROR(AB134/W134-1,""),"")</f>
        <v/>
      </c>
      <c r="AC224" s="176">
        <f>IF(AND(ISNUMBER(AC134),ISNUMBER(X134)),IFERROR(AC134/X134-1,""),"")</f>
        <v/>
      </c>
      <c r="AD224" s="176">
        <f>IF(AND(ISNUMBER(AD134),ISNUMBER(Y134)),IFERROR(AD134/Y134-1,""),"")</f>
        <v/>
      </c>
      <c r="AE224" s="176">
        <f>IF(AND(ISNUMBER(AE134),ISNUMBER(Z134)),IFERROR(AE134/Z134-1,""),"")</f>
        <v/>
      </c>
      <c r="AF224" s="176">
        <f>IF(AND(ISNUMBER(AF134),ISNUMBER(AA134)),IFERROR(AF134/AA134-1,""),"")</f>
        <v/>
      </c>
      <c r="AG224" s="176">
        <f>IF(AND(ISNUMBER(AG134),ISNUMBER(AB134)),IFERROR(AG134/AB134-1,""),"")</f>
        <v/>
      </c>
      <c r="AH224" s="176">
        <f>IF(AND(ISNUMBER(AH134),ISNUMBER(AC134)),IFERROR(AH134/AC134-1,""),"")</f>
        <v/>
      </c>
      <c r="AI224" s="177">
        <f>IF(AND(ISNUMBER(AI134),ISNUMBER(AD134)),IFERROR(AI134/AD134-1,""),"")</f>
        <v/>
      </c>
      <c r="AJ224" s="177">
        <f>IF(AND(ISNUMBER(AJ134),ISNUMBER(AE134)),IFERROR(AJ134/AE134-1,""),"")</f>
        <v/>
      </c>
      <c r="AK224" s="177">
        <f>IF(AND(ISNUMBER(AK134),ISNUMBER(AF134)),IFERROR(AK134/AF134-1,""),"")</f>
        <v/>
      </c>
      <c r="AL224" s="177">
        <f>IF(AND(ISNUMBER(AL134),ISNUMBER(AK134)),IFERROR(AL134/AK134-1,""),"")</f>
        <v/>
      </c>
      <c r="AM224" s="177">
        <f>IF(AND(ISNUMBER(AM134),ISNUMBER(AL134)),IFERROR(AM134/AL134-1,""),"")</f>
        <v/>
      </c>
      <c r="AN224" s="177">
        <f>IF(AND(ISNUMBER(AN134),ISNUMBER(AM134)),IFERROR(AN134/AM134-1,""),"")</f>
        <v/>
      </c>
      <c r="AO224" s="177">
        <f>IF(AND(ISNUMBER(AO134),ISNUMBER(AN134)),IFERROR(AO134/AN134-1,""),"")</f>
        <v/>
      </c>
      <c r="AP224" s="6" t="n"/>
    </row>
    <row r="225" ht="15" customHeight="1">
      <c r="B225" s="23" t="inlineStr">
        <is>
          <t xml:space="preserve">  Net income y/y %</t>
        </is>
      </c>
      <c r="C225" s="24" t="n"/>
      <c r="D225" s="176">
        <f>IF(AND(ISNUMBER(D141),ISNUMBER(C141)),IFERROR(D141/C141-1,""),"")</f>
        <v/>
      </c>
      <c r="E225" s="176">
        <f>IF(AND(ISNUMBER(E141),ISNUMBER(D141)),IFERROR(E141/D141-1,""),"")</f>
        <v/>
      </c>
      <c r="F225" s="176">
        <f>IF(AND(ISNUMBER(F141),ISNUMBER(E141)),IFERROR(F141/E141-1,""),"")</f>
        <v/>
      </c>
      <c r="G225" s="176">
        <f>IF(AND(ISNUMBER(G141),ISNUMBER(F141)),IFERROR(G141/F141-1,""),"")</f>
        <v/>
      </c>
      <c r="H225" s="176">
        <f>IF(AND(ISNUMBER(H141),ISNUMBER(G141)),IFERROR(H141/G141-1,""),"")</f>
        <v/>
      </c>
      <c r="I225" s="176">
        <f>IF(AND(ISNUMBER(I141),ISNUMBER(H141)),IFERROR(I141/H141-1,""),"")</f>
        <v/>
      </c>
      <c r="J225" s="176">
        <f>IF(AND(ISNUMBER(J141),ISNUMBER(I141)),IFERROR(J141/I141-1,""),"")</f>
        <v/>
      </c>
      <c r="K225" s="176">
        <f>IF(AND(ISNUMBER(K141),ISNUMBER(J141)),IFERROR(K141/J141-1,""),"")</f>
        <v/>
      </c>
      <c r="L225" s="176">
        <f>IF(AND(ISNUMBER(L141),ISNUMBER(K141)),IFERROR(L141/K141-1,""),"")</f>
        <v/>
      </c>
      <c r="M225" s="24" t="n"/>
      <c r="N225" s="24" t="n"/>
      <c r="O225" s="24" t="n"/>
      <c r="P225" s="24" t="n"/>
      <c r="Q225" s="176">
        <f>IF(AND(ISNUMBER(Q141),ISNUMBER(L141)),IFERROR(Q141/L141-1,""),"")</f>
        <v/>
      </c>
      <c r="R225" s="176">
        <f>IF(AND(ISNUMBER(R141),ISNUMBER(M141)),IFERROR(R141/M141-1,""),"")</f>
        <v/>
      </c>
      <c r="S225" s="176">
        <f>IF(AND(ISNUMBER(S141),ISNUMBER(N141)),IFERROR(S141/N141-1,""),"")</f>
        <v/>
      </c>
      <c r="T225" s="176">
        <f>IF(AND(ISNUMBER(T141),ISNUMBER(O141)),IFERROR(T141/O141-1,""),"")</f>
        <v/>
      </c>
      <c r="U225" s="176">
        <f>IF(AND(ISNUMBER(U141),ISNUMBER(P141)),IFERROR(U141/P141-1,""),"")</f>
        <v/>
      </c>
      <c r="V225" s="176">
        <f>IF(AND(ISNUMBER(V141),ISNUMBER(Q141)),IFERROR(V141/Q141-1,""),"")</f>
        <v/>
      </c>
      <c r="W225" s="176">
        <f>IF(AND(ISNUMBER(W141),ISNUMBER(R141)),IFERROR(W141/R141-1,""),"")</f>
        <v/>
      </c>
      <c r="X225" s="176">
        <f>IF(AND(ISNUMBER(X141),ISNUMBER(S141)),IFERROR(X141/S141-1,""),"")</f>
        <v/>
      </c>
      <c r="Y225" s="176">
        <f>IF(AND(ISNUMBER(Y141),ISNUMBER(T141)),IFERROR(Y141/T141-1,""),"")</f>
        <v/>
      </c>
      <c r="Z225" s="176">
        <f>IF(AND(ISNUMBER(Z141),ISNUMBER(U141)),IFERROR(Z141/U141-1,""),"")</f>
        <v/>
      </c>
      <c r="AA225" s="176">
        <f>IF(AND(ISNUMBER(AA141),ISNUMBER(V141)),IFERROR(AA141/V141-1,""),"")</f>
        <v/>
      </c>
      <c r="AB225" s="176">
        <f>IF(AND(ISNUMBER(AB141),ISNUMBER(W141)),IFERROR(AB141/W141-1,""),"")</f>
        <v/>
      </c>
      <c r="AC225" s="176">
        <f>IF(AND(ISNUMBER(AC141),ISNUMBER(X141)),IFERROR(AC141/X141-1,""),"")</f>
        <v/>
      </c>
      <c r="AD225" s="176">
        <f>IF(AND(ISNUMBER(AD141),ISNUMBER(Y141)),IFERROR(AD141/Y141-1,""),"")</f>
        <v/>
      </c>
      <c r="AE225" s="176">
        <f>IF(AND(ISNUMBER(AE141),ISNUMBER(Z141)),IFERROR(AE141/Z141-1,""),"")</f>
        <v/>
      </c>
      <c r="AF225" s="176">
        <f>IF(AND(ISNUMBER(AF141),ISNUMBER(AA141)),IFERROR(AF141/AA141-1,""),"")</f>
        <v/>
      </c>
      <c r="AG225" s="176">
        <f>IF(AND(ISNUMBER(AG141),ISNUMBER(AB141)),IFERROR(AG141/AB141-1,""),"")</f>
        <v/>
      </c>
      <c r="AH225" s="176">
        <f>IF(AND(ISNUMBER(AH141),ISNUMBER(AC141)),IFERROR(AH141/AC141-1,""),"")</f>
        <v/>
      </c>
      <c r="AI225" s="177">
        <f>IF(AND(ISNUMBER(AI141),ISNUMBER(AD141)),IFERROR(AI141/AD141-1,""),"")</f>
        <v/>
      </c>
      <c r="AJ225" s="177">
        <f>IF(AND(ISNUMBER(AJ141),ISNUMBER(AE141)),IFERROR(AJ141/AE141-1,""),"")</f>
        <v/>
      </c>
      <c r="AK225" s="177">
        <f>IF(AND(ISNUMBER(AK141),ISNUMBER(AF141)),IFERROR(AK141/AF141-1,""),"")</f>
        <v/>
      </c>
      <c r="AL225" s="177">
        <f>IF(AND(ISNUMBER(AL141),ISNUMBER(AK141)),IFERROR(AL141/AK141-1,""),"")</f>
        <v/>
      </c>
      <c r="AM225" s="177">
        <f>IF(AND(ISNUMBER(AM141),ISNUMBER(AL141)),IFERROR(AM141/AL141-1,""),"")</f>
        <v/>
      </c>
      <c r="AN225" s="177">
        <f>IF(AND(ISNUMBER(AN141),ISNUMBER(AM141)),IFERROR(AN141/AM141-1,""),"")</f>
        <v/>
      </c>
      <c r="AO225" s="177">
        <f>IF(AND(ISNUMBER(AO141),ISNUMBER(AN141)),IFERROR(AO141/AN141-1,""),"")</f>
        <v/>
      </c>
      <c r="AP225" s="6" t="n"/>
    </row>
    <row r="226" ht="15" customHeight="1">
      <c r="B226" s="23" t="inlineStr">
        <is>
          <t xml:space="preserve">  Adjusted EPS y/y %</t>
        </is>
      </c>
      <c r="C226" s="24" t="n"/>
      <c r="D226" s="176">
        <f>IF(AND(ISNUMBER(D204),ISNUMBER(C204)),IFERROR(D204/C204-1,""),"")</f>
        <v/>
      </c>
      <c r="E226" s="176">
        <f>IF(AND(ISNUMBER(E204),ISNUMBER(D204)),IFERROR(E204/D204-1,""),"")</f>
        <v/>
      </c>
      <c r="F226" s="176">
        <f>IF(AND(ISNUMBER(F204),ISNUMBER(E204)),IFERROR(F204/E204-1,""),"")</f>
        <v/>
      </c>
      <c r="G226" s="176">
        <f>IF(AND(ISNUMBER(G204),ISNUMBER(F204)),IFERROR(G204/F204-1,""),"")</f>
        <v/>
      </c>
      <c r="H226" s="176">
        <f>IF(AND(ISNUMBER(H204),ISNUMBER(G204)),IFERROR(H204/G204-1,""),"")</f>
        <v/>
      </c>
      <c r="I226" s="176">
        <f>IF(AND(ISNUMBER(I204),ISNUMBER(H204)),IFERROR(I204/H204-1,""),"")</f>
        <v/>
      </c>
      <c r="J226" s="176">
        <f>IF(AND(ISNUMBER(J204),ISNUMBER(I204)),IFERROR(J204/I204-1,""),"")</f>
        <v/>
      </c>
      <c r="K226" s="176">
        <f>IF(AND(ISNUMBER(K204),ISNUMBER(J204)),IFERROR(K204/J204-1,""),"")</f>
        <v/>
      </c>
      <c r="L226" s="176">
        <f>IF(AND(ISNUMBER(L204),ISNUMBER(K204)),IFERROR(L204/K204-1,""),"")</f>
        <v/>
      </c>
      <c r="M226" s="24" t="n"/>
      <c r="N226" s="24" t="n"/>
      <c r="O226" s="24" t="n"/>
      <c r="P226" s="24" t="n"/>
      <c r="Q226" s="176">
        <f>IF(AND(ISNUMBER(Q204),ISNUMBER(L204)),IFERROR(Q204/L204-1,""),"")</f>
        <v/>
      </c>
      <c r="R226" s="176">
        <f>IF(AND(ISNUMBER(R204),ISNUMBER(M204)),IFERROR(R204/M204-1,""),"")</f>
        <v/>
      </c>
      <c r="S226" s="176">
        <f>IF(AND(ISNUMBER(S204),ISNUMBER(N204)),IFERROR(S204/N204-1,""),"")</f>
        <v/>
      </c>
      <c r="T226" s="176">
        <f>IF(AND(ISNUMBER(T204),ISNUMBER(O204)),IFERROR(T204/O204-1,""),"")</f>
        <v/>
      </c>
      <c r="U226" s="176">
        <f>IF(AND(ISNUMBER(U204),ISNUMBER(P204)),IFERROR(U204/P204-1,""),"")</f>
        <v/>
      </c>
      <c r="V226" s="176">
        <f>IF(AND(ISNUMBER(V204),ISNUMBER(Q204)),IFERROR(V204/Q204-1,""),"")</f>
        <v/>
      </c>
      <c r="W226" s="176">
        <f>IF(AND(ISNUMBER(W204),ISNUMBER(R204)),IFERROR(W204/R204-1,""),"")</f>
        <v/>
      </c>
      <c r="X226" s="176">
        <f>IF(AND(ISNUMBER(X204),ISNUMBER(S204)),IFERROR(X204/S204-1,""),"")</f>
        <v/>
      </c>
      <c r="Y226" s="176">
        <f>IF(AND(ISNUMBER(Y204),ISNUMBER(T204)),IFERROR(Y204/T204-1,""),"")</f>
        <v/>
      </c>
      <c r="Z226" s="176">
        <f>IF(AND(ISNUMBER(Z204),ISNUMBER(U204)),IFERROR(Z204/U204-1,""),"")</f>
        <v/>
      </c>
      <c r="AA226" s="176">
        <f>IF(AND(ISNUMBER(AA204),ISNUMBER(V204)),IFERROR(AA204/V204-1,""),"")</f>
        <v/>
      </c>
      <c r="AB226" s="176">
        <f>IF(AND(ISNUMBER(AB204),ISNUMBER(W204)),IFERROR(AB204/W204-1,""),"")</f>
        <v/>
      </c>
      <c r="AC226" s="176">
        <f>IF(AND(ISNUMBER(AC204),ISNUMBER(X204)),IFERROR(AC204/X204-1,""),"")</f>
        <v/>
      </c>
      <c r="AD226" s="176">
        <f>IF(AND(ISNUMBER(AD204),ISNUMBER(Y204)),IFERROR(AD204/Y204-1,""),"")</f>
        <v/>
      </c>
      <c r="AE226" s="176">
        <f>IF(AND(ISNUMBER(AE204),ISNUMBER(Z204)),IFERROR(AE204/Z204-1,""),"")</f>
        <v/>
      </c>
      <c r="AF226" s="176">
        <f>IF(AND(ISNUMBER(AF204),ISNUMBER(AA204)),IFERROR(AF204/AA204-1,""),"")</f>
        <v/>
      </c>
      <c r="AG226" s="176">
        <f>IF(AND(ISNUMBER(AG204),ISNUMBER(AB204)),IFERROR(AG204/AB204-1,""),"")</f>
        <v/>
      </c>
      <c r="AH226" s="176">
        <f>IF(AND(ISNUMBER(AH204),ISNUMBER(AC204)),IFERROR(AH204/AC204-1,""),"")</f>
        <v/>
      </c>
      <c r="AI226" s="177">
        <f>IF(AND(ISNUMBER(AI204),ISNUMBER(AD204)),IFERROR(AI204/AD204-1,""),"")</f>
        <v/>
      </c>
      <c r="AJ226" s="177">
        <f>IF(AND(ISNUMBER(AJ204),ISNUMBER(AE204)),IFERROR(AJ204/AE204-1,""),"")</f>
        <v/>
      </c>
      <c r="AK226" s="177">
        <f>IF(AND(ISNUMBER(AK204),ISNUMBER(AF204)),IFERROR(AK204/AF204-1,""),"")</f>
        <v/>
      </c>
      <c r="AL226" s="177">
        <f>IF(AND(ISNUMBER(AL204),ISNUMBER(AK204)),IFERROR(AL204/AK204-1,""),"")</f>
        <v/>
      </c>
      <c r="AM226" s="177">
        <f>IF(AND(ISNUMBER(AM204),ISNUMBER(AL204)),IFERROR(AM204/AL204-1,""),"")</f>
        <v/>
      </c>
      <c r="AN226" s="177">
        <f>IF(AND(ISNUMBER(AN204),ISNUMBER(AM204)),IFERROR(AN204/AM204-1,""),"")</f>
        <v/>
      </c>
      <c r="AO226" s="177">
        <f>IF(AND(ISNUMBER(AO204),ISNUMBER(AN204)),IFERROR(AO204/AN204-1,""),"")</f>
        <v/>
      </c>
      <c r="AP226" s="6" t="n"/>
    </row>
    <row r="227" ht="15" customHeight="1">
      <c r="B227" s="26" t="inlineStr">
        <is>
          <t xml:space="preserve">  Gross margin %</t>
        </is>
      </c>
      <c r="C227" s="183">
        <f>IF(AND(ISNUMBER(C129),ISNUMBER(C127)),IFERROR(C129/C127,""),"")</f>
        <v/>
      </c>
      <c r="D227" s="183">
        <f>IF(AND(ISNUMBER(D129),ISNUMBER(D127)),IFERROR(D129/D127,""),"")</f>
        <v/>
      </c>
      <c r="E227" s="183">
        <f>IF(AND(ISNUMBER(E129),ISNUMBER(E127)),IFERROR(E129/E127,""),"")</f>
        <v/>
      </c>
      <c r="F227" s="183">
        <f>IF(AND(ISNUMBER(F129),ISNUMBER(F127)),IFERROR(F129/F127,""),"")</f>
        <v/>
      </c>
      <c r="G227" s="183">
        <f>IF(AND(ISNUMBER(G129),ISNUMBER(G127)),IFERROR(G129/G127,""),"")</f>
        <v/>
      </c>
      <c r="H227" s="183">
        <f>IF(AND(ISNUMBER(H129),ISNUMBER(H127)),IFERROR(H129/H127,""),"")</f>
        <v/>
      </c>
      <c r="I227" s="183">
        <f>IF(AND(ISNUMBER(I129),ISNUMBER(I127)),IFERROR(I129/I127,""),"")</f>
        <v/>
      </c>
      <c r="J227" s="183">
        <f>IF(AND(ISNUMBER(J129),ISNUMBER(J127)),IFERROR(J129/J127,""),"")</f>
        <v/>
      </c>
      <c r="K227" s="183">
        <f>IF(AND(ISNUMBER(K129),ISNUMBER(K127)),IFERROR(K129/K127,""),"")</f>
        <v/>
      </c>
      <c r="L227" s="183">
        <f>IF(AND(ISNUMBER(L129),ISNUMBER(L127)),IFERROR(L129/L127,""),"")</f>
        <v/>
      </c>
      <c r="M227" s="183">
        <f>IF(AND(ISNUMBER(M129),ISNUMBER(M127)),IFERROR(M129/M127,""),"")</f>
        <v/>
      </c>
      <c r="N227" s="183">
        <f>IF(AND(ISNUMBER(N129),ISNUMBER(N127)),IFERROR(N129/N127,""),"")</f>
        <v/>
      </c>
      <c r="O227" s="183">
        <f>IF(AND(ISNUMBER(O129),ISNUMBER(O127)),IFERROR(O129/O127,""),"")</f>
        <v/>
      </c>
      <c r="P227" s="183">
        <f>IF(AND(ISNUMBER(P129),ISNUMBER(P127)),IFERROR(P129/P127,""),"")</f>
        <v/>
      </c>
      <c r="Q227" s="183">
        <f>IF(AND(ISNUMBER(Q129),ISNUMBER(Q127)),IFERROR(Q129/Q127,""),"")</f>
        <v/>
      </c>
      <c r="R227" s="183">
        <f>IF(AND(ISNUMBER(R129),ISNUMBER(R127)),IFERROR(R129/R127,""),"")</f>
        <v/>
      </c>
      <c r="S227" s="183">
        <f>IF(AND(ISNUMBER(S129),ISNUMBER(S127)),IFERROR(S129/S127,""),"")</f>
        <v/>
      </c>
      <c r="T227" s="183">
        <f>IF(AND(ISNUMBER(T129),ISNUMBER(T127)),IFERROR(T129/T127,""),"")</f>
        <v/>
      </c>
      <c r="U227" s="183">
        <f>IF(AND(ISNUMBER(U129),ISNUMBER(U127)),IFERROR(U129/U127,""),"")</f>
        <v/>
      </c>
      <c r="V227" s="183">
        <f>IF(AND(ISNUMBER(V129),ISNUMBER(V127)),IFERROR(V129/V127,""),"")</f>
        <v/>
      </c>
      <c r="W227" s="183">
        <f>IF(AND(ISNUMBER(W129),ISNUMBER(W127)),IFERROR(W129/W127,""),"")</f>
        <v/>
      </c>
      <c r="X227" s="183">
        <f>IF(AND(ISNUMBER(X129),ISNUMBER(X127)),IFERROR(X129/X127,""),"")</f>
        <v/>
      </c>
      <c r="Y227" s="183">
        <f>IF(AND(ISNUMBER(Y129),ISNUMBER(Y127)),IFERROR(Y129/Y127,""),"")</f>
        <v/>
      </c>
      <c r="Z227" s="183">
        <f>IF(AND(ISNUMBER(Z129),ISNUMBER(Z127)),IFERROR(Z129/Z127,""),"")</f>
        <v/>
      </c>
      <c r="AA227" s="183">
        <f>IF(AND(ISNUMBER(AA129),ISNUMBER(AA127)),IFERROR(AA129/AA127,""),"")</f>
        <v/>
      </c>
      <c r="AB227" s="183">
        <f>IF(AND(ISNUMBER(AB129),ISNUMBER(AB127)),IFERROR(AB129/AB127,""),"")</f>
        <v/>
      </c>
      <c r="AC227" s="183">
        <f>IF(AND(ISNUMBER(AC129),ISNUMBER(AC127)),IFERROR(AC129/AC127,""),"")</f>
        <v/>
      </c>
      <c r="AD227" s="183">
        <f>IF(AND(ISNUMBER(AD129),ISNUMBER(AD127)),IFERROR(AD129/AD127,""),"")</f>
        <v/>
      </c>
      <c r="AE227" s="183">
        <f>IF(AND(ISNUMBER(AE129),ISNUMBER(AE127)),IFERROR(AE129/AE127,""),"")</f>
        <v/>
      </c>
      <c r="AF227" s="183">
        <f>IF(AND(ISNUMBER(AF129),ISNUMBER(AF127)),IFERROR(AF129/AF127,""),"")</f>
        <v/>
      </c>
      <c r="AG227" s="183">
        <f>IF(AND(ISNUMBER(AG129),ISNUMBER(AG127)),IFERROR(AG129/AG127,""),"")</f>
        <v/>
      </c>
      <c r="AH227" s="183">
        <f>IF(AND(ISNUMBER(AH129),ISNUMBER(AH127)),IFERROR(AH129/AH127,""),"")</f>
        <v/>
      </c>
      <c r="AI227" s="177">
        <f>IF(AND(ISNUMBER(AI129),ISNUMBER(AI127)),IFERROR(AI129/AI127,""),"")</f>
        <v/>
      </c>
      <c r="AJ227" s="177">
        <f>IF(AND(ISNUMBER(AJ129),ISNUMBER(AJ127)),IFERROR(AJ129/AJ127,""),"")</f>
        <v/>
      </c>
      <c r="AK227" s="177">
        <f>IF(AND(ISNUMBER(AK129),ISNUMBER(AK127)),IFERROR(AK129/AK127,""),"")</f>
        <v/>
      </c>
      <c r="AL227" s="177">
        <f>IF(AND(ISNUMBER(AL129),ISNUMBER(AL127)),IFERROR(AL129/AL127,""),"")</f>
        <v/>
      </c>
      <c r="AM227" s="177">
        <f>IF(AND(ISNUMBER(AM129),ISNUMBER(AM127)),IFERROR(AM129/AM127,""),"")</f>
        <v/>
      </c>
      <c r="AN227" s="177">
        <f>IF(AND(ISNUMBER(AN129),ISNUMBER(AN127)),IFERROR(AN129/AN127,""),"")</f>
        <v/>
      </c>
      <c r="AO227" s="177">
        <f>IF(AND(ISNUMBER(AO129),ISNUMBER(AO127)),IFERROR(AO129/AO127,""),"")</f>
        <v/>
      </c>
      <c r="AP227" s="6" t="n"/>
      <c r="AR227" s="39">
        <f>IFERROR(AVERAGE(AK227,AL227,AM227,AN227,AO227),"n/m")</f>
        <v/>
      </c>
      <c r="AS227" s="39">
        <f>IFERROR(AVERAGE(L227,Q227,V227,AA227,AF227),"n/m")</f>
        <v/>
      </c>
      <c r="AT227" s="39">
        <f>IFERROR(AVERAGE(G227,H227,I227,J227,K227,L227,Q227,V227,AA227,AF227),"n/m")</f>
        <v/>
      </c>
      <c r="AU227" s="39">
        <f>IFERROR(AVERAGE(C227,D227,E227,F227,G227,H227,I227,J227,K227,L227,Q227,V227,AA227,AF227),"n/m")</f>
        <v/>
      </c>
    </row>
    <row r="228" ht="15" customHeight="1">
      <c r="B228" s="26" t="inlineStr">
        <is>
          <t xml:space="preserve">  Adjusted EBITDA margin %</t>
        </is>
      </c>
      <c r="C228" s="183">
        <f>IF(AND(ISNUMBER(C174),ISNUMBER(C127)),IFERROR(C174/C127,""),"")</f>
        <v/>
      </c>
      <c r="D228" s="183">
        <f>IF(AND(ISNUMBER(D174),ISNUMBER(D127)),IFERROR(D174/D127,""),"")</f>
        <v/>
      </c>
      <c r="E228" s="183">
        <f>IF(AND(ISNUMBER(E174),ISNUMBER(E127)),IFERROR(E174/E127,""),"")</f>
        <v/>
      </c>
      <c r="F228" s="183">
        <f>IF(AND(ISNUMBER(F174),ISNUMBER(F127)),IFERROR(F174/F127,""),"")</f>
        <v/>
      </c>
      <c r="G228" s="183">
        <f>IF(AND(ISNUMBER(G174),ISNUMBER(G127)),IFERROR(G174/G127,""),"")</f>
        <v/>
      </c>
      <c r="H228" s="183">
        <f>IF(AND(ISNUMBER(H174),ISNUMBER(H127)),IFERROR(H174/H127,""),"")</f>
        <v/>
      </c>
      <c r="I228" s="183">
        <f>IF(AND(ISNUMBER(I174),ISNUMBER(I127)),IFERROR(I174/I127,""),"")</f>
        <v/>
      </c>
      <c r="J228" s="183">
        <f>IF(AND(ISNUMBER(J174),ISNUMBER(J127)),IFERROR(J174/J127,""),"")</f>
        <v/>
      </c>
      <c r="K228" s="183">
        <f>IF(AND(ISNUMBER(K174),ISNUMBER(K127)),IFERROR(K174/K127,""),"")</f>
        <v/>
      </c>
      <c r="L228" s="183">
        <f>IF(AND(ISNUMBER(L174),ISNUMBER(L127)),IFERROR(L174/L127,""),"")</f>
        <v/>
      </c>
      <c r="M228" s="183">
        <f>IF(AND(ISNUMBER(M174),ISNUMBER(M127)),IFERROR(M174/M127,""),"")</f>
        <v/>
      </c>
      <c r="N228" s="183">
        <f>IF(AND(ISNUMBER(N174),ISNUMBER(N127)),IFERROR(N174/N127,""),"")</f>
        <v/>
      </c>
      <c r="O228" s="183">
        <f>IF(AND(ISNUMBER(O174),ISNUMBER(O127)),IFERROR(O174/O127,""),"")</f>
        <v/>
      </c>
      <c r="P228" s="183">
        <f>IF(AND(ISNUMBER(P174),ISNUMBER(P127)),IFERROR(P174/P127,""),"")</f>
        <v/>
      </c>
      <c r="Q228" s="183">
        <f>IF(AND(ISNUMBER(Q174),ISNUMBER(Q127)),IFERROR(Q174/Q127,""),"")</f>
        <v/>
      </c>
      <c r="R228" s="183">
        <f>IF(AND(ISNUMBER(R174),ISNUMBER(R127)),IFERROR(R174/R127,""),"")</f>
        <v/>
      </c>
      <c r="S228" s="183">
        <f>IF(AND(ISNUMBER(S174),ISNUMBER(S127)),IFERROR(S174/S127,""),"")</f>
        <v/>
      </c>
      <c r="T228" s="183">
        <f>IF(AND(ISNUMBER(T174),ISNUMBER(T127)),IFERROR(T174/T127,""),"")</f>
        <v/>
      </c>
      <c r="U228" s="183">
        <f>IF(AND(ISNUMBER(U174),ISNUMBER(U127)),IFERROR(U174/U127,""),"")</f>
        <v/>
      </c>
      <c r="V228" s="183">
        <f>IF(AND(ISNUMBER(V174),ISNUMBER(V127)),IFERROR(V174/V127,""),"")</f>
        <v/>
      </c>
      <c r="W228" s="183">
        <f>IF(AND(ISNUMBER(W174),ISNUMBER(W127)),IFERROR(W174/W127,""),"")</f>
        <v/>
      </c>
      <c r="X228" s="183">
        <f>IF(AND(ISNUMBER(X174),ISNUMBER(X127)),IFERROR(X174/X127,""),"")</f>
        <v/>
      </c>
      <c r="Y228" s="183">
        <f>IF(AND(ISNUMBER(Y174),ISNUMBER(Y127)),IFERROR(Y174/Y127,""),"")</f>
        <v/>
      </c>
      <c r="Z228" s="183">
        <f>IF(AND(ISNUMBER(Z174),ISNUMBER(Z127)),IFERROR(Z174/Z127,""),"")</f>
        <v/>
      </c>
      <c r="AA228" s="183">
        <f>IF(AND(ISNUMBER(AA174),ISNUMBER(AA127)),IFERROR(AA174/AA127,""),"")</f>
        <v/>
      </c>
      <c r="AB228" s="183">
        <f>IF(AND(ISNUMBER(AB174),ISNUMBER(AB127)),IFERROR(AB174/AB127,""),"")</f>
        <v/>
      </c>
      <c r="AC228" s="183">
        <f>IF(AND(ISNUMBER(AC174),ISNUMBER(AC127)),IFERROR(AC174/AC127,""),"")</f>
        <v/>
      </c>
      <c r="AD228" s="183">
        <f>IF(AND(ISNUMBER(AD174),ISNUMBER(AD127)),IFERROR(AD174/AD127,""),"")</f>
        <v/>
      </c>
      <c r="AE228" s="183">
        <f>IF(AND(ISNUMBER(AE174),ISNUMBER(AE127)),IFERROR(AE174/AE127,""),"")</f>
        <v/>
      </c>
      <c r="AF228" s="183">
        <f>IF(AND(ISNUMBER(AF174),ISNUMBER(AF127)),IFERROR(AF174/AF127,""),"")</f>
        <v/>
      </c>
      <c r="AG228" s="183">
        <f>IF(AND(ISNUMBER(AG174),ISNUMBER(AG127)),IFERROR(AG174/AG127,""),"")</f>
        <v/>
      </c>
      <c r="AH228" s="183">
        <f>IF(AND(ISNUMBER(AH174),ISNUMBER(AH127)),IFERROR(AH174/AH127,""),"")</f>
        <v/>
      </c>
      <c r="AI228" s="177">
        <f>IF(AND(ISNUMBER(AI174),ISNUMBER(AI127)),IFERROR(AI174/AI127,""),"")</f>
        <v/>
      </c>
      <c r="AJ228" s="177">
        <f>IF(AND(ISNUMBER(AJ174),ISNUMBER(AJ127)),IFERROR(AJ174/AJ127,""),"")</f>
        <v/>
      </c>
      <c r="AK228" s="177">
        <f>IF(AND(ISNUMBER(AK174),ISNUMBER(AK127)),IFERROR(AK174/AK127,""),"")</f>
        <v/>
      </c>
      <c r="AL228" s="177">
        <f>IF(AND(ISNUMBER(AL174),ISNUMBER(AL127)),IFERROR(AL174/AL127,""),"")</f>
        <v/>
      </c>
      <c r="AM228" s="177">
        <f>IF(AND(ISNUMBER(AM174),ISNUMBER(AM127)),IFERROR(AM174/AM127,""),"")</f>
        <v/>
      </c>
      <c r="AN228" s="177">
        <f>IF(AND(ISNUMBER(AN174),ISNUMBER(AN127)),IFERROR(AN174/AN127,""),"")</f>
        <v/>
      </c>
      <c r="AO228" s="177">
        <f>IF(AND(ISNUMBER(AO174),ISNUMBER(AO127)),IFERROR(AO174/AO127,""),"")</f>
        <v/>
      </c>
      <c r="AP228" s="6" t="n"/>
      <c r="AR228" s="39">
        <f>IFERROR(AVERAGE(AK228,AL228,AM228,AN228,AO228),"n/m")</f>
        <v/>
      </c>
      <c r="AS228" s="39">
        <f>IFERROR(AVERAGE(L228,Q228,V228,AA228,AF228),"n/m")</f>
        <v/>
      </c>
      <c r="AT228" s="39">
        <f>IFERROR(AVERAGE(G228,H228,I228,J228,K228,L228,Q228,V228,AA228,AF228),"n/m")</f>
        <v/>
      </c>
      <c r="AU228" s="39">
        <f>IFERROR(AVERAGE(C228,D228,E228,F228,G228,H228,I228,J228,K228,L228,Q228,V228,AA228,AF228),"n/m")</f>
        <v/>
      </c>
    </row>
    <row r="229" ht="15" customHeight="1">
      <c r="B229" s="26" t="inlineStr">
        <is>
          <t xml:space="preserve">  Incremental Adjusted EBITDA margin (ΔEBITDA / ΔNet sales)</t>
        </is>
      </c>
      <c r="C229" s="38" t="n"/>
      <c r="D229" s="183">
        <f>IFERROR((D174-C174)/(D127-C127),"")</f>
        <v/>
      </c>
      <c r="E229" s="183">
        <f>IFERROR((E174-D174)/(E127-D127),"")</f>
        <v/>
      </c>
      <c r="F229" s="183">
        <f>IFERROR((F174-E174)/(F127-E127),"")</f>
        <v/>
      </c>
      <c r="G229" s="183">
        <f>IFERROR((G174-F174)/(G127-F127),"")</f>
        <v/>
      </c>
      <c r="H229" s="183">
        <f>IFERROR((H174-G174)/(H127-G127),"")</f>
        <v/>
      </c>
      <c r="I229" s="183">
        <f>IFERROR((I174-H174)/(I127-H127),"")</f>
        <v/>
      </c>
      <c r="J229" s="183">
        <f>IFERROR((J174-I174)/(J127-I127),"")</f>
        <v/>
      </c>
      <c r="K229" s="183">
        <f>IFERROR((K174-J174)/(K127-J127),"")</f>
        <v/>
      </c>
      <c r="L229" s="183">
        <f>IFERROR((L174-K174)/(L127-K127),"")</f>
        <v/>
      </c>
      <c r="M229" s="38" t="n"/>
      <c r="N229" s="38" t="n"/>
      <c r="O229" s="38" t="n"/>
      <c r="P229" s="38" t="n"/>
      <c r="Q229" s="183">
        <f>IFERROR((Q174-L174)/(Q127-L127),"")</f>
        <v/>
      </c>
      <c r="R229" s="183">
        <f>IFERROR((R174-M174)/(R127-M127),"")</f>
        <v/>
      </c>
      <c r="S229" s="183">
        <f>IFERROR((S174-N174)/(S127-N127),"")</f>
        <v/>
      </c>
      <c r="T229" s="183">
        <f>IFERROR((T174-O174)/(T127-O127),"")</f>
        <v/>
      </c>
      <c r="U229" s="183">
        <f>IFERROR((U174-P174)/(U127-P127),"")</f>
        <v/>
      </c>
      <c r="V229" s="183">
        <f>IFERROR((V174-Q174)/(V127-Q127),"")</f>
        <v/>
      </c>
      <c r="W229" s="183">
        <f>IFERROR((W174-R174)/(W127-R127),"")</f>
        <v/>
      </c>
      <c r="X229" s="183">
        <f>IFERROR((X174-S174)/(X127-S127),"")</f>
        <v/>
      </c>
      <c r="Y229" s="183">
        <f>IFERROR((Y174-T174)/(Y127-T127),"")</f>
        <v/>
      </c>
      <c r="Z229" s="183">
        <f>IFERROR((Z174-U174)/(Z127-U127),"")</f>
        <v/>
      </c>
      <c r="AA229" s="183">
        <f>IFERROR((AA174-V174)/(AA127-V127),"")</f>
        <v/>
      </c>
      <c r="AB229" s="183">
        <f>IFERROR((AB174-W174)/(AB127-W127),"")</f>
        <v/>
      </c>
      <c r="AC229" s="183">
        <f>IFERROR((AC174-X174)/(AC127-X127),"")</f>
        <v/>
      </c>
      <c r="AD229" s="183">
        <f>IFERROR((AD174-Y174)/(AD127-Y127),"")</f>
        <v/>
      </c>
      <c r="AE229" s="183">
        <f>IFERROR((AE174-Z174)/(AE127-Z127),"")</f>
        <v/>
      </c>
      <c r="AF229" s="183">
        <f>IFERROR((AF174-AA174)/(AF127-AA127),"")</f>
        <v/>
      </c>
      <c r="AG229" s="183">
        <f>IFERROR((AG174-AB174)/(AG127-AB127),"")</f>
        <v/>
      </c>
      <c r="AH229" s="183">
        <f>IFERROR((AH174-AC174)/(AH127-AC127),"")</f>
        <v/>
      </c>
      <c r="AI229" s="177">
        <f>IFERROR((AI174-AD174)/(AI127-AD127),"")</f>
        <v/>
      </c>
      <c r="AJ229" s="177">
        <f>IFERROR((AJ174-AE174)/(AJ127-AE127),"")</f>
        <v/>
      </c>
      <c r="AK229" s="177">
        <f>IFERROR((AK174-AF174)/(AK127-AF127),"")</f>
        <v/>
      </c>
      <c r="AL229" s="177">
        <f>IFERROR((AL174-AK174)/(AL127-AK127),"")</f>
        <v/>
      </c>
      <c r="AM229" s="177">
        <f>IFERROR((AM174-AL174)/(AM127-AL127),"")</f>
        <v/>
      </c>
      <c r="AN229" s="177">
        <f>IFERROR((AN174-AM174)/(AN127-AM127),"")</f>
        <v/>
      </c>
      <c r="AO229" s="177">
        <f>IFERROR((AO174-AN174)/(AO127-AN127),"")</f>
        <v/>
      </c>
      <c r="AP229" s="6" t="n"/>
    </row>
    <row r="230" ht="15" customHeight="1">
      <c r="B230" s="26" t="inlineStr">
        <is>
          <t xml:space="preserve">  Adjusted EBITA margin %</t>
        </is>
      </c>
      <c r="C230" s="183">
        <f>IF(AND(ISNUMBER(C190),ISNUMBER(C127)),IFERROR(C190/C127,""),"")</f>
        <v/>
      </c>
      <c r="D230" s="183">
        <f>IF(AND(ISNUMBER(D190),ISNUMBER(D127)),IFERROR(D190/D127,""),"")</f>
        <v/>
      </c>
      <c r="E230" s="183">
        <f>IF(AND(ISNUMBER(E190),ISNUMBER(E127)),IFERROR(E190/E127,""),"")</f>
        <v/>
      </c>
      <c r="F230" s="183">
        <f>IF(AND(ISNUMBER(F190),ISNUMBER(F127)),IFERROR(F190/F127,""),"")</f>
        <v/>
      </c>
      <c r="G230" s="183">
        <f>IF(AND(ISNUMBER(G190),ISNUMBER(G127)),IFERROR(G190/G127,""),"")</f>
        <v/>
      </c>
      <c r="H230" s="183">
        <f>IF(AND(ISNUMBER(H190),ISNUMBER(H127)),IFERROR(H190/H127,""),"")</f>
        <v/>
      </c>
      <c r="I230" s="183">
        <f>IF(AND(ISNUMBER(I190),ISNUMBER(I127)),IFERROR(I190/I127,""),"")</f>
        <v/>
      </c>
      <c r="J230" s="183">
        <f>IF(AND(ISNUMBER(J190),ISNUMBER(J127)),IFERROR(J190/J127,""),"")</f>
        <v/>
      </c>
      <c r="K230" s="183">
        <f>IF(AND(ISNUMBER(K190),ISNUMBER(K127)),IFERROR(K190/K127,""),"")</f>
        <v/>
      </c>
      <c r="L230" s="183">
        <f>IF(AND(ISNUMBER(L190),ISNUMBER(L127)),IFERROR(L190/L127,""),"")</f>
        <v/>
      </c>
      <c r="M230" s="183">
        <f>IF(AND(ISNUMBER(M190),ISNUMBER(M127)),IFERROR(M190/M127,""),"")</f>
        <v/>
      </c>
      <c r="N230" s="183">
        <f>IF(AND(ISNUMBER(N190),ISNUMBER(N127)),IFERROR(N190/N127,""),"")</f>
        <v/>
      </c>
      <c r="O230" s="183">
        <f>IF(AND(ISNUMBER(O190),ISNUMBER(O127)),IFERROR(O190/O127,""),"")</f>
        <v/>
      </c>
      <c r="P230" s="183">
        <f>IF(AND(ISNUMBER(P190),ISNUMBER(P127)),IFERROR(P190/P127,""),"")</f>
        <v/>
      </c>
      <c r="Q230" s="183">
        <f>IF(AND(ISNUMBER(Q190),ISNUMBER(Q127)),IFERROR(Q190/Q127,""),"")</f>
        <v/>
      </c>
      <c r="R230" s="183">
        <f>IF(AND(ISNUMBER(R190),ISNUMBER(R127)),IFERROR(R190/R127,""),"")</f>
        <v/>
      </c>
      <c r="S230" s="183">
        <f>IF(AND(ISNUMBER(S190),ISNUMBER(S127)),IFERROR(S190/S127,""),"")</f>
        <v/>
      </c>
      <c r="T230" s="183">
        <f>IF(AND(ISNUMBER(T190),ISNUMBER(T127)),IFERROR(T190/T127,""),"")</f>
        <v/>
      </c>
      <c r="U230" s="183">
        <f>IF(AND(ISNUMBER(U190),ISNUMBER(U127)),IFERROR(U190/U127,""),"")</f>
        <v/>
      </c>
      <c r="V230" s="183">
        <f>IF(AND(ISNUMBER(V190),ISNUMBER(V127)),IFERROR(V190/V127,""),"")</f>
        <v/>
      </c>
      <c r="W230" s="183">
        <f>IF(AND(ISNUMBER(W190),ISNUMBER(W127)),IFERROR(W190/W127,""),"")</f>
        <v/>
      </c>
      <c r="X230" s="183">
        <f>IF(AND(ISNUMBER(X190),ISNUMBER(X127)),IFERROR(X190/X127,""),"")</f>
        <v/>
      </c>
      <c r="Y230" s="183">
        <f>IF(AND(ISNUMBER(Y190),ISNUMBER(Y127)),IFERROR(Y190/Y127,""),"")</f>
        <v/>
      </c>
      <c r="Z230" s="183">
        <f>IF(AND(ISNUMBER(Z190),ISNUMBER(Z127)),IFERROR(Z190/Z127,""),"")</f>
        <v/>
      </c>
      <c r="AA230" s="183">
        <f>IF(AND(ISNUMBER(AA190),ISNUMBER(AA127)),IFERROR(AA190/AA127,""),"")</f>
        <v/>
      </c>
      <c r="AB230" s="183">
        <f>IF(AND(ISNUMBER(AB190),ISNUMBER(AB127)),IFERROR(AB190/AB127,""),"")</f>
        <v/>
      </c>
      <c r="AC230" s="183">
        <f>IF(AND(ISNUMBER(AC190),ISNUMBER(AC127)),IFERROR(AC190/AC127,""),"")</f>
        <v/>
      </c>
      <c r="AD230" s="183">
        <f>IF(AND(ISNUMBER(AD190),ISNUMBER(AD127)),IFERROR(AD190/AD127,""),"")</f>
        <v/>
      </c>
      <c r="AE230" s="183">
        <f>IF(AND(ISNUMBER(AE190),ISNUMBER(AE127)),IFERROR(AE190/AE127,""),"")</f>
        <v/>
      </c>
      <c r="AF230" s="183">
        <f>IF(AND(ISNUMBER(AF190),ISNUMBER(AF127)),IFERROR(AF190/AF127,""),"")</f>
        <v/>
      </c>
      <c r="AG230" s="183">
        <f>IF(AND(ISNUMBER(AG190),ISNUMBER(AG127)),IFERROR(AG190/AG127,""),"")</f>
        <v/>
      </c>
      <c r="AH230" s="183">
        <f>IF(AND(ISNUMBER(AH190),ISNUMBER(AH127)),IFERROR(AH190/AH127,""),"")</f>
        <v/>
      </c>
      <c r="AI230" s="177">
        <f>IF(AND(ISNUMBER(AI190),ISNUMBER(AI127)),IFERROR(AI190/AI127,""),"")</f>
        <v/>
      </c>
      <c r="AJ230" s="177">
        <f>IF(AND(ISNUMBER(AJ190),ISNUMBER(AJ127)),IFERROR(AJ190/AJ127,""),"")</f>
        <v/>
      </c>
      <c r="AK230" s="177">
        <f>IF(AND(ISNUMBER(AK190),ISNUMBER(AK127)),IFERROR(AK190/AK127,""),"")</f>
        <v/>
      </c>
      <c r="AL230" s="177">
        <f>IF(AND(ISNUMBER(AL190),ISNUMBER(AL127)),IFERROR(AL190/AL127,""),"")</f>
        <v/>
      </c>
      <c r="AM230" s="177">
        <f>IF(AND(ISNUMBER(AM190),ISNUMBER(AM127)),IFERROR(AM190/AM127,""),"")</f>
        <v/>
      </c>
      <c r="AN230" s="177">
        <f>IF(AND(ISNUMBER(AN190),ISNUMBER(AN127)),IFERROR(AN190/AN127,""),"")</f>
        <v/>
      </c>
      <c r="AO230" s="177">
        <f>IF(AND(ISNUMBER(AO190),ISNUMBER(AO127)),IFERROR(AO190/AO127,""),"")</f>
        <v/>
      </c>
      <c r="AP230" s="6" t="n"/>
      <c r="AR230" s="39">
        <f>IFERROR(AVERAGE(AK230,AL230,AM230,AN230,AO230),"n/m")</f>
        <v/>
      </c>
      <c r="AS230" s="39">
        <f>IFERROR(AVERAGE(L230,Q230,V230,AA230,AF230),"n/m")</f>
        <v/>
      </c>
      <c r="AT230" s="39">
        <f>IFERROR(AVERAGE(G230,H230,I230,J230,K230,L230,Q230,V230,AA230,AF230),"n/m")</f>
        <v/>
      </c>
      <c r="AU230" s="39">
        <f>IFERROR(AVERAGE(C230,D230,E230,F230,G230,H230,I230,J230,K230,L230,Q230,V230,AA230,AF230),"n/m")</f>
        <v/>
      </c>
    </row>
    <row r="231" ht="15" customHeight="1">
      <c r="B231" s="26" t="inlineStr">
        <is>
          <t xml:space="preserve">  Operating margin (GAAP operating income) %</t>
        </is>
      </c>
      <c r="C231" s="183">
        <f>IF(AND(ISNUMBER(C134),ISNUMBER(C127)),IFERROR(C134/C127,""),"")</f>
        <v/>
      </c>
      <c r="D231" s="183">
        <f>IF(AND(ISNUMBER(D134),ISNUMBER(D127)),IFERROR(D134/D127,""),"")</f>
        <v/>
      </c>
      <c r="E231" s="183">
        <f>IF(AND(ISNUMBER(E134),ISNUMBER(E127)),IFERROR(E134/E127,""),"")</f>
        <v/>
      </c>
      <c r="F231" s="183">
        <f>IF(AND(ISNUMBER(F134),ISNUMBER(F127)),IFERROR(F134/F127,""),"")</f>
        <v/>
      </c>
      <c r="G231" s="183">
        <f>IF(AND(ISNUMBER(G134),ISNUMBER(G127)),IFERROR(G134/G127,""),"")</f>
        <v/>
      </c>
      <c r="H231" s="183">
        <f>IF(AND(ISNUMBER(H134),ISNUMBER(H127)),IFERROR(H134/H127,""),"")</f>
        <v/>
      </c>
      <c r="I231" s="183">
        <f>IF(AND(ISNUMBER(I134),ISNUMBER(I127)),IFERROR(I134/I127,""),"")</f>
        <v/>
      </c>
      <c r="J231" s="183">
        <f>IF(AND(ISNUMBER(J134),ISNUMBER(J127)),IFERROR(J134/J127,""),"")</f>
        <v/>
      </c>
      <c r="K231" s="183">
        <f>IF(AND(ISNUMBER(K134),ISNUMBER(K127)),IFERROR(K134/K127,""),"")</f>
        <v/>
      </c>
      <c r="L231" s="183">
        <f>IF(AND(ISNUMBER(L134),ISNUMBER(L127)),IFERROR(L134/L127,""),"")</f>
        <v/>
      </c>
      <c r="M231" s="183">
        <f>IF(AND(ISNUMBER(M134),ISNUMBER(M127)),IFERROR(M134/M127,""),"")</f>
        <v/>
      </c>
      <c r="N231" s="183">
        <f>IF(AND(ISNUMBER(N134),ISNUMBER(N127)),IFERROR(N134/N127,""),"")</f>
        <v/>
      </c>
      <c r="O231" s="183">
        <f>IF(AND(ISNUMBER(O134),ISNUMBER(O127)),IFERROR(O134/O127,""),"")</f>
        <v/>
      </c>
      <c r="P231" s="183">
        <f>IF(AND(ISNUMBER(P134),ISNUMBER(P127)),IFERROR(P134/P127,""),"")</f>
        <v/>
      </c>
      <c r="Q231" s="183">
        <f>IF(AND(ISNUMBER(Q134),ISNUMBER(Q127)),IFERROR(Q134/Q127,""),"")</f>
        <v/>
      </c>
      <c r="R231" s="183">
        <f>IF(AND(ISNUMBER(R134),ISNUMBER(R127)),IFERROR(R134/R127,""),"")</f>
        <v/>
      </c>
      <c r="S231" s="183">
        <f>IF(AND(ISNUMBER(S134),ISNUMBER(S127)),IFERROR(S134/S127,""),"")</f>
        <v/>
      </c>
      <c r="T231" s="183">
        <f>IF(AND(ISNUMBER(T134),ISNUMBER(T127)),IFERROR(T134/T127,""),"")</f>
        <v/>
      </c>
      <c r="U231" s="183">
        <f>IF(AND(ISNUMBER(U134),ISNUMBER(U127)),IFERROR(U134/U127,""),"")</f>
        <v/>
      </c>
      <c r="V231" s="183">
        <f>IF(AND(ISNUMBER(V134),ISNUMBER(V127)),IFERROR(V134/V127,""),"")</f>
        <v/>
      </c>
      <c r="W231" s="183">
        <f>IF(AND(ISNUMBER(W134),ISNUMBER(W127)),IFERROR(W134/W127,""),"")</f>
        <v/>
      </c>
      <c r="X231" s="183">
        <f>IF(AND(ISNUMBER(X134),ISNUMBER(X127)),IFERROR(X134/X127,""),"")</f>
        <v/>
      </c>
      <c r="Y231" s="183">
        <f>IF(AND(ISNUMBER(Y134),ISNUMBER(Y127)),IFERROR(Y134/Y127,""),"")</f>
        <v/>
      </c>
      <c r="Z231" s="183">
        <f>IF(AND(ISNUMBER(Z134),ISNUMBER(Z127)),IFERROR(Z134/Z127,""),"")</f>
        <v/>
      </c>
      <c r="AA231" s="183">
        <f>IF(AND(ISNUMBER(AA134),ISNUMBER(AA127)),IFERROR(AA134/AA127,""),"")</f>
        <v/>
      </c>
      <c r="AB231" s="183">
        <f>IF(AND(ISNUMBER(AB134),ISNUMBER(AB127)),IFERROR(AB134/AB127,""),"")</f>
        <v/>
      </c>
      <c r="AC231" s="183">
        <f>IF(AND(ISNUMBER(AC134),ISNUMBER(AC127)),IFERROR(AC134/AC127,""),"")</f>
        <v/>
      </c>
      <c r="AD231" s="183">
        <f>IF(AND(ISNUMBER(AD134),ISNUMBER(AD127)),IFERROR(AD134/AD127,""),"")</f>
        <v/>
      </c>
      <c r="AE231" s="183">
        <f>IF(AND(ISNUMBER(AE134),ISNUMBER(AE127)),IFERROR(AE134/AE127,""),"")</f>
        <v/>
      </c>
      <c r="AF231" s="183">
        <f>IF(AND(ISNUMBER(AF134),ISNUMBER(AF127)),IFERROR(AF134/AF127,""),"")</f>
        <v/>
      </c>
      <c r="AG231" s="183">
        <f>IF(AND(ISNUMBER(AG134),ISNUMBER(AG127)),IFERROR(AG134/AG127,""),"")</f>
        <v/>
      </c>
      <c r="AH231" s="183">
        <f>IF(AND(ISNUMBER(AH134),ISNUMBER(AH127)),IFERROR(AH134/AH127,""),"")</f>
        <v/>
      </c>
      <c r="AI231" s="177">
        <f>IF(AND(ISNUMBER(AI134),ISNUMBER(AI127)),IFERROR(AI134/AI127,""),"")</f>
        <v/>
      </c>
      <c r="AJ231" s="177">
        <f>IF(AND(ISNUMBER(AJ134),ISNUMBER(AJ127)),IFERROR(AJ134/AJ127,""),"")</f>
        <v/>
      </c>
      <c r="AK231" s="177">
        <f>IF(AND(ISNUMBER(AK134),ISNUMBER(AK127)),IFERROR(AK134/AK127,""),"")</f>
        <v/>
      </c>
      <c r="AL231" s="177">
        <f>IF(AND(ISNUMBER(AL134),ISNUMBER(AL127)),IFERROR(AL134/AL127,""),"")</f>
        <v/>
      </c>
      <c r="AM231" s="177">
        <f>IF(AND(ISNUMBER(AM134),ISNUMBER(AM127)),IFERROR(AM134/AM127,""),"")</f>
        <v/>
      </c>
      <c r="AN231" s="177">
        <f>IF(AND(ISNUMBER(AN134),ISNUMBER(AN127)),IFERROR(AN134/AN127,""),"")</f>
        <v/>
      </c>
      <c r="AO231" s="177">
        <f>IF(AND(ISNUMBER(AO134),ISNUMBER(AO127)),IFERROR(AO134/AO127,""),"")</f>
        <v/>
      </c>
      <c r="AP231" s="6" t="n"/>
      <c r="AR231" s="39">
        <f>IFERROR(AVERAGE(AK231,AL231,AM231,AN231,AO231),"n/m")</f>
        <v/>
      </c>
      <c r="AS231" s="39">
        <f>IFERROR(AVERAGE(L231,Q231,V231,AA231,AF231),"n/m")</f>
        <v/>
      </c>
      <c r="AT231" s="39">
        <f>IFERROR(AVERAGE(G231,H231,I231,J231,K231,L231,Q231,V231,AA231,AF231),"n/m")</f>
        <v/>
      </c>
      <c r="AU231" s="39">
        <f>IFERROR(AVERAGE(C231,D231,E231,F231,G231,H231,I231,J231,K231,L231,Q231,V231,AA231,AF231),"n/m")</f>
        <v/>
      </c>
    </row>
    <row r="232" ht="15" customHeight="1">
      <c r="B232" s="26" t="inlineStr">
        <is>
          <t xml:space="preserve">  Net margin %</t>
        </is>
      </c>
      <c r="C232" s="183">
        <f>IF(AND(ISNUMBER(C141),ISNUMBER(C127)),IFERROR(C141/C127,""),"")</f>
        <v/>
      </c>
      <c r="D232" s="183">
        <f>IF(AND(ISNUMBER(D141),ISNUMBER(D127)),IFERROR(D141/D127,""),"")</f>
        <v/>
      </c>
      <c r="E232" s="183">
        <f>IF(AND(ISNUMBER(E141),ISNUMBER(E127)),IFERROR(E141/E127,""),"")</f>
        <v/>
      </c>
      <c r="F232" s="183">
        <f>IF(AND(ISNUMBER(F141),ISNUMBER(F127)),IFERROR(F141/F127,""),"")</f>
        <v/>
      </c>
      <c r="G232" s="183">
        <f>IF(AND(ISNUMBER(G141),ISNUMBER(G127)),IFERROR(G141/G127,""),"")</f>
        <v/>
      </c>
      <c r="H232" s="183">
        <f>IF(AND(ISNUMBER(H141),ISNUMBER(H127)),IFERROR(H141/H127,""),"")</f>
        <v/>
      </c>
      <c r="I232" s="183">
        <f>IF(AND(ISNUMBER(I141),ISNUMBER(I127)),IFERROR(I141/I127,""),"")</f>
        <v/>
      </c>
      <c r="J232" s="183">
        <f>IF(AND(ISNUMBER(J141),ISNUMBER(J127)),IFERROR(J141/J127,""),"")</f>
        <v/>
      </c>
      <c r="K232" s="183">
        <f>IF(AND(ISNUMBER(K141),ISNUMBER(K127)),IFERROR(K141/K127,""),"")</f>
        <v/>
      </c>
      <c r="L232" s="183">
        <f>IF(AND(ISNUMBER(L141),ISNUMBER(L127)),IFERROR(L141/L127,""),"")</f>
        <v/>
      </c>
      <c r="M232" s="183">
        <f>IF(AND(ISNUMBER(M141),ISNUMBER(M127)),IFERROR(M141/M127,""),"")</f>
        <v/>
      </c>
      <c r="N232" s="183">
        <f>IF(AND(ISNUMBER(N141),ISNUMBER(N127)),IFERROR(N141/N127,""),"")</f>
        <v/>
      </c>
      <c r="O232" s="183">
        <f>IF(AND(ISNUMBER(O141),ISNUMBER(O127)),IFERROR(O141/O127,""),"")</f>
        <v/>
      </c>
      <c r="P232" s="183">
        <f>IF(AND(ISNUMBER(P141),ISNUMBER(P127)),IFERROR(P141/P127,""),"")</f>
        <v/>
      </c>
      <c r="Q232" s="183">
        <f>IF(AND(ISNUMBER(Q141),ISNUMBER(Q127)),IFERROR(Q141/Q127,""),"")</f>
        <v/>
      </c>
      <c r="R232" s="183">
        <f>IF(AND(ISNUMBER(R141),ISNUMBER(R127)),IFERROR(R141/R127,""),"")</f>
        <v/>
      </c>
      <c r="S232" s="183">
        <f>IF(AND(ISNUMBER(S141),ISNUMBER(S127)),IFERROR(S141/S127,""),"")</f>
        <v/>
      </c>
      <c r="T232" s="183">
        <f>IF(AND(ISNUMBER(T141),ISNUMBER(T127)),IFERROR(T141/T127,""),"")</f>
        <v/>
      </c>
      <c r="U232" s="183">
        <f>IF(AND(ISNUMBER(U141),ISNUMBER(U127)),IFERROR(U141/U127,""),"")</f>
        <v/>
      </c>
      <c r="V232" s="183">
        <f>IF(AND(ISNUMBER(V141),ISNUMBER(V127)),IFERROR(V141/V127,""),"")</f>
        <v/>
      </c>
      <c r="W232" s="183">
        <f>IF(AND(ISNUMBER(W141),ISNUMBER(W127)),IFERROR(W141/W127,""),"")</f>
        <v/>
      </c>
      <c r="X232" s="183">
        <f>IF(AND(ISNUMBER(X141),ISNUMBER(X127)),IFERROR(X141/X127,""),"")</f>
        <v/>
      </c>
      <c r="Y232" s="183">
        <f>IF(AND(ISNUMBER(Y141),ISNUMBER(Y127)),IFERROR(Y141/Y127,""),"")</f>
        <v/>
      </c>
      <c r="Z232" s="183">
        <f>IF(AND(ISNUMBER(Z141),ISNUMBER(Z127)),IFERROR(Z141/Z127,""),"")</f>
        <v/>
      </c>
      <c r="AA232" s="183">
        <f>IF(AND(ISNUMBER(AA141),ISNUMBER(AA127)),IFERROR(AA141/AA127,""),"")</f>
        <v/>
      </c>
      <c r="AB232" s="183">
        <f>IF(AND(ISNUMBER(AB141),ISNUMBER(AB127)),IFERROR(AB141/AB127,""),"")</f>
        <v/>
      </c>
      <c r="AC232" s="183">
        <f>IF(AND(ISNUMBER(AC141),ISNUMBER(AC127)),IFERROR(AC141/AC127,""),"")</f>
        <v/>
      </c>
      <c r="AD232" s="183">
        <f>IF(AND(ISNUMBER(AD141),ISNUMBER(AD127)),IFERROR(AD141/AD127,""),"")</f>
        <v/>
      </c>
      <c r="AE232" s="183">
        <f>IF(AND(ISNUMBER(AE141),ISNUMBER(AE127)),IFERROR(AE141/AE127,""),"")</f>
        <v/>
      </c>
      <c r="AF232" s="183">
        <f>IF(AND(ISNUMBER(AF141),ISNUMBER(AF127)),IFERROR(AF141/AF127,""),"")</f>
        <v/>
      </c>
      <c r="AG232" s="183">
        <f>IF(AND(ISNUMBER(AG141),ISNUMBER(AG127)),IFERROR(AG141/AG127,""),"")</f>
        <v/>
      </c>
      <c r="AH232" s="183">
        <f>IF(AND(ISNUMBER(AH141),ISNUMBER(AH127)),IFERROR(AH141/AH127,""),"")</f>
        <v/>
      </c>
      <c r="AI232" s="177">
        <f>IF(AND(ISNUMBER(AI141),ISNUMBER(AI127)),IFERROR(AI141/AI127,""),"")</f>
        <v/>
      </c>
      <c r="AJ232" s="177">
        <f>IF(AND(ISNUMBER(AJ141),ISNUMBER(AJ127)),IFERROR(AJ141/AJ127,""),"")</f>
        <v/>
      </c>
      <c r="AK232" s="177">
        <f>IF(AND(ISNUMBER(AK141),ISNUMBER(AK127)),IFERROR(AK141/AK127,""),"")</f>
        <v/>
      </c>
      <c r="AL232" s="177">
        <f>IF(AND(ISNUMBER(AL141),ISNUMBER(AL127)),IFERROR(AL141/AL127,""),"")</f>
        <v/>
      </c>
      <c r="AM232" s="177">
        <f>IF(AND(ISNUMBER(AM141),ISNUMBER(AM127)),IFERROR(AM141/AM127,""),"")</f>
        <v/>
      </c>
      <c r="AN232" s="177">
        <f>IF(AND(ISNUMBER(AN141),ISNUMBER(AN127)),IFERROR(AN141/AN127,""),"")</f>
        <v/>
      </c>
      <c r="AO232" s="177">
        <f>IF(AND(ISNUMBER(AO141),ISNUMBER(AO127)),IFERROR(AO141/AO127,""),"")</f>
        <v/>
      </c>
      <c r="AP232" s="6" t="n"/>
      <c r="AR232" s="39">
        <f>IFERROR(AVERAGE(AK232,AL232,AM232,AN232,AO232),"n/m")</f>
        <v/>
      </c>
      <c r="AS232" s="39">
        <f>IFERROR(AVERAGE(L232,Q232,V232,AA232,AF232),"n/m")</f>
        <v/>
      </c>
      <c r="AT232" s="39">
        <f>IFERROR(AVERAGE(G232,H232,I232,J232,K232,L232,Q232,V232,AA232,AF232),"n/m")</f>
        <v/>
      </c>
      <c r="AU232" s="39">
        <f>IFERROR(AVERAGE(C232,D232,E232,F232,G232,H232,I232,J232,K232,L232,Q232,V232,AA232,AF232),"n/m")</f>
        <v/>
      </c>
    </row>
    <row r="233" ht="15" customHeight="1">
      <c r="B233" s="26" t="inlineStr">
        <is>
          <t xml:space="preserve">  SG&amp;A % of net sales</t>
        </is>
      </c>
      <c r="C233" s="183">
        <f>IF(AND(ISNUMBER(C131),ISNUMBER(C127)),IFERROR(C131/C127,""),"")</f>
        <v/>
      </c>
      <c r="D233" s="183">
        <f>IF(AND(ISNUMBER(D131),ISNUMBER(D127)),IFERROR(D131/D127,""),"")</f>
        <v/>
      </c>
      <c r="E233" s="183">
        <f>IF(AND(ISNUMBER(E131),ISNUMBER(E127)),IFERROR(E131/E127,""),"")</f>
        <v/>
      </c>
      <c r="F233" s="183">
        <f>IF(AND(ISNUMBER(F131),ISNUMBER(F127)),IFERROR(F131/F127,""),"")</f>
        <v/>
      </c>
      <c r="G233" s="183">
        <f>IF(AND(ISNUMBER(G131),ISNUMBER(G127)),IFERROR(G131/G127,""),"")</f>
        <v/>
      </c>
      <c r="H233" s="183">
        <f>IF(AND(ISNUMBER(H131),ISNUMBER(H127)),IFERROR(H131/H127,""),"")</f>
        <v/>
      </c>
      <c r="I233" s="183">
        <f>IF(AND(ISNUMBER(I131),ISNUMBER(I127)),IFERROR(I131/I127,""),"")</f>
        <v/>
      </c>
      <c r="J233" s="183">
        <f>IF(AND(ISNUMBER(J131),ISNUMBER(J127)),IFERROR(J131/J127,""),"")</f>
        <v/>
      </c>
      <c r="K233" s="183">
        <f>IF(AND(ISNUMBER(K131),ISNUMBER(K127)),IFERROR(K131/K127,""),"")</f>
        <v/>
      </c>
      <c r="L233" s="183">
        <f>IF(AND(ISNUMBER(L131),ISNUMBER(L127)),IFERROR(L131/L127,""),"")</f>
        <v/>
      </c>
      <c r="M233" s="183">
        <f>IF(AND(ISNUMBER(M131),ISNUMBER(M127)),IFERROR(M131/M127,""),"")</f>
        <v/>
      </c>
      <c r="N233" s="183">
        <f>IF(AND(ISNUMBER(N131),ISNUMBER(N127)),IFERROR(N131/N127,""),"")</f>
        <v/>
      </c>
      <c r="O233" s="183">
        <f>IF(AND(ISNUMBER(O131),ISNUMBER(O127)),IFERROR(O131/O127,""),"")</f>
        <v/>
      </c>
      <c r="P233" s="183">
        <f>IF(AND(ISNUMBER(P131),ISNUMBER(P127)),IFERROR(P131/P127,""),"")</f>
        <v/>
      </c>
      <c r="Q233" s="183">
        <f>IF(AND(ISNUMBER(Q131),ISNUMBER(Q127)),IFERROR(Q131/Q127,""),"")</f>
        <v/>
      </c>
      <c r="R233" s="183">
        <f>IF(AND(ISNUMBER(R131),ISNUMBER(R127)),IFERROR(R131/R127,""),"")</f>
        <v/>
      </c>
      <c r="S233" s="183">
        <f>IF(AND(ISNUMBER(S131),ISNUMBER(S127)),IFERROR(S131/S127,""),"")</f>
        <v/>
      </c>
      <c r="T233" s="183">
        <f>IF(AND(ISNUMBER(T131),ISNUMBER(T127)),IFERROR(T131/T127,""),"")</f>
        <v/>
      </c>
      <c r="U233" s="183">
        <f>IF(AND(ISNUMBER(U131),ISNUMBER(U127)),IFERROR(U131/U127,""),"")</f>
        <v/>
      </c>
      <c r="V233" s="183">
        <f>IF(AND(ISNUMBER(V131),ISNUMBER(V127)),IFERROR(V131/V127,""),"")</f>
        <v/>
      </c>
      <c r="W233" s="183">
        <f>IF(AND(ISNUMBER(W131),ISNUMBER(W127)),IFERROR(W131/W127,""),"")</f>
        <v/>
      </c>
      <c r="X233" s="183">
        <f>IF(AND(ISNUMBER(X131),ISNUMBER(X127)),IFERROR(X131/X127,""),"")</f>
        <v/>
      </c>
      <c r="Y233" s="183">
        <f>IF(AND(ISNUMBER(Y131),ISNUMBER(Y127)),IFERROR(Y131/Y127,""),"")</f>
        <v/>
      </c>
      <c r="Z233" s="183">
        <f>IF(AND(ISNUMBER(Z131),ISNUMBER(Z127)),IFERROR(Z131/Z127,""),"")</f>
        <v/>
      </c>
      <c r="AA233" s="183">
        <f>IF(AND(ISNUMBER(AA131),ISNUMBER(AA127)),IFERROR(AA131/AA127,""),"")</f>
        <v/>
      </c>
      <c r="AB233" s="183">
        <f>IF(AND(ISNUMBER(AB131),ISNUMBER(AB127)),IFERROR(AB131/AB127,""),"")</f>
        <v/>
      </c>
      <c r="AC233" s="183">
        <f>IF(AND(ISNUMBER(AC131),ISNUMBER(AC127)),IFERROR(AC131/AC127,""),"")</f>
        <v/>
      </c>
      <c r="AD233" s="183">
        <f>IF(AND(ISNUMBER(AD131),ISNUMBER(AD127)),IFERROR(AD131/AD127,""),"")</f>
        <v/>
      </c>
      <c r="AE233" s="183">
        <f>IF(AND(ISNUMBER(AE131),ISNUMBER(AE127)),IFERROR(AE131/AE127,""),"")</f>
        <v/>
      </c>
      <c r="AF233" s="183">
        <f>IF(AND(ISNUMBER(AF131),ISNUMBER(AF127)),IFERROR(AF131/AF127,""),"")</f>
        <v/>
      </c>
      <c r="AG233" s="183">
        <f>IF(AND(ISNUMBER(AG131),ISNUMBER(AG127)),IFERROR(AG131/AG127,""),"")</f>
        <v/>
      </c>
      <c r="AH233" s="183">
        <f>IF(AND(ISNUMBER(AH131),ISNUMBER(AH127)),IFERROR(AH131/AH127,""),"")</f>
        <v/>
      </c>
      <c r="AI233" s="177">
        <f>IF(AND(ISNUMBER(AI131),ISNUMBER(AI127)),IFERROR(AI131/AI127,""),"")</f>
        <v/>
      </c>
      <c r="AJ233" s="177">
        <f>IF(AND(ISNUMBER(AJ131),ISNUMBER(AJ127)),IFERROR(AJ131/AJ127,""),"")</f>
        <v/>
      </c>
      <c r="AK233" s="177">
        <f>IF(AND(ISNUMBER(AK131),ISNUMBER(AK127)),IFERROR(AK131/AK127,""),"")</f>
        <v/>
      </c>
      <c r="AL233" s="177">
        <f>IF(AND(ISNUMBER(AL131),ISNUMBER(AL127)),IFERROR(AL131/AL127,""),"")</f>
        <v/>
      </c>
      <c r="AM233" s="177">
        <f>IF(AND(ISNUMBER(AM131),ISNUMBER(AM127)),IFERROR(AM131/AM127,""),"")</f>
        <v/>
      </c>
      <c r="AN233" s="177">
        <f>IF(AND(ISNUMBER(AN131),ISNUMBER(AN127)),IFERROR(AN131/AN127,""),"")</f>
        <v/>
      </c>
      <c r="AO233" s="177">
        <f>IF(AND(ISNUMBER(AO131),ISNUMBER(AO127)),IFERROR(AO131/AO127,""),"")</f>
        <v/>
      </c>
      <c r="AP233" s="6" t="n"/>
      <c r="AR233" s="39">
        <f>IFERROR(AVERAGE(AK233,AL233,AM233,AN233,AO233),"n/m")</f>
        <v/>
      </c>
      <c r="AS233" s="39">
        <f>IFERROR(AVERAGE(L233,Q233,V233,AA233,AF233),"n/m")</f>
        <v/>
      </c>
      <c r="AT233" s="39">
        <f>IFERROR(AVERAGE(G233,H233,I233,J233,K233,L233,Q233,V233,AA233,AF233),"n/m")</f>
        <v/>
      </c>
      <c r="AU233" s="39">
        <f>IFERROR(AVERAGE(C233,D233,E233,F233,G233,H233,I233,J233,K233,L233,Q233,V233,AA233,AF233),"n/m")</f>
        <v/>
      </c>
    </row>
    <row r="234" ht="15" customHeight="1">
      <c r="AX234" s="12" t="n"/>
      <c r="AY234" s="13" t="n"/>
      <c r="AZ234" s="13" t="n"/>
      <c r="BA234" s="13" t="n"/>
      <c r="BB234" s="14" t="n"/>
    </row>
    <row r="235" ht="15" customHeight="1">
      <c r="B235" s="11" t="inlineStr">
        <is>
          <t>CONSOLIDATED STATEMENT OF CASH FLOWS</t>
        </is>
      </c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inlineStr">
        <is>
          <t>CASH FLOW — forecast logic (annual; 2026E = 1H/26 actual + 2H estimate; quarters = discrete, derived from year-to-date statements; 2022 quarters: prospectus summary lines only)</t>
        </is>
      </c>
    </row>
    <row r="236" ht="15" customHeight="1">
      <c r="B236" s="26" t="inlineStr">
        <is>
          <t>Net income (loss)</t>
        </is>
      </c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174" t="n">
        <v>-2.469</v>
      </c>
      <c r="R236" s="174" t="n">
        <v>-7.519</v>
      </c>
      <c r="S236" s="174" t="n">
        <v>0.623</v>
      </c>
      <c r="T236" s="174" t="n">
        <v>2.854</v>
      </c>
      <c r="U236" s="174" t="n">
        <v>-0.573</v>
      </c>
      <c r="V236" s="174" t="n">
        <v>-4.615</v>
      </c>
      <c r="W236" s="174" t="n">
        <v>2.249</v>
      </c>
      <c r="X236" s="174" t="n">
        <v>7.641</v>
      </c>
      <c r="Y236" s="174" t="n">
        <v>8.656000000000001</v>
      </c>
      <c r="Z236" s="174" t="n">
        <v>3.685</v>
      </c>
      <c r="AA236" s="174" t="n">
        <v>22.231</v>
      </c>
      <c r="AB236" s="174" t="n">
        <v>15.316</v>
      </c>
      <c r="AC236" s="174" t="n">
        <v>16.713</v>
      </c>
      <c r="AD236" s="174" t="n">
        <v>27.606</v>
      </c>
      <c r="AE236" s="174" t="n">
        <v>12.511</v>
      </c>
      <c r="AF236" s="174" t="n">
        <v>72.146</v>
      </c>
      <c r="AG236" s="174" t="n">
        <v>11.143</v>
      </c>
      <c r="AH236" s="174" t="n">
        <v>16.742</v>
      </c>
      <c r="AI236" s="37" t="n"/>
      <c r="AJ236" s="37" t="n"/>
      <c r="AK236" s="175">
        <f>(AG236+AH236)+AI141+AJ141</f>
        <v/>
      </c>
      <c r="AL236" s="175">
        <f>AL141</f>
        <v/>
      </c>
      <c r="AM236" s="175">
        <f>AM141</f>
        <v/>
      </c>
      <c r="AN236" s="175">
        <f>AN141</f>
        <v/>
      </c>
      <c r="AO236" s="175">
        <f>AO141</f>
        <v/>
      </c>
      <c r="AP236" s="20" t="n"/>
    </row>
    <row r="237" ht="15" customHeight="1">
      <c r="B237" s="26" t="inlineStr">
        <is>
          <t>Adjustments:</t>
        </is>
      </c>
      <c r="AP237" s="6" t="n"/>
    </row>
    <row r="238" ht="15" customHeight="1">
      <c r="B238" s="26" t="inlineStr">
        <is>
          <t xml:space="preserve">  Depreciation &amp; amortization of intangible and other long-term assets</t>
        </is>
      </c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174" t="n">
        <v>8.077</v>
      </c>
      <c r="N238" s="174" t="n">
        <v>7.962</v>
      </c>
      <c r="O238" s="174" t="n">
        <v>8.765000000000001</v>
      </c>
      <c r="P238" s="174" t="n">
        <v>9.151999999999999</v>
      </c>
      <c r="Q238" s="174" t="n">
        <v>33.956</v>
      </c>
      <c r="R238" s="174" t="n">
        <v>9.326000000000001</v>
      </c>
      <c r="S238" s="174" t="n">
        <v>9.425000000000001</v>
      </c>
      <c r="T238" s="174" t="n">
        <v>9.414999999999999</v>
      </c>
      <c r="U238" s="174" t="n">
        <v>9.858000000000001</v>
      </c>
      <c r="V238" s="174" t="n">
        <v>38.024</v>
      </c>
      <c r="W238" s="174" t="n">
        <v>9.943</v>
      </c>
      <c r="X238" s="174" t="n">
        <v>9.769</v>
      </c>
      <c r="Y238" s="174" t="n">
        <v>10.72</v>
      </c>
      <c r="Z238" s="174" t="n">
        <v>12.638</v>
      </c>
      <c r="AA238" s="174" t="n">
        <v>43.07</v>
      </c>
      <c r="AB238" s="174" t="n">
        <v>12.459</v>
      </c>
      <c r="AC238" s="174" t="n">
        <v>12.686</v>
      </c>
      <c r="AD238" s="174" t="n">
        <v>12.789</v>
      </c>
      <c r="AE238" s="174" t="n">
        <v>13.066</v>
      </c>
      <c r="AF238" s="174" t="n">
        <v>51</v>
      </c>
      <c r="AG238" s="174" t="n">
        <v>18.942</v>
      </c>
      <c r="AH238" s="174" t="n">
        <v>19.944</v>
      </c>
      <c r="AI238" s="37" t="n"/>
      <c r="AJ238" s="37" t="n"/>
      <c r="AK238" s="175">
        <f>(AG238+AH238)+AI144+AJ144</f>
        <v/>
      </c>
      <c r="AL238" s="175">
        <f>AL144</f>
        <v/>
      </c>
      <c r="AM238" s="175">
        <f>AM144</f>
        <v/>
      </c>
      <c r="AN238" s="175">
        <f>AN144</f>
        <v/>
      </c>
      <c r="AO238" s="175">
        <f>AO144</f>
        <v/>
      </c>
      <c r="AP238" s="20" t="n"/>
    </row>
    <row r="239" ht="15" customHeight="1">
      <c r="B239" s="26" t="inlineStr">
        <is>
          <t xml:space="preserve">  Stock-based compensation</t>
        </is>
      </c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174" t="n">
        <v>1.526</v>
      </c>
      <c r="R239" s="174" t="n">
        <v>0.092</v>
      </c>
      <c r="S239" s="174" t="n">
        <v>0.094</v>
      </c>
      <c r="T239" s="174" t="n">
        <v>0.092</v>
      </c>
      <c r="U239" s="174" t="n">
        <v>0.094</v>
      </c>
      <c r="V239" s="174" t="n">
        <v>0.372</v>
      </c>
      <c r="W239" s="174" t="n">
        <v>0.08699999999999999</v>
      </c>
      <c r="X239" s="174" t="n">
        <v>4.387</v>
      </c>
      <c r="Y239" s="174" t="n">
        <v>3.094</v>
      </c>
      <c r="Z239" s="174" t="n">
        <v>3.535</v>
      </c>
      <c r="AA239" s="174" t="n">
        <v>11.103</v>
      </c>
      <c r="AB239" s="174" t="n">
        <v>3.089</v>
      </c>
      <c r="AC239" s="174" t="n">
        <v>3.65</v>
      </c>
      <c r="AD239" s="174" t="n">
        <v>3.878</v>
      </c>
      <c r="AE239" s="174" t="n">
        <v>4.314</v>
      </c>
      <c r="AF239" s="174" t="n">
        <v>14.931</v>
      </c>
      <c r="AG239" s="174" t="n">
        <v>4.392</v>
      </c>
      <c r="AH239" s="174" t="n">
        <v>4.581</v>
      </c>
      <c r="AI239" s="37" t="n"/>
      <c r="AJ239" s="37" t="n"/>
      <c r="AK239" s="175">
        <f>(AG239+AH239)+AI145+AJ145</f>
        <v/>
      </c>
      <c r="AL239" s="175">
        <f>AL145</f>
        <v/>
      </c>
      <c r="AM239" s="175">
        <f>AM145</f>
        <v/>
      </c>
      <c r="AN239" s="175">
        <f>AN145</f>
        <v/>
      </c>
      <c r="AO239" s="175">
        <f>AO145</f>
        <v/>
      </c>
      <c r="AP239" s="20" t="n"/>
    </row>
    <row r="240" ht="15" customHeight="1">
      <c r="B240" s="26" t="inlineStr">
        <is>
          <t xml:space="preserve">  Deferred income taxes</t>
        </is>
      </c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174" t="n">
        <v>-3.741</v>
      </c>
      <c r="R240" s="174" t="n">
        <v>7.939</v>
      </c>
      <c r="S240" s="174" t="n">
        <v>-2.596</v>
      </c>
      <c r="T240" s="174" t="n">
        <v>-4.721</v>
      </c>
      <c r="U240" s="174" t="n">
        <v>-4.379</v>
      </c>
      <c r="V240" s="174" t="n">
        <v>-3.757</v>
      </c>
      <c r="W240" s="174" t="n">
        <v>-1.334</v>
      </c>
      <c r="X240" s="174" t="n">
        <v>-1.117</v>
      </c>
      <c r="Y240" s="174" t="n">
        <v>2.31</v>
      </c>
      <c r="Z240" s="174" t="n">
        <v>-1.411</v>
      </c>
      <c r="AA240" s="174" t="n">
        <v>-1.552</v>
      </c>
      <c r="AB240" s="174" t="n">
        <v>0.669</v>
      </c>
      <c r="AC240" s="174" t="n">
        <v>0.215</v>
      </c>
      <c r="AD240" s="174" t="n">
        <v>-3.637</v>
      </c>
      <c r="AE240" s="174" t="n">
        <v>6.434</v>
      </c>
      <c r="AF240" s="174" t="n">
        <v>3.681</v>
      </c>
      <c r="AG240" s="174" t="n">
        <v>0.9429999999999999</v>
      </c>
      <c r="AH240" s="174" t="n">
        <v>0.007</v>
      </c>
      <c r="AI240" s="37" t="n"/>
      <c r="AJ240" s="37" t="n"/>
      <c r="AK240" s="175">
        <f>(AG240+AH240)</f>
        <v/>
      </c>
      <c r="AL240" s="187" t="n">
        <v>-3</v>
      </c>
      <c r="AM240" s="187" t="n">
        <v>-3</v>
      </c>
      <c r="AN240" s="187" t="n">
        <v>-3</v>
      </c>
      <c r="AO240" s="187" t="n">
        <v>-3</v>
      </c>
      <c r="AP240" s="20" t="inlineStr">
        <is>
          <t>2027E+: deferred tax benefit on book amortization of non-deductible acquired intangibles (LMB, SCHROTH) (input).</t>
        </is>
      </c>
    </row>
    <row r="241" ht="15" customHeight="1">
      <c r="B241" s="26" t="inlineStr">
        <is>
          <t xml:space="preserve">  Debt-cost amortization, inventory step-up, lease &amp; contingent-consideration items, other (derived)</t>
        </is>
      </c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174" t="n">
        <v>3.894</v>
      </c>
      <c r="R241" s="174" t="n">
        <v>1.002</v>
      </c>
      <c r="S241" s="174" t="n">
        <v>1.119</v>
      </c>
      <c r="T241" s="174" t="n">
        <v>0.88</v>
      </c>
      <c r="U241" s="174" t="n">
        <v>1.056</v>
      </c>
      <c r="V241" s="174" t="n">
        <v>4.057</v>
      </c>
      <c r="W241" s="174" t="n">
        <v>0.603</v>
      </c>
      <c r="X241" s="174" t="n">
        <v>-0.856</v>
      </c>
      <c r="Y241" s="174" t="n">
        <v>0.6870000000000001</v>
      </c>
      <c r="Z241" s="174" t="n">
        <v>6.163</v>
      </c>
      <c r="AA241" s="174" t="n">
        <v>6.597</v>
      </c>
      <c r="AB241" s="174" t="n">
        <v>0.404</v>
      </c>
      <c r="AC241" s="174" t="n">
        <v>0.356</v>
      </c>
      <c r="AD241" s="174" t="n">
        <v>0.406</v>
      </c>
      <c r="AE241" s="174" t="n">
        <v>0.617</v>
      </c>
      <c r="AF241" s="174" t="n">
        <v>1.783</v>
      </c>
      <c r="AG241" s="174" t="n">
        <v>6.142</v>
      </c>
      <c r="AH241" s="174" t="n">
        <v>2.634</v>
      </c>
      <c r="AI241" s="37" t="n"/>
      <c r="AJ241" s="37" t="n"/>
      <c r="AK241" s="175">
        <f>(AG241+AH241)+AI123+AJ123+AI124+AJ124+AK347</f>
        <v/>
      </c>
      <c r="AL241" s="175">
        <f>AL123+AL124+AL347</f>
        <v/>
      </c>
      <c r="AM241" s="175">
        <f>AM123+AM124+AM347</f>
        <v/>
      </c>
      <c r="AN241" s="175">
        <f>AN123+AN124+AN347</f>
        <v/>
      </c>
      <c r="AO241" s="175">
        <f>AO123+AO124+AO347</f>
        <v/>
      </c>
      <c r="AP241" s="20" t="inlineStr">
        <is>
          <t>Debt issuance-cost amortization (~$1m a quarter, inside interest expense) + non-cash P&amp;L items added back.</t>
        </is>
      </c>
    </row>
    <row r="242" ht="15" customHeight="1">
      <c r="B242" s="26" t="inlineStr">
        <is>
          <t xml:space="preserve">  Changes in operating assets &amp; liabilities (working capital), net</t>
        </is>
      </c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174" t="n">
        <v>-19.896</v>
      </c>
      <c r="R242" s="174" t="n">
        <v>-7.746</v>
      </c>
      <c r="S242" s="174" t="n">
        <v>-12.392</v>
      </c>
      <c r="T242" s="174" t="n">
        <v>-7.087</v>
      </c>
      <c r="U242" s="174" t="n">
        <v>5.957</v>
      </c>
      <c r="V242" s="174" t="n">
        <v>-21.268</v>
      </c>
      <c r="W242" s="174" t="n">
        <v>-0.735</v>
      </c>
      <c r="X242" s="174" t="n">
        <v>-12.742</v>
      </c>
      <c r="Y242" s="174" t="n">
        <v>-9.119</v>
      </c>
      <c r="Z242" s="174" t="n">
        <v>-3.882</v>
      </c>
      <c r="AA242" s="174" t="n">
        <v>-26.478</v>
      </c>
      <c r="AB242" s="174" t="n">
        <v>-3.577</v>
      </c>
      <c r="AC242" s="174" t="n">
        <v>-9.817</v>
      </c>
      <c r="AD242" s="174" t="n">
        <v>-11.348</v>
      </c>
      <c r="AE242" s="174" t="n">
        <v>-6.519</v>
      </c>
      <c r="AF242" s="174" t="n">
        <v>-31.261</v>
      </c>
      <c r="AG242" s="174" t="n">
        <v>-10.647</v>
      </c>
      <c r="AH242" s="174" t="n">
        <v>-13.621</v>
      </c>
      <c r="AI242" s="37" t="n"/>
      <c r="AJ242" s="37" t="n"/>
      <c r="AK242" s="175">
        <f>(AG242+AH242)-(AK284-AH284)-(AK285-AH285)+(AK294-AH294)+(AK296-AH296)</f>
        <v/>
      </c>
      <c r="AL242" s="175">
        <f>-(AL284-AK284)-(AL285-AK285)+(AL294-AK294)+(AL296-AK296)</f>
        <v/>
      </c>
      <c r="AM242" s="175">
        <f>-(AM284-AL284)-(AM285-AL285)+(AM294-AL294)+(AM296-AL296)</f>
        <v/>
      </c>
      <c r="AN242" s="175">
        <f>-(AN284-AM284)-(AN285-AM285)+(AN294-AM294)+(AN296-AM296)</f>
        <v/>
      </c>
      <c r="AO242" s="175">
        <f>-(AO284-AN284)-(AO285-AN285)+(AO294-AN294)+(AO296-AN296)</f>
        <v/>
      </c>
      <c r="AP242" s="20" t="inlineStr">
        <is>
          <t>Linked to the balance sheet: −Δ(receivables, inventories) + Δ(payables, accrued &amp; other current liabilities). 2026E = 1H/26 actual + 2H change from 30-Jun-26.</t>
        </is>
      </c>
    </row>
    <row r="243" ht="15" customHeight="1">
      <c r="B243" s="17" t="inlineStr">
        <is>
          <t>Net cash provided by operating activities</t>
        </is>
      </c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206" t="n">
        <v>2.691</v>
      </c>
      <c r="N243" s="206" t="n">
        <v>2.429</v>
      </c>
      <c r="O243" s="206" t="n">
        <v>0.6929999999999999</v>
      </c>
      <c r="P243" s="206" t="n">
        <v>7.457</v>
      </c>
      <c r="Q243" s="206" t="n">
        <v>13.27</v>
      </c>
      <c r="R243" s="206" t="n">
        <v>3.094</v>
      </c>
      <c r="S243" s="206" t="n">
        <v>-3.727</v>
      </c>
      <c r="T243" s="206" t="n">
        <v>1.433</v>
      </c>
      <c r="U243" s="206" t="n">
        <v>12.013</v>
      </c>
      <c r="V243" s="206" t="n">
        <v>12.813</v>
      </c>
      <c r="W243" s="206" t="n">
        <v>10.813</v>
      </c>
      <c r="X243" s="206" t="n">
        <v>7.082</v>
      </c>
      <c r="Y243" s="206" t="n">
        <v>16.348</v>
      </c>
      <c r="Z243" s="206" t="n">
        <v>20.728</v>
      </c>
      <c r="AA243" s="206" t="n">
        <v>54.971</v>
      </c>
      <c r="AB243" s="206" t="n">
        <v>28.36</v>
      </c>
      <c r="AC243" s="206" t="n">
        <v>23.803</v>
      </c>
      <c r="AD243" s="206" t="n">
        <v>29.694</v>
      </c>
      <c r="AE243" s="206" t="n">
        <v>30.423</v>
      </c>
      <c r="AF243" s="206" t="n">
        <v>112.28</v>
      </c>
      <c r="AG243" s="206" t="n">
        <v>30.915</v>
      </c>
      <c r="AH243" s="206" t="n">
        <v>30.287</v>
      </c>
      <c r="AI243" s="34" t="n"/>
      <c r="AJ243" s="34" t="n"/>
      <c r="AK243" s="182">
        <f>SUM(AK236:AK242)</f>
        <v/>
      </c>
      <c r="AL243" s="182">
        <f>SUM(AL236:AL242)</f>
        <v/>
      </c>
      <c r="AM243" s="182">
        <f>SUM(AM236:AM242)</f>
        <v/>
      </c>
      <c r="AN243" s="182">
        <f>SUM(AN236:AN242)</f>
        <v/>
      </c>
      <c r="AO243" s="182">
        <f>SUM(AO236:AO242)</f>
        <v/>
      </c>
      <c r="AP243" s="6" t="n"/>
      <c r="AR243" s="21">
        <f>IFERROR((AO243/AF243)^(1/5)-1,"n/m")</f>
        <v/>
      </c>
      <c r="AS243" s="21">
        <f>IFERROR((AF243/K243)^(1/5)-1,"n/m")</f>
        <v/>
      </c>
      <c r="AT243" s="21">
        <f>IFERROR((AF243/F243)^(1/10)-1,"n/m")</f>
        <v/>
      </c>
      <c r="AU243" s="21">
        <f>IFERROR((AF243/C243)^(1/13)-1,"n/m")</f>
        <v/>
      </c>
    </row>
    <row r="244" ht="15" customHeight="1">
      <c r="B244" s="26" t="inlineStr">
        <is>
          <t>Capital expenditures</t>
        </is>
      </c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174" t="n">
        <v>-1.083</v>
      </c>
      <c r="N244" s="174" t="n">
        <v>-1.521</v>
      </c>
      <c r="O244" s="174" t="n">
        <v>-1.491</v>
      </c>
      <c r="P244" s="174" t="n">
        <v>-3.839</v>
      </c>
      <c r="Q244" s="174" t="n">
        <v>-7.934</v>
      </c>
      <c r="R244" s="174" t="n">
        <v>-1.91</v>
      </c>
      <c r="S244" s="174" t="n">
        <v>-2.821</v>
      </c>
      <c r="T244" s="174" t="n">
        <v>-3.093</v>
      </c>
      <c r="U244" s="174" t="n">
        <v>-4.31</v>
      </c>
      <c r="V244" s="174" t="n">
        <v>-12.134</v>
      </c>
      <c r="W244" s="174" t="n">
        <v>-2.401</v>
      </c>
      <c r="X244" s="174" t="n">
        <v>-2.051</v>
      </c>
      <c r="Y244" s="174" t="n">
        <v>-1.632</v>
      </c>
      <c r="Z244" s="174" t="n">
        <v>-2.787</v>
      </c>
      <c r="AA244" s="174" t="n">
        <v>-8.871</v>
      </c>
      <c r="AB244" s="174" t="n">
        <v>-1.847</v>
      </c>
      <c r="AC244" s="174" t="n">
        <v>-2.871</v>
      </c>
      <c r="AD244" s="174" t="n">
        <v>-2.775</v>
      </c>
      <c r="AE244" s="174" t="n">
        <v>-5.53</v>
      </c>
      <c r="AF244" s="174" t="n">
        <v>-13.023</v>
      </c>
      <c r="AG244" s="174" t="n">
        <v>-4.108</v>
      </c>
      <c r="AH244" s="174" t="n">
        <v>-2.865</v>
      </c>
      <c r="AI244" s="37" t="n"/>
      <c r="AJ244" s="37" t="n"/>
      <c r="AK244" s="175">
        <f>-$AZ$23</f>
        <v/>
      </c>
      <c r="AL244" s="175">
        <f>-AL127*AL268</f>
        <v/>
      </c>
      <c r="AM244" s="175">
        <f>-AM127*AM268</f>
        <v/>
      </c>
      <c r="AN244" s="175">
        <f>-AN127*AN268</f>
        <v/>
      </c>
      <c r="AO244" s="175">
        <f>-AO127*AO268</f>
        <v/>
      </c>
      <c r="AP244" s="20" t="inlineStr">
        <is>
          <t>2026E: FY26 capex point estimate. 2027E+: net sales × capex %.</t>
        </is>
      </c>
    </row>
    <row r="245" ht="15" customHeight="1">
      <c r="B245" s="26" t="inlineStr">
        <is>
          <t>Payments for acquisitions, net of cash acquired</t>
        </is>
      </c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174" t="n">
        <v>0</v>
      </c>
      <c r="N245" s="174" t="n">
        <v>0</v>
      </c>
      <c r="O245" s="174" t="n">
        <v>-173.899</v>
      </c>
      <c r="P245" s="174" t="n">
        <v>0</v>
      </c>
      <c r="Q245" s="174" t="n">
        <v>-173.899</v>
      </c>
      <c r="R245" s="174" t="n">
        <v>0</v>
      </c>
      <c r="S245" s="174" t="n">
        <v>0</v>
      </c>
      <c r="T245" s="174" t="n">
        <v>-60.289</v>
      </c>
      <c r="U245" s="174" t="n">
        <v>-0.134</v>
      </c>
      <c r="V245" s="174" t="n">
        <v>-60.423</v>
      </c>
      <c r="W245" s="174" t="n">
        <v>0</v>
      </c>
      <c r="X245" s="174" t="n">
        <v>0</v>
      </c>
      <c r="Y245" s="174" t="n">
        <v>-383.222</v>
      </c>
      <c r="Z245" s="174" t="n">
        <v>-0.038</v>
      </c>
      <c r="AA245" s="174" t="n">
        <v>-383.26</v>
      </c>
      <c r="AB245" s="174" t="n">
        <v>0</v>
      </c>
      <c r="AC245" s="174" t="n">
        <v>0</v>
      </c>
      <c r="AD245" s="174" t="n">
        <v>-32.813</v>
      </c>
      <c r="AE245" s="174" t="n">
        <v>-475.041</v>
      </c>
      <c r="AF245" s="174" t="n">
        <v>-507.854</v>
      </c>
      <c r="AG245" s="174" t="n">
        <v>-249.868</v>
      </c>
      <c r="AH245" s="174" t="n">
        <v>0.027</v>
      </c>
      <c r="AI245" s="37" t="n"/>
      <c r="AJ245" s="37" t="n"/>
      <c r="AK245" s="175">
        <f>(AG245+AH245)</f>
        <v/>
      </c>
      <c r="AL245" s="175">
        <f>-AL75</f>
        <v/>
      </c>
      <c r="AM245" s="175">
        <f>-AM75</f>
        <v/>
      </c>
      <c r="AN245" s="175">
        <f>-AN75</f>
        <v/>
      </c>
      <c r="AO245" s="175">
        <f>-AO75</f>
        <v/>
      </c>
      <c r="AP245" s="20" t="inlineStr">
        <is>
          <t>2026E = 1H/26 actual (Harper Engineering $249.8m); no further deals assumed in 2H/26. 2027E+: M&amp;A lever.</t>
        </is>
      </c>
    </row>
    <row r="246" ht="15" customHeight="1">
      <c r="B246" s="26" t="inlineStr">
        <is>
          <t>Other investing activities, net (derived: asset sales, purchase-price adjustments)</t>
        </is>
      </c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174" t="n">
        <v>0</v>
      </c>
      <c r="N246" s="174" t="n">
        <v>0</v>
      </c>
      <c r="O246" s="174" t="n">
        <v>0</v>
      </c>
      <c r="P246" s="174" t="n">
        <v>0</v>
      </c>
      <c r="Q246" s="174" t="n">
        <v>0</v>
      </c>
      <c r="R246" s="174" t="n">
        <v>0</v>
      </c>
      <c r="S246" s="174" t="n">
        <v>0</v>
      </c>
      <c r="T246" s="174" t="n">
        <v>0</v>
      </c>
      <c r="U246" s="174" t="n">
        <v>0</v>
      </c>
      <c r="V246" s="174" t="n">
        <v>0</v>
      </c>
      <c r="W246" s="174" t="n">
        <v>0</v>
      </c>
      <c r="X246" s="174" t="n">
        <v>0.611</v>
      </c>
      <c r="Y246" s="174" t="n">
        <v>-0.611</v>
      </c>
      <c r="Z246" s="174" t="n">
        <v>0</v>
      </c>
      <c r="AA246" s="174" t="n">
        <v>0</v>
      </c>
      <c r="AB246" s="174" t="n">
        <v>0</v>
      </c>
      <c r="AC246" s="174" t="n">
        <v>0</v>
      </c>
      <c r="AD246" s="174" t="n">
        <v>0</v>
      </c>
      <c r="AE246" s="174" t="n">
        <v>0</v>
      </c>
      <c r="AF246" s="174" t="n">
        <v>0</v>
      </c>
      <c r="AG246" s="174" t="n">
        <v>0</v>
      </c>
      <c r="AH246" s="174" t="n">
        <v>0</v>
      </c>
      <c r="AI246" s="37" t="n"/>
      <c r="AJ246" s="37" t="n"/>
      <c r="AK246" s="175">
        <f>(AG246+AH246)</f>
        <v/>
      </c>
      <c r="AL246" s="187" t="n">
        <v>0</v>
      </c>
      <c r="AM246" s="187" t="n">
        <v>0</v>
      </c>
      <c r="AN246" s="187" t="n">
        <v>0</v>
      </c>
      <c r="AO246" s="187" t="n">
        <v>0</v>
      </c>
      <c r="AP246" s="20" t="n"/>
    </row>
    <row r="247" ht="15" customHeight="1">
      <c r="B247" s="17" t="inlineStr">
        <is>
          <t>Net cash used in investing activities</t>
        </is>
      </c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206" t="n">
        <v>-1.083</v>
      </c>
      <c r="N247" s="206" t="n">
        <v>-1.521</v>
      </c>
      <c r="O247" s="206" t="n">
        <v>-175.39</v>
      </c>
      <c r="P247" s="206" t="n">
        <v>-3.839</v>
      </c>
      <c r="Q247" s="206" t="n">
        <v>-181.833</v>
      </c>
      <c r="R247" s="206" t="n">
        <v>-1.91</v>
      </c>
      <c r="S247" s="206" t="n">
        <v>-2.821</v>
      </c>
      <c r="T247" s="206" t="n">
        <v>-63.382</v>
      </c>
      <c r="U247" s="206" t="n">
        <v>-4.444</v>
      </c>
      <c r="V247" s="206" t="n">
        <v>-72.557</v>
      </c>
      <c r="W247" s="206" t="n">
        <v>-2.401</v>
      </c>
      <c r="X247" s="206" t="n">
        <v>-1.44</v>
      </c>
      <c r="Y247" s="206" t="n">
        <v>-385.465</v>
      </c>
      <c r="Z247" s="206" t="n">
        <v>-2.825</v>
      </c>
      <c r="AA247" s="206" t="n">
        <v>-392.131</v>
      </c>
      <c r="AB247" s="206" t="n">
        <v>-1.847</v>
      </c>
      <c r="AC247" s="206" t="n">
        <v>-2.871</v>
      </c>
      <c r="AD247" s="206" t="n">
        <v>-35.588</v>
      </c>
      <c r="AE247" s="206" t="n">
        <v>-480.571</v>
      </c>
      <c r="AF247" s="206" t="n">
        <v>-520.877</v>
      </c>
      <c r="AG247" s="206" t="n">
        <v>-253.976</v>
      </c>
      <c r="AH247" s="206" t="n">
        <v>-2.838</v>
      </c>
      <c r="AI247" s="34" t="n"/>
      <c r="AJ247" s="34" t="n"/>
      <c r="AK247" s="182">
        <f>SUM(AK244:AK246)</f>
        <v/>
      </c>
      <c r="AL247" s="182">
        <f>SUM(AL244:AL246)</f>
        <v/>
      </c>
      <c r="AM247" s="182">
        <f>SUM(AM244:AM246)</f>
        <v/>
      </c>
      <c r="AN247" s="182">
        <f>SUM(AN244:AN246)</f>
        <v/>
      </c>
      <c r="AO247" s="182">
        <f>SUM(AO244:AO246)</f>
        <v/>
      </c>
      <c r="AP247" s="6" t="n"/>
    </row>
    <row r="248" ht="15" customHeight="1">
      <c r="B248" s="26" t="inlineStr">
        <is>
          <t>Net proceeds from issuance of common stock (IPO, follow-on, option exercises)</t>
        </is>
      </c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174" t="n">
        <v>0</v>
      </c>
      <c r="R248" s="174" t="n">
        <v>0</v>
      </c>
      <c r="S248" s="174" t="n">
        <v>0</v>
      </c>
      <c r="T248" s="174" t="n">
        <v>0</v>
      </c>
      <c r="U248" s="174" t="n">
        <v>0</v>
      </c>
      <c r="V248" s="174" t="n">
        <v>0</v>
      </c>
      <c r="W248" s="174" t="n">
        <v>0</v>
      </c>
      <c r="X248" s="174" t="n">
        <v>325.731</v>
      </c>
      <c r="Y248" s="174" t="n">
        <v>-0.323</v>
      </c>
      <c r="Z248" s="174" t="n">
        <v>311.561</v>
      </c>
      <c r="AA248" s="174" t="n">
        <v>636.9690000000001</v>
      </c>
      <c r="AB248" s="174" t="n">
        <v>0</v>
      </c>
      <c r="AC248" s="174" t="n">
        <v>1.859</v>
      </c>
      <c r="AD248" s="174" t="n">
        <v>0</v>
      </c>
      <c r="AE248" s="174" t="n">
        <v>0</v>
      </c>
      <c r="AF248" s="174" t="n">
        <v>1.859</v>
      </c>
      <c r="AG248" s="174" t="n">
        <v>0.056</v>
      </c>
      <c r="AH248" s="174" t="n">
        <v>1.966</v>
      </c>
      <c r="AI248" s="37" t="n"/>
      <c r="AJ248" s="37" t="n"/>
      <c r="AK248" s="175">
        <f>(AG248+AH248)</f>
        <v/>
      </c>
      <c r="AL248" s="187" t="n">
        <v>2</v>
      </c>
      <c r="AM248" s="187" t="n">
        <v>2</v>
      </c>
      <c r="AN248" s="187" t="n">
        <v>2</v>
      </c>
      <c r="AO248" s="187" t="n">
        <v>2</v>
      </c>
      <c r="AP248" s="20" t="inlineStr">
        <is>
          <t>IPO Apr-2024 (net $325.7m) and follow-on Dec-2024 ($311.5m); option exercises thereafter.</t>
        </is>
      </c>
    </row>
    <row r="249" ht="15" customHeight="1">
      <c r="B249" s="26" t="inlineStr">
        <is>
          <t>Proceeds from issuance of long-term debt</t>
        </is>
      </c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174" t="n">
        <v>145</v>
      </c>
      <c r="R249" s="174" t="n">
        <v>0</v>
      </c>
      <c r="S249" s="174" t="n">
        <v>20</v>
      </c>
      <c r="T249" s="174" t="n">
        <v>33</v>
      </c>
      <c r="U249" s="174" t="n">
        <v>0</v>
      </c>
      <c r="V249" s="174" t="n">
        <v>53</v>
      </c>
      <c r="W249" s="174" t="n">
        <v>0</v>
      </c>
      <c r="X249" s="174" t="n">
        <v>0</v>
      </c>
      <c r="Y249" s="174" t="n">
        <v>360</v>
      </c>
      <c r="Z249" s="174" t="n">
        <v>0</v>
      </c>
      <c r="AA249" s="174" t="n">
        <v>360</v>
      </c>
      <c r="AB249" s="174" t="n">
        <v>0</v>
      </c>
      <c r="AC249" s="174" t="n">
        <v>0</v>
      </c>
      <c r="AD249" s="174" t="n">
        <v>1.5</v>
      </c>
      <c r="AE249" s="174" t="n">
        <v>445</v>
      </c>
      <c r="AF249" s="174" t="n">
        <v>446.5</v>
      </c>
      <c r="AG249" s="174" t="n">
        <v>240</v>
      </c>
      <c r="AH249" s="174" t="n">
        <v>0</v>
      </c>
      <c r="AI249" s="37" t="n"/>
      <c r="AJ249" s="37" t="n"/>
      <c r="AK249" s="175">
        <f>(AG249+AH249)+MAX(0,AK348-AH348-AK347)</f>
        <v/>
      </c>
      <c r="AL249" s="175">
        <f>MAX(0,AL348-AK348-AL347)</f>
        <v/>
      </c>
      <c r="AM249" s="175">
        <f>MAX(0,AM348-AL348-AM347)</f>
        <v/>
      </c>
      <c r="AN249" s="175">
        <f>MAX(0,AN348-AM348-AN347)</f>
        <v/>
      </c>
      <c r="AO249" s="175">
        <f>MAX(0,AO348-AN348-AO347)</f>
        <v/>
      </c>
      <c r="AP249" s="20" t="n"/>
    </row>
    <row r="250" ht="15" customHeight="1">
      <c r="B250" s="26" t="inlineStr">
        <is>
          <t>Payments of long-term debt</t>
        </is>
      </c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174" t="n">
        <v>-4.369</v>
      </c>
      <c r="R250" s="174" t="n">
        <v>-1.273</v>
      </c>
      <c r="S250" s="174" t="n">
        <v>-1.324</v>
      </c>
      <c r="T250" s="174" t="n">
        <v>-1.736</v>
      </c>
      <c r="U250" s="174" t="n">
        <v>-1.737</v>
      </c>
      <c r="V250" s="174" t="n">
        <v>-6.07</v>
      </c>
      <c r="W250" s="174" t="n">
        <v>-1.736</v>
      </c>
      <c r="X250" s="174" t="n">
        <v>-284.613</v>
      </c>
      <c r="Y250" s="174" t="n">
        <v>-1.532</v>
      </c>
      <c r="Z250" s="174" t="n">
        <v>-330</v>
      </c>
      <c r="AA250" s="174" t="n">
        <v>-617.881</v>
      </c>
      <c r="AB250" s="174" t="n">
        <v>0</v>
      </c>
      <c r="AC250" s="174" t="n">
        <v>0</v>
      </c>
      <c r="AD250" s="174" t="n">
        <v>0</v>
      </c>
      <c r="AE250" s="174" t="n">
        <v>0</v>
      </c>
      <c r="AF250" s="174" t="n">
        <v>0</v>
      </c>
      <c r="AG250" s="174" t="n">
        <v>-1.713</v>
      </c>
      <c r="AH250" s="174" t="n">
        <v>-1.712</v>
      </c>
      <c r="AI250" s="37" t="n"/>
      <c r="AJ250" s="37" t="n"/>
      <c r="AK250" s="175">
        <f>(AG250+AH250)+MIN(0,AK348-AH348-AK347)</f>
        <v/>
      </c>
      <c r="AL250" s="175">
        <f>MIN(0,AL348-AK348-AL347)</f>
        <v/>
      </c>
      <c r="AM250" s="175">
        <f>MIN(0,AM348-AL348-AM347)</f>
        <v/>
      </c>
      <c r="AN250" s="175">
        <f>MIN(0,AN348-AM348-AN347)</f>
        <v/>
      </c>
      <c r="AO250" s="175">
        <f>MIN(0,AO348-AN348-AO347)</f>
        <v/>
      </c>
      <c r="AP250" s="20" t="inlineStr">
        <is>
          <t>Net borrowing / (repayment) = change in term loans per the debt schedule (voluntary prepayment at par with surplus cash; draws for M&amp;A).</t>
        </is>
      </c>
    </row>
    <row r="251" ht="15" customHeight="1">
      <c r="B251" s="26" t="inlineStr">
        <is>
          <t>Repurchases of common stock</t>
        </is>
      </c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7" t="n"/>
      <c r="AJ251" s="37" t="n"/>
      <c r="AK251" s="175">
        <f>-CHOOSE(MATCH($AP$2,{"Bull","Base","Bear"},0),$AY$16,$AZ$16,$BA$16)</f>
        <v/>
      </c>
      <c r="AL251" s="175">
        <f>-AL357</f>
        <v/>
      </c>
      <c r="AM251" s="175">
        <f>-AM357</f>
        <v/>
      </c>
      <c r="AN251" s="175">
        <f>-AN357</f>
        <v/>
      </c>
      <c r="AO251" s="175">
        <f>-AO357</f>
        <v/>
      </c>
      <c r="AP251" s="20" t="inlineStr">
        <is>
          <t>No repurchase program to date. 2027E+ = leverage plug (surplus cash returned once net debt / Adjusted EBITDA reaches the scenario floor).</t>
        </is>
      </c>
    </row>
    <row r="252" ht="15" customHeight="1">
      <c r="B252" s="26" t="inlineStr">
        <is>
          <t>Financing costs, finance-lease payments &amp; other financing, net (derived)</t>
        </is>
      </c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174" t="n">
        <v>-5.326</v>
      </c>
      <c r="R252" s="174" t="n">
        <v>-0.036</v>
      </c>
      <c r="S252" s="174" t="n">
        <v>-0.436</v>
      </c>
      <c r="T252" s="174" t="n">
        <v>-0.6830000000000001</v>
      </c>
      <c r="U252" s="174" t="n">
        <v>-0.058</v>
      </c>
      <c r="V252" s="174" t="n">
        <v>-1.213</v>
      </c>
      <c r="W252" s="174" t="n">
        <v>-0.045</v>
      </c>
      <c r="X252" s="174" t="n">
        <v>-1.721</v>
      </c>
      <c r="Y252" s="174" t="n">
        <v>-7.247</v>
      </c>
      <c r="Z252" s="174" t="n">
        <v>-0.053</v>
      </c>
      <c r="AA252" s="174" t="n">
        <v>-9.066000000000001</v>
      </c>
      <c r="AB252" s="174" t="n">
        <v>-0.055</v>
      </c>
      <c r="AC252" s="174" t="n">
        <v>-0.055</v>
      </c>
      <c r="AD252" s="174" t="n">
        <v>-0.063</v>
      </c>
      <c r="AE252" s="174" t="n">
        <v>-8.959</v>
      </c>
      <c r="AF252" s="174" t="n">
        <v>-9.132</v>
      </c>
      <c r="AG252" s="174" t="n">
        <v>-4.869</v>
      </c>
      <c r="AH252" s="174" t="n">
        <v>-0.064</v>
      </c>
      <c r="AI252" s="37" t="n"/>
      <c r="AJ252" s="37" t="n"/>
      <c r="AK252" s="175">
        <f>(AG252+AH252)</f>
        <v/>
      </c>
      <c r="AL252" s="187" t="n">
        <v>0</v>
      </c>
      <c r="AM252" s="187" t="n">
        <v>0</v>
      </c>
      <c r="AN252" s="187" t="n">
        <v>0</v>
      </c>
      <c r="AO252" s="187" t="n">
        <v>0</v>
      </c>
      <c r="AP252" s="20" t="n"/>
    </row>
    <row r="253" ht="15" customHeight="1">
      <c r="B253" s="17" t="inlineStr">
        <is>
          <t>Net cash provided by (used in) financing activities</t>
        </is>
      </c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206" t="n">
        <v>-2.561</v>
      </c>
      <c r="N253" s="206" t="n">
        <v>-1.014</v>
      </c>
      <c r="O253" s="206" t="n">
        <v>140.189</v>
      </c>
      <c r="P253" s="206" t="n">
        <v>-1.309</v>
      </c>
      <c r="Q253" s="206" t="n">
        <v>135.305</v>
      </c>
      <c r="R253" s="206" t="n">
        <v>-1.309</v>
      </c>
      <c r="S253" s="206" t="n">
        <v>18.24</v>
      </c>
      <c r="T253" s="206" t="n">
        <v>30.581</v>
      </c>
      <c r="U253" s="206" t="n">
        <v>-1.795</v>
      </c>
      <c r="V253" s="206" t="n">
        <v>45.717</v>
      </c>
      <c r="W253" s="206" t="n">
        <v>-1.781</v>
      </c>
      <c r="X253" s="206" t="n">
        <v>39.397</v>
      </c>
      <c r="Y253" s="206" t="n">
        <v>350.898</v>
      </c>
      <c r="Z253" s="206" t="n">
        <v>-18.492</v>
      </c>
      <c r="AA253" s="206" t="n">
        <v>370.022</v>
      </c>
      <c r="AB253" s="206" t="n">
        <v>-0.055</v>
      </c>
      <c r="AC253" s="206" t="n">
        <v>1.804</v>
      </c>
      <c r="AD253" s="206" t="n">
        <v>1.437</v>
      </c>
      <c r="AE253" s="206" t="n">
        <v>436.041</v>
      </c>
      <c r="AF253" s="206" t="n">
        <v>439.227</v>
      </c>
      <c r="AG253" s="206" t="n">
        <v>233.474</v>
      </c>
      <c r="AH253" s="206" t="n">
        <v>0.19</v>
      </c>
      <c r="AI253" s="34" t="n"/>
      <c r="AJ253" s="34" t="n"/>
      <c r="AK253" s="182">
        <f>SUM(AK248:AK252)</f>
        <v/>
      </c>
      <c r="AL253" s="182">
        <f>SUM(AL248:AL252)</f>
        <v/>
      </c>
      <c r="AM253" s="182">
        <f>SUM(AM248:AM252)</f>
        <v/>
      </c>
      <c r="AN253" s="182">
        <f>SUM(AN248:AN252)</f>
        <v/>
      </c>
      <c r="AO253" s="182">
        <f>SUM(AO248:AO252)</f>
        <v/>
      </c>
      <c r="AP253" s="6" t="n"/>
    </row>
    <row r="254" ht="15" customHeight="1">
      <c r="B254" s="26" t="inlineStr">
        <is>
          <t>Effect of translation adjustments on cash</t>
        </is>
      </c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174" t="n">
        <v>0.16</v>
      </c>
      <c r="R254" s="174" t="n">
        <v>-0.107</v>
      </c>
      <c r="S254" s="174" t="n">
        <v>-0.165</v>
      </c>
      <c r="T254" s="174" t="n">
        <v>0.135</v>
      </c>
      <c r="U254" s="174" t="n">
        <v>0.156</v>
      </c>
      <c r="V254" s="174" t="n">
        <v>0.019</v>
      </c>
      <c r="W254" s="174" t="n">
        <v>0.032</v>
      </c>
      <c r="X254" s="174" t="n">
        <v>0.012</v>
      </c>
      <c r="Y254" s="174" t="n">
        <v>0.195</v>
      </c>
      <c r="Z254" s="174" t="n">
        <v>-0.524</v>
      </c>
      <c r="AA254" s="174" t="n">
        <v>-0.285</v>
      </c>
      <c r="AB254" s="174" t="n">
        <v>-0.026</v>
      </c>
      <c r="AC254" s="174" t="n">
        <v>0.108</v>
      </c>
      <c r="AD254" s="174" t="n">
        <v>0.07000000000000001</v>
      </c>
      <c r="AE254" s="174" t="n">
        <v>-0.021</v>
      </c>
      <c r="AF254" s="174" t="n">
        <v>0.131</v>
      </c>
      <c r="AG254" s="174" t="n">
        <v>-0.358</v>
      </c>
      <c r="AH254" s="174" t="n">
        <v>-0.08799999999999999</v>
      </c>
      <c r="AI254" s="37" t="n"/>
      <c r="AJ254" s="37" t="n"/>
      <c r="AK254" s="175">
        <f>(AG254+AH254)</f>
        <v/>
      </c>
      <c r="AL254" s="187" t="n">
        <v>0</v>
      </c>
      <c r="AM254" s="187" t="n">
        <v>0</v>
      </c>
      <c r="AN254" s="187" t="n">
        <v>0</v>
      </c>
      <c r="AO254" s="187" t="n">
        <v>0</v>
      </c>
      <c r="AP254" s="20" t="n"/>
    </row>
    <row r="255" ht="15" customHeight="1">
      <c r="B255" s="26" t="inlineStr">
        <is>
          <t>Net increase (decrease) in cash</t>
        </is>
      </c>
      <c r="C255" s="186">
        <f>IF(ISNUMBER(C243),C243+C247+C253+N(C254),"")</f>
        <v/>
      </c>
      <c r="D255" s="186">
        <f>IF(ISNUMBER(D243),D243+D247+D253+N(D254),"")</f>
        <v/>
      </c>
      <c r="E255" s="186">
        <f>IF(ISNUMBER(E243),E243+E247+E253+N(E254),"")</f>
        <v/>
      </c>
      <c r="F255" s="186">
        <f>IF(ISNUMBER(F243),F243+F247+F253+N(F254),"")</f>
        <v/>
      </c>
      <c r="G255" s="186">
        <f>IF(ISNUMBER(G243),G243+G247+G253+N(G254),"")</f>
        <v/>
      </c>
      <c r="H255" s="186">
        <f>IF(ISNUMBER(H243),H243+H247+H253+N(H254),"")</f>
        <v/>
      </c>
      <c r="I255" s="186">
        <f>IF(ISNUMBER(I243),I243+I247+I253+N(I254),"")</f>
        <v/>
      </c>
      <c r="J255" s="186">
        <f>IF(ISNUMBER(J243),J243+J247+J253+N(J254),"")</f>
        <v/>
      </c>
      <c r="K255" s="186">
        <f>IF(ISNUMBER(K243),K243+K247+K253+N(K254),"")</f>
        <v/>
      </c>
      <c r="L255" s="186">
        <f>IF(ISNUMBER(L243),L243+L247+L253+N(L254),"")</f>
        <v/>
      </c>
      <c r="M255" s="186">
        <f>IF(ISNUMBER(M243),M243+M247+M253+N(M254),"")</f>
        <v/>
      </c>
      <c r="N255" s="186">
        <f>IF(ISNUMBER(N243),N243+N247+N253+N(N254),"")</f>
        <v/>
      </c>
      <c r="O255" s="186">
        <f>IF(ISNUMBER(O243),O243+O247+O253+N(O254),"")</f>
        <v/>
      </c>
      <c r="P255" s="186">
        <f>IF(ISNUMBER(P243),P243+P247+P253+N(P254),"")</f>
        <v/>
      </c>
      <c r="Q255" s="174" t="n">
        <v>-33.098</v>
      </c>
      <c r="R255" s="174" t="n">
        <v>-0.232</v>
      </c>
      <c r="S255" s="174" t="n">
        <v>11.527</v>
      </c>
      <c r="T255" s="174" t="n">
        <v>-31.233</v>
      </c>
      <c r="U255" s="174" t="n">
        <v>5.93</v>
      </c>
      <c r="V255" s="174" t="n">
        <v>-14.008</v>
      </c>
      <c r="W255" s="174" t="n">
        <v>6.663</v>
      </c>
      <c r="X255" s="174" t="n">
        <v>45.051</v>
      </c>
      <c r="Y255" s="174" t="n">
        <v>-18.024</v>
      </c>
      <c r="Z255" s="174" t="n">
        <v>-1.113</v>
      </c>
      <c r="AA255" s="174" t="n">
        <v>32.577</v>
      </c>
      <c r="AB255" s="174" t="n">
        <v>26.432</v>
      </c>
      <c r="AC255" s="174" t="n">
        <v>22.844</v>
      </c>
      <c r="AD255" s="174" t="n">
        <v>-4.387</v>
      </c>
      <c r="AE255" s="174" t="n">
        <v>-14.128</v>
      </c>
      <c r="AF255" s="174" t="n">
        <v>30.761</v>
      </c>
      <c r="AG255" s="174" t="n">
        <v>10.055</v>
      </c>
      <c r="AH255" s="174" t="n">
        <v>27.551</v>
      </c>
      <c r="AI255" s="37" t="n"/>
      <c r="AJ255" s="37" t="n"/>
      <c r="AK255" s="175">
        <f>AK243+AK247+AK253+AK254</f>
        <v/>
      </c>
      <c r="AL255" s="175">
        <f>AL243+AL247+AL253+AL254</f>
        <v/>
      </c>
      <c r="AM255" s="175">
        <f>AM243+AM247+AM253+AM254</f>
        <v/>
      </c>
      <c r="AN255" s="175">
        <f>AN243+AN247+AN253+AN254</f>
        <v/>
      </c>
      <c r="AO255" s="175">
        <f>AO243+AO247+AO253+AO254</f>
        <v/>
      </c>
      <c r="AP255" s="20" t="n"/>
    </row>
    <row r="256" ht="15" customHeight="1">
      <c r="B256" s="26" t="inlineStr">
        <is>
          <t>Cash — beginning of period</t>
        </is>
      </c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174" t="n">
        <v>68.595</v>
      </c>
      <c r="R256" s="174" t="n">
        <v>35.497</v>
      </c>
      <c r="S256" s="174" t="n">
        <v>35.265</v>
      </c>
      <c r="T256" s="174" t="n">
        <v>46.792</v>
      </c>
      <c r="U256" s="174" t="n">
        <v>15.559</v>
      </c>
      <c r="V256" s="174" t="n">
        <v>35.497</v>
      </c>
      <c r="W256" s="174" t="n">
        <v>21.489</v>
      </c>
      <c r="X256" s="174" t="n">
        <v>28.152</v>
      </c>
      <c r="Y256" s="174" t="n">
        <v>73.203</v>
      </c>
      <c r="Z256" s="174" t="n">
        <v>55.179</v>
      </c>
      <c r="AA256" s="174" t="n">
        <v>21.489</v>
      </c>
      <c r="AB256" s="174" t="n">
        <v>54.066</v>
      </c>
      <c r="AC256" s="174" t="n">
        <v>80.498</v>
      </c>
      <c r="AD256" s="174" t="n">
        <v>103.342</v>
      </c>
      <c r="AE256" s="174" t="n">
        <v>98.955</v>
      </c>
      <c r="AF256" s="174" t="n">
        <v>54.066</v>
      </c>
      <c r="AG256" s="174" t="n">
        <v>84.827</v>
      </c>
      <c r="AH256" s="174" t="n">
        <v>94.88200000000001</v>
      </c>
      <c r="AI256" s="37" t="n"/>
      <c r="AJ256" s="37" t="n"/>
      <c r="AK256" s="175">
        <f>AF257</f>
        <v/>
      </c>
      <c r="AL256" s="175">
        <f>AK257</f>
        <v/>
      </c>
      <c r="AM256" s="175">
        <f>AL257</f>
        <v/>
      </c>
      <c r="AN256" s="175">
        <f>AM257</f>
        <v/>
      </c>
      <c r="AO256" s="175">
        <f>AN257</f>
        <v/>
      </c>
      <c r="AP256" s="20" t="n"/>
    </row>
    <row r="257" ht="15" customHeight="1">
      <c r="B257" s="17" t="inlineStr">
        <is>
          <t>Cash — end of period</t>
        </is>
      </c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206" t="n">
        <v>35.497</v>
      </c>
      <c r="R257" s="206" t="n">
        <v>35.265</v>
      </c>
      <c r="S257" s="206" t="n">
        <v>46.792</v>
      </c>
      <c r="T257" s="206" t="n">
        <v>15.559</v>
      </c>
      <c r="U257" s="206" t="n">
        <v>21.489</v>
      </c>
      <c r="V257" s="206" t="n">
        <v>21.489</v>
      </c>
      <c r="W257" s="206" t="n">
        <v>28.152</v>
      </c>
      <c r="X257" s="206" t="n">
        <v>73.203</v>
      </c>
      <c r="Y257" s="206" t="n">
        <v>55.179</v>
      </c>
      <c r="Z257" s="206" t="n">
        <v>54.066</v>
      </c>
      <c r="AA257" s="206" t="n">
        <v>54.066</v>
      </c>
      <c r="AB257" s="206" t="n">
        <v>80.498</v>
      </c>
      <c r="AC257" s="206" t="n">
        <v>103.342</v>
      </c>
      <c r="AD257" s="206" t="n">
        <v>98.955</v>
      </c>
      <c r="AE257" s="206" t="n">
        <v>84.827</v>
      </c>
      <c r="AF257" s="206" t="n">
        <v>84.827</v>
      </c>
      <c r="AG257" s="206" t="n">
        <v>94.88200000000001</v>
      </c>
      <c r="AH257" s="206" t="n">
        <v>122.433</v>
      </c>
      <c r="AI257" s="34" t="n"/>
      <c r="AJ257" s="34" t="n"/>
      <c r="AK257" s="182">
        <f>AK256+AK255</f>
        <v/>
      </c>
      <c r="AL257" s="182">
        <f>AL256+AL255</f>
        <v/>
      </c>
      <c r="AM257" s="182">
        <f>AM256+AM255</f>
        <v/>
      </c>
      <c r="AN257" s="182">
        <f>AN256+AN255</f>
        <v/>
      </c>
      <c r="AO257" s="182">
        <f>AO256+AO255</f>
        <v/>
      </c>
      <c r="AP257" s="6" t="n"/>
    </row>
    <row r="258" ht="15" customHeight="1">
      <c r="B258" s="61" t="inlineStr">
        <is>
          <t xml:space="preserve">  Check: CFO + CFI + CFF + FX = change in cash (should be 0)</t>
        </is>
      </c>
      <c r="C258" s="186">
        <f>IF(AND(ISNUMBER(C256),ISNUMBER(C243)),IF(ABS(C256+C255-C257)&lt;=0.015,0,ROUND(C256+C255-C257,2)),"")</f>
        <v/>
      </c>
      <c r="D258" s="186">
        <f>IF(AND(ISNUMBER(D256),ISNUMBER(D243)),IF(ABS(D256+D255-D257)&lt;=0.015,0,ROUND(D256+D255-D257,2)),"")</f>
        <v/>
      </c>
      <c r="E258" s="186">
        <f>IF(AND(ISNUMBER(E256),ISNUMBER(E243)),IF(ABS(E256+E255-E257)&lt;=0.015,0,ROUND(E256+E255-E257,2)),"")</f>
        <v/>
      </c>
      <c r="F258" s="186">
        <f>IF(AND(ISNUMBER(F256),ISNUMBER(F243)),IF(ABS(F256+F255-F257)&lt;=0.015,0,ROUND(F256+F255-F257,2)),"")</f>
        <v/>
      </c>
      <c r="G258" s="186">
        <f>IF(AND(ISNUMBER(G256),ISNUMBER(G243)),IF(ABS(G256+G255-G257)&lt;=0.015,0,ROUND(G256+G255-G257,2)),"")</f>
        <v/>
      </c>
      <c r="H258" s="186">
        <f>IF(AND(ISNUMBER(H256),ISNUMBER(H243)),IF(ABS(H256+H255-H257)&lt;=0.015,0,ROUND(H256+H255-H257,2)),"")</f>
        <v/>
      </c>
      <c r="I258" s="186">
        <f>IF(AND(ISNUMBER(I256),ISNUMBER(I243)),IF(ABS(I256+I255-I257)&lt;=0.015,0,ROUND(I256+I255-I257,2)),"")</f>
        <v/>
      </c>
      <c r="J258" s="186">
        <f>IF(AND(ISNUMBER(J256),ISNUMBER(J243)),IF(ABS(J256+J255-J257)&lt;=0.015,0,ROUND(J256+J255-J257,2)),"")</f>
        <v/>
      </c>
      <c r="K258" s="186">
        <f>IF(AND(ISNUMBER(K256),ISNUMBER(K243)),IF(ABS(K256+K255-K257)&lt;=0.015,0,ROUND(K256+K255-K257,2)),"")</f>
        <v/>
      </c>
      <c r="L258" s="186">
        <f>IF(AND(ISNUMBER(L256),ISNUMBER(L243)),IF(ABS(L256+L255-L257)&lt;=0.015,0,ROUND(L256+L255-L257,2)),"")</f>
        <v/>
      </c>
      <c r="M258" s="186">
        <f>IF(AND(ISNUMBER(M256),ISNUMBER(M243)),IF(ABS(M256+M255-M257)&lt;=0.015,0,ROUND(M256+M255-M257,2)),"")</f>
        <v/>
      </c>
      <c r="N258" s="186">
        <f>IF(AND(ISNUMBER(N256),ISNUMBER(N243)),IF(ABS(N256+N255-N257)&lt;=0.015,0,ROUND(N256+N255-N257,2)),"")</f>
        <v/>
      </c>
      <c r="O258" s="186">
        <f>IF(AND(ISNUMBER(O256),ISNUMBER(O243)),IF(ABS(O256+O255-O257)&lt;=0.015,0,ROUND(O256+O255-O257,2)),"")</f>
        <v/>
      </c>
      <c r="P258" s="186">
        <f>IF(AND(ISNUMBER(P256),ISNUMBER(P243)),IF(ABS(P256+P255-P257)&lt;=0.015,0,ROUND(P256+P255-P257,2)),"")</f>
        <v/>
      </c>
      <c r="Q258" s="186">
        <f>IF(AND(ISNUMBER(Q256),ISNUMBER(Q243)),IF(ABS(Q256+Q255-Q257)&lt;=0.015,0,ROUND(Q256+Q255-Q257,2)),"")</f>
        <v/>
      </c>
      <c r="R258" s="186">
        <f>IF(AND(ISNUMBER(R256),ISNUMBER(R243)),IF(ABS(R256+R255-R257)&lt;=0.015,0,ROUND(R256+R255-R257,2)),"")</f>
        <v/>
      </c>
      <c r="S258" s="186">
        <f>IF(AND(ISNUMBER(S256),ISNUMBER(S243)),IF(ABS(S256+S255-S257)&lt;=0.015,0,ROUND(S256+S255-S257,2)),"")</f>
        <v/>
      </c>
      <c r="T258" s="186">
        <f>IF(AND(ISNUMBER(T256),ISNUMBER(T243)),IF(ABS(T256+T255-T257)&lt;=0.015,0,ROUND(T256+T255-T257,2)),"")</f>
        <v/>
      </c>
      <c r="U258" s="186">
        <f>IF(AND(ISNUMBER(U256),ISNUMBER(U243)),IF(ABS(U256+U255-U257)&lt;=0.015,0,ROUND(U256+U255-U257,2)),"")</f>
        <v/>
      </c>
      <c r="V258" s="186">
        <f>IF(AND(ISNUMBER(V256),ISNUMBER(V243)),IF(ABS(V256+V255-V257)&lt;=0.015,0,ROUND(V256+V255-V257,2)),"")</f>
        <v/>
      </c>
      <c r="W258" s="186">
        <f>IF(AND(ISNUMBER(W256),ISNUMBER(W243)),IF(ABS(W256+W255-W257)&lt;=0.015,0,ROUND(W256+W255-W257,2)),"")</f>
        <v/>
      </c>
      <c r="X258" s="186">
        <f>IF(AND(ISNUMBER(X256),ISNUMBER(X243)),IF(ABS(X256+X255-X257)&lt;=0.015,0,ROUND(X256+X255-X257,2)),"")</f>
        <v/>
      </c>
      <c r="Y258" s="186">
        <f>IF(AND(ISNUMBER(Y256),ISNUMBER(Y243)),IF(ABS(Y256+Y255-Y257)&lt;=0.015,0,ROUND(Y256+Y255-Y257,2)),"")</f>
        <v/>
      </c>
      <c r="Z258" s="186">
        <f>IF(AND(ISNUMBER(Z256),ISNUMBER(Z243)),IF(ABS(Z256+Z255-Z257)&lt;=0.015,0,ROUND(Z256+Z255-Z257,2)),"")</f>
        <v/>
      </c>
      <c r="AA258" s="186">
        <f>IF(AND(ISNUMBER(AA256),ISNUMBER(AA243)),IF(ABS(AA256+AA255-AA257)&lt;=0.015,0,ROUND(AA256+AA255-AA257,2)),"")</f>
        <v/>
      </c>
      <c r="AB258" s="186">
        <f>IF(AND(ISNUMBER(AB256),ISNUMBER(AB243)),IF(ABS(AB256+AB255-AB257)&lt;=0.015,0,ROUND(AB256+AB255-AB257,2)),"")</f>
        <v/>
      </c>
      <c r="AC258" s="186">
        <f>IF(AND(ISNUMBER(AC256),ISNUMBER(AC243)),IF(ABS(AC256+AC255-AC257)&lt;=0.015,0,ROUND(AC256+AC255-AC257,2)),"")</f>
        <v/>
      </c>
      <c r="AD258" s="186">
        <f>IF(AND(ISNUMBER(AD256),ISNUMBER(AD243)),IF(ABS(AD256+AD255-AD257)&lt;=0.015,0,ROUND(AD256+AD255-AD257,2)),"")</f>
        <v/>
      </c>
      <c r="AE258" s="186">
        <f>IF(AND(ISNUMBER(AE256),ISNUMBER(AE243)),IF(ABS(AE256+AE255-AE257)&lt;=0.015,0,ROUND(AE256+AE255-AE257,2)),"")</f>
        <v/>
      </c>
      <c r="AF258" s="186">
        <f>IF(AND(ISNUMBER(AF256),ISNUMBER(AF243)),IF(ABS(AF256+AF255-AF257)&lt;=0.015,0,ROUND(AF256+AF255-AF257,2)),"")</f>
        <v/>
      </c>
      <c r="AG258" s="186">
        <f>IF(AND(ISNUMBER(AG256),ISNUMBER(AG243)),IF(ABS(AG256+AG255-AG257)&lt;=0.015,0,ROUND(AG256+AG255-AG257,2)),"")</f>
        <v/>
      </c>
      <c r="AH258" s="186">
        <f>IF(AND(ISNUMBER(AH256),ISNUMBER(AH243)),IF(ABS(AH256+AH255-AH257)&lt;=0.015,0,ROUND(AH256+AH255-AH257,2)),"")</f>
        <v/>
      </c>
      <c r="AI258" s="6" t="n"/>
      <c r="AJ258" s="6" t="n"/>
      <c r="AK258" s="197">
        <f>IF(AND(ISNUMBER(AK256),ISNUMBER(AK243)),IF(ABS(AK256+AK255-AK257)&lt;=0.015,0,ROUND(AK256+AK255-AK257,2)),"")</f>
        <v/>
      </c>
      <c r="AL258" s="197">
        <f>IF(AND(ISNUMBER(AL256),ISNUMBER(AL243)),IF(ABS(AL256+AL255-AL257)&lt;=0.015,0,ROUND(AL256+AL255-AL257,2)),"")</f>
        <v/>
      </c>
      <c r="AM258" s="197">
        <f>IF(AND(ISNUMBER(AM256),ISNUMBER(AM243)),IF(ABS(AM256+AM255-AM257)&lt;=0.015,0,ROUND(AM256+AM255-AM257,2)),"")</f>
        <v/>
      </c>
      <c r="AN258" s="197">
        <f>IF(AND(ISNUMBER(AN256),ISNUMBER(AN243)),IF(ABS(AN256+AN255-AN257)&lt;=0.015,0,ROUND(AN256+AN255-AN257,2)),"")</f>
        <v/>
      </c>
      <c r="AO258" s="197">
        <f>IF(AND(ISNUMBER(AO256),ISNUMBER(AO243)),IF(ABS(AO256+AO255-AO257)&lt;=0.015,0,ROUND(AO256+AO255-AO257,2)),"")</f>
        <v/>
      </c>
      <c r="AP258" s="6" t="n"/>
    </row>
    <row r="259" ht="15" customHeight="1">
      <c r="B259" s="61" t="inlineStr">
        <is>
          <t xml:space="preserve">  Check: CFO = sum of operating lines (should be 0)</t>
        </is>
      </c>
      <c r="C259" s="186">
        <f>IF(ISNUMBER(C236),IF(ABS(SUM(C236:C242)-C243)&lt;=0.015,0,ROUND(SUM(C236:C242)-C243,2)),"")</f>
        <v/>
      </c>
      <c r="D259" s="186">
        <f>IF(ISNUMBER(D236),IF(ABS(SUM(D236:D242)-D243)&lt;=0.015,0,ROUND(SUM(D236:D242)-D243,2)),"")</f>
        <v/>
      </c>
      <c r="E259" s="186">
        <f>IF(ISNUMBER(E236),IF(ABS(SUM(E236:E242)-E243)&lt;=0.015,0,ROUND(SUM(E236:E242)-E243,2)),"")</f>
        <v/>
      </c>
      <c r="F259" s="186">
        <f>IF(ISNUMBER(F236),IF(ABS(SUM(F236:F242)-F243)&lt;=0.015,0,ROUND(SUM(F236:F242)-F243,2)),"")</f>
        <v/>
      </c>
      <c r="G259" s="186">
        <f>IF(ISNUMBER(G236),IF(ABS(SUM(G236:G242)-G243)&lt;=0.015,0,ROUND(SUM(G236:G242)-G243,2)),"")</f>
        <v/>
      </c>
      <c r="H259" s="186">
        <f>IF(ISNUMBER(H236),IF(ABS(SUM(H236:H242)-H243)&lt;=0.015,0,ROUND(SUM(H236:H242)-H243,2)),"")</f>
        <v/>
      </c>
      <c r="I259" s="186">
        <f>IF(ISNUMBER(I236),IF(ABS(SUM(I236:I242)-I243)&lt;=0.015,0,ROUND(SUM(I236:I242)-I243,2)),"")</f>
        <v/>
      </c>
      <c r="J259" s="186">
        <f>IF(ISNUMBER(J236),IF(ABS(SUM(J236:J242)-J243)&lt;=0.015,0,ROUND(SUM(J236:J242)-J243,2)),"")</f>
        <v/>
      </c>
      <c r="K259" s="186">
        <f>IF(ISNUMBER(K236),IF(ABS(SUM(K236:K242)-K243)&lt;=0.015,0,ROUND(SUM(K236:K242)-K243,2)),"")</f>
        <v/>
      </c>
      <c r="L259" s="186">
        <f>IF(ISNUMBER(L236),IF(ABS(SUM(L236:L242)-L243)&lt;=0.015,0,ROUND(SUM(L236:L242)-L243,2)),"")</f>
        <v/>
      </c>
      <c r="M259" s="186">
        <f>IF(ISNUMBER(M236),IF(ABS(SUM(M236:M242)-M243)&lt;=0.015,0,ROUND(SUM(M236:M242)-M243,2)),"")</f>
        <v/>
      </c>
      <c r="N259" s="186">
        <f>IF(ISNUMBER(N236),IF(ABS(SUM(N236:N242)-N243)&lt;=0.015,0,ROUND(SUM(N236:N242)-N243,2)),"")</f>
        <v/>
      </c>
      <c r="O259" s="186">
        <f>IF(ISNUMBER(O236),IF(ABS(SUM(O236:O242)-O243)&lt;=0.015,0,ROUND(SUM(O236:O242)-O243,2)),"")</f>
        <v/>
      </c>
      <c r="P259" s="186">
        <f>IF(ISNUMBER(P236),IF(ABS(SUM(P236:P242)-P243)&lt;=0.015,0,ROUND(SUM(P236:P242)-P243,2)),"")</f>
        <v/>
      </c>
      <c r="Q259" s="186">
        <f>IF(ISNUMBER(Q236),IF(ABS(SUM(Q236:Q242)-Q243)&lt;=0.015,0,ROUND(SUM(Q236:Q242)-Q243,2)),"")</f>
        <v/>
      </c>
      <c r="R259" s="186">
        <f>IF(ISNUMBER(R236),IF(ABS(SUM(R236:R242)-R243)&lt;=0.015,0,ROUND(SUM(R236:R242)-R243,2)),"")</f>
        <v/>
      </c>
      <c r="S259" s="186">
        <f>IF(ISNUMBER(S236),IF(ABS(SUM(S236:S242)-S243)&lt;=0.015,0,ROUND(SUM(S236:S242)-S243,2)),"")</f>
        <v/>
      </c>
      <c r="T259" s="186">
        <f>IF(ISNUMBER(T236),IF(ABS(SUM(T236:T242)-T243)&lt;=0.015,0,ROUND(SUM(T236:T242)-T243,2)),"")</f>
        <v/>
      </c>
      <c r="U259" s="186">
        <f>IF(ISNUMBER(U236),IF(ABS(SUM(U236:U242)-U243)&lt;=0.015,0,ROUND(SUM(U236:U242)-U243,2)),"")</f>
        <v/>
      </c>
      <c r="V259" s="186">
        <f>IF(ISNUMBER(V236),IF(ABS(SUM(V236:V242)-V243)&lt;=0.015,0,ROUND(SUM(V236:V242)-V243,2)),"")</f>
        <v/>
      </c>
      <c r="W259" s="186">
        <f>IF(ISNUMBER(W236),IF(ABS(SUM(W236:W242)-W243)&lt;=0.015,0,ROUND(SUM(W236:W242)-W243,2)),"")</f>
        <v/>
      </c>
      <c r="X259" s="186">
        <f>IF(ISNUMBER(X236),IF(ABS(SUM(X236:X242)-X243)&lt;=0.015,0,ROUND(SUM(X236:X242)-X243,2)),"")</f>
        <v/>
      </c>
      <c r="Y259" s="186">
        <f>IF(ISNUMBER(Y236),IF(ABS(SUM(Y236:Y242)-Y243)&lt;=0.015,0,ROUND(SUM(Y236:Y242)-Y243,2)),"")</f>
        <v/>
      </c>
      <c r="Z259" s="186">
        <f>IF(ISNUMBER(Z236),IF(ABS(SUM(Z236:Z242)-Z243)&lt;=0.015,0,ROUND(SUM(Z236:Z242)-Z243,2)),"")</f>
        <v/>
      </c>
      <c r="AA259" s="186">
        <f>IF(ISNUMBER(AA236),IF(ABS(SUM(AA236:AA242)-AA243)&lt;=0.015,0,ROUND(SUM(AA236:AA242)-AA243,2)),"")</f>
        <v/>
      </c>
      <c r="AB259" s="186">
        <f>IF(ISNUMBER(AB236),IF(ABS(SUM(AB236:AB242)-AB243)&lt;=0.015,0,ROUND(SUM(AB236:AB242)-AB243,2)),"")</f>
        <v/>
      </c>
      <c r="AC259" s="186">
        <f>IF(ISNUMBER(AC236),IF(ABS(SUM(AC236:AC242)-AC243)&lt;=0.015,0,ROUND(SUM(AC236:AC242)-AC243,2)),"")</f>
        <v/>
      </c>
      <c r="AD259" s="186">
        <f>IF(ISNUMBER(AD236),IF(ABS(SUM(AD236:AD242)-AD243)&lt;=0.015,0,ROUND(SUM(AD236:AD242)-AD243,2)),"")</f>
        <v/>
      </c>
      <c r="AE259" s="186">
        <f>IF(ISNUMBER(AE236),IF(ABS(SUM(AE236:AE242)-AE243)&lt;=0.015,0,ROUND(SUM(AE236:AE242)-AE243,2)),"")</f>
        <v/>
      </c>
      <c r="AF259" s="186">
        <f>IF(ISNUMBER(AF236),IF(ABS(SUM(AF236:AF242)-AF243)&lt;=0.015,0,ROUND(SUM(AF236:AF242)-AF243,2)),"")</f>
        <v/>
      </c>
      <c r="AG259" s="186">
        <f>IF(ISNUMBER(AG236),IF(ABS(SUM(AG236:AG242)-AG243)&lt;=0.015,0,ROUND(SUM(AG236:AG242)-AG243,2)),"")</f>
        <v/>
      </c>
      <c r="AH259" s="186">
        <f>IF(ISNUMBER(AH236),IF(ABS(SUM(AH236:AH242)-AH243)&lt;=0.015,0,ROUND(SUM(AH236:AH242)-AH243,2)),"")</f>
        <v/>
      </c>
      <c r="AI259" s="6" t="n"/>
      <c r="AJ259" s="6" t="n"/>
      <c r="AK259" s="197">
        <f>IF(ISNUMBER(AK236),IF(ABS(SUM(AK236:AK242)-AK243)&lt;=0.015,0,ROUND(SUM(AK236:AK242)-AK243,2)),"")</f>
        <v/>
      </c>
      <c r="AL259" s="197">
        <f>IF(ISNUMBER(AL236),IF(ABS(SUM(AL236:AL242)-AL243)&lt;=0.015,0,ROUND(SUM(AL236:AL242)-AL243,2)),"")</f>
        <v/>
      </c>
      <c r="AM259" s="197">
        <f>IF(ISNUMBER(AM236),IF(ABS(SUM(AM236:AM242)-AM243)&lt;=0.015,0,ROUND(SUM(AM236:AM242)-AM243,2)),"")</f>
        <v/>
      </c>
      <c r="AN259" s="197">
        <f>IF(ISNUMBER(AN236),IF(ABS(SUM(AN236:AN242)-AN243)&lt;=0.015,0,ROUND(SUM(AN236:AN242)-AN243,2)),"")</f>
        <v/>
      </c>
      <c r="AO259" s="197">
        <f>IF(ISNUMBER(AO236),IF(ABS(SUM(AO236:AO242)-AO243)&lt;=0.015,0,ROUND(SUM(AO236:AO242)-AO243,2)),"")</f>
        <v/>
      </c>
      <c r="AP259" s="6" t="n"/>
    </row>
    <row r="260" ht="15" customHeight="1">
      <c r="B260" s="26" t="inlineStr">
        <is>
          <t>(Memo)</t>
        </is>
      </c>
      <c r="AP260" s="6" t="n"/>
    </row>
    <row r="261" ht="15" customHeight="1">
      <c r="B261" s="59" t="inlineStr">
        <is>
          <t>Free cash flow (operating cash flow − capital expenditures)</t>
        </is>
      </c>
      <c r="C261" s="196">
        <f>IF(AND(ISNUMBER(C243),ISNUMBER(C244)),C243+C244,"")</f>
        <v/>
      </c>
      <c r="D261" s="196">
        <f>IF(AND(ISNUMBER(D243),ISNUMBER(D244)),D243+D244,"")</f>
        <v/>
      </c>
      <c r="E261" s="196">
        <f>IF(AND(ISNUMBER(E243),ISNUMBER(E244)),E243+E244,"")</f>
        <v/>
      </c>
      <c r="F261" s="196">
        <f>IF(AND(ISNUMBER(F243),ISNUMBER(F244)),F243+F244,"")</f>
        <v/>
      </c>
      <c r="G261" s="196">
        <f>IF(AND(ISNUMBER(G243),ISNUMBER(G244)),G243+G244,"")</f>
        <v/>
      </c>
      <c r="H261" s="196">
        <f>IF(AND(ISNUMBER(H243),ISNUMBER(H244)),H243+H244,"")</f>
        <v/>
      </c>
      <c r="I261" s="196">
        <f>IF(AND(ISNUMBER(I243),ISNUMBER(I244)),I243+I244,"")</f>
        <v/>
      </c>
      <c r="J261" s="196">
        <f>IF(AND(ISNUMBER(J243),ISNUMBER(J244)),J243+J244,"")</f>
        <v/>
      </c>
      <c r="K261" s="196">
        <f>IF(AND(ISNUMBER(K243),ISNUMBER(K244)),K243+K244,"")</f>
        <v/>
      </c>
      <c r="L261" s="196">
        <f>IF(AND(ISNUMBER(L243),ISNUMBER(L244)),L243+L244,"")</f>
        <v/>
      </c>
      <c r="M261" s="196">
        <f>IF(AND(ISNUMBER(M243),ISNUMBER(M244)),M243+M244,"")</f>
        <v/>
      </c>
      <c r="N261" s="196">
        <f>IF(AND(ISNUMBER(N243),ISNUMBER(N244)),N243+N244,"")</f>
        <v/>
      </c>
      <c r="O261" s="196">
        <f>IF(AND(ISNUMBER(O243),ISNUMBER(O244)),O243+O244,"")</f>
        <v/>
      </c>
      <c r="P261" s="196">
        <f>IF(AND(ISNUMBER(P243),ISNUMBER(P244)),P243+P244,"")</f>
        <v/>
      </c>
      <c r="Q261" s="196">
        <f>IF(AND(ISNUMBER(Q243),ISNUMBER(Q244)),Q243+Q244,"")</f>
        <v/>
      </c>
      <c r="R261" s="196">
        <f>IF(AND(ISNUMBER(R243),ISNUMBER(R244)),R243+R244,"")</f>
        <v/>
      </c>
      <c r="S261" s="196">
        <f>IF(AND(ISNUMBER(S243),ISNUMBER(S244)),S243+S244,"")</f>
        <v/>
      </c>
      <c r="T261" s="196">
        <f>IF(AND(ISNUMBER(T243),ISNUMBER(T244)),T243+T244,"")</f>
        <v/>
      </c>
      <c r="U261" s="196">
        <f>IF(AND(ISNUMBER(U243),ISNUMBER(U244)),U243+U244,"")</f>
        <v/>
      </c>
      <c r="V261" s="196">
        <f>IF(AND(ISNUMBER(V243),ISNUMBER(V244)),V243+V244,"")</f>
        <v/>
      </c>
      <c r="W261" s="196">
        <f>IF(AND(ISNUMBER(W243),ISNUMBER(W244)),W243+W244,"")</f>
        <v/>
      </c>
      <c r="X261" s="196">
        <f>IF(AND(ISNUMBER(X243),ISNUMBER(X244)),X243+X244,"")</f>
        <v/>
      </c>
      <c r="Y261" s="196">
        <f>IF(AND(ISNUMBER(Y243),ISNUMBER(Y244)),Y243+Y244,"")</f>
        <v/>
      </c>
      <c r="Z261" s="196">
        <f>IF(AND(ISNUMBER(Z243),ISNUMBER(Z244)),Z243+Z244,"")</f>
        <v/>
      </c>
      <c r="AA261" s="196">
        <f>IF(AND(ISNUMBER(AA243),ISNUMBER(AA244)),AA243+AA244,"")</f>
        <v/>
      </c>
      <c r="AB261" s="196">
        <f>IF(AND(ISNUMBER(AB243),ISNUMBER(AB244)),AB243+AB244,"")</f>
        <v/>
      </c>
      <c r="AC261" s="196">
        <f>IF(AND(ISNUMBER(AC243),ISNUMBER(AC244)),AC243+AC244,"")</f>
        <v/>
      </c>
      <c r="AD261" s="196">
        <f>IF(AND(ISNUMBER(AD243),ISNUMBER(AD244)),AD243+AD244,"")</f>
        <v/>
      </c>
      <c r="AE261" s="196">
        <f>IF(AND(ISNUMBER(AE243),ISNUMBER(AE244)),AE243+AE244,"")</f>
        <v/>
      </c>
      <c r="AF261" s="196">
        <f>IF(AND(ISNUMBER(AF243),ISNUMBER(AF244)),AF243+AF244,"")</f>
        <v/>
      </c>
      <c r="AG261" s="196">
        <f>IF(AND(ISNUMBER(AG243),ISNUMBER(AG244)),AG243+AG244,"")</f>
        <v/>
      </c>
      <c r="AH261" s="196">
        <f>IF(AND(ISNUMBER(AH243),ISNUMBER(AH244)),AH243+AH244,"")</f>
        <v/>
      </c>
      <c r="AI261" s="60" t="n"/>
      <c r="AJ261" s="60" t="n"/>
      <c r="AK261" s="196">
        <f>IF(AND(ISNUMBER(AK243),ISNUMBER(AK244)),AK243+AK244,"")</f>
        <v/>
      </c>
      <c r="AL261" s="196">
        <f>IF(AND(ISNUMBER(AL243),ISNUMBER(AL244)),AL243+AL244,"")</f>
        <v/>
      </c>
      <c r="AM261" s="196">
        <f>IF(AND(ISNUMBER(AM243),ISNUMBER(AM244)),AM243+AM244,"")</f>
        <v/>
      </c>
      <c r="AN261" s="196">
        <f>IF(AND(ISNUMBER(AN243),ISNUMBER(AN244)),AN243+AN244,"")</f>
        <v/>
      </c>
      <c r="AO261" s="196">
        <f>IF(AND(ISNUMBER(AO243),ISNUMBER(AO244)),AO243+AO244,"")</f>
        <v/>
      </c>
      <c r="AP261" s="6" t="inlineStr">
        <is>
          <t>Model definition (Loar does not publish free cash flow).</t>
        </is>
      </c>
      <c r="AR261" s="21">
        <f>IFERROR((AO261/AF261)^(1/5)-1,"n/m")</f>
        <v/>
      </c>
      <c r="AS261" s="21">
        <f>IFERROR((AF261/K261)^(1/5)-1,"n/m")</f>
        <v/>
      </c>
      <c r="AT261" s="21">
        <f>IFERROR((AF261/F261)^(1/10)-1,"n/m")</f>
        <v/>
      </c>
      <c r="AU261" s="21">
        <f>IFERROR((AF261/C261)^(1/13)-1,"n/m")</f>
        <v/>
      </c>
    </row>
    <row r="262" ht="15" customHeight="1">
      <c r="B262" s="23" t="inlineStr">
        <is>
          <t xml:space="preserve">  FCF y/y %</t>
        </is>
      </c>
      <c r="C262" s="24" t="n"/>
      <c r="D262" s="176">
        <f>IF(AND(ISNUMBER(D261),ISNUMBER(C261)),IFERROR(D261/C261-1,""),"")</f>
        <v/>
      </c>
      <c r="E262" s="176">
        <f>IF(AND(ISNUMBER(E261),ISNUMBER(D261)),IFERROR(E261/D261-1,""),"")</f>
        <v/>
      </c>
      <c r="F262" s="176">
        <f>IF(AND(ISNUMBER(F261),ISNUMBER(E261)),IFERROR(F261/E261-1,""),"")</f>
        <v/>
      </c>
      <c r="G262" s="176">
        <f>IF(AND(ISNUMBER(G261),ISNUMBER(F261)),IFERROR(G261/F261-1,""),"")</f>
        <v/>
      </c>
      <c r="H262" s="176">
        <f>IF(AND(ISNUMBER(H261),ISNUMBER(G261)),IFERROR(H261/G261-1,""),"")</f>
        <v/>
      </c>
      <c r="I262" s="176">
        <f>IF(AND(ISNUMBER(I261),ISNUMBER(H261)),IFERROR(I261/H261-1,""),"")</f>
        <v/>
      </c>
      <c r="J262" s="176">
        <f>IF(AND(ISNUMBER(J261),ISNUMBER(I261)),IFERROR(J261/I261-1,""),"")</f>
        <v/>
      </c>
      <c r="K262" s="176">
        <f>IF(AND(ISNUMBER(K261),ISNUMBER(J261)),IFERROR(K261/J261-1,""),"")</f>
        <v/>
      </c>
      <c r="L262" s="176">
        <f>IF(AND(ISNUMBER(L261),ISNUMBER(K261)),IFERROR(L261/K261-1,""),"")</f>
        <v/>
      </c>
      <c r="M262" s="24" t="n"/>
      <c r="N262" s="24" t="n"/>
      <c r="O262" s="24" t="n"/>
      <c r="P262" s="24" t="n"/>
      <c r="Q262" s="176">
        <f>IF(AND(ISNUMBER(Q261),ISNUMBER(L261)),IFERROR(Q261/L261-1,""),"")</f>
        <v/>
      </c>
      <c r="R262" s="176">
        <f>IF(AND(ISNUMBER(R261),ISNUMBER(M261)),IFERROR(R261/M261-1,""),"")</f>
        <v/>
      </c>
      <c r="S262" s="176">
        <f>IF(AND(ISNUMBER(S261),ISNUMBER(N261)),IFERROR(S261/N261-1,""),"")</f>
        <v/>
      </c>
      <c r="T262" s="176">
        <f>IF(AND(ISNUMBER(T261),ISNUMBER(O261)),IFERROR(T261/O261-1,""),"")</f>
        <v/>
      </c>
      <c r="U262" s="176">
        <f>IF(AND(ISNUMBER(U261),ISNUMBER(P261)),IFERROR(U261/P261-1,""),"")</f>
        <v/>
      </c>
      <c r="V262" s="176">
        <f>IF(AND(ISNUMBER(V261),ISNUMBER(Q261)),IFERROR(V261/Q261-1,""),"")</f>
        <v/>
      </c>
      <c r="W262" s="176">
        <f>IF(AND(ISNUMBER(W261),ISNUMBER(R261)),IFERROR(W261/R261-1,""),"")</f>
        <v/>
      </c>
      <c r="X262" s="176">
        <f>IF(AND(ISNUMBER(X261),ISNUMBER(S261)),IFERROR(X261/S261-1,""),"")</f>
        <v/>
      </c>
      <c r="Y262" s="176">
        <f>IF(AND(ISNUMBER(Y261),ISNUMBER(T261)),IFERROR(Y261/T261-1,""),"")</f>
        <v/>
      </c>
      <c r="Z262" s="176">
        <f>IF(AND(ISNUMBER(Z261),ISNUMBER(U261)),IFERROR(Z261/U261-1,""),"")</f>
        <v/>
      </c>
      <c r="AA262" s="176">
        <f>IF(AND(ISNUMBER(AA261),ISNUMBER(V261)),IFERROR(AA261/V261-1,""),"")</f>
        <v/>
      </c>
      <c r="AB262" s="176">
        <f>IF(AND(ISNUMBER(AB261),ISNUMBER(W261)),IFERROR(AB261/W261-1,""),"")</f>
        <v/>
      </c>
      <c r="AC262" s="176">
        <f>IF(AND(ISNUMBER(AC261),ISNUMBER(X261)),IFERROR(AC261/X261-1,""),"")</f>
        <v/>
      </c>
      <c r="AD262" s="176">
        <f>IF(AND(ISNUMBER(AD261),ISNUMBER(Y261)),IFERROR(AD261/Y261-1,""),"")</f>
        <v/>
      </c>
      <c r="AE262" s="176">
        <f>IF(AND(ISNUMBER(AE261),ISNUMBER(Z261)),IFERROR(AE261/Z261-1,""),"")</f>
        <v/>
      </c>
      <c r="AF262" s="176">
        <f>IF(AND(ISNUMBER(AF261),ISNUMBER(AA261)),IFERROR(AF261/AA261-1,""),"")</f>
        <v/>
      </c>
      <c r="AG262" s="176">
        <f>IF(AND(ISNUMBER(AG261),ISNUMBER(AB261)),IFERROR(AG261/AB261-1,""),"")</f>
        <v/>
      </c>
      <c r="AH262" s="176">
        <f>IF(AND(ISNUMBER(AH261),ISNUMBER(AC261)),IFERROR(AH261/AC261-1,""),"")</f>
        <v/>
      </c>
      <c r="AI262" s="25" t="n"/>
      <c r="AJ262" s="25" t="n"/>
      <c r="AK262" s="177">
        <f>IF(AND(ISNUMBER(AK261),ISNUMBER(AF261)),IFERROR(AK261/AF261-1,""),"")</f>
        <v/>
      </c>
      <c r="AL262" s="177">
        <f>IF(AND(ISNUMBER(AL261),ISNUMBER(AK261)),IFERROR(AL261/AK261-1,""),"")</f>
        <v/>
      </c>
      <c r="AM262" s="177">
        <f>IF(AND(ISNUMBER(AM261),ISNUMBER(AL261)),IFERROR(AM261/AL261-1,""),"")</f>
        <v/>
      </c>
      <c r="AN262" s="177">
        <f>IF(AND(ISNUMBER(AN261),ISNUMBER(AM261)),IFERROR(AN261/AM261-1,""),"")</f>
        <v/>
      </c>
      <c r="AO262" s="177">
        <f>IF(AND(ISNUMBER(AO261),ISNUMBER(AN261)),IFERROR(AO261/AN261-1,""),"")</f>
        <v/>
      </c>
      <c r="AP262" s="6" t="n"/>
    </row>
    <row r="263" ht="15" customHeight="1">
      <c r="B263" s="26" t="inlineStr">
        <is>
          <t xml:space="preserve">  FCF % of net sales</t>
        </is>
      </c>
      <c r="C263" s="183">
        <f>IF(AND(ISNUMBER(C261),ISNUMBER(C127)),IFERROR(C261/C127,""),"")</f>
        <v/>
      </c>
      <c r="D263" s="183">
        <f>IF(AND(ISNUMBER(D261),ISNUMBER(D127)),IFERROR(D261/D127,""),"")</f>
        <v/>
      </c>
      <c r="E263" s="183">
        <f>IF(AND(ISNUMBER(E261),ISNUMBER(E127)),IFERROR(E261/E127,""),"")</f>
        <v/>
      </c>
      <c r="F263" s="183">
        <f>IF(AND(ISNUMBER(F261),ISNUMBER(F127)),IFERROR(F261/F127,""),"")</f>
        <v/>
      </c>
      <c r="G263" s="183">
        <f>IF(AND(ISNUMBER(G261),ISNUMBER(G127)),IFERROR(G261/G127,""),"")</f>
        <v/>
      </c>
      <c r="H263" s="183">
        <f>IF(AND(ISNUMBER(H261),ISNUMBER(H127)),IFERROR(H261/H127,""),"")</f>
        <v/>
      </c>
      <c r="I263" s="183">
        <f>IF(AND(ISNUMBER(I261),ISNUMBER(I127)),IFERROR(I261/I127,""),"")</f>
        <v/>
      </c>
      <c r="J263" s="183">
        <f>IF(AND(ISNUMBER(J261),ISNUMBER(J127)),IFERROR(J261/J127,""),"")</f>
        <v/>
      </c>
      <c r="K263" s="183">
        <f>IF(AND(ISNUMBER(K261),ISNUMBER(K127)),IFERROR(K261/K127,""),"")</f>
        <v/>
      </c>
      <c r="L263" s="183">
        <f>IF(AND(ISNUMBER(L261),ISNUMBER(L127)),IFERROR(L261/L127,""),"")</f>
        <v/>
      </c>
      <c r="M263" s="183">
        <f>IF(AND(ISNUMBER(M261),ISNUMBER(M127)),IFERROR(M261/M127,""),"")</f>
        <v/>
      </c>
      <c r="N263" s="183">
        <f>IF(AND(ISNUMBER(N261),ISNUMBER(N127)),IFERROR(N261/N127,""),"")</f>
        <v/>
      </c>
      <c r="O263" s="183">
        <f>IF(AND(ISNUMBER(O261),ISNUMBER(O127)),IFERROR(O261/O127,""),"")</f>
        <v/>
      </c>
      <c r="P263" s="183">
        <f>IF(AND(ISNUMBER(P261),ISNUMBER(P127)),IFERROR(P261/P127,""),"")</f>
        <v/>
      </c>
      <c r="Q263" s="183">
        <f>IF(AND(ISNUMBER(Q261),ISNUMBER(Q127)),IFERROR(Q261/Q127,""),"")</f>
        <v/>
      </c>
      <c r="R263" s="183">
        <f>IF(AND(ISNUMBER(R261),ISNUMBER(R127)),IFERROR(R261/R127,""),"")</f>
        <v/>
      </c>
      <c r="S263" s="183">
        <f>IF(AND(ISNUMBER(S261),ISNUMBER(S127)),IFERROR(S261/S127,""),"")</f>
        <v/>
      </c>
      <c r="T263" s="183">
        <f>IF(AND(ISNUMBER(T261),ISNUMBER(T127)),IFERROR(T261/T127,""),"")</f>
        <v/>
      </c>
      <c r="U263" s="183">
        <f>IF(AND(ISNUMBER(U261),ISNUMBER(U127)),IFERROR(U261/U127,""),"")</f>
        <v/>
      </c>
      <c r="V263" s="183">
        <f>IF(AND(ISNUMBER(V261),ISNUMBER(V127)),IFERROR(V261/V127,""),"")</f>
        <v/>
      </c>
      <c r="W263" s="183">
        <f>IF(AND(ISNUMBER(W261),ISNUMBER(W127)),IFERROR(W261/W127,""),"")</f>
        <v/>
      </c>
      <c r="X263" s="183">
        <f>IF(AND(ISNUMBER(X261),ISNUMBER(X127)),IFERROR(X261/X127,""),"")</f>
        <v/>
      </c>
      <c r="Y263" s="183">
        <f>IF(AND(ISNUMBER(Y261),ISNUMBER(Y127)),IFERROR(Y261/Y127,""),"")</f>
        <v/>
      </c>
      <c r="Z263" s="183">
        <f>IF(AND(ISNUMBER(Z261),ISNUMBER(Z127)),IFERROR(Z261/Z127,""),"")</f>
        <v/>
      </c>
      <c r="AA263" s="183">
        <f>IF(AND(ISNUMBER(AA261),ISNUMBER(AA127)),IFERROR(AA261/AA127,""),"")</f>
        <v/>
      </c>
      <c r="AB263" s="183">
        <f>IF(AND(ISNUMBER(AB261),ISNUMBER(AB127)),IFERROR(AB261/AB127,""),"")</f>
        <v/>
      </c>
      <c r="AC263" s="183">
        <f>IF(AND(ISNUMBER(AC261),ISNUMBER(AC127)),IFERROR(AC261/AC127,""),"")</f>
        <v/>
      </c>
      <c r="AD263" s="183">
        <f>IF(AND(ISNUMBER(AD261),ISNUMBER(AD127)),IFERROR(AD261/AD127,""),"")</f>
        <v/>
      </c>
      <c r="AE263" s="183">
        <f>IF(AND(ISNUMBER(AE261),ISNUMBER(AE127)),IFERROR(AE261/AE127,""),"")</f>
        <v/>
      </c>
      <c r="AF263" s="183">
        <f>IF(AND(ISNUMBER(AF261),ISNUMBER(AF127)),IFERROR(AF261/AF127,""),"")</f>
        <v/>
      </c>
      <c r="AG263" s="183">
        <f>IF(AND(ISNUMBER(AG261),ISNUMBER(AG127)),IFERROR(AG261/AG127,""),"")</f>
        <v/>
      </c>
      <c r="AH263" s="183">
        <f>IF(AND(ISNUMBER(AH261),ISNUMBER(AH127)),IFERROR(AH261/AH127,""),"")</f>
        <v/>
      </c>
      <c r="AI263" s="25" t="n"/>
      <c r="AJ263" s="25" t="n"/>
      <c r="AK263" s="177">
        <f>IF(AND(ISNUMBER(AK261),ISNUMBER(AK127)),IFERROR(AK261/AK127,""),"")</f>
        <v/>
      </c>
      <c r="AL263" s="177">
        <f>IF(AND(ISNUMBER(AL261),ISNUMBER(AL127)),IFERROR(AL261/AL127,""),"")</f>
        <v/>
      </c>
      <c r="AM263" s="177">
        <f>IF(AND(ISNUMBER(AM261),ISNUMBER(AM127)),IFERROR(AM261/AM127,""),"")</f>
        <v/>
      </c>
      <c r="AN263" s="177">
        <f>IF(AND(ISNUMBER(AN261),ISNUMBER(AN127)),IFERROR(AN261/AN127,""),"")</f>
        <v/>
      </c>
      <c r="AO263" s="177">
        <f>IF(AND(ISNUMBER(AO261),ISNUMBER(AO127)),IFERROR(AO261/AO127,""),"")</f>
        <v/>
      </c>
      <c r="AP263" s="6" t="n"/>
      <c r="AR263" s="39">
        <f>IFERROR(AVERAGE(AK263,AL263,AM263,AN263,AO263),"n/m")</f>
        <v/>
      </c>
      <c r="AS263" s="39">
        <f>IFERROR(AVERAGE(L263,Q263,V263,AA263,AF263),"n/m")</f>
        <v/>
      </c>
      <c r="AT263" s="39">
        <f>IFERROR(AVERAGE(G263,H263,I263,J263,K263,L263,Q263,V263,AA263,AF263),"n/m")</f>
        <v/>
      </c>
      <c r="AU263" s="39">
        <f>IFERROR(AVERAGE(C263,D263,E263,F263,G263,H263,I263,J263,K263,L263,Q263,V263,AA263,AF263),"n/m")</f>
        <v/>
      </c>
    </row>
    <row r="264" ht="15" customHeight="1">
      <c r="B264" s="26" t="inlineStr">
        <is>
          <t xml:space="preserve">  FCF / adjusted net income conversion %</t>
        </is>
      </c>
      <c r="C264" s="183">
        <f>IF(AND(ISNUMBER(C261),ISNUMBER(C202)),IFERROR(C261/C202,""),"")</f>
        <v/>
      </c>
      <c r="D264" s="183">
        <f>IF(AND(ISNUMBER(D261),ISNUMBER(D202)),IFERROR(D261/D202,""),"")</f>
        <v/>
      </c>
      <c r="E264" s="183">
        <f>IF(AND(ISNUMBER(E261),ISNUMBER(E202)),IFERROR(E261/E202,""),"")</f>
        <v/>
      </c>
      <c r="F264" s="183">
        <f>IF(AND(ISNUMBER(F261),ISNUMBER(F202)),IFERROR(F261/F202,""),"")</f>
        <v/>
      </c>
      <c r="G264" s="183">
        <f>IF(AND(ISNUMBER(G261),ISNUMBER(G202)),IFERROR(G261/G202,""),"")</f>
        <v/>
      </c>
      <c r="H264" s="183">
        <f>IF(AND(ISNUMBER(H261),ISNUMBER(H202)),IFERROR(H261/H202,""),"")</f>
        <v/>
      </c>
      <c r="I264" s="183">
        <f>IF(AND(ISNUMBER(I261),ISNUMBER(I202)),IFERROR(I261/I202,""),"")</f>
        <v/>
      </c>
      <c r="J264" s="183">
        <f>IF(AND(ISNUMBER(J261),ISNUMBER(J202)),IFERROR(J261/J202,""),"")</f>
        <v/>
      </c>
      <c r="K264" s="183">
        <f>IF(AND(ISNUMBER(K261),ISNUMBER(K202)),IFERROR(K261/K202,""),"")</f>
        <v/>
      </c>
      <c r="L264" s="183">
        <f>IF(AND(ISNUMBER(L261),ISNUMBER(L202)),IFERROR(L261/L202,""),"")</f>
        <v/>
      </c>
      <c r="M264" s="183">
        <f>IF(AND(ISNUMBER(M261),ISNUMBER(M202)),IFERROR(M261/M202,""),"")</f>
        <v/>
      </c>
      <c r="N264" s="183">
        <f>IF(AND(ISNUMBER(N261),ISNUMBER(N202)),IFERROR(N261/N202,""),"")</f>
        <v/>
      </c>
      <c r="O264" s="183">
        <f>IF(AND(ISNUMBER(O261),ISNUMBER(O202)),IFERROR(O261/O202,""),"")</f>
        <v/>
      </c>
      <c r="P264" s="183">
        <f>IF(AND(ISNUMBER(P261),ISNUMBER(P202)),IFERROR(P261/P202,""),"")</f>
        <v/>
      </c>
      <c r="Q264" s="183">
        <f>IF(AND(ISNUMBER(Q261),ISNUMBER(Q202)),IFERROR(Q261/Q202,""),"")</f>
        <v/>
      </c>
      <c r="R264" s="183">
        <f>IF(AND(ISNUMBER(R261),ISNUMBER(R202)),IFERROR(R261/R202,""),"")</f>
        <v/>
      </c>
      <c r="S264" s="183">
        <f>IF(AND(ISNUMBER(S261),ISNUMBER(S202)),IFERROR(S261/S202,""),"")</f>
        <v/>
      </c>
      <c r="T264" s="183">
        <f>IF(AND(ISNUMBER(T261),ISNUMBER(T202)),IFERROR(T261/T202,""),"")</f>
        <v/>
      </c>
      <c r="U264" s="183">
        <f>IF(AND(ISNUMBER(U261),ISNUMBER(U202)),IFERROR(U261/U202,""),"")</f>
        <v/>
      </c>
      <c r="V264" s="183">
        <f>IF(AND(ISNUMBER(V261),ISNUMBER(V202)),IFERROR(V261/V202,""),"")</f>
        <v/>
      </c>
      <c r="W264" s="183">
        <f>IF(AND(ISNUMBER(W261),ISNUMBER(W202)),IFERROR(W261/W202,""),"")</f>
        <v/>
      </c>
      <c r="X264" s="183">
        <f>IF(AND(ISNUMBER(X261),ISNUMBER(X202)),IFERROR(X261/X202,""),"")</f>
        <v/>
      </c>
      <c r="Y264" s="183">
        <f>IF(AND(ISNUMBER(Y261),ISNUMBER(Y202)),IFERROR(Y261/Y202,""),"")</f>
        <v/>
      </c>
      <c r="Z264" s="183">
        <f>IF(AND(ISNUMBER(Z261),ISNUMBER(Z202)),IFERROR(Z261/Z202,""),"")</f>
        <v/>
      </c>
      <c r="AA264" s="183">
        <f>IF(AND(ISNUMBER(AA261),ISNUMBER(AA202)),IFERROR(AA261/AA202,""),"")</f>
        <v/>
      </c>
      <c r="AB264" s="183">
        <f>IF(AND(ISNUMBER(AB261),ISNUMBER(AB202)),IFERROR(AB261/AB202,""),"")</f>
        <v/>
      </c>
      <c r="AC264" s="183">
        <f>IF(AND(ISNUMBER(AC261),ISNUMBER(AC202)),IFERROR(AC261/AC202,""),"")</f>
        <v/>
      </c>
      <c r="AD264" s="183">
        <f>IF(AND(ISNUMBER(AD261),ISNUMBER(AD202)),IFERROR(AD261/AD202,""),"")</f>
        <v/>
      </c>
      <c r="AE264" s="183">
        <f>IF(AND(ISNUMBER(AE261),ISNUMBER(AE202)),IFERROR(AE261/AE202,""),"")</f>
        <v/>
      </c>
      <c r="AF264" s="183">
        <f>IF(AND(ISNUMBER(AF261),ISNUMBER(AF202)),IFERROR(AF261/AF202,""),"")</f>
        <v/>
      </c>
      <c r="AG264" s="183">
        <f>IF(AND(ISNUMBER(AG261),ISNUMBER(AG202)),IFERROR(AG261/AG202,""),"")</f>
        <v/>
      </c>
      <c r="AH264" s="183">
        <f>IF(AND(ISNUMBER(AH261),ISNUMBER(AH202)),IFERROR(AH261/AH202,""),"")</f>
        <v/>
      </c>
      <c r="AI264" s="25" t="n"/>
      <c r="AJ264" s="25" t="n"/>
      <c r="AK264" s="177">
        <f>IF(AND(ISNUMBER(AK261),ISNUMBER(AK202)),IFERROR(AK261/AK202,""),"")</f>
        <v/>
      </c>
      <c r="AL264" s="177">
        <f>IF(AND(ISNUMBER(AL261),ISNUMBER(AL202)),IFERROR(AL261/AL202,""),"")</f>
        <v/>
      </c>
      <c r="AM264" s="177">
        <f>IF(AND(ISNUMBER(AM261),ISNUMBER(AM202)),IFERROR(AM261/AM202,""),"")</f>
        <v/>
      </c>
      <c r="AN264" s="177">
        <f>IF(AND(ISNUMBER(AN261),ISNUMBER(AN202)),IFERROR(AN261/AN202,""),"")</f>
        <v/>
      </c>
      <c r="AO264" s="177">
        <f>IF(AND(ISNUMBER(AO261),ISNUMBER(AO202)),IFERROR(AO261/AO202,""),"")</f>
        <v/>
      </c>
      <c r="AP264" s="6" t="n"/>
      <c r="AR264" s="39">
        <f>IFERROR(AVERAGE(AK264,AL264,AM264,AN264,AO264),"n/m")</f>
        <v/>
      </c>
      <c r="AS264" s="39">
        <f>IFERROR(AVERAGE(L264,Q264,V264,AA264,AF264),"n/m")</f>
        <v/>
      </c>
      <c r="AT264" s="39">
        <f>IFERROR(AVERAGE(G264,H264,I264,J264,K264,L264,Q264,V264,AA264,AF264),"n/m")</f>
        <v/>
      </c>
      <c r="AU264" s="39">
        <f>IFERROR(AVERAGE(C264,D264,E264,F264,G264,H264,I264,J264,K264,L264,Q264,V264,AA264,AF264),"n/m")</f>
        <v/>
      </c>
    </row>
    <row r="265" ht="15" customHeight="1">
      <c r="B265" s="26" t="inlineStr">
        <is>
          <t xml:space="preserve">  FCF per diluted share ($)</t>
        </is>
      </c>
      <c r="C265" s="200">
        <f>IF(AND(ISNUMBER(C261),ISNUMBER(C148)),IFERROR(C261/C148,""),"")</f>
        <v/>
      </c>
      <c r="D265" s="200">
        <f>IF(AND(ISNUMBER(D261),ISNUMBER(D148)),IFERROR(D261/D148,""),"")</f>
        <v/>
      </c>
      <c r="E265" s="200">
        <f>IF(AND(ISNUMBER(E261),ISNUMBER(E148)),IFERROR(E261/E148,""),"")</f>
        <v/>
      </c>
      <c r="F265" s="200">
        <f>IF(AND(ISNUMBER(F261),ISNUMBER(F148)),IFERROR(F261/F148,""),"")</f>
        <v/>
      </c>
      <c r="G265" s="200">
        <f>IF(AND(ISNUMBER(G261),ISNUMBER(G148)),IFERROR(G261/G148,""),"")</f>
        <v/>
      </c>
      <c r="H265" s="200">
        <f>IF(AND(ISNUMBER(H261),ISNUMBER(H148)),IFERROR(H261/H148,""),"")</f>
        <v/>
      </c>
      <c r="I265" s="200">
        <f>IF(AND(ISNUMBER(I261),ISNUMBER(I148)),IFERROR(I261/I148,""),"")</f>
        <v/>
      </c>
      <c r="J265" s="200">
        <f>IF(AND(ISNUMBER(J261),ISNUMBER(J148)),IFERROR(J261/J148,""),"")</f>
        <v/>
      </c>
      <c r="K265" s="200">
        <f>IF(AND(ISNUMBER(K261),ISNUMBER(K148)),IFERROR(K261/K148,""),"")</f>
        <v/>
      </c>
      <c r="L265" s="200">
        <f>IF(AND(ISNUMBER(L261),ISNUMBER(L148)),IFERROR(L261/L148,""),"")</f>
        <v/>
      </c>
      <c r="M265" s="200">
        <f>IF(AND(ISNUMBER(M261),ISNUMBER(M148)),IFERROR(M261/M148,""),"")</f>
        <v/>
      </c>
      <c r="N265" s="200">
        <f>IF(AND(ISNUMBER(N261),ISNUMBER(N148)),IFERROR(N261/N148,""),"")</f>
        <v/>
      </c>
      <c r="O265" s="200">
        <f>IF(AND(ISNUMBER(O261),ISNUMBER(O148)),IFERROR(O261/O148,""),"")</f>
        <v/>
      </c>
      <c r="P265" s="200">
        <f>IF(AND(ISNUMBER(P261),ISNUMBER(P148)),IFERROR(P261/P148,""),"")</f>
        <v/>
      </c>
      <c r="Q265" s="200">
        <f>IF(AND(ISNUMBER(Q261),ISNUMBER(Q148)),IFERROR(Q261/Q148,""),"")</f>
        <v/>
      </c>
      <c r="R265" s="200">
        <f>IF(AND(ISNUMBER(R261),ISNUMBER(R148)),IFERROR(R261/R148,""),"")</f>
        <v/>
      </c>
      <c r="S265" s="200">
        <f>IF(AND(ISNUMBER(S261),ISNUMBER(S148)),IFERROR(S261/S148,""),"")</f>
        <v/>
      </c>
      <c r="T265" s="200">
        <f>IF(AND(ISNUMBER(T261),ISNUMBER(T148)),IFERROR(T261/T148,""),"")</f>
        <v/>
      </c>
      <c r="U265" s="200">
        <f>IF(AND(ISNUMBER(U261),ISNUMBER(U148)),IFERROR(U261/U148,""),"")</f>
        <v/>
      </c>
      <c r="V265" s="200">
        <f>IF(AND(ISNUMBER(V261),ISNUMBER(V148)),IFERROR(V261/V148,""),"")</f>
        <v/>
      </c>
      <c r="W265" s="200">
        <f>IF(AND(ISNUMBER(W261),ISNUMBER(W148)),IFERROR(W261/W148,""),"")</f>
        <v/>
      </c>
      <c r="X265" s="200">
        <f>IF(AND(ISNUMBER(X261),ISNUMBER(X148)),IFERROR(X261/X148,""),"")</f>
        <v/>
      </c>
      <c r="Y265" s="200">
        <f>IF(AND(ISNUMBER(Y261),ISNUMBER(Y148)),IFERROR(Y261/Y148,""),"")</f>
        <v/>
      </c>
      <c r="Z265" s="200">
        <f>IF(AND(ISNUMBER(Z261),ISNUMBER(Z148)),IFERROR(Z261/Z148,""),"")</f>
        <v/>
      </c>
      <c r="AA265" s="200">
        <f>IF(AND(ISNUMBER(AA261),ISNUMBER(AA148)),IFERROR(AA261/AA148,""),"")</f>
        <v/>
      </c>
      <c r="AB265" s="200">
        <f>IF(AND(ISNUMBER(AB261),ISNUMBER(AB148)),IFERROR(AB261/AB148,""),"")</f>
        <v/>
      </c>
      <c r="AC265" s="200">
        <f>IF(AND(ISNUMBER(AC261),ISNUMBER(AC148)),IFERROR(AC261/AC148,""),"")</f>
        <v/>
      </c>
      <c r="AD265" s="200">
        <f>IF(AND(ISNUMBER(AD261),ISNUMBER(AD148)),IFERROR(AD261/AD148,""),"")</f>
        <v/>
      </c>
      <c r="AE265" s="200">
        <f>IF(AND(ISNUMBER(AE261),ISNUMBER(AE148)),IFERROR(AE261/AE148,""),"")</f>
        <v/>
      </c>
      <c r="AF265" s="200">
        <f>IF(AND(ISNUMBER(AF261),ISNUMBER(AF148)),IFERROR(AF261/AF148,""),"")</f>
        <v/>
      </c>
      <c r="AG265" s="200">
        <f>IF(AND(ISNUMBER(AG261),ISNUMBER(AG148)),IFERROR(AG261/AG148,""),"")</f>
        <v/>
      </c>
      <c r="AH265" s="200">
        <f>IF(AND(ISNUMBER(AH261),ISNUMBER(AH148)),IFERROR(AH261/AH148,""),"")</f>
        <v/>
      </c>
      <c r="AI265" s="37" t="n"/>
      <c r="AJ265" s="37" t="n"/>
      <c r="AK265" s="201">
        <f>IF(AND(ISNUMBER(AK261),ISNUMBER(AK148)),IFERROR(AK261/AK148,""),"")</f>
        <v/>
      </c>
      <c r="AL265" s="201">
        <f>IF(AND(ISNUMBER(AL261),ISNUMBER(AL148)),IFERROR(AL261/AL148,""),"")</f>
        <v/>
      </c>
      <c r="AM265" s="201">
        <f>IF(AND(ISNUMBER(AM261),ISNUMBER(AM148)),IFERROR(AM261/AM148,""),"")</f>
        <v/>
      </c>
      <c r="AN265" s="201">
        <f>IF(AND(ISNUMBER(AN261),ISNUMBER(AN148)),IFERROR(AN261/AN148,""),"")</f>
        <v/>
      </c>
      <c r="AO265" s="201">
        <f>IF(AND(ISNUMBER(AO261),ISNUMBER(AO148)),IFERROR(AO261/AO148,""),"")</f>
        <v/>
      </c>
      <c r="AP265" s="20" t="n"/>
    </row>
    <row r="266" ht="15" customHeight="1">
      <c r="B266" s="26" t="inlineStr">
        <is>
          <t xml:space="preserve">  FCF / Adjusted EBITDA %</t>
        </is>
      </c>
      <c r="C266" s="183">
        <f>IF(AND(ISNUMBER(C261),ISNUMBER(C174)),IFERROR(C261/C174,""),"")</f>
        <v/>
      </c>
      <c r="D266" s="183">
        <f>IF(AND(ISNUMBER(D261),ISNUMBER(D174)),IFERROR(D261/D174,""),"")</f>
        <v/>
      </c>
      <c r="E266" s="183">
        <f>IF(AND(ISNUMBER(E261),ISNUMBER(E174)),IFERROR(E261/E174,""),"")</f>
        <v/>
      </c>
      <c r="F266" s="183">
        <f>IF(AND(ISNUMBER(F261),ISNUMBER(F174)),IFERROR(F261/F174,""),"")</f>
        <v/>
      </c>
      <c r="G266" s="183">
        <f>IF(AND(ISNUMBER(G261),ISNUMBER(G174)),IFERROR(G261/G174,""),"")</f>
        <v/>
      </c>
      <c r="H266" s="183">
        <f>IF(AND(ISNUMBER(H261),ISNUMBER(H174)),IFERROR(H261/H174,""),"")</f>
        <v/>
      </c>
      <c r="I266" s="183">
        <f>IF(AND(ISNUMBER(I261),ISNUMBER(I174)),IFERROR(I261/I174,""),"")</f>
        <v/>
      </c>
      <c r="J266" s="183">
        <f>IF(AND(ISNUMBER(J261),ISNUMBER(J174)),IFERROR(J261/J174,""),"")</f>
        <v/>
      </c>
      <c r="K266" s="183">
        <f>IF(AND(ISNUMBER(K261),ISNUMBER(K174)),IFERROR(K261/K174,""),"")</f>
        <v/>
      </c>
      <c r="L266" s="183">
        <f>IF(AND(ISNUMBER(L261),ISNUMBER(L174)),IFERROR(L261/L174,""),"")</f>
        <v/>
      </c>
      <c r="M266" s="183">
        <f>IF(AND(ISNUMBER(M261),ISNUMBER(M174)),IFERROR(M261/M174,""),"")</f>
        <v/>
      </c>
      <c r="N266" s="183">
        <f>IF(AND(ISNUMBER(N261),ISNUMBER(N174)),IFERROR(N261/N174,""),"")</f>
        <v/>
      </c>
      <c r="O266" s="183">
        <f>IF(AND(ISNUMBER(O261),ISNUMBER(O174)),IFERROR(O261/O174,""),"")</f>
        <v/>
      </c>
      <c r="P266" s="183">
        <f>IF(AND(ISNUMBER(P261),ISNUMBER(P174)),IFERROR(P261/P174,""),"")</f>
        <v/>
      </c>
      <c r="Q266" s="183">
        <f>IF(AND(ISNUMBER(Q261),ISNUMBER(Q174)),IFERROR(Q261/Q174,""),"")</f>
        <v/>
      </c>
      <c r="R266" s="183">
        <f>IF(AND(ISNUMBER(R261),ISNUMBER(R174)),IFERROR(R261/R174,""),"")</f>
        <v/>
      </c>
      <c r="S266" s="183">
        <f>IF(AND(ISNUMBER(S261),ISNUMBER(S174)),IFERROR(S261/S174,""),"")</f>
        <v/>
      </c>
      <c r="T266" s="183">
        <f>IF(AND(ISNUMBER(T261),ISNUMBER(T174)),IFERROR(T261/T174,""),"")</f>
        <v/>
      </c>
      <c r="U266" s="183">
        <f>IF(AND(ISNUMBER(U261),ISNUMBER(U174)),IFERROR(U261/U174,""),"")</f>
        <v/>
      </c>
      <c r="V266" s="183">
        <f>IF(AND(ISNUMBER(V261),ISNUMBER(V174)),IFERROR(V261/V174,""),"")</f>
        <v/>
      </c>
      <c r="W266" s="183">
        <f>IF(AND(ISNUMBER(W261),ISNUMBER(W174)),IFERROR(W261/W174,""),"")</f>
        <v/>
      </c>
      <c r="X266" s="183">
        <f>IF(AND(ISNUMBER(X261),ISNUMBER(X174)),IFERROR(X261/X174,""),"")</f>
        <v/>
      </c>
      <c r="Y266" s="183">
        <f>IF(AND(ISNUMBER(Y261),ISNUMBER(Y174)),IFERROR(Y261/Y174,""),"")</f>
        <v/>
      </c>
      <c r="Z266" s="183">
        <f>IF(AND(ISNUMBER(Z261),ISNUMBER(Z174)),IFERROR(Z261/Z174,""),"")</f>
        <v/>
      </c>
      <c r="AA266" s="183">
        <f>IF(AND(ISNUMBER(AA261),ISNUMBER(AA174)),IFERROR(AA261/AA174,""),"")</f>
        <v/>
      </c>
      <c r="AB266" s="183">
        <f>IF(AND(ISNUMBER(AB261),ISNUMBER(AB174)),IFERROR(AB261/AB174,""),"")</f>
        <v/>
      </c>
      <c r="AC266" s="183">
        <f>IF(AND(ISNUMBER(AC261),ISNUMBER(AC174)),IFERROR(AC261/AC174,""),"")</f>
        <v/>
      </c>
      <c r="AD266" s="183">
        <f>IF(AND(ISNUMBER(AD261),ISNUMBER(AD174)),IFERROR(AD261/AD174,""),"")</f>
        <v/>
      </c>
      <c r="AE266" s="183">
        <f>IF(AND(ISNUMBER(AE261),ISNUMBER(AE174)),IFERROR(AE261/AE174,""),"")</f>
        <v/>
      </c>
      <c r="AF266" s="183">
        <f>IF(AND(ISNUMBER(AF261),ISNUMBER(AF174)),IFERROR(AF261/AF174,""),"")</f>
        <v/>
      </c>
      <c r="AG266" s="183">
        <f>IF(AND(ISNUMBER(AG261),ISNUMBER(AG174)),IFERROR(AG261/AG174,""),"")</f>
        <v/>
      </c>
      <c r="AH266" s="183">
        <f>IF(AND(ISNUMBER(AH261),ISNUMBER(AH174)),IFERROR(AH261/AH174,""),"")</f>
        <v/>
      </c>
      <c r="AI266" s="25" t="n"/>
      <c r="AJ266" s="25" t="n"/>
      <c r="AK266" s="177">
        <f>IF(AND(ISNUMBER(AK261),ISNUMBER(AK174)),IFERROR(AK261/AK174,""),"")</f>
        <v/>
      </c>
      <c r="AL266" s="177">
        <f>IF(AND(ISNUMBER(AL261),ISNUMBER(AL174)),IFERROR(AL261/AL174,""),"")</f>
        <v/>
      </c>
      <c r="AM266" s="177">
        <f>IF(AND(ISNUMBER(AM261),ISNUMBER(AM174)),IFERROR(AM261/AM174,""),"")</f>
        <v/>
      </c>
      <c r="AN266" s="177">
        <f>IF(AND(ISNUMBER(AN261),ISNUMBER(AN174)),IFERROR(AN261/AN174,""),"")</f>
        <v/>
      </c>
      <c r="AO266" s="177">
        <f>IF(AND(ISNUMBER(AO261),ISNUMBER(AO174)),IFERROR(AO261/AO174,""),"")</f>
        <v/>
      </c>
      <c r="AP266" s="6" t="n"/>
      <c r="AR266" s="39">
        <f>IFERROR(AVERAGE(AK266,AL266,AM266,AN266,AO266),"n/m")</f>
        <v/>
      </c>
      <c r="AS266" s="39">
        <f>IFERROR(AVERAGE(L266,Q266,V266,AA266,AF266),"n/m")</f>
        <v/>
      </c>
      <c r="AT266" s="39">
        <f>IFERROR(AVERAGE(G266,H266,I266,J266,K266,L266,Q266,V266,AA266,AF266),"n/m")</f>
        <v/>
      </c>
      <c r="AU266" s="39">
        <f>IFERROR(AVERAGE(C266,D266,E266,F266,G266,H266,I266,J266,K266,L266,Q266,V266,AA266,AF266),"n/m")</f>
        <v/>
      </c>
    </row>
    <row r="267" ht="15" customHeight="1">
      <c r="B267" s="26" t="inlineStr">
        <is>
          <t>Capex ratios</t>
        </is>
      </c>
      <c r="AP267" s="6" t="n"/>
    </row>
    <row r="268" ht="15" customHeight="1">
      <c r="B268" s="26" t="inlineStr">
        <is>
          <t xml:space="preserve">  Capex % of net sales</t>
        </is>
      </c>
      <c r="C268" s="183">
        <f>IF(ISNUMBER(C244),IFERROR(-C244/C127,""),"")</f>
        <v/>
      </c>
      <c r="D268" s="183">
        <f>IF(ISNUMBER(D244),IFERROR(-D244/D127,""),"")</f>
        <v/>
      </c>
      <c r="E268" s="183">
        <f>IF(ISNUMBER(E244),IFERROR(-E244/E127,""),"")</f>
        <v/>
      </c>
      <c r="F268" s="183">
        <f>IF(ISNUMBER(F244),IFERROR(-F244/F127,""),"")</f>
        <v/>
      </c>
      <c r="G268" s="183">
        <f>IF(ISNUMBER(G244),IFERROR(-G244/G127,""),"")</f>
        <v/>
      </c>
      <c r="H268" s="183">
        <f>IF(ISNUMBER(H244),IFERROR(-H244/H127,""),"")</f>
        <v/>
      </c>
      <c r="I268" s="183">
        <f>IF(ISNUMBER(I244),IFERROR(-I244/I127,""),"")</f>
        <v/>
      </c>
      <c r="J268" s="183">
        <f>IF(ISNUMBER(J244),IFERROR(-J244/J127,""),"")</f>
        <v/>
      </c>
      <c r="K268" s="183">
        <f>IF(ISNUMBER(K244),IFERROR(-K244/K127,""),"")</f>
        <v/>
      </c>
      <c r="L268" s="183">
        <f>IF(ISNUMBER(L244),IFERROR(-L244/L127,""),"")</f>
        <v/>
      </c>
      <c r="M268" s="183">
        <f>IF(ISNUMBER(M244),IFERROR(-M244/M127,""),"")</f>
        <v/>
      </c>
      <c r="N268" s="183">
        <f>IF(ISNUMBER(N244),IFERROR(-N244/N127,""),"")</f>
        <v/>
      </c>
      <c r="O268" s="183">
        <f>IF(ISNUMBER(O244),IFERROR(-O244/O127,""),"")</f>
        <v/>
      </c>
      <c r="P268" s="183">
        <f>IF(ISNUMBER(P244),IFERROR(-P244/P127,""),"")</f>
        <v/>
      </c>
      <c r="Q268" s="183">
        <f>IF(ISNUMBER(Q244),IFERROR(-Q244/Q127,""),"")</f>
        <v/>
      </c>
      <c r="R268" s="183">
        <f>IF(ISNUMBER(R244),IFERROR(-R244/R127,""),"")</f>
        <v/>
      </c>
      <c r="S268" s="183">
        <f>IF(ISNUMBER(S244),IFERROR(-S244/S127,""),"")</f>
        <v/>
      </c>
      <c r="T268" s="183">
        <f>IF(ISNUMBER(T244),IFERROR(-T244/T127,""),"")</f>
        <v/>
      </c>
      <c r="U268" s="183">
        <f>IF(ISNUMBER(U244),IFERROR(-U244/U127,""),"")</f>
        <v/>
      </c>
      <c r="V268" s="183">
        <f>IF(ISNUMBER(V244),IFERROR(-V244/V127,""),"")</f>
        <v/>
      </c>
      <c r="W268" s="183">
        <f>IF(ISNUMBER(W244),IFERROR(-W244/W127,""),"")</f>
        <v/>
      </c>
      <c r="X268" s="183">
        <f>IF(ISNUMBER(X244),IFERROR(-X244/X127,""),"")</f>
        <v/>
      </c>
      <c r="Y268" s="183">
        <f>IF(ISNUMBER(Y244),IFERROR(-Y244/Y127,""),"")</f>
        <v/>
      </c>
      <c r="Z268" s="183">
        <f>IF(ISNUMBER(Z244),IFERROR(-Z244/Z127,""),"")</f>
        <v/>
      </c>
      <c r="AA268" s="183">
        <f>IF(ISNUMBER(AA244),IFERROR(-AA244/AA127,""),"")</f>
        <v/>
      </c>
      <c r="AB268" s="183">
        <f>IF(ISNUMBER(AB244),IFERROR(-AB244/AB127,""),"")</f>
        <v/>
      </c>
      <c r="AC268" s="183">
        <f>IF(ISNUMBER(AC244),IFERROR(-AC244/AC127,""),"")</f>
        <v/>
      </c>
      <c r="AD268" s="183">
        <f>IF(ISNUMBER(AD244),IFERROR(-AD244/AD127,""),"")</f>
        <v/>
      </c>
      <c r="AE268" s="183">
        <f>IF(ISNUMBER(AE244),IFERROR(-AE244/AE127,""),"")</f>
        <v/>
      </c>
      <c r="AF268" s="183">
        <f>IF(ISNUMBER(AF244),IFERROR(-AF244/AF127,""),"")</f>
        <v/>
      </c>
      <c r="AG268" s="183">
        <f>IF(ISNUMBER(AG244),IFERROR(-AG244/AG127,""),"")</f>
        <v/>
      </c>
      <c r="AH268" s="183">
        <f>IF(ISNUMBER(AH244),IFERROR(-AH244/AH127,""),"")</f>
        <v/>
      </c>
      <c r="AI268" s="25" t="n"/>
      <c r="AJ268" s="25" t="n"/>
      <c r="AK268" s="177">
        <f>IF(ISNUMBER(AK244),IFERROR(-AK244/AK127,""),"")</f>
        <v/>
      </c>
      <c r="AL268" s="192" t="n">
        <v>0.024</v>
      </c>
      <c r="AM268" s="192" t="n">
        <v>0.024</v>
      </c>
      <c r="AN268" s="192" t="n">
        <v>0.024</v>
      </c>
      <c r="AO268" s="192" t="n">
        <v>0.024</v>
      </c>
      <c r="AP268" s="6" t="inlineStr">
        <is>
          <t>2027E+ input (2022–25: 2.3–3.8% of net sales).</t>
        </is>
      </c>
      <c r="AR268" s="39">
        <f>IFERROR(AVERAGE(AK268,AL268,AM268,AN268,AO268),"n/m")</f>
        <v/>
      </c>
      <c r="AS268" s="39">
        <f>IFERROR(AVERAGE(L268,Q268,V268,AA268,AF268),"n/m")</f>
        <v/>
      </c>
      <c r="AT268" s="39">
        <f>IFERROR(AVERAGE(G268,H268,I268,J268,K268,L268,Q268,V268,AA268,AF268),"n/m")</f>
        <v/>
      </c>
      <c r="AU268" s="39">
        <f>IFERROR(AVERAGE(C268,D268,E268,F268,G268,H268,I268,J268,K268,L268,Q268,V268,AA268,AF268),"n/m")</f>
        <v/>
      </c>
    </row>
    <row r="269" ht="15" customHeight="1">
      <c r="B269" s="26" t="inlineStr">
        <is>
          <t xml:space="preserve">  Capex / depreciation (x)</t>
        </is>
      </c>
      <c r="C269" s="207">
        <f>IF(ISNUMBER(C244),IFERROR(-C244/C113,""),"")</f>
        <v/>
      </c>
      <c r="D269" s="207">
        <f>IF(ISNUMBER(D244),IFERROR(-D244/D113,""),"")</f>
        <v/>
      </c>
      <c r="E269" s="207">
        <f>IF(ISNUMBER(E244),IFERROR(-E244/E113,""),"")</f>
        <v/>
      </c>
      <c r="F269" s="207">
        <f>IF(ISNUMBER(F244),IFERROR(-F244/F113,""),"")</f>
        <v/>
      </c>
      <c r="G269" s="207">
        <f>IF(ISNUMBER(G244),IFERROR(-G244/G113,""),"")</f>
        <v/>
      </c>
      <c r="H269" s="207">
        <f>IF(ISNUMBER(H244),IFERROR(-H244/H113,""),"")</f>
        <v/>
      </c>
      <c r="I269" s="207">
        <f>IF(ISNUMBER(I244),IFERROR(-I244/I113,""),"")</f>
        <v/>
      </c>
      <c r="J269" s="207">
        <f>IF(ISNUMBER(J244),IFERROR(-J244/J113,""),"")</f>
        <v/>
      </c>
      <c r="K269" s="207">
        <f>IF(ISNUMBER(K244),IFERROR(-K244/K113,""),"")</f>
        <v/>
      </c>
      <c r="L269" s="207">
        <f>IF(ISNUMBER(L244),IFERROR(-L244/L113,""),"")</f>
        <v/>
      </c>
      <c r="M269" s="207">
        <f>IF(ISNUMBER(M244),IFERROR(-M244/M113,""),"")</f>
        <v/>
      </c>
      <c r="N269" s="207">
        <f>IF(ISNUMBER(N244),IFERROR(-N244/N113,""),"")</f>
        <v/>
      </c>
      <c r="O269" s="207">
        <f>IF(ISNUMBER(O244),IFERROR(-O244/O113,""),"")</f>
        <v/>
      </c>
      <c r="P269" s="207">
        <f>IF(ISNUMBER(P244),IFERROR(-P244/P113,""),"")</f>
        <v/>
      </c>
      <c r="Q269" s="207">
        <f>IF(ISNUMBER(Q244),IFERROR(-Q244/Q113,""),"")</f>
        <v/>
      </c>
      <c r="R269" s="207">
        <f>IF(ISNUMBER(R244),IFERROR(-R244/R113,""),"")</f>
        <v/>
      </c>
      <c r="S269" s="207">
        <f>IF(ISNUMBER(S244),IFERROR(-S244/S113,""),"")</f>
        <v/>
      </c>
      <c r="T269" s="207">
        <f>IF(ISNUMBER(T244),IFERROR(-T244/T113,""),"")</f>
        <v/>
      </c>
      <c r="U269" s="207">
        <f>IF(ISNUMBER(U244),IFERROR(-U244/U113,""),"")</f>
        <v/>
      </c>
      <c r="V269" s="207">
        <f>IF(ISNUMBER(V244),IFERROR(-V244/V113,""),"")</f>
        <v/>
      </c>
      <c r="W269" s="207">
        <f>IF(ISNUMBER(W244),IFERROR(-W244/W113,""),"")</f>
        <v/>
      </c>
      <c r="X269" s="207">
        <f>IF(ISNUMBER(X244),IFERROR(-X244/X113,""),"")</f>
        <v/>
      </c>
      <c r="Y269" s="207">
        <f>IF(ISNUMBER(Y244),IFERROR(-Y244/Y113,""),"")</f>
        <v/>
      </c>
      <c r="Z269" s="207">
        <f>IF(ISNUMBER(Z244),IFERROR(-Z244/Z113,""),"")</f>
        <v/>
      </c>
      <c r="AA269" s="207">
        <f>IF(ISNUMBER(AA244),IFERROR(-AA244/AA113,""),"")</f>
        <v/>
      </c>
      <c r="AB269" s="207">
        <f>IF(ISNUMBER(AB244),IFERROR(-AB244/AB113,""),"")</f>
        <v/>
      </c>
      <c r="AC269" s="207">
        <f>IF(ISNUMBER(AC244),IFERROR(-AC244/AC113,""),"")</f>
        <v/>
      </c>
      <c r="AD269" s="207">
        <f>IF(ISNUMBER(AD244),IFERROR(-AD244/AD113,""),"")</f>
        <v/>
      </c>
      <c r="AE269" s="207">
        <f>IF(ISNUMBER(AE244),IFERROR(-AE244/AE113,""),"")</f>
        <v/>
      </c>
      <c r="AF269" s="207">
        <f>IF(ISNUMBER(AF244),IFERROR(-AF244/AF113,""),"")</f>
        <v/>
      </c>
      <c r="AG269" s="207">
        <f>IF(ISNUMBER(AG244),IFERROR(-AG244/AG113,""),"")</f>
        <v/>
      </c>
      <c r="AH269" s="207">
        <f>IF(ISNUMBER(AH244),IFERROR(-AH244/AH113,""),"")</f>
        <v/>
      </c>
      <c r="AI269" s="37" t="n"/>
      <c r="AJ269" s="37" t="n"/>
      <c r="AK269" s="208">
        <f>IF(ISNUMBER(AK244),IFERROR(-AK244/AK113,""),"")</f>
        <v/>
      </c>
      <c r="AL269" s="208">
        <f>IF(ISNUMBER(AL244),IFERROR(-AL244/AL113,""),"")</f>
        <v/>
      </c>
      <c r="AM269" s="208">
        <f>IF(ISNUMBER(AM244),IFERROR(-AM244/AM113,""),"")</f>
        <v/>
      </c>
      <c r="AN269" s="208">
        <f>IF(ISNUMBER(AN244),IFERROR(-AN244/AN113,""),"")</f>
        <v/>
      </c>
      <c r="AO269" s="208">
        <f>IF(ISNUMBER(AO244),IFERROR(-AO244/AO113,""),"")</f>
        <v/>
      </c>
      <c r="AP269" s="20" t="n"/>
    </row>
    <row r="270" ht="15" customHeight="1">
      <c r="AX270" s="12" t="n"/>
      <c r="AY270" s="13" t="n"/>
      <c r="AZ270" s="13" t="n"/>
      <c r="BA270" s="13" t="n"/>
      <c r="BB270" s="14" t="n"/>
    </row>
    <row r="271" ht="15" customHeight="1">
      <c r="B271" s="11" t="inlineStr">
        <is>
          <t>SHARE BUYBACK SCHEDULE</t>
        </is>
      </c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inlineStr">
        <is>
          <t>SHARES — 2026E starts from shares outstanding at 30-Jun-2026; 2027E+ buybacks only via the leverage plug</t>
        </is>
      </c>
    </row>
    <row r="272" ht="15" customHeight="1">
      <c r="B272" s="26" t="inlineStr">
        <is>
          <t xml:space="preserve">  Avg buyback price ($)</t>
        </is>
      </c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7" t="n"/>
      <c r="AJ272" s="37" t="n"/>
      <c r="AK272" s="209">
        <f>AK393</f>
        <v/>
      </c>
      <c r="AL272" s="209">
        <f>AK272*(1+AL341)</f>
        <v/>
      </c>
      <c r="AM272" s="209">
        <f>AL272*(1+AM341)</f>
        <v/>
      </c>
      <c r="AN272" s="209">
        <f>AM272*(1+AN341)</f>
        <v/>
      </c>
      <c r="AO272" s="209">
        <f>AN272*(1+AO341)</f>
        <v/>
      </c>
      <c r="AP272" s="20" t="n"/>
    </row>
    <row r="273" ht="15" customHeight="1">
      <c r="B273" s="26" t="inlineStr">
        <is>
          <t xml:space="preserve">  Buyback cash deployed (USDm)</t>
        </is>
      </c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7" t="n"/>
      <c r="AJ273" s="37" t="n"/>
      <c r="AK273" s="190">
        <f>CHOOSE(MATCH($AP$2,{"Bull","Base","Bear"},0),$AY$16,$AZ$16,$BA$16)</f>
        <v/>
      </c>
      <c r="AL273" s="190">
        <f>-AL251</f>
        <v/>
      </c>
      <c r="AM273" s="190">
        <f>-AM251</f>
        <v/>
      </c>
      <c r="AN273" s="190">
        <f>-AN251</f>
        <v/>
      </c>
      <c r="AO273" s="190">
        <f>-AO251</f>
        <v/>
      </c>
      <c r="AP273" s="20" t="n"/>
    </row>
    <row r="274" ht="15" customHeight="1">
      <c r="B274" s="26" t="inlineStr">
        <is>
          <t xml:space="preserve">  Implied shares repurchased (m)</t>
        </is>
      </c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7" t="n"/>
      <c r="AJ274" s="37" t="n"/>
      <c r="AK274" s="209">
        <f>IFERROR(AK273/AK272,0)</f>
        <v/>
      </c>
      <c r="AL274" s="209">
        <f>IFERROR(AL273/AL272,0)</f>
        <v/>
      </c>
      <c r="AM274" s="209">
        <f>IFERROR(AM273/AM272,0)</f>
        <v/>
      </c>
      <c r="AN274" s="209">
        <f>IFERROR(AN273/AN272,0)</f>
        <v/>
      </c>
      <c r="AO274" s="209">
        <f>IFERROR(AO273/AO272,0)</f>
        <v/>
      </c>
      <c r="AP274" s="20" t="n"/>
    </row>
    <row r="275" ht="15" customHeight="1">
      <c r="B275" s="26" t="inlineStr">
        <is>
          <t xml:space="preserve">  Shares issued under equity plans (m)</t>
        </is>
      </c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  <c r="AA275" s="38" t="n"/>
      <c r="AB275" s="38" t="n"/>
      <c r="AC275" s="38" t="n"/>
      <c r="AD275" s="38" t="n"/>
      <c r="AE275" s="38" t="n"/>
      <c r="AF275" s="38" t="n"/>
      <c r="AG275" s="38" t="n"/>
      <c r="AH275" s="38" t="n"/>
      <c r="AI275" s="25" t="n"/>
      <c r="AJ275" s="25" t="n"/>
      <c r="AK275" s="210" t="n">
        <v>0.1</v>
      </c>
      <c r="AL275" s="210" t="n">
        <v>0.3</v>
      </c>
      <c r="AM275" s="210" t="n">
        <v>0.3</v>
      </c>
      <c r="AN275" s="210" t="n">
        <v>0.3</v>
      </c>
      <c r="AO275" s="210" t="n">
        <v>0.3</v>
      </c>
      <c r="AP275" s="20" t="n"/>
    </row>
    <row r="276" ht="15" customHeight="1">
      <c r="B276" s="26" t="inlineStr">
        <is>
          <t xml:space="preserve">  Beginning shares outstanding (m)</t>
        </is>
      </c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7" t="n"/>
      <c r="AJ276" s="37" t="n"/>
      <c r="AK276" s="175">
        <f>AH312</f>
        <v/>
      </c>
      <c r="AL276" s="175">
        <f>AK277</f>
        <v/>
      </c>
      <c r="AM276" s="175">
        <f>AL277</f>
        <v/>
      </c>
      <c r="AN276" s="175">
        <f>AM277</f>
        <v/>
      </c>
      <c r="AO276" s="175">
        <f>AN277</f>
        <v/>
      </c>
      <c r="AP276" s="20" t="inlineStr">
        <is>
          <t>2026E begins from 93.68m shares outstanding at 30-Jun-2026 (Q2-26 balance sheet).</t>
        </is>
      </c>
    </row>
    <row r="277" ht="15" customHeight="1">
      <c r="B277" s="26" t="inlineStr">
        <is>
          <t xml:space="preserve">  Ending shares outstanding (m)</t>
        </is>
      </c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7" t="n"/>
      <c r="AJ277" s="37" t="n"/>
      <c r="AK277" s="175">
        <f>AK276-AK274+AK275</f>
        <v/>
      </c>
      <c r="AL277" s="175">
        <f>AL276-AL274+AL275</f>
        <v/>
      </c>
      <c r="AM277" s="175">
        <f>AM276-AM274+AM275</f>
        <v/>
      </c>
      <c r="AN277" s="175">
        <f>AN276-AN274+AN275</f>
        <v/>
      </c>
      <c r="AO277" s="175">
        <f>AO276-AO274+AO275</f>
        <v/>
      </c>
      <c r="AP277" s="20" t="n"/>
    </row>
    <row r="278" ht="15" customHeight="1">
      <c r="B278" s="26" t="inlineStr">
        <is>
          <t xml:space="preserve">  % of shares repurchased</t>
        </is>
      </c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  <c r="AA278" s="38" t="n"/>
      <c r="AB278" s="38" t="n"/>
      <c r="AC278" s="38" t="n"/>
      <c r="AD278" s="38" t="n"/>
      <c r="AE278" s="38" t="n"/>
      <c r="AF278" s="38" t="n"/>
      <c r="AG278" s="38" t="n"/>
      <c r="AH278" s="38" t="n"/>
      <c r="AI278" s="25" t="n"/>
      <c r="AJ278" s="25" t="n"/>
      <c r="AK278" s="177">
        <f>IF(AND(ISNUMBER(AK274),ISNUMBER(AK276)),IFERROR(AK274/AK276,""),"")</f>
        <v/>
      </c>
      <c r="AL278" s="177">
        <f>IF(AND(ISNUMBER(AL274),ISNUMBER(AL276)),IFERROR(AL274/AL276,""),"")</f>
        <v/>
      </c>
      <c r="AM278" s="177">
        <f>IF(AND(ISNUMBER(AM274),ISNUMBER(AM276)),IFERROR(AM274/AM276,""),"")</f>
        <v/>
      </c>
      <c r="AN278" s="177">
        <f>IF(AND(ISNUMBER(AN274),ISNUMBER(AN276)),IFERROR(AN274/AN276,""),"")</f>
        <v/>
      </c>
      <c r="AO278" s="177">
        <f>IF(AND(ISNUMBER(AO274),ISNUMBER(AO276)),IFERROR(AO274/AO276,""),"")</f>
        <v/>
      </c>
      <c r="AP278" s="6" t="n"/>
    </row>
    <row r="279" ht="15" customHeight="1">
      <c r="B279" s="42" t="inlineStr">
        <is>
          <t xml:space="preserve">  Memo: cumulative shares repurchased since 2H/26 (m)</t>
        </is>
      </c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6" t="n"/>
      <c r="AJ279" s="6" t="n"/>
      <c r="AK279" s="197">
        <f>AK274</f>
        <v/>
      </c>
      <c r="AL279" s="197">
        <f>AK279+AL274</f>
        <v/>
      </c>
      <c r="AM279" s="197">
        <f>AL279+AM274</f>
        <v/>
      </c>
      <c r="AN279" s="197">
        <f>AM279+AN274</f>
        <v/>
      </c>
      <c r="AO279" s="197">
        <f>AN279+AO274</f>
        <v/>
      </c>
      <c r="AP279" s="6" t="n"/>
    </row>
    <row r="280" ht="15" customHeight="1">
      <c r="AX280" s="12" t="n"/>
      <c r="AY280" s="13" t="n"/>
      <c r="AZ280" s="13" t="n"/>
      <c r="BA280" s="13" t="n"/>
      <c r="BB280" s="14" t="n"/>
    </row>
    <row r="281" ht="15" customHeight="1">
      <c r="B281" s="11" t="inlineStr">
        <is>
          <t>CONSOLIDATED BALANCE SHEET</t>
        </is>
      </c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inlineStr">
        <is>
          <t>BS FORECAST — 2026E rolled forward from the 30-Jun-2026 balance sheet + 2H flows; 2027E+ from prior year end. Quarter-end balance sheets published from Q1-24 (FY2022-23 year ends from the prospectus).</t>
        </is>
      </c>
    </row>
    <row r="282" ht="15" customHeight="1">
      <c r="B282" s="26" t="inlineStr">
        <is>
          <t>ASSETS</t>
        </is>
      </c>
      <c r="AP282" s="6" t="n"/>
    </row>
    <row r="283" ht="15" customHeight="1">
      <c r="B283" s="26" t="inlineStr">
        <is>
          <t xml:space="preserve">  Cash and cash equivalents</t>
        </is>
      </c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174" t="n">
        <v>35.497</v>
      </c>
      <c r="Q283" s="174" t="n">
        <v>35.497</v>
      </c>
      <c r="R283" s="36" t="n"/>
      <c r="S283" s="36" t="n"/>
      <c r="T283" s="36" t="n"/>
      <c r="U283" s="174" t="n">
        <v>21.489</v>
      </c>
      <c r="V283" s="174" t="n">
        <v>21.489</v>
      </c>
      <c r="W283" s="174" t="n">
        <v>28.152</v>
      </c>
      <c r="X283" s="174" t="n">
        <v>73.203</v>
      </c>
      <c r="Y283" s="174" t="n">
        <v>55.179</v>
      </c>
      <c r="Z283" s="174" t="n">
        <v>54.066</v>
      </c>
      <c r="AA283" s="174" t="n">
        <v>54.066</v>
      </c>
      <c r="AB283" s="174" t="n">
        <v>80.498</v>
      </c>
      <c r="AC283" s="174" t="n">
        <v>103.342</v>
      </c>
      <c r="AD283" s="174" t="n">
        <v>98.955</v>
      </c>
      <c r="AE283" s="174" t="n">
        <v>84.827</v>
      </c>
      <c r="AF283" s="174" t="n">
        <v>84.827</v>
      </c>
      <c r="AG283" s="174" t="n">
        <v>94.88200000000001</v>
      </c>
      <c r="AH283" s="174" t="n">
        <v>122.433</v>
      </c>
      <c r="AI283" s="37" t="n"/>
      <c r="AJ283" s="37" t="n"/>
      <c r="AK283" s="175">
        <f>AK257</f>
        <v/>
      </c>
      <c r="AL283" s="175">
        <f>AL257</f>
        <v/>
      </c>
      <c r="AM283" s="175">
        <f>AM257</f>
        <v/>
      </c>
      <c r="AN283" s="175">
        <f>AN257</f>
        <v/>
      </c>
      <c r="AO283" s="175">
        <f>AO257</f>
        <v/>
      </c>
      <c r="AP283" s="20" t="n"/>
    </row>
    <row r="284" ht="15" customHeight="1">
      <c r="B284" s="26" t="inlineStr">
        <is>
          <t xml:space="preserve">  Accounts receivable, net</t>
        </is>
      </c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174" t="n">
        <v>40.897</v>
      </c>
      <c r="Q284" s="174" t="n">
        <v>40.897</v>
      </c>
      <c r="R284" s="36" t="n"/>
      <c r="S284" s="36" t="n"/>
      <c r="T284" s="36" t="n"/>
      <c r="U284" s="174" t="n">
        <v>59.002</v>
      </c>
      <c r="V284" s="174" t="n">
        <v>59.002</v>
      </c>
      <c r="W284" s="174" t="n">
        <v>55.844</v>
      </c>
      <c r="X284" s="174" t="n">
        <v>60.612</v>
      </c>
      <c r="Y284" s="174" t="n">
        <v>66.32899999999999</v>
      </c>
      <c r="Z284" s="174" t="n">
        <v>63.834</v>
      </c>
      <c r="AA284" s="174" t="n">
        <v>63.834</v>
      </c>
      <c r="AB284" s="174" t="n">
        <v>71.11499999999999</v>
      </c>
      <c r="AC284" s="174" t="n">
        <v>71.94499999999999</v>
      </c>
      <c r="AD284" s="174" t="n">
        <v>78.571</v>
      </c>
      <c r="AE284" s="174" t="n">
        <v>88.026</v>
      </c>
      <c r="AF284" s="174" t="n">
        <v>88.026</v>
      </c>
      <c r="AG284" s="174" t="n">
        <v>100.687</v>
      </c>
      <c r="AH284" s="174" t="n">
        <v>106.989</v>
      </c>
      <c r="AI284" s="37" t="n"/>
      <c r="AJ284" s="37" t="n"/>
      <c r="AK284" s="175">
        <f>AK316*AK318/365</f>
        <v/>
      </c>
      <c r="AL284" s="175">
        <f>AL316*AL318/365</f>
        <v/>
      </c>
      <c r="AM284" s="175">
        <f>AM316*AM318/365</f>
        <v/>
      </c>
      <c r="AN284" s="175">
        <f>AN316*AN318/365</f>
        <v/>
      </c>
      <c r="AO284" s="175">
        <f>AO316*AO318/365</f>
        <v/>
      </c>
      <c r="AP284" s="20" t="inlineStr">
        <is>
          <t>Receivables = net sales × DSO / 365.</t>
        </is>
      </c>
    </row>
    <row r="285" ht="15" customHeight="1">
      <c r="B285" s="26" t="inlineStr">
        <is>
          <t xml:space="preserve">  Inventories</t>
        </is>
      </c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174" t="n">
        <v>61.001</v>
      </c>
      <c r="Q285" s="174" t="n">
        <v>61.001</v>
      </c>
      <c r="R285" s="36" t="n"/>
      <c r="S285" s="36" t="n"/>
      <c r="T285" s="36" t="n"/>
      <c r="U285" s="174" t="n">
        <v>77.962</v>
      </c>
      <c r="V285" s="174" t="n">
        <v>77.962</v>
      </c>
      <c r="W285" s="174" t="n">
        <v>82.56999999999999</v>
      </c>
      <c r="X285" s="174" t="n">
        <v>84.944</v>
      </c>
      <c r="Y285" s="174" t="n">
        <v>97.887</v>
      </c>
      <c r="Z285" s="174" t="n">
        <v>92.639</v>
      </c>
      <c r="AA285" s="174" t="n">
        <v>92.639</v>
      </c>
      <c r="AB285" s="174" t="n">
        <v>96.514</v>
      </c>
      <c r="AC285" s="174" t="n">
        <v>99.883</v>
      </c>
      <c r="AD285" s="174" t="n">
        <v>105.471</v>
      </c>
      <c r="AE285" s="174" t="n">
        <v>109.036</v>
      </c>
      <c r="AF285" s="174" t="n">
        <v>109.036</v>
      </c>
      <c r="AG285" s="174" t="n">
        <v>122.557</v>
      </c>
      <c r="AH285" s="174" t="n">
        <v>127.605</v>
      </c>
      <c r="AI285" s="37" t="n"/>
      <c r="AJ285" s="37" t="n"/>
      <c r="AK285" s="175">
        <f>AK317*AK319/365</f>
        <v/>
      </c>
      <c r="AL285" s="175">
        <f>AL317*AL319/365</f>
        <v/>
      </c>
      <c r="AM285" s="175">
        <f>AM317*AM319/365</f>
        <v/>
      </c>
      <c r="AN285" s="175">
        <f>AN317*AN319/365</f>
        <v/>
      </c>
      <c r="AO285" s="175">
        <f>AO317*AO319/365</f>
        <v/>
      </c>
      <c r="AP285" s="20" t="n"/>
    </row>
    <row r="286" ht="15" customHeight="1">
      <c r="B286" s="26" t="inlineStr">
        <is>
          <t xml:space="preserve">  Other current assets (incl. income taxes receivable)</t>
        </is>
      </c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174" t="n">
        <v>12.451</v>
      </c>
      <c r="Q286" s="174" t="n">
        <v>12.451</v>
      </c>
      <c r="R286" s="36" t="n"/>
      <c r="S286" s="36" t="n"/>
      <c r="T286" s="36" t="n"/>
      <c r="U286" s="174" t="n">
        <v>12.223</v>
      </c>
      <c r="V286" s="174" t="n">
        <v>12.223</v>
      </c>
      <c r="W286" s="174" t="n">
        <v>15.065</v>
      </c>
      <c r="X286" s="174" t="n">
        <v>14.826</v>
      </c>
      <c r="Y286" s="174" t="n">
        <v>12.56</v>
      </c>
      <c r="Z286" s="174" t="n">
        <v>10.131</v>
      </c>
      <c r="AA286" s="174" t="n">
        <v>10.131</v>
      </c>
      <c r="AB286" s="174" t="n">
        <v>9.984</v>
      </c>
      <c r="AC286" s="174" t="n">
        <v>10.852</v>
      </c>
      <c r="AD286" s="174" t="n">
        <v>12.479</v>
      </c>
      <c r="AE286" s="174" t="n">
        <v>16.609</v>
      </c>
      <c r="AF286" s="174" t="n">
        <v>16.609</v>
      </c>
      <c r="AG286" s="174" t="n">
        <v>16.961</v>
      </c>
      <c r="AH286" s="174" t="n">
        <v>18.117</v>
      </c>
      <c r="AI286" s="37" t="n"/>
      <c r="AJ286" s="37" t="n"/>
      <c r="AK286" s="175">
        <f>AH286</f>
        <v/>
      </c>
      <c r="AL286" s="175">
        <f>AK286</f>
        <v/>
      </c>
      <c r="AM286" s="175">
        <f>AL286</f>
        <v/>
      </c>
      <c r="AN286" s="175">
        <f>AM286</f>
        <v/>
      </c>
      <c r="AO286" s="175">
        <f>AN286</f>
        <v/>
      </c>
      <c r="AP286" s="20" t="n"/>
    </row>
    <row r="287" ht="15" customHeight="1">
      <c r="B287" s="17" t="inlineStr">
        <is>
          <t>Total current assets</t>
        </is>
      </c>
      <c r="C287" s="181">
        <f>IF(ISNUMBER(C283),SUM(C283:C286),"")</f>
        <v/>
      </c>
      <c r="D287" s="181">
        <f>IF(ISNUMBER(D283),SUM(D283:D286),"")</f>
        <v/>
      </c>
      <c r="E287" s="181">
        <f>IF(ISNUMBER(E283),SUM(E283:E286),"")</f>
        <v/>
      </c>
      <c r="F287" s="181">
        <f>IF(ISNUMBER(F283),SUM(F283:F286),"")</f>
        <v/>
      </c>
      <c r="G287" s="181">
        <f>IF(ISNUMBER(G283),SUM(G283:G286),"")</f>
        <v/>
      </c>
      <c r="H287" s="181">
        <f>IF(ISNUMBER(H283),SUM(H283:H286),"")</f>
        <v/>
      </c>
      <c r="I287" s="181">
        <f>IF(ISNUMBER(I283),SUM(I283:I286),"")</f>
        <v/>
      </c>
      <c r="J287" s="181">
        <f>IF(ISNUMBER(J283),SUM(J283:J286),"")</f>
        <v/>
      </c>
      <c r="K287" s="181">
        <f>IF(ISNUMBER(K283),SUM(K283:K286),"")</f>
        <v/>
      </c>
      <c r="L287" s="181">
        <f>IF(ISNUMBER(L283),SUM(L283:L286),"")</f>
        <v/>
      </c>
      <c r="M287" s="181">
        <f>IF(ISNUMBER(M283),SUM(M283:M286),"")</f>
        <v/>
      </c>
      <c r="N287" s="181">
        <f>IF(ISNUMBER(N283),SUM(N283:N286),"")</f>
        <v/>
      </c>
      <c r="O287" s="181">
        <f>IF(ISNUMBER(O283),SUM(O283:O286),"")</f>
        <v/>
      </c>
      <c r="P287" s="181">
        <f>IF(ISNUMBER(P283),SUM(P283:P286),"")</f>
        <v/>
      </c>
      <c r="Q287" s="181">
        <f>IF(ISNUMBER(Q283),SUM(Q283:Q286),"")</f>
        <v/>
      </c>
      <c r="R287" s="181">
        <f>IF(ISNUMBER(R283),SUM(R283:R286),"")</f>
        <v/>
      </c>
      <c r="S287" s="181">
        <f>IF(ISNUMBER(S283),SUM(S283:S286),"")</f>
        <v/>
      </c>
      <c r="T287" s="181">
        <f>IF(ISNUMBER(T283),SUM(T283:T286),"")</f>
        <v/>
      </c>
      <c r="U287" s="181">
        <f>IF(ISNUMBER(U283),SUM(U283:U286),"")</f>
        <v/>
      </c>
      <c r="V287" s="181">
        <f>IF(ISNUMBER(V283),SUM(V283:V286),"")</f>
        <v/>
      </c>
      <c r="W287" s="181">
        <f>IF(ISNUMBER(W283),SUM(W283:W286),"")</f>
        <v/>
      </c>
      <c r="X287" s="181">
        <f>IF(ISNUMBER(X283),SUM(X283:X286),"")</f>
        <v/>
      </c>
      <c r="Y287" s="181">
        <f>IF(ISNUMBER(Y283),SUM(Y283:Y286),"")</f>
        <v/>
      </c>
      <c r="Z287" s="181">
        <f>IF(ISNUMBER(Z283),SUM(Z283:Z286),"")</f>
        <v/>
      </c>
      <c r="AA287" s="181">
        <f>IF(ISNUMBER(AA283),SUM(AA283:AA286),"")</f>
        <v/>
      </c>
      <c r="AB287" s="181">
        <f>IF(ISNUMBER(AB283),SUM(AB283:AB286),"")</f>
        <v/>
      </c>
      <c r="AC287" s="181">
        <f>IF(ISNUMBER(AC283),SUM(AC283:AC286),"")</f>
        <v/>
      </c>
      <c r="AD287" s="181">
        <f>IF(ISNUMBER(AD283),SUM(AD283:AD286),"")</f>
        <v/>
      </c>
      <c r="AE287" s="181">
        <f>IF(ISNUMBER(AE283),SUM(AE283:AE286),"")</f>
        <v/>
      </c>
      <c r="AF287" s="181">
        <f>IF(ISNUMBER(AF283),SUM(AF283:AF286),"")</f>
        <v/>
      </c>
      <c r="AG287" s="181">
        <f>IF(ISNUMBER(AG283),SUM(AG283:AG286),"")</f>
        <v/>
      </c>
      <c r="AH287" s="181">
        <f>IF(ISNUMBER(AH283),SUM(AH283:AH286),"")</f>
        <v/>
      </c>
      <c r="AI287" s="34" t="n"/>
      <c r="AJ287" s="34" t="n"/>
      <c r="AK287" s="182">
        <f>IF(ISNUMBER(AK283),SUM(AK283:AK286),"")</f>
        <v/>
      </c>
      <c r="AL287" s="182">
        <f>IF(ISNUMBER(AL283),SUM(AL283:AL286),"")</f>
        <v/>
      </c>
      <c r="AM287" s="182">
        <f>IF(ISNUMBER(AM283),SUM(AM283:AM286),"")</f>
        <v/>
      </c>
      <c r="AN287" s="182">
        <f>IF(ISNUMBER(AN283),SUM(AN283:AN286),"")</f>
        <v/>
      </c>
      <c r="AO287" s="182">
        <f>IF(ISNUMBER(AO283),SUM(AO283:AO286),"")</f>
        <v/>
      </c>
      <c r="AP287" s="6" t="n"/>
    </row>
    <row r="288" ht="15" customHeight="1">
      <c r="B288" s="26" t="inlineStr">
        <is>
          <t xml:space="preserve">  Property, plant &amp; equipment, net</t>
        </is>
      </c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174" t="n">
        <v>63.521</v>
      </c>
      <c r="Q288" s="174" t="n">
        <v>63.521</v>
      </c>
      <c r="R288" s="36" t="n"/>
      <c r="S288" s="36" t="n"/>
      <c r="T288" s="36" t="n"/>
      <c r="U288" s="174" t="n">
        <v>72.17400000000001</v>
      </c>
      <c r="V288" s="174" t="n">
        <v>72.17400000000001</v>
      </c>
      <c r="W288" s="174" t="n">
        <v>71.56</v>
      </c>
      <c r="X288" s="174" t="n">
        <v>70.754</v>
      </c>
      <c r="Y288" s="174" t="n">
        <v>76.955</v>
      </c>
      <c r="Z288" s="174" t="n">
        <v>76.605</v>
      </c>
      <c r="AA288" s="174" t="n">
        <v>76.605</v>
      </c>
      <c r="AB288" s="174" t="n">
        <v>75.548</v>
      </c>
      <c r="AC288" s="174" t="n">
        <v>75.666</v>
      </c>
      <c r="AD288" s="174" t="n">
        <v>78.107</v>
      </c>
      <c r="AE288" s="174" t="n">
        <v>82.536</v>
      </c>
      <c r="AF288" s="174" t="n">
        <v>82.536</v>
      </c>
      <c r="AG288" s="174" t="n">
        <v>88.473</v>
      </c>
      <c r="AH288" s="174" t="n">
        <v>88.038</v>
      </c>
      <c r="AI288" s="37" t="n"/>
      <c r="AJ288" s="37" t="n"/>
      <c r="AK288" s="175">
        <f>AH288-(AK244-(AG244+AH244))-(AI113+AJ113)</f>
        <v/>
      </c>
      <c r="AL288" s="175">
        <f>AK288-AL244-AL113+AL75*AL83</f>
        <v/>
      </c>
      <c r="AM288" s="175">
        <f>AL288-AM244-AM113+AM75*AM83</f>
        <v/>
      </c>
      <c r="AN288" s="175">
        <f>AM288-AN244-AN113+AN75*AN83</f>
        <v/>
      </c>
      <c r="AO288" s="175">
        <f>AN288-AO244-AO113+AO75*AO83</f>
        <v/>
      </c>
      <c r="AP288" s="20" t="inlineStr">
        <is>
          <t>Roll-forward: prior − capex (negative cash flow) − depreciation + acquired PP&amp;E.</t>
        </is>
      </c>
    </row>
    <row r="289" ht="15" customHeight="1">
      <c r="B289" s="26" t="inlineStr">
        <is>
          <t xml:space="preserve">  Goodwill</t>
        </is>
      </c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174" t="n">
        <v>441.992</v>
      </c>
      <c r="Q289" s="174" t="n">
        <v>441.992</v>
      </c>
      <c r="R289" s="36" t="n"/>
      <c r="S289" s="36" t="n"/>
      <c r="T289" s="36" t="n"/>
      <c r="U289" s="174" t="n">
        <v>470.888</v>
      </c>
      <c r="V289" s="174" t="n">
        <v>470.888</v>
      </c>
      <c r="W289" s="174" t="n">
        <v>471.792</v>
      </c>
      <c r="X289" s="174" t="n">
        <v>472.589</v>
      </c>
      <c r="Y289" s="174" t="n">
        <v>691.658</v>
      </c>
      <c r="Z289" s="174" t="n">
        <v>693.537</v>
      </c>
      <c r="AA289" s="174" t="n">
        <v>693.537</v>
      </c>
      <c r="AB289" s="174" t="n">
        <v>691.926</v>
      </c>
      <c r="AC289" s="174" t="n">
        <v>688.051</v>
      </c>
      <c r="AD289" s="174" t="n">
        <v>705.581</v>
      </c>
      <c r="AE289" s="174" t="n">
        <v>1008.377</v>
      </c>
      <c r="AF289" s="174" t="n">
        <v>1008.377</v>
      </c>
      <c r="AG289" s="174" t="n">
        <v>1081.154</v>
      </c>
      <c r="AH289" s="174" t="n">
        <v>1080.502</v>
      </c>
      <c r="AI289" s="37" t="n"/>
      <c r="AJ289" s="37" t="n"/>
      <c r="AK289" s="175">
        <f>AH289</f>
        <v/>
      </c>
      <c r="AL289" s="175">
        <f>AK289+AL75*(1-AL83-AL84)</f>
        <v/>
      </c>
      <c r="AM289" s="175">
        <f>AL289+AM75*(1-AM83-AM84)</f>
        <v/>
      </c>
      <c r="AN289" s="175">
        <f>AM289+AN75*(1-AN83-AN84)</f>
        <v/>
      </c>
      <c r="AO289" s="175">
        <f>AN289+AO75*(1-AO83-AO84)</f>
        <v/>
      </c>
      <c r="AP289" s="20" t="n"/>
    </row>
    <row r="290" ht="15" customHeight="1">
      <c r="B290" s="26" t="inlineStr">
        <is>
          <t xml:space="preserve">  Intangible assets, net</t>
        </is>
      </c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174" t="n">
        <v>322.657</v>
      </c>
      <c r="Q290" s="174" t="n">
        <v>322.657</v>
      </c>
      <c r="R290" s="36" t="n"/>
      <c r="S290" s="36" t="n"/>
      <c r="T290" s="36" t="n"/>
      <c r="U290" s="174" t="n">
        <v>316.542</v>
      </c>
      <c r="V290" s="174" t="n">
        <v>316.542</v>
      </c>
      <c r="W290" s="174" t="n">
        <v>308.397</v>
      </c>
      <c r="X290" s="174" t="n">
        <v>301.063</v>
      </c>
      <c r="Y290" s="174" t="n">
        <v>447.123</v>
      </c>
      <c r="Z290" s="174" t="n">
        <v>434.662</v>
      </c>
      <c r="AA290" s="174" t="n">
        <v>434.662</v>
      </c>
      <c r="AB290" s="174" t="n">
        <v>426.729</v>
      </c>
      <c r="AC290" s="174" t="n">
        <v>420.469</v>
      </c>
      <c r="AD290" s="174" t="n">
        <v>424.459</v>
      </c>
      <c r="AE290" s="174" t="n">
        <v>606.4059999999999</v>
      </c>
      <c r="AF290" s="174" t="n">
        <v>606.4059999999999</v>
      </c>
      <c r="AG290" s="174" t="n">
        <v>757.592</v>
      </c>
      <c r="AH290" s="174" t="n">
        <v>739.129</v>
      </c>
      <c r="AI290" s="37" t="n"/>
      <c r="AJ290" s="37" t="n"/>
      <c r="AK290" s="175">
        <f>AH290-(AI115+AJ115)</f>
        <v/>
      </c>
      <c r="AL290" s="175">
        <f>AK290-AL115+AL75*AL84</f>
        <v/>
      </c>
      <c r="AM290" s="175">
        <f>AL290-AM115+AM75*AM84</f>
        <v/>
      </c>
      <c r="AN290" s="175">
        <f>AM290-AN115+AN75*AN84</f>
        <v/>
      </c>
      <c r="AO290" s="175">
        <f>AN290-AO115+AO75*AO84</f>
        <v/>
      </c>
      <c r="AP290" s="20" t="inlineStr">
        <is>
          <t>Roll-forward: prior − amortization + acquired intangibles (M&amp;A lever).</t>
        </is>
      </c>
    </row>
    <row r="291" ht="15" customHeight="1">
      <c r="B291" s="26" t="inlineStr">
        <is>
          <t xml:space="preserve">  Lease right-of-use &amp; other long-term assets (derived)</t>
        </is>
      </c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174" t="n">
        <v>16.505</v>
      </c>
      <c r="Q291" s="174" t="n">
        <v>16.505</v>
      </c>
      <c r="R291" s="36" t="n"/>
      <c r="S291" s="36" t="n"/>
      <c r="T291" s="36" t="n"/>
      <c r="U291" s="174" t="n">
        <v>20.165</v>
      </c>
      <c r="V291" s="174" t="n">
        <v>20.165</v>
      </c>
      <c r="W291" s="174" t="n">
        <v>20.58</v>
      </c>
      <c r="X291" s="174" t="n">
        <v>22.334</v>
      </c>
      <c r="Y291" s="174" t="n">
        <v>24.356</v>
      </c>
      <c r="Z291" s="174" t="n">
        <v>25.144</v>
      </c>
      <c r="AA291" s="174" t="n">
        <v>25.144</v>
      </c>
      <c r="AB291" s="174" t="n">
        <v>26.491</v>
      </c>
      <c r="AC291" s="174" t="n">
        <v>28.015</v>
      </c>
      <c r="AD291" s="174" t="n">
        <v>30.423</v>
      </c>
      <c r="AE291" s="174" t="n">
        <v>34.058</v>
      </c>
      <c r="AF291" s="174" t="n">
        <v>34.058</v>
      </c>
      <c r="AG291" s="174" t="n">
        <v>36.049</v>
      </c>
      <c r="AH291" s="174" t="n">
        <v>43.235</v>
      </c>
      <c r="AI291" s="37" t="n"/>
      <c r="AJ291" s="37" t="n"/>
      <c r="AK291" s="175">
        <f>AH291</f>
        <v/>
      </c>
      <c r="AL291" s="175">
        <f>AK291</f>
        <v/>
      </c>
      <c r="AM291" s="175">
        <f>AL291</f>
        <v/>
      </c>
      <c r="AN291" s="175">
        <f>AM291</f>
        <v/>
      </c>
      <c r="AO291" s="175">
        <f>AN291</f>
        <v/>
      </c>
      <c r="AP291" s="20" t="n"/>
    </row>
    <row r="292" ht="15" customHeight="1">
      <c r="B292" s="59" t="inlineStr">
        <is>
          <t>TOTAL ASSETS</t>
        </is>
      </c>
      <c r="C292" s="196">
        <f>IF(ISNUMBER(C283),C287+SUM(C288:C291),"")</f>
        <v/>
      </c>
      <c r="D292" s="196">
        <f>IF(ISNUMBER(D283),D287+SUM(D288:D291),"")</f>
        <v/>
      </c>
      <c r="E292" s="196">
        <f>IF(ISNUMBER(E283),E287+SUM(E288:E291),"")</f>
        <v/>
      </c>
      <c r="F292" s="196">
        <f>IF(ISNUMBER(F283),F287+SUM(F288:F291),"")</f>
        <v/>
      </c>
      <c r="G292" s="196">
        <f>IF(ISNUMBER(G283),G287+SUM(G288:G291),"")</f>
        <v/>
      </c>
      <c r="H292" s="196">
        <f>IF(ISNUMBER(H283),H287+SUM(H288:H291),"")</f>
        <v/>
      </c>
      <c r="I292" s="196">
        <f>IF(ISNUMBER(I283),I287+SUM(I288:I291),"")</f>
        <v/>
      </c>
      <c r="J292" s="196">
        <f>IF(ISNUMBER(J283),J287+SUM(J288:J291),"")</f>
        <v/>
      </c>
      <c r="K292" s="196">
        <f>IF(ISNUMBER(K283),K287+SUM(K288:K291),"")</f>
        <v/>
      </c>
      <c r="L292" s="196">
        <f>IF(ISNUMBER(L283),L287+SUM(L288:L291),"")</f>
        <v/>
      </c>
      <c r="M292" s="196">
        <f>IF(ISNUMBER(M283),M287+SUM(M288:M291),"")</f>
        <v/>
      </c>
      <c r="N292" s="196">
        <f>IF(ISNUMBER(N283),N287+SUM(N288:N291),"")</f>
        <v/>
      </c>
      <c r="O292" s="196">
        <f>IF(ISNUMBER(O283),O287+SUM(O288:O291),"")</f>
        <v/>
      </c>
      <c r="P292" s="196">
        <f>IF(ISNUMBER(P283),P287+SUM(P288:P291),"")</f>
        <v/>
      </c>
      <c r="Q292" s="196">
        <f>IF(ISNUMBER(Q283),Q287+SUM(Q288:Q291),"")</f>
        <v/>
      </c>
      <c r="R292" s="196">
        <f>IF(ISNUMBER(R283),R287+SUM(R288:R291),"")</f>
        <v/>
      </c>
      <c r="S292" s="196">
        <f>IF(ISNUMBER(S283),S287+SUM(S288:S291),"")</f>
        <v/>
      </c>
      <c r="T292" s="196">
        <f>IF(ISNUMBER(T283),T287+SUM(T288:T291),"")</f>
        <v/>
      </c>
      <c r="U292" s="196">
        <f>IF(ISNUMBER(U283),U287+SUM(U288:U291),"")</f>
        <v/>
      </c>
      <c r="V292" s="196">
        <f>IF(ISNUMBER(V283),V287+SUM(V288:V291),"")</f>
        <v/>
      </c>
      <c r="W292" s="196">
        <f>IF(ISNUMBER(W283),W287+SUM(W288:W291),"")</f>
        <v/>
      </c>
      <c r="X292" s="196">
        <f>IF(ISNUMBER(X283),X287+SUM(X288:X291),"")</f>
        <v/>
      </c>
      <c r="Y292" s="196">
        <f>IF(ISNUMBER(Y283),Y287+SUM(Y288:Y291),"")</f>
        <v/>
      </c>
      <c r="Z292" s="196">
        <f>IF(ISNUMBER(Z283),Z287+SUM(Z288:Z291),"")</f>
        <v/>
      </c>
      <c r="AA292" s="196">
        <f>IF(ISNUMBER(AA283),AA287+SUM(AA288:AA291),"")</f>
        <v/>
      </c>
      <c r="AB292" s="196">
        <f>IF(ISNUMBER(AB283),AB287+SUM(AB288:AB291),"")</f>
        <v/>
      </c>
      <c r="AC292" s="196">
        <f>IF(ISNUMBER(AC283),AC287+SUM(AC288:AC291),"")</f>
        <v/>
      </c>
      <c r="AD292" s="196">
        <f>IF(ISNUMBER(AD283),AD287+SUM(AD288:AD291),"")</f>
        <v/>
      </c>
      <c r="AE292" s="196">
        <f>IF(ISNUMBER(AE283),AE287+SUM(AE288:AE291),"")</f>
        <v/>
      </c>
      <c r="AF292" s="196">
        <f>IF(ISNUMBER(AF283),AF287+SUM(AF288:AF291),"")</f>
        <v/>
      </c>
      <c r="AG292" s="196">
        <f>IF(ISNUMBER(AG283),AG287+SUM(AG288:AG291),"")</f>
        <v/>
      </c>
      <c r="AH292" s="196">
        <f>IF(ISNUMBER(AH283),AH287+SUM(AH288:AH291),"")</f>
        <v/>
      </c>
      <c r="AI292" s="60" t="n"/>
      <c r="AJ292" s="60" t="n"/>
      <c r="AK292" s="196">
        <f>IF(ISNUMBER(AK283),AK287+SUM(AK288:AK291),"")</f>
        <v/>
      </c>
      <c r="AL292" s="196">
        <f>IF(ISNUMBER(AL283),AL287+SUM(AL288:AL291),"")</f>
        <v/>
      </c>
      <c r="AM292" s="196">
        <f>IF(ISNUMBER(AM283),AM287+SUM(AM288:AM291),"")</f>
        <v/>
      </c>
      <c r="AN292" s="196">
        <f>IF(ISNUMBER(AN283),AN287+SUM(AN288:AN291),"")</f>
        <v/>
      </c>
      <c r="AO292" s="196">
        <f>IF(ISNUMBER(AO283),AO287+SUM(AO288:AO291),"")</f>
        <v/>
      </c>
      <c r="AP292" s="6" t="n"/>
      <c r="AR292" s="21">
        <f>IFERROR((AO292/AF292)^(1/5)-1,"n/m")</f>
        <v/>
      </c>
      <c r="AS292" s="21">
        <f>IFERROR((AF292/K292)^(1/5)-1,"n/m")</f>
        <v/>
      </c>
      <c r="AT292" s="21">
        <f>IFERROR((AF292/F292)^(1/10)-1,"n/m")</f>
        <v/>
      </c>
      <c r="AU292" s="21">
        <f>IFERROR((AF292/C292)^(1/13)-1,"n/m")</f>
        <v/>
      </c>
    </row>
    <row r="293" ht="15" customHeight="1">
      <c r="B293" s="26" t="inlineStr">
        <is>
          <t>LIABILITIES AND STOCKHOLDERS' EQUITY</t>
        </is>
      </c>
      <c r="AP293" s="6" t="n"/>
    </row>
    <row r="294" ht="15" customHeight="1">
      <c r="B294" s="26" t="inlineStr">
        <is>
          <t xml:space="preserve">  Accounts payable</t>
        </is>
      </c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174" t="n">
        <v>10.167</v>
      </c>
      <c r="Q294" s="174" t="n">
        <v>10.167</v>
      </c>
      <c r="R294" s="36" t="n"/>
      <c r="S294" s="36" t="n"/>
      <c r="T294" s="36" t="n"/>
      <c r="U294" s="174" t="n">
        <v>12.876</v>
      </c>
      <c r="V294" s="174" t="n">
        <v>12.876</v>
      </c>
      <c r="W294" s="174" t="n">
        <v>13.884</v>
      </c>
      <c r="X294" s="174" t="n">
        <v>16.116</v>
      </c>
      <c r="Y294" s="174" t="n">
        <v>16.224</v>
      </c>
      <c r="Z294" s="174" t="n">
        <v>12.086</v>
      </c>
      <c r="AA294" s="174" t="n">
        <v>12.086</v>
      </c>
      <c r="AB294" s="174" t="n">
        <v>14.087</v>
      </c>
      <c r="AC294" s="174" t="n">
        <v>16.244</v>
      </c>
      <c r="AD294" s="174" t="n">
        <v>17.653</v>
      </c>
      <c r="AE294" s="174" t="n">
        <v>18.606</v>
      </c>
      <c r="AF294" s="174" t="n">
        <v>18.606</v>
      </c>
      <c r="AG294" s="174" t="n">
        <v>23.885</v>
      </c>
      <c r="AH294" s="174" t="n">
        <v>29.442</v>
      </c>
      <c r="AI294" s="37" t="n"/>
      <c r="AJ294" s="37" t="n"/>
      <c r="AK294" s="175">
        <f>AK317*AK320/365</f>
        <v/>
      </c>
      <c r="AL294" s="175">
        <f>AL317*AL320/365</f>
        <v/>
      </c>
      <c r="AM294" s="175">
        <f>AM317*AM320/365</f>
        <v/>
      </c>
      <c r="AN294" s="175">
        <f>AN317*AN320/365</f>
        <v/>
      </c>
      <c r="AO294" s="175">
        <f>AO317*AO320/365</f>
        <v/>
      </c>
      <c r="AP294" s="20" t="n"/>
    </row>
    <row r="295" ht="15" customHeight="1">
      <c r="B295" s="26" t="inlineStr">
        <is>
          <t xml:space="preserve">  Current portion of long-term debt</t>
        </is>
      </c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174" t="n">
        <v>5.039</v>
      </c>
      <c r="Q295" s="174" t="n">
        <v>5.039</v>
      </c>
      <c r="R295" s="36" t="n"/>
      <c r="S295" s="36" t="n"/>
      <c r="T295" s="36" t="n"/>
      <c r="U295" s="174" t="n">
        <v>6.896</v>
      </c>
      <c r="V295" s="174" t="n">
        <v>6.896</v>
      </c>
      <c r="W295" s="174" t="n">
        <v>6.896</v>
      </c>
      <c r="X295" s="174" t="n">
        <v>2.498</v>
      </c>
      <c r="Y295" s="174" t="n">
        <v>6.028</v>
      </c>
      <c r="Z295" s="174" t="n">
        <v>0</v>
      </c>
      <c r="AA295" s="174" t="n">
        <v>0</v>
      </c>
      <c r="AB295" s="174" t="n">
        <v>0</v>
      </c>
      <c r="AC295" s="174" t="n">
        <v>0</v>
      </c>
      <c r="AD295" s="174" t="n">
        <v>0</v>
      </c>
      <c r="AE295" s="174" t="n">
        <v>4.362</v>
      </c>
      <c r="AF295" s="174" t="n">
        <v>4.362</v>
      </c>
      <c r="AG295" s="174" t="n">
        <v>6.72</v>
      </c>
      <c r="AH295" s="174" t="n">
        <v>6.728</v>
      </c>
      <c r="AI295" s="37" t="n"/>
      <c r="AJ295" s="37" t="n"/>
      <c r="AK295" s="175">
        <f>MIN(AK343,AH295)</f>
        <v/>
      </c>
      <c r="AL295" s="175">
        <f>MIN(AL343,AK295)</f>
        <v/>
      </c>
      <c r="AM295" s="175">
        <f>MIN(AM343,AL295)</f>
        <v/>
      </c>
      <c r="AN295" s="175">
        <f>MIN(AN343,AM295)</f>
        <v/>
      </c>
      <c r="AO295" s="175">
        <f>MIN(AO343,AN295)</f>
        <v/>
      </c>
      <c r="AP295" s="20" t="inlineStr">
        <is>
          <t>Held at the 30-Jun-2026 level (term-loan scheduled amortization).</t>
        </is>
      </c>
    </row>
    <row r="296" ht="15" customHeight="1">
      <c r="B296" s="26" t="inlineStr">
        <is>
          <t xml:space="preserve">  Accrued expenses, income taxes payable &amp; current lease liabilities (derived)</t>
        </is>
      </c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174" t="n">
        <v>23.199</v>
      </c>
      <c r="Q296" s="174" t="n">
        <v>23.199</v>
      </c>
      <c r="R296" s="36" t="n"/>
      <c r="S296" s="36" t="n"/>
      <c r="T296" s="36" t="n"/>
      <c r="U296" s="174" t="n">
        <v>31.708</v>
      </c>
      <c r="V296" s="174" t="n">
        <v>31.708</v>
      </c>
      <c r="W296" s="174" t="n">
        <v>38.043</v>
      </c>
      <c r="X296" s="174" t="n">
        <v>29.425</v>
      </c>
      <c r="Y296" s="174" t="n">
        <v>36.432</v>
      </c>
      <c r="Z296" s="174" t="n">
        <v>29.72</v>
      </c>
      <c r="AA296" s="174" t="n">
        <v>29.72</v>
      </c>
      <c r="AB296" s="174" t="n">
        <v>36.189</v>
      </c>
      <c r="AC296" s="174" t="n">
        <v>30.229</v>
      </c>
      <c r="AD296" s="174" t="n">
        <v>32.23</v>
      </c>
      <c r="AE296" s="174" t="n">
        <v>40.538</v>
      </c>
      <c r="AF296" s="174" t="n">
        <v>40.538</v>
      </c>
      <c r="AG296" s="174" t="n">
        <v>42.875</v>
      </c>
      <c r="AH296" s="174" t="n">
        <v>40.282</v>
      </c>
      <c r="AI296" s="37" t="n"/>
      <c r="AJ296" s="37" t="n"/>
      <c r="AK296" s="175">
        <f>AK316*AK321</f>
        <v/>
      </c>
      <c r="AL296" s="175">
        <f>AL316*AL321</f>
        <v/>
      </c>
      <c r="AM296" s="175">
        <f>AM316*AM321</f>
        <v/>
      </c>
      <c r="AN296" s="175">
        <f>AN316*AN321</f>
        <v/>
      </c>
      <c r="AO296" s="175">
        <f>AO316*AO321</f>
        <v/>
      </c>
      <c r="AP296" s="20" t="n"/>
    </row>
    <row r="297" ht="15" customHeight="1">
      <c r="B297" s="17" t="inlineStr">
        <is>
          <t>Total current liabilities</t>
        </is>
      </c>
      <c r="C297" s="181">
        <f>IF(ISNUMBER(C294),SUM(C294:C296),"")</f>
        <v/>
      </c>
      <c r="D297" s="181">
        <f>IF(ISNUMBER(D294),SUM(D294:D296),"")</f>
        <v/>
      </c>
      <c r="E297" s="181">
        <f>IF(ISNUMBER(E294),SUM(E294:E296),"")</f>
        <v/>
      </c>
      <c r="F297" s="181">
        <f>IF(ISNUMBER(F294),SUM(F294:F296),"")</f>
        <v/>
      </c>
      <c r="G297" s="181">
        <f>IF(ISNUMBER(G294),SUM(G294:G296),"")</f>
        <v/>
      </c>
      <c r="H297" s="181">
        <f>IF(ISNUMBER(H294),SUM(H294:H296),"")</f>
        <v/>
      </c>
      <c r="I297" s="181">
        <f>IF(ISNUMBER(I294),SUM(I294:I296),"")</f>
        <v/>
      </c>
      <c r="J297" s="181">
        <f>IF(ISNUMBER(J294),SUM(J294:J296),"")</f>
        <v/>
      </c>
      <c r="K297" s="181">
        <f>IF(ISNUMBER(K294),SUM(K294:K296),"")</f>
        <v/>
      </c>
      <c r="L297" s="181">
        <f>IF(ISNUMBER(L294),SUM(L294:L296),"")</f>
        <v/>
      </c>
      <c r="M297" s="181">
        <f>IF(ISNUMBER(M294),SUM(M294:M296),"")</f>
        <v/>
      </c>
      <c r="N297" s="181">
        <f>IF(ISNUMBER(N294),SUM(N294:N296),"")</f>
        <v/>
      </c>
      <c r="O297" s="181">
        <f>IF(ISNUMBER(O294),SUM(O294:O296),"")</f>
        <v/>
      </c>
      <c r="P297" s="181">
        <f>IF(ISNUMBER(P294),SUM(P294:P296),"")</f>
        <v/>
      </c>
      <c r="Q297" s="181">
        <f>IF(ISNUMBER(Q294),SUM(Q294:Q296),"")</f>
        <v/>
      </c>
      <c r="R297" s="181">
        <f>IF(ISNUMBER(R294),SUM(R294:R296),"")</f>
        <v/>
      </c>
      <c r="S297" s="181">
        <f>IF(ISNUMBER(S294),SUM(S294:S296),"")</f>
        <v/>
      </c>
      <c r="T297" s="181">
        <f>IF(ISNUMBER(T294),SUM(T294:T296),"")</f>
        <v/>
      </c>
      <c r="U297" s="181">
        <f>IF(ISNUMBER(U294),SUM(U294:U296),"")</f>
        <v/>
      </c>
      <c r="V297" s="181">
        <f>IF(ISNUMBER(V294),SUM(V294:V296),"")</f>
        <v/>
      </c>
      <c r="W297" s="181">
        <f>IF(ISNUMBER(W294),SUM(W294:W296),"")</f>
        <v/>
      </c>
      <c r="X297" s="181">
        <f>IF(ISNUMBER(X294),SUM(X294:X296),"")</f>
        <v/>
      </c>
      <c r="Y297" s="181">
        <f>IF(ISNUMBER(Y294),SUM(Y294:Y296),"")</f>
        <v/>
      </c>
      <c r="Z297" s="181">
        <f>IF(ISNUMBER(Z294),SUM(Z294:Z296),"")</f>
        <v/>
      </c>
      <c r="AA297" s="181">
        <f>IF(ISNUMBER(AA294),SUM(AA294:AA296),"")</f>
        <v/>
      </c>
      <c r="AB297" s="181">
        <f>IF(ISNUMBER(AB294),SUM(AB294:AB296),"")</f>
        <v/>
      </c>
      <c r="AC297" s="181">
        <f>IF(ISNUMBER(AC294),SUM(AC294:AC296),"")</f>
        <v/>
      </c>
      <c r="AD297" s="181">
        <f>IF(ISNUMBER(AD294),SUM(AD294:AD296),"")</f>
        <v/>
      </c>
      <c r="AE297" s="181">
        <f>IF(ISNUMBER(AE294),SUM(AE294:AE296),"")</f>
        <v/>
      </c>
      <c r="AF297" s="181">
        <f>IF(ISNUMBER(AF294),SUM(AF294:AF296),"")</f>
        <v/>
      </c>
      <c r="AG297" s="181">
        <f>IF(ISNUMBER(AG294),SUM(AG294:AG296),"")</f>
        <v/>
      </c>
      <c r="AH297" s="181">
        <f>IF(ISNUMBER(AH294),SUM(AH294:AH296),"")</f>
        <v/>
      </c>
      <c r="AI297" s="34" t="n"/>
      <c r="AJ297" s="34" t="n"/>
      <c r="AK297" s="182">
        <f>IF(ISNUMBER(AK294),SUM(AK294:AK296),"")</f>
        <v/>
      </c>
      <c r="AL297" s="182">
        <f>IF(ISNUMBER(AL294),SUM(AL294:AL296),"")</f>
        <v/>
      </c>
      <c r="AM297" s="182">
        <f>IF(ISNUMBER(AM294),SUM(AM294:AM296),"")</f>
        <v/>
      </c>
      <c r="AN297" s="182">
        <f>IF(ISNUMBER(AN294),SUM(AN294:AN296),"")</f>
        <v/>
      </c>
      <c r="AO297" s="182">
        <f>IF(ISNUMBER(AO294),SUM(AO294:AO296),"")</f>
        <v/>
      </c>
      <c r="AP297" s="6" t="n"/>
    </row>
    <row r="298" ht="15" customHeight="1">
      <c r="B298" s="26" t="inlineStr">
        <is>
          <t xml:space="preserve">  Long-term debt, net</t>
        </is>
      </c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174" t="n">
        <v>481.986</v>
      </c>
      <c r="Q298" s="174" t="n">
        <v>481.986</v>
      </c>
      <c r="R298" s="36" t="n"/>
      <c r="S298" s="36" t="n"/>
      <c r="T298" s="36" t="n"/>
      <c r="U298" s="174" t="n">
        <v>528.582</v>
      </c>
      <c r="V298" s="174" t="n">
        <v>528.582</v>
      </c>
      <c r="W298" s="174" t="n">
        <v>527.298</v>
      </c>
      <c r="X298" s="174" t="n">
        <v>248.159</v>
      </c>
      <c r="Y298" s="174" t="n">
        <v>596.074</v>
      </c>
      <c r="Z298" s="174" t="n">
        <v>277.293</v>
      </c>
      <c r="AA298" s="174" t="n">
        <v>277.293</v>
      </c>
      <c r="AB298" s="174" t="n">
        <v>277.487</v>
      </c>
      <c r="AC298" s="174" t="n">
        <v>277.669</v>
      </c>
      <c r="AD298" s="174" t="n">
        <v>279.357</v>
      </c>
      <c r="AE298" s="174" t="n">
        <v>711.338</v>
      </c>
      <c r="AF298" s="174" t="n">
        <v>711.338</v>
      </c>
      <c r="AG298" s="174" t="n">
        <v>943.346</v>
      </c>
      <c r="AH298" s="174" t="n">
        <v>942.598</v>
      </c>
      <c r="AI298" s="37" t="n"/>
      <c r="AJ298" s="37" t="n"/>
      <c r="AK298" s="175">
        <f>AK343-AK295</f>
        <v/>
      </c>
      <c r="AL298" s="175">
        <f>AL343-AL295</f>
        <v/>
      </c>
      <c r="AM298" s="175">
        <f>AM343-AM295</f>
        <v/>
      </c>
      <c r="AN298" s="175">
        <f>AN343-AN295</f>
        <v/>
      </c>
      <c r="AO298" s="175">
        <f>AO343-AO295</f>
        <v/>
      </c>
      <c r="AP298" s="20" t="n"/>
    </row>
    <row r="299" ht="15" customHeight="1">
      <c r="B299" s="26" t="inlineStr">
        <is>
          <t xml:space="preserve">  Deferred income taxes</t>
        </is>
      </c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174" t="n">
        <v>40.641</v>
      </c>
      <c r="Q299" s="174" t="n">
        <v>40.641</v>
      </c>
      <c r="R299" s="36" t="n"/>
      <c r="S299" s="36" t="n"/>
      <c r="T299" s="36" t="n"/>
      <c r="U299" s="174" t="n">
        <v>36.785</v>
      </c>
      <c r="V299" s="174" t="n">
        <v>36.785</v>
      </c>
      <c r="W299" s="174" t="n">
        <v>35.163</v>
      </c>
      <c r="X299" s="174" t="n">
        <v>33.918</v>
      </c>
      <c r="Y299" s="174" t="n">
        <v>36.82</v>
      </c>
      <c r="Z299" s="174" t="n">
        <v>32.892</v>
      </c>
      <c r="AA299" s="174" t="n">
        <v>32.892</v>
      </c>
      <c r="AB299" s="174" t="n">
        <v>34.073</v>
      </c>
      <c r="AC299" s="174" t="n">
        <v>34.891</v>
      </c>
      <c r="AD299" s="174" t="n">
        <v>34.361</v>
      </c>
      <c r="AE299" s="174" t="n">
        <v>68.377</v>
      </c>
      <c r="AF299" s="174" t="n">
        <v>68.377</v>
      </c>
      <c r="AG299" s="174" t="n">
        <v>74.46899999999999</v>
      </c>
      <c r="AH299" s="174" t="n">
        <v>73.771</v>
      </c>
      <c r="AI299" s="37" t="n"/>
      <c r="AJ299" s="37" t="n"/>
      <c r="AK299" s="175">
        <f>AH299+(AK240-(AG240+AH240))</f>
        <v/>
      </c>
      <c r="AL299" s="175">
        <f>AK299+AL240</f>
        <v/>
      </c>
      <c r="AM299" s="175">
        <f>AL299+AM240</f>
        <v/>
      </c>
      <c r="AN299" s="175">
        <f>AM299+AN240</f>
        <v/>
      </c>
      <c r="AO299" s="175">
        <f>AN299+AO240</f>
        <v/>
      </c>
      <c r="AP299" s="20" t="n"/>
    </row>
    <row r="300" ht="15" customHeight="1">
      <c r="B300" s="26" t="inlineStr">
        <is>
          <t xml:space="preserve">  Lease, environmental, contingent-consideration &amp; other long-term liabilities (derived)</t>
        </is>
      </c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174" t="n">
        <v>11.515</v>
      </c>
      <c r="Q300" s="174" t="n">
        <v>11.515</v>
      </c>
      <c r="R300" s="36" t="n"/>
      <c r="S300" s="36" t="n"/>
      <c r="T300" s="36" t="n"/>
      <c r="U300" s="174" t="n">
        <v>15.457</v>
      </c>
      <c r="V300" s="174" t="n">
        <v>15.457</v>
      </c>
      <c r="W300" s="174" t="n">
        <v>12.031</v>
      </c>
      <c r="X300" s="174" t="n">
        <v>11.769</v>
      </c>
      <c r="Y300" s="174" t="n">
        <v>10.655</v>
      </c>
      <c r="Z300" s="174" t="n">
        <v>10.122</v>
      </c>
      <c r="AA300" s="174" t="n">
        <v>10.122</v>
      </c>
      <c r="AB300" s="174" t="n">
        <v>10.315</v>
      </c>
      <c r="AC300" s="174" t="n">
        <v>10.457</v>
      </c>
      <c r="AD300" s="174" t="n">
        <v>10.249</v>
      </c>
      <c r="AE300" s="174" t="n">
        <v>11.901</v>
      </c>
      <c r="AF300" s="174" t="n">
        <v>11.901</v>
      </c>
      <c r="AG300" s="174" t="n">
        <v>27.152</v>
      </c>
      <c r="AH300" s="174" t="n">
        <v>33.833</v>
      </c>
      <c r="AI300" s="37" t="n"/>
      <c r="AJ300" s="37" t="n"/>
      <c r="AK300" s="175">
        <f>AH300</f>
        <v/>
      </c>
      <c r="AL300" s="175">
        <f>AK300</f>
        <v/>
      </c>
      <c r="AM300" s="175">
        <f>AL300</f>
        <v/>
      </c>
      <c r="AN300" s="175">
        <f>AM300</f>
        <v/>
      </c>
      <c r="AO300" s="175">
        <f>AN300</f>
        <v/>
      </c>
      <c r="AP300" s="20" t="inlineStr">
        <is>
          <t>Includes the Harper Engineering contingent consideration ($16.6m at 30-Jun-2026; max $55m, 2026–31 targets).</t>
        </is>
      </c>
    </row>
    <row r="301" ht="15" customHeight="1">
      <c r="B301" s="17" t="inlineStr">
        <is>
          <t>Total liabilities</t>
        </is>
      </c>
      <c r="C301" s="181">
        <f>IF(ISNUMBER(C294),C297+SUM(C298:C300),"")</f>
        <v/>
      </c>
      <c r="D301" s="181">
        <f>IF(ISNUMBER(D294),D297+SUM(D298:D300),"")</f>
        <v/>
      </c>
      <c r="E301" s="181">
        <f>IF(ISNUMBER(E294),E297+SUM(E298:E300),"")</f>
        <v/>
      </c>
      <c r="F301" s="181">
        <f>IF(ISNUMBER(F294),F297+SUM(F298:F300),"")</f>
        <v/>
      </c>
      <c r="G301" s="181">
        <f>IF(ISNUMBER(G294),G297+SUM(G298:G300),"")</f>
        <v/>
      </c>
      <c r="H301" s="181">
        <f>IF(ISNUMBER(H294),H297+SUM(H298:H300),"")</f>
        <v/>
      </c>
      <c r="I301" s="181">
        <f>IF(ISNUMBER(I294),I297+SUM(I298:I300),"")</f>
        <v/>
      </c>
      <c r="J301" s="181">
        <f>IF(ISNUMBER(J294),J297+SUM(J298:J300),"")</f>
        <v/>
      </c>
      <c r="K301" s="181">
        <f>IF(ISNUMBER(K294),K297+SUM(K298:K300),"")</f>
        <v/>
      </c>
      <c r="L301" s="181">
        <f>IF(ISNUMBER(L294),L297+SUM(L298:L300),"")</f>
        <v/>
      </c>
      <c r="M301" s="181">
        <f>IF(ISNUMBER(M294),M297+SUM(M298:M300),"")</f>
        <v/>
      </c>
      <c r="N301" s="181">
        <f>IF(ISNUMBER(N294),N297+SUM(N298:N300),"")</f>
        <v/>
      </c>
      <c r="O301" s="181">
        <f>IF(ISNUMBER(O294),O297+SUM(O298:O300),"")</f>
        <v/>
      </c>
      <c r="P301" s="181">
        <f>IF(ISNUMBER(P294),P297+SUM(P298:P300),"")</f>
        <v/>
      </c>
      <c r="Q301" s="181">
        <f>IF(ISNUMBER(Q294),Q297+SUM(Q298:Q300),"")</f>
        <v/>
      </c>
      <c r="R301" s="181">
        <f>IF(ISNUMBER(R294),R297+SUM(R298:R300),"")</f>
        <v/>
      </c>
      <c r="S301" s="181">
        <f>IF(ISNUMBER(S294),S297+SUM(S298:S300),"")</f>
        <v/>
      </c>
      <c r="T301" s="181">
        <f>IF(ISNUMBER(T294),T297+SUM(T298:T300),"")</f>
        <v/>
      </c>
      <c r="U301" s="181">
        <f>IF(ISNUMBER(U294),U297+SUM(U298:U300),"")</f>
        <v/>
      </c>
      <c r="V301" s="181">
        <f>IF(ISNUMBER(V294),V297+SUM(V298:V300),"")</f>
        <v/>
      </c>
      <c r="W301" s="181">
        <f>IF(ISNUMBER(W294),W297+SUM(W298:W300),"")</f>
        <v/>
      </c>
      <c r="X301" s="181">
        <f>IF(ISNUMBER(X294),X297+SUM(X298:X300),"")</f>
        <v/>
      </c>
      <c r="Y301" s="181">
        <f>IF(ISNUMBER(Y294),Y297+SUM(Y298:Y300),"")</f>
        <v/>
      </c>
      <c r="Z301" s="181">
        <f>IF(ISNUMBER(Z294),Z297+SUM(Z298:Z300),"")</f>
        <v/>
      </c>
      <c r="AA301" s="181">
        <f>IF(ISNUMBER(AA294),AA297+SUM(AA298:AA300),"")</f>
        <v/>
      </c>
      <c r="AB301" s="181">
        <f>IF(ISNUMBER(AB294),AB297+SUM(AB298:AB300),"")</f>
        <v/>
      </c>
      <c r="AC301" s="181">
        <f>IF(ISNUMBER(AC294),AC297+SUM(AC298:AC300),"")</f>
        <v/>
      </c>
      <c r="AD301" s="181">
        <f>IF(ISNUMBER(AD294),AD297+SUM(AD298:AD300),"")</f>
        <v/>
      </c>
      <c r="AE301" s="181">
        <f>IF(ISNUMBER(AE294),AE297+SUM(AE298:AE300),"")</f>
        <v/>
      </c>
      <c r="AF301" s="181">
        <f>IF(ISNUMBER(AF294),AF297+SUM(AF298:AF300),"")</f>
        <v/>
      </c>
      <c r="AG301" s="181">
        <f>IF(ISNUMBER(AG294),AG297+SUM(AG298:AG300),"")</f>
        <v/>
      </c>
      <c r="AH301" s="181">
        <f>IF(ISNUMBER(AH294),AH297+SUM(AH298:AH300),"")</f>
        <v/>
      </c>
      <c r="AI301" s="34" t="n"/>
      <c r="AJ301" s="34" t="n"/>
      <c r="AK301" s="182">
        <f>IF(ISNUMBER(AK294),AK297+SUM(AK298:AK300),"")</f>
        <v/>
      </c>
      <c r="AL301" s="182">
        <f>IF(ISNUMBER(AL294),AL297+SUM(AL298:AL300),"")</f>
        <v/>
      </c>
      <c r="AM301" s="182">
        <f>IF(ISNUMBER(AM294),AM297+SUM(AM298:AM300),"")</f>
        <v/>
      </c>
      <c r="AN301" s="182">
        <f>IF(ISNUMBER(AN294),AN297+SUM(AN298:AN300),"")</f>
        <v/>
      </c>
      <c r="AO301" s="182">
        <f>IF(ISNUMBER(AO294),AO297+SUM(AO298:AO300),"")</f>
        <v/>
      </c>
      <c r="AP301" s="6" t="n"/>
    </row>
    <row r="302" ht="15" customHeight="1">
      <c r="B302" s="26" t="inlineStr">
        <is>
          <t>Stockholders' equity:</t>
        </is>
      </c>
      <c r="AP302" s="6" t="n"/>
    </row>
    <row r="303" ht="15" customHeight="1">
      <c r="B303" s="26" t="inlineStr">
        <is>
          <t xml:space="preserve">  Common stock &amp; additional paid-in capital (member's equity pre-IPO)</t>
        </is>
      </c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174" t="n">
        <v>421.974</v>
      </c>
      <c r="Q303" s="174" t="n">
        <v>421.974</v>
      </c>
      <c r="R303" s="36" t="n"/>
      <c r="S303" s="36" t="n"/>
      <c r="T303" s="36" t="n"/>
      <c r="U303" s="174" t="n">
        <v>418.141</v>
      </c>
      <c r="V303" s="174" t="n">
        <v>418.141</v>
      </c>
      <c r="W303" s="174" t="n">
        <v>420.645</v>
      </c>
      <c r="X303" s="174" t="n">
        <v>791.294</v>
      </c>
      <c r="Y303" s="174" t="n">
        <v>794.064</v>
      </c>
      <c r="Z303" s="174" t="n">
        <v>1109.161</v>
      </c>
      <c r="AA303" s="174" t="n">
        <v>1109.161</v>
      </c>
      <c r="AB303" s="174" t="n">
        <v>1112.25</v>
      </c>
      <c r="AC303" s="174" t="n">
        <v>1117.759</v>
      </c>
      <c r="AD303" s="174" t="n">
        <v>1121.637</v>
      </c>
      <c r="AE303" s="174" t="n">
        <v>1125.951</v>
      </c>
      <c r="AF303" s="174" t="n">
        <v>1125.951</v>
      </c>
      <c r="AG303" s="174" t="n">
        <v>1130.399</v>
      </c>
      <c r="AH303" s="174" t="n">
        <v>1136.946</v>
      </c>
      <c r="AI303" s="37" t="n"/>
      <c r="AJ303" s="37" t="n"/>
      <c r="AK303" s="175">
        <f>AH303+(AK239-(AG239+AH239))+(AK248-(AG248+AH248))+(AK251-(AG251+AH251))</f>
        <v/>
      </c>
      <c r="AL303" s="175">
        <f>AK303+AL239+AL248+AL251</f>
        <v/>
      </c>
      <c r="AM303" s="175">
        <f>AL303+AM239+AM248+AM251</f>
        <v/>
      </c>
      <c r="AN303" s="175">
        <f>AM303+AN239+AN248+AN251</f>
        <v/>
      </c>
      <c r="AO303" s="175">
        <f>AN303+AO239+AO248+AO251</f>
        <v/>
      </c>
      <c r="AP303" s="20" t="inlineStr">
        <is>
          <t>+ stock-based compensation + share issuance − repurchases (retired; Delaware). Pre-IPO (to Q1-24): member's equity of Loar Holdings, LLC.</t>
        </is>
      </c>
    </row>
    <row r="304" ht="15" customHeight="1">
      <c r="B304" s="26" t="inlineStr">
        <is>
          <t xml:space="preserve">  Retained earnings (accumulated deficit)</t>
        </is>
      </c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174" t="n">
        <v>0</v>
      </c>
      <c r="Q304" s="174" t="n">
        <v>0</v>
      </c>
      <c r="R304" s="36" t="n"/>
      <c r="S304" s="36" t="n"/>
      <c r="T304" s="36" t="n"/>
      <c r="U304" s="174" t="n">
        <v>0</v>
      </c>
      <c r="V304" s="174" t="n">
        <v>0</v>
      </c>
      <c r="W304" s="174" t="n">
        <v>0</v>
      </c>
      <c r="X304" s="174" t="n">
        <v>-32.901</v>
      </c>
      <c r="Y304" s="174" t="n">
        <v>-24.245</v>
      </c>
      <c r="Z304" s="174" t="n">
        <v>-20.56</v>
      </c>
      <c r="AA304" s="174" t="n">
        <v>-20.56</v>
      </c>
      <c r="AB304" s="174" t="n">
        <v>-5.244</v>
      </c>
      <c r="AC304" s="174" t="n">
        <v>11.469</v>
      </c>
      <c r="AD304" s="174" t="n">
        <v>39.075</v>
      </c>
      <c r="AE304" s="174" t="n">
        <v>51.586</v>
      </c>
      <c r="AF304" s="174" t="n">
        <v>51.586</v>
      </c>
      <c r="AG304" s="174" t="n">
        <v>62.729</v>
      </c>
      <c r="AH304" s="174" t="n">
        <v>79.471</v>
      </c>
      <c r="AI304" s="37" t="n"/>
      <c r="AJ304" s="37" t="n"/>
      <c r="AK304" s="175">
        <f>AH304+AI141+AJ141</f>
        <v/>
      </c>
      <c r="AL304" s="175">
        <f>AK304+AL141</f>
        <v/>
      </c>
      <c r="AM304" s="175">
        <f>AL304+AM141</f>
        <v/>
      </c>
      <c r="AN304" s="175">
        <f>AM304+AN141</f>
        <v/>
      </c>
      <c r="AO304" s="175">
        <f>AN304+AO141</f>
        <v/>
      </c>
      <c r="AP304" s="20" t="inlineStr">
        <is>
          <t>+ net income (no dividends).</t>
        </is>
      </c>
    </row>
    <row r="305" ht="15" customHeight="1">
      <c r="B305" s="26" t="inlineStr">
        <is>
          <t xml:space="preserve">  Accumulated other comprehensive income (loss)</t>
        </is>
      </c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174" t="n">
        <v>0</v>
      </c>
      <c r="Q305" s="174" t="n">
        <v>0</v>
      </c>
      <c r="R305" s="36" t="n"/>
      <c r="S305" s="36" t="n"/>
      <c r="T305" s="36" t="n"/>
      <c r="U305" s="174" t="n">
        <v>0</v>
      </c>
      <c r="V305" s="174" t="n">
        <v>0</v>
      </c>
      <c r="W305" s="174" t="n">
        <v>0</v>
      </c>
      <c r="X305" s="174" t="n">
        <v>0.047</v>
      </c>
      <c r="Y305" s="174" t="n">
        <v>-0.005</v>
      </c>
      <c r="Z305" s="174" t="n">
        <v>-0.096</v>
      </c>
      <c r="AA305" s="174" t="n">
        <v>-0.096</v>
      </c>
      <c r="AB305" s="174" t="n">
        <v>-0.352</v>
      </c>
      <c r="AC305" s="174" t="n">
        <v>-0.495</v>
      </c>
      <c r="AD305" s="174" t="n">
        <v>-0.516</v>
      </c>
      <c r="AE305" s="174" t="n">
        <v>-2.784</v>
      </c>
      <c r="AF305" s="174" t="n">
        <v>-2.784</v>
      </c>
      <c r="AG305" s="174" t="n">
        <v>-13.22</v>
      </c>
      <c r="AH305" s="174" t="n">
        <v>-17.023</v>
      </c>
      <c r="AI305" s="37" t="n"/>
      <c r="AJ305" s="37" t="n"/>
      <c r="AK305" s="175">
        <f>AH305+(AK254-(AG254+AH254))</f>
        <v/>
      </c>
      <c r="AL305" s="175">
        <f>AK305</f>
        <v/>
      </c>
      <c r="AM305" s="175">
        <f>AL305</f>
        <v/>
      </c>
      <c r="AN305" s="175">
        <f>AM305</f>
        <v/>
      </c>
      <c r="AO305" s="175">
        <f>AN305</f>
        <v/>
      </c>
      <c r="AP305" s="20" t="n"/>
    </row>
    <row r="306" ht="15" customHeight="1">
      <c r="B306" s="17" t="inlineStr">
        <is>
          <t>Total stockholders' equity</t>
        </is>
      </c>
      <c r="C306" s="181">
        <f>IF(ISNUMBER(C303),SUM(C303:C305),"")</f>
        <v/>
      </c>
      <c r="D306" s="181">
        <f>IF(ISNUMBER(D303),SUM(D303:D305),"")</f>
        <v/>
      </c>
      <c r="E306" s="181">
        <f>IF(ISNUMBER(E303),SUM(E303:E305),"")</f>
        <v/>
      </c>
      <c r="F306" s="181">
        <f>IF(ISNUMBER(F303),SUM(F303:F305),"")</f>
        <v/>
      </c>
      <c r="G306" s="181">
        <f>IF(ISNUMBER(G303),SUM(G303:G305),"")</f>
        <v/>
      </c>
      <c r="H306" s="181">
        <f>IF(ISNUMBER(H303),SUM(H303:H305),"")</f>
        <v/>
      </c>
      <c r="I306" s="181">
        <f>IF(ISNUMBER(I303),SUM(I303:I305),"")</f>
        <v/>
      </c>
      <c r="J306" s="181">
        <f>IF(ISNUMBER(J303),SUM(J303:J305),"")</f>
        <v/>
      </c>
      <c r="K306" s="181">
        <f>IF(ISNUMBER(K303),SUM(K303:K305),"")</f>
        <v/>
      </c>
      <c r="L306" s="181">
        <f>IF(ISNUMBER(L303),SUM(L303:L305),"")</f>
        <v/>
      </c>
      <c r="M306" s="181">
        <f>IF(ISNUMBER(M303),SUM(M303:M305),"")</f>
        <v/>
      </c>
      <c r="N306" s="181">
        <f>IF(ISNUMBER(N303),SUM(N303:N305),"")</f>
        <v/>
      </c>
      <c r="O306" s="181">
        <f>IF(ISNUMBER(O303),SUM(O303:O305),"")</f>
        <v/>
      </c>
      <c r="P306" s="181">
        <f>IF(ISNUMBER(P303),SUM(P303:P305),"")</f>
        <v/>
      </c>
      <c r="Q306" s="181">
        <f>IF(ISNUMBER(Q303),SUM(Q303:Q305),"")</f>
        <v/>
      </c>
      <c r="R306" s="181">
        <f>IF(ISNUMBER(R303),SUM(R303:R305),"")</f>
        <v/>
      </c>
      <c r="S306" s="181">
        <f>IF(ISNUMBER(S303),SUM(S303:S305),"")</f>
        <v/>
      </c>
      <c r="T306" s="181">
        <f>IF(ISNUMBER(T303),SUM(T303:T305),"")</f>
        <v/>
      </c>
      <c r="U306" s="181">
        <f>IF(ISNUMBER(U303),SUM(U303:U305),"")</f>
        <v/>
      </c>
      <c r="V306" s="181">
        <f>IF(ISNUMBER(V303),SUM(V303:V305),"")</f>
        <v/>
      </c>
      <c r="W306" s="181">
        <f>IF(ISNUMBER(W303),SUM(W303:W305),"")</f>
        <v/>
      </c>
      <c r="X306" s="181">
        <f>IF(ISNUMBER(X303),SUM(X303:X305),"")</f>
        <v/>
      </c>
      <c r="Y306" s="181">
        <f>IF(ISNUMBER(Y303),SUM(Y303:Y305),"")</f>
        <v/>
      </c>
      <c r="Z306" s="181">
        <f>IF(ISNUMBER(Z303),SUM(Z303:Z305),"")</f>
        <v/>
      </c>
      <c r="AA306" s="181">
        <f>IF(ISNUMBER(AA303),SUM(AA303:AA305),"")</f>
        <v/>
      </c>
      <c r="AB306" s="181">
        <f>IF(ISNUMBER(AB303),SUM(AB303:AB305),"")</f>
        <v/>
      </c>
      <c r="AC306" s="181">
        <f>IF(ISNUMBER(AC303),SUM(AC303:AC305),"")</f>
        <v/>
      </c>
      <c r="AD306" s="181">
        <f>IF(ISNUMBER(AD303),SUM(AD303:AD305),"")</f>
        <v/>
      </c>
      <c r="AE306" s="181">
        <f>IF(ISNUMBER(AE303),SUM(AE303:AE305),"")</f>
        <v/>
      </c>
      <c r="AF306" s="181">
        <f>IF(ISNUMBER(AF303),SUM(AF303:AF305),"")</f>
        <v/>
      </c>
      <c r="AG306" s="181">
        <f>IF(ISNUMBER(AG303),SUM(AG303:AG305),"")</f>
        <v/>
      </c>
      <c r="AH306" s="181">
        <f>IF(ISNUMBER(AH303),SUM(AH303:AH305),"")</f>
        <v/>
      </c>
      <c r="AI306" s="34" t="n"/>
      <c r="AJ306" s="34" t="n"/>
      <c r="AK306" s="182">
        <f>IF(ISNUMBER(AK303),SUM(AK303:AK305),"")</f>
        <v/>
      </c>
      <c r="AL306" s="182">
        <f>IF(ISNUMBER(AL303),SUM(AL303:AL305),"")</f>
        <v/>
      </c>
      <c r="AM306" s="182">
        <f>IF(ISNUMBER(AM303),SUM(AM303:AM305),"")</f>
        <v/>
      </c>
      <c r="AN306" s="182">
        <f>IF(ISNUMBER(AN303),SUM(AN303:AN305),"")</f>
        <v/>
      </c>
      <c r="AO306" s="182">
        <f>IF(ISNUMBER(AO303),SUM(AO303:AO305),"")</f>
        <v/>
      </c>
      <c r="AP306" s="6" t="n"/>
      <c r="AR306" s="21">
        <f>IFERROR((AO306/AF306)^(1/5)-1,"n/m")</f>
        <v/>
      </c>
      <c r="AS306" s="21">
        <f>IFERROR((AF306/K306)^(1/5)-1,"n/m")</f>
        <v/>
      </c>
      <c r="AT306" s="21">
        <f>IFERROR((AF306/F306)^(1/10)-1,"n/m")</f>
        <v/>
      </c>
      <c r="AU306" s="21">
        <f>IFERROR((AF306/C306)^(1/13)-1,"n/m")</f>
        <v/>
      </c>
    </row>
    <row r="307" ht="15" customHeight="1">
      <c r="B307" s="59" t="inlineStr">
        <is>
          <t>TOTAL LIABILITIES AND STOCKHOLDERS' EQUITY</t>
        </is>
      </c>
      <c r="C307" s="196">
        <f>IF(ISNUMBER(C301),C301+C306,"")</f>
        <v/>
      </c>
      <c r="D307" s="196">
        <f>IF(ISNUMBER(D301),D301+D306,"")</f>
        <v/>
      </c>
      <c r="E307" s="196">
        <f>IF(ISNUMBER(E301),E301+E306,"")</f>
        <v/>
      </c>
      <c r="F307" s="196">
        <f>IF(ISNUMBER(F301),F301+F306,"")</f>
        <v/>
      </c>
      <c r="G307" s="196">
        <f>IF(ISNUMBER(G301),G301+G306,"")</f>
        <v/>
      </c>
      <c r="H307" s="196">
        <f>IF(ISNUMBER(H301),H301+H306,"")</f>
        <v/>
      </c>
      <c r="I307" s="196">
        <f>IF(ISNUMBER(I301),I301+I306,"")</f>
        <v/>
      </c>
      <c r="J307" s="196">
        <f>IF(ISNUMBER(J301),J301+J306,"")</f>
        <v/>
      </c>
      <c r="K307" s="196">
        <f>IF(ISNUMBER(K301),K301+K306,"")</f>
        <v/>
      </c>
      <c r="L307" s="196">
        <f>IF(ISNUMBER(L301),L301+L306,"")</f>
        <v/>
      </c>
      <c r="M307" s="196">
        <f>IF(ISNUMBER(M301),M301+M306,"")</f>
        <v/>
      </c>
      <c r="N307" s="196">
        <f>IF(ISNUMBER(N301),N301+N306,"")</f>
        <v/>
      </c>
      <c r="O307" s="196">
        <f>IF(ISNUMBER(O301),O301+O306,"")</f>
        <v/>
      </c>
      <c r="P307" s="196">
        <f>IF(ISNUMBER(P301),P301+P306,"")</f>
        <v/>
      </c>
      <c r="Q307" s="196">
        <f>IF(ISNUMBER(Q301),Q301+Q306,"")</f>
        <v/>
      </c>
      <c r="R307" s="196">
        <f>IF(ISNUMBER(R301),R301+R306,"")</f>
        <v/>
      </c>
      <c r="S307" s="196">
        <f>IF(ISNUMBER(S301),S301+S306,"")</f>
        <v/>
      </c>
      <c r="T307" s="196">
        <f>IF(ISNUMBER(T301),T301+T306,"")</f>
        <v/>
      </c>
      <c r="U307" s="196">
        <f>IF(ISNUMBER(U301),U301+U306,"")</f>
        <v/>
      </c>
      <c r="V307" s="196">
        <f>IF(ISNUMBER(V301),V301+V306,"")</f>
        <v/>
      </c>
      <c r="W307" s="196">
        <f>IF(ISNUMBER(W301),W301+W306,"")</f>
        <v/>
      </c>
      <c r="X307" s="196">
        <f>IF(ISNUMBER(X301),X301+X306,"")</f>
        <v/>
      </c>
      <c r="Y307" s="196">
        <f>IF(ISNUMBER(Y301),Y301+Y306,"")</f>
        <v/>
      </c>
      <c r="Z307" s="196">
        <f>IF(ISNUMBER(Z301),Z301+Z306,"")</f>
        <v/>
      </c>
      <c r="AA307" s="196">
        <f>IF(ISNUMBER(AA301),AA301+AA306,"")</f>
        <v/>
      </c>
      <c r="AB307" s="196">
        <f>IF(ISNUMBER(AB301),AB301+AB306,"")</f>
        <v/>
      </c>
      <c r="AC307" s="196">
        <f>IF(ISNUMBER(AC301),AC301+AC306,"")</f>
        <v/>
      </c>
      <c r="AD307" s="196">
        <f>IF(ISNUMBER(AD301),AD301+AD306,"")</f>
        <v/>
      </c>
      <c r="AE307" s="196">
        <f>IF(ISNUMBER(AE301),AE301+AE306,"")</f>
        <v/>
      </c>
      <c r="AF307" s="196">
        <f>IF(ISNUMBER(AF301),AF301+AF306,"")</f>
        <v/>
      </c>
      <c r="AG307" s="196">
        <f>IF(ISNUMBER(AG301),AG301+AG306,"")</f>
        <v/>
      </c>
      <c r="AH307" s="196">
        <f>IF(ISNUMBER(AH301),AH301+AH306,"")</f>
        <v/>
      </c>
      <c r="AI307" s="60" t="n"/>
      <c r="AJ307" s="60" t="n"/>
      <c r="AK307" s="196">
        <f>IF(ISNUMBER(AK301),AK301+AK306,"")</f>
        <v/>
      </c>
      <c r="AL307" s="196">
        <f>IF(ISNUMBER(AL301),AL301+AL306,"")</f>
        <v/>
      </c>
      <c r="AM307" s="196">
        <f>IF(ISNUMBER(AM301),AM301+AM306,"")</f>
        <v/>
      </c>
      <c r="AN307" s="196">
        <f>IF(ISNUMBER(AN301),AN301+AN306,"")</f>
        <v/>
      </c>
      <c r="AO307" s="196">
        <f>IF(ISNUMBER(AO301),AO301+AO306,"")</f>
        <v/>
      </c>
      <c r="AP307" s="6" t="n"/>
    </row>
    <row r="308" ht="15" customHeight="1">
      <c r="B308" s="61" t="inlineStr">
        <is>
          <t>BS tie-out check (TA − TL&amp;E)</t>
        </is>
      </c>
      <c r="C308" s="186">
        <f>IF(ISNUMBER(C292),IF(ABS(C292-C307)&lt;=0.015,0,ROUND(C292-C307,2)),"")</f>
        <v/>
      </c>
      <c r="D308" s="186">
        <f>IF(ISNUMBER(D292),IF(ABS(D292-D307)&lt;=0.015,0,ROUND(D292-D307,2)),"")</f>
        <v/>
      </c>
      <c r="E308" s="186">
        <f>IF(ISNUMBER(E292),IF(ABS(E292-E307)&lt;=0.015,0,ROUND(E292-E307,2)),"")</f>
        <v/>
      </c>
      <c r="F308" s="186">
        <f>IF(ISNUMBER(F292),IF(ABS(F292-F307)&lt;=0.015,0,ROUND(F292-F307,2)),"")</f>
        <v/>
      </c>
      <c r="G308" s="186">
        <f>IF(ISNUMBER(G292),IF(ABS(G292-G307)&lt;=0.015,0,ROUND(G292-G307,2)),"")</f>
        <v/>
      </c>
      <c r="H308" s="186">
        <f>IF(ISNUMBER(H292),IF(ABS(H292-H307)&lt;=0.015,0,ROUND(H292-H307,2)),"")</f>
        <v/>
      </c>
      <c r="I308" s="186">
        <f>IF(ISNUMBER(I292),IF(ABS(I292-I307)&lt;=0.015,0,ROUND(I292-I307,2)),"")</f>
        <v/>
      </c>
      <c r="J308" s="186">
        <f>IF(ISNUMBER(J292),IF(ABS(J292-J307)&lt;=0.015,0,ROUND(J292-J307,2)),"")</f>
        <v/>
      </c>
      <c r="K308" s="186">
        <f>IF(ISNUMBER(K292),IF(ABS(K292-K307)&lt;=0.015,0,ROUND(K292-K307,2)),"")</f>
        <v/>
      </c>
      <c r="L308" s="186">
        <f>IF(ISNUMBER(L292),IF(ABS(L292-L307)&lt;=0.015,0,ROUND(L292-L307,2)),"")</f>
        <v/>
      </c>
      <c r="M308" s="186">
        <f>IF(ISNUMBER(M292),IF(ABS(M292-M307)&lt;=0.015,0,ROUND(M292-M307,2)),"")</f>
        <v/>
      </c>
      <c r="N308" s="186">
        <f>IF(ISNUMBER(N292),IF(ABS(N292-N307)&lt;=0.015,0,ROUND(N292-N307,2)),"")</f>
        <v/>
      </c>
      <c r="O308" s="186">
        <f>IF(ISNUMBER(O292),IF(ABS(O292-O307)&lt;=0.015,0,ROUND(O292-O307,2)),"")</f>
        <v/>
      </c>
      <c r="P308" s="186">
        <f>IF(ISNUMBER(P292),IF(ABS(P292-P307)&lt;=0.015,0,ROUND(P292-P307,2)),"")</f>
        <v/>
      </c>
      <c r="Q308" s="186">
        <f>IF(ISNUMBER(Q292),IF(ABS(Q292-Q307)&lt;=0.015,0,ROUND(Q292-Q307,2)),"")</f>
        <v/>
      </c>
      <c r="R308" s="186">
        <f>IF(ISNUMBER(R292),IF(ABS(R292-R307)&lt;=0.015,0,ROUND(R292-R307,2)),"")</f>
        <v/>
      </c>
      <c r="S308" s="186">
        <f>IF(ISNUMBER(S292),IF(ABS(S292-S307)&lt;=0.015,0,ROUND(S292-S307,2)),"")</f>
        <v/>
      </c>
      <c r="T308" s="186">
        <f>IF(ISNUMBER(T292),IF(ABS(T292-T307)&lt;=0.015,0,ROUND(T292-T307,2)),"")</f>
        <v/>
      </c>
      <c r="U308" s="186">
        <f>IF(ISNUMBER(U292),IF(ABS(U292-U307)&lt;=0.015,0,ROUND(U292-U307,2)),"")</f>
        <v/>
      </c>
      <c r="V308" s="186">
        <f>IF(ISNUMBER(V292),IF(ABS(V292-V307)&lt;=0.015,0,ROUND(V292-V307,2)),"")</f>
        <v/>
      </c>
      <c r="W308" s="186">
        <f>IF(ISNUMBER(W292),IF(ABS(W292-W307)&lt;=0.015,0,ROUND(W292-W307,2)),"")</f>
        <v/>
      </c>
      <c r="X308" s="186">
        <f>IF(ISNUMBER(X292),IF(ABS(X292-X307)&lt;=0.015,0,ROUND(X292-X307,2)),"")</f>
        <v/>
      </c>
      <c r="Y308" s="186">
        <f>IF(ISNUMBER(Y292),IF(ABS(Y292-Y307)&lt;=0.015,0,ROUND(Y292-Y307,2)),"")</f>
        <v/>
      </c>
      <c r="Z308" s="186">
        <f>IF(ISNUMBER(Z292),IF(ABS(Z292-Z307)&lt;=0.015,0,ROUND(Z292-Z307,2)),"")</f>
        <v/>
      </c>
      <c r="AA308" s="186">
        <f>IF(ISNUMBER(AA292),IF(ABS(AA292-AA307)&lt;=0.015,0,ROUND(AA292-AA307,2)),"")</f>
        <v/>
      </c>
      <c r="AB308" s="186">
        <f>IF(ISNUMBER(AB292),IF(ABS(AB292-AB307)&lt;=0.015,0,ROUND(AB292-AB307,2)),"")</f>
        <v/>
      </c>
      <c r="AC308" s="186">
        <f>IF(ISNUMBER(AC292),IF(ABS(AC292-AC307)&lt;=0.015,0,ROUND(AC292-AC307,2)),"")</f>
        <v/>
      </c>
      <c r="AD308" s="186">
        <f>IF(ISNUMBER(AD292),IF(ABS(AD292-AD307)&lt;=0.015,0,ROUND(AD292-AD307,2)),"")</f>
        <v/>
      </c>
      <c r="AE308" s="186">
        <f>IF(ISNUMBER(AE292),IF(ABS(AE292-AE307)&lt;=0.015,0,ROUND(AE292-AE307,2)),"")</f>
        <v/>
      </c>
      <c r="AF308" s="186">
        <f>IF(ISNUMBER(AF292),IF(ABS(AF292-AF307)&lt;=0.015,0,ROUND(AF292-AF307,2)),"")</f>
        <v/>
      </c>
      <c r="AG308" s="186">
        <f>IF(ISNUMBER(AG292),IF(ABS(AG292-AG307)&lt;=0.015,0,ROUND(AG292-AG307,2)),"")</f>
        <v/>
      </c>
      <c r="AH308" s="186">
        <f>IF(ISNUMBER(AH292),IF(ABS(AH292-AH307)&lt;=0.015,0,ROUND(AH292-AH307,2)),"")</f>
        <v/>
      </c>
      <c r="AI308" s="6" t="n"/>
      <c r="AJ308" s="6" t="n"/>
      <c r="AK308" s="197">
        <f>IF(ISNUMBER(AK292),IF(ABS(AK292-AK307)&lt;=0.015,0,ROUND(AK292-AK307,2)),"")</f>
        <v/>
      </c>
      <c r="AL308" s="197">
        <f>IF(ISNUMBER(AL292),IF(ABS(AL292-AL307)&lt;=0.015,0,ROUND(AL292-AL307,2)),"")</f>
        <v/>
      </c>
      <c r="AM308" s="197">
        <f>IF(ISNUMBER(AM292),IF(ABS(AM292-AM307)&lt;=0.015,0,ROUND(AM292-AM307,2)),"")</f>
        <v/>
      </c>
      <c r="AN308" s="197">
        <f>IF(ISNUMBER(AN292),IF(ABS(AN292-AN307)&lt;=0.015,0,ROUND(AN292-AN307,2)),"")</f>
        <v/>
      </c>
      <c r="AO308" s="197">
        <f>IF(ISNUMBER(AO292),IF(ABS(AO292-AO307)&lt;=0.015,0,ROUND(AO292-AO307,2)),"")</f>
        <v/>
      </c>
      <c r="AP308" s="6" t="n"/>
    </row>
    <row r="309" ht="15" customHeight="1">
      <c r="B309" s="61" t="inlineStr">
        <is>
          <t xml:space="preserve">  Check: model total assets vs reported (should be 0)</t>
        </is>
      </c>
      <c r="C309" s="186">
        <f>IF(ISNUMBER(C310),ROUND(C292-C310,2),"")</f>
        <v/>
      </c>
      <c r="D309" s="186">
        <f>IF(ISNUMBER(D310),ROUND(D292-D310,2),"")</f>
        <v/>
      </c>
      <c r="E309" s="186">
        <f>IF(ISNUMBER(E310),ROUND(E292-E310,2),"")</f>
        <v/>
      </c>
      <c r="F309" s="186">
        <f>IF(ISNUMBER(F310),ROUND(F292-F310,2),"")</f>
        <v/>
      </c>
      <c r="G309" s="186">
        <f>IF(ISNUMBER(G310),ROUND(G292-G310,2),"")</f>
        <v/>
      </c>
      <c r="H309" s="186">
        <f>IF(ISNUMBER(H310),ROUND(H292-H310,2),"")</f>
        <v/>
      </c>
      <c r="I309" s="186">
        <f>IF(ISNUMBER(I310),ROUND(I292-I310,2),"")</f>
        <v/>
      </c>
      <c r="J309" s="186">
        <f>IF(ISNUMBER(J310),ROUND(J292-J310,2),"")</f>
        <v/>
      </c>
      <c r="K309" s="186">
        <f>IF(ISNUMBER(K310),ROUND(K292-K310,2),"")</f>
        <v/>
      </c>
      <c r="L309" s="186">
        <f>IF(ISNUMBER(L310),ROUND(L292-L310,2),"")</f>
        <v/>
      </c>
      <c r="M309" s="186">
        <f>IF(ISNUMBER(M310),ROUND(M292-M310,2),"")</f>
        <v/>
      </c>
      <c r="N309" s="186">
        <f>IF(ISNUMBER(N310),ROUND(N292-N310,2),"")</f>
        <v/>
      </c>
      <c r="O309" s="186">
        <f>IF(ISNUMBER(O310),ROUND(O292-O310,2),"")</f>
        <v/>
      </c>
      <c r="P309" s="186">
        <f>IF(ISNUMBER(P310),ROUND(P292-P310,2),"")</f>
        <v/>
      </c>
      <c r="Q309" s="186">
        <f>IF(ISNUMBER(Q310),ROUND(Q292-Q310,2),"")</f>
        <v/>
      </c>
      <c r="R309" s="186">
        <f>IF(ISNUMBER(R310),ROUND(R292-R310,2),"")</f>
        <v/>
      </c>
      <c r="S309" s="186">
        <f>IF(ISNUMBER(S310),ROUND(S292-S310,2),"")</f>
        <v/>
      </c>
      <c r="T309" s="186">
        <f>IF(ISNUMBER(T310),ROUND(T292-T310,2),"")</f>
        <v/>
      </c>
      <c r="U309" s="186">
        <f>IF(ISNUMBER(U310),ROUND(U292-U310,2),"")</f>
        <v/>
      </c>
      <c r="V309" s="186">
        <f>IF(ISNUMBER(V310),ROUND(V292-V310,2),"")</f>
        <v/>
      </c>
      <c r="W309" s="186">
        <f>IF(ISNUMBER(W310),ROUND(W292-W310,2),"")</f>
        <v/>
      </c>
      <c r="X309" s="186">
        <f>IF(ISNUMBER(X310),ROUND(X292-X310,2),"")</f>
        <v/>
      </c>
      <c r="Y309" s="186">
        <f>IF(ISNUMBER(Y310),ROUND(Y292-Y310,2),"")</f>
        <v/>
      </c>
      <c r="Z309" s="186">
        <f>IF(ISNUMBER(Z310),ROUND(Z292-Z310,2),"")</f>
        <v/>
      </c>
      <c r="AA309" s="186">
        <f>IF(ISNUMBER(AA310),ROUND(AA292-AA310,2),"")</f>
        <v/>
      </c>
      <c r="AB309" s="186">
        <f>IF(ISNUMBER(AB310),ROUND(AB292-AB310,2),"")</f>
        <v/>
      </c>
      <c r="AC309" s="186">
        <f>IF(ISNUMBER(AC310),ROUND(AC292-AC310,2),"")</f>
        <v/>
      </c>
      <c r="AD309" s="186">
        <f>IF(ISNUMBER(AD310),ROUND(AD292-AD310,2),"")</f>
        <v/>
      </c>
      <c r="AE309" s="186">
        <f>IF(ISNUMBER(AE310),ROUND(AE292-AE310,2),"")</f>
        <v/>
      </c>
      <c r="AF309" s="186">
        <f>IF(ISNUMBER(AF310),ROUND(AF292-AF310,2),"")</f>
        <v/>
      </c>
      <c r="AG309" s="186">
        <f>IF(ISNUMBER(AG310),ROUND(AG292-AG310,2),"")</f>
        <v/>
      </c>
      <c r="AH309" s="186">
        <f>IF(ISNUMBER(AH310),ROUND(AH292-AH310,2),"")</f>
        <v/>
      </c>
      <c r="AI309" s="6" t="n"/>
      <c r="AJ309" s="6" t="n"/>
      <c r="AK309" s="6" t="n"/>
      <c r="AL309" s="6" t="n"/>
      <c r="AM309" s="6" t="n"/>
      <c r="AN309" s="6" t="n"/>
      <c r="AO309" s="6" t="n"/>
      <c r="AP309" s="6" t="n"/>
    </row>
    <row r="310" ht="15" customHeight="1">
      <c r="B310" s="42" t="inlineStr">
        <is>
          <t xml:space="preserve">  Memo: total assets as reported</t>
        </is>
      </c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174" t="n">
        <v>994.521</v>
      </c>
      <c r="Q310" s="174" t="n">
        <v>994.521</v>
      </c>
      <c r="R310" s="36" t="n"/>
      <c r="S310" s="36" t="n"/>
      <c r="T310" s="36" t="n"/>
      <c r="U310" s="174" t="n">
        <v>1050.445</v>
      </c>
      <c r="V310" s="174" t="n">
        <v>1050.445</v>
      </c>
      <c r="W310" s="174" t="n">
        <v>1053.96</v>
      </c>
      <c r="X310" s="174" t="n">
        <v>1100.325</v>
      </c>
      <c r="Y310" s="174" t="n">
        <v>1472.047</v>
      </c>
      <c r="Z310" s="174" t="n">
        <v>1450.618</v>
      </c>
      <c r="AA310" s="174" t="n">
        <v>1450.618</v>
      </c>
      <c r="AB310" s="174" t="n">
        <v>1478.805</v>
      </c>
      <c r="AC310" s="174" t="n">
        <v>1498.223</v>
      </c>
      <c r="AD310" s="174" t="n">
        <v>1534.046</v>
      </c>
      <c r="AE310" s="174" t="n">
        <v>2029.875</v>
      </c>
      <c r="AF310" s="174" t="n">
        <v>2029.875</v>
      </c>
      <c r="AG310" s="174" t="n">
        <v>2298.355</v>
      </c>
      <c r="AH310" s="174" t="n">
        <v>2326.048</v>
      </c>
      <c r="AI310" s="6" t="n"/>
      <c r="AJ310" s="6" t="n"/>
      <c r="AK310" s="6" t="n"/>
      <c r="AL310" s="6" t="n"/>
      <c r="AM310" s="6" t="n"/>
      <c r="AN310" s="6" t="n"/>
      <c r="AO310" s="6" t="n"/>
      <c r="AP310" s="6" t="n"/>
    </row>
    <row r="311" ht="15" customHeight="1">
      <c r="B311" s="61" t="inlineStr">
        <is>
          <t xml:space="preserve">  Check: BS cash vs cash-flow ending cash (should be 0)</t>
        </is>
      </c>
      <c r="C311" s="186">
        <f>IF(AND(ISNUMBER(C283),ISNUMBER(C257)),ROUND(C283-C257,2),"")</f>
        <v/>
      </c>
      <c r="D311" s="186">
        <f>IF(AND(ISNUMBER(D283),ISNUMBER(D257)),ROUND(D283-D257,2),"")</f>
        <v/>
      </c>
      <c r="E311" s="186">
        <f>IF(AND(ISNUMBER(E283),ISNUMBER(E257)),ROUND(E283-E257,2),"")</f>
        <v/>
      </c>
      <c r="F311" s="186">
        <f>IF(AND(ISNUMBER(F283),ISNUMBER(F257)),ROUND(F283-F257,2),"")</f>
        <v/>
      </c>
      <c r="G311" s="186">
        <f>IF(AND(ISNUMBER(G283),ISNUMBER(G257)),ROUND(G283-G257,2),"")</f>
        <v/>
      </c>
      <c r="H311" s="186">
        <f>IF(AND(ISNUMBER(H283),ISNUMBER(H257)),ROUND(H283-H257,2),"")</f>
        <v/>
      </c>
      <c r="I311" s="186">
        <f>IF(AND(ISNUMBER(I283),ISNUMBER(I257)),ROUND(I283-I257,2),"")</f>
        <v/>
      </c>
      <c r="J311" s="186">
        <f>IF(AND(ISNUMBER(J283),ISNUMBER(J257)),ROUND(J283-J257,2),"")</f>
        <v/>
      </c>
      <c r="K311" s="186">
        <f>IF(AND(ISNUMBER(K283),ISNUMBER(K257)),ROUND(K283-K257,2),"")</f>
        <v/>
      </c>
      <c r="L311" s="186">
        <f>IF(AND(ISNUMBER(L283),ISNUMBER(L257)),ROUND(L283-L257,2),"")</f>
        <v/>
      </c>
      <c r="M311" s="186">
        <f>IF(AND(ISNUMBER(M283),ISNUMBER(M257)),ROUND(M283-M257,2),"")</f>
        <v/>
      </c>
      <c r="N311" s="186">
        <f>IF(AND(ISNUMBER(N283),ISNUMBER(N257)),ROUND(N283-N257,2),"")</f>
        <v/>
      </c>
      <c r="O311" s="186">
        <f>IF(AND(ISNUMBER(O283),ISNUMBER(O257)),ROUND(O283-O257,2),"")</f>
        <v/>
      </c>
      <c r="P311" s="186">
        <f>IF(AND(ISNUMBER(P283),ISNUMBER(P257)),ROUND(P283-P257,2),"")</f>
        <v/>
      </c>
      <c r="Q311" s="186">
        <f>IF(AND(ISNUMBER(Q283),ISNUMBER(Q257)),ROUND(Q283-Q257,2),"")</f>
        <v/>
      </c>
      <c r="R311" s="186">
        <f>IF(AND(ISNUMBER(R283),ISNUMBER(R257)),ROUND(R283-R257,2),"")</f>
        <v/>
      </c>
      <c r="S311" s="186">
        <f>IF(AND(ISNUMBER(S283),ISNUMBER(S257)),ROUND(S283-S257,2),"")</f>
        <v/>
      </c>
      <c r="T311" s="186">
        <f>IF(AND(ISNUMBER(T283),ISNUMBER(T257)),ROUND(T283-T257,2),"")</f>
        <v/>
      </c>
      <c r="U311" s="186">
        <f>IF(AND(ISNUMBER(U283),ISNUMBER(U257)),ROUND(U283-U257,2),"")</f>
        <v/>
      </c>
      <c r="V311" s="186">
        <f>IF(AND(ISNUMBER(V283),ISNUMBER(V257)),ROUND(V283-V257,2),"")</f>
        <v/>
      </c>
      <c r="W311" s="186">
        <f>IF(AND(ISNUMBER(W283),ISNUMBER(W257)),ROUND(W283-W257,2),"")</f>
        <v/>
      </c>
      <c r="X311" s="186">
        <f>IF(AND(ISNUMBER(X283),ISNUMBER(X257)),ROUND(X283-X257,2),"")</f>
        <v/>
      </c>
      <c r="Y311" s="186">
        <f>IF(AND(ISNUMBER(Y283),ISNUMBER(Y257)),ROUND(Y283-Y257,2),"")</f>
        <v/>
      </c>
      <c r="Z311" s="186">
        <f>IF(AND(ISNUMBER(Z283),ISNUMBER(Z257)),ROUND(Z283-Z257,2),"")</f>
        <v/>
      </c>
      <c r="AA311" s="186">
        <f>IF(AND(ISNUMBER(AA283),ISNUMBER(AA257)),ROUND(AA283-AA257,2),"")</f>
        <v/>
      </c>
      <c r="AB311" s="186">
        <f>IF(AND(ISNUMBER(AB283),ISNUMBER(AB257)),ROUND(AB283-AB257,2),"")</f>
        <v/>
      </c>
      <c r="AC311" s="186">
        <f>IF(AND(ISNUMBER(AC283),ISNUMBER(AC257)),ROUND(AC283-AC257,2),"")</f>
        <v/>
      </c>
      <c r="AD311" s="186">
        <f>IF(AND(ISNUMBER(AD283),ISNUMBER(AD257)),ROUND(AD283-AD257,2),"")</f>
        <v/>
      </c>
      <c r="AE311" s="186">
        <f>IF(AND(ISNUMBER(AE283),ISNUMBER(AE257)),ROUND(AE283-AE257,2),"")</f>
        <v/>
      </c>
      <c r="AF311" s="186">
        <f>IF(AND(ISNUMBER(AF283),ISNUMBER(AF257)),ROUND(AF283-AF257,2),"")</f>
        <v/>
      </c>
      <c r="AG311" s="186">
        <f>IF(AND(ISNUMBER(AG283),ISNUMBER(AG257)),ROUND(AG283-AG257,2),"")</f>
        <v/>
      </c>
      <c r="AH311" s="186">
        <f>IF(AND(ISNUMBER(AH283),ISNUMBER(AH257)),ROUND(AH283-AH257,2),"")</f>
        <v/>
      </c>
      <c r="AI311" s="6" t="n"/>
      <c r="AJ311" s="6" t="n"/>
      <c r="AK311" s="197">
        <f>IF(AND(ISNUMBER(AK283),ISNUMBER(AK257)),ROUND(AK283-AK257,2),"")</f>
        <v/>
      </c>
      <c r="AL311" s="197">
        <f>IF(AND(ISNUMBER(AL283),ISNUMBER(AL257)),ROUND(AL283-AL257,2),"")</f>
        <v/>
      </c>
      <c r="AM311" s="197">
        <f>IF(AND(ISNUMBER(AM283),ISNUMBER(AM257)),ROUND(AM283-AM257,2),"")</f>
        <v/>
      </c>
      <c r="AN311" s="197">
        <f>IF(AND(ISNUMBER(AN283),ISNUMBER(AN257)),ROUND(AN283-AN257,2),"")</f>
        <v/>
      </c>
      <c r="AO311" s="197">
        <f>IF(AND(ISNUMBER(AO283),ISNUMBER(AO257)),ROUND(AO283-AO257,2),"")</f>
        <v/>
      </c>
      <c r="AP311" s="6" t="n"/>
    </row>
    <row r="312" ht="15" customHeight="1">
      <c r="B312" s="42" t="inlineStr">
        <is>
          <t xml:space="preserve">  Memo: common shares outstanding at period end (m)</t>
        </is>
      </c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174" t="n">
        <v>93.622471</v>
      </c>
      <c r="AD312" s="174" t="n">
        <v>93.622471</v>
      </c>
      <c r="AE312" s="174" t="n">
        <v>93.622471</v>
      </c>
      <c r="AF312" s="174" t="n">
        <v>93.622471</v>
      </c>
      <c r="AG312" s="174" t="n">
        <v>93.624471</v>
      </c>
      <c r="AH312" s="174" t="n">
        <v>93.684471</v>
      </c>
      <c r="AI312" s="6" t="n"/>
      <c r="AJ312" s="6" t="n"/>
      <c r="AK312" s="197">
        <f>AK277</f>
        <v/>
      </c>
      <c r="AL312" s="197">
        <f>AL277</f>
        <v/>
      </c>
      <c r="AM312" s="197">
        <f>AM277</f>
        <v/>
      </c>
      <c r="AN312" s="197">
        <f>AN277</f>
        <v/>
      </c>
      <c r="AO312" s="197">
        <f>AO277</f>
        <v/>
      </c>
      <c r="AP312" s="6" t="n"/>
    </row>
    <row r="313" ht="15" customHeight="1">
      <c r="B313" s="42" t="inlineStr">
        <is>
          <t xml:space="preserve">  Memo: finance lease liabilities (current + long-term; in net debt)</t>
        </is>
      </c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174" t="n">
        <v>3.745</v>
      </c>
      <c r="Q313" s="174" t="n">
        <v>3.745</v>
      </c>
      <c r="R313" s="36" t="n"/>
      <c r="S313" s="36" t="n"/>
      <c r="T313" s="36" t="n"/>
      <c r="U313" s="174" t="n">
        <v>3.591</v>
      </c>
      <c r="V313" s="174" t="n">
        <v>3.591</v>
      </c>
      <c r="W313" s="174" t="n">
        <v>3.547</v>
      </c>
      <c r="X313" s="174" t="n">
        <v>3.501</v>
      </c>
      <c r="Y313" s="174" t="n">
        <v>3.455</v>
      </c>
      <c r="Z313" s="174" t="n">
        <v>3.402</v>
      </c>
      <c r="AA313" s="174" t="n">
        <v>3.402</v>
      </c>
      <c r="AB313" s="174" t="n">
        <v>3.347</v>
      </c>
      <c r="AC313" s="174" t="n">
        <v>3.291</v>
      </c>
      <c r="AD313" s="174" t="n">
        <v>3.228</v>
      </c>
      <c r="AE313" s="174" t="n">
        <v>3.17</v>
      </c>
      <c r="AF313" s="174" t="n">
        <v>3.17</v>
      </c>
      <c r="AG313" s="174" t="n">
        <v>3.101</v>
      </c>
      <c r="AH313" s="174" t="n">
        <v>3.036</v>
      </c>
      <c r="AI313" s="6" t="n"/>
      <c r="AJ313" s="6" t="n"/>
      <c r="AK313" s="197">
        <f>AH313</f>
        <v/>
      </c>
      <c r="AL313" s="197">
        <f>AK313</f>
        <v/>
      </c>
      <c r="AM313" s="197">
        <f>AL313</f>
        <v/>
      </c>
      <c r="AN313" s="197">
        <f>AM313</f>
        <v/>
      </c>
      <c r="AO313" s="197">
        <f>AN313</f>
        <v/>
      </c>
      <c r="AP313" s="6" t="n"/>
    </row>
    <row r="314" ht="15" customHeight="1">
      <c r="AX314" s="12" t="n"/>
      <c r="AY314" s="13" t="n"/>
      <c r="AZ314" s="13" t="n"/>
      <c r="BA314" s="13" t="n"/>
      <c r="BB314" s="14" t="n"/>
    </row>
    <row r="315" ht="15" customHeight="1">
      <c r="B315" s="11" t="inlineStr">
        <is>
          <t>WORKING CAPITAL &amp; CASH CONVERSION</t>
        </is>
      </c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inlineStr">
        <is>
          <t>WORKING CAPITAL — forecast drivers (blue = input)</t>
        </is>
      </c>
    </row>
    <row r="316" ht="15" customHeight="1">
      <c r="B316" s="26" t="inlineStr">
        <is>
          <t xml:space="preserve">  Net sales — annualised (quarters × 4)</t>
        </is>
      </c>
      <c r="C316" s="186">
        <f>IF(ISNUMBER(C127),C127*1,"")</f>
        <v/>
      </c>
      <c r="D316" s="186">
        <f>IF(ISNUMBER(D127),D127*1,"")</f>
        <v/>
      </c>
      <c r="E316" s="186">
        <f>IF(ISNUMBER(E127),E127*1,"")</f>
        <v/>
      </c>
      <c r="F316" s="186">
        <f>IF(ISNUMBER(F127),F127*1,"")</f>
        <v/>
      </c>
      <c r="G316" s="186">
        <f>IF(ISNUMBER(G127),G127*1,"")</f>
        <v/>
      </c>
      <c r="H316" s="186">
        <f>IF(ISNUMBER(H127),H127*1,"")</f>
        <v/>
      </c>
      <c r="I316" s="186">
        <f>IF(ISNUMBER(I127),I127*1,"")</f>
        <v/>
      </c>
      <c r="J316" s="186">
        <f>IF(ISNUMBER(J127),J127*1,"")</f>
        <v/>
      </c>
      <c r="K316" s="186">
        <f>IF(ISNUMBER(K127),K127*1,"")</f>
        <v/>
      </c>
      <c r="L316" s="186">
        <f>IF(ISNUMBER(L127),L127*1,"")</f>
        <v/>
      </c>
      <c r="M316" s="186">
        <f>IF(ISNUMBER(M127),M127*4,"")</f>
        <v/>
      </c>
      <c r="N316" s="186">
        <f>IF(ISNUMBER(N127),N127*4,"")</f>
        <v/>
      </c>
      <c r="O316" s="186">
        <f>IF(ISNUMBER(O127),O127*4,"")</f>
        <v/>
      </c>
      <c r="P316" s="186">
        <f>IF(ISNUMBER(P127),P127*4,"")</f>
        <v/>
      </c>
      <c r="Q316" s="186">
        <f>IF(ISNUMBER(Q127),Q127*1,"")</f>
        <v/>
      </c>
      <c r="R316" s="186">
        <f>IF(ISNUMBER(R127),R127*4,"")</f>
        <v/>
      </c>
      <c r="S316" s="186">
        <f>IF(ISNUMBER(S127),S127*4,"")</f>
        <v/>
      </c>
      <c r="T316" s="186">
        <f>IF(ISNUMBER(T127),T127*4,"")</f>
        <v/>
      </c>
      <c r="U316" s="186">
        <f>IF(ISNUMBER(U127),U127*4,"")</f>
        <v/>
      </c>
      <c r="V316" s="186">
        <f>IF(ISNUMBER(V127),V127*1,"")</f>
        <v/>
      </c>
      <c r="W316" s="186">
        <f>IF(ISNUMBER(W127),W127*4,"")</f>
        <v/>
      </c>
      <c r="X316" s="186">
        <f>IF(ISNUMBER(X127),X127*4,"")</f>
        <v/>
      </c>
      <c r="Y316" s="186">
        <f>IF(ISNUMBER(Y127),Y127*4,"")</f>
        <v/>
      </c>
      <c r="Z316" s="186">
        <f>IF(ISNUMBER(Z127),Z127*4,"")</f>
        <v/>
      </c>
      <c r="AA316" s="186">
        <f>IF(ISNUMBER(AA127),AA127*1,"")</f>
        <v/>
      </c>
      <c r="AB316" s="186">
        <f>IF(ISNUMBER(AB127),AB127*4,"")</f>
        <v/>
      </c>
      <c r="AC316" s="186">
        <f>IF(ISNUMBER(AC127),AC127*4,"")</f>
        <v/>
      </c>
      <c r="AD316" s="186">
        <f>IF(ISNUMBER(AD127),AD127*4,"")</f>
        <v/>
      </c>
      <c r="AE316" s="186">
        <f>IF(ISNUMBER(AE127),AE127*4,"")</f>
        <v/>
      </c>
      <c r="AF316" s="186">
        <f>IF(ISNUMBER(AF127),AF127*1,"")</f>
        <v/>
      </c>
      <c r="AG316" s="186">
        <f>IF(ISNUMBER(AG127),AG127*4,"")</f>
        <v/>
      </c>
      <c r="AH316" s="186">
        <f>IF(ISNUMBER(AH127),AH127*4,"")</f>
        <v/>
      </c>
      <c r="AI316" s="37" t="n"/>
      <c r="AJ316" s="37" t="n"/>
      <c r="AK316" s="175">
        <f>IF(ISNUMBER(AK127),AK127*1,"")</f>
        <v/>
      </c>
      <c r="AL316" s="175">
        <f>IF(ISNUMBER(AL127),AL127*1,"")</f>
        <v/>
      </c>
      <c r="AM316" s="175">
        <f>IF(ISNUMBER(AM127),AM127*1,"")</f>
        <v/>
      </c>
      <c r="AN316" s="175">
        <f>IF(ISNUMBER(AN127),AN127*1,"")</f>
        <v/>
      </c>
      <c r="AO316" s="175">
        <f>IF(ISNUMBER(AO127),AO127*1,"")</f>
        <v/>
      </c>
      <c r="AP316" s="20" t="n"/>
    </row>
    <row r="317" ht="15" customHeight="1">
      <c r="B317" s="26" t="inlineStr">
        <is>
          <t xml:space="preserve">  Cost of sales — annualised</t>
        </is>
      </c>
      <c r="C317" s="186">
        <f>IF(ISNUMBER(C128),C128*1,"")</f>
        <v/>
      </c>
      <c r="D317" s="186">
        <f>IF(ISNUMBER(D128),D128*1,"")</f>
        <v/>
      </c>
      <c r="E317" s="186">
        <f>IF(ISNUMBER(E128),E128*1,"")</f>
        <v/>
      </c>
      <c r="F317" s="186">
        <f>IF(ISNUMBER(F128),F128*1,"")</f>
        <v/>
      </c>
      <c r="G317" s="186">
        <f>IF(ISNUMBER(G128),G128*1,"")</f>
        <v/>
      </c>
      <c r="H317" s="186">
        <f>IF(ISNUMBER(H128),H128*1,"")</f>
        <v/>
      </c>
      <c r="I317" s="186">
        <f>IF(ISNUMBER(I128),I128*1,"")</f>
        <v/>
      </c>
      <c r="J317" s="186">
        <f>IF(ISNUMBER(J128),J128*1,"")</f>
        <v/>
      </c>
      <c r="K317" s="186">
        <f>IF(ISNUMBER(K128),K128*1,"")</f>
        <v/>
      </c>
      <c r="L317" s="186">
        <f>IF(ISNUMBER(L128),L128*1,"")</f>
        <v/>
      </c>
      <c r="M317" s="186">
        <f>IF(ISNUMBER(M128),M128*4,"")</f>
        <v/>
      </c>
      <c r="N317" s="186">
        <f>IF(ISNUMBER(N128),N128*4,"")</f>
        <v/>
      </c>
      <c r="O317" s="186">
        <f>IF(ISNUMBER(O128),O128*4,"")</f>
        <v/>
      </c>
      <c r="P317" s="186">
        <f>IF(ISNUMBER(P128),P128*4,"")</f>
        <v/>
      </c>
      <c r="Q317" s="186">
        <f>IF(ISNUMBER(Q128),Q128*1,"")</f>
        <v/>
      </c>
      <c r="R317" s="186">
        <f>IF(ISNUMBER(R128),R128*4,"")</f>
        <v/>
      </c>
      <c r="S317" s="186">
        <f>IF(ISNUMBER(S128),S128*4,"")</f>
        <v/>
      </c>
      <c r="T317" s="186">
        <f>IF(ISNUMBER(T128),T128*4,"")</f>
        <v/>
      </c>
      <c r="U317" s="186">
        <f>IF(ISNUMBER(U128),U128*4,"")</f>
        <v/>
      </c>
      <c r="V317" s="186">
        <f>IF(ISNUMBER(V128),V128*1,"")</f>
        <v/>
      </c>
      <c r="W317" s="186">
        <f>IF(ISNUMBER(W128),W128*4,"")</f>
        <v/>
      </c>
      <c r="X317" s="186">
        <f>IF(ISNUMBER(X128),X128*4,"")</f>
        <v/>
      </c>
      <c r="Y317" s="186">
        <f>IF(ISNUMBER(Y128),Y128*4,"")</f>
        <v/>
      </c>
      <c r="Z317" s="186">
        <f>IF(ISNUMBER(Z128),Z128*4,"")</f>
        <v/>
      </c>
      <c r="AA317" s="186">
        <f>IF(ISNUMBER(AA128),AA128*1,"")</f>
        <v/>
      </c>
      <c r="AB317" s="186">
        <f>IF(ISNUMBER(AB128),AB128*4,"")</f>
        <v/>
      </c>
      <c r="AC317" s="186">
        <f>IF(ISNUMBER(AC128),AC128*4,"")</f>
        <v/>
      </c>
      <c r="AD317" s="186">
        <f>IF(ISNUMBER(AD128),AD128*4,"")</f>
        <v/>
      </c>
      <c r="AE317" s="186">
        <f>IF(ISNUMBER(AE128),AE128*4,"")</f>
        <v/>
      </c>
      <c r="AF317" s="186">
        <f>IF(ISNUMBER(AF128),AF128*1,"")</f>
        <v/>
      </c>
      <c r="AG317" s="186">
        <f>IF(ISNUMBER(AG128),AG128*4,"")</f>
        <v/>
      </c>
      <c r="AH317" s="186">
        <f>IF(ISNUMBER(AH128),AH128*4,"")</f>
        <v/>
      </c>
      <c r="AI317" s="37" t="n"/>
      <c r="AJ317" s="37" t="n"/>
      <c r="AK317" s="175">
        <f>IF(ISNUMBER(AK128),AK128*1,"")</f>
        <v/>
      </c>
      <c r="AL317" s="175">
        <f>IF(ISNUMBER(AL128),AL128*1,"")</f>
        <v/>
      </c>
      <c r="AM317" s="175">
        <f>IF(ISNUMBER(AM128),AM128*1,"")</f>
        <v/>
      </c>
      <c r="AN317" s="175">
        <f>IF(ISNUMBER(AN128),AN128*1,"")</f>
        <v/>
      </c>
      <c r="AO317" s="175">
        <f>IF(ISNUMBER(AO128),AO128*1,"")</f>
        <v/>
      </c>
      <c r="AP317" s="20" t="n"/>
    </row>
    <row r="318" ht="15" customHeight="1">
      <c r="B318" s="26" t="inlineStr">
        <is>
          <t xml:space="preserve">  DSO — receivables / net sales × 365</t>
        </is>
      </c>
      <c r="C318" s="211">
        <f>IFERROR(C284/C316*365,"")</f>
        <v/>
      </c>
      <c r="D318" s="211">
        <f>IFERROR(D284/D316*365,"")</f>
        <v/>
      </c>
      <c r="E318" s="211">
        <f>IFERROR(E284/E316*365,"")</f>
        <v/>
      </c>
      <c r="F318" s="211">
        <f>IFERROR(F284/F316*365,"")</f>
        <v/>
      </c>
      <c r="G318" s="211">
        <f>IFERROR(G284/G316*365,"")</f>
        <v/>
      </c>
      <c r="H318" s="211">
        <f>IFERROR(H284/H316*365,"")</f>
        <v/>
      </c>
      <c r="I318" s="211">
        <f>IFERROR(I284/I316*365,"")</f>
        <v/>
      </c>
      <c r="J318" s="211">
        <f>IFERROR(J284/J316*365,"")</f>
        <v/>
      </c>
      <c r="K318" s="211">
        <f>IFERROR(K284/K316*365,"")</f>
        <v/>
      </c>
      <c r="L318" s="211">
        <f>IFERROR(L284/L316*365,"")</f>
        <v/>
      </c>
      <c r="M318" s="211">
        <f>IFERROR(M284/M316*365,"")</f>
        <v/>
      </c>
      <c r="N318" s="211">
        <f>IFERROR(N284/N316*365,"")</f>
        <v/>
      </c>
      <c r="O318" s="211">
        <f>IFERROR(O284/O316*365,"")</f>
        <v/>
      </c>
      <c r="P318" s="211">
        <f>IFERROR(P284/P316*365,"")</f>
        <v/>
      </c>
      <c r="Q318" s="211">
        <f>IFERROR(Q284/Q316*365,"")</f>
        <v/>
      </c>
      <c r="R318" s="211">
        <f>IFERROR(R284/R316*365,"")</f>
        <v/>
      </c>
      <c r="S318" s="211">
        <f>IFERROR(S284/S316*365,"")</f>
        <v/>
      </c>
      <c r="T318" s="211">
        <f>IFERROR(T284/T316*365,"")</f>
        <v/>
      </c>
      <c r="U318" s="211">
        <f>IFERROR(U284/U316*365,"")</f>
        <v/>
      </c>
      <c r="V318" s="211">
        <f>IFERROR(V284/V316*365,"")</f>
        <v/>
      </c>
      <c r="W318" s="211">
        <f>IFERROR(W284/W316*365,"")</f>
        <v/>
      </c>
      <c r="X318" s="211">
        <f>IFERROR(X284/X316*365,"")</f>
        <v/>
      </c>
      <c r="Y318" s="211">
        <f>IFERROR(Y284/Y316*365,"")</f>
        <v/>
      </c>
      <c r="Z318" s="211">
        <f>IFERROR(Z284/Z316*365,"")</f>
        <v/>
      </c>
      <c r="AA318" s="211">
        <f>IFERROR(AA284/AA316*365,"")</f>
        <v/>
      </c>
      <c r="AB318" s="211">
        <f>IFERROR(AB284/AB316*365,"")</f>
        <v/>
      </c>
      <c r="AC318" s="211">
        <f>IFERROR(AC284/AC316*365,"")</f>
        <v/>
      </c>
      <c r="AD318" s="211">
        <f>IFERROR(AD284/AD316*365,"")</f>
        <v/>
      </c>
      <c r="AE318" s="211">
        <f>IFERROR(AE284/AE316*365,"")</f>
        <v/>
      </c>
      <c r="AF318" s="211">
        <f>IFERROR(AF284/AF316*365,"")</f>
        <v/>
      </c>
      <c r="AG318" s="211">
        <f>IFERROR(AG284/AG316*365,"")</f>
        <v/>
      </c>
      <c r="AH318" s="211">
        <f>IFERROR(AH284/AH316*365,"")</f>
        <v/>
      </c>
      <c r="AI318" s="37" t="n"/>
      <c r="AJ318" s="37" t="n"/>
      <c r="AK318" s="212" t="n">
        <v>60</v>
      </c>
      <c r="AL318" s="212" t="n">
        <v>60</v>
      </c>
      <c r="AM318" s="212" t="n">
        <v>60</v>
      </c>
      <c r="AN318" s="212" t="n">
        <v>60</v>
      </c>
      <c r="AO318" s="212" t="n">
        <v>60</v>
      </c>
      <c r="AP318" s="20" t="n"/>
    </row>
    <row r="319" ht="15" customHeight="1">
      <c r="B319" s="26" t="inlineStr">
        <is>
          <t xml:space="preserve">  Inventory days — inventories / cost of sales × 365</t>
        </is>
      </c>
      <c r="C319" s="211">
        <f>IFERROR(C285/C317*365,"")</f>
        <v/>
      </c>
      <c r="D319" s="211">
        <f>IFERROR(D285/D317*365,"")</f>
        <v/>
      </c>
      <c r="E319" s="211">
        <f>IFERROR(E285/E317*365,"")</f>
        <v/>
      </c>
      <c r="F319" s="211">
        <f>IFERROR(F285/F317*365,"")</f>
        <v/>
      </c>
      <c r="G319" s="211">
        <f>IFERROR(G285/G317*365,"")</f>
        <v/>
      </c>
      <c r="H319" s="211">
        <f>IFERROR(H285/H317*365,"")</f>
        <v/>
      </c>
      <c r="I319" s="211">
        <f>IFERROR(I285/I317*365,"")</f>
        <v/>
      </c>
      <c r="J319" s="211">
        <f>IFERROR(J285/J317*365,"")</f>
        <v/>
      </c>
      <c r="K319" s="211">
        <f>IFERROR(K285/K317*365,"")</f>
        <v/>
      </c>
      <c r="L319" s="211">
        <f>IFERROR(L285/L317*365,"")</f>
        <v/>
      </c>
      <c r="M319" s="211">
        <f>IFERROR(M285/M317*365,"")</f>
        <v/>
      </c>
      <c r="N319" s="211">
        <f>IFERROR(N285/N317*365,"")</f>
        <v/>
      </c>
      <c r="O319" s="211">
        <f>IFERROR(O285/O317*365,"")</f>
        <v/>
      </c>
      <c r="P319" s="211">
        <f>IFERROR(P285/P317*365,"")</f>
        <v/>
      </c>
      <c r="Q319" s="211">
        <f>IFERROR(Q285/Q317*365,"")</f>
        <v/>
      </c>
      <c r="R319" s="211">
        <f>IFERROR(R285/R317*365,"")</f>
        <v/>
      </c>
      <c r="S319" s="211">
        <f>IFERROR(S285/S317*365,"")</f>
        <v/>
      </c>
      <c r="T319" s="211">
        <f>IFERROR(T285/T317*365,"")</f>
        <v/>
      </c>
      <c r="U319" s="211">
        <f>IFERROR(U285/U317*365,"")</f>
        <v/>
      </c>
      <c r="V319" s="211">
        <f>IFERROR(V285/V317*365,"")</f>
        <v/>
      </c>
      <c r="W319" s="211">
        <f>IFERROR(W285/W317*365,"")</f>
        <v/>
      </c>
      <c r="X319" s="211">
        <f>IFERROR(X285/X317*365,"")</f>
        <v/>
      </c>
      <c r="Y319" s="211">
        <f>IFERROR(Y285/Y317*365,"")</f>
        <v/>
      </c>
      <c r="Z319" s="211">
        <f>IFERROR(Z285/Z317*365,"")</f>
        <v/>
      </c>
      <c r="AA319" s="211">
        <f>IFERROR(AA285/AA317*365,"")</f>
        <v/>
      </c>
      <c r="AB319" s="211">
        <f>IFERROR(AB285/AB317*365,"")</f>
        <v/>
      </c>
      <c r="AC319" s="211">
        <f>IFERROR(AC285/AC317*365,"")</f>
        <v/>
      </c>
      <c r="AD319" s="211">
        <f>IFERROR(AD285/AD317*365,"")</f>
        <v/>
      </c>
      <c r="AE319" s="211">
        <f>IFERROR(AE285/AE317*365,"")</f>
        <v/>
      </c>
      <c r="AF319" s="211">
        <f>IFERROR(AF285/AF317*365,"")</f>
        <v/>
      </c>
      <c r="AG319" s="211">
        <f>IFERROR(AG285/AG317*365,"")</f>
        <v/>
      </c>
      <c r="AH319" s="211">
        <f>IFERROR(AH285/AH317*365,"")</f>
        <v/>
      </c>
      <c r="AI319" s="37" t="n"/>
      <c r="AJ319" s="37" t="n"/>
      <c r="AK319" s="212" t="n">
        <v>148</v>
      </c>
      <c r="AL319" s="212" t="n">
        <v>148</v>
      </c>
      <c r="AM319" s="212" t="n">
        <v>148</v>
      </c>
      <c r="AN319" s="212" t="n">
        <v>148</v>
      </c>
      <c r="AO319" s="212" t="n">
        <v>148</v>
      </c>
      <c r="AP319" s="20" t="n"/>
    </row>
    <row r="320" ht="15" customHeight="1">
      <c r="B320" s="26" t="inlineStr">
        <is>
          <t xml:space="preserve">  Payable days — payables / cost of sales × 365</t>
        </is>
      </c>
      <c r="C320" s="211">
        <f>IFERROR(C294/C317*365,"")</f>
        <v/>
      </c>
      <c r="D320" s="211">
        <f>IFERROR(D294/D317*365,"")</f>
        <v/>
      </c>
      <c r="E320" s="211">
        <f>IFERROR(E294/E317*365,"")</f>
        <v/>
      </c>
      <c r="F320" s="211">
        <f>IFERROR(F294/F317*365,"")</f>
        <v/>
      </c>
      <c r="G320" s="211">
        <f>IFERROR(G294/G317*365,"")</f>
        <v/>
      </c>
      <c r="H320" s="211">
        <f>IFERROR(H294/H317*365,"")</f>
        <v/>
      </c>
      <c r="I320" s="211">
        <f>IFERROR(I294/I317*365,"")</f>
        <v/>
      </c>
      <c r="J320" s="211">
        <f>IFERROR(J294/J317*365,"")</f>
        <v/>
      </c>
      <c r="K320" s="211">
        <f>IFERROR(K294/K317*365,"")</f>
        <v/>
      </c>
      <c r="L320" s="211">
        <f>IFERROR(L294/L317*365,"")</f>
        <v/>
      </c>
      <c r="M320" s="211">
        <f>IFERROR(M294/M317*365,"")</f>
        <v/>
      </c>
      <c r="N320" s="211">
        <f>IFERROR(N294/N317*365,"")</f>
        <v/>
      </c>
      <c r="O320" s="211">
        <f>IFERROR(O294/O317*365,"")</f>
        <v/>
      </c>
      <c r="P320" s="211">
        <f>IFERROR(P294/P317*365,"")</f>
        <v/>
      </c>
      <c r="Q320" s="211">
        <f>IFERROR(Q294/Q317*365,"")</f>
        <v/>
      </c>
      <c r="R320" s="211">
        <f>IFERROR(R294/R317*365,"")</f>
        <v/>
      </c>
      <c r="S320" s="211">
        <f>IFERROR(S294/S317*365,"")</f>
        <v/>
      </c>
      <c r="T320" s="211">
        <f>IFERROR(T294/T317*365,"")</f>
        <v/>
      </c>
      <c r="U320" s="211">
        <f>IFERROR(U294/U317*365,"")</f>
        <v/>
      </c>
      <c r="V320" s="211">
        <f>IFERROR(V294/V317*365,"")</f>
        <v/>
      </c>
      <c r="W320" s="211">
        <f>IFERROR(W294/W317*365,"")</f>
        <v/>
      </c>
      <c r="X320" s="211">
        <f>IFERROR(X294/X317*365,"")</f>
        <v/>
      </c>
      <c r="Y320" s="211">
        <f>IFERROR(Y294/Y317*365,"")</f>
        <v/>
      </c>
      <c r="Z320" s="211">
        <f>IFERROR(Z294/Z317*365,"")</f>
        <v/>
      </c>
      <c r="AA320" s="211">
        <f>IFERROR(AA294/AA317*365,"")</f>
        <v/>
      </c>
      <c r="AB320" s="211">
        <f>IFERROR(AB294/AB317*365,"")</f>
        <v/>
      </c>
      <c r="AC320" s="211">
        <f>IFERROR(AC294/AC317*365,"")</f>
        <v/>
      </c>
      <c r="AD320" s="211">
        <f>IFERROR(AD294/AD317*365,"")</f>
        <v/>
      </c>
      <c r="AE320" s="211">
        <f>IFERROR(AE294/AE317*365,"")</f>
        <v/>
      </c>
      <c r="AF320" s="211">
        <f>IFERROR(AF294/AF317*365,"")</f>
        <v/>
      </c>
      <c r="AG320" s="211">
        <f>IFERROR(AG294/AG317*365,"")</f>
        <v/>
      </c>
      <c r="AH320" s="211">
        <f>IFERROR(AH294/AH317*365,"")</f>
        <v/>
      </c>
      <c r="AI320" s="37" t="n"/>
      <c r="AJ320" s="37" t="n"/>
      <c r="AK320" s="212" t="n">
        <v>34</v>
      </c>
      <c r="AL320" s="212" t="n">
        <v>34</v>
      </c>
      <c r="AM320" s="212" t="n">
        <v>34</v>
      </c>
      <c r="AN320" s="212" t="n">
        <v>34</v>
      </c>
      <c r="AO320" s="212" t="n">
        <v>34</v>
      </c>
      <c r="AP320" s="20" t="n"/>
    </row>
    <row r="321" ht="15" customHeight="1">
      <c r="B321" s="26" t="inlineStr">
        <is>
          <t xml:space="preserve">  Accrued &amp; other current liabilities % of net sales</t>
        </is>
      </c>
      <c r="C321" s="183">
        <f>IFERROR(C296/C316,"")</f>
        <v/>
      </c>
      <c r="D321" s="183">
        <f>IFERROR(D296/D316,"")</f>
        <v/>
      </c>
      <c r="E321" s="183">
        <f>IFERROR(E296/E316,"")</f>
        <v/>
      </c>
      <c r="F321" s="183">
        <f>IFERROR(F296/F316,"")</f>
        <v/>
      </c>
      <c r="G321" s="183">
        <f>IFERROR(G296/G316,"")</f>
        <v/>
      </c>
      <c r="H321" s="183">
        <f>IFERROR(H296/H316,"")</f>
        <v/>
      </c>
      <c r="I321" s="183">
        <f>IFERROR(I296/I316,"")</f>
        <v/>
      </c>
      <c r="J321" s="183">
        <f>IFERROR(J296/J316,"")</f>
        <v/>
      </c>
      <c r="K321" s="183">
        <f>IFERROR(K296/K316,"")</f>
        <v/>
      </c>
      <c r="L321" s="183">
        <f>IFERROR(L296/L316,"")</f>
        <v/>
      </c>
      <c r="M321" s="183">
        <f>IFERROR(M296/M316,"")</f>
        <v/>
      </c>
      <c r="N321" s="183">
        <f>IFERROR(N296/N316,"")</f>
        <v/>
      </c>
      <c r="O321" s="183">
        <f>IFERROR(O296/O316,"")</f>
        <v/>
      </c>
      <c r="P321" s="183">
        <f>IFERROR(P296/P316,"")</f>
        <v/>
      </c>
      <c r="Q321" s="183">
        <f>IFERROR(Q296/Q316,"")</f>
        <v/>
      </c>
      <c r="R321" s="183">
        <f>IFERROR(R296/R316,"")</f>
        <v/>
      </c>
      <c r="S321" s="183">
        <f>IFERROR(S296/S316,"")</f>
        <v/>
      </c>
      <c r="T321" s="183">
        <f>IFERROR(T296/T316,"")</f>
        <v/>
      </c>
      <c r="U321" s="183">
        <f>IFERROR(U296/U316,"")</f>
        <v/>
      </c>
      <c r="V321" s="183">
        <f>IFERROR(V296/V316,"")</f>
        <v/>
      </c>
      <c r="W321" s="183">
        <f>IFERROR(W296/W316,"")</f>
        <v/>
      </c>
      <c r="X321" s="183">
        <f>IFERROR(X296/X316,"")</f>
        <v/>
      </c>
      <c r="Y321" s="183">
        <f>IFERROR(Y296/Y316,"")</f>
        <v/>
      </c>
      <c r="Z321" s="183">
        <f>IFERROR(Z296/Z316,"")</f>
        <v/>
      </c>
      <c r="AA321" s="183">
        <f>IFERROR(AA296/AA316,"")</f>
        <v/>
      </c>
      <c r="AB321" s="183">
        <f>IFERROR(AB296/AB316,"")</f>
        <v/>
      </c>
      <c r="AC321" s="183">
        <f>IFERROR(AC296/AC316,"")</f>
        <v/>
      </c>
      <c r="AD321" s="183">
        <f>IFERROR(AD296/AD316,"")</f>
        <v/>
      </c>
      <c r="AE321" s="183">
        <f>IFERROR(AE296/AE316,"")</f>
        <v/>
      </c>
      <c r="AF321" s="183">
        <f>IFERROR(AF296/AF316,"")</f>
        <v/>
      </c>
      <c r="AG321" s="183">
        <f>IFERROR(AG296/AG316,"")</f>
        <v/>
      </c>
      <c r="AH321" s="183">
        <f>IFERROR(AH296/AH316,"")</f>
        <v/>
      </c>
      <c r="AI321" s="25" t="n"/>
      <c r="AJ321" s="25" t="n"/>
      <c r="AK321" s="192" t="n">
        <v>0.061</v>
      </c>
      <c r="AL321" s="192" t="n">
        <v>0.061</v>
      </c>
      <c r="AM321" s="192" t="n">
        <v>0.061</v>
      </c>
      <c r="AN321" s="192" t="n">
        <v>0.061</v>
      </c>
      <c r="AO321" s="192" t="n">
        <v>0.061</v>
      </c>
      <c r="AP321" s="6" t="inlineStr">
        <is>
          <t>Forecast inputs at 30-Jun-2026 levels on annualised 1H/26 sales / cost of sales (DSO 60d, inventory 148d, payables 34d, accrued &amp; other current liabilities 6.1% of sales).</t>
        </is>
      </c>
    </row>
    <row r="322" ht="15" customHeight="1">
      <c r="B322" s="26" t="inlineStr">
        <is>
          <t xml:space="preserve">  Operating NWC (receivables + inventories − payables − accrued &amp; other current liabilities)</t>
        </is>
      </c>
      <c r="C322" s="186">
        <f>IF(ISNUMBER(C284),C284+C285-C294-C296,"")</f>
        <v/>
      </c>
      <c r="D322" s="186">
        <f>IF(ISNUMBER(D284),D284+D285-D294-D296,"")</f>
        <v/>
      </c>
      <c r="E322" s="186">
        <f>IF(ISNUMBER(E284),E284+E285-E294-E296,"")</f>
        <v/>
      </c>
      <c r="F322" s="186">
        <f>IF(ISNUMBER(F284),F284+F285-F294-F296,"")</f>
        <v/>
      </c>
      <c r="G322" s="186">
        <f>IF(ISNUMBER(G284),G284+G285-G294-G296,"")</f>
        <v/>
      </c>
      <c r="H322" s="186">
        <f>IF(ISNUMBER(H284),H284+H285-H294-H296,"")</f>
        <v/>
      </c>
      <c r="I322" s="186">
        <f>IF(ISNUMBER(I284),I284+I285-I294-I296,"")</f>
        <v/>
      </c>
      <c r="J322" s="186">
        <f>IF(ISNUMBER(J284),J284+J285-J294-J296,"")</f>
        <v/>
      </c>
      <c r="K322" s="186">
        <f>IF(ISNUMBER(K284),K284+K285-K294-K296,"")</f>
        <v/>
      </c>
      <c r="L322" s="186">
        <f>IF(ISNUMBER(L284),L284+L285-L294-L296,"")</f>
        <v/>
      </c>
      <c r="M322" s="186">
        <f>IF(ISNUMBER(M284),M284+M285-M294-M296,"")</f>
        <v/>
      </c>
      <c r="N322" s="186">
        <f>IF(ISNUMBER(N284),N284+N285-N294-N296,"")</f>
        <v/>
      </c>
      <c r="O322" s="186">
        <f>IF(ISNUMBER(O284),O284+O285-O294-O296,"")</f>
        <v/>
      </c>
      <c r="P322" s="186">
        <f>IF(ISNUMBER(P284),P284+P285-P294-P296,"")</f>
        <v/>
      </c>
      <c r="Q322" s="186">
        <f>IF(ISNUMBER(Q284),Q284+Q285-Q294-Q296,"")</f>
        <v/>
      </c>
      <c r="R322" s="186">
        <f>IF(ISNUMBER(R284),R284+R285-R294-R296,"")</f>
        <v/>
      </c>
      <c r="S322" s="186">
        <f>IF(ISNUMBER(S284),S284+S285-S294-S296,"")</f>
        <v/>
      </c>
      <c r="T322" s="186">
        <f>IF(ISNUMBER(T284),T284+T285-T294-T296,"")</f>
        <v/>
      </c>
      <c r="U322" s="186">
        <f>IF(ISNUMBER(U284),U284+U285-U294-U296,"")</f>
        <v/>
      </c>
      <c r="V322" s="186">
        <f>IF(ISNUMBER(V284),V284+V285-V294-V296,"")</f>
        <v/>
      </c>
      <c r="W322" s="186">
        <f>IF(ISNUMBER(W284),W284+W285-W294-W296,"")</f>
        <v/>
      </c>
      <c r="X322" s="186">
        <f>IF(ISNUMBER(X284),X284+X285-X294-X296,"")</f>
        <v/>
      </c>
      <c r="Y322" s="186">
        <f>IF(ISNUMBER(Y284),Y284+Y285-Y294-Y296,"")</f>
        <v/>
      </c>
      <c r="Z322" s="186">
        <f>IF(ISNUMBER(Z284),Z284+Z285-Z294-Z296,"")</f>
        <v/>
      </c>
      <c r="AA322" s="186">
        <f>IF(ISNUMBER(AA284),AA284+AA285-AA294-AA296,"")</f>
        <v/>
      </c>
      <c r="AB322" s="186">
        <f>IF(ISNUMBER(AB284),AB284+AB285-AB294-AB296,"")</f>
        <v/>
      </c>
      <c r="AC322" s="186">
        <f>IF(ISNUMBER(AC284),AC284+AC285-AC294-AC296,"")</f>
        <v/>
      </c>
      <c r="AD322" s="186">
        <f>IF(ISNUMBER(AD284),AD284+AD285-AD294-AD296,"")</f>
        <v/>
      </c>
      <c r="AE322" s="186">
        <f>IF(ISNUMBER(AE284),AE284+AE285-AE294-AE296,"")</f>
        <v/>
      </c>
      <c r="AF322" s="186">
        <f>IF(ISNUMBER(AF284),AF284+AF285-AF294-AF296,"")</f>
        <v/>
      </c>
      <c r="AG322" s="186">
        <f>IF(ISNUMBER(AG284),AG284+AG285-AG294-AG296,"")</f>
        <v/>
      </c>
      <c r="AH322" s="186">
        <f>IF(ISNUMBER(AH284),AH284+AH285-AH294-AH296,"")</f>
        <v/>
      </c>
      <c r="AI322" s="37" t="n"/>
      <c r="AJ322" s="37" t="n"/>
      <c r="AK322" s="175">
        <f>IF(ISNUMBER(AK284),AK284+AK285-AK294-AK296,"")</f>
        <v/>
      </c>
      <c r="AL322" s="175">
        <f>IF(ISNUMBER(AL284),AL284+AL285-AL294-AL296,"")</f>
        <v/>
      </c>
      <c r="AM322" s="175">
        <f>IF(ISNUMBER(AM284),AM284+AM285-AM294-AM296,"")</f>
        <v/>
      </c>
      <c r="AN322" s="175">
        <f>IF(ISNUMBER(AN284),AN284+AN285-AN294-AN296,"")</f>
        <v/>
      </c>
      <c r="AO322" s="175">
        <f>IF(ISNUMBER(AO284),AO284+AO285-AO294-AO296,"")</f>
        <v/>
      </c>
      <c r="AP322" s="20" t="n"/>
    </row>
    <row r="323" ht="15" customHeight="1">
      <c r="B323" s="26" t="inlineStr">
        <is>
          <t xml:space="preserve">  NWC % of net sales</t>
        </is>
      </c>
      <c r="C323" s="183">
        <f>IF(ISNUMBER(C322),IFERROR(C322/C316,""),"")</f>
        <v/>
      </c>
      <c r="D323" s="183">
        <f>IF(ISNUMBER(D322),IFERROR(D322/D316,""),"")</f>
        <v/>
      </c>
      <c r="E323" s="183">
        <f>IF(ISNUMBER(E322),IFERROR(E322/E316,""),"")</f>
        <v/>
      </c>
      <c r="F323" s="183">
        <f>IF(ISNUMBER(F322),IFERROR(F322/F316,""),"")</f>
        <v/>
      </c>
      <c r="G323" s="183">
        <f>IF(ISNUMBER(G322),IFERROR(G322/G316,""),"")</f>
        <v/>
      </c>
      <c r="H323" s="183">
        <f>IF(ISNUMBER(H322),IFERROR(H322/H316,""),"")</f>
        <v/>
      </c>
      <c r="I323" s="183">
        <f>IF(ISNUMBER(I322),IFERROR(I322/I316,""),"")</f>
        <v/>
      </c>
      <c r="J323" s="183">
        <f>IF(ISNUMBER(J322),IFERROR(J322/J316,""),"")</f>
        <v/>
      </c>
      <c r="K323" s="183">
        <f>IF(ISNUMBER(K322),IFERROR(K322/K316,""),"")</f>
        <v/>
      </c>
      <c r="L323" s="183">
        <f>IF(ISNUMBER(L322),IFERROR(L322/L316,""),"")</f>
        <v/>
      </c>
      <c r="M323" s="183">
        <f>IF(ISNUMBER(M322),IFERROR(M322/M316,""),"")</f>
        <v/>
      </c>
      <c r="N323" s="183">
        <f>IF(ISNUMBER(N322),IFERROR(N322/N316,""),"")</f>
        <v/>
      </c>
      <c r="O323" s="183">
        <f>IF(ISNUMBER(O322),IFERROR(O322/O316,""),"")</f>
        <v/>
      </c>
      <c r="P323" s="183">
        <f>IF(ISNUMBER(P322),IFERROR(P322/P316,""),"")</f>
        <v/>
      </c>
      <c r="Q323" s="183">
        <f>IF(ISNUMBER(Q322),IFERROR(Q322/Q316,""),"")</f>
        <v/>
      </c>
      <c r="R323" s="183">
        <f>IF(ISNUMBER(R322),IFERROR(R322/R316,""),"")</f>
        <v/>
      </c>
      <c r="S323" s="183">
        <f>IF(ISNUMBER(S322),IFERROR(S322/S316,""),"")</f>
        <v/>
      </c>
      <c r="T323" s="183">
        <f>IF(ISNUMBER(T322),IFERROR(T322/T316,""),"")</f>
        <v/>
      </c>
      <c r="U323" s="183">
        <f>IF(ISNUMBER(U322),IFERROR(U322/U316,""),"")</f>
        <v/>
      </c>
      <c r="V323" s="183">
        <f>IF(ISNUMBER(V322),IFERROR(V322/V316,""),"")</f>
        <v/>
      </c>
      <c r="W323" s="183">
        <f>IF(ISNUMBER(W322),IFERROR(W322/W316,""),"")</f>
        <v/>
      </c>
      <c r="X323" s="183">
        <f>IF(ISNUMBER(X322),IFERROR(X322/X316,""),"")</f>
        <v/>
      </c>
      <c r="Y323" s="183">
        <f>IF(ISNUMBER(Y322),IFERROR(Y322/Y316,""),"")</f>
        <v/>
      </c>
      <c r="Z323" s="183">
        <f>IF(ISNUMBER(Z322),IFERROR(Z322/Z316,""),"")</f>
        <v/>
      </c>
      <c r="AA323" s="183">
        <f>IF(ISNUMBER(AA322),IFERROR(AA322/AA316,""),"")</f>
        <v/>
      </c>
      <c r="AB323" s="183">
        <f>IF(ISNUMBER(AB322),IFERROR(AB322/AB316,""),"")</f>
        <v/>
      </c>
      <c r="AC323" s="183">
        <f>IF(ISNUMBER(AC322),IFERROR(AC322/AC316,""),"")</f>
        <v/>
      </c>
      <c r="AD323" s="183">
        <f>IF(ISNUMBER(AD322),IFERROR(AD322/AD316,""),"")</f>
        <v/>
      </c>
      <c r="AE323" s="183">
        <f>IF(ISNUMBER(AE322),IFERROR(AE322/AE316,""),"")</f>
        <v/>
      </c>
      <c r="AF323" s="183">
        <f>IF(ISNUMBER(AF322),IFERROR(AF322/AF316,""),"")</f>
        <v/>
      </c>
      <c r="AG323" s="183">
        <f>IF(ISNUMBER(AG322),IFERROR(AG322/AG316,""),"")</f>
        <v/>
      </c>
      <c r="AH323" s="183">
        <f>IF(ISNUMBER(AH322),IFERROR(AH322/AH316,""),"")</f>
        <v/>
      </c>
      <c r="AI323" s="25" t="n"/>
      <c r="AJ323" s="25" t="n"/>
      <c r="AK323" s="177">
        <f>IF(ISNUMBER(AK322),IFERROR(AK322/AK316,""),"")</f>
        <v/>
      </c>
      <c r="AL323" s="177">
        <f>IF(ISNUMBER(AL322),IFERROR(AL322/AL316,""),"")</f>
        <v/>
      </c>
      <c r="AM323" s="177">
        <f>IF(ISNUMBER(AM322),IFERROR(AM322/AM316,""),"")</f>
        <v/>
      </c>
      <c r="AN323" s="177">
        <f>IF(ISNUMBER(AN322),IFERROR(AN322/AN316,""),"")</f>
        <v/>
      </c>
      <c r="AO323" s="177">
        <f>IF(ISNUMBER(AO322),IFERROR(AO322/AO316,""),"")</f>
        <v/>
      </c>
      <c r="AP323" s="6" t="n"/>
      <c r="AR323" s="39">
        <f>IFERROR(AVERAGE(AK323,AL323,AM323,AN323,AO323),"n/m")</f>
        <v/>
      </c>
      <c r="AS323" s="39">
        <f>IFERROR(AVERAGE(L323,Q323,V323,AA323,AF323),"n/m")</f>
        <v/>
      </c>
      <c r="AT323" s="39">
        <f>IFERROR(AVERAGE(G323,H323,I323,J323,K323,L323,Q323,V323,AA323,AF323),"n/m")</f>
        <v/>
      </c>
      <c r="AU323" s="39">
        <f>IFERROR(AVERAGE(C323,D323,E323,F323,G323,H323,I323,J323,K323,L323,Q323,V323,AA323,AF323),"n/m")</f>
        <v/>
      </c>
    </row>
    <row r="324" ht="15" customHeight="1">
      <c r="B324" s="26" t="inlineStr">
        <is>
          <t xml:space="preserve">  ΔNWC (y/y)</t>
        </is>
      </c>
      <c r="C324" s="36" t="n"/>
      <c r="D324" s="186">
        <f>IF(AND(ISNUMBER(D322),ISNUMBER(C322)),D322-C322,"")</f>
        <v/>
      </c>
      <c r="E324" s="186">
        <f>IF(AND(ISNUMBER(E322),ISNUMBER(D322)),E322-D322,"")</f>
        <v/>
      </c>
      <c r="F324" s="186">
        <f>IF(AND(ISNUMBER(F322),ISNUMBER(E322)),F322-E322,"")</f>
        <v/>
      </c>
      <c r="G324" s="186">
        <f>IF(AND(ISNUMBER(G322),ISNUMBER(F322)),G322-F322,"")</f>
        <v/>
      </c>
      <c r="H324" s="186">
        <f>IF(AND(ISNUMBER(H322),ISNUMBER(G322)),H322-G322,"")</f>
        <v/>
      </c>
      <c r="I324" s="186">
        <f>IF(AND(ISNUMBER(I322),ISNUMBER(H322)),I322-H322,"")</f>
        <v/>
      </c>
      <c r="J324" s="186">
        <f>IF(AND(ISNUMBER(J322),ISNUMBER(I322)),J322-I322,"")</f>
        <v/>
      </c>
      <c r="K324" s="186">
        <f>IF(AND(ISNUMBER(K322),ISNUMBER(J322)),K322-J322,"")</f>
        <v/>
      </c>
      <c r="L324" s="186">
        <f>IF(AND(ISNUMBER(L322),ISNUMBER(K322)),L322-K322,"")</f>
        <v/>
      </c>
      <c r="M324" s="36" t="n"/>
      <c r="N324" s="36" t="n"/>
      <c r="O324" s="36" t="n"/>
      <c r="P324" s="36" t="n"/>
      <c r="Q324" s="186">
        <f>IF(AND(ISNUMBER(Q322),ISNUMBER(L322)),Q322-L322,"")</f>
        <v/>
      </c>
      <c r="R324" s="186">
        <f>IF(AND(ISNUMBER(R322),ISNUMBER(M322)),R322-M322,"")</f>
        <v/>
      </c>
      <c r="S324" s="186">
        <f>IF(AND(ISNUMBER(S322),ISNUMBER(N322)),S322-N322,"")</f>
        <v/>
      </c>
      <c r="T324" s="186">
        <f>IF(AND(ISNUMBER(T322),ISNUMBER(O322)),T322-O322,"")</f>
        <v/>
      </c>
      <c r="U324" s="186">
        <f>IF(AND(ISNUMBER(U322),ISNUMBER(P322)),U322-P322,"")</f>
        <v/>
      </c>
      <c r="V324" s="186">
        <f>IF(AND(ISNUMBER(V322),ISNUMBER(Q322)),V322-Q322,"")</f>
        <v/>
      </c>
      <c r="W324" s="186">
        <f>IF(AND(ISNUMBER(W322),ISNUMBER(R322)),W322-R322,"")</f>
        <v/>
      </c>
      <c r="X324" s="186">
        <f>IF(AND(ISNUMBER(X322),ISNUMBER(S322)),X322-S322,"")</f>
        <v/>
      </c>
      <c r="Y324" s="186">
        <f>IF(AND(ISNUMBER(Y322),ISNUMBER(T322)),Y322-T322,"")</f>
        <v/>
      </c>
      <c r="Z324" s="186">
        <f>IF(AND(ISNUMBER(Z322),ISNUMBER(U322)),Z322-U322,"")</f>
        <v/>
      </c>
      <c r="AA324" s="186">
        <f>IF(AND(ISNUMBER(AA322),ISNUMBER(V322)),AA322-V322,"")</f>
        <v/>
      </c>
      <c r="AB324" s="186">
        <f>IF(AND(ISNUMBER(AB322),ISNUMBER(W322)),AB322-W322,"")</f>
        <v/>
      </c>
      <c r="AC324" s="186">
        <f>IF(AND(ISNUMBER(AC322),ISNUMBER(X322)),AC322-X322,"")</f>
        <v/>
      </c>
      <c r="AD324" s="186">
        <f>IF(AND(ISNUMBER(AD322),ISNUMBER(Y322)),AD322-Y322,"")</f>
        <v/>
      </c>
      <c r="AE324" s="186">
        <f>IF(AND(ISNUMBER(AE322),ISNUMBER(Z322)),AE322-Z322,"")</f>
        <v/>
      </c>
      <c r="AF324" s="186">
        <f>IF(AND(ISNUMBER(AF322),ISNUMBER(AA322)),AF322-AA322,"")</f>
        <v/>
      </c>
      <c r="AG324" s="186">
        <f>IF(AND(ISNUMBER(AG322),ISNUMBER(AB322)),AG322-AB322,"")</f>
        <v/>
      </c>
      <c r="AH324" s="186">
        <f>IF(AND(ISNUMBER(AH322),ISNUMBER(AC322)),AH322-AC322,"")</f>
        <v/>
      </c>
      <c r="AI324" s="37" t="n"/>
      <c r="AJ324" s="37" t="n"/>
      <c r="AK324" s="175">
        <f>IF(AND(ISNUMBER(AK322),ISNUMBER(AF322)),AK322-AF322,"")</f>
        <v/>
      </c>
      <c r="AL324" s="175">
        <f>IF(AND(ISNUMBER(AL322),ISNUMBER(AK322)),AL322-AK322,"")</f>
        <v/>
      </c>
      <c r="AM324" s="175">
        <f>IF(AND(ISNUMBER(AM322),ISNUMBER(AL322)),AM322-AL322,"")</f>
        <v/>
      </c>
      <c r="AN324" s="175">
        <f>IF(AND(ISNUMBER(AN322),ISNUMBER(AM322)),AN322-AM322,"")</f>
        <v/>
      </c>
      <c r="AO324" s="175">
        <f>IF(AND(ISNUMBER(AO322),ISNUMBER(AN322)),AO322-AN322,"")</f>
        <v/>
      </c>
      <c r="AP324" s="20" t="n"/>
    </row>
    <row r="325" ht="15" customHeight="1">
      <c r="AX325" s="12" t="n"/>
      <c r="AY325" s="13" t="n"/>
      <c r="AZ325" s="13" t="n"/>
      <c r="BA325" s="13" t="n"/>
      <c r="BB325" s="14" t="n"/>
    </row>
    <row r="326" ht="15" customHeight="1">
      <c r="B326" s="11" t="inlineStr">
        <is>
          <t>BALANCE SHEET FORECAST SCHEDULES</t>
        </is>
      </c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inlineStr">
        <is>
          <t>BS FORECAST SCHEDULES — explicit driver assumptions</t>
        </is>
      </c>
    </row>
    <row r="327" ht="15" customHeight="1">
      <c r="B327" s="26" t="inlineStr">
        <is>
          <t>Acquisitions — consideration &amp; purchase-price allocation (closing-quarter column)</t>
        </is>
      </c>
      <c r="AP327" s="6" t="n"/>
    </row>
    <row r="328" ht="15" customHeight="1">
      <c r="B328" s="76" t="inlineStr">
        <is>
          <t xml:space="preserve">  Consideration — net assets acquired (cash paid incl. debt repaid; Harper incl. contingent consideration as a liability)</t>
        </is>
      </c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174" t="n">
        <v>173.899</v>
      </c>
      <c r="P328" s="47" t="n"/>
      <c r="Q328" s="47" t="n"/>
      <c r="R328" s="47" t="n"/>
      <c r="S328" s="47" t="n"/>
      <c r="T328" s="174" t="n">
        <v>60.135</v>
      </c>
      <c r="U328" s="47" t="n"/>
      <c r="V328" s="47" t="n"/>
      <c r="W328" s="47" t="n"/>
      <c r="X328" s="47" t="n"/>
      <c r="Y328" s="174" t="n">
        <v>383.549</v>
      </c>
      <c r="Z328" s="47" t="n"/>
      <c r="AA328" s="47" t="n"/>
      <c r="AB328" s="47" t="n"/>
      <c r="AC328" s="47" t="n"/>
      <c r="AD328" s="174" t="n">
        <v>33.091</v>
      </c>
      <c r="AE328" s="174" t="n">
        <v>474.763</v>
      </c>
      <c r="AF328" s="47" t="n"/>
      <c r="AG328" s="174" t="n">
        <v>249.841</v>
      </c>
      <c r="AH328" s="47" t="n"/>
      <c r="AI328" s="6" t="n"/>
      <c r="AJ328" s="6" t="n"/>
      <c r="AK328" s="37" t="n"/>
      <c r="AL328" s="37" t="n"/>
      <c r="AM328" s="37" t="n"/>
      <c r="AN328" s="37" t="n"/>
      <c r="AO328" s="37" t="n"/>
      <c r="AP328" s="20" t="n"/>
    </row>
    <row r="329" ht="15" customHeight="1">
      <c r="B329" s="76" t="inlineStr">
        <is>
          <t xml:space="preserve">  Current assets acquired (incl. inventory at fair value)</t>
        </is>
      </c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174" t="n">
        <v>15.474</v>
      </c>
      <c r="P329" s="47" t="n"/>
      <c r="Q329" s="47" t="n"/>
      <c r="R329" s="47" t="n"/>
      <c r="S329" s="47" t="n"/>
      <c r="T329" s="174" t="n">
        <v>11.69</v>
      </c>
      <c r="U329" s="47" t="n"/>
      <c r="V329" s="47" t="n"/>
      <c r="W329" s="47" t="n"/>
      <c r="X329" s="47" t="n"/>
      <c r="Y329" s="174" t="n">
        <v>7.169</v>
      </c>
      <c r="Z329" s="47" t="n"/>
      <c r="AA329" s="47" t="n"/>
      <c r="AB329" s="47" t="n"/>
      <c r="AC329" s="47" t="n"/>
      <c r="AD329" s="174" t="n">
        <v>3.698</v>
      </c>
      <c r="AE329" s="174" t="n">
        <v>18.831</v>
      </c>
      <c r="AF329" s="47" t="n"/>
      <c r="AG329" s="174" t="n">
        <v>13.933</v>
      </c>
      <c r="AH329" s="47" t="n"/>
      <c r="AI329" s="6" t="n"/>
      <c r="AJ329" s="6" t="n"/>
      <c r="AK329" s="37" t="n"/>
      <c r="AL329" s="37" t="n"/>
      <c r="AM329" s="37" t="n"/>
      <c r="AN329" s="37" t="n"/>
      <c r="AO329" s="37" t="n"/>
      <c r="AP329" s="20" t="n"/>
    </row>
    <row r="330" ht="15" customHeight="1">
      <c r="B330" s="76" t="inlineStr">
        <is>
          <t xml:space="preserve">  Property, plant &amp; equipment</t>
        </is>
      </c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174" t="n">
        <v>3.31</v>
      </c>
      <c r="P330" s="47" t="n"/>
      <c r="Q330" s="47" t="n"/>
      <c r="R330" s="47" t="n"/>
      <c r="S330" s="47" t="n"/>
      <c r="T330" s="174" t="n">
        <v>7.318</v>
      </c>
      <c r="U330" s="47" t="n"/>
      <c r="V330" s="47" t="n"/>
      <c r="W330" s="47" t="n"/>
      <c r="X330" s="47" t="n"/>
      <c r="Y330" s="174" t="n">
        <v>6.996</v>
      </c>
      <c r="Z330" s="47" t="n"/>
      <c r="AA330" s="47" t="n"/>
      <c r="AB330" s="47" t="n"/>
      <c r="AC330" s="47" t="n"/>
      <c r="AD330" s="174" t="n">
        <v>2.397</v>
      </c>
      <c r="AE330" s="174" t="n">
        <v>4.137</v>
      </c>
      <c r="AF330" s="47" t="n"/>
      <c r="AG330" s="174" t="n">
        <v>2.92</v>
      </c>
      <c r="AH330" s="47" t="n"/>
      <c r="AI330" s="6" t="n"/>
      <c r="AJ330" s="6" t="n"/>
      <c r="AK330" s="37" t="n"/>
      <c r="AL330" s="37" t="n"/>
      <c r="AM330" s="37" t="n"/>
      <c r="AN330" s="37" t="n"/>
      <c r="AO330" s="37" t="n"/>
      <c r="AP330" s="20" t="n"/>
    </row>
    <row r="331" ht="15" customHeight="1">
      <c r="B331" s="76" t="inlineStr">
        <is>
          <t xml:space="preserve">  Intangible assets (customer relationships, trade names, technology)</t>
        </is>
      </c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174" t="n">
        <v>75.5</v>
      </c>
      <c r="P331" s="47" t="n"/>
      <c r="Q331" s="47" t="n"/>
      <c r="R331" s="47" t="n"/>
      <c r="S331" s="47" t="n"/>
      <c r="T331" s="174" t="n">
        <v>20.384</v>
      </c>
      <c r="U331" s="47" t="n"/>
      <c r="V331" s="47" t="n"/>
      <c r="W331" s="47" t="n"/>
      <c r="X331" s="47" t="n"/>
      <c r="Y331" s="174" t="n">
        <v>152.1</v>
      </c>
      <c r="Z331" s="47" t="n"/>
      <c r="AA331" s="47" t="n"/>
      <c r="AB331" s="47" t="n"/>
      <c r="AC331" s="47" t="n"/>
      <c r="AD331" s="174" t="n">
        <v>13.592</v>
      </c>
      <c r="AE331" s="174" t="n">
        <v>211.542</v>
      </c>
      <c r="AF331" s="47" t="n"/>
      <c r="AG331" s="174" t="n">
        <v>153.5</v>
      </c>
      <c r="AH331" s="47" t="n"/>
      <c r="AI331" s="6" t="n"/>
      <c r="AJ331" s="6" t="n"/>
      <c r="AK331" s="37" t="n"/>
      <c r="AL331" s="37" t="n"/>
      <c r="AM331" s="37" t="n"/>
      <c r="AN331" s="37" t="n"/>
      <c r="AO331" s="37" t="n"/>
      <c r="AP331" s="20" t="n"/>
    </row>
    <row r="332" ht="15" customHeight="1">
      <c r="B332" s="76" t="inlineStr">
        <is>
          <t xml:space="preserve">  Goodwill</t>
        </is>
      </c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174" t="n">
        <v>103.99</v>
      </c>
      <c r="P332" s="47" t="n"/>
      <c r="Q332" s="47" t="n"/>
      <c r="R332" s="47" t="n"/>
      <c r="S332" s="47" t="n"/>
      <c r="T332" s="174" t="n">
        <v>30.049</v>
      </c>
      <c r="U332" s="47" t="n"/>
      <c r="V332" s="47" t="n"/>
      <c r="W332" s="47" t="n"/>
      <c r="X332" s="47" t="n"/>
      <c r="Y332" s="174" t="n">
        <v>219.301</v>
      </c>
      <c r="Z332" s="47" t="n"/>
      <c r="AA332" s="47" t="n"/>
      <c r="AB332" s="47" t="n"/>
      <c r="AC332" s="47" t="n"/>
      <c r="AD332" s="174" t="n">
        <v>17.797</v>
      </c>
      <c r="AE332" s="174" t="n">
        <v>284.808</v>
      </c>
      <c r="AF332" s="47" t="n"/>
      <c r="AG332" s="174" t="n">
        <v>97.78400000000001</v>
      </c>
      <c r="AH332" s="47" t="n"/>
      <c r="AI332" s="6" t="n"/>
      <c r="AJ332" s="6" t="n"/>
      <c r="AK332" s="37" t="n"/>
      <c r="AL332" s="37" t="n"/>
      <c r="AM332" s="37" t="n"/>
      <c r="AN332" s="37" t="n"/>
      <c r="AO332" s="37" t="n"/>
      <c r="AP332" s="20" t="n"/>
    </row>
    <row r="333" ht="15" customHeight="1">
      <c r="B333" s="76" t="inlineStr">
        <is>
          <t xml:space="preserve">  Other noncurrent assets (incl. deferred tax assets)</t>
        </is>
      </c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174" t="n">
        <v>0</v>
      </c>
      <c r="P333" s="47" t="n"/>
      <c r="Q333" s="47" t="n"/>
      <c r="R333" s="47" t="n"/>
      <c r="S333" s="47" t="n"/>
      <c r="T333" s="174" t="n">
        <v>0.548</v>
      </c>
      <c r="U333" s="47" t="n"/>
      <c r="V333" s="47" t="n"/>
      <c r="W333" s="47" t="n"/>
      <c r="X333" s="47" t="n"/>
      <c r="Y333" s="174" t="n">
        <v>2.026</v>
      </c>
      <c r="Z333" s="47" t="n"/>
      <c r="AA333" s="47" t="n"/>
      <c r="AB333" s="47" t="n"/>
      <c r="AC333" s="47" t="n"/>
      <c r="AD333" s="174" t="n">
        <v>0</v>
      </c>
      <c r="AE333" s="174" t="n">
        <v>0</v>
      </c>
      <c r="AF333" s="47" t="n"/>
      <c r="AG333" s="174" t="n">
        <v>1.021</v>
      </c>
      <c r="AH333" s="47" t="n"/>
      <c r="AI333" s="6" t="n"/>
      <c r="AJ333" s="6" t="n"/>
      <c r="AK333" s="37" t="n"/>
      <c r="AL333" s="37" t="n"/>
      <c r="AM333" s="37" t="n"/>
      <c r="AN333" s="37" t="n"/>
      <c r="AO333" s="37" t="n"/>
      <c r="AP333" s="20" t="n"/>
    </row>
    <row r="334" ht="15" customHeight="1">
      <c r="B334" s="76" t="inlineStr">
        <is>
          <t xml:space="preserve">  Current liabilities assumed</t>
        </is>
      </c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174" t="n">
        <v>6.319</v>
      </c>
      <c r="P334" s="47" t="n"/>
      <c r="Q334" s="47" t="n"/>
      <c r="R334" s="47" t="n"/>
      <c r="S334" s="47" t="n"/>
      <c r="T334" s="174" t="n">
        <v>8.586</v>
      </c>
      <c r="U334" s="47" t="n"/>
      <c r="V334" s="47" t="n"/>
      <c r="W334" s="47" t="n"/>
      <c r="X334" s="47" t="n"/>
      <c r="Y334" s="174" t="n">
        <v>4.043</v>
      </c>
      <c r="Z334" s="47" t="n"/>
      <c r="AA334" s="47" t="n"/>
      <c r="AB334" s="47" t="n"/>
      <c r="AC334" s="47" t="n"/>
      <c r="AD334" s="174" t="n">
        <v>1.052</v>
      </c>
      <c r="AE334" s="174" t="n">
        <v>8.894</v>
      </c>
      <c r="AF334" s="47" t="n"/>
      <c r="AG334" s="174" t="n">
        <v>3.689</v>
      </c>
      <c r="AH334" s="47" t="n"/>
      <c r="AI334" s="6" t="n"/>
      <c r="AJ334" s="6" t="n"/>
      <c r="AK334" s="37" t="n"/>
      <c r="AL334" s="37" t="n"/>
      <c r="AM334" s="37" t="n"/>
      <c r="AN334" s="37" t="n"/>
      <c r="AO334" s="37" t="n"/>
      <c r="AP334" s="20" t="n"/>
    </row>
    <row r="335" ht="15" customHeight="1">
      <c r="B335" s="76" t="inlineStr">
        <is>
          <t xml:space="preserve">  Noncurrent liabilities assumed (incl. contingent consideration, leases)</t>
        </is>
      </c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174" t="n">
        <v>1.395</v>
      </c>
      <c r="P335" s="47" t="n"/>
      <c r="Q335" s="47" t="n"/>
      <c r="R335" s="47" t="n"/>
      <c r="S335" s="47" t="n"/>
      <c r="T335" s="174" t="n">
        <v>1.268</v>
      </c>
      <c r="U335" s="47" t="n"/>
      <c r="V335" s="47" t="n"/>
      <c r="W335" s="47" t="n"/>
      <c r="X335" s="47" t="n"/>
      <c r="Y335" s="174" t="n">
        <v>0</v>
      </c>
      <c r="Z335" s="47" t="n"/>
      <c r="AA335" s="47" t="n"/>
      <c r="AB335" s="47" t="n"/>
      <c r="AC335" s="47" t="n"/>
      <c r="AD335" s="174" t="n">
        <v>0</v>
      </c>
      <c r="AE335" s="174" t="n">
        <v>1.351</v>
      </c>
      <c r="AF335" s="47" t="n"/>
      <c r="AG335" s="174" t="n">
        <v>15.628</v>
      </c>
      <c r="AH335" s="47" t="n"/>
      <c r="AI335" s="6" t="n"/>
      <c r="AJ335" s="6" t="n"/>
      <c r="AK335" s="37" t="n"/>
      <c r="AL335" s="37" t="n"/>
      <c r="AM335" s="37" t="n"/>
      <c r="AN335" s="37" t="n"/>
      <c r="AO335" s="37" t="n"/>
      <c r="AP335" s="20" t="n"/>
    </row>
    <row r="336" ht="15" customHeight="1">
      <c r="B336" s="76" t="inlineStr">
        <is>
          <t xml:space="preserve">  Deferred income taxes</t>
        </is>
      </c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174" t="n">
        <v>16.661</v>
      </c>
      <c r="P336" s="47" t="n"/>
      <c r="Q336" s="47" t="n"/>
      <c r="R336" s="47" t="n"/>
      <c r="S336" s="47" t="n"/>
      <c r="T336" s="174" t="n">
        <v>0</v>
      </c>
      <c r="U336" s="47" t="n"/>
      <c r="V336" s="47" t="n"/>
      <c r="W336" s="47" t="n"/>
      <c r="X336" s="47" t="n"/>
      <c r="Y336" s="174" t="n">
        <v>0</v>
      </c>
      <c r="Z336" s="47" t="n"/>
      <c r="AA336" s="47" t="n"/>
      <c r="AB336" s="47" t="n"/>
      <c r="AC336" s="47" t="n"/>
      <c r="AD336" s="174" t="n">
        <v>3.341</v>
      </c>
      <c r="AE336" s="174" t="n">
        <v>34.31</v>
      </c>
      <c r="AF336" s="47" t="n"/>
      <c r="AG336" s="174" t="n">
        <v>0</v>
      </c>
      <c r="AH336" s="47" t="n"/>
      <c r="AI336" s="6" t="n"/>
      <c r="AJ336" s="6" t="n"/>
      <c r="AK336" s="37" t="n"/>
      <c r="AL336" s="37" t="n"/>
      <c r="AM336" s="37" t="n"/>
      <c r="AN336" s="37" t="n"/>
      <c r="AO336" s="37" t="n"/>
      <c r="AP336" s="20" t="n"/>
    </row>
    <row r="337" ht="15" customHeight="1">
      <c r="B337" s="61" t="inlineStr">
        <is>
          <t xml:space="preserve">  Check: assets acquired − liabilities assumed − consideration (should be 0)</t>
        </is>
      </c>
      <c r="C337" s="186">
        <f>IF(ISNUMBER(C328),ROUND(N(C329)+N(C330)+N(C331)+N(C332)+N(C333)-N(C334)-N(C335)-N(C336)-C328,2),"")</f>
        <v/>
      </c>
      <c r="D337" s="186">
        <f>IF(ISNUMBER(D328),ROUND(N(D329)+N(D330)+N(D331)+N(D332)+N(D333)-N(D334)-N(D335)-N(D336)-D328,2),"")</f>
        <v/>
      </c>
      <c r="E337" s="186">
        <f>IF(ISNUMBER(E328),ROUND(N(E329)+N(E330)+N(E331)+N(E332)+N(E333)-N(E334)-N(E335)-N(E336)-E328,2),"")</f>
        <v/>
      </c>
      <c r="F337" s="186">
        <f>IF(ISNUMBER(F328),ROUND(N(F329)+N(F330)+N(F331)+N(F332)+N(F333)-N(F334)-N(F335)-N(F336)-F328,2),"")</f>
        <v/>
      </c>
      <c r="G337" s="186">
        <f>IF(ISNUMBER(G328),ROUND(N(G329)+N(G330)+N(G331)+N(G332)+N(G333)-N(G334)-N(G335)-N(G336)-G328,2),"")</f>
        <v/>
      </c>
      <c r="H337" s="186">
        <f>IF(ISNUMBER(H328),ROUND(N(H329)+N(H330)+N(H331)+N(H332)+N(H333)-N(H334)-N(H335)-N(H336)-H328,2),"")</f>
        <v/>
      </c>
      <c r="I337" s="186">
        <f>IF(ISNUMBER(I328),ROUND(N(I329)+N(I330)+N(I331)+N(I332)+N(I333)-N(I334)-N(I335)-N(I336)-I328,2),"")</f>
        <v/>
      </c>
      <c r="J337" s="186">
        <f>IF(ISNUMBER(J328),ROUND(N(J329)+N(J330)+N(J331)+N(J332)+N(J333)-N(J334)-N(J335)-N(J336)-J328,2),"")</f>
        <v/>
      </c>
      <c r="K337" s="186">
        <f>IF(ISNUMBER(K328),ROUND(N(K329)+N(K330)+N(K331)+N(K332)+N(K333)-N(K334)-N(K335)-N(K336)-K328,2),"")</f>
        <v/>
      </c>
      <c r="L337" s="186">
        <f>IF(ISNUMBER(L328),ROUND(N(L329)+N(L330)+N(L331)+N(L332)+N(L333)-N(L334)-N(L335)-N(L336)-L328,2),"")</f>
        <v/>
      </c>
      <c r="M337" s="186">
        <f>IF(ISNUMBER(M328),ROUND(N(M329)+N(M330)+N(M331)+N(M332)+N(M333)-N(M334)-N(M335)-N(M336)-M328,2),"")</f>
        <v/>
      </c>
      <c r="N337" s="186">
        <f>IF(ISNUMBER(N328),ROUND(N(N329)+N(N330)+N(N331)+N(N332)+N(N333)-N(N334)-N(N335)-N(N336)-N328,2),"")</f>
        <v/>
      </c>
      <c r="O337" s="186">
        <f>IF(ISNUMBER(O328),ROUND(N(O329)+N(O330)+N(O331)+N(O332)+N(O333)-N(O334)-N(O335)-N(O336)-O328,2),"")</f>
        <v/>
      </c>
      <c r="P337" s="186">
        <f>IF(ISNUMBER(P328),ROUND(N(P329)+N(P330)+N(P331)+N(P332)+N(P333)-N(P334)-N(P335)-N(P336)-P328,2),"")</f>
        <v/>
      </c>
      <c r="Q337" s="186">
        <f>IF(ISNUMBER(Q328),ROUND(N(Q329)+N(Q330)+N(Q331)+N(Q332)+N(Q333)-N(Q334)-N(Q335)-N(Q336)-Q328,2),"")</f>
        <v/>
      </c>
      <c r="R337" s="186">
        <f>IF(ISNUMBER(R328),ROUND(N(R329)+N(R330)+N(R331)+N(R332)+N(R333)-N(R334)-N(R335)-N(R336)-R328,2),"")</f>
        <v/>
      </c>
      <c r="S337" s="186">
        <f>IF(ISNUMBER(S328),ROUND(N(S329)+N(S330)+N(S331)+N(S332)+N(S333)-N(S334)-N(S335)-N(S336)-S328,2),"")</f>
        <v/>
      </c>
      <c r="T337" s="186">
        <f>IF(ISNUMBER(T328),ROUND(N(T329)+N(T330)+N(T331)+N(T332)+N(T333)-N(T334)-N(T335)-N(T336)-T328,2),"")</f>
        <v/>
      </c>
      <c r="U337" s="186">
        <f>IF(ISNUMBER(U328),ROUND(N(U329)+N(U330)+N(U331)+N(U332)+N(U333)-N(U334)-N(U335)-N(U336)-U328,2),"")</f>
        <v/>
      </c>
      <c r="V337" s="186">
        <f>IF(ISNUMBER(V328),ROUND(N(V329)+N(V330)+N(V331)+N(V332)+N(V333)-N(V334)-N(V335)-N(V336)-V328,2),"")</f>
        <v/>
      </c>
      <c r="W337" s="186">
        <f>IF(ISNUMBER(W328),ROUND(N(W329)+N(W330)+N(W331)+N(W332)+N(W333)-N(W334)-N(W335)-N(W336)-W328,2),"")</f>
        <v/>
      </c>
      <c r="X337" s="186">
        <f>IF(ISNUMBER(X328),ROUND(N(X329)+N(X330)+N(X331)+N(X332)+N(X333)-N(X334)-N(X335)-N(X336)-X328,2),"")</f>
        <v/>
      </c>
      <c r="Y337" s="186">
        <f>IF(ISNUMBER(Y328),ROUND(N(Y329)+N(Y330)+N(Y331)+N(Y332)+N(Y333)-N(Y334)-N(Y335)-N(Y336)-Y328,2),"")</f>
        <v/>
      </c>
      <c r="Z337" s="186">
        <f>IF(ISNUMBER(Z328),ROUND(N(Z329)+N(Z330)+N(Z331)+N(Z332)+N(Z333)-N(Z334)-N(Z335)-N(Z336)-Z328,2),"")</f>
        <v/>
      </c>
      <c r="AA337" s="186">
        <f>IF(ISNUMBER(AA328),ROUND(N(AA329)+N(AA330)+N(AA331)+N(AA332)+N(AA333)-N(AA334)-N(AA335)-N(AA336)-AA328,2),"")</f>
        <v/>
      </c>
      <c r="AB337" s="186">
        <f>IF(ISNUMBER(AB328),ROUND(N(AB329)+N(AB330)+N(AB331)+N(AB332)+N(AB333)-N(AB334)-N(AB335)-N(AB336)-AB328,2),"")</f>
        <v/>
      </c>
      <c r="AC337" s="186">
        <f>IF(ISNUMBER(AC328),ROUND(N(AC329)+N(AC330)+N(AC331)+N(AC332)+N(AC333)-N(AC334)-N(AC335)-N(AC336)-AC328,2),"")</f>
        <v/>
      </c>
      <c r="AD337" s="186">
        <f>IF(ISNUMBER(AD328),ROUND(N(AD329)+N(AD330)+N(AD331)+N(AD332)+N(AD333)-N(AD334)-N(AD335)-N(AD336)-AD328,2),"")</f>
        <v/>
      </c>
      <c r="AE337" s="186">
        <f>IF(ISNUMBER(AE328),ROUND(N(AE329)+N(AE330)+N(AE331)+N(AE332)+N(AE333)-N(AE334)-N(AE335)-N(AE336)-AE328,2),"")</f>
        <v/>
      </c>
      <c r="AF337" s="186">
        <f>IF(ISNUMBER(AF328),ROUND(N(AF329)+N(AF330)+N(AF331)+N(AF332)+N(AF333)-N(AF334)-N(AF335)-N(AF336)-AF328,2),"")</f>
        <v/>
      </c>
      <c r="AG337" s="186">
        <f>IF(ISNUMBER(AG328),ROUND(N(AG329)+N(AG330)+N(AG331)+N(AG332)+N(AG333)-N(AG334)-N(AG335)-N(AG336)-AG328,2),"")</f>
        <v/>
      </c>
      <c r="AH337" s="186">
        <f>IF(ISNUMBER(AH328),ROUND(N(AH329)+N(AH330)+N(AH331)+N(AH332)+N(AH333)-N(AH334)-N(AH335)-N(AH336)-AH328,2),"")</f>
        <v/>
      </c>
      <c r="AI337" s="6" t="n"/>
      <c r="AJ337" s="6" t="n"/>
      <c r="AK337" s="6" t="n"/>
      <c r="AL337" s="6" t="n"/>
      <c r="AM337" s="6" t="n"/>
      <c r="AN337" s="6" t="n"/>
      <c r="AO337" s="6" t="n"/>
      <c r="AP337" s="6" t="n"/>
    </row>
    <row r="338" ht="15" customHeight="1">
      <c r="B338" s="67" t="inlineStr">
        <is>
          <t xml:space="preserve">  Deal(s) closed in the quarter</t>
        </is>
      </c>
      <c r="O338" s="213" t="inlineStr">
        <is>
          <t>SCHROTH Safety Products — closed 28-Jul-2022</t>
        </is>
      </c>
      <c r="T338" s="213" t="inlineStr">
        <is>
          <t>DAC (Desser Aerospace proprietary businesses, 3-Jul-2023) + CAV Systems (1-Sep-2023) — aggregate</t>
        </is>
      </c>
      <c r="Y338" s="213" t="inlineStr">
        <is>
          <t>Applied Avionics (AAI) — closed 26-Aug-2024</t>
        </is>
      </c>
      <c r="AD338" s="213" t="inlineStr">
        <is>
          <t>Beadlight Ltd — closed 28-Jul-2025</t>
        </is>
      </c>
      <c r="AE338" s="213" t="inlineStr">
        <is>
          <t>LMB Fans &amp; Motors — closed 23-Dec-2025 (EUR367m + debt repaid; incl. $0.9m deferred purchase obligation)</t>
        </is>
      </c>
      <c r="AG338" s="213" t="inlineStr">
        <is>
          <t>Harper Engineering — closed 21-Jan-2026 ($249.8m cash + $15.3m contingent consideration, max $55m)</t>
        </is>
      </c>
      <c r="AI338" s="6" t="n"/>
      <c r="AJ338" s="6" t="n"/>
      <c r="AK338" s="6" t="n"/>
      <c r="AL338" s="6" t="n"/>
      <c r="AM338" s="6" t="n"/>
      <c r="AN338" s="6" t="n"/>
      <c r="AO338" s="6" t="n"/>
      <c r="AP338" s="20" t="n"/>
    </row>
    <row r="339" ht="15" customHeight="1">
      <c r="B339" s="26" t="inlineStr">
        <is>
          <t>Share count &amp; pricing</t>
        </is>
      </c>
      <c r="AP339" s="6" t="n"/>
    </row>
    <row r="340" ht="15" customHeight="1">
      <c r="B340" s="76" t="inlineStr">
        <is>
          <t xml:space="preserve">  Dilutive securities (m shares; options &amp; RSUs)</t>
        </is>
      </c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6" t="n"/>
      <c r="AJ340" s="6" t="n"/>
      <c r="AK340" s="37" t="n"/>
      <c r="AL340" s="187" t="n">
        <v>1.9</v>
      </c>
      <c r="AM340" s="187" t="n">
        <v>1.9</v>
      </c>
      <c r="AN340" s="187" t="n">
        <v>1.9</v>
      </c>
      <c r="AO340" s="187" t="n">
        <v>1.9</v>
      </c>
      <c r="AP340" s="20" t="n"/>
    </row>
    <row r="341" ht="15" customHeight="1">
      <c r="B341" s="76" t="inlineStr">
        <is>
          <t xml:space="preserve">  Share-price appreciation % (buyback pricing)</t>
        </is>
      </c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6" t="n"/>
      <c r="AJ341" s="6" t="n"/>
      <c r="AK341" s="37" t="n"/>
      <c r="AL341" s="192" t="n">
        <v>0.08</v>
      </c>
      <c r="AM341" s="192" t="n">
        <v>0.08</v>
      </c>
      <c r="AN341" s="192" t="n">
        <v>0.08</v>
      </c>
      <c r="AO341" s="192" t="n">
        <v>0.08</v>
      </c>
      <c r="AP341" s="20" t="n"/>
    </row>
    <row r="342" ht="15" customHeight="1">
      <c r="B342" s="26" t="inlineStr">
        <is>
          <t>Debt schedule (term loans prepayable at par: drawn / repaid to a minimum cash balance)</t>
        </is>
      </c>
      <c r="AP342" s="6" t="n"/>
    </row>
    <row r="343" ht="15" customHeight="1">
      <c r="B343" s="76" t="inlineStr">
        <is>
          <t xml:space="preserve">  Total debt, net of issuance costs (current + long-term)</t>
        </is>
      </c>
      <c r="C343" s="186">
        <f>IF(ISNUMBER(C298),N(C295)+C298,"")</f>
        <v/>
      </c>
      <c r="D343" s="186">
        <f>IF(ISNUMBER(D298),N(D295)+D298,"")</f>
        <v/>
      </c>
      <c r="E343" s="186">
        <f>IF(ISNUMBER(E298),N(E295)+E298,"")</f>
        <v/>
      </c>
      <c r="F343" s="186">
        <f>IF(ISNUMBER(F298),N(F295)+F298,"")</f>
        <v/>
      </c>
      <c r="G343" s="186">
        <f>IF(ISNUMBER(G298),N(G295)+G298,"")</f>
        <v/>
      </c>
      <c r="H343" s="186">
        <f>IF(ISNUMBER(H298),N(H295)+H298,"")</f>
        <v/>
      </c>
      <c r="I343" s="186">
        <f>IF(ISNUMBER(I298),N(I295)+I298,"")</f>
        <v/>
      </c>
      <c r="J343" s="186">
        <f>IF(ISNUMBER(J298),N(J295)+J298,"")</f>
        <v/>
      </c>
      <c r="K343" s="186">
        <f>IF(ISNUMBER(K298),N(K295)+K298,"")</f>
        <v/>
      </c>
      <c r="L343" s="186">
        <f>IF(ISNUMBER(L298),N(L295)+L298,"")</f>
        <v/>
      </c>
      <c r="M343" s="186">
        <f>IF(ISNUMBER(M298),N(M295)+M298,"")</f>
        <v/>
      </c>
      <c r="N343" s="186">
        <f>IF(ISNUMBER(N298),N(N295)+N298,"")</f>
        <v/>
      </c>
      <c r="O343" s="186">
        <f>IF(ISNUMBER(O298),N(O295)+O298,"")</f>
        <v/>
      </c>
      <c r="P343" s="186">
        <f>IF(ISNUMBER(P298),N(P295)+P298,"")</f>
        <v/>
      </c>
      <c r="Q343" s="186">
        <f>IF(ISNUMBER(Q298),N(Q295)+Q298,"")</f>
        <v/>
      </c>
      <c r="R343" s="186">
        <f>IF(ISNUMBER(R298),N(R295)+R298,"")</f>
        <v/>
      </c>
      <c r="S343" s="186">
        <f>IF(ISNUMBER(S298),N(S295)+S298,"")</f>
        <v/>
      </c>
      <c r="T343" s="186">
        <f>IF(ISNUMBER(T298),N(T295)+T298,"")</f>
        <v/>
      </c>
      <c r="U343" s="186">
        <f>IF(ISNUMBER(U298),N(U295)+U298,"")</f>
        <v/>
      </c>
      <c r="V343" s="186">
        <f>IF(ISNUMBER(V298),N(V295)+V298,"")</f>
        <v/>
      </c>
      <c r="W343" s="186">
        <f>IF(ISNUMBER(W298),N(W295)+W298,"")</f>
        <v/>
      </c>
      <c r="X343" s="186">
        <f>IF(ISNUMBER(X298),N(X295)+X298,"")</f>
        <v/>
      </c>
      <c r="Y343" s="186">
        <f>IF(ISNUMBER(Y298),N(Y295)+Y298,"")</f>
        <v/>
      </c>
      <c r="Z343" s="186">
        <f>IF(ISNUMBER(Z298),N(Z295)+Z298,"")</f>
        <v/>
      </c>
      <c r="AA343" s="186">
        <f>IF(ISNUMBER(AA298),N(AA295)+AA298,"")</f>
        <v/>
      </c>
      <c r="AB343" s="186">
        <f>IF(ISNUMBER(AB298),N(AB295)+AB298,"")</f>
        <v/>
      </c>
      <c r="AC343" s="186">
        <f>IF(ISNUMBER(AC298),N(AC295)+AC298,"")</f>
        <v/>
      </c>
      <c r="AD343" s="186">
        <f>IF(ISNUMBER(AD298),N(AD295)+AD298,"")</f>
        <v/>
      </c>
      <c r="AE343" s="186">
        <f>IF(ISNUMBER(AE298),N(AE295)+AE298,"")</f>
        <v/>
      </c>
      <c r="AF343" s="186">
        <f>IF(ISNUMBER(AF298),N(AF295)+AF298,"")</f>
        <v/>
      </c>
      <c r="AG343" s="186">
        <f>IF(ISNUMBER(AG298),N(AG295)+AG298,"")</f>
        <v/>
      </c>
      <c r="AH343" s="186">
        <f>IF(ISNUMBER(AH298),N(AH295)+AH298,"")</f>
        <v/>
      </c>
      <c r="AI343" s="6" t="n"/>
      <c r="AJ343" s="6" t="n"/>
      <c r="AK343" s="175">
        <f>AK344+AK348</f>
        <v/>
      </c>
      <c r="AL343" s="175">
        <f>AL344+AL348</f>
        <v/>
      </c>
      <c r="AM343" s="175">
        <f>AM344+AM348</f>
        <v/>
      </c>
      <c r="AN343" s="175">
        <f>AN344+AN348</f>
        <v/>
      </c>
      <c r="AO343" s="175">
        <f>AO344+AO348</f>
        <v/>
      </c>
      <c r="AP343" s="20" t="inlineStr">
        <is>
          <t>Credit Agreement (First Eagle Alternative Credit admin agent; Citibank revolver agent): term loans $962.9m at 30-Jun-2026 (SOFR + 4.25% from 1-Aug-2025, &lt;5.5x leverage), maturity 10-May-2030; $50m revolver (undrawn, matures 10-May-2029); $35m delayed-draw term loan available to 30-Sep-2026; WV Economic Development Authority notes $1.5m (forgivable). Voluntary prepayment at par permitted; excess-cash-flow sweep.</t>
        </is>
      </c>
    </row>
    <row r="344" ht="15" customHeight="1">
      <c r="B344" s="76" t="inlineStr">
        <is>
          <t xml:space="preserve">  Other debt — West Virginia EDA notes (forgivable; from Jul-2025)</t>
        </is>
      </c>
      <c r="C344" s="186">
        <f>IF(ISNUMBER(C343),0,"")</f>
        <v/>
      </c>
      <c r="D344" s="186">
        <f>IF(ISNUMBER(D343),0,"")</f>
        <v/>
      </c>
      <c r="E344" s="186">
        <f>IF(ISNUMBER(E343),0,"")</f>
        <v/>
      </c>
      <c r="F344" s="186">
        <f>IF(ISNUMBER(F343),0,"")</f>
        <v/>
      </c>
      <c r="G344" s="186">
        <f>IF(ISNUMBER(G343),0,"")</f>
        <v/>
      </c>
      <c r="H344" s="186">
        <f>IF(ISNUMBER(H343),0,"")</f>
        <v/>
      </c>
      <c r="I344" s="186">
        <f>IF(ISNUMBER(I343),0,"")</f>
        <v/>
      </c>
      <c r="J344" s="186">
        <f>IF(ISNUMBER(J343),0,"")</f>
        <v/>
      </c>
      <c r="K344" s="186">
        <f>IF(ISNUMBER(K343),0,"")</f>
        <v/>
      </c>
      <c r="L344" s="186">
        <f>IF(ISNUMBER(L343),0,"")</f>
        <v/>
      </c>
      <c r="M344" s="186">
        <f>IF(ISNUMBER(M343),0,"")</f>
        <v/>
      </c>
      <c r="N344" s="186">
        <f>IF(ISNUMBER(N343),0,"")</f>
        <v/>
      </c>
      <c r="O344" s="186">
        <f>IF(ISNUMBER(O343),0,"")</f>
        <v/>
      </c>
      <c r="P344" s="186">
        <f>IF(ISNUMBER(P343),0,"")</f>
        <v/>
      </c>
      <c r="Q344" s="186">
        <f>IF(ISNUMBER(Q343),0,"")</f>
        <v/>
      </c>
      <c r="R344" s="186">
        <f>IF(ISNUMBER(R343),0,"")</f>
        <v/>
      </c>
      <c r="S344" s="186">
        <f>IF(ISNUMBER(S343),0,"")</f>
        <v/>
      </c>
      <c r="T344" s="186">
        <f>IF(ISNUMBER(T343),0,"")</f>
        <v/>
      </c>
      <c r="U344" s="186">
        <f>IF(ISNUMBER(U343),0,"")</f>
        <v/>
      </c>
      <c r="V344" s="186">
        <f>IF(ISNUMBER(V343),0,"")</f>
        <v/>
      </c>
      <c r="W344" s="186">
        <f>IF(ISNUMBER(W343),0,"")</f>
        <v/>
      </c>
      <c r="X344" s="186">
        <f>IF(ISNUMBER(X343),0,"")</f>
        <v/>
      </c>
      <c r="Y344" s="186">
        <f>IF(ISNUMBER(Y343),0,"")</f>
        <v/>
      </c>
      <c r="Z344" s="186">
        <f>IF(ISNUMBER(Z343),0,"")</f>
        <v/>
      </c>
      <c r="AA344" s="186">
        <f>IF(ISNUMBER(AA343),0,"")</f>
        <v/>
      </c>
      <c r="AB344" s="186">
        <f>IF(ISNUMBER(AB343),0,"")</f>
        <v/>
      </c>
      <c r="AC344" s="186">
        <f>IF(ISNUMBER(AC343),0,"")</f>
        <v/>
      </c>
      <c r="AD344" s="186">
        <f>IF(ISNUMBER(AD343),1.5,"")</f>
        <v/>
      </c>
      <c r="AE344" s="186">
        <f>IF(ISNUMBER(AE343),1.5,"")</f>
        <v/>
      </c>
      <c r="AF344" s="186">
        <f>IF(ISNUMBER(AF343),1.5,"")</f>
        <v/>
      </c>
      <c r="AG344" s="186">
        <f>IF(ISNUMBER(AG343),1.5,"")</f>
        <v/>
      </c>
      <c r="AH344" s="186">
        <f>IF(ISNUMBER(AH343),1.5,"")</f>
        <v/>
      </c>
      <c r="AI344" s="6" t="n"/>
      <c r="AJ344" s="6" t="n"/>
      <c r="AK344" s="187" t="n">
        <v>1.5</v>
      </c>
      <c r="AL344" s="187" t="n">
        <v>1.5</v>
      </c>
      <c r="AM344" s="187" t="n">
        <v>1.5</v>
      </c>
      <c r="AN344" s="187" t="n">
        <v>1.5</v>
      </c>
      <c r="AO344" s="187" t="n">
        <v>1.5</v>
      </c>
      <c r="AP344" s="20" t="n"/>
    </row>
    <row r="345" ht="15" customHeight="1">
      <c r="B345" s="76" t="inlineStr">
        <is>
          <t xml:space="preserve">  Cash before term-loan draws / prepayments (opening cash + CFO + CFI + equity, buybacks &amp; other financing + FX)</t>
        </is>
      </c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6" t="n"/>
      <c r="AJ345" s="6" t="n"/>
      <c r="AK345" s="175">
        <f>AK256+AK243+AK247+AK248+AK251+AK252+AK254+(AG249+AH249)+(AG250+AH250)</f>
        <v/>
      </c>
      <c r="AL345" s="175">
        <f>AL256+AL243+AL247+AL248+AL251+AL252+AL254</f>
        <v/>
      </c>
      <c r="AM345" s="175">
        <f>AM256+AM243+AM247+AM248+AM251+AM252+AM254</f>
        <v/>
      </c>
      <c r="AN345" s="175">
        <f>AN256+AN243+AN247+AN248+AN251+AN252+AN254</f>
        <v/>
      </c>
      <c r="AO345" s="175">
        <f>AO256+AO243+AO247+AO248+AO251+AO252+AO254</f>
        <v/>
      </c>
      <c r="AP345" s="20" t="n"/>
    </row>
    <row r="346" ht="15" customHeight="1">
      <c r="B346" s="76" t="inlineStr">
        <is>
          <t xml:space="preserve">  Minimum cash balance</t>
        </is>
      </c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6" t="n"/>
      <c r="AJ346" s="6" t="n"/>
      <c r="AK346" s="187" t="n">
        <v>75</v>
      </c>
      <c r="AL346" s="187" t="n">
        <v>75</v>
      </c>
      <c r="AM346" s="187" t="n">
        <v>75</v>
      </c>
      <c r="AN346" s="187" t="n">
        <v>75</v>
      </c>
      <c r="AO346" s="187" t="n">
        <v>75</v>
      </c>
      <c r="AP346" s="20" t="n"/>
    </row>
    <row r="347" ht="15" customHeight="1">
      <c r="B347" s="76" t="inlineStr">
        <is>
          <t xml:space="preserve">  Accretion of debt issuance costs (non-cash; in interest expense)</t>
        </is>
      </c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6" t="n"/>
      <c r="AJ347" s="6" t="n"/>
      <c r="AK347" s="175">
        <f>2.0</f>
        <v/>
      </c>
      <c r="AL347" s="175">
        <f>4.0</f>
        <v/>
      </c>
      <c r="AM347" s="175">
        <f>4.0</f>
        <v/>
      </c>
      <c r="AN347" s="175">
        <f>4.0</f>
        <v/>
      </c>
      <c r="AO347" s="175">
        <f>4.0</f>
        <v/>
      </c>
      <c r="AP347" s="20" t="inlineStr">
        <is>
          <t>~$1m a quarter (1H/26 $1.9m): increases the term-loan carrying value; added back in operating cash flow.</t>
        </is>
      </c>
    </row>
    <row r="348" ht="15" customHeight="1">
      <c r="B348" s="76" t="inlineStr">
        <is>
          <t xml:space="preserve">  Term loans (carrying value; prepayable at par, year end)</t>
        </is>
      </c>
      <c r="C348" s="186">
        <f>IF(ISNUMBER(C343),C343-C344,"")</f>
        <v/>
      </c>
      <c r="D348" s="186">
        <f>IF(ISNUMBER(D343),D343-D344,"")</f>
        <v/>
      </c>
      <c r="E348" s="186">
        <f>IF(ISNUMBER(E343),E343-E344,"")</f>
        <v/>
      </c>
      <c r="F348" s="186">
        <f>IF(ISNUMBER(F343),F343-F344,"")</f>
        <v/>
      </c>
      <c r="G348" s="186">
        <f>IF(ISNUMBER(G343),G343-G344,"")</f>
        <v/>
      </c>
      <c r="H348" s="186">
        <f>IF(ISNUMBER(H343),H343-H344,"")</f>
        <v/>
      </c>
      <c r="I348" s="186">
        <f>IF(ISNUMBER(I343),I343-I344,"")</f>
        <v/>
      </c>
      <c r="J348" s="186">
        <f>IF(ISNUMBER(J343),J343-J344,"")</f>
        <v/>
      </c>
      <c r="K348" s="186">
        <f>IF(ISNUMBER(K343),K343-K344,"")</f>
        <v/>
      </c>
      <c r="L348" s="186">
        <f>IF(ISNUMBER(L343),L343-L344,"")</f>
        <v/>
      </c>
      <c r="M348" s="186">
        <f>IF(ISNUMBER(M343),M343-M344,"")</f>
        <v/>
      </c>
      <c r="N348" s="186">
        <f>IF(ISNUMBER(N343),N343-N344,"")</f>
        <v/>
      </c>
      <c r="O348" s="186">
        <f>IF(ISNUMBER(O343),O343-O344,"")</f>
        <v/>
      </c>
      <c r="P348" s="186">
        <f>IF(ISNUMBER(P343),P343-P344,"")</f>
        <v/>
      </c>
      <c r="Q348" s="186">
        <f>IF(ISNUMBER(Q343),Q343-Q344,"")</f>
        <v/>
      </c>
      <c r="R348" s="186">
        <f>IF(ISNUMBER(R343),R343-R344,"")</f>
        <v/>
      </c>
      <c r="S348" s="186">
        <f>IF(ISNUMBER(S343),S343-S344,"")</f>
        <v/>
      </c>
      <c r="T348" s="186">
        <f>IF(ISNUMBER(T343),T343-T344,"")</f>
        <v/>
      </c>
      <c r="U348" s="186">
        <f>IF(ISNUMBER(U343),U343-U344,"")</f>
        <v/>
      </c>
      <c r="V348" s="186">
        <f>IF(ISNUMBER(V343),V343-V344,"")</f>
        <v/>
      </c>
      <c r="W348" s="186">
        <f>IF(ISNUMBER(W343),W343-W344,"")</f>
        <v/>
      </c>
      <c r="X348" s="186">
        <f>IF(ISNUMBER(X343),X343-X344,"")</f>
        <v/>
      </c>
      <c r="Y348" s="186">
        <f>IF(ISNUMBER(Y343),Y343-Y344,"")</f>
        <v/>
      </c>
      <c r="Z348" s="186">
        <f>IF(ISNUMBER(Z343),Z343-Z344,"")</f>
        <v/>
      </c>
      <c r="AA348" s="186">
        <f>IF(ISNUMBER(AA343),AA343-AA344,"")</f>
        <v/>
      </c>
      <c r="AB348" s="186">
        <f>IF(ISNUMBER(AB343),AB343-AB344,"")</f>
        <v/>
      </c>
      <c r="AC348" s="186">
        <f>IF(ISNUMBER(AC343),AC343-AC344,"")</f>
        <v/>
      </c>
      <c r="AD348" s="186">
        <f>IF(ISNUMBER(AD343),AD343-AD344,"")</f>
        <v/>
      </c>
      <c r="AE348" s="186">
        <f>IF(ISNUMBER(AE343),AE343-AE344,"")</f>
        <v/>
      </c>
      <c r="AF348" s="186">
        <f>IF(ISNUMBER(AF343),AF343-AF344,"")</f>
        <v/>
      </c>
      <c r="AG348" s="186">
        <f>IF(ISNUMBER(AG343),AG343-AG344,"")</f>
        <v/>
      </c>
      <c r="AH348" s="186">
        <f>IF(ISNUMBER(AH343),AH343-AH344,"")</f>
        <v/>
      </c>
      <c r="AI348" s="6" t="n"/>
      <c r="AJ348" s="6" t="n"/>
      <c r="AK348" s="175">
        <f>MAX(0,AH348+AK346-AK345)+AK347</f>
        <v/>
      </c>
      <c r="AL348" s="175">
        <f>MAX(0,AK348+AL346-AL345)+AL347</f>
        <v/>
      </c>
      <c r="AM348" s="175">
        <f>MAX(0,AL348+AM346-AM345)+AM347</f>
        <v/>
      </c>
      <c r="AN348" s="175">
        <f>MAX(0,AM348+AN346-AN345)+AN347</f>
        <v/>
      </c>
      <c r="AO348" s="175">
        <f>MAX(0,AN348+AO346-AO345)+AO347</f>
        <v/>
      </c>
      <c r="AP348" s="20" t="inlineStr">
        <is>
          <t>Surplus cash above the minimum balance prepays term loans (no premium); shortfalls (M&amp;A) are drawn. Maturity 10-May-2030 assumed refinanced / extended.</t>
        </is>
      </c>
    </row>
    <row r="349" ht="15" customHeight="1">
      <c r="B349" s="76" t="inlineStr">
        <is>
          <t xml:space="preserve">  Net issuance / (repayment)</t>
        </is>
      </c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6" t="n"/>
      <c r="AJ349" s="6" t="n"/>
      <c r="AK349" s="175">
        <f>IFERROR(AK343-AF343,"")</f>
        <v/>
      </c>
      <c r="AL349" s="175">
        <f>IFERROR(AL343-AK343,"")</f>
        <v/>
      </c>
      <c r="AM349" s="175">
        <f>IFERROR(AM343-AL343,"")</f>
        <v/>
      </c>
      <c r="AN349" s="175">
        <f>IFERROR(AN343-AM343,"")</f>
        <v/>
      </c>
      <c r="AO349" s="175">
        <f>IFERROR(AO343-AN343,"")</f>
        <v/>
      </c>
      <c r="AP349" s="20" t="n"/>
    </row>
    <row r="350" ht="15" customHeight="1">
      <c r="B350" s="76" t="inlineStr">
        <is>
          <t xml:space="preserve">  Interest rate on term loans (opening balance; SOFR + 4.25% incl. debt-cost amortization) %</t>
        </is>
      </c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6" t="n"/>
      <c r="AJ350" s="6" t="n"/>
      <c r="AK350" s="37" t="n"/>
      <c r="AL350" s="192" t="n">
        <v>0.0825</v>
      </c>
      <c r="AM350" s="192" t="n">
        <v>0.08</v>
      </c>
      <c r="AN350" s="192" t="n">
        <v>0.08</v>
      </c>
      <c r="AO350" s="192" t="n">
        <v>0.08</v>
      </c>
      <c r="AP350" s="20" t="inlineStr">
        <is>
          <t>Q2-26 interest $20.0m on ~$963m term loans ≈ 8.3% (SOFR ~3.9% + 4.25% + debt-cost amortization ~0.4%, less interest income). 2028+: lower SOFR / repricing as leverage falls.</t>
        </is>
      </c>
    </row>
    <row r="351" ht="15" customHeight="1">
      <c r="B351" s="76" t="inlineStr">
        <is>
          <t xml:space="preserve">  Interest rate on other debt %</t>
        </is>
      </c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6" t="n"/>
      <c r="AJ351" s="6" t="n"/>
      <c r="AK351" s="37" t="n"/>
      <c r="AL351" s="192" t="n">
        <v>0</v>
      </c>
      <c r="AM351" s="192" t="n">
        <v>0</v>
      </c>
      <c r="AN351" s="192" t="n">
        <v>0</v>
      </c>
      <c r="AO351" s="192" t="n">
        <v>0</v>
      </c>
      <c r="AP351" s="20" t="n"/>
    </row>
    <row r="352" ht="15" customHeight="1">
      <c r="B352" s="76" t="inlineStr">
        <is>
          <t xml:space="preserve">  Interest income yield on opening cash %</t>
        </is>
      </c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6" t="n"/>
      <c r="AJ352" s="6" t="n"/>
      <c r="AK352" s="37" t="n"/>
      <c r="AL352" s="192" t="n">
        <v>0.03</v>
      </c>
      <c r="AM352" s="192" t="n">
        <v>0.03</v>
      </c>
      <c r="AN352" s="192" t="n">
        <v>0.03</v>
      </c>
      <c r="AO352" s="192" t="n">
        <v>0.03</v>
      </c>
      <c r="AP352" s="20" t="n"/>
    </row>
    <row r="353" ht="15" customHeight="1">
      <c r="B353" s="26" t="inlineStr">
        <is>
          <t>Leverage-targeted buybacks (repurchases plug to a minimum net debt / Adjusted EBITDA, 2027E+)</t>
        </is>
      </c>
      <c r="AP353" s="6" t="n"/>
    </row>
    <row r="354" ht="15" customHeight="1">
      <c r="B354" s="76" t="inlineStr">
        <is>
          <t xml:space="preserve">  Minimum net debt / Adjusted EBITDA (x) (scenario)</t>
        </is>
      </c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6" t="n"/>
      <c r="AJ354" s="6" t="n"/>
      <c r="AK354" s="37" t="n"/>
      <c r="AL354" s="214">
        <f>CHOOSE(MATCH($AP$2,{"Bull","Base","Bear"},0),$AY$26,$AZ$26,$BA$26)</f>
        <v/>
      </c>
      <c r="AM354" s="214">
        <f>CHOOSE(MATCH($AP$2,{"Bull","Base","Bear"},0),$AY$26,$AZ$26,$BA$26)</f>
        <v/>
      </c>
      <c r="AN354" s="214">
        <f>CHOOSE(MATCH($AP$2,{"Bull","Base","Bear"},0),$AY$26,$AZ$26,$BA$26)</f>
        <v/>
      </c>
      <c r="AO354" s="214">
        <f>CHOOSE(MATCH($AP$2,{"Bull","Base","Bear"},0),$AY$26,$AZ$26,$BA$26)</f>
        <v/>
      </c>
      <c r="AP354" s="20" t="inlineStr">
        <is>
          <t>Net debt $830m at 30-Jun-26 = ~3.6x LTM Adjusted EBITDA (~3.1x FY26E guidance mid-point) after LMB / Harper; &lt; 5.5x keeps the SOFR + 4.25% margin. Floor = leverage at which surplus cash is returned via buybacks; until then free cash flow prepays term loans. Bull keeps more firepower deployed (higher floor).</t>
        </is>
      </c>
    </row>
    <row r="355" ht="15" customHeight="1">
      <c r="B355" s="76" t="inlineStr">
        <is>
          <t xml:space="preserve">  Net debt before buybacks (year end)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6" t="n"/>
      <c r="AJ355" s="6" t="n"/>
      <c r="AK355" s="37" t="n"/>
      <c r="AL355" s="175">
        <f>AK344+AK348+AK313-AK257-AL243-AL247-AL248-AL252-AL254</f>
        <v/>
      </c>
      <c r="AM355" s="175">
        <f>AL344+AL348+AL313-AL257-AM243-AM247-AM248-AM252-AM254</f>
        <v/>
      </c>
      <c r="AN355" s="175">
        <f>AM344+AM348+AM313-AM257-AN243-AN247-AN248-AN252-AN254</f>
        <v/>
      </c>
      <c r="AO355" s="175">
        <f>AN344+AN348+AN313-AN257-AO243-AO247-AO248-AO252-AO254</f>
        <v/>
      </c>
      <c r="AP355" s="20" t="n"/>
    </row>
    <row r="356" ht="15" customHeight="1">
      <c r="B356" s="76" t="inlineStr">
        <is>
          <t xml:space="preserve">  Target minimum net debt = min. leverage × Adjusted EBITDA</t>
        </is>
      </c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6" t="n"/>
      <c r="AJ356" s="6" t="n"/>
      <c r="AK356" s="37" t="n"/>
      <c r="AL356" s="175">
        <f>AL354*AL174</f>
        <v/>
      </c>
      <c r="AM356" s="175">
        <f>AM354*AM174</f>
        <v/>
      </c>
      <c r="AN356" s="175">
        <f>AN354*AN174</f>
        <v/>
      </c>
      <c r="AO356" s="175">
        <f>AO354*AO174</f>
        <v/>
      </c>
      <c r="AP356" s="20" t="n"/>
    </row>
    <row r="357" ht="15" customHeight="1">
      <c r="B357" s="76" t="inlineStr">
        <is>
          <t xml:space="preserve">  Share repurchases: plug to minimum leverage</t>
        </is>
      </c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6" t="n"/>
      <c r="AJ357" s="6" t="n"/>
      <c r="AK357" s="37" t="n"/>
      <c r="AL357" s="175">
        <f>MAX(0,AL356-AL355)</f>
        <v/>
      </c>
      <c r="AM357" s="175">
        <f>MAX(0,AM356-AM355)</f>
        <v/>
      </c>
      <c r="AN357" s="175">
        <f>MAX(0,AN356-AN355)</f>
        <v/>
      </c>
      <c r="AO357" s="175">
        <f>MAX(0,AO356-AO355)</f>
        <v/>
      </c>
      <c r="AP357" s="20" t="inlineStr">
        <is>
          <t>Surplus cash beyond the leverage floor is returned via buybacks; feeds the cash-flow repurchase line.</t>
        </is>
      </c>
    </row>
    <row r="358" ht="15" customHeight="1">
      <c r="B358" s="26" t="inlineStr">
        <is>
          <t>Historical reference (driver context)</t>
        </is>
      </c>
      <c r="AP358" s="6" t="n"/>
    </row>
    <row r="359" ht="15" customHeight="1">
      <c r="B359" s="26" t="inlineStr">
        <is>
          <t xml:space="preserve">  Total D&amp;A % of net sales</t>
        </is>
      </c>
      <c r="C359" s="183">
        <f>IF(AND(ISNUMBER(C144),ISNUMBER(C127)),IFERROR(C144/C127,""),"")</f>
        <v/>
      </c>
      <c r="D359" s="183">
        <f>IF(AND(ISNUMBER(D144),ISNUMBER(D127)),IFERROR(D144/D127,""),"")</f>
        <v/>
      </c>
      <c r="E359" s="183">
        <f>IF(AND(ISNUMBER(E144),ISNUMBER(E127)),IFERROR(E144/E127,""),"")</f>
        <v/>
      </c>
      <c r="F359" s="183">
        <f>IF(AND(ISNUMBER(F144),ISNUMBER(F127)),IFERROR(F144/F127,""),"")</f>
        <v/>
      </c>
      <c r="G359" s="183">
        <f>IF(AND(ISNUMBER(G144),ISNUMBER(G127)),IFERROR(G144/G127,""),"")</f>
        <v/>
      </c>
      <c r="H359" s="183">
        <f>IF(AND(ISNUMBER(H144),ISNUMBER(H127)),IFERROR(H144/H127,""),"")</f>
        <v/>
      </c>
      <c r="I359" s="183">
        <f>IF(AND(ISNUMBER(I144),ISNUMBER(I127)),IFERROR(I144/I127,""),"")</f>
        <v/>
      </c>
      <c r="J359" s="183">
        <f>IF(AND(ISNUMBER(J144),ISNUMBER(J127)),IFERROR(J144/J127,""),"")</f>
        <v/>
      </c>
      <c r="K359" s="183">
        <f>IF(AND(ISNUMBER(K144),ISNUMBER(K127)),IFERROR(K144/K127,""),"")</f>
        <v/>
      </c>
      <c r="L359" s="183">
        <f>IF(AND(ISNUMBER(L144),ISNUMBER(L127)),IFERROR(L144/L127,""),"")</f>
        <v/>
      </c>
      <c r="M359" s="183">
        <f>IF(AND(ISNUMBER(M144),ISNUMBER(M127)),IFERROR(M144/M127,""),"")</f>
        <v/>
      </c>
      <c r="N359" s="183">
        <f>IF(AND(ISNUMBER(N144),ISNUMBER(N127)),IFERROR(N144/N127,""),"")</f>
        <v/>
      </c>
      <c r="O359" s="183">
        <f>IF(AND(ISNUMBER(O144),ISNUMBER(O127)),IFERROR(O144/O127,""),"")</f>
        <v/>
      </c>
      <c r="P359" s="183">
        <f>IF(AND(ISNUMBER(P144),ISNUMBER(P127)),IFERROR(P144/P127,""),"")</f>
        <v/>
      </c>
      <c r="Q359" s="183">
        <f>IF(AND(ISNUMBER(Q144),ISNUMBER(Q127)),IFERROR(Q144/Q127,""),"")</f>
        <v/>
      </c>
      <c r="R359" s="183">
        <f>IF(AND(ISNUMBER(R144),ISNUMBER(R127)),IFERROR(R144/R127,""),"")</f>
        <v/>
      </c>
      <c r="S359" s="183">
        <f>IF(AND(ISNUMBER(S144),ISNUMBER(S127)),IFERROR(S144/S127,""),"")</f>
        <v/>
      </c>
      <c r="T359" s="183">
        <f>IF(AND(ISNUMBER(T144),ISNUMBER(T127)),IFERROR(T144/T127,""),"")</f>
        <v/>
      </c>
      <c r="U359" s="183">
        <f>IF(AND(ISNUMBER(U144),ISNUMBER(U127)),IFERROR(U144/U127,""),"")</f>
        <v/>
      </c>
      <c r="V359" s="183">
        <f>IF(AND(ISNUMBER(V144),ISNUMBER(V127)),IFERROR(V144/V127,""),"")</f>
        <v/>
      </c>
      <c r="W359" s="183">
        <f>IF(AND(ISNUMBER(W144),ISNUMBER(W127)),IFERROR(W144/W127,""),"")</f>
        <v/>
      </c>
      <c r="X359" s="183">
        <f>IF(AND(ISNUMBER(X144),ISNUMBER(X127)),IFERROR(X144/X127,""),"")</f>
        <v/>
      </c>
      <c r="Y359" s="183">
        <f>IF(AND(ISNUMBER(Y144),ISNUMBER(Y127)),IFERROR(Y144/Y127,""),"")</f>
        <v/>
      </c>
      <c r="Z359" s="183">
        <f>IF(AND(ISNUMBER(Z144),ISNUMBER(Z127)),IFERROR(Z144/Z127,""),"")</f>
        <v/>
      </c>
      <c r="AA359" s="183">
        <f>IF(AND(ISNUMBER(AA144),ISNUMBER(AA127)),IFERROR(AA144/AA127,""),"")</f>
        <v/>
      </c>
      <c r="AB359" s="183">
        <f>IF(AND(ISNUMBER(AB144),ISNUMBER(AB127)),IFERROR(AB144/AB127,""),"")</f>
        <v/>
      </c>
      <c r="AC359" s="183">
        <f>IF(AND(ISNUMBER(AC144),ISNUMBER(AC127)),IFERROR(AC144/AC127,""),"")</f>
        <v/>
      </c>
      <c r="AD359" s="183">
        <f>IF(AND(ISNUMBER(AD144),ISNUMBER(AD127)),IFERROR(AD144/AD127,""),"")</f>
        <v/>
      </c>
      <c r="AE359" s="183">
        <f>IF(AND(ISNUMBER(AE144),ISNUMBER(AE127)),IFERROR(AE144/AE127,""),"")</f>
        <v/>
      </c>
      <c r="AF359" s="183">
        <f>IF(AND(ISNUMBER(AF144),ISNUMBER(AF127)),IFERROR(AF144/AF127,""),"")</f>
        <v/>
      </c>
      <c r="AG359" s="183">
        <f>IF(AND(ISNUMBER(AG144),ISNUMBER(AG127)),IFERROR(AG144/AG127,""),"")</f>
        <v/>
      </c>
      <c r="AH359" s="183">
        <f>IF(AND(ISNUMBER(AH144),ISNUMBER(AH127)),IFERROR(AH144/AH127,""),"")</f>
        <v/>
      </c>
      <c r="AI359" s="25" t="n"/>
      <c r="AJ359" s="25" t="n"/>
      <c r="AK359" s="177">
        <f>IF(AND(ISNUMBER(AK144),ISNUMBER(AK127)),IFERROR(AK144/AK127,""),"")</f>
        <v/>
      </c>
      <c r="AL359" s="177">
        <f>IF(AND(ISNUMBER(AL144),ISNUMBER(AL127)),IFERROR(AL144/AL127,""),"")</f>
        <v/>
      </c>
      <c r="AM359" s="177">
        <f>IF(AND(ISNUMBER(AM144),ISNUMBER(AM127)),IFERROR(AM144/AM127,""),"")</f>
        <v/>
      </c>
      <c r="AN359" s="177">
        <f>IF(AND(ISNUMBER(AN144),ISNUMBER(AN127)),IFERROR(AN144/AN127,""),"")</f>
        <v/>
      </c>
      <c r="AO359" s="177">
        <f>IF(AND(ISNUMBER(AO144),ISNUMBER(AO127)),IFERROR(AO144/AO127,""),"")</f>
        <v/>
      </c>
      <c r="AP359" s="6" t="n"/>
    </row>
    <row r="360" ht="15" customHeight="1">
      <c r="B360" s="26" t="inlineStr">
        <is>
          <t xml:space="preserve">  Amortization % of net sales</t>
        </is>
      </c>
      <c r="C360" s="183">
        <f>IF(AND(ISNUMBER(C115),ISNUMBER(C127)),IFERROR(C115/C127,""),"")</f>
        <v/>
      </c>
      <c r="D360" s="183">
        <f>IF(AND(ISNUMBER(D115),ISNUMBER(D127)),IFERROR(D115/D127,""),"")</f>
        <v/>
      </c>
      <c r="E360" s="183">
        <f>IF(AND(ISNUMBER(E115),ISNUMBER(E127)),IFERROR(E115/E127,""),"")</f>
        <v/>
      </c>
      <c r="F360" s="183">
        <f>IF(AND(ISNUMBER(F115),ISNUMBER(F127)),IFERROR(F115/F127,""),"")</f>
        <v/>
      </c>
      <c r="G360" s="183">
        <f>IF(AND(ISNUMBER(G115),ISNUMBER(G127)),IFERROR(G115/G127,""),"")</f>
        <v/>
      </c>
      <c r="H360" s="183">
        <f>IF(AND(ISNUMBER(H115),ISNUMBER(H127)),IFERROR(H115/H127,""),"")</f>
        <v/>
      </c>
      <c r="I360" s="183">
        <f>IF(AND(ISNUMBER(I115),ISNUMBER(I127)),IFERROR(I115/I127,""),"")</f>
        <v/>
      </c>
      <c r="J360" s="183">
        <f>IF(AND(ISNUMBER(J115),ISNUMBER(J127)),IFERROR(J115/J127,""),"")</f>
        <v/>
      </c>
      <c r="K360" s="183">
        <f>IF(AND(ISNUMBER(K115),ISNUMBER(K127)),IFERROR(K115/K127,""),"")</f>
        <v/>
      </c>
      <c r="L360" s="183">
        <f>IF(AND(ISNUMBER(L115),ISNUMBER(L127)),IFERROR(L115/L127,""),"")</f>
        <v/>
      </c>
      <c r="M360" s="183">
        <f>IF(AND(ISNUMBER(M115),ISNUMBER(M127)),IFERROR(M115/M127,""),"")</f>
        <v/>
      </c>
      <c r="N360" s="183">
        <f>IF(AND(ISNUMBER(N115),ISNUMBER(N127)),IFERROR(N115/N127,""),"")</f>
        <v/>
      </c>
      <c r="O360" s="183">
        <f>IF(AND(ISNUMBER(O115),ISNUMBER(O127)),IFERROR(O115/O127,""),"")</f>
        <v/>
      </c>
      <c r="P360" s="183">
        <f>IF(AND(ISNUMBER(P115),ISNUMBER(P127)),IFERROR(P115/P127,""),"")</f>
        <v/>
      </c>
      <c r="Q360" s="183">
        <f>IF(AND(ISNUMBER(Q115),ISNUMBER(Q127)),IFERROR(Q115/Q127,""),"")</f>
        <v/>
      </c>
      <c r="R360" s="183">
        <f>IF(AND(ISNUMBER(R115),ISNUMBER(R127)),IFERROR(R115/R127,""),"")</f>
        <v/>
      </c>
      <c r="S360" s="183">
        <f>IF(AND(ISNUMBER(S115),ISNUMBER(S127)),IFERROR(S115/S127,""),"")</f>
        <v/>
      </c>
      <c r="T360" s="183">
        <f>IF(AND(ISNUMBER(T115),ISNUMBER(T127)),IFERROR(T115/T127,""),"")</f>
        <v/>
      </c>
      <c r="U360" s="183">
        <f>IF(AND(ISNUMBER(U115),ISNUMBER(U127)),IFERROR(U115/U127,""),"")</f>
        <v/>
      </c>
      <c r="V360" s="183">
        <f>IF(AND(ISNUMBER(V115),ISNUMBER(V127)),IFERROR(V115/V127,""),"")</f>
        <v/>
      </c>
      <c r="W360" s="183">
        <f>IF(AND(ISNUMBER(W115),ISNUMBER(W127)),IFERROR(W115/W127,""),"")</f>
        <v/>
      </c>
      <c r="X360" s="183">
        <f>IF(AND(ISNUMBER(X115),ISNUMBER(X127)),IFERROR(X115/X127,""),"")</f>
        <v/>
      </c>
      <c r="Y360" s="183">
        <f>IF(AND(ISNUMBER(Y115),ISNUMBER(Y127)),IFERROR(Y115/Y127,""),"")</f>
        <v/>
      </c>
      <c r="Z360" s="183">
        <f>IF(AND(ISNUMBER(Z115),ISNUMBER(Z127)),IFERROR(Z115/Z127,""),"")</f>
        <v/>
      </c>
      <c r="AA360" s="183">
        <f>IF(AND(ISNUMBER(AA115),ISNUMBER(AA127)),IFERROR(AA115/AA127,""),"")</f>
        <v/>
      </c>
      <c r="AB360" s="183">
        <f>IF(AND(ISNUMBER(AB115),ISNUMBER(AB127)),IFERROR(AB115/AB127,""),"")</f>
        <v/>
      </c>
      <c r="AC360" s="183">
        <f>IF(AND(ISNUMBER(AC115),ISNUMBER(AC127)),IFERROR(AC115/AC127,""),"")</f>
        <v/>
      </c>
      <c r="AD360" s="183">
        <f>IF(AND(ISNUMBER(AD115),ISNUMBER(AD127)),IFERROR(AD115/AD127,""),"")</f>
        <v/>
      </c>
      <c r="AE360" s="183">
        <f>IF(AND(ISNUMBER(AE115),ISNUMBER(AE127)),IFERROR(AE115/AE127,""),"")</f>
        <v/>
      </c>
      <c r="AF360" s="183">
        <f>IF(AND(ISNUMBER(AF115),ISNUMBER(AF127)),IFERROR(AF115/AF127,""),"")</f>
        <v/>
      </c>
      <c r="AG360" s="183">
        <f>IF(AND(ISNUMBER(AG115),ISNUMBER(AG127)),IFERROR(AG115/AG127,""),"")</f>
        <v/>
      </c>
      <c r="AH360" s="183">
        <f>IF(AND(ISNUMBER(AH115),ISNUMBER(AH127)),IFERROR(AH115/AH127,""),"")</f>
        <v/>
      </c>
      <c r="AI360" s="25" t="n"/>
      <c r="AJ360" s="25" t="n"/>
      <c r="AK360" s="177">
        <f>IF(AND(ISNUMBER(AK115),ISNUMBER(AK127)),IFERROR(AK115/AK127,""),"")</f>
        <v/>
      </c>
      <c r="AL360" s="177">
        <f>IF(AND(ISNUMBER(AL115),ISNUMBER(AL127)),IFERROR(AL115/AL127,""),"")</f>
        <v/>
      </c>
      <c r="AM360" s="177">
        <f>IF(AND(ISNUMBER(AM115),ISNUMBER(AM127)),IFERROR(AM115/AM127,""),"")</f>
        <v/>
      </c>
      <c r="AN360" s="177">
        <f>IF(AND(ISNUMBER(AN115),ISNUMBER(AN127)),IFERROR(AN115/AN127,""),"")</f>
        <v/>
      </c>
      <c r="AO360" s="177">
        <f>IF(AND(ISNUMBER(AO115),ISNUMBER(AO127)),IFERROR(AO115/AO127,""),"")</f>
        <v/>
      </c>
      <c r="AP360" s="6" t="n"/>
    </row>
    <row r="361" ht="15" customHeight="1">
      <c r="B361" s="26" t="inlineStr">
        <is>
          <t xml:space="preserve">  Interest expense ÷ average total debt %</t>
        </is>
      </c>
      <c r="C361" s="38" t="n"/>
      <c r="D361" s="183">
        <f>IFERROR(D136*1/AVERAGE(D343,C343),"")</f>
        <v/>
      </c>
      <c r="E361" s="183">
        <f>IFERROR(E136*1/AVERAGE(E343,D343),"")</f>
        <v/>
      </c>
      <c r="F361" s="183">
        <f>IFERROR(F136*1/AVERAGE(F343,E343),"")</f>
        <v/>
      </c>
      <c r="G361" s="183">
        <f>IFERROR(G136*1/AVERAGE(G343,F343),"")</f>
        <v/>
      </c>
      <c r="H361" s="183">
        <f>IFERROR(H136*1/AVERAGE(H343,G343),"")</f>
        <v/>
      </c>
      <c r="I361" s="183">
        <f>IFERROR(I136*1/AVERAGE(I343,H343),"")</f>
        <v/>
      </c>
      <c r="J361" s="183">
        <f>IFERROR(J136*1/AVERAGE(J343,I343),"")</f>
        <v/>
      </c>
      <c r="K361" s="183">
        <f>IFERROR(K136*1/AVERAGE(K343,J343),"")</f>
        <v/>
      </c>
      <c r="L361" s="183">
        <f>IFERROR(L136*1/AVERAGE(L343,K343),"")</f>
        <v/>
      </c>
      <c r="M361" s="38" t="n"/>
      <c r="N361" s="183">
        <f>IFERROR(N136*4/AVERAGE(N343,M343),"")</f>
        <v/>
      </c>
      <c r="O361" s="183">
        <f>IFERROR(O136*4/AVERAGE(O343,N343),"")</f>
        <v/>
      </c>
      <c r="P361" s="183">
        <f>IFERROR(P136*4/AVERAGE(P343,O343),"")</f>
        <v/>
      </c>
      <c r="Q361" s="183">
        <f>IFERROR(Q136*1/AVERAGE(Q343,L343),"")</f>
        <v/>
      </c>
      <c r="R361" s="183">
        <f>IFERROR(R136*4/AVERAGE(R343,P343),"")</f>
        <v/>
      </c>
      <c r="S361" s="183">
        <f>IFERROR(S136*4/AVERAGE(S343,R343),"")</f>
        <v/>
      </c>
      <c r="T361" s="183">
        <f>IFERROR(T136*4/AVERAGE(T343,S343),"")</f>
        <v/>
      </c>
      <c r="U361" s="183">
        <f>IFERROR(U136*4/AVERAGE(U343,T343),"")</f>
        <v/>
      </c>
      <c r="V361" s="183">
        <f>IFERROR(V136*1/AVERAGE(V343,Q343),"")</f>
        <v/>
      </c>
      <c r="W361" s="183">
        <f>IFERROR(W136*4/AVERAGE(W343,U343),"")</f>
        <v/>
      </c>
      <c r="X361" s="183">
        <f>IFERROR(X136*4/AVERAGE(X343,W343),"")</f>
        <v/>
      </c>
      <c r="Y361" s="183">
        <f>IFERROR(Y136*4/AVERAGE(Y343,X343),"")</f>
        <v/>
      </c>
      <c r="Z361" s="183">
        <f>IFERROR(Z136*4/AVERAGE(Z343,Y343),"")</f>
        <v/>
      </c>
      <c r="AA361" s="183">
        <f>IFERROR(AA136*1/AVERAGE(AA343,V343),"")</f>
        <v/>
      </c>
      <c r="AB361" s="183">
        <f>IFERROR(AB136*4/AVERAGE(AB343,Z343),"")</f>
        <v/>
      </c>
      <c r="AC361" s="183">
        <f>IFERROR(AC136*4/AVERAGE(AC343,AB343),"")</f>
        <v/>
      </c>
      <c r="AD361" s="183">
        <f>IFERROR(AD136*4/AVERAGE(AD343,AC343),"")</f>
        <v/>
      </c>
      <c r="AE361" s="183">
        <f>IFERROR(AE136*4/AVERAGE(AE343,AD343),"")</f>
        <v/>
      </c>
      <c r="AF361" s="183">
        <f>IFERROR(AF136*1/AVERAGE(AF343,AA343),"")</f>
        <v/>
      </c>
      <c r="AG361" s="183">
        <f>IFERROR(AG136*4/AVERAGE(AG343,AE343),"")</f>
        <v/>
      </c>
      <c r="AH361" s="183">
        <f>IFERROR(AH136*4/AVERAGE(AH343,AG343),"")</f>
        <v/>
      </c>
      <c r="AI361" s="25" t="n"/>
      <c r="AJ361" s="25" t="n"/>
      <c r="AK361" s="177">
        <f>IFERROR(AK136*1/AVERAGE(AK343,AF343),"")</f>
        <v/>
      </c>
      <c r="AL361" s="177">
        <f>IFERROR(AL136*1/AVERAGE(AL343,AK343),"")</f>
        <v/>
      </c>
      <c r="AM361" s="177">
        <f>IFERROR(AM136*1/AVERAGE(AM343,AL343),"")</f>
        <v/>
      </c>
      <c r="AN361" s="177">
        <f>IFERROR(AN136*1/AVERAGE(AN343,AM343),"")</f>
        <v/>
      </c>
      <c r="AO361" s="177">
        <f>IFERROR(AO136*1/AVERAGE(AO343,AN343),"")</f>
        <v/>
      </c>
      <c r="AP361" s="6" t="n"/>
    </row>
    <row r="362" ht="15" customHeight="1">
      <c r="AX362" s="12" t="n"/>
      <c r="AY362" s="13" t="n"/>
      <c r="AZ362" s="13" t="n"/>
      <c r="BA362" s="13" t="n"/>
      <c r="BB362" s="14" t="n"/>
    </row>
    <row r="363" ht="15" customHeight="1">
      <c r="B363" s="11" t="inlineStr">
        <is>
          <t>RATIO ANALYSIS</t>
        </is>
      </c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inlineStr">
        <is>
          <t>RETURNS — annual columns (NOPAT on Adjusted EBIT)</t>
        </is>
      </c>
    </row>
    <row r="364" ht="15" customHeight="1">
      <c r="B364" s="26" t="inlineStr">
        <is>
          <t>DuPont decomposition of ROIC</t>
        </is>
      </c>
      <c r="AP364" s="6" t="n"/>
    </row>
    <row r="365" ht="15" customHeight="1">
      <c r="B365" s="26" t="inlineStr">
        <is>
          <t>Adjusted EBIT (Adjusted EBITDA − D&amp;A)</t>
        </is>
      </c>
      <c r="C365" s="186">
        <f>C183</f>
        <v/>
      </c>
      <c r="D365" s="186">
        <f>D183</f>
        <v/>
      </c>
      <c r="E365" s="186">
        <f>E183</f>
        <v/>
      </c>
      <c r="F365" s="186">
        <f>F183</f>
        <v/>
      </c>
      <c r="G365" s="186">
        <f>G183</f>
        <v/>
      </c>
      <c r="H365" s="186">
        <f>H183</f>
        <v/>
      </c>
      <c r="I365" s="186">
        <f>I183</f>
        <v/>
      </c>
      <c r="J365" s="186">
        <f>J183</f>
        <v/>
      </c>
      <c r="K365" s="186">
        <f>K183</f>
        <v/>
      </c>
      <c r="L365" s="186">
        <f>L183</f>
        <v/>
      </c>
      <c r="M365" s="36" t="n"/>
      <c r="N365" s="36" t="n"/>
      <c r="O365" s="36" t="n"/>
      <c r="P365" s="36" t="n"/>
      <c r="Q365" s="186">
        <f>Q183</f>
        <v/>
      </c>
      <c r="R365" s="36" t="n"/>
      <c r="S365" s="36" t="n"/>
      <c r="T365" s="36" t="n"/>
      <c r="U365" s="36" t="n"/>
      <c r="V365" s="186">
        <f>V183</f>
        <v/>
      </c>
      <c r="W365" s="36" t="n"/>
      <c r="X365" s="36" t="n"/>
      <c r="Y365" s="36" t="n"/>
      <c r="Z365" s="36" t="n"/>
      <c r="AA365" s="186">
        <f>AA183</f>
        <v/>
      </c>
      <c r="AB365" s="36" t="n"/>
      <c r="AC365" s="36" t="n"/>
      <c r="AD365" s="36" t="n"/>
      <c r="AE365" s="36" t="n"/>
      <c r="AF365" s="186">
        <f>AF183</f>
        <v/>
      </c>
      <c r="AG365" s="36" t="n"/>
      <c r="AH365" s="36" t="n"/>
      <c r="AI365" s="37" t="n"/>
      <c r="AJ365" s="37" t="n"/>
      <c r="AK365" s="175">
        <f>AK183</f>
        <v/>
      </c>
      <c r="AL365" s="175">
        <f>AL183</f>
        <v/>
      </c>
      <c r="AM365" s="175">
        <f>AM183</f>
        <v/>
      </c>
      <c r="AN365" s="175">
        <f>AN183</f>
        <v/>
      </c>
      <c r="AO365" s="175">
        <f>AO183</f>
        <v/>
      </c>
      <c r="AP365" s="20" t="n"/>
    </row>
    <row r="366" ht="15" customHeight="1">
      <c r="B366" s="26" t="inlineStr">
        <is>
          <t>Effective tax rate (actual; 25% normalised before 2024)</t>
        </is>
      </c>
      <c r="C366" s="183">
        <f>0.25</f>
        <v/>
      </c>
      <c r="D366" s="183">
        <f>0.25</f>
        <v/>
      </c>
      <c r="E366" s="183">
        <f>0.25</f>
        <v/>
      </c>
      <c r="F366" s="183">
        <f>0.25</f>
        <v/>
      </c>
      <c r="G366" s="183">
        <f>0.25</f>
        <v/>
      </c>
      <c r="H366" s="183">
        <f>0.25</f>
        <v/>
      </c>
      <c r="I366" s="183">
        <f>0.25</f>
        <v/>
      </c>
      <c r="J366" s="183">
        <f>0.25</f>
        <v/>
      </c>
      <c r="K366" s="183">
        <f>0.25</f>
        <v/>
      </c>
      <c r="L366" s="183">
        <f>0.25</f>
        <v/>
      </c>
      <c r="M366" s="36" t="n"/>
      <c r="N366" s="36" t="n"/>
      <c r="O366" s="36" t="n"/>
      <c r="P366" s="36" t="n"/>
      <c r="Q366" s="183">
        <f>0.25</f>
        <v/>
      </c>
      <c r="R366" s="36" t="n"/>
      <c r="S366" s="36" t="n"/>
      <c r="T366" s="36" t="n"/>
      <c r="U366" s="36" t="n"/>
      <c r="V366" s="183">
        <f>0.25</f>
        <v/>
      </c>
      <c r="W366" s="36" t="n"/>
      <c r="X366" s="36" t="n"/>
      <c r="Y366" s="36" t="n"/>
      <c r="Z366" s="36" t="n"/>
      <c r="AA366" s="183">
        <f>AA140</f>
        <v/>
      </c>
      <c r="AB366" s="36" t="n"/>
      <c r="AC366" s="36" t="n"/>
      <c r="AD366" s="36" t="n"/>
      <c r="AE366" s="36" t="n"/>
      <c r="AF366" s="183">
        <f>AF140</f>
        <v/>
      </c>
      <c r="AG366" s="36" t="n"/>
      <c r="AH366" s="36" t="n"/>
      <c r="AI366" s="37" t="n"/>
      <c r="AJ366" s="37" t="n"/>
      <c r="AK366" s="177">
        <f>AK140</f>
        <v/>
      </c>
      <c r="AL366" s="177">
        <f>AL140</f>
        <v/>
      </c>
      <c r="AM366" s="177">
        <f>AM140</f>
        <v/>
      </c>
      <c r="AN366" s="177">
        <f>AN140</f>
        <v/>
      </c>
      <c r="AO366" s="177">
        <f>AO140</f>
        <v/>
      </c>
      <c r="AP366" s="20" t="n"/>
    </row>
    <row r="367" ht="15" customHeight="1">
      <c r="B367" s="26" t="inlineStr">
        <is>
          <t>NOPAT = Adjusted EBIT × (1 − tax rate)</t>
        </is>
      </c>
      <c r="C367" s="186">
        <f>IFERROR(C365*(1-C366),"n/a")</f>
        <v/>
      </c>
      <c r="D367" s="186">
        <f>IFERROR(D365*(1-D366),"n/a")</f>
        <v/>
      </c>
      <c r="E367" s="186">
        <f>IFERROR(E365*(1-E366),"n/a")</f>
        <v/>
      </c>
      <c r="F367" s="186">
        <f>IFERROR(F365*(1-F366),"n/a")</f>
        <v/>
      </c>
      <c r="G367" s="186">
        <f>IFERROR(G365*(1-G366),"n/a")</f>
        <v/>
      </c>
      <c r="H367" s="186">
        <f>IFERROR(H365*(1-H366),"n/a")</f>
        <v/>
      </c>
      <c r="I367" s="186">
        <f>IFERROR(I365*(1-I366),"n/a")</f>
        <v/>
      </c>
      <c r="J367" s="186">
        <f>IFERROR(J365*(1-J366),"n/a")</f>
        <v/>
      </c>
      <c r="K367" s="186">
        <f>IFERROR(K365*(1-K366),"n/a")</f>
        <v/>
      </c>
      <c r="L367" s="186">
        <f>IFERROR(L365*(1-L366),"n/a")</f>
        <v/>
      </c>
      <c r="M367" s="36" t="n"/>
      <c r="N367" s="36" t="n"/>
      <c r="O367" s="36" t="n"/>
      <c r="P367" s="36" t="n"/>
      <c r="Q367" s="186">
        <f>IFERROR(Q365*(1-Q366),"n/a")</f>
        <v/>
      </c>
      <c r="R367" s="36" t="n"/>
      <c r="S367" s="36" t="n"/>
      <c r="T367" s="36" t="n"/>
      <c r="U367" s="36" t="n"/>
      <c r="V367" s="186">
        <f>IFERROR(V365*(1-V366),"n/a")</f>
        <v/>
      </c>
      <c r="W367" s="36" t="n"/>
      <c r="X367" s="36" t="n"/>
      <c r="Y367" s="36" t="n"/>
      <c r="Z367" s="36" t="n"/>
      <c r="AA367" s="186">
        <f>IFERROR(AA365*(1-AA366),"n/a")</f>
        <v/>
      </c>
      <c r="AB367" s="36" t="n"/>
      <c r="AC367" s="36" t="n"/>
      <c r="AD367" s="36" t="n"/>
      <c r="AE367" s="36" t="n"/>
      <c r="AF367" s="186">
        <f>IFERROR(AF365*(1-AF366),"n/a")</f>
        <v/>
      </c>
      <c r="AG367" s="36" t="n"/>
      <c r="AH367" s="36" t="n"/>
      <c r="AI367" s="37" t="n"/>
      <c r="AJ367" s="37" t="n"/>
      <c r="AK367" s="175">
        <f>IFERROR(AK365*(1-AK366),"n/a")</f>
        <v/>
      </c>
      <c r="AL367" s="175">
        <f>IFERROR(AL365*(1-AL366),"n/a")</f>
        <v/>
      </c>
      <c r="AM367" s="175">
        <f>IFERROR(AM365*(1-AM366),"n/a")</f>
        <v/>
      </c>
      <c r="AN367" s="175">
        <f>IFERROR(AN365*(1-AN366),"n/a")</f>
        <v/>
      </c>
      <c r="AO367" s="175">
        <f>IFERROR(AO365*(1-AO366),"n/a")</f>
        <v/>
      </c>
      <c r="AP367" s="20" t="n"/>
    </row>
    <row r="368" ht="15" customHeight="1">
      <c r="B368" s="26" t="inlineStr">
        <is>
          <t>Invested capital (IC) = Equity + Net debt</t>
        </is>
      </c>
      <c r="C368" s="186">
        <f>IFERROR(C369+C370,"n/a")</f>
        <v/>
      </c>
      <c r="D368" s="186">
        <f>IFERROR(D369+D370,"n/a")</f>
        <v/>
      </c>
      <c r="E368" s="186">
        <f>IFERROR(E369+E370,"n/a")</f>
        <v/>
      </c>
      <c r="F368" s="186">
        <f>IFERROR(F369+F370,"n/a")</f>
        <v/>
      </c>
      <c r="G368" s="186">
        <f>IFERROR(G369+G370,"n/a")</f>
        <v/>
      </c>
      <c r="H368" s="186">
        <f>IFERROR(H369+H370,"n/a")</f>
        <v/>
      </c>
      <c r="I368" s="186">
        <f>IFERROR(I369+I370,"n/a")</f>
        <v/>
      </c>
      <c r="J368" s="186">
        <f>IFERROR(J369+J370,"n/a")</f>
        <v/>
      </c>
      <c r="K368" s="186">
        <f>IFERROR(K369+K370,"n/a")</f>
        <v/>
      </c>
      <c r="L368" s="186">
        <f>IFERROR(L369+L370,"n/a")</f>
        <v/>
      </c>
      <c r="M368" s="36" t="n"/>
      <c r="N368" s="36" t="n"/>
      <c r="O368" s="36" t="n"/>
      <c r="P368" s="36" t="n"/>
      <c r="Q368" s="186">
        <f>IFERROR(Q369+Q370,"n/a")</f>
        <v/>
      </c>
      <c r="R368" s="36" t="n"/>
      <c r="S368" s="36" t="n"/>
      <c r="T368" s="36" t="n"/>
      <c r="U368" s="36" t="n"/>
      <c r="V368" s="186">
        <f>IFERROR(V369+V370,"n/a")</f>
        <v/>
      </c>
      <c r="W368" s="36" t="n"/>
      <c r="X368" s="36" t="n"/>
      <c r="Y368" s="36" t="n"/>
      <c r="Z368" s="36" t="n"/>
      <c r="AA368" s="186">
        <f>IFERROR(AA369+AA370,"n/a")</f>
        <v/>
      </c>
      <c r="AB368" s="36" t="n"/>
      <c r="AC368" s="36" t="n"/>
      <c r="AD368" s="36" t="n"/>
      <c r="AE368" s="36" t="n"/>
      <c r="AF368" s="186">
        <f>IFERROR(AF369+AF370,"n/a")</f>
        <v/>
      </c>
      <c r="AG368" s="36" t="n"/>
      <c r="AH368" s="36" t="n"/>
      <c r="AI368" s="37" t="n"/>
      <c r="AJ368" s="37" t="n"/>
      <c r="AK368" s="175">
        <f>IFERROR(AK369+AK370,"n/a")</f>
        <v/>
      </c>
      <c r="AL368" s="175">
        <f>IFERROR(AL369+AL370,"n/a")</f>
        <v/>
      </c>
      <c r="AM368" s="175">
        <f>IFERROR(AM369+AM370,"n/a")</f>
        <v/>
      </c>
      <c r="AN368" s="175">
        <f>IFERROR(AN369+AN370,"n/a")</f>
        <v/>
      </c>
      <c r="AO368" s="175">
        <f>IFERROR(AO369+AO370,"n/a")</f>
        <v/>
      </c>
      <c r="AP368" s="20" t="n"/>
    </row>
    <row r="369" ht="15" customHeight="1">
      <c r="B369" s="26" t="inlineStr">
        <is>
          <t xml:space="preserve">  Total stockholders' equity</t>
        </is>
      </c>
      <c r="C369" s="186">
        <f>IF(ISNUMBER(C306),C306,"n/a")</f>
        <v/>
      </c>
      <c r="D369" s="186">
        <f>IF(ISNUMBER(D306),D306,"n/a")</f>
        <v/>
      </c>
      <c r="E369" s="186">
        <f>IF(ISNUMBER(E306),E306,"n/a")</f>
        <v/>
      </c>
      <c r="F369" s="186">
        <f>IF(ISNUMBER(F306),F306,"n/a")</f>
        <v/>
      </c>
      <c r="G369" s="186">
        <f>IF(ISNUMBER(G306),G306,"n/a")</f>
        <v/>
      </c>
      <c r="H369" s="186">
        <f>IF(ISNUMBER(H306),H306,"n/a")</f>
        <v/>
      </c>
      <c r="I369" s="186">
        <f>IF(ISNUMBER(I306),I306,"n/a")</f>
        <v/>
      </c>
      <c r="J369" s="186">
        <f>IF(ISNUMBER(J306),J306,"n/a")</f>
        <v/>
      </c>
      <c r="K369" s="186">
        <f>IF(ISNUMBER(K306),K306,"n/a")</f>
        <v/>
      </c>
      <c r="L369" s="186">
        <f>IF(ISNUMBER(L306),L306,"n/a")</f>
        <v/>
      </c>
      <c r="M369" s="36" t="n"/>
      <c r="N369" s="36" t="n"/>
      <c r="O369" s="36" t="n"/>
      <c r="P369" s="36" t="n"/>
      <c r="Q369" s="186">
        <f>IF(ISNUMBER(Q306),Q306,"n/a")</f>
        <v/>
      </c>
      <c r="R369" s="36" t="n"/>
      <c r="S369" s="36" t="n"/>
      <c r="T369" s="36" t="n"/>
      <c r="U369" s="36" t="n"/>
      <c r="V369" s="186">
        <f>IF(ISNUMBER(V306),V306,"n/a")</f>
        <v/>
      </c>
      <c r="W369" s="36" t="n"/>
      <c r="X369" s="36" t="n"/>
      <c r="Y369" s="36" t="n"/>
      <c r="Z369" s="36" t="n"/>
      <c r="AA369" s="186">
        <f>IF(ISNUMBER(AA306),AA306,"n/a")</f>
        <v/>
      </c>
      <c r="AB369" s="36" t="n"/>
      <c r="AC369" s="36" t="n"/>
      <c r="AD369" s="36" t="n"/>
      <c r="AE369" s="36" t="n"/>
      <c r="AF369" s="186">
        <f>IF(ISNUMBER(AF306),AF306,"n/a")</f>
        <v/>
      </c>
      <c r="AG369" s="36" t="n"/>
      <c r="AH369" s="36" t="n"/>
      <c r="AI369" s="37" t="n"/>
      <c r="AJ369" s="37" t="n"/>
      <c r="AK369" s="175">
        <f>IF(ISNUMBER(AK306),AK306,"n/a")</f>
        <v/>
      </c>
      <c r="AL369" s="175">
        <f>IF(ISNUMBER(AL306),AL306,"n/a")</f>
        <v/>
      </c>
      <c r="AM369" s="175">
        <f>IF(ISNUMBER(AM306),AM306,"n/a")</f>
        <v/>
      </c>
      <c r="AN369" s="175">
        <f>IF(ISNUMBER(AN306),AN306,"n/a")</f>
        <v/>
      </c>
      <c r="AO369" s="175">
        <f>IF(ISNUMBER(AO306),AO306,"n/a")</f>
        <v/>
      </c>
      <c r="AP369" s="20" t="n"/>
    </row>
    <row r="370" ht="15" customHeight="1">
      <c r="B370" s="26" t="inlineStr">
        <is>
          <t xml:space="preserve">  Net debt = Total debt + finance leases − Cash</t>
        </is>
      </c>
      <c r="C370" s="186">
        <f>IFERROR(C343+N(C313)-C283,"n/a")</f>
        <v/>
      </c>
      <c r="D370" s="186">
        <f>IFERROR(D343+N(D313)-D283,"n/a")</f>
        <v/>
      </c>
      <c r="E370" s="186">
        <f>IFERROR(E343+N(E313)-E283,"n/a")</f>
        <v/>
      </c>
      <c r="F370" s="186">
        <f>IFERROR(F343+N(F313)-F283,"n/a")</f>
        <v/>
      </c>
      <c r="G370" s="186">
        <f>IFERROR(G343+N(G313)-G283,"n/a")</f>
        <v/>
      </c>
      <c r="H370" s="186">
        <f>IFERROR(H343+N(H313)-H283,"n/a")</f>
        <v/>
      </c>
      <c r="I370" s="186">
        <f>IFERROR(I343+N(I313)-I283,"n/a")</f>
        <v/>
      </c>
      <c r="J370" s="186">
        <f>IFERROR(J343+N(J313)-J283,"n/a")</f>
        <v/>
      </c>
      <c r="K370" s="186">
        <f>IFERROR(K343+N(K313)-K283,"n/a")</f>
        <v/>
      </c>
      <c r="L370" s="186">
        <f>IFERROR(L343+N(L313)-L283,"n/a")</f>
        <v/>
      </c>
      <c r="M370" s="36" t="n"/>
      <c r="N370" s="36" t="n"/>
      <c r="O370" s="36" t="n"/>
      <c r="P370" s="36" t="n"/>
      <c r="Q370" s="186">
        <f>IFERROR(Q343+N(Q313)-Q283,"n/a")</f>
        <v/>
      </c>
      <c r="R370" s="36" t="n"/>
      <c r="S370" s="36" t="n"/>
      <c r="T370" s="36" t="n"/>
      <c r="U370" s="36" t="n"/>
      <c r="V370" s="186">
        <f>IFERROR(V343+N(V313)-V283,"n/a")</f>
        <v/>
      </c>
      <c r="W370" s="36" t="n"/>
      <c r="X370" s="36" t="n"/>
      <c r="Y370" s="36" t="n"/>
      <c r="Z370" s="36" t="n"/>
      <c r="AA370" s="186">
        <f>IFERROR(AA343+N(AA313)-AA283,"n/a")</f>
        <v/>
      </c>
      <c r="AB370" s="36" t="n"/>
      <c r="AC370" s="36" t="n"/>
      <c r="AD370" s="36" t="n"/>
      <c r="AE370" s="36" t="n"/>
      <c r="AF370" s="186">
        <f>IFERROR(AF343+N(AF313)-AF283,"n/a")</f>
        <v/>
      </c>
      <c r="AG370" s="36" t="n"/>
      <c r="AH370" s="36" t="n"/>
      <c r="AI370" s="37" t="n"/>
      <c r="AJ370" s="37" t="n"/>
      <c r="AK370" s="175">
        <f>IFERROR(AK343+N(AK313)-AK283,"n/a")</f>
        <v/>
      </c>
      <c r="AL370" s="175">
        <f>IFERROR(AL343+N(AL313)-AL283,"n/a")</f>
        <v/>
      </c>
      <c r="AM370" s="175">
        <f>IFERROR(AM343+N(AM313)-AM283,"n/a")</f>
        <v/>
      </c>
      <c r="AN370" s="175">
        <f>IFERROR(AN343+N(AN313)-AN283,"n/a")</f>
        <v/>
      </c>
      <c r="AO370" s="175">
        <f>IFERROR(AO343+N(AO313)-AO283,"n/a")</f>
        <v/>
      </c>
      <c r="AP370" s="20" t="n"/>
    </row>
    <row r="371" ht="15" customHeight="1">
      <c r="B371" s="59" t="inlineStr">
        <is>
          <t>ROIC = NOPAT / IC</t>
        </is>
      </c>
      <c r="C371" s="215">
        <f>IFERROR(C367/C368,"n/a")</f>
        <v/>
      </c>
      <c r="D371" s="215">
        <f>IFERROR(D367/D368,"n/a")</f>
        <v/>
      </c>
      <c r="E371" s="215">
        <f>IFERROR(E367/E368,"n/a")</f>
        <v/>
      </c>
      <c r="F371" s="215">
        <f>IFERROR(F367/F368,"n/a")</f>
        <v/>
      </c>
      <c r="G371" s="215">
        <f>IFERROR(G367/G368,"n/a")</f>
        <v/>
      </c>
      <c r="H371" s="215">
        <f>IFERROR(H367/H368,"n/a")</f>
        <v/>
      </c>
      <c r="I371" s="215">
        <f>IFERROR(I367/I368,"n/a")</f>
        <v/>
      </c>
      <c r="J371" s="215">
        <f>IFERROR(J367/J368,"n/a")</f>
        <v/>
      </c>
      <c r="K371" s="215">
        <f>IFERROR(K367/K368,"n/a")</f>
        <v/>
      </c>
      <c r="L371" s="215">
        <f>IFERROR(L367/L368,"n/a")</f>
        <v/>
      </c>
      <c r="M371" s="60" t="n"/>
      <c r="N371" s="60" t="n"/>
      <c r="O371" s="60" t="n"/>
      <c r="P371" s="60" t="n"/>
      <c r="Q371" s="215">
        <f>IFERROR(Q367/Q368,"n/a")</f>
        <v/>
      </c>
      <c r="R371" s="60" t="n"/>
      <c r="S371" s="60" t="n"/>
      <c r="T371" s="60" t="n"/>
      <c r="U371" s="60" t="n"/>
      <c r="V371" s="215">
        <f>IFERROR(V367/V368,"n/a")</f>
        <v/>
      </c>
      <c r="W371" s="60" t="n"/>
      <c r="X371" s="60" t="n"/>
      <c r="Y371" s="60" t="n"/>
      <c r="Z371" s="60" t="n"/>
      <c r="AA371" s="215">
        <f>IFERROR(AA367/AA368,"n/a")</f>
        <v/>
      </c>
      <c r="AB371" s="60" t="n"/>
      <c r="AC371" s="60" t="n"/>
      <c r="AD371" s="60" t="n"/>
      <c r="AE371" s="60" t="n"/>
      <c r="AF371" s="215">
        <f>IFERROR(AF367/AF368,"n/a")</f>
        <v/>
      </c>
      <c r="AG371" s="60" t="n"/>
      <c r="AH371" s="60" t="n"/>
      <c r="AI371" s="60" t="n"/>
      <c r="AJ371" s="60" t="n"/>
      <c r="AK371" s="215">
        <f>IFERROR(AK367/AK368,"n/a")</f>
        <v/>
      </c>
      <c r="AL371" s="215">
        <f>IFERROR(AL367/AL368,"n/a")</f>
        <v/>
      </c>
      <c r="AM371" s="215">
        <f>IFERROR(AM367/AM368,"n/a")</f>
        <v/>
      </c>
      <c r="AN371" s="215">
        <f>IFERROR(AN367/AN368,"n/a")</f>
        <v/>
      </c>
      <c r="AO371" s="215">
        <f>IFERROR(AO367/AO368,"n/a")</f>
        <v/>
      </c>
      <c r="AP371" s="6" t="n"/>
      <c r="AR371" s="39">
        <f>IFERROR(AVERAGE(AK371,AL371,AM371,AN371,AO371),"n/m")</f>
        <v/>
      </c>
      <c r="AS371" s="39">
        <f>IFERROR(AVERAGE(L371,Q371,V371,AA371,AF371),"n/m")</f>
        <v/>
      </c>
      <c r="AT371" s="39">
        <f>IFERROR(AVERAGE(G371,H371,I371,J371,K371,L371,Q371,V371,AA371,AF371),"n/m")</f>
        <v/>
      </c>
      <c r="AU371" s="39">
        <f>IFERROR(AVERAGE(C371,D371,E371,F371,G371,H371,I371,J371,K371,L371,Q371,V371,AA371,AF371),"n/m")</f>
        <v/>
      </c>
    </row>
    <row r="372" ht="15" customHeight="1">
      <c r="B372" s="26" t="inlineStr">
        <is>
          <t xml:space="preserve">  Margin = Adjusted EBIT / Net sales</t>
        </is>
      </c>
      <c r="C372" s="183">
        <f>IFERROR(C365/C127,"n/a")</f>
        <v/>
      </c>
      <c r="D372" s="183">
        <f>IFERROR(D365/D127,"n/a")</f>
        <v/>
      </c>
      <c r="E372" s="183">
        <f>IFERROR(E365/E127,"n/a")</f>
        <v/>
      </c>
      <c r="F372" s="183">
        <f>IFERROR(F365/F127,"n/a")</f>
        <v/>
      </c>
      <c r="G372" s="183">
        <f>IFERROR(G365/G127,"n/a")</f>
        <v/>
      </c>
      <c r="H372" s="183">
        <f>IFERROR(H365/H127,"n/a")</f>
        <v/>
      </c>
      <c r="I372" s="183">
        <f>IFERROR(I365/I127,"n/a")</f>
        <v/>
      </c>
      <c r="J372" s="183">
        <f>IFERROR(J365/J127,"n/a")</f>
        <v/>
      </c>
      <c r="K372" s="183">
        <f>IFERROR(K365/K127,"n/a")</f>
        <v/>
      </c>
      <c r="L372" s="183">
        <f>IFERROR(L365/L127,"n/a")</f>
        <v/>
      </c>
      <c r="M372" s="36" t="n"/>
      <c r="N372" s="36" t="n"/>
      <c r="O372" s="36" t="n"/>
      <c r="P372" s="36" t="n"/>
      <c r="Q372" s="183">
        <f>IFERROR(Q365/Q127,"n/a")</f>
        <v/>
      </c>
      <c r="R372" s="36" t="n"/>
      <c r="S372" s="36" t="n"/>
      <c r="T372" s="36" t="n"/>
      <c r="U372" s="36" t="n"/>
      <c r="V372" s="183">
        <f>IFERROR(V365/V127,"n/a")</f>
        <v/>
      </c>
      <c r="W372" s="36" t="n"/>
      <c r="X372" s="36" t="n"/>
      <c r="Y372" s="36" t="n"/>
      <c r="Z372" s="36" t="n"/>
      <c r="AA372" s="183">
        <f>IFERROR(AA365/AA127,"n/a")</f>
        <v/>
      </c>
      <c r="AB372" s="36" t="n"/>
      <c r="AC372" s="36" t="n"/>
      <c r="AD372" s="36" t="n"/>
      <c r="AE372" s="36" t="n"/>
      <c r="AF372" s="183">
        <f>IFERROR(AF365/AF127,"n/a")</f>
        <v/>
      </c>
      <c r="AG372" s="36" t="n"/>
      <c r="AH372" s="36" t="n"/>
      <c r="AI372" s="37" t="n"/>
      <c r="AJ372" s="37" t="n"/>
      <c r="AK372" s="177">
        <f>IFERROR(AK365/AK127,"n/a")</f>
        <v/>
      </c>
      <c r="AL372" s="177">
        <f>IFERROR(AL365/AL127,"n/a")</f>
        <v/>
      </c>
      <c r="AM372" s="177">
        <f>IFERROR(AM365/AM127,"n/a")</f>
        <v/>
      </c>
      <c r="AN372" s="177">
        <f>IFERROR(AN365/AN127,"n/a")</f>
        <v/>
      </c>
      <c r="AO372" s="177">
        <f>IFERROR(AO365/AO127,"n/a")</f>
        <v/>
      </c>
      <c r="AP372" s="20" t="n"/>
    </row>
    <row r="373" ht="15" customHeight="1">
      <c r="B373" s="26" t="inlineStr">
        <is>
          <t xml:space="preserve">  Capital turnover = Net sales / IC</t>
        </is>
      </c>
      <c r="C373" s="207">
        <f>IFERROR(C127/C368,"n/a")</f>
        <v/>
      </c>
      <c r="D373" s="207">
        <f>IFERROR(D127/D368,"n/a")</f>
        <v/>
      </c>
      <c r="E373" s="207">
        <f>IFERROR(E127/E368,"n/a")</f>
        <v/>
      </c>
      <c r="F373" s="207">
        <f>IFERROR(F127/F368,"n/a")</f>
        <v/>
      </c>
      <c r="G373" s="207">
        <f>IFERROR(G127/G368,"n/a")</f>
        <v/>
      </c>
      <c r="H373" s="207">
        <f>IFERROR(H127/H368,"n/a")</f>
        <v/>
      </c>
      <c r="I373" s="207">
        <f>IFERROR(I127/I368,"n/a")</f>
        <v/>
      </c>
      <c r="J373" s="207">
        <f>IFERROR(J127/J368,"n/a")</f>
        <v/>
      </c>
      <c r="K373" s="207">
        <f>IFERROR(K127/K368,"n/a")</f>
        <v/>
      </c>
      <c r="L373" s="207">
        <f>IFERROR(L127/L368,"n/a")</f>
        <v/>
      </c>
      <c r="M373" s="36" t="n"/>
      <c r="N373" s="36" t="n"/>
      <c r="O373" s="36" t="n"/>
      <c r="P373" s="36" t="n"/>
      <c r="Q373" s="207">
        <f>IFERROR(Q127/Q368,"n/a")</f>
        <v/>
      </c>
      <c r="R373" s="36" t="n"/>
      <c r="S373" s="36" t="n"/>
      <c r="T373" s="36" t="n"/>
      <c r="U373" s="36" t="n"/>
      <c r="V373" s="207">
        <f>IFERROR(V127/V368,"n/a")</f>
        <v/>
      </c>
      <c r="W373" s="36" t="n"/>
      <c r="X373" s="36" t="n"/>
      <c r="Y373" s="36" t="n"/>
      <c r="Z373" s="36" t="n"/>
      <c r="AA373" s="207">
        <f>IFERROR(AA127/AA368,"n/a")</f>
        <v/>
      </c>
      <c r="AB373" s="36" t="n"/>
      <c r="AC373" s="36" t="n"/>
      <c r="AD373" s="36" t="n"/>
      <c r="AE373" s="36" t="n"/>
      <c r="AF373" s="207">
        <f>IFERROR(AF127/AF368,"n/a")</f>
        <v/>
      </c>
      <c r="AG373" s="36" t="n"/>
      <c r="AH373" s="36" t="n"/>
      <c r="AI373" s="37" t="n"/>
      <c r="AJ373" s="37" t="n"/>
      <c r="AK373" s="208">
        <f>IFERROR(AK127/AK368,"n/a")</f>
        <v/>
      </c>
      <c r="AL373" s="208">
        <f>IFERROR(AL127/AL368,"n/a")</f>
        <v/>
      </c>
      <c r="AM373" s="208">
        <f>IFERROR(AM127/AM368,"n/a")</f>
        <v/>
      </c>
      <c r="AN373" s="208">
        <f>IFERROR(AN127/AN368,"n/a")</f>
        <v/>
      </c>
      <c r="AO373" s="208">
        <f>IFERROR(AO127/AO368,"n/a")</f>
        <v/>
      </c>
      <c r="AP373" s="20" t="n"/>
    </row>
    <row r="374" ht="15" customHeight="1">
      <c r="B374" s="26" t="inlineStr">
        <is>
          <t xml:space="preserve">  Tax burden = (1 − effective tax rate)</t>
        </is>
      </c>
      <c r="C374" s="183">
        <f>IFERROR(1-C366,"n/a")</f>
        <v/>
      </c>
      <c r="D374" s="183">
        <f>IFERROR(1-D366,"n/a")</f>
        <v/>
      </c>
      <c r="E374" s="183">
        <f>IFERROR(1-E366,"n/a")</f>
        <v/>
      </c>
      <c r="F374" s="183">
        <f>IFERROR(1-F366,"n/a")</f>
        <v/>
      </c>
      <c r="G374" s="183">
        <f>IFERROR(1-G366,"n/a")</f>
        <v/>
      </c>
      <c r="H374" s="183">
        <f>IFERROR(1-H366,"n/a")</f>
        <v/>
      </c>
      <c r="I374" s="183">
        <f>IFERROR(1-I366,"n/a")</f>
        <v/>
      </c>
      <c r="J374" s="183">
        <f>IFERROR(1-J366,"n/a")</f>
        <v/>
      </c>
      <c r="K374" s="183">
        <f>IFERROR(1-K366,"n/a")</f>
        <v/>
      </c>
      <c r="L374" s="183">
        <f>IFERROR(1-L366,"n/a")</f>
        <v/>
      </c>
      <c r="M374" s="36" t="n"/>
      <c r="N374" s="36" t="n"/>
      <c r="O374" s="36" t="n"/>
      <c r="P374" s="36" t="n"/>
      <c r="Q374" s="183">
        <f>IFERROR(1-Q366,"n/a")</f>
        <v/>
      </c>
      <c r="R374" s="36" t="n"/>
      <c r="S374" s="36" t="n"/>
      <c r="T374" s="36" t="n"/>
      <c r="U374" s="36" t="n"/>
      <c r="V374" s="183">
        <f>IFERROR(1-V366,"n/a")</f>
        <v/>
      </c>
      <c r="W374" s="36" t="n"/>
      <c r="X374" s="36" t="n"/>
      <c r="Y374" s="36" t="n"/>
      <c r="Z374" s="36" t="n"/>
      <c r="AA374" s="183">
        <f>IFERROR(1-AA366,"n/a")</f>
        <v/>
      </c>
      <c r="AB374" s="36" t="n"/>
      <c r="AC374" s="36" t="n"/>
      <c r="AD374" s="36" t="n"/>
      <c r="AE374" s="36" t="n"/>
      <c r="AF374" s="183">
        <f>IFERROR(1-AF366,"n/a")</f>
        <v/>
      </c>
      <c r="AG374" s="36" t="n"/>
      <c r="AH374" s="36" t="n"/>
      <c r="AI374" s="37" t="n"/>
      <c r="AJ374" s="37" t="n"/>
      <c r="AK374" s="177">
        <f>IFERROR(1-AK366,"n/a")</f>
        <v/>
      </c>
      <c r="AL374" s="177">
        <f>IFERROR(1-AL366,"n/a")</f>
        <v/>
      </c>
      <c r="AM374" s="177">
        <f>IFERROR(1-AM366,"n/a")</f>
        <v/>
      </c>
      <c r="AN374" s="177">
        <f>IFERROR(1-AN366,"n/a")</f>
        <v/>
      </c>
      <c r="AO374" s="177">
        <f>IFERROR(1-AO366,"n/a")</f>
        <v/>
      </c>
      <c r="AP374" s="20" t="n"/>
    </row>
    <row r="375" ht="15" customHeight="1">
      <c r="B375" s="26" t="inlineStr">
        <is>
          <t xml:space="preserve">  Check: Margin × Turnover × Tax burden = ROIC</t>
        </is>
      </c>
      <c r="C375" s="183">
        <f>IFERROR(C372*C373*C374,"n/a")</f>
        <v/>
      </c>
      <c r="D375" s="183">
        <f>IFERROR(D372*D373*D374,"n/a")</f>
        <v/>
      </c>
      <c r="E375" s="183">
        <f>IFERROR(E372*E373*E374,"n/a")</f>
        <v/>
      </c>
      <c r="F375" s="183">
        <f>IFERROR(F372*F373*F374,"n/a")</f>
        <v/>
      </c>
      <c r="G375" s="183">
        <f>IFERROR(G372*G373*G374,"n/a")</f>
        <v/>
      </c>
      <c r="H375" s="183">
        <f>IFERROR(H372*H373*H374,"n/a")</f>
        <v/>
      </c>
      <c r="I375" s="183">
        <f>IFERROR(I372*I373*I374,"n/a")</f>
        <v/>
      </c>
      <c r="J375" s="183">
        <f>IFERROR(J372*J373*J374,"n/a")</f>
        <v/>
      </c>
      <c r="K375" s="183">
        <f>IFERROR(K372*K373*K374,"n/a")</f>
        <v/>
      </c>
      <c r="L375" s="183">
        <f>IFERROR(L372*L373*L374,"n/a")</f>
        <v/>
      </c>
      <c r="M375" s="36" t="n"/>
      <c r="N375" s="36" t="n"/>
      <c r="O375" s="36" t="n"/>
      <c r="P375" s="36" t="n"/>
      <c r="Q375" s="183">
        <f>IFERROR(Q372*Q373*Q374,"n/a")</f>
        <v/>
      </c>
      <c r="R375" s="36" t="n"/>
      <c r="S375" s="36" t="n"/>
      <c r="T375" s="36" t="n"/>
      <c r="U375" s="36" t="n"/>
      <c r="V375" s="183">
        <f>IFERROR(V372*V373*V374,"n/a")</f>
        <v/>
      </c>
      <c r="W375" s="36" t="n"/>
      <c r="X375" s="36" t="n"/>
      <c r="Y375" s="36" t="n"/>
      <c r="Z375" s="36" t="n"/>
      <c r="AA375" s="183">
        <f>IFERROR(AA372*AA373*AA374,"n/a")</f>
        <v/>
      </c>
      <c r="AB375" s="36" t="n"/>
      <c r="AC375" s="36" t="n"/>
      <c r="AD375" s="36" t="n"/>
      <c r="AE375" s="36" t="n"/>
      <c r="AF375" s="183">
        <f>IFERROR(AF372*AF373*AF374,"n/a")</f>
        <v/>
      </c>
      <c r="AG375" s="36" t="n"/>
      <c r="AH375" s="36" t="n"/>
      <c r="AI375" s="37" t="n"/>
      <c r="AJ375" s="37" t="n"/>
      <c r="AK375" s="177">
        <f>IFERROR(AK372*AK373*AK374,"n/a")</f>
        <v/>
      </c>
      <c r="AL375" s="177">
        <f>IFERROR(AL372*AL373*AL374,"n/a")</f>
        <v/>
      </c>
      <c r="AM375" s="177">
        <f>IFERROR(AM372*AM373*AM374,"n/a")</f>
        <v/>
      </c>
      <c r="AN375" s="177">
        <f>IFERROR(AN372*AN373*AN374,"n/a")</f>
        <v/>
      </c>
      <c r="AO375" s="177">
        <f>IFERROR(AO372*AO373*AO374,"n/a")</f>
        <v/>
      </c>
      <c r="AP375" s="20" t="n"/>
    </row>
    <row r="376" ht="15" customHeight="1">
      <c r="B376" s="26" t="inlineStr">
        <is>
          <t>RONTA decomposition</t>
        </is>
      </c>
      <c r="AP376" s="6" t="n"/>
    </row>
    <row r="377" ht="15" customHeight="1">
      <c r="B377" s="26" t="inlineStr">
        <is>
          <t>NOPAT = Adjusted EBIT × (1 − tax rate)</t>
        </is>
      </c>
      <c r="C377" s="186">
        <f>C367</f>
        <v/>
      </c>
      <c r="D377" s="186">
        <f>D367</f>
        <v/>
      </c>
      <c r="E377" s="186">
        <f>E367</f>
        <v/>
      </c>
      <c r="F377" s="186">
        <f>F367</f>
        <v/>
      </c>
      <c r="G377" s="186">
        <f>G367</f>
        <v/>
      </c>
      <c r="H377" s="186">
        <f>H367</f>
        <v/>
      </c>
      <c r="I377" s="186">
        <f>I367</f>
        <v/>
      </c>
      <c r="J377" s="186">
        <f>J367</f>
        <v/>
      </c>
      <c r="K377" s="186">
        <f>K367</f>
        <v/>
      </c>
      <c r="L377" s="186">
        <f>L367</f>
        <v/>
      </c>
      <c r="M377" s="36" t="n"/>
      <c r="N377" s="36" t="n"/>
      <c r="O377" s="36" t="n"/>
      <c r="P377" s="36" t="n"/>
      <c r="Q377" s="186">
        <f>Q367</f>
        <v/>
      </c>
      <c r="R377" s="36" t="n"/>
      <c r="S377" s="36" t="n"/>
      <c r="T377" s="36" t="n"/>
      <c r="U377" s="36" t="n"/>
      <c r="V377" s="186">
        <f>V367</f>
        <v/>
      </c>
      <c r="W377" s="36" t="n"/>
      <c r="X377" s="36" t="n"/>
      <c r="Y377" s="36" t="n"/>
      <c r="Z377" s="36" t="n"/>
      <c r="AA377" s="186">
        <f>AA367</f>
        <v/>
      </c>
      <c r="AB377" s="36" t="n"/>
      <c r="AC377" s="36" t="n"/>
      <c r="AD377" s="36" t="n"/>
      <c r="AE377" s="36" t="n"/>
      <c r="AF377" s="186">
        <f>AF367</f>
        <v/>
      </c>
      <c r="AG377" s="36" t="n"/>
      <c r="AH377" s="36" t="n"/>
      <c r="AI377" s="37" t="n"/>
      <c r="AJ377" s="37" t="n"/>
      <c r="AK377" s="175">
        <f>AK367</f>
        <v/>
      </c>
      <c r="AL377" s="175">
        <f>AL367</f>
        <v/>
      </c>
      <c r="AM377" s="175">
        <f>AM367</f>
        <v/>
      </c>
      <c r="AN377" s="175">
        <f>AN367</f>
        <v/>
      </c>
      <c r="AO377" s="175">
        <f>AO367</f>
        <v/>
      </c>
      <c r="AP377" s="20" t="n"/>
    </row>
    <row r="378" ht="15" customHeight="1">
      <c r="B378" s="26" t="inlineStr">
        <is>
          <t xml:space="preserve">  Total assets</t>
        </is>
      </c>
      <c r="C378" s="186">
        <f>C292</f>
        <v/>
      </c>
      <c r="D378" s="186">
        <f>D292</f>
        <v/>
      </c>
      <c r="E378" s="186">
        <f>E292</f>
        <v/>
      </c>
      <c r="F378" s="186">
        <f>F292</f>
        <v/>
      </c>
      <c r="G378" s="186">
        <f>G292</f>
        <v/>
      </c>
      <c r="H378" s="186">
        <f>H292</f>
        <v/>
      </c>
      <c r="I378" s="186">
        <f>I292</f>
        <v/>
      </c>
      <c r="J378" s="186">
        <f>J292</f>
        <v/>
      </c>
      <c r="K378" s="186">
        <f>K292</f>
        <v/>
      </c>
      <c r="L378" s="186">
        <f>L292</f>
        <v/>
      </c>
      <c r="M378" s="36" t="n"/>
      <c r="N378" s="36" t="n"/>
      <c r="O378" s="36" t="n"/>
      <c r="P378" s="36" t="n"/>
      <c r="Q378" s="186">
        <f>Q292</f>
        <v/>
      </c>
      <c r="R378" s="36" t="n"/>
      <c r="S378" s="36" t="n"/>
      <c r="T378" s="36" t="n"/>
      <c r="U378" s="36" t="n"/>
      <c r="V378" s="186">
        <f>V292</f>
        <v/>
      </c>
      <c r="W378" s="36" t="n"/>
      <c r="X378" s="36" t="n"/>
      <c r="Y378" s="36" t="n"/>
      <c r="Z378" s="36" t="n"/>
      <c r="AA378" s="186">
        <f>AA292</f>
        <v/>
      </c>
      <c r="AB378" s="36" t="n"/>
      <c r="AC378" s="36" t="n"/>
      <c r="AD378" s="36" t="n"/>
      <c r="AE378" s="36" t="n"/>
      <c r="AF378" s="186">
        <f>AF292</f>
        <v/>
      </c>
      <c r="AG378" s="36" t="n"/>
      <c r="AH378" s="36" t="n"/>
      <c r="AI378" s="37" t="n"/>
      <c r="AJ378" s="37" t="n"/>
      <c r="AK378" s="175">
        <f>AK292</f>
        <v/>
      </c>
      <c r="AL378" s="175">
        <f>AL292</f>
        <v/>
      </c>
      <c r="AM378" s="175">
        <f>AM292</f>
        <v/>
      </c>
      <c r="AN378" s="175">
        <f>AN292</f>
        <v/>
      </c>
      <c r="AO378" s="175">
        <f>AO292</f>
        <v/>
      </c>
      <c r="AP378" s="20" t="n"/>
    </row>
    <row r="379" ht="15" customHeight="1">
      <c r="B379" s="26" t="inlineStr">
        <is>
          <t xml:space="preserve">  − Goodwill &amp; acquired intangible assets</t>
        </is>
      </c>
      <c r="C379" s="186">
        <f>IFERROR(-(C289+C290),"n/a")</f>
        <v/>
      </c>
      <c r="D379" s="186">
        <f>IFERROR(-(D289+D290),"n/a")</f>
        <v/>
      </c>
      <c r="E379" s="186">
        <f>IFERROR(-(E289+E290),"n/a")</f>
        <v/>
      </c>
      <c r="F379" s="186">
        <f>IFERROR(-(F289+F290),"n/a")</f>
        <v/>
      </c>
      <c r="G379" s="186">
        <f>IFERROR(-(G289+G290),"n/a")</f>
        <v/>
      </c>
      <c r="H379" s="186">
        <f>IFERROR(-(H289+H290),"n/a")</f>
        <v/>
      </c>
      <c r="I379" s="186">
        <f>IFERROR(-(I289+I290),"n/a")</f>
        <v/>
      </c>
      <c r="J379" s="186">
        <f>IFERROR(-(J289+J290),"n/a")</f>
        <v/>
      </c>
      <c r="K379" s="186">
        <f>IFERROR(-(K289+K290),"n/a")</f>
        <v/>
      </c>
      <c r="L379" s="186">
        <f>IFERROR(-(L289+L290),"n/a")</f>
        <v/>
      </c>
      <c r="M379" s="36" t="n"/>
      <c r="N379" s="36" t="n"/>
      <c r="O379" s="36" t="n"/>
      <c r="P379" s="36" t="n"/>
      <c r="Q379" s="186">
        <f>IFERROR(-(Q289+Q290),"n/a")</f>
        <v/>
      </c>
      <c r="R379" s="36" t="n"/>
      <c r="S379" s="36" t="n"/>
      <c r="T379" s="36" t="n"/>
      <c r="U379" s="36" t="n"/>
      <c r="V379" s="186">
        <f>IFERROR(-(V289+V290),"n/a")</f>
        <v/>
      </c>
      <c r="W379" s="36" t="n"/>
      <c r="X379" s="36" t="n"/>
      <c r="Y379" s="36" t="n"/>
      <c r="Z379" s="36" t="n"/>
      <c r="AA379" s="186">
        <f>IFERROR(-(AA289+AA290),"n/a")</f>
        <v/>
      </c>
      <c r="AB379" s="36" t="n"/>
      <c r="AC379" s="36" t="n"/>
      <c r="AD379" s="36" t="n"/>
      <c r="AE379" s="36" t="n"/>
      <c r="AF379" s="186">
        <f>IFERROR(-(AF289+AF290),"n/a")</f>
        <v/>
      </c>
      <c r="AG379" s="36" t="n"/>
      <c r="AH379" s="36" t="n"/>
      <c r="AI379" s="37" t="n"/>
      <c r="AJ379" s="37" t="n"/>
      <c r="AK379" s="175">
        <f>IFERROR(-(AK289+AK290),"n/a")</f>
        <v/>
      </c>
      <c r="AL379" s="175">
        <f>IFERROR(-(AL289+AL290),"n/a")</f>
        <v/>
      </c>
      <c r="AM379" s="175">
        <f>IFERROR(-(AM289+AM290),"n/a")</f>
        <v/>
      </c>
      <c r="AN379" s="175">
        <f>IFERROR(-(AN289+AN290),"n/a")</f>
        <v/>
      </c>
      <c r="AO379" s="175">
        <f>IFERROR(-(AO289+AO290),"n/a")</f>
        <v/>
      </c>
      <c r="AP379" s="20" t="n"/>
    </row>
    <row r="380" ht="15" customHeight="1">
      <c r="B380" s="26" t="inlineStr">
        <is>
          <t xml:space="preserve">  − Non-interest-bearing current liabilities (total CL excl. debt)</t>
        </is>
      </c>
      <c r="C380" s="186">
        <f>IFERROR(-(C297-N(C295)),"n/a")</f>
        <v/>
      </c>
      <c r="D380" s="186">
        <f>IFERROR(-(D297-N(D295)),"n/a")</f>
        <v/>
      </c>
      <c r="E380" s="186">
        <f>IFERROR(-(E297-N(E295)),"n/a")</f>
        <v/>
      </c>
      <c r="F380" s="186">
        <f>IFERROR(-(F297-N(F295)),"n/a")</f>
        <v/>
      </c>
      <c r="G380" s="186">
        <f>IFERROR(-(G297-N(G295)),"n/a")</f>
        <v/>
      </c>
      <c r="H380" s="186">
        <f>IFERROR(-(H297-N(H295)),"n/a")</f>
        <v/>
      </c>
      <c r="I380" s="186">
        <f>IFERROR(-(I297-N(I295)),"n/a")</f>
        <v/>
      </c>
      <c r="J380" s="186">
        <f>IFERROR(-(J297-N(J295)),"n/a")</f>
        <v/>
      </c>
      <c r="K380" s="186">
        <f>IFERROR(-(K297-N(K295)),"n/a")</f>
        <v/>
      </c>
      <c r="L380" s="186">
        <f>IFERROR(-(L297-N(L295)),"n/a")</f>
        <v/>
      </c>
      <c r="M380" s="36" t="n"/>
      <c r="N380" s="36" t="n"/>
      <c r="O380" s="36" t="n"/>
      <c r="P380" s="36" t="n"/>
      <c r="Q380" s="186">
        <f>IFERROR(-(Q297-N(Q295)),"n/a")</f>
        <v/>
      </c>
      <c r="R380" s="36" t="n"/>
      <c r="S380" s="36" t="n"/>
      <c r="T380" s="36" t="n"/>
      <c r="U380" s="36" t="n"/>
      <c r="V380" s="186">
        <f>IFERROR(-(V297-N(V295)),"n/a")</f>
        <v/>
      </c>
      <c r="W380" s="36" t="n"/>
      <c r="X380" s="36" t="n"/>
      <c r="Y380" s="36" t="n"/>
      <c r="Z380" s="36" t="n"/>
      <c r="AA380" s="186">
        <f>IFERROR(-(AA297-N(AA295)),"n/a")</f>
        <v/>
      </c>
      <c r="AB380" s="36" t="n"/>
      <c r="AC380" s="36" t="n"/>
      <c r="AD380" s="36" t="n"/>
      <c r="AE380" s="36" t="n"/>
      <c r="AF380" s="186">
        <f>IFERROR(-(AF297-N(AF295)),"n/a")</f>
        <v/>
      </c>
      <c r="AG380" s="36" t="n"/>
      <c r="AH380" s="36" t="n"/>
      <c r="AI380" s="37" t="n"/>
      <c r="AJ380" s="37" t="n"/>
      <c r="AK380" s="175">
        <f>IFERROR(-(AK297-N(AK295)),"n/a")</f>
        <v/>
      </c>
      <c r="AL380" s="175">
        <f>IFERROR(-(AL297-N(AL295)),"n/a")</f>
        <v/>
      </c>
      <c r="AM380" s="175">
        <f>IFERROR(-(AM297-N(AM295)),"n/a")</f>
        <v/>
      </c>
      <c r="AN380" s="175">
        <f>IFERROR(-(AN297-N(AN295)),"n/a")</f>
        <v/>
      </c>
      <c r="AO380" s="175">
        <f>IFERROR(-(AO297-N(AO295)),"n/a")</f>
        <v/>
      </c>
      <c r="AP380" s="20" t="n"/>
    </row>
    <row r="381" ht="15" customHeight="1">
      <c r="B381" s="26" t="inlineStr">
        <is>
          <t xml:space="preserve">  = Net tangible assets</t>
        </is>
      </c>
      <c r="C381" s="186">
        <f>IFERROR(SUM(C378:C380),"n/a")</f>
        <v/>
      </c>
      <c r="D381" s="186">
        <f>IFERROR(SUM(D378:D380),"n/a")</f>
        <v/>
      </c>
      <c r="E381" s="186">
        <f>IFERROR(SUM(E378:E380),"n/a")</f>
        <v/>
      </c>
      <c r="F381" s="186">
        <f>IFERROR(SUM(F378:F380),"n/a")</f>
        <v/>
      </c>
      <c r="G381" s="186">
        <f>IFERROR(SUM(G378:G380),"n/a")</f>
        <v/>
      </c>
      <c r="H381" s="186">
        <f>IFERROR(SUM(H378:H380),"n/a")</f>
        <v/>
      </c>
      <c r="I381" s="186">
        <f>IFERROR(SUM(I378:I380),"n/a")</f>
        <v/>
      </c>
      <c r="J381" s="186">
        <f>IFERROR(SUM(J378:J380),"n/a")</f>
        <v/>
      </c>
      <c r="K381" s="186">
        <f>IFERROR(SUM(K378:K380),"n/a")</f>
        <v/>
      </c>
      <c r="L381" s="186">
        <f>IFERROR(SUM(L378:L380),"n/a")</f>
        <v/>
      </c>
      <c r="M381" s="36" t="n"/>
      <c r="N381" s="36" t="n"/>
      <c r="O381" s="36" t="n"/>
      <c r="P381" s="36" t="n"/>
      <c r="Q381" s="186">
        <f>IFERROR(SUM(Q378:Q380),"n/a")</f>
        <v/>
      </c>
      <c r="R381" s="36" t="n"/>
      <c r="S381" s="36" t="n"/>
      <c r="T381" s="36" t="n"/>
      <c r="U381" s="36" t="n"/>
      <c r="V381" s="186">
        <f>IFERROR(SUM(V378:V380),"n/a")</f>
        <v/>
      </c>
      <c r="W381" s="36" t="n"/>
      <c r="X381" s="36" t="n"/>
      <c r="Y381" s="36" t="n"/>
      <c r="Z381" s="36" t="n"/>
      <c r="AA381" s="186">
        <f>IFERROR(SUM(AA378:AA380),"n/a")</f>
        <v/>
      </c>
      <c r="AB381" s="36" t="n"/>
      <c r="AC381" s="36" t="n"/>
      <c r="AD381" s="36" t="n"/>
      <c r="AE381" s="36" t="n"/>
      <c r="AF381" s="186">
        <f>IFERROR(SUM(AF378:AF380),"n/a")</f>
        <v/>
      </c>
      <c r="AG381" s="36" t="n"/>
      <c r="AH381" s="36" t="n"/>
      <c r="AI381" s="37" t="n"/>
      <c r="AJ381" s="37" t="n"/>
      <c r="AK381" s="175">
        <f>IFERROR(SUM(AK378:AK380),"n/a")</f>
        <v/>
      </c>
      <c r="AL381" s="175">
        <f>IFERROR(SUM(AL378:AL380),"n/a")</f>
        <v/>
      </c>
      <c r="AM381" s="175">
        <f>IFERROR(SUM(AM378:AM380),"n/a")</f>
        <v/>
      </c>
      <c r="AN381" s="175">
        <f>IFERROR(SUM(AN378:AN380),"n/a")</f>
        <v/>
      </c>
      <c r="AO381" s="175">
        <f>IFERROR(SUM(AO378:AO380),"n/a")</f>
        <v/>
      </c>
      <c r="AP381" s="20" t="n"/>
    </row>
    <row r="382" ht="15" customHeight="1">
      <c r="B382" s="59" t="inlineStr">
        <is>
          <t>RONTA = NOPAT / NTA</t>
        </is>
      </c>
      <c r="C382" s="215">
        <f>IFERROR(C377/C381,"n/a")</f>
        <v/>
      </c>
      <c r="D382" s="215">
        <f>IFERROR(D377/D381,"n/a")</f>
        <v/>
      </c>
      <c r="E382" s="215">
        <f>IFERROR(E377/E381,"n/a")</f>
        <v/>
      </c>
      <c r="F382" s="215">
        <f>IFERROR(F377/F381,"n/a")</f>
        <v/>
      </c>
      <c r="G382" s="215">
        <f>IFERROR(G377/G381,"n/a")</f>
        <v/>
      </c>
      <c r="H382" s="215">
        <f>IFERROR(H377/H381,"n/a")</f>
        <v/>
      </c>
      <c r="I382" s="215">
        <f>IFERROR(I377/I381,"n/a")</f>
        <v/>
      </c>
      <c r="J382" s="215">
        <f>IFERROR(J377/J381,"n/a")</f>
        <v/>
      </c>
      <c r="K382" s="215">
        <f>IFERROR(K377/K381,"n/a")</f>
        <v/>
      </c>
      <c r="L382" s="215">
        <f>IFERROR(L377/L381,"n/a")</f>
        <v/>
      </c>
      <c r="M382" s="60" t="n"/>
      <c r="N382" s="60" t="n"/>
      <c r="O382" s="60" t="n"/>
      <c r="P382" s="60" t="n"/>
      <c r="Q382" s="215">
        <f>IFERROR(Q377/Q381,"n/a")</f>
        <v/>
      </c>
      <c r="R382" s="60" t="n"/>
      <c r="S382" s="60" t="n"/>
      <c r="T382" s="60" t="n"/>
      <c r="U382" s="60" t="n"/>
      <c r="V382" s="215">
        <f>IFERROR(V377/V381,"n/a")</f>
        <v/>
      </c>
      <c r="W382" s="60" t="n"/>
      <c r="X382" s="60" t="n"/>
      <c r="Y382" s="60" t="n"/>
      <c r="Z382" s="60" t="n"/>
      <c r="AA382" s="215">
        <f>IFERROR(AA377/AA381,"n/a")</f>
        <v/>
      </c>
      <c r="AB382" s="60" t="n"/>
      <c r="AC382" s="60" t="n"/>
      <c r="AD382" s="60" t="n"/>
      <c r="AE382" s="60" t="n"/>
      <c r="AF382" s="215">
        <f>IFERROR(AF377/AF381,"n/a")</f>
        <v/>
      </c>
      <c r="AG382" s="60" t="n"/>
      <c r="AH382" s="60" t="n"/>
      <c r="AI382" s="60" t="n"/>
      <c r="AJ382" s="60" t="n"/>
      <c r="AK382" s="215">
        <f>IFERROR(AK377/AK381,"n/a")</f>
        <v/>
      </c>
      <c r="AL382" s="215">
        <f>IFERROR(AL377/AL381,"n/a")</f>
        <v/>
      </c>
      <c r="AM382" s="215">
        <f>IFERROR(AM377/AM381,"n/a")</f>
        <v/>
      </c>
      <c r="AN382" s="215">
        <f>IFERROR(AN377/AN381,"n/a")</f>
        <v/>
      </c>
      <c r="AO382" s="215">
        <f>IFERROR(AO377/AO381,"n/a")</f>
        <v/>
      </c>
      <c r="AP382" s="6" t="n"/>
      <c r="AR382" s="39">
        <f>IFERROR(AVERAGE(AK382,AL382,AM382,AN382,AO382),"n/m")</f>
        <v/>
      </c>
      <c r="AS382" s="39">
        <f>IFERROR(AVERAGE(L382,Q382,V382,AA382,AF382),"n/m")</f>
        <v/>
      </c>
      <c r="AT382" s="39">
        <f>IFERROR(AVERAGE(G382,H382,I382,J382,K382,L382,Q382,V382,AA382,AF382),"n/m")</f>
        <v/>
      </c>
      <c r="AU382" s="39">
        <f>IFERROR(AVERAGE(C382,D382,E382,F382,G382,H382,I382,J382,K382,L382,Q382,V382,AA382,AF382),"n/m")</f>
        <v/>
      </c>
    </row>
    <row r="383" ht="15" customHeight="1">
      <c r="B383" s="26" t="inlineStr">
        <is>
          <t>Return on Equity (ROE)</t>
        </is>
      </c>
      <c r="AP383" s="6" t="n"/>
    </row>
    <row r="384" ht="15" customHeight="1">
      <c r="B384" s="26" t="inlineStr">
        <is>
          <t>Net income</t>
        </is>
      </c>
      <c r="C384" s="186">
        <f>C141</f>
        <v/>
      </c>
      <c r="D384" s="186">
        <f>D141</f>
        <v/>
      </c>
      <c r="E384" s="186">
        <f>E141</f>
        <v/>
      </c>
      <c r="F384" s="186">
        <f>F141</f>
        <v/>
      </c>
      <c r="G384" s="186">
        <f>G141</f>
        <v/>
      </c>
      <c r="H384" s="186">
        <f>H141</f>
        <v/>
      </c>
      <c r="I384" s="186">
        <f>I141</f>
        <v/>
      </c>
      <c r="J384" s="186">
        <f>J141</f>
        <v/>
      </c>
      <c r="K384" s="186">
        <f>K141</f>
        <v/>
      </c>
      <c r="L384" s="186">
        <f>L141</f>
        <v/>
      </c>
      <c r="M384" s="36" t="n"/>
      <c r="N384" s="36" t="n"/>
      <c r="O384" s="36" t="n"/>
      <c r="P384" s="36" t="n"/>
      <c r="Q384" s="186">
        <f>Q141</f>
        <v/>
      </c>
      <c r="R384" s="36" t="n"/>
      <c r="S384" s="36" t="n"/>
      <c r="T384" s="36" t="n"/>
      <c r="U384" s="36" t="n"/>
      <c r="V384" s="186">
        <f>V141</f>
        <v/>
      </c>
      <c r="W384" s="36" t="n"/>
      <c r="X384" s="36" t="n"/>
      <c r="Y384" s="36" t="n"/>
      <c r="Z384" s="36" t="n"/>
      <c r="AA384" s="186">
        <f>AA141</f>
        <v/>
      </c>
      <c r="AB384" s="36" t="n"/>
      <c r="AC384" s="36" t="n"/>
      <c r="AD384" s="36" t="n"/>
      <c r="AE384" s="36" t="n"/>
      <c r="AF384" s="186">
        <f>AF141</f>
        <v/>
      </c>
      <c r="AG384" s="36" t="n"/>
      <c r="AH384" s="36" t="n"/>
      <c r="AI384" s="37" t="n"/>
      <c r="AJ384" s="37" t="n"/>
      <c r="AK384" s="175">
        <f>AK141</f>
        <v/>
      </c>
      <c r="AL384" s="175">
        <f>AL141</f>
        <v/>
      </c>
      <c r="AM384" s="175">
        <f>AM141</f>
        <v/>
      </c>
      <c r="AN384" s="175">
        <f>AN141</f>
        <v/>
      </c>
      <c r="AO384" s="175">
        <f>AO141</f>
        <v/>
      </c>
      <c r="AP384" s="20" t="n"/>
    </row>
    <row r="385" ht="15" customHeight="1">
      <c r="B385" s="26" t="inlineStr">
        <is>
          <t>Stockholders' equity</t>
        </is>
      </c>
      <c r="C385" s="186">
        <f>C369</f>
        <v/>
      </c>
      <c r="D385" s="186">
        <f>D369</f>
        <v/>
      </c>
      <c r="E385" s="186">
        <f>E369</f>
        <v/>
      </c>
      <c r="F385" s="186">
        <f>F369</f>
        <v/>
      </c>
      <c r="G385" s="186">
        <f>G369</f>
        <v/>
      </c>
      <c r="H385" s="186">
        <f>H369</f>
        <v/>
      </c>
      <c r="I385" s="186">
        <f>I369</f>
        <v/>
      </c>
      <c r="J385" s="186">
        <f>J369</f>
        <v/>
      </c>
      <c r="K385" s="186">
        <f>K369</f>
        <v/>
      </c>
      <c r="L385" s="186">
        <f>L369</f>
        <v/>
      </c>
      <c r="M385" s="36" t="n"/>
      <c r="N385" s="36" t="n"/>
      <c r="O385" s="36" t="n"/>
      <c r="P385" s="36" t="n"/>
      <c r="Q385" s="186">
        <f>Q369</f>
        <v/>
      </c>
      <c r="R385" s="36" t="n"/>
      <c r="S385" s="36" t="n"/>
      <c r="T385" s="36" t="n"/>
      <c r="U385" s="36" t="n"/>
      <c r="V385" s="186">
        <f>V369</f>
        <v/>
      </c>
      <c r="W385" s="36" t="n"/>
      <c r="X385" s="36" t="n"/>
      <c r="Y385" s="36" t="n"/>
      <c r="Z385" s="36" t="n"/>
      <c r="AA385" s="186">
        <f>AA369</f>
        <v/>
      </c>
      <c r="AB385" s="36" t="n"/>
      <c r="AC385" s="36" t="n"/>
      <c r="AD385" s="36" t="n"/>
      <c r="AE385" s="36" t="n"/>
      <c r="AF385" s="186">
        <f>AF369</f>
        <v/>
      </c>
      <c r="AG385" s="36" t="n"/>
      <c r="AH385" s="36" t="n"/>
      <c r="AI385" s="37" t="n"/>
      <c r="AJ385" s="37" t="n"/>
      <c r="AK385" s="175">
        <f>AK369</f>
        <v/>
      </c>
      <c r="AL385" s="175">
        <f>AL369</f>
        <v/>
      </c>
      <c r="AM385" s="175">
        <f>AM369</f>
        <v/>
      </c>
      <c r="AN385" s="175">
        <f>AN369</f>
        <v/>
      </c>
      <c r="AO385" s="175">
        <f>AO369</f>
        <v/>
      </c>
      <c r="AP385" s="20" t="n"/>
    </row>
    <row r="386" ht="15" customHeight="1">
      <c r="B386" s="26" t="inlineStr">
        <is>
          <t>ROE = Net income / Equity</t>
        </is>
      </c>
      <c r="C386" s="183">
        <f>IFERROR(C384/C385,"n/a")</f>
        <v/>
      </c>
      <c r="D386" s="183">
        <f>IFERROR(D384/D385,"n/a")</f>
        <v/>
      </c>
      <c r="E386" s="183">
        <f>IFERROR(E384/E385,"n/a")</f>
        <v/>
      </c>
      <c r="F386" s="183">
        <f>IFERROR(F384/F385,"n/a")</f>
        <v/>
      </c>
      <c r="G386" s="183">
        <f>IFERROR(G384/G385,"n/a")</f>
        <v/>
      </c>
      <c r="H386" s="183">
        <f>IFERROR(H384/H385,"n/a")</f>
        <v/>
      </c>
      <c r="I386" s="183">
        <f>IFERROR(I384/I385,"n/a")</f>
        <v/>
      </c>
      <c r="J386" s="183">
        <f>IFERROR(J384/J385,"n/a")</f>
        <v/>
      </c>
      <c r="K386" s="183">
        <f>IFERROR(K384/K385,"n/a")</f>
        <v/>
      </c>
      <c r="L386" s="183">
        <f>IFERROR(L384/L385,"n/a")</f>
        <v/>
      </c>
      <c r="M386" s="36" t="n"/>
      <c r="N386" s="36" t="n"/>
      <c r="O386" s="36" t="n"/>
      <c r="P386" s="36" t="n"/>
      <c r="Q386" s="183">
        <f>IFERROR(Q384/Q385,"n/a")</f>
        <v/>
      </c>
      <c r="R386" s="36" t="n"/>
      <c r="S386" s="36" t="n"/>
      <c r="T386" s="36" t="n"/>
      <c r="U386" s="36" t="n"/>
      <c r="V386" s="183">
        <f>IFERROR(V384/V385,"n/a")</f>
        <v/>
      </c>
      <c r="W386" s="36" t="n"/>
      <c r="X386" s="36" t="n"/>
      <c r="Y386" s="36" t="n"/>
      <c r="Z386" s="36" t="n"/>
      <c r="AA386" s="183">
        <f>IFERROR(AA384/AA385,"n/a")</f>
        <v/>
      </c>
      <c r="AB386" s="36" t="n"/>
      <c r="AC386" s="36" t="n"/>
      <c r="AD386" s="36" t="n"/>
      <c r="AE386" s="36" t="n"/>
      <c r="AF386" s="183">
        <f>IFERROR(AF384/AF385,"n/a")</f>
        <v/>
      </c>
      <c r="AG386" s="36" t="n"/>
      <c r="AH386" s="36" t="n"/>
      <c r="AI386" s="37" t="n"/>
      <c r="AJ386" s="37" t="n"/>
      <c r="AK386" s="177">
        <f>IFERROR(AK384/AK385,"n/a")</f>
        <v/>
      </c>
      <c r="AL386" s="177">
        <f>IFERROR(AL384/AL385,"n/a")</f>
        <v/>
      </c>
      <c r="AM386" s="177">
        <f>IFERROR(AM384/AM385,"n/a")</f>
        <v/>
      </c>
      <c r="AN386" s="177">
        <f>IFERROR(AN384/AN385,"n/a")</f>
        <v/>
      </c>
      <c r="AO386" s="177">
        <f>IFERROR(AO384/AO385,"n/a")</f>
        <v/>
      </c>
      <c r="AP386" s="20" t="n"/>
      <c r="AR386" s="39">
        <f>IFERROR(AVERAGE(AK386,AL386,AM386,AN386,AO386),"n/m")</f>
        <v/>
      </c>
      <c r="AS386" s="39">
        <f>IFERROR(AVERAGE(L386,Q386,V386,AA386,AF386),"n/m")</f>
        <v/>
      </c>
      <c r="AT386" s="39">
        <f>IFERROR(AVERAGE(G386,H386,I386,J386,K386,L386,Q386,V386,AA386,AF386),"n/m")</f>
        <v/>
      </c>
      <c r="AU386" s="39">
        <f>IFERROR(AVERAGE(C386,D386,E386,F386,G386,H386,I386,J386,K386,L386,Q386,V386,AA386,AF386),"n/m")</f>
        <v/>
      </c>
    </row>
    <row r="387" ht="15" customHeight="1">
      <c r="B387" s="26" t="inlineStr">
        <is>
          <t>Leverage</t>
        </is>
      </c>
      <c r="AP387" s="6" t="n"/>
    </row>
    <row r="388" ht="15" customHeight="1">
      <c r="B388" s="26" t="inlineStr">
        <is>
          <t>Net debt = Total debt + finance leases − cash</t>
        </is>
      </c>
      <c r="C388" s="186">
        <f>C370</f>
        <v/>
      </c>
      <c r="D388" s="186">
        <f>D370</f>
        <v/>
      </c>
      <c r="E388" s="186">
        <f>E370</f>
        <v/>
      </c>
      <c r="F388" s="186">
        <f>F370</f>
        <v/>
      </c>
      <c r="G388" s="186">
        <f>G370</f>
        <v/>
      </c>
      <c r="H388" s="186">
        <f>H370</f>
        <v/>
      </c>
      <c r="I388" s="186">
        <f>I370</f>
        <v/>
      </c>
      <c r="J388" s="186">
        <f>J370</f>
        <v/>
      </c>
      <c r="K388" s="186">
        <f>K370</f>
        <v/>
      </c>
      <c r="L388" s="186">
        <f>L370</f>
        <v/>
      </c>
      <c r="M388" s="36" t="n"/>
      <c r="N388" s="36" t="n"/>
      <c r="O388" s="36" t="n"/>
      <c r="P388" s="36" t="n"/>
      <c r="Q388" s="186">
        <f>Q370</f>
        <v/>
      </c>
      <c r="R388" s="36" t="n"/>
      <c r="S388" s="36" t="n"/>
      <c r="T388" s="36" t="n"/>
      <c r="U388" s="36" t="n"/>
      <c r="V388" s="186">
        <f>V370</f>
        <v/>
      </c>
      <c r="W388" s="36" t="n"/>
      <c r="X388" s="36" t="n"/>
      <c r="Y388" s="36" t="n"/>
      <c r="Z388" s="36" t="n"/>
      <c r="AA388" s="186">
        <f>AA370</f>
        <v/>
      </c>
      <c r="AB388" s="36" t="n"/>
      <c r="AC388" s="36" t="n"/>
      <c r="AD388" s="36" t="n"/>
      <c r="AE388" s="36" t="n"/>
      <c r="AF388" s="186">
        <f>AF370</f>
        <v/>
      </c>
      <c r="AG388" s="36" t="n"/>
      <c r="AH388" s="36" t="n"/>
      <c r="AI388" s="37" t="n"/>
      <c r="AJ388" s="37" t="n"/>
      <c r="AK388" s="175">
        <f>AK370</f>
        <v/>
      </c>
      <c r="AL388" s="175">
        <f>AL370</f>
        <v/>
      </c>
      <c r="AM388" s="175">
        <f>AM370</f>
        <v/>
      </c>
      <c r="AN388" s="175">
        <f>AN370</f>
        <v/>
      </c>
      <c r="AO388" s="175">
        <f>AO370</f>
        <v/>
      </c>
      <c r="AP388" s="20" t="n"/>
    </row>
    <row r="389" ht="15" customHeight="1">
      <c r="B389" s="26" t="inlineStr">
        <is>
          <t>Adjusted EBITDA (company definition)</t>
        </is>
      </c>
      <c r="C389" s="186">
        <f>C174</f>
        <v/>
      </c>
      <c r="D389" s="186">
        <f>D174</f>
        <v/>
      </c>
      <c r="E389" s="186">
        <f>E174</f>
        <v/>
      </c>
      <c r="F389" s="186">
        <f>F174</f>
        <v/>
      </c>
      <c r="G389" s="186">
        <f>G174</f>
        <v/>
      </c>
      <c r="H389" s="186">
        <f>H174</f>
        <v/>
      </c>
      <c r="I389" s="186">
        <f>I174</f>
        <v/>
      </c>
      <c r="J389" s="186">
        <f>J174</f>
        <v/>
      </c>
      <c r="K389" s="186">
        <f>K174</f>
        <v/>
      </c>
      <c r="L389" s="186">
        <f>L174</f>
        <v/>
      </c>
      <c r="M389" s="36" t="n"/>
      <c r="N389" s="36" t="n"/>
      <c r="O389" s="36" t="n"/>
      <c r="P389" s="36" t="n"/>
      <c r="Q389" s="186">
        <f>Q174</f>
        <v/>
      </c>
      <c r="R389" s="36" t="n"/>
      <c r="S389" s="36" t="n"/>
      <c r="T389" s="36" t="n"/>
      <c r="U389" s="36" t="n"/>
      <c r="V389" s="186">
        <f>V174</f>
        <v/>
      </c>
      <c r="W389" s="36" t="n"/>
      <c r="X389" s="36" t="n"/>
      <c r="Y389" s="36" t="n"/>
      <c r="Z389" s="36" t="n"/>
      <c r="AA389" s="186">
        <f>AA174</f>
        <v/>
      </c>
      <c r="AB389" s="36" t="n"/>
      <c r="AC389" s="36" t="n"/>
      <c r="AD389" s="36" t="n"/>
      <c r="AE389" s="36" t="n"/>
      <c r="AF389" s="186">
        <f>AF174</f>
        <v/>
      </c>
      <c r="AG389" s="36" t="n"/>
      <c r="AH389" s="36" t="n"/>
      <c r="AI389" s="37" t="n"/>
      <c r="AJ389" s="37" t="n"/>
      <c r="AK389" s="175">
        <f>AK174</f>
        <v/>
      </c>
      <c r="AL389" s="175">
        <f>AL174</f>
        <v/>
      </c>
      <c r="AM389" s="175">
        <f>AM174</f>
        <v/>
      </c>
      <c r="AN389" s="175">
        <f>AN174</f>
        <v/>
      </c>
      <c r="AO389" s="175">
        <f>AO174</f>
        <v/>
      </c>
      <c r="AP389" s="20" t="n"/>
    </row>
    <row r="390" ht="15" customHeight="1">
      <c r="B390" s="59" t="inlineStr">
        <is>
          <t>Net debt / Adjusted EBITDA (x)</t>
        </is>
      </c>
      <c r="C390" s="216">
        <f>IFERROR(C388/C389,"n/a")</f>
        <v/>
      </c>
      <c r="D390" s="216">
        <f>IFERROR(D388/D389,"n/a")</f>
        <v/>
      </c>
      <c r="E390" s="216">
        <f>IFERROR(E388/E389,"n/a")</f>
        <v/>
      </c>
      <c r="F390" s="216">
        <f>IFERROR(F388/F389,"n/a")</f>
        <v/>
      </c>
      <c r="G390" s="216">
        <f>IFERROR(G388/G389,"n/a")</f>
        <v/>
      </c>
      <c r="H390" s="216">
        <f>IFERROR(H388/H389,"n/a")</f>
        <v/>
      </c>
      <c r="I390" s="216">
        <f>IFERROR(I388/I389,"n/a")</f>
        <v/>
      </c>
      <c r="J390" s="216">
        <f>IFERROR(J388/J389,"n/a")</f>
        <v/>
      </c>
      <c r="K390" s="216">
        <f>IFERROR(K388/K389,"n/a")</f>
        <v/>
      </c>
      <c r="L390" s="216">
        <f>IFERROR(L388/L389,"n/a")</f>
        <v/>
      </c>
      <c r="M390" s="60" t="n"/>
      <c r="N390" s="60" t="n"/>
      <c r="O390" s="60" t="n"/>
      <c r="P390" s="60" t="n"/>
      <c r="Q390" s="216">
        <f>IFERROR(Q388/Q389,"n/a")</f>
        <v/>
      </c>
      <c r="R390" s="60" t="n"/>
      <c r="S390" s="60" t="n"/>
      <c r="T390" s="60" t="n"/>
      <c r="U390" s="60" t="n"/>
      <c r="V390" s="216">
        <f>IFERROR(V388/V389,"n/a")</f>
        <v/>
      </c>
      <c r="W390" s="60" t="n"/>
      <c r="X390" s="60" t="n"/>
      <c r="Y390" s="60" t="n"/>
      <c r="Z390" s="60" t="n"/>
      <c r="AA390" s="216">
        <f>IFERROR(AA388/AA389,"n/a")</f>
        <v/>
      </c>
      <c r="AB390" s="60" t="n"/>
      <c r="AC390" s="60" t="n"/>
      <c r="AD390" s="60" t="n"/>
      <c r="AE390" s="60" t="n"/>
      <c r="AF390" s="216">
        <f>IFERROR(AF388/AF389,"n/a")</f>
        <v/>
      </c>
      <c r="AG390" s="60" t="n"/>
      <c r="AH390" s="60" t="n"/>
      <c r="AI390" s="60" t="n"/>
      <c r="AJ390" s="60" t="n"/>
      <c r="AK390" s="216">
        <f>IFERROR(AK388/AK389,"n/a")</f>
        <v/>
      </c>
      <c r="AL390" s="216">
        <f>IFERROR(AL388/AL389,"n/a")</f>
        <v/>
      </c>
      <c r="AM390" s="216">
        <f>IFERROR(AM388/AM389,"n/a")</f>
        <v/>
      </c>
      <c r="AN390" s="216">
        <f>IFERROR(AN388/AN389,"n/a")</f>
        <v/>
      </c>
      <c r="AO390" s="216">
        <f>IFERROR(AO388/AO389,"n/a")</f>
        <v/>
      </c>
      <c r="AP390" s="6" t="n"/>
      <c r="AR390" s="39">
        <f>IFERROR(AVERAGE(AK390,AL390,AM390,AN390,AO390),"n/m")</f>
        <v/>
      </c>
      <c r="AS390" s="39">
        <f>IFERROR(AVERAGE(L390,Q390,V390,AA390,AF390),"n/m")</f>
        <v/>
      </c>
      <c r="AT390" s="39">
        <f>IFERROR(AVERAGE(G390,H390,I390,J390,K390,L390,Q390,V390,AA390,AF390),"n/m")</f>
        <v/>
      </c>
      <c r="AU390" s="39">
        <f>IFERROR(AVERAGE(C390,D390,E390,F390,G390,H390,I390,J390,K390,L390,Q390,V390,AA390,AF390),"n/m")</f>
        <v/>
      </c>
    </row>
    <row r="391" ht="15" customHeight="1">
      <c r="AX391" s="12" t="n"/>
      <c r="AY391" s="13" t="n"/>
      <c r="AZ391" s="13" t="n"/>
      <c r="BA391" s="13" t="n"/>
      <c r="BB391" s="14" t="n"/>
    </row>
    <row r="392" ht="15" customHeight="1">
      <c r="B392" s="11" t="inlineStr">
        <is>
          <t>VALUATION</t>
        </is>
      </c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inlineStr">
        <is>
          <t>VALUATION — share price input $75.00 (NYSE: LOAR, early Oct-2026 quote; ~$7.1bn market cap); update to market</t>
        </is>
      </c>
    </row>
    <row r="393" ht="15" customHeight="1">
      <c r="B393" s="76" t="inlineStr">
        <is>
          <t>Share price ($) — current</t>
        </is>
      </c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6" t="n"/>
      <c r="AJ393" s="6" t="n"/>
      <c r="AK393" s="210" t="n">
        <v>75</v>
      </c>
      <c r="AL393" s="209">
        <f>AK393</f>
        <v/>
      </c>
      <c r="AM393" s="209">
        <f>AL393</f>
        <v/>
      </c>
      <c r="AN393" s="209">
        <f>AM393</f>
        <v/>
      </c>
      <c r="AO393" s="209">
        <f>AN393</f>
        <v/>
      </c>
      <c r="AP393" s="20" t="n"/>
    </row>
    <row r="394" ht="15" customHeight="1">
      <c r="B394" s="26" t="inlineStr">
        <is>
          <t>Diluted shares at period end (m)</t>
        </is>
      </c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7" t="n"/>
      <c r="AJ394" s="37" t="n"/>
      <c r="AK394" s="175">
        <f>AK277+(AH148-AH147)</f>
        <v/>
      </c>
      <c r="AL394" s="175">
        <f>AL277+N(AL340)</f>
        <v/>
      </c>
      <c r="AM394" s="175">
        <f>AM277+N(AM340)</f>
        <v/>
      </c>
      <c r="AN394" s="175">
        <f>AN277+N(AN340)</f>
        <v/>
      </c>
      <c r="AO394" s="175">
        <f>AO277+N(AO340)</f>
        <v/>
      </c>
      <c r="AP394" s="20" t="n"/>
    </row>
    <row r="395" ht="15" customHeight="1">
      <c r="B395" s="26" t="inlineStr">
        <is>
          <t>Market capitalisation (USDm)</t>
        </is>
      </c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7" t="n"/>
      <c r="AJ395" s="37" t="n"/>
      <c r="AK395" s="190">
        <f>IFERROR(AK393*AK394,"n/a")</f>
        <v/>
      </c>
      <c r="AL395" s="190">
        <f>IFERROR(AL393*AL394,"n/a")</f>
        <v/>
      </c>
      <c r="AM395" s="190">
        <f>IFERROR(AM393*AM394,"n/a")</f>
        <v/>
      </c>
      <c r="AN395" s="190">
        <f>IFERROR(AN393*AN394,"n/a")</f>
        <v/>
      </c>
      <c r="AO395" s="190">
        <f>IFERROR(AO393*AO394,"n/a")</f>
        <v/>
      </c>
      <c r="AP395" s="20" t="n"/>
    </row>
    <row r="396" ht="15" customHeight="1">
      <c r="B396" s="26" t="inlineStr">
        <is>
          <t>Net debt (USDm)</t>
        </is>
      </c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7" t="n"/>
      <c r="AJ396" s="37" t="n"/>
      <c r="AK396" s="190">
        <f>AK388</f>
        <v/>
      </c>
      <c r="AL396" s="190">
        <f>AL388</f>
        <v/>
      </c>
      <c r="AM396" s="190">
        <f>AM388</f>
        <v/>
      </c>
      <c r="AN396" s="190">
        <f>AN388</f>
        <v/>
      </c>
      <c r="AO396" s="190">
        <f>AO388</f>
        <v/>
      </c>
      <c r="AP396" s="20" t="n"/>
    </row>
    <row r="397" ht="15" customHeight="1">
      <c r="B397" s="26" t="inlineStr">
        <is>
          <t>Noncontrolling interests (USDm)</t>
        </is>
      </c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7" t="n"/>
      <c r="AJ397" s="37" t="n"/>
      <c r="AK397" s="189" t="n">
        <v>0</v>
      </c>
      <c r="AL397" s="189" t="n">
        <v>0</v>
      </c>
      <c r="AM397" s="189" t="n">
        <v>0</v>
      </c>
      <c r="AN397" s="189" t="n">
        <v>0</v>
      </c>
      <c r="AO397" s="189" t="n">
        <v>0</v>
      </c>
      <c r="AP397" s="20" t="n"/>
    </row>
    <row r="398" ht="15" customHeight="1">
      <c r="B398" s="17" t="inlineStr">
        <is>
          <t>Enterprise value (USDm)</t>
        </is>
      </c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  <c r="AG398" s="46" t="n"/>
      <c r="AH398" s="46" t="n"/>
      <c r="AI398" s="34" t="n"/>
      <c r="AJ398" s="34" t="n"/>
      <c r="AK398" s="194">
        <f>IFERROR(AK395+AK396+AK397,"n/a")</f>
        <v/>
      </c>
      <c r="AL398" s="194">
        <f>IFERROR(AL395+AL396+AL397,"n/a")</f>
        <v/>
      </c>
      <c r="AM398" s="194">
        <f>IFERROR(AM395+AM396+AM397,"n/a")</f>
        <v/>
      </c>
      <c r="AN398" s="194">
        <f>IFERROR(AN395+AN396+AN397,"n/a")</f>
        <v/>
      </c>
      <c r="AO398" s="194">
        <f>IFERROR(AO395+AO396+AO397,"n/a")</f>
        <v/>
      </c>
      <c r="AP398" s="6" t="n"/>
    </row>
    <row r="399" ht="15" customHeight="1">
      <c r="B399" s="26" t="inlineStr">
        <is>
          <t>Multiples</t>
        </is>
      </c>
      <c r="AP399" s="6" t="n"/>
    </row>
    <row r="400" ht="15" customHeight="1">
      <c r="B400" s="26" t="inlineStr">
        <is>
          <t xml:space="preserve">  EV / Net sales</t>
        </is>
      </c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7" t="n"/>
      <c r="AJ400" s="37" t="n"/>
      <c r="AK400" s="214">
        <f>IFERROR(AK398/AK127,"n/a")</f>
        <v/>
      </c>
      <c r="AL400" s="214">
        <f>IFERROR(AL398/AL127,"n/a")</f>
        <v/>
      </c>
      <c r="AM400" s="214">
        <f>IFERROR(AM398/AM127,"n/a")</f>
        <v/>
      </c>
      <c r="AN400" s="214">
        <f>IFERROR(AN398/AN127,"n/a")</f>
        <v/>
      </c>
      <c r="AO400" s="214">
        <f>IFERROR(AO398/AO127,"n/a")</f>
        <v/>
      </c>
      <c r="AP400" s="20" t="n"/>
    </row>
    <row r="401" ht="15" customHeight="1">
      <c r="B401" s="26" t="inlineStr">
        <is>
          <t xml:space="preserve">  EV / Adjusted EBITDA</t>
        </is>
      </c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7" t="n"/>
      <c r="AJ401" s="37" t="n"/>
      <c r="AK401" s="214">
        <f>IFERROR(AK398/AK174,"n/a")</f>
        <v/>
      </c>
      <c r="AL401" s="214">
        <f>IFERROR(AL398/AL174,"n/a")</f>
        <v/>
      </c>
      <c r="AM401" s="214">
        <f>IFERROR(AM398/AM174,"n/a")</f>
        <v/>
      </c>
      <c r="AN401" s="214">
        <f>IFERROR(AN398/AN174,"n/a")</f>
        <v/>
      </c>
      <c r="AO401" s="214">
        <f>IFERROR(AO398/AO174,"n/a")</f>
        <v/>
      </c>
      <c r="AP401" s="20" t="n"/>
    </row>
    <row r="402" collapsed="1" ht="15" customHeight="1">
      <c r="B402" s="26" t="inlineStr">
        <is>
          <t xml:space="preserve">  EV / Adjusted EBITA</t>
        </is>
      </c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7" t="n"/>
      <c r="AJ402" s="37" t="n"/>
      <c r="AK402" s="214">
        <f>IFERROR(AK398/AK190,"n/a")</f>
        <v/>
      </c>
      <c r="AL402" s="214">
        <f>IFERROR(AL398/AL190,"n/a")</f>
        <v/>
      </c>
      <c r="AM402" s="214">
        <f>IFERROR(AM398/AM190,"n/a")</f>
        <v/>
      </c>
      <c r="AN402" s="214">
        <f>IFERROR(AN398/AN190,"n/a")</f>
        <v/>
      </c>
      <c r="AO402" s="214">
        <f>IFERROR(AO398/AO190,"n/a")</f>
        <v/>
      </c>
      <c r="AP402" s="20" t="n"/>
    </row>
    <row r="403" ht="15" customHeight="1">
      <c r="B403" s="26" t="inlineStr">
        <is>
          <t xml:space="preserve">  EV / IC</t>
        </is>
      </c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7" t="n"/>
      <c r="AJ403" s="37" t="n"/>
      <c r="AK403" s="214">
        <f>IFERROR(AK398/AK368,"n/a")</f>
        <v/>
      </c>
      <c r="AL403" s="214">
        <f>IFERROR(AL398/AL368,"n/a")</f>
        <v/>
      </c>
      <c r="AM403" s="214">
        <f>IFERROR(AM398/AM368,"n/a")</f>
        <v/>
      </c>
      <c r="AN403" s="214">
        <f>IFERROR(AN398/AN368,"n/a")</f>
        <v/>
      </c>
      <c r="AO403" s="214">
        <f>IFERROR(AO398/AO368,"n/a")</f>
        <v/>
      </c>
      <c r="AP403" s="20" t="n"/>
    </row>
    <row r="404" ht="15" customHeight="1">
      <c r="B404" s="26" t="inlineStr">
        <is>
          <t xml:space="preserve">  P / E (GAAP diluted)</t>
        </is>
      </c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7" t="n"/>
      <c r="AJ404" s="37" t="n"/>
      <c r="AK404" s="214">
        <f>IFERROR(AK393/AK150,"n/a")</f>
        <v/>
      </c>
      <c r="AL404" s="214">
        <f>IFERROR(AL393/AL150,"n/a")</f>
        <v/>
      </c>
      <c r="AM404" s="214">
        <f>IFERROR(AM393/AM150,"n/a")</f>
        <v/>
      </c>
      <c r="AN404" s="214">
        <f>IFERROR(AN393/AN150,"n/a")</f>
        <v/>
      </c>
      <c r="AO404" s="214">
        <f>IFERROR(AO393/AO150,"n/a")</f>
        <v/>
      </c>
      <c r="AP404" s="20" t="n"/>
    </row>
    <row r="405" ht="15" customHeight="1">
      <c r="B405" s="26" t="inlineStr">
        <is>
          <t xml:space="preserve">  P / E (Adjusted EPS, current definition)</t>
        </is>
      </c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7" t="n"/>
      <c r="AJ405" s="37" t="n"/>
      <c r="AK405" s="214">
        <f>IFERROR(AK393/AK204,"n/a")</f>
        <v/>
      </c>
      <c r="AL405" s="214">
        <f>IFERROR(AL393/AL204,"n/a")</f>
        <v/>
      </c>
      <c r="AM405" s="214">
        <f>IFERROR(AM393/AM204,"n/a")</f>
        <v/>
      </c>
      <c r="AN405" s="214">
        <f>IFERROR(AN393/AN204,"n/a")</f>
        <v/>
      </c>
      <c r="AO405" s="214">
        <f>IFERROR(AO393/AO204,"n/a")</f>
        <v/>
      </c>
      <c r="AP405" s="20" t="n"/>
    </row>
    <row r="406" ht="15" customHeight="1">
      <c r="B406" s="26" t="inlineStr">
        <is>
          <t xml:space="preserve">  FCF yield</t>
        </is>
      </c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7" t="n"/>
      <c r="AJ406" s="37" t="n"/>
      <c r="AK406" s="177">
        <f>IFERROR(AK261/AK395,"n/a")</f>
        <v/>
      </c>
      <c r="AL406" s="177">
        <f>IFERROR(AL261/AL395,"n/a")</f>
        <v/>
      </c>
      <c r="AM406" s="177">
        <f>IFERROR(AM261/AM395,"n/a")</f>
        <v/>
      </c>
      <c r="AN406" s="177">
        <f>IFERROR(AN261/AN395,"n/a")</f>
        <v/>
      </c>
      <c r="AO406" s="177">
        <f>IFERROR(AO261/AO395,"n/a")</f>
        <v/>
      </c>
      <c r="AP406" s="20" t="n"/>
    </row>
    <row r="407" ht="15" customHeight="1">
      <c r="B407" s="26" t="inlineStr">
        <is>
          <t xml:space="preserve">  Dividend yield</t>
        </is>
      </c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7" t="n"/>
      <c r="AJ407" s="37" t="n"/>
      <c r="AK407" s="177">
        <f>IFERROR(AK153/AK393,"n/a")</f>
        <v/>
      </c>
      <c r="AL407" s="177">
        <f>IFERROR(AL153/AL393,"n/a")</f>
        <v/>
      </c>
      <c r="AM407" s="177">
        <f>IFERROR(AM153/AM393,"n/a")</f>
        <v/>
      </c>
      <c r="AN407" s="177">
        <f>IFERROR(AN153/AN393,"n/a")</f>
        <v/>
      </c>
      <c r="AO407" s="177">
        <f>IFERROR(AO153/AO393,"n/a")</f>
        <v/>
      </c>
      <c r="AP407" s="20" t="n"/>
    </row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</sheetData>
  <dataValidations count="1">
    <dataValidation sqref="AP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47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min="1" max="1"/>
    <col width="63.85546875" customWidth="1" min="2" max="2"/>
    <col width="11.85546875" customWidth="1" min="3" max="8"/>
    <col width="13.28515625" customWidth="1" min="9" max="9"/>
    <col width="12.5703125" customWidth="1" min="10" max="12"/>
    <col width="3.85546875" customWidth="1" min="13" max="13"/>
    <col width="63.85546875" customWidth="1" min="14" max="14"/>
    <col width="11.85546875" customWidth="1" min="15" max="20"/>
    <col width="13.28515625" customWidth="1" min="21" max="21"/>
    <col width="12.5703125" customWidth="1" min="22" max="24"/>
    <col width="3.85546875" customWidth="1" min="25" max="25"/>
    <col width="63.85546875" customWidth="1" min="26" max="26"/>
    <col width="11.85546875" customWidth="1" min="27" max="32"/>
    <col width="13.28515625" customWidth="1" min="33" max="33"/>
    <col width="12.5703125" customWidth="1" min="34" max="36"/>
  </cols>
  <sheetData>
    <row r="2" ht="19.5" customHeight="1">
      <c r="B2" s="80" t="inlineStr">
        <is>
          <t>Loar Holdings (LOAR) — Bull / Base / Bear Case P&amp;L Summary</t>
        </is>
      </c>
      <c r="J2" s="173" t="inlineStr">
        <is>
          <t>Share price ($):</t>
        </is>
      </c>
      <c r="K2" s="81">
        <f>Model!$AK$393</f>
        <v/>
      </c>
    </row>
    <row r="3" ht="15" customHeight="1">
      <c r="B3" s="4" t="inlineStr">
        <is>
          <t>Adjusted figures (company definitions: Adjusted EBITDA; Adjusted EPS on the current definition, adding back amortization of acquired intangibles) · USD millions · Live panel linked to Model — toggle scenario via Model!AP2. Bull and Bear panels are value snapshots generated from the Model with the switch set to each case. 2026E includes LMB (from 23-Dec-2025) and Harper Engineering (from 21-Jan-2026).</t>
        </is>
      </c>
      <c r="J3" s="173" t="inlineStr">
        <is>
          <t>As of:</t>
        </is>
      </c>
      <c r="K3" s="82">
        <f>TODAY()</f>
        <v/>
      </c>
    </row>
    <row r="5" ht="15" customHeight="1">
      <c r="B5" s="11" t="inlineStr">
        <is>
          <t>Scenario:</t>
        </is>
      </c>
      <c r="C5" s="83">
        <f>Model!$AP$2</f>
        <v/>
      </c>
      <c r="N5" s="84" t="inlineStr">
        <is>
          <t>Scenario:</t>
        </is>
      </c>
      <c r="O5" s="85" t="inlineStr">
        <is>
          <t>Bull</t>
        </is>
      </c>
      <c r="P5" s="4" t="inlineStr">
        <is>
          <t>Snapshot (values) — Model run with switch = Bull</t>
        </is>
      </c>
      <c r="Z5" s="84" t="inlineStr">
        <is>
          <t>Scenario:</t>
        </is>
      </c>
      <c r="AA5" s="85" t="inlineStr">
        <is>
          <t>Bear</t>
        </is>
      </c>
      <c r="AB5" s="4" t="inlineStr">
        <is>
          <t>Snapshot (values) — Model run with switch = Bear</t>
        </is>
      </c>
    </row>
    <row r="7" ht="32.1" customHeight="1">
      <c r="B7" s="86" t="inlineStr">
        <is>
          <t>(USDm, except EPS and shares)</t>
        </is>
      </c>
      <c r="C7" s="171" t="inlineStr">
        <is>
          <t>2025A</t>
        </is>
      </c>
      <c r="D7" s="171" t="inlineStr">
        <is>
          <t>2026E</t>
        </is>
      </c>
      <c r="E7" s="171" t="inlineStr">
        <is>
          <t>2027E</t>
        </is>
      </c>
      <c r="F7" s="171" t="inlineStr">
        <is>
          <t>2028E</t>
        </is>
      </c>
      <c r="G7" s="171" t="inlineStr">
        <is>
          <t>2029E</t>
        </is>
      </c>
      <c r="H7" s="171" t="inlineStr">
        <is>
          <t>2030E</t>
        </is>
      </c>
      <c r="I7" s="171" t="inlineStr">
        <is>
          <t>25-'30 CAGR</t>
        </is>
      </c>
      <c r="J7" s="172" t="inlineStr">
        <is>
          <t>LT Hist Avg</t>
        </is>
      </c>
      <c r="K7" s="172" t="inlineStr">
        <is>
          <t>LT Hist Min</t>
        </is>
      </c>
      <c r="L7" s="172" t="inlineStr">
        <is>
          <t>LT Hist Max</t>
        </is>
      </c>
      <c r="N7" s="86" t="inlineStr">
        <is>
          <t>(USDm, except EPS and shares)</t>
        </is>
      </c>
      <c r="O7" s="171" t="inlineStr">
        <is>
          <t>2025A</t>
        </is>
      </c>
      <c r="P7" s="171" t="inlineStr">
        <is>
          <t>2026E</t>
        </is>
      </c>
      <c r="Q7" s="171" t="inlineStr">
        <is>
          <t>2027E</t>
        </is>
      </c>
      <c r="R7" s="171" t="inlineStr">
        <is>
          <t>2028E</t>
        </is>
      </c>
      <c r="S7" s="171" t="inlineStr">
        <is>
          <t>2029E</t>
        </is>
      </c>
      <c r="T7" s="171" t="inlineStr">
        <is>
          <t>2030E</t>
        </is>
      </c>
      <c r="U7" s="171" t="inlineStr">
        <is>
          <t>25-'30 CAGR</t>
        </is>
      </c>
      <c r="V7" s="172" t="inlineStr">
        <is>
          <t>LT Hist Avg</t>
        </is>
      </c>
      <c r="W7" s="172" t="inlineStr">
        <is>
          <t>LT Hist Min</t>
        </is>
      </c>
      <c r="X7" s="172" t="inlineStr">
        <is>
          <t>LT Hist Max</t>
        </is>
      </c>
      <c r="Z7" s="86" t="inlineStr">
        <is>
          <t>(USDm, except EPS and shares)</t>
        </is>
      </c>
      <c r="AA7" s="171" t="inlineStr">
        <is>
          <t>2025A</t>
        </is>
      </c>
      <c r="AB7" s="171" t="inlineStr">
        <is>
          <t>2026E</t>
        </is>
      </c>
      <c r="AC7" s="171" t="inlineStr">
        <is>
          <t>2027E</t>
        </is>
      </c>
      <c r="AD7" s="171" t="inlineStr">
        <is>
          <t>2028E</t>
        </is>
      </c>
      <c r="AE7" s="171" t="inlineStr">
        <is>
          <t>2029E</t>
        </is>
      </c>
      <c r="AF7" s="171" t="inlineStr">
        <is>
          <t>2030E</t>
        </is>
      </c>
      <c r="AG7" s="171" t="inlineStr">
        <is>
          <t>25-'30 CAGR</t>
        </is>
      </c>
      <c r="AH7" s="172" t="inlineStr">
        <is>
          <t>LT Hist Avg</t>
        </is>
      </c>
      <c r="AI7" s="172" t="inlineStr">
        <is>
          <t>LT Hist Min</t>
        </is>
      </c>
      <c r="AJ7" s="172" t="inlineStr">
        <is>
          <t>LT Hist Max</t>
        </is>
      </c>
    </row>
    <row r="9" ht="15" customHeight="1">
      <c r="B9" s="87" t="inlineStr">
        <is>
          <t>Net Sales</t>
        </is>
      </c>
      <c r="C9" s="88">
        <f>Model!AF127</f>
        <v/>
      </c>
      <c r="D9" s="89">
        <f>Model!AK127</f>
        <v/>
      </c>
      <c r="E9" s="89">
        <f>Model!AL127</f>
        <v/>
      </c>
      <c r="F9" s="89">
        <f>Model!AM127</f>
        <v/>
      </c>
      <c r="G9" s="89">
        <f>Model!AN127</f>
        <v/>
      </c>
      <c r="H9" s="89">
        <f>Model!AO127</f>
        <v/>
      </c>
      <c r="I9" s="90">
        <f>IFERROR((H9/C9)^(1/5)-1,"n/m")</f>
        <v/>
      </c>
      <c r="N9" s="87" t="inlineStr">
        <is>
          <t>Net Sales</t>
        </is>
      </c>
      <c r="O9" s="88" t="n">
        <v>496.283</v>
      </c>
      <c r="P9" s="89" t="n">
        <v>675</v>
      </c>
      <c r="Q9" s="89" t="n">
        <v>794.543422289193</v>
      </c>
      <c r="R9" s="89" t="n">
        <v>963.201765537597</v>
      </c>
      <c r="S9" s="89" t="n">
        <v>1139.97484594724</v>
      </c>
      <c r="T9" s="89" t="n">
        <v>1326.50221292423</v>
      </c>
      <c r="U9" s="90" t="n">
        <v>0.217294657555001</v>
      </c>
      <c r="Z9" s="87" t="inlineStr">
        <is>
          <t>Net Sales</t>
        </is>
      </c>
      <c r="AA9" s="88" t="n">
        <v>496.283</v>
      </c>
      <c r="AB9" s="89" t="n">
        <v>665</v>
      </c>
      <c r="AC9" s="89" t="n">
        <v>697.873582793763</v>
      </c>
      <c r="AD9" s="89" t="n">
        <v>725.243443565139</v>
      </c>
      <c r="AE9" s="89" t="n">
        <v>747.815094570235</v>
      </c>
      <c r="AF9" s="89" t="n">
        <v>766.978229351512</v>
      </c>
      <c r="AG9" s="90" t="n">
        <v>0.0909647730562515</v>
      </c>
    </row>
    <row r="10" ht="15" customHeight="1">
      <c r="B10" s="91" t="inlineStr">
        <is>
          <t xml:space="preserve">   Net sales y/y %</t>
        </is>
      </c>
      <c r="C10" s="92" t="n"/>
      <c r="D10" s="93">
        <f>IFERROR(D9/C9-1,"")</f>
        <v/>
      </c>
      <c r="E10" s="93">
        <f>IFERROR(E9/D9-1,"")</f>
        <v/>
      </c>
      <c r="F10" s="93">
        <f>IFERROR(F9/E9-1,"")</f>
        <v/>
      </c>
      <c r="G10" s="93">
        <f>IFERROR(G9/F9-1,"")</f>
        <v/>
      </c>
      <c r="H10" s="93">
        <f>IFERROR(H9/G9-1,"")</f>
        <v/>
      </c>
      <c r="N10" s="91" t="inlineStr">
        <is>
          <t xml:space="preserve">   Net sales y/y %</t>
        </is>
      </c>
      <c r="O10" s="92" t="n"/>
      <c r="P10" s="93" t="n">
        <v>0.360111065662132</v>
      </c>
      <c r="Q10" s="93" t="n">
        <v>0.177101366354359</v>
      </c>
      <c r="R10" s="93" t="n">
        <v>0.212270768993941</v>
      </c>
      <c r="S10" s="93" t="n">
        <v>0.183526532793445</v>
      </c>
      <c r="T10" s="93" t="n">
        <v>0.163624107707396</v>
      </c>
      <c r="Z10" s="91" t="inlineStr">
        <is>
          <t xml:space="preserve">   Net sales y/y %</t>
        </is>
      </c>
      <c r="AA10" s="92" t="n"/>
      <c r="AB10" s="93" t="n">
        <v>0.339961272096767</v>
      </c>
      <c r="AC10" s="93" t="n">
        <v>0.0494339590883648</v>
      </c>
      <c r="AD10" s="93" t="n">
        <v>0.039218937994197</v>
      </c>
      <c r="AE10" s="93" t="n">
        <v>0.0311228611652632</v>
      </c>
      <c r="AF10" s="93" t="n">
        <v>0.0256254987635549</v>
      </c>
    </row>
    <row r="11" ht="15" customHeight="1">
      <c r="B11" s="87" t="inlineStr">
        <is>
          <t xml:space="preserve">   Organic growth %</t>
        </is>
      </c>
      <c r="C11" s="94">
        <f>Model!AF220</f>
        <v/>
      </c>
      <c r="D11" s="95">
        <f>Model!AK220</f>
        <v/>
      </c>
      <c r="E11" s="95">
        <f>Model!AL220</f>
        <v/>
      </c>
      <c r="F11" s="95">
        <f>Model!AM220</f>
        <v/>
      </c>
      <c r="G11" s="95">
        <f>Model!AN220</f>
        <v/>
      </c>
      <c r="H11" s="95">
        <f>Model!AO220</f>
        <v/>
      </c>
      <c r="N11" s="87" t="inlineStr">
        <is>
          <t xml:space="preserve">   Organic growth %</t>
        </is>
      </c>
      <c r="O11" s="94" t="n">
        <v>0.127</v>
      </c>
      <c r="P11" s="95" t="n">
        <v>0.112939592933871</v>
      </c>
      <c r="Q11" s="95" t="n">
        <v>0.115372971292631</v>
      </c>
      <c r="R11" s="95" t="n">
        <v>0.105583916607983</v>
      </c>
      <c r="S11" s="95" t="n">
        <v>0.097750880413422</v>
      </c>
      <c r="T11" s="95" t="n">
        <v>0.09241259070488229</v>
      </c>
      <c r="Z11" s="87" t="inlineStr">
        <is>
          <t xml:space="preserve">   Organic growth %</t>
        </is>
      </c>
      <c r="AA11" s="94" t="n">
        <v>0.127</v>
      </c>
      <c r="AB11" s="95" t="n">
        <v>0.0927897993685054</v>
      </c>
      <c r="AC11" s="95" t="n">
        <v>0.0494339590883648</v>
      </c>
      <c r="AD11" s="95" t="n">
        <v>0.039218937994197</v>
      </c>
      <c r="AE11" s="95" t="n">
        <v>0.0311228611652632</v>
      </c>
      <c r="AF11" s="95" t="n">
        <v>0.0256254987635549</v>
      </c>
    </row>
    <row r="12" ht="15" customHeight="1">
      <c r="B12" s="87" t="inlineStr">
        <is>
          <t>Adjusted EBITDA</t>
        </is>
      </c>
      <c r="C12" s="88">
        <f>Model!AF174</f>
        <v/>
      </c>
      <c r="D12" s="89">
        <f>Model!AK174</f>
        <v/>
      </c>
      <c r="E12" s="89">
        <f>Model!AL174</f>
        <v/>
      </c>
      <c r="F12" s="89">
        <f>Model!AM174</f>
        <v/>
      </c>
      <c r="G12" s="89">
        <f>Model!AN174</f>
        <v/>
      </c>
      <c r="H12" s="89">
        <f>Model!AO174</f>
        <v/>
      </c>
      <c r="I12" s="90">
        <f>IFERROR((H12/C12)^(1/5)-1,"n/m")</f>
        <v/>
      </c>
      <c r="N12" s="87" t="inlineStr">
        <is>
          <t>Adjusted EBITDA</t>
        </is>
      </c>
      <c r="O12" s="88" t="n">
        <v>189.124</v>
      </c>
      <c r="P12" s="89" t="n">
        <v>270</v>
      </c>
      <c r="Q12" s="89" t="n">
        <v>329.110520250015</v>
      </c>
      <c r="R12" s="89" t="n">
        <v>401.928074859124</v>
      </c>
      <c r="S12" s="89" t="n">
        <v>478.833267860909</v>
      </c>
      <c r="T12" s="89" t="n">
        <v>560.5460940574191</v>
      </c>
      <c r="U12" s="90" t="n">
        <v>0.242718996749866</v>
      </c>
      <c r="Z12" s="87" t="inlineStr">
        <is>
          <t>Adjusted EBITDA</t>
        </is>
      </c>
      <c r="AA12" s="88" t="n">
        <v>189.124</v>
      </c>
      <c r="AB12" s="89" t="n">
        <v>265</v>
      </c>
      <c r="AC12" s="89" t="n">
        <v>265.19196146163</v>
      </c>
      <c r="AD12" s="89" t="n">
        <v>279.218725772579</v>
      </c>
      <c r="AE12" s="89" t="n">
        <v>291.647886882391</v>
      </c>
      <c r="AF12" s="89" t="n">
        <v>302.956400593847</v>
      </c>
      <c r="AG12" s="90" t="n">
        <v>0.09882035918247151</v>
      </c>
    </row>
    <row r="13" ht="15" customHeight="1">
      <c r="B13" s="91" t="inlineStr">
        <is>
          <t xml:space="preserve">   Adjusted EBITDA margin %</t>
        </is>
      </c>
      <c r="C13" s="96">
        <f>IFERROR(C12/C9,"")</f>
        <v/>
      </c>
      <c r="D13" s="97">
        <f>IFERROR(D12/D9,"")</f>
        <v/>
      </c>
      <c r="E13" s="97">
        <f>IFERROR(E12/E9,"")</f>
        <v/>
      </c>
      <c r="F13" s="97">
        <f>IFERROR(F12/F9,"")</f>
        <v/>
      </c>
      <c r="G13" s="97">
        <f>IFERROR(G12/G9,"")</f>
        <v/>
      </c>
      <c r="H13" s="97">
        <f>IFERROR(H12/H9,"")</f>
        <v/>
      </c>
      <c r="J13" s="98">
        <f>IFERROR(AVERAGE(Model!C175,Model!D175,Model!E175,Model!F175,Model!G175,Model!H175,Model!I175,Model!N175,Model!S175,Model!X175,Model!AC175,Model!AH175,Model!AM175,Model!AR175,Model!AW175,Model!BB175,Model!BG175,Model!BL175,Model!BQ175,Model!AF175),"")</f>
        <v/>
      </c>
      <c r="K13" s="98">
        <f>IFERROR(MIN(Model!C175,Model!D175,Model!E175,Model!F175,Model!G175,Model!H175,Model!I175,Model!N175,Model!S175,Model!X175,Model!AC175,Model!AH175,Model!AM175,Model!AR175,Model!AW175,Model!BB175,Model!BG175,Model!BL175,Model!BQ175,Model!AF175),"")</f>
        <v/>
      </c>
      <c r="L13" s="98">
        <f>IFERROR(MAX(Model!C175,Model!D175,Model!E175,Model!F175,Model!G175,Model!H175,Model!I175,Model!N175,Model!S175,Model!X175,Model!AC175,Model!AH175,Model!AM175,Model!AR175,Model!AW175,Model!BB175,Model!BG175,Model!BL175,Model!BQ175,Model!AF175),"")</f>
        <v/>
      </c>
      <c r="N13" s="91" t="inlineStr">
        <is>
          <t xml:space="preserve">   Adjusted EBITDA margin %</t>
        </is>
      </c>
      <c r="O13" s="96" t="n">
        <v>0.381080955825608</v>
      </c>
      <c r="P13" s="97" t="n">
        <v>0.4</v>
      </c>
      <c r="Q13" s="97" t="n">
        <v>0.414213384715716</v>
      </c>
      <c r="R13" s="97" t="n">
        <v>0.417283365998394</v>
      </c>
      <c r="S13" s="97" t="n">
        <v>0.420038450465136</v>
      </c>
      <c r="T13" s="97" t="n">
        <v>0.422574563838619</v>
      </c>
      <c r="V13" s="98" t="n">
        <v>0.32168135341573</v>
      </c>
      <c r="W13" s="98" t="n">
        <v>0.167645651133446</v>
      </c>
      <c r="X13" s="98" t="n">
        <v>0.417283365998394</v>
      </c>
      <c r="Z13" s="91" t="inlineStr">
        <is>
          <t xml:space="preserve">   Adjusted EBITDA margin %</t>
        </is>
      </c>
      <c r="AA13" s="96" t="n">
        <v>0.381080955825608</v>
      </c>
      <c r="AB13" s="97" t="n">
        <v>0.398496240601504</v>
      </c>
      <c r="AC13" s="97" t="n">
        <v>0.38</v>
      </c>
      <c r="AD13" s="97" t="n">
        <v>0.385</v>
      </c>
      <c r="AE13" s="97" t="n">
        <v>0.39</v>
      </c>
      <c r="AF13" s="97" t="n">
        <v>0.395</v>
      </c>
      <c r="AH13" s="98" t="n">
        <v>0.317854282023619</v>
      </c>
      <c r="AI13" s="98" t="n">
        <v>0.167645651133446</v>
      </c>
      <c r="AJ13" s="98" t="n">
        <v>0.404763986268716</v>
      </c>
    </row>
    <row r="15" ht="15" customHeight="1">
      <c r="B15" s="87" t="inlineStr">
        <is>
          <t>Operating Income (GAAP)</t>
        </is>
      </c>
      <c r="C15" s="88">
        <f>Model!AF134</f>
        <v/>
      </c>
      <c r="D15" s="89">
        <f>Model!AK134</f>
        <v/>
      </c>
      <c r="E15" s="89">
        <f>Model!AL134</f>
        <v/>
      </c>
      <c r="F15" s="89">
        <f>Model!AM134</f>
        <v/>
      </c>
      <c r="G15" s="89">
        <f>Model!AN134</f>
        <v/>
      </c>
      <c r="H15" s="89">
        <f>Model!AO134</f>
        <v/>
      </c>
      <c r="I15" s="90">
        <f>IFERROR((H15/C15)^(1/5)-1,"n/m")</f>
        <v/>
      </c>
      <c r="N15" s="87" t="inlineStr">
        <is>
          <t>Operating Income (GAAP)</t>
        </is>
      </c>
      <c r="O15" s="88" t="n">
        <v>106.243</v>
      </c>
      <c r="P15" s="89" t="n">
        <v>160.414</v>
      </c>
      <c r="Q15" s="89" t="n">
        <v>207.9391026468</v>
      </c>
      <c r="R15" s="89" t="n">
        <v>256.094390113319</v>
      </c>
      <c r="S15" s="89" t="n">
        <v>307.847808588775</v>
      </c>
      <c r="T15" s="89" t="n">
        <v>366.540654503722</v>
      </c>
      <c r="U15" s="90" t="n">
        <v>0.28104493920617</v>
      </c>
      <c r="Z15" s="87" t="inlineStr">
        <is>
          <t>Operating Income (GAAP)</t>
        </is>
      </c>
      <c r="AA15" s="88" t="n">
        <v>106.243</v>
      </c>
      <c r="AB15" s="89" t="n">
        <v>155.414</v>
      </c>
      <c r="AC15" s="89" t="n">
        <v>164.494029487529</v>
      </c>
      <c r="AD15" s="89" t="n">
        <v>177.307040481452</v>
      </c>
      <c r="AE15" s="89" t="n">
        <v>188.65276234302</v>
      </c>
      <c r="AF15" s="89" t="n">
        <v>201.641445584975</v>
      </c>
      <c r="AG15" s="90" t="n">
        <v>0.136726266369742</v>
      </c>
    </row>
    <row r="16" ht="15" customHeight="1">
      <c r="B16" s="91" t="inlineStr">
        <is>
          <t xml:space="preserve">   Operating income y/y %</t>
        </is>
      </c>
      <c r="C16" s="92" t="n"/>
      <c r="D16" s="93">
        <f>IFERROR(D15/C15-1,"")</f>
        <v/>
      </c>
      <c r="E16" s="93">
        <f>IFERROR(E15/D15-1,"")</f>
        <v/>
      </c>
      <c r="F16" s="93">
        <f>IFERROR(F15/E15-1,"")</f>
        <v/>
      </c>
      <c r="G16" s="93">
        <f>IFERROR(G15/F15-1,"")</f>
        <v/>
      </c>
      <c r="H16" s="93">
        <f>IFERROR(H15/G15-1,"")</f>
        <v/>
      </c>
      <c r="N16" s="91" t="inlineStr">
        <is>
          <t xml:space="preserve">   Operating income y/y %</t>
        </is>
      </c>
      <c r="O16" s="92" t="n"/>
      <c r="P16" s="93" t="n">
        <v>0.50987829786433</v>
      </c>
      <c r="Q16" s="93" t="n">
        <v>0.296265305065645</v>
      </c>
      <c r="R16" s="93" t="n">
        <v>0.231583607188659</v>
      </c>
      <c r="S16" s="93" t="n">
        <v>0.202087279040182</v>
      </c>
      <c r="T16" s="93" t="n">
        <v>0.190655396197248</v>
      </c>
      <c r="Z16" s="91" t="inlineStr">
        <is>
          <t xml:space="preserve">   Operating income y/y %</t>
        </is>
      </c>
      <c r="AA16" s="92" t="n"/>
      <c r="AB16" s="93" t="n">
        <v>0.462816373784626</v>
      </c>
      <c r="AC16" s="93" t="n">
        <v>0.0584247846881825</v>
      </c>
      <c r="AD16" s="93" t="n">
        <v>0.07789347147638639</v>
      </c>
      <c r="AE16" s="93" t="n">
        <v>0.0639891220944222</v>
      </c>
      <c r="AF16" s="93" t="n">
        <v>0.06884968489535059</v>
      </c>
    </row>
    <row r="17" ht="15" customHeight="1">
      <c r="B17" s="91" t="inlineStr">
        <is>
          <t xml:space="preserve">   Operating margin (GAAP) %</t>
        </is>
      </c>
      <c r="C17" s="96">
        <f>IFERROR(C15/C9,"")</f>
        <v/>
      </c>
      <c r="D17" s="97">
        <f>IFERROR(D15/D9,"")</f>
        <v/>
      </c>
      <c r="E17" s="97">
        <f>IFERROR(E15/E9,"")</f>
        <v/>
      </c>
      <c r="F17" s="97">
        <f>IFERROR(F15/F9,"")</f>
        <v/>
      </c>
      <c r="G17" s="97">
        <f>IFERROR(G15/G9,"")</f>
        <v/>
      </c>
      <c r="H17" s="97">
        <f>IFERROR(H15/H9,"")</f>
        <v/>
      </c>
      <c r="J17" s="98">
        <f>IFERROR(AVERAGE(Model!C231,Model!D231,Model!E231,Model!F231,Model!G231,Model!H231,Model!I231,Model!N231,Model!S231,Model!X231,Model!AC231,Model!AH231,Model!AM231,Model!AR231,Model!AW231,Model!BB231,Model!BG231,Model!BL231,Model!BQ231,Model!AF231),"")</f>
        <v/>
      </c>
      <c r="K17" s="98">
        <f>IFERROR(MIN(Model!C231,Model!D231,Model!E231,Model!F231,Model!G231,Model!H231,Model!I231,Model!N231,Model!S231,Model!X231,Model!AC231,Model!AH231,Model!AM231,Model!AR231,Model!AW231,Model!BB231,Model!BG231,Model!BL231,Model!BQ231,Model!AF231),"")</f>
        <v/>
      </c>
      <c r="L17" s="98">
        <f>IFERROR(MAX(Model!C231,Model!D231,Model!E231,Model!F231,Model!G231,Model!H231,Model!I231,Model!N231,Model!S231,Model!X231,Model!AC231,Model!AH231,Model!AM231,Model!AR231,Model!AW231,Model!BB231,Model!BG231,Model!BL231,Model!BQ231,Model!AF231),"")</f>
        <v/>
      </c>
      <c r="N17" s="91" t="inlineStr">
        <is>
          <t xml:space="preserve">   Operating margin (GAAP) %</t>
        </is>
      </c>
      <c r="O17" s="96" t="n">
        <v>0.214077451776507</v>
      </c>
      <c r="P17" s="97" t="n">
        <v>0.23765037037037</v>
      </c>
      <c r="Q17" s="97" t="n">
        <v>0.261708922147638</v>
      </c>
      <c r="R17" s="97" t="n">
        <v>0.265878239924513</v>
      </c>
      <c r="S17" s="97" t="n">
        <v>0.270047895954209</v>
      </c>
      <c r="T17" s="97" t="n">
        <v>0.276321178308249</v>
      </c>
      <c r="V17" s="98" t="n">
        <v>0.124998719853298</v>
      </c>
      <c r="W17" s="98" t="n">
        <v>-0.249915947551272</v>
      </c>
      <c r="X17" s="98" t="n">
        <v>0.265878239924513</v>
      </c>
      <c r="Z17" s="91" t="inlineStr">
        <is>
          <t xml:space="preserve">   Operating margin (GAAP) %</t>
        </is>
      </c>
      <c r="AA17" s="96" t="n">
        <v>0.214077451776507</v>
      </c>
      <c r="AB17" s="97" t="n">
        <v>0.233705263157895</v>
      </c>
      <c r="AC17" s="97" t="n">
        <v>0.235707488495292</v>
      </c>
      <c r="AD17" s="97" t="n">
        <v>0.244479342839487</v>
      </c>
      <c r="AE17" s="97" t="n">
        <v>0.252271936890279</v>
      </c>
      <c r="AF17" s="97" t="n">
        <v>0.262903740769102</v>
      </c>
      <c r="AH17" s="98" t="n">
        <v>0.122471608920258</v>
      </c>
      <c r="AI17" s="98" t="n">
        <v>-0.249915947551272</v>
      </c>
      <c r="AJ17" s="98" t="n">
        <v>0.245813554430411</v>
      </c>
    </row>
    <row r="19" ht="15" customHeight="1">
      <c r="B19" s="87" t="inlineStr">
        <is>
          <t>Adjusted Net Income</t>
        </is>
      </c>
      <c r="C19" s="88">
        <f>Model!AF202</f>
        <v/>
      </c>
      <c r="D19" s="89">
        <f>Model!AK202</f>
        <v/>
      </c>
      <c r="E19" s="89">
        <f>Model!AL202</f>
        <v/>
      </c>
      <c r="F19" s="89">
        <f>Model!AM202</f>
        <v/>
      </c>
      <c r="G19" s="89">
        <f>Model!AN202</f>
        <v/>
      </c>
      <c r="H19" s="89">
        <f>Model!AO202</f>
        <v/>
      </c>
      <c r="I19" s="90">
        <f>IFERROR((H19/C19)^(1/5)-1,"n/m")</f>
        <v/>
      </c>
      <c r="N19" s="87" t="inlineStr">
        <is>
          <t>Adjusted Net Income</t>
        </is>
      </c>
      <c r="O19" s="88" t="n">
        <v>131.19987</v>
      </c>
      <c r="P19" s="89" t="n">
        <v>137.59084</v>
      </c>
      <c r="Q19" s="89" t="n">
        <v>193.171925531191</v>
      </c>
      <c r="R19" s="89" t="n">
        <v>228.474672304032</v>
      </c>
      <c r="S19" s="89" t="n">
        <v>266.665995532051</v>
      </c>
      <c r="T19" s="89" t="n">
        <v>310.857462237157</v>
      </c>
      <c r="U19" s="90" t="n">
        <v>0.188298580959667</v>
      </c>
      <c r="Z19" s="87" t="inlineStr">
        <is>
          <t>Adjusted Net Income</t>
        </is>
      </c>
      <c r="AA19" s="88" t="n">
        <v>131.19987</v>
      </c>
      <c r="AB19" s="89" t="n">
        <v>133.79084</v>
      </c>
      <c r="AC19" s="89" t="n">
        <v>143.67700701068</v>
      </c>
      <c r="AD19" s="89" t="n">
        <v>164.395483795506</v>
      </c>
      <c r="AE19" s="89" t="n">
        <v>177.044883585576</v>
      </c>
      <c r="AF19" s="89" t="n">
        <v>183.927138362821</v>
      </c>
      <c r="AG19" s="90" t="n">
        <v>0.06989826153349039</v>
      </c>
    </row>
    <row r="21" ht="15" customHeight="1">
      <c r="B21" s="87" t="inlineStr">
        <is>
          <t>FDSO (m)</t>
        </is>
      </c>
      <c r="C21" s="99">
        <f>Model!AF148</f>
        <v/>
      </c>
      <c r="D21" s="100">
        <f>Model!AK148</f>
        <v/>
      </c>
      <c r="E21" s="100">
        <f>Model!AL148</f>
        <v/>
      </c>
      <c r="F21" s="100">
        <f>Model!AM148</f>
        <v/>
      </c>
      <c r="G21" s="100">
        <f>Model!AN148</f>
        <v/>
      </c>
      <c r="H21" s="100">
        <f>Model!AO148</f>
        <v/>
      </c>
      <c r="I21" s="90">
        <f>IFERROR((H21/C21)^(1/5)-1,"n/m")</f>
        <v/>
      </c>
      <c r="N21" s="87" t="inlineStr">
        <is>
          <t>FDSO (m)</t>
        </is>
      </c>
      <c r="O21" s="99" t="n">
        <v>95.893</v>
      </c>
      <c r="P21" s="100" t="n">
        <v>95.57850000000001</v>
      </c>
      <c r="Q21" s="100" t="n">
        <v>95.83447099999999</v>
      </c>
      <c r="R21" s="100" t="n">
        <v>96.134471</v>
      </c>
      <c r="S21" s="100" t="n">
        <v>96.434471</v>
      </c>
      <c r="T21" s="100" t="n">
        <v>96.734471</v>
      </c>
      <c r="U21" s="90" t="n">
        <v>0.00174889274074275</v>
      </c>
      <c r="Z21" s="87" t="inlineStr">
        <is>
          <t>FDSO (m)</t>
        </is>
      </c>
      <c r="AA21" s="99" t="n">
        <v>95.893</v>
      </c>
      <c r="AB21" s="100" t="n">
        <v>95.57850000000001</v>
      </c>
      <c r="AC21" s="100" t="n">
        <v>95.83447099999999</v>
      </c>
      <c r="AD21" s="100" t="n">
        <v>95.4805759253142</v>
      </c>
      <c r="AE21" s="100" t="n">
        <v>94.01756333363539</v>
      </c>
      <c r="AF21" s="100" t="n">
        <v>92.15393964412399</v>
      </c>
      <c r="AG21" s="90" t="n">
        <v>-0.007922956765218699</v>
      </c>
    </row>
    <row r="23" ht="15" customHeight="1">
      <c r="B23" s="87" t="inlineStr">
        <is>
          <t>Adjusted EPS — Diluted ($)</t>
        </is>
      </c>
      <c r="C23" s="101">
        <f>Model!AF204</f>
        <v/>
      </c>
      <c r="D23" s="102">
        <f>Model!AK204</f>
        <v/>
      </c>
      <c r="E23" s="102">
        <f>Model!AL204</f>
        <v/>
      </c>
      <c r="F23" s="102">
        <f>Model!AM204</f>
        <v/>
      </c>
      <c r="G23" s="102">
        <f>Model!AN204</f>
        <v/>
      </c>
      <c r="H23" s="102">
        <f>Model!AO204</f>
        <v/>
      </c>
      <c r="I23" s="90">
        <f>IFERROR((H23/C23)^(1/5)-1,"n/m")</f>
        <v/>
      </c>
      <c r="N23" s="87" t="inlineStr">
        <is>
          <t>Adjusted EPS — Diluted ($)</t>
        </is>
      </c>
      <c r="O23" s="101" t="n">
        <v>1.36819027457687</v>
      </c>
      <c r="P23" s="102" t="n">
        <v>1.43955847810962</v>
      </c>
      <c r="Q23" s="102" t="n">
        <v>2.01568312023334</v>
      </c>
      <c r="R23" s="102" t="n">
        <v>2.3766154837845</v>
      </c>
      <c r="S23" s="102" t="n">
        <v>2.76525595844302</v>
      </c>
      <c r="T23" s="102" t="n">
        <v>3.21351281527302</v>
      </c>
      <c r="U23" s="90" t="n">
        <v>0.186224002412952</v>
      </c>
      <c r="Z23" s="87" t="inlineStr">
        <is>
          <t>Adjusted EPS — Diluted ($)</t>
        </is>
      </c>
      <c r="AA23" s="101" t="n">
        <v>1.36819027457687</v>
      </c>
      <c r="AB23" s="102" t="n">
        <v>1.39980058276704</v>
      </c>
      <c r="AC23" s="102" t="n">
        <v>1.49922053632121</v>
      </c>
      <c r="AD23" s="102" t="n">
        <v>1.72176887500236</v>
      </c>
      <c r="AE23" s="102" t="n">
        <v>1.88310436165321</v>
      </c>
      <c r="AF23" s="102" t="n">
        <v>1.99586842486716</v>
      </c>
      <c r="AG23" s="90" t="n">
        <v>0.0784427165504849</v>
      </c>
    </row>
    <row r="24" ht="15" customHeight="1">
      <c r="B24" s="91" t="inlineStr">
        <is>
          <t xml:space="preserve">   EPS y/y %</t>
        </is>
      </c>
      <c r="C24" s="92" t="n"/>
      <c r="D24" s="93">
        <f>IFERROR(D23/C23-1,"")</f>
        <v/>
      </c>
      <c r="E24" s="93">
        <f>IFERROR(E23/D23-1,"")</f>
        <v/>
      </c>
      <c r="F24" s="93">
        <f>IFERROR(F23/E23-1,"")</f>
        <v/>
      </c>
      <c r="G24" s="93">
        <f>IFERROR(G23/F23-1,"")</f>
        <v/>
      </c>
      <c r="H24" s="93">
        <f>IFERROR(H23/G23-1,"")</f>
        <v/>
      </c>
      <c r="N24" s="91" t="inlineStr">
        <is>
          <t xml:space="preserve">   EPS y/y %</t>
        </is>
      </c>
      <c r="O24" s="92" t="n"/>
      <c r="P24" s="93" t="n">
        <v>0.0521624841653081</v>
      </c>
      <c r="Q24" s="93" t="n">
        <v>0.40020926616352</v>
      </c>
      <c r="R24" s="93" t="n">
        <v>0.179062055899629</v>
      </c>
      <c r="S24" s="93" t="n">
        <v>0.163526863015995</v>
      </c>
      <c r="T24" s="93" t="n">
        <v>0.162103206200989</v>
      </c>
      <c r="Z24" s="91" t="inlineStr">
        <is>
          <t xml:space="preserve">   EPS y/y %</t>
        </is>
      </c>
      <c r="AA24" s="92" t="n"/>
      <c r="AB24" s="93" t="n">
        <v>0.0231037369418143</v>
      </c>
      <c r="AC24" s="93" t="n">
        <v>0.0710243693124057</v>
      </c>
      <c r="AD24" s="93" t="n">
        <v>0.148442696247502</v>
      </c>
      <c r="AE24" s="93" t="n">
        <v>0.0937033355598509</v>
      </c>
      <c r="AF24" s="93" t="n">
        <v>0.0598820041577264</v>
      </c>
    </row>
    <row r="26" ht="15" customHeight="1">
      <c r="B26" s="91" t="inlineStr">
        <is>
          <t>P / E (x) — assumed (adjusted EPS)</t>
        </is>
      </c>
      <c r="C26" s="103" t="n"/>
      <c r="D26" s="103" t="n"/>
      <c r="E26" s="103" t="n"/>
      <c r="F26" s="103" t="n"/>
      <c r="G26" s="103" t="n">
        <v>45</v>
      </c>
      <c r="H26" s="103" t="n">
        <v>45</v>
      </c>
      <c r="N26" s="91" t="inlineStr">
        <is>
          <t>P / E (x) — assumed (adjusted EPS)</t>
        </is>
      </c>
      <c r="O26" s="103" t="n"/>
      <c r="P26" s="103" t="n"/>
      <c r="Q26" s="103" t="n"/>
      <c r="R26" s="103" t="n"/>
      <c r="S26" s="103" t="n">
        <v>52</v>
      </c>
      <c r="T26" s="103" t="n">
        <v>52</v>
      </c>
      <c r="Z26" s="91" t="inlineStr">
        <is>
          <t>P / E (x) — assumed (adjusted EPS)</t>
        </is>
      </c>
      <c r="AA26" s="103" t="n"/>
      <c r="AB26" s="103" t="n"/>
      <c r="AC26" s="103" t="n"/>
      <c r="AD26" s="103" t="n">
        <v>35</v>
      </c>
      <c r="AE26" s="103" t="n">
        <v>35</v>
      </c>
      <c r="AF26" s="103" t="n">
        <v>35</v>
      </c>
    </row>
    <row r="27" ht="15" customHeight="1">
      <c r="B27" s="11" t="inlineStr">
        <is>
          <t>Price Target ($)</t>
        </is>
      </c>
      <c r="C27" s="104" t="n"/>
      <c r="D27" s="104" t="n"/>
      <c r="E27" s="104" t="n"/>
      <c r="F27" s="104" t="n"/>
      <c r="G27" s="104">
        <f>G26*G23</f>
        <v/>
      </c>
      <c r="H27" s="104">
        <f>H26*H23</f>
        <v/>
      </c>
      <c r="N27" s="11" t="inlineStr">
        <is>
          <t>Price Target ($)</t>
        </is>
      </c>
      <c r="O27" s="104" t="n"/>
      <c r="P27" s="104" t="n"/>
      <c r="Q27" s="104" t="n"/>
      <c r="R27" s="104" t="n"/>
      <c r="S27" s="104">
        <f>S26*S23</f>
        <v/>
      </c>
      <c r="T27" s="104">
        <f>T26*T23</f>
        <v/>
      </c>
      <c r="Z27" s="11" t="inlineStr">
        <is>
          <t>Price Target ($)</t>
        </is>
      </c>
      <c r="AA27" s="104" t="n"/>
      <c r="AB27" s="104" t="n"/>
      <c r="AC27" s="104" t="n"/>
      <c r="AD27" s="104">
        <f>AD26*AD23</f>
        <v/>
      </c>
      <c r="AE27" s="104">
        <f>AE26*AE23</f>
        <v/>
      </c>
      <c r="AF27" s="104">
        <f>AF26*AF23</f>
        <v/>
      </c>
    </row>
    <row r="28" ht="15" customHeight="1">
      <c r="B28" t="inlineStr">
        <is>
          <t xml:space="preserve">   Upside / (Downside) vs current</t>
        </is>
      </c>
      <c r="E28" s="105" t="n"/>
      <c r="F28" s="105" t="n"/>
      <c r="G28" s="105">
        <f>IFERROR(G27/$K$2-1,"")</f>
        <v/>
      </c>
      <c r="H28" s="105">
        <f>IFERROR(H27/$K$2-1,"")</f>
        <v/>
      </c>
      <c r="N28" t="inlineStr">
        <is>
          <t xml:space="preserve">   Upside / (Downside) vs current</t>
        </is>
      </c>
      <c r="O28" s="105" t="n"/>
      <c r="P28" s="105" t="n"/>
      <c r="Q28" s="105" t="n"/>
      <c r="R28" s="105" t="n"/>
      <c r="S28" s="105">
        <f>IFERROR(S27/$K$2-1,"")</f>
        <v/>
      </c>
      <c r="T28" s="105">
        <f>IFERROR(T27/$K$2-1,"")</f>
        <v/>
      </c>
      <c r="Z28" t="inlineStr">
        <is>
          <t xml:space="preserve">   Upside / (Downside) vs current</t>
        </is>
      </c>
      <c r="AA28" s="105" t="n"/>
      <c r="AB28" s="105" t="n"/>
      <c r="AC28" s="105" t="n"/>
      <c r="AD28" s="105">
        <f>IFERROR(AD27/$K$2-1,"")</f>
        <v/>
      </c>
      <c r="AE28" s="105">
        <f>IFERROR(AE27/$K$2-1,"")</f>
        <v/>
      </c>
      <c r="AF28" s="105">
        <f>IFERROR(AF27/$K$2-1,"")</f>
        <v/>
      </c>
    </row>
    <row r="29" ht="15" customHeight="1">
      <c r="B29" s="83" t="inlineStr">
        <is>
          <t>IRR (to Dec-Y-1)</t>
        </is>
      </c>
      <c r="C29" s="106" t="n"/>
      <c r="D29" s="106" t="n"/>
      <c r="E29" s="106" t="n"/>
      <c r="F29" s="106" t="n"/>
      <c r="G29" s="106">
        <f>IFERROR((G27/$K$2)^(1/((DATE(2029-1,12,31)-$K$3)/365.25))-1,"")</f>
        <v/>
      </c>
      <c r="H29" s="106">
        <f>IFERROR((H27/$K$2)^(1/((DATE(2030-1,12,31)-$K$3)/365.25))-1,"")</f>
        <v/>
      </c>
      <c r="N29" s="83" t="inlineStr">
        <is>
          <t>IRR (to Dec-Y-1)</t>
        </is>
      </c>
      <c r="O29" s="106" t="n"/>
      <c r="P29" s="106" t="n"/>
      <c r="Q29" s="106" t="n"/>
      <c r="R29" s="106" t="n"/>
      <c r="S29" s="106">
        <f>IFERROR((S27/$K$2)^(1/((DATE(2029-1,12,31)-$K$3)/365.25))-1,"")</f>
        <v/>
      </c>
      <c r="T29" s="106">
        <f>IFERROR((T27/$K$2)^(1/((DATE(2030-1,12,31)-$K$3)/365.25))-1,"")</f>
        <v/>
      </c>
      <c r="Z29" s="83" t="inlineStr">
        <is>
          <t>IRR (to Dec-Y-1)</t>
        </is>
      </c>
      <c r="AA29" s="106" t="n"/>
      <c r="AB29" s="106" t="n"/>
      <c r="AC29" s="106" t="n"/>
      <c r="AD29" s="106">
        <f>IFERROR((AD27/$K$2)^(1/((DATE(2028-1,12,31)-$K$3)/365.25))-1,"")</f>
        <v/>
      </c>
      <c r="AE29" s="106">
        <f>IFERROR((AE27/$K$2)^(1/((DATE(2029-1,12,31)-$K$3)/365.25))-1,"")</f>
        <v/>
      </c>
      <c r="AF29" s="106">
        <f>IFERROR((AF27/$K$2)^(1/((DATE(2030-1,12,31)-$K$3)/365.25))-1,"")</f>
        <v/>
      </c>
    </row>
    <row r="31" ht="15" customHeight="1">
      <c r="B31" s="87" t="inlineStr">
        <is>
          <t>Free Cash Flow</t>
        </is>
      </c>
      <c r="C31" s="88">
        <f>Model!AF261</f>
        <v/>
      </c>
      <c r="D31" s="89">
        <f>Model!AK261</f>
        <v/>
      </c>
      <c r="E31" s="89">
        <f>Model!AL261</f>
        <v/>
      </c>
      <c r="F31" s="89">
        <f>Model!AM261</f>
        <v/>
      </c>
      <c r="G31" s="89">
        <f>Model!AN261</f>
        <v/>
      </c>
      <c r="H31" s="89">
        <f>Model!AO261</f>
        <v/>
      </c>
      <c r="I31" s="90">
        <f>IFERROR((H31/C31)^(1/5)-1,"n/m")</f>
        <v/>
      </c>
      <c r="N31" s="87" t="inlineStr">
        <is>
          <t>Free Cash Flow</t>
        </is>
      </c>
      <c r="O31" s="88" t="n">
        <v>99.25700000000001</v>
      </c>
      <c r="P31" s="89" t="n">
        <v>125.1187337603</v>
      </c>
      <c r="Q31" s="89" t="n">
        <v>175.504745087261</v>
      </c>
      <c r="R31" s="89" t="n">
        <v>199.301947851237</v>
      </c>
      <c r="S31" s="89" t="n">
        <v>239.574434238112</v>
      </c>
      <c r="T31" s="89" t="n">
        <v>285.703818801998</v>
      </c>
      <c r="U31" s="90" t="n">
        <v>0.235466517747045</v>
      </c>
      <c r="Z31" s="87" t="inlineStr">
        <is>
          <t>Free Cash Flow</t>
        </is>
      </c>
      <c r="AA31" s="88" t="n">
        <v>99.25700000000001</v>
      </c>
      <c r="AB31" s="89" t="n">
        <v>123.046743979579</v>
      </c>
      <c r="AC31" s="89" t="n">
        <v>146.098339851154</v>
      </c>
      <c r="AD31" s="89" t="n">
        <v>172.98094689113</v>
      </c>
      <c r="AE31" s="89" t="n">
        <v>186.716974615333</v>
      </c>
      <c r="AF31" s="89" t="n">
        <v>194.579573471552</v>
      </c>
      <c r="AG31" s="90" t="n">
        <v>0.144108521935381</v>
      </c>
    </row>
    <row r="32" ht="15" customHeight="1">
      <c r="B32" s="91" t="inlineStr">
        <is>
          <t xml:space="preserve">   FCF %</t>
        </is>
      </c>
      <c r="C32" s="96">
        <f>IFERROR(C31/C9,"")</f>
        <v/>
      </c>
      <c r="D32" s="97">
        <f>IFERROR(D31/D9,"")</f>
        <v/>
      </c>
      <c r="E32" s="97">
        <f>IFERROR(E31/E9,"")</f>
        <v/>
      </c>
      <c r="F32" s="97">
        <f>IFERROR(F31/F9,"")</f>
        <v/>
      </c>
      <c r="G32" s="97">
        <f>IFERROR(G31/G9,"")</f>
        <v/>
      </c>
      <c r="H32" s="97">
        <f>IFERROR(H31/H9,"")</f>
        <v/>
      </c>
      <c r="J32" s="98">
        <f>IFERROR(AVERAGE(Model!C263,Model!D263,Model!E263,Model!F263,Model!G263,Model!H263,Model!I263,Model!N263,Model!S263,Model!X263,Model!AC263,Model!AH263,Model!AM263,Model!AR263,Model!AW263,Model!BB263,Model!BG263,Model!BL263,Model!BQ263,Model!AF263),"")</f>
        <v/>
      </c>
      <c r="K32" s="98">
        <f>IFERROR(MIN(Model!C263,Model!D263,Model!E263,Model!F263,Model!G263,Model!H263,Model!I263,Model!N263,Model!S263,Model!X263,Model!AC263,Model!AH263,Model!AM263,Model!AR263,Model!AW263,Model!BB263,Model!BG263,Model!BL263,Model!BQ263,Model!AF263),"")</f>
        <v/>
      </c>
      <c r="L32" s="98">
        <f>IFERROR(MAX(Model!C263,Model!D263,Model!E263,Model!F263,Model!G263,Model!H263,Model!I263,Model!N263,Model!S263,Model!X263,Model!AC263,Model!AH263,Model!AM263,Model!AR263,Model!AW263,Model!BB263,Model!BG263,Model!BL263,Model!BQ263,Model!AF263),"")</f>
        <v/>
      </c>
      <c r="N32" s="91" t="inlineStr">
        <is>
          <t xml:space="preserve">   FCF %</t>
        </is>
      </c>
      <c r="O32" s="96" t="n">
        <v>0.200000805991743</v>
      </c>
      <c r="P32" s="97" t="n">
        <v>0.185361087052296</v>
      </c>
      <c r="Q32" s="97" t="n">
        <v>0.220887543920013</v>
      </c>
      <c r="R32" s="97" t="n">
        <v>0.206916094822563</v>
      </c>
      <c r="S32" s="97" t="n">
        <v>0.210157649609403</v>
      </c>
      <c r="T32" s="97" t="n">
        <v>0.215381335981471</v>
      </c>
      <c r="V32" s="98" t="n">
        <v>0.115587039102835</v>
      </c>
      <c r="W32" s="98" t="n">
        <v>-0.08849964183865169</v>
      </c>
      <c r="X32" s="98" t="n">
        <v>0.207740742277149</v>
      </c>
      <c r="Z32" s="91" t="inlineStr">
        <is>
          <t xml:space="preserve">   FCF %</t>
        </is>
      </c>
      <c r="AA32" s="96" t="n">
        <v>0.200000805991743</v>
      </c>
      <c r="AB32" s="97" t="n">
        <v>0.185032697713653</v>
      </c>
      <c r="AC32" s="97" t="n">
        <v>0.209347858198451</v>
      </c>
      <c r="AD32" s="97" t="n">
        <v>0.238514320158198</v>
      </c>
      <c r="AE32" s="97" t="n">
        <v>0.249683345483469</v>
      </c>
      <c r="AF32" s="97" t="n">
        <v>0.253696344987616</v>
      </c>
      <c r="AH32" s="98" t="n">
        <v>0.121976088648681</v>
      </c>
      <c r="AI32" s="98" t="n">
        <v>-0.08849964183865169</v>
      </c>
      <c r="AJ32" s="98" t="n">
        <v>0.238514320158198</v>
      </c>
    </row>
    <row r="33" ht="15" customHeight="1">
      <c r="B33" s="91" t="inlineStr">
        <is>
          <t xml:space="preserve">   FCF / share ($)</t>
        </is>
      </c>
      <c r="C33" s="107">
        <f>IFERROR(C31/C21,"")</f>
        <v/>
      </c>
      <c r="D33" s="108">
        <f>IFERROR(D31/D21,"")</f>
        <v/>
      </c>
      <c r="E33" s="108">
        <f>IFERROR(E31/E21,"")</f>
        <v/>
      </c>
      <c r="F33" s="108">
        <f>IFERROR(F31/F21,"")</f>
        <v/>
      </c>
      <c r="G33" s="108">
        <f>IFERROR(G31/G21,"")</f>
        <v/>
      </c>
      <c r="H33" s="108">
        <f>IFERROR(H31/H21,"")</f>
        <v/>
      </c>
      <c r="N33" s="91" t="inlineStr">
        <is>
          <t xml:space="preserve">   FCF / share ($)</t>
        </is>
      </c>
      <c r="O33" s="107" t="n">
        <v>1.035080767105</v>
      </c>
      <c r="P33" s="108" t="n">
        <v>1.30906776900977</v>
      </c>
      <c r="Q33" s="108" t="n">
        <v>1.83133212147914</v>
      </c>
      <c r="R33" s="108" t="n">
        <v>2.07315800230739</v>
      </c>
      <c r="S33" s="108" t="n">
        <v>2.48432362156176</v>
      </c>
      <c r="T33" s="108" t="n">
        <v>2.95348510048706</v>
      </c>
      <c r="Z33" s="91" t="inlineStr">
        <is>
          <t xml:space="preserve">   FCF / share ($)</t>
        </is>
      </c>
      <c r="AA33" s="107" t="n">
        <v>1.035080767105</v>
      </c>
      <c r="AB33" s="108" t="n">
        <v>1.2873893603643</v>
      </c>
      <c r="AC33" s="108" t="n">
        <v>1.52448631819707</v>
      </c>
      <c r="AD33" s="108" t="n">
        <v>1.81168730094838</v>
      </c>
      <c r="AE33" s="108" t="n">
        <v>1.98597972543427</v>
      </c>
      <c r="AF33" s="108" t="n">
        <v>2.11146234466992</v>
      </c>
    </row>
    <row r="34" ht="15" customHeight="1">
      <c r="B34" s="91" t="inlineStr">
        <is>
          <t xml:space="preserve">   FCF Yield (on PT)</t>
        </is>
      </c>
      <c r="E34" s="109" t="n"/>
      <c r="F34" s="109">
        <f>IFERROR(F33/F$27,"")</f>
        <v/>
      </c>
      <c r="G34" s="109">
        <f>IFERROR(G33/G$27,"")</f>
        <v/>
      </c>
      <c r="H34" s="109">
        <f>IFERROR(H33/H$27,"")</f>
        <v/>
      </c>
      <c r="N34" s="91" t="inlineStr">
        <is>
          <t xml:space="preserve">   FCF Yield (on PT)</t>
        </is>
      </c>
      <c r="Q34" s="109" t="n"/>
      <c r="R34" s="109">
        <f>IFERROR(R33/R$27,"")</f>
        <v/>
      </c>
      <c r="S34" s="109">
        <f>IFERROR(S33/S$27,"")</f>
        <v/>
      </c>
      <c r="T34" s="109">
        <f>IFERROR(T33/T$27,"")</f>
        <v/>
      </c>
      <c r="Z34" s="91" t="inlineStr">
        <is>
          <t xml:space="preserve">   FCF Yield (on PT)</t>
        </is>
      </c>
      <c r="AC34" s="109" t="n"/>
      <c r="AD34" s="109">
        <f>IFERROR(AD33/AD$27,"")</f>
        <v/>
      </c>
      <c r="AE34" s="109">
        <f>IFERROR(AE33/AE$27,"")</f>
        <v/>
      </c>
      <c r="AF34" s="109">
        <f>IFERROR(AF33/AF$27,"")</f>
        <v/>
      </c>
    </row>
    <row r="35" ht="15" customHeight="1">
      <c r="B35" s="87" t="inlineStr">
        <is>
          <t>Adjusted EBITDA (leverage basis)</t>
        </is>
      </c>
      <c r="C35" s="88">
        <f>Model!AF174</f>
        <v/>
      </c>
      <c r="D35" s="89">
        <f>Model!AK174</f>
        <v/>
      </c>
      <c r="E35" s="89">
        <f>Model!AL174</f>
        <v/>
      </c>
      <c r="F35" s="89">
        <f>Model!AM174</f>
        <v/>
      </c>
      <c r="G35" s="89">
        <f>Model!AN174</f>
        <v/>
      </c>
      <c r="H35" s="89">
        <f>Model!AO174</f>
        <v/>
      </c>
      <c r="I35" s="90">
        <f>IFERROR((H35/C35)^(1/5)-1,"n/m")</f>
        <v/>
      </c>
      <c r="N35" s="87" t="inlineStr">
        <is>
          <t>Adjusted EBITDA (leverage basis)</t>
        </is>
      </c>
      <c r="O35" s="88" t="n">
        <v>189.124</v>
      </c>
      <c r="P35" s="89" t="n">
        <v>270</v>
      </c>
      <c r="Q35" s="89" t="n">
        <v>329.110520250015</v>
      </c>
      <c r="R35" s="89" t="n">
        <v>401.928074859124</v>
      </c>
      <c r="S35" s="89" t="n">
        <v>478.833267860909</v>
      </c>
      <c r="T35" s="89" t="n">
        <v>560.5460940574191</v>
      </c>
      <c r="U35" s="90" t="n">
        <v>0.242718996749866</v>
      </c>
      <c r="Z35" s="87" t="inlineStr">
        <is>
          <t>Adjusted EBITDA (leverage basis)</t>
        </is>
      </c>
      <c r="AA35" s="88" t="n">
        <v>189.124</v>
      </c>
      <c r="AB35" s="89" t="n">
        <v>265</v>
      </c>
      <c r="AC35" s="89" t="n">
        <v>265.19196146163</v>
      </c>
      <c r="AD35" s="89" t="n">
        <v>279.218725772579</v>
      </c>
      <c r="AE35" s="89" t="n">
        <v>291.647886882391</v>
      </c>
      <c r="AF35" s="89" t="n">
        <v>302.956400593847</v>
      </c>
      <c r="AG35" s="90" t="n">
        <v>0.09882035918247151</v>
      </c>
    </row>
    <row r="36" ht="15" customHeight="1">
      <c r="B36" s="91" t="inlineStr">
        <is>
          <t xml:space="preserve">   Adjusted EBITDA % of net sales</t>
        </is>
      </c>
      <c r="C36" s="96">
        <f>IFERROR(C35/C9,"")</f>
        <v/>
      </c>
      <c r="D36" s="97">
        <f>IFERROR(D35/D9,"")</f>
        <v/>
      </c>
      <c r="E36" s="97">
        <f>IFERROR(E35/E9,"")</f>
        <v/>
      </c>
      <c r="F36" s="97">
        <f>IFERROR(F35/F9,"")</f>
        <v/>
      </c>
      <c r="G36" s="97">
        <f>IFERROR(G35/G9,"")</f>
        <v/>
      </c>
      <c r="H36" s="97">
        <f>IFERROR(H35/H9,"")</f>
        <v/>
      </c>
      <c r="J36" s="98">
        <f>IFERROR(AVERAGE(Model!C228,Model!D228,Model!E228,Model!F228,Model!G228,Model!H228,Model!I228,Model!N228,Model!S228,Model!X228,Model!AC228,Model!AH228,Model!AM228,Model!AR228,Model!AW228,Model!BB228,Model!BG228,Model!BL228,Model!BQ228,Model!AF228),"")</f>
        <v/>
      </c>
      <c r="K36" s="98">
        <f>IFERROR(MIN(Model!C228,Model!D228,Model!E228,Model!F228,Model!G228,Model!H228,Model!I228,Model!N228,Model!S228,Model!X228,Model!AC228,Model!AH228,Model!AM228,Model!AR228,Model!AW228,Model!BB228,Model!BG228,Model!BL228,Model!BQ228,Model!AF228),"")</f>
        <v/>
      </c>
      <c r="L36" s="98">
        <f>IFERROR(MAX(Model!C228,Model!D228,Model!E228,Model!F228,Model!G228,Model!H228,Model!I228,Model!N228,Model!S228,Model!X228,Model!AC228,Model!AH228,Model!AM228,Model!AR228,Model!AW228,Model!BB228,Model!BG228,Model!BL228,Model!BQ228,Model!AF228),"")</f>
        <v/>
      </c>
      <c r="N36" s="91" t="inlineStr">
        <is>
          <t xml:space="preserve">   Adjusted EBITDA % of net sales</t>
        </is>
      </c>
      <c r="O36" s="96" t="n">
        <v>0.381080955825608</v>
      </c>
      <c r="P36" s="97" t="n">
        <v>0.4</v>
      </c>
      <c r="Q36" s="97" t="n">
        <v>0.414213384715716</v>
      </c>
      <c r="R36" s="97" t="n">
        <v>0.417283365998394</v>
      </c>
      <c r="S36" s="97" t="n">
        <v>0.420038450465136</v>
      </c>
      <c r="T36" s="97" t="n">
        <v>0.422574563838619</v>
      </c>
      <c r="V36" s="98" t="n">
        <v>0.32168135341573</v>
      </c>
      <c r="W36" s="98" t="n">
        <v>0.167645651133446</v>
      </c>
      <c r="X36" s="98" t="n">
        <v>0.417283365998394</v>
      </c>
      <c r="Z36" s="91" t="inlineStr">
        <is>
          <t xml:space="preserve">   Adjusted EBITDA % of net sales</t>
        </is>
      </c>
      <c r="AA36" s="96" t="n">
        <v>0.381080955825608</v>
      </c>
      <c r="AB36" s="97" t="n">
        <v>0.398496240601504</v>
      </c>
      <c r="AC36" s="97" t="n">
        <v>0.38</v>
      </c>
      <c r="AD36" s="97" t="n">
        <v>0.385</v>
      </c>
      <c r="AE36" s="97" t="n">
        <v>0.39</v>
      </c>
      <c r="AF36" s="97" t="n">
        <v>0.395</v>
      </c>
      <c r="AH36" s="98" t="n">
        <v>0.317854282023619</v>
      </c>
      <c r="AI36" s="98" t="n">
        <v>0.167645651133446</v>
      </c>
      <c r="AJ36" s="98" t="n">
        <v>0.404763986268716</v>
      </c>
    </row>
    <row r="38" ht="15" customHeight="1">
      <c r="B38" s="87" t="inlineStr">
        <is>
          <t>Net Debt</t>
        </is>
      </c>
      <c r="C38" s="88">
        <f>Model!AF388</f>
        <v/>
      </c>
      <c r="D38" s="89">
        <f>Model!AK388</f>
        <v/>
      </c>
      <c r="E38" s="89">
        <f>Model!AL388</f>
        <v/>
      </c>
      <c r="F38" s="89">
        <f>Model!AM388</f>
        <v/>
      </c>
      <c r="G38" s="89">
        <f>Model!AN388</f>
        <v/>
      </c>
      <c r="H38" s="89">
        <f>Model!AO388</f>
        <v/>
      </c>
      <c r="N38" s="87" t="inlineStr">
        <is>
          <t>Net Debt</t>
        </is>
      </c>
      <c r="O38" s="88" t="n">
        <v>634.043</v>
      </c>
      <c r="P38" s="89" t="n">
        <v>761.0392662397001</v>
      </c>
      <c r="Q38" s="89" t="n">
        <v>1087.53452115244</v>
      </c>
      <c r="R38" s="89" t="n">
        <v>1390.2325733012</v>
      </c>
      <c r="S38" s="89" t="n">
        <v>1652.65813906309</v>
      </c>
      <c r="T38" s="89" t="n">
        <v>1868.95432026109</v>
      </c>
      <c r="Z38" s="87" t="inlineStr">
        <is>
          <t>Net Debt</t>
        </is>
      </c>
      <c r="AA38" s="88" t="n">
        <v>634.043</v>
      </c>
      <c r="AB38" s="89" t="n">
        <v>763.111256020421</v>
      </c>
      <c r="AC38" s="89" t="n">
        <v>619.012916169267</v>
      </c>
      <c r="AD38" s="89" t="n">
        <v>562.437451545157</v>
      </c>
      <c r="AE38" s="89" t="n">
        <v>587.295773764783</v>
      </c>
      <c r="AF38" s="89" t="n">
        <v>609.912801187694</v>
      </c>
    </row>
    <row r="39" ht="15" customHeight="1">
      <c r="B39" s="91" t="inlineStr">
        <is>
          <t xml:space="preserve">   Net Debt / Adjusted EBITDA (x)</t>
        </is>
      </c>
      <c r="C39" s="110">
        <f>IFERROR(C38/C35,"")</f>
        <v/>
      </c>
      <c r="D39" s="111">
        <f>IFERROR(D38/D35,"")</f>
        <v/>
      </c>
      <c r="E39" s="111">
        <f>IFERROR(E38/E35,"")</f>
        <v/>
      </c>
      <c r="F39" s="111">
        <f>IFERROR(F38/F35,"")</f>
        <v/>
      </c>
      <c r="G39" s="111">
        <f>IFERROR(G38/G35,"")</f>
        <v/>
      </c>
      <c r="H39" s="111">
        <f>IFERROR(H38/H35,"")</f>
        <v/>
      </c>
      <c r="N39" s="91" t="inlineStr">
        <is>
          <t xml:space="preserve">   Net Debt / Adjusted EBITDA (x)</t>
        </is>
      </c>
      <c r="O39" s="110" t="n">
        <v>3.35252532729849</v>
      </c>
      <c r="P39" s="111" t="n">
        <v>2.81866394903593</v>
      </c>
      <c r="Q39" s="111" t="n">
        <v>3.30446599010652</v>
      </c>
      <c r="R39" s="111" t="n">
        <v>3.45890884529148</v>
      </c>
      <c r="S39" s="111" t="n">
        <v>3.45142714591659</v>
      </c>
      <c r="T39" s="111" t="n">
        <v>3.3341670561523</v>
      </c>
      <c r="Z39" s="91" t="inlineStr">
        <is>
          <t xml:space="preserve">   Net Debt / Adjusted EBITDA (x)</t>
        </is>
      </c>
      <c r="AA39" s="110" t="n">
        <v>3.35252532729849</v>
      </c>
      <c r="AB39" s="111" t="n">
        <v>2.87966511705819</v>
      </c>
      <c r="AC39" s="111" t="n">
        <v>2.33420693733521</v>
      </c>
      <c r="AD39" s="111" t="n">
        <v>2.01432568674946</v>
      </c>
      <c r="AE39" s="111" t="n">
        <v>2.01371516880427</v>
      </c>
      <c r="AF39" s="111" t="n">
        <v>2.01320321997541</v>
      </c>
    </row>
    <row r="41" ht="15" customHeight="1">
      <c r="B41" s="87" t="inlineStr">
        <is>
          <t>ROIC</t>
        </is>
      </c>
      <c r="C41" s="94">
        <f>Model!AF371</f>
        <v/>
      </c>
      <c r="D41" s="95">
        <f>Model!AK371</f>
        <v/>
      </c>
      <c r="E41" s="95">
        <f>Model!AL371</f>
        <v/>
      </c>
      <c r="F41" s="95">
        <f>Model!AM371</f>
        <v/>
      </c>
      <c r="G41" s="95">
        <f>Model!AN371</f>
        <v/>
      </c>
      <c r="H41" s="95">
        <f>Model!AO371</f>
        <v/>
      </c>
      <c r="J41" s="98">
        <f>IFERROR(AVERAGE(Model!C371,Model!D371,Model!E371,Model!F371,Model!G371,Model!H371,Model!I371,Model!N371,Model!S371,Model!X371,Model!AC371,Model!AH371,Model!AM371,Model!AR371,Model!AW371,Model!BB371,Model!BG371,Model!BL371,Model!BQ371,Model!AF371),"")</f>
        <v/>
      </c>
      <c r="K41" s="98">
        <f>IFERROR(MIN(Model!C371,Model!D371,Model!E371,Model!F371,Model!G371,Model!H371,Model!I371,Model!N371,Model!S371,Model!X371,Model!AC371,Model!AH371,Model!AM371,Model!AR371,Model!AW371,Model!BB371,Model!BG371,Model!BL371,Model!BQ371,Model!AF371),"")</f>
        <v/>
      </c>
      <c r="L41" s="98">
        <f>IFERROR(MAX(Model!C371,Model!D371,Model!E371,Model!F371,Model!G371,Model!H371,Model!I371,Model!N371,Model!S371,Model!X371,Model!AC371,Model!AH371,Model!AM371,Model!AR371,Model!AW371,Model!BB371,Model!BG371,Model!BL371,Model!BQ371,Model!AF371),"")</f>
        <v/>
      </c>
      <c r="N41" s="87" t="inlineStr">
        <is>
          <t>ROIC</t>
        </is>
      </c>
      <c r="O41" s="94" t="n">
        <v>0.06837153520814231</v>
      </c>
      <c r="P41" s="95" t="n">
        <v>0.0721447734957682</v>
      </c>
      <c r="Q41" s="95" t="n">
        <v>0.073575465929937</v>
      </c>
      <c r="R41" s="95" t="n">
        <v>0.0757723235472018</v>
      </c>
      <c r="S41" s="95" t="n">
        <v>0.0785778420668003</v>
      </c>
      <c r="T41" s="95" t="n">
        <v>0.0824457385591586</v>
      </c>
      <c r="V41" s="98" t="n">
        <v>0.0735490291583724</v>
      </c>
      <c r="W41" s="98" t="n">
        <v>0.06837153520814231</v>
      </c>
      <c r="X41" s="98" t="n">
        <v>0.07650322871977321</v>
      </c>
      <c r="Z41" s="87" t="inlineStr">
        <is>
          <t>ROIC</t>
        </is>
      </c>
      <c r="AA41" s="94" t="n">
        <v>0.06837153520814231</v>
      </c>
      <c r="AB41" s="95" t="n">
        <v>0.0703095441184912</v>
      </c>
      <c r="AC41" s="95" t="n">
        <v>0.0719083195568356</v>
      </c>
      <c r="AD41" s="95" t="n">
        <v>0.0794381091657558</v>
      </c>
      <c r="AE41" s="95" t="n">
        <v>0.0868165192619732</v>
      </c>
      <c r="AF41" s="95" t="n">
        <v>0.0952735522531582</v>
      </c>
      <c r="AH41" s="98" t="n">
        <v>0.076186284415047</v>
      </c>
      <c r="AI41" s="98" t="n">
        <v>0.06837153520814231</v>
      </c>
      <c r="AJ41" s="98" t="n">
        <v>0.0807492088712428</v>
      </c>
    </row>
    <row r="42" ht="15" customHeight="1">
      <c r="B42" s="87" t="inlineStr">
        <is>
          <t>RONTA</t>
        </is>
      </c>
      <c r="C42" s="94">
        <f>Model!AF382</f>
        <v/>
      </c>
      <c r="D42" s="95">
        <f>Model!AK382</f>
        <v/>
      </c>
      <c r="E42" s="95">
        <f>Model!AL382</f>
        <v/>
      </c>
      <c r="F42" s="95">
        <f>Model!AM382</f>
        <v/>
      </c>
      <c r="G42" s="95">
        <f>Model!AN382</f>
        <v/>
      </c>
      <c r="H42" s="95">
        <f>Model!AO382</f>
        <v/>
      </c>
      <c r="J42" s="98">
        <f>IFERROR(AVERAGE(Model!C382,Model!D382,Model!E382,Model!F382,Model!G382,Model!H382,Model!I382,Model!N382,Model!S382,Model!X382,Model!AC382,Model!AH382,Model!AM382,Model!AR382,Model!AW382,Model!BB382,Model!BG382,Model!BL382,Model!BQ382,Model!AF382),"")</f>
        <v/>
      </c>
      <c r="K42" s="98">
        <f>IFERROR(MIN(Model!C382,Model!D382,Model!E382,Model!F382,Model!G382,Model!H382,Model!I382,Model!N382,Model!S382,Model!X382,Model!AC382,Model!AH382,Model!AM382,Model!AR382,Model!AW382,Model!BB382,Model!BG382,Model!BL382,Model!BQ382,Model!AF382),"")</f>
        <v/>
      </c>
      <c r="L42" s="98">
        <f>IFERROR(MAX(Model!C382,Model!D382,Model!E382,Model!F382,Model!G382,Model!H382,Model!I382,Model!N382,Model!S382,Model!X382,Model!AC382,Model!AH382,Model!AM382,Model!AR382,Model!AW382,Model!BB382,Model!BG382,Model!BL382,Model!BQ382,Model!AF382),"")</f>
        <v/>
      </c>
      <c r="N42" s="87" t="inlineStr">
        <is>
          <t>RONTA</t>
        </is>
      </c>
      <c r="O42" s="94" t="n">
        <v>0.34743883769075</v>
      </c>
      <c r="P42" s="95" t="n">
        <v>0.365456083867282</v>
      </c>
      <c r="Q42" s="95" t="n">
        <v>0.418252331439174</v>
      </c>
      <c r="R42" s="95" t="n">
        <v>0.455038482800537</v>
      </c>
      <c r="S42" s="95" t="n">
        <v>0.488248156956536</v>
      </c>
      <c r="T42" s="95" t="n">
        <v>0.523275808434613</v>
      </c>
      <c r="V42" s="98" t="n">
        <v>0.417510497730305</v>
      </c>
      <c r="W42" s="98" t="n">
        <v>0.34743883769075</v>
      </c>
      <c r="X42" s="98" t="n">
        <v>0.455038482800537</v>
      </c>
      <c r="Z42" s="87" t="inlineStr">
        <is>
          <t>RONTA</t>
        </is>
      </c>
      <c r="AA42" s="94" t="n">
        <v>0.34743883769075</v>
      </c>
      <c r="AB42" s="95" t="n">
        <v>0.357414454070209</v>
      </c>
      <c r="AC42" s="95" t="n">
        <v>0.345351562493576</v>
      </c>
      <c r="AD42" s="95" t="n">
        <v>0.364795983140375</v>
      </c>
      <c r="AE42" s="95" t="n">
        <v>0.381739848332287</v>
      </c>
      <c r="AF42" s="95" t="n">
        <v>0.402561543885757</v>
      </c>
      <c r="AH42" s="98" t="n">
        <v>0.360869166405189</v>
      </c>
      <c r="AI42" s="98" t="n">
        <v>0.34743883769075</v>
      </c>
      <c r="AJ42" s="98" t="n">
        <v>0.370372678384441</v>
      </c>
    </row>
    <row r="44" ht="15" customHeight="1">
      <c r="B44" s="91" t="inlineStr">
        <is>
          <t>Implied Market Cap (USDm)</t>
        </is>
      </c>
      <c r="E44" s="112" t="n"/>
      <c r="F44" s="112">
        <f>F27*F21</f>
        <v/>
      </c>
      <c r="G44" s="112">
        <f>G27*G21</f>
        <v/>
      </c>
      <c r="H44" s="112">
        <f>H27*H21</f>
        <v/>
      </c>
      <c r="N44" s="91" t="inlineStr">
        <is>
          <t>Implied Market Cap (USDm)</t>
        </is>
      </c>
      <c r="Q44" s="112" t="n"/>
      <c r="R44" s="112">
        <f>R27*R21</f>
        <v/>
      </c>
      <c r="S44" s="112">
        <f>S27*S21</f>
        <v/>
      </c>
      <c r="T44" s="112">
        <f>T27*T21</f>
        <v/>
      </c>
      <c r="Z44" s="91" t="inlineStr">
        <is>
          <t>Implied Market Cap (USDm)</t>
        </is>
      </c>
      <c r="AC44" s="112" t="n"/>
      <c r="AD44" s="112">
        <f>AD27*AD21</f>
        <v/>
      </c>
      <c r="AE44" s="112">
        <f>AE27*AE21</f>
        <v/>
      </c>
      <c r="AF44" s="112">
        <f>AF27*AF21</f>
        <v/>
      </c>
    </row>
    <row r="45" ht="15" customHeight="1">
      <c r="B45" s="91" t="inlineStr">
        <is>
          <t>(+) Net Debt &amp; NCI</t>
        </is>
      </c>
      <c r="E45" s="112" t="n"/>
      <c r="F45" s="112">
        <f>F38+Model!AM397</f>
        <v/>
      </c>
      <c r="G45" s="112">
        <f>G38+Model!AN397</f>
        <v/>
      </c>
      <c r="H45" s="112">
        <f>H38+Model!AO397</f>
        <v/>
      </c>
      <c r="N45" s="91" t="inlineStr">
        <is>
          <t>(+) Net Debt &amp; NCI</t>
        </is>
      </c>
      <c r="Q45" s="112" t="n"/>
      <c r="R45" s="112">
        <f>R38+Model!AM397</f>
        <v/>
      </c>
      <c r="S45" s="112">
        <f>S38+Model!AN397</f>
        <v/>
      </c>
      <c r="T45" s="112">
        <f>T38+Model!AO397</f>
        <v/>
      </c>
      <c r="Z45" s="91" t="inlineStr">
        <is>
          <t>(+) Net Debt &amp; NCI</t>
        </is>
      </c>
      <c r="AC45" s="112" t="n"/>
      <c r="AD45" s="112">
        <f>AD38+Model!AM397</f>
        <v/>
      </c>
      <c r="AE45" s="112">
        <f>AE38+Model!AN397</f>
        <v/>
      </c>
      <c r="AF45" s="112">
        <f>AF38+Model!AO397</f>
        <v/>
      </c>
    </row>
    <row r="46" ht="15" customHeight="1">
      <c r="B46" s="91" t="inlineStr">
        <is>
          <t>Implied Enterprise Value (USDm)</t>
        </is>
      </c>
      <c r="E46" s="112" t="n"/>
      <c r="F46" s="112">
        <f>F44+F45</f>
        <v/>
      </c>
      <c r="G46" s="112">
        <f>G44+G45</f>
        <v/>
      </c>
      <c r="H46" s="112">
        <f>H44+H45</f>
        <v/>
      </c>
      <c r="N46" s="91" t="inlineStr">
        <is>
          <t>Implied Enterprise Value (USDm)</t>
        </is>
      </c>
      <c r="Q46" s="112" t="n"/>
      <c r="R46" s="112">
        <f>R44+R45</f>
        <v/>
      </c>
      <c r="S46" s="112">
        <f>S44+S45</f>
        <v/>
      </c>
      <c r="T46" s="112">
        <f>T44+T45</f>
        <v/>
      </c>
      <c r="Z46" s="91" t="inlineStr">
        <is>
          <t>Implied Enterprise Value (USDm)</t>
        </is>
      </c>
      <c r="AC46" s="112" t="n"/>
      <c r="AD46" s="112">
        <f>AD44+AD45</f>
        <v/>
      </c>
      <c r="AE46" s="112">
        <f>AE44+AE45</f>
        <v/>
      </c>
      <c r="AF46" s="112">
        <f>AF44+AF45</f>
        <v/>
      </c>
    </row>
    <row r="47" ht="15" customHeight="1">
      <c r="B47" s="91" t="inlineStr">
        <is>
          <t>Implied EV / Adjusted EBITDA (x)</t>
        </is>
      </c>
      <c r="E47" s="113" t="n"/>
      <c r="F47" s="113">
        <f>IFERROR(F46/F35,"")</f>
        <v/>
      </c>
      <c r="G47" s="113">
        <f>IFERROR(G46/G35,"")</f>
        <v/>
      </c>
      <c r="H47" s="113">
        <f>IFERROR(H46/H35,"")</f>
        <v/>
      </c>
      <c r="N47" s="91" t="inlineStr">
        <is>
          <t>Implied EV / Adjusted EBITDA (x)</t>
        </is>
      </c>
      <c r="Q47" s="113" t="n"/>
      <c r="R47" s="113">
        <f>IFERROR(R46/R35,"")</f>
        <v/>
      </c>
      <c r="S47" s="113">
        <f>IFERROR(S46/S35,"")</f>
        <v/>
      </c>
      <c r="T47" s="113">
        <f>IFERROR(T46/T35,"")</f>
        <v/>
      </c>
      <c r="Z47" s="91" t="inlineStr">
        <is>
          <t>Implied EV / Adjusted EBITDA (x)</t>
        </is>
      </c>
      <c r="AC47" s="113" t="n"/>
      <c r="AD47" s="113">
        <f>IFERROR(AD46/AD35,"")</f>
        <v/>
      </c>
      <c r="AE47" s="113">
        <f>IFERROR(AE46/AE35,"")</f>
        <v/>
      </c>
      <c r="AF47" s="113">
        <f>IFERROR(AF46/AF35,"")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118"/>
  <sheetViews>
    <sheetView topLeftCell="A21" zoomScale="60" zoomScaleNormal="60" workbookViewId="0">
      <selection activeCell="C59" sqref="C59"/>
    </sheetView>
  </sheetViews>
  <sheetFormatPr baseColWidth="8" defaultColWidth="8.5703125" defaultRowHeight="15"/>
  <cols>
    <col width="10.5703125" customWidth="1" min="1" max="1"/>
    <col width="50" customWidth="1" min="2" max="2"/>
    <col width="12.5703125" customWidth="1" min="3" max="14"/>
    <col width="13.28515625" customWidth="1" min="16" max="17"/>
  </cols>
  <sheetData>
    <row r="2" ht="17.25" customHeight="1">
      <c r="B2" s="117" t="inlineStr">
        <is>
          <t>DCF VALUATION — LOAR HOLDINGS (LOAR)</t>
        </is>
      </c>
      <c r="C2" s="118" t="n"/>
      <c r="D2" s="118" t="n"/>
      <c r="E2" s="118" t="n"/>
      <c r="F2" s="118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  <c r="Q2" s="118" t="n"/>
    </row>
    <row r="3">
      <c r="B3" s="118" t="n"/>
      <c r="C3" s="118" t="n"/>
      <c r="D3" s="118" t="n"/>
      <c r="E3" s="118" t="n"/>
      <c r="F3" s="118" t="n"/>
      <c r="G3" s="118" t="n"/>
      <c r="H3" s="118" t="n"/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</row>
    <row r="4" ht="15" customHeight="1">
      <c r="B4" s="139" t="inlineStr">
        <is>
          <t>1. WACC BUILD</t>
        </is>
      </c>
      <c r="C4" s="118" t="n"/>
      <c r="D4" s="118" t="n"/>
      <c r="E4" s="118" t="n"/>
      <c r="F4" s="118" t="n"/>
      <c r="G4" s="118" t="n"/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</row>
    <row r="5" ht="15" customHeight="1">
      <c r="B5" s="140" t="inlineStr">
        <is>
          <t>Risk-free rate (US 10Y govt)</t>
        </is>
      </c>
      <c r="C5" s="141" t="n">
        <v>0.042</v>
      </c>
      <c r="D5" s="142" t="inlineStr">
        <is>
          <t>Assumption (~US 10Y Treasury yield); update to market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</row>
    <row r="6" ht="15" customHeight="1">
      <c r="B6" s="140" t="inlineStr">
        <is>
          <t>Equity risk premium</t>
        </is>
      </c>
      <c r="C6" s="141" t="n">
        <v>0.05</v>
      </c>
      <c r="D6" s="142" t="inlineStr">
        <is>
          <t>US implied ERP ~4.5–5.5% (Damodaran)</t>
        </is>
      </c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</row>
    <row r="7" ht="15" customHeight="1">
      <c r="B7" s="140" t="inlineStr">
        <is>
          <t>Levered beta</t>
        </is>
      </c>
      <c r="C7" s="143" t="n">
        <v>1.1</v>
      </c>
      <c r="D7" s="142" t="inlineStr">
        <is>
          <t>Aerospace components peers (TransDigm, HEICO, Ducommun, Karman) ~1.0–1.2; proprietary, sole-source content and ~50% aftermarket mix dampen cyclicality</t>
        </is>
      </c>
      <c r="E7" s="118" t="n"/>
      <c r="F7" s="118" t="n"/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</row>
    <row r="8" ht="15" customHeight="1">
      <c r="B8" s="140" t="inlineStr">
        <is>
          <t>Cost of equity</t>
        </is>
      </c>
      <c r="C8" s="144">
        <f>C5+C7*C6</f>
        <v/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</row>
    <row r="9" ht="15" customHeight="1">
      <c r="B9" s="140" t="inlineStr">
        <is>
          <t>Pre-tax cost of debt</t>
        </is>
      </c>
      <c r="C9" s="141" t="n">
        <v>0.082</v>
      </c>
      <c r="D9" s="142" t="inlineStr">
        <is>
          <t>Term loans at SOFR + 4.25% (B-rated, secured; ~8.2% all-in at 30-Jun-2026)</t>
        </is>
      </c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</row>
    <row r="10" ht="15" customHeight="1">
      <c r="B10" s="140" t="inlineStr">
        <is>
          <t>Tax rate</t>
        </is>
      </c>
      <c r="C10" s="141" t="n">
        <v>0.24</v>
      </c>
      <c r="D10" s="142" t="inlineStr">
        <is>
          <t>Model 2027E+ effective tax rate</t>
        </is>
      </c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</row>
    <row r="11" ht="15" customHeight="1">
      <c r="B11" s="140" t="inlineStr">
        <is>
          <t>After-tax cost of debt</t>
        </is>
      </c>
      <c r="C11" s="144">
        <f>C9*(1-C10)</f>
        <v/>
      </c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</row>
    <row r="12" ht="15" customHeight="1">
      <c r="B12" s="140" t="inlineStr">
        <is>
          <t>Target D/V</t>
        </is>
      </c>
      <c r="C12" s="141" t="n">
        <v>0.12</v>
      </c>
      <c r="D12" s="142" t="inlineStr">
        <is>
          <t>Net debt ~$0.83bn at 30-Jun-26 vs ~$7.2bn market cap ($75 × ~95.6m diluted shares); D/V ~10–15%</t>
        </is>
      </c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</row>
    <row r="13" ht="15" customHeight="1">
      <c r="B13" s="145" t="inlineStr">
        <is>
          <t>WACC</t>
        </is>
      </c>
      <c r="C13" s="146">
        <f>C8*(1-C12)+C11*C12</f>
        <v/>
      </c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</row>
    <row r="14"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</row>
    <row r="15" ht="15" customHeight="1">
      <c r="B15" s="118" t="inlineStr">
        <is>
          <t>Valuation date (live)</t>
        </is>
      </c>
      <c r="C15" s="119">
        <f>TODAY()</f>
        <v/>
      </c>
      <c r="D15" s="142" t="inlineStr">
        <is>
          <t>Periods = (Dec-31-Year − today) / 365.25; cash flows assumed at year-end</t>
        </is>
      </c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</row>
    <row r="16" ht="15" customHeight="1">
      <c r="B16" s="139" t="inlineStr">
        <is>
          <t>2. UNLEVERED FREE CASH FLOW BUILD (USDm)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</row>
    <row r="17" ht="15" customHeight="1">
      <c r="B17" s="118" t="n"/>
      <c r="C17" s="118" t="n"/>
      <c r="D17" s="138" t="inlineStr">
        <is>
          <t>2026E</t>
        </is>
      </c>
      <c r="E17" s="138" t="inlineStr">
        <is>
          <t>2027E</t>
        </is>
      </c>
      <c r="F17" s="138" t="inlineStr">
        <is>
          <t>2028E</t>
        </is>
      </c>
      <c r="G17" s="138" t="inlineStr">
        <is>
          <t>2029E</t>
        </is>
      </c>
      <c r="H17" s="138" t="inlineStr">
        <is>
          <t>2030E</t>
        </is>
      </c>
      <c r="I17" s="138" t="inlineStr">
        <is>
          <t>2031E</t>
        </is>
      </c>
      <c r="J17" s="138" t="inlineStr">
        <is>
          <t>2032E</t>
        </is>
      </c>
      <c r="K17" s="138" t="inlineStr">
        <is>
          <t>2033E</t>
        </is>
      </c>
      <c r="L17" s="138" t="inlineStr">
        <is>
          <t>2034E</t>
        </is>
      </c>
      <c r="M17" s="138" t="inlineStr">
        <is>
          <t>2035E</t>
        </is>
      </c>
      <c r="N17" s="138" t="inlineStr">
        <is>
          <t>Terminal</t>
        </is>
      </c>
      <c r="O17" s="118" t="n"/>
      <c r="P17" s="138" t="inlineStr">
        <is>
          <t>CAGR 26–30E</t>
        </is>
      </c>
      <c r="Q17" s="138" t="inlineStr">
        <is>
          <t>CAGR 26–35E</t>
        </is>
      </c>
    </row>
    <row r="18" ht="15" customHeight="1">
      <c r="B18" s="118" t="inlineStr">
        <is>
          <t>Adjusted EBIT (Model; Adjusted EBITDA − DD&amp;A)</t>
        </is>
      </c>
      <c r="C18" s="118" t="n"/>
      <c r="D18" s="147">
        <f>Model!AK183</f>
        <v/>
      </c>
      <c r="E18" s="147">
        <f>Model!AL183</f>
        <v/>
      </c>
      <c r="F18" s="147">
        <f>Model!AM183</f>
        <v/>
      </c>
      <c r="G18" s="147">
        <f>Model!AN183</f>
        <v/>
      </c>
      <c r="H18" s="147">
        <f>Model!AO183</f>
        <v/>
      </c>
      <c r="I18" s="120">
        <f>H18*(1+I$31)</f>
        <v/>
      </c>
      <c r="J18" s="120">
        <f>I18*(1+J$31)</f>
        <v/>
      </c>
      <c r="K18" s="120">
        <f>J18*(1+K$31)</f>
        <v/>
      </c>
      <c r="L18" s="120">
        <f>K18*(1+L$31)</f>
        <v/>
      </c>
      <c r="M18" s="120">
        <f>L18*(1+M$31)</f>
        <v/>
      </c>
      <c r="N18" s="118" t="n"/>
      <c r="O18" s="118" t="n"/>
      <c r="P18" s="121">
        <f>IFERROR(($H18/$D18)^(1/(VALUE(LEFT($H$17,4))-VALUE(LEFT($D$17,4))))-1,"n/m")</f>
        <v/>
      </c>
      <c r="Q18" s="121">
        <f>IFERROR(($M18/$D18)^(1/(VALUE(LEFT($M$17,4))-VALUE(LEFT($D$17,4))))-1,"n/m")</f>
        <v/>
      </c>
    </row>
    <row r="19" ht="15" customHeight="1">
      <c r="B19" s="122" t="inlineStr">
        <is>
          <t xml:space="preserve">   y/y %</t>
        </is>
      </c>
      <c r="C19" s="122" t="n"/>
      <c r="D19" s="123" t="n"/>
      <c r="E19" s="123">
        <f>IFERROR(E18/D18-1,"")</f>
        <v/>
      </c>
      <c r="F19" s="123">
        <f>IFERROR(F18/E18-1,"")</f>
        <v/>
      </c>
      <c r="G19" s="123">
        <f>IFERROR(G18/F18-1,"")</f>
        <v/>
      </c>
      <c r="H19" s="123">
        <f>IFERROR(H18/G18-1,"")</f>
        <v/>
      </c>
      <c r="I19" s="123">
        <f>IFERROR(I18/H18-1,"")</f>
        <v/>
      </c>
      <c r="J19" s="123">
        <f>IFERROR(J18/I18-1,"")</f>
        <v/>
      </c>
      <c r="K19" s="123">
        <f>IFERROR(K18/J18-1,"")</f>
        <v/>
      </c>
      <c r="L19" s="123">
        <f>IFERROR(L18/K18-1,"")</f>
        <v/>
      </c>
      <c r="M19" s="123">
        <f>IFERROR(M18/L18-1,"")</f>
        <v/>
      </c>
      <c r="N19" s="123" t="n"/>
      <c r="O19" s="118" t="n"/>
      <c r="P19" s="118" t="n"/>
      <c r="Q19" s="118" t="n"/>
    </row>
    <row r="20" ht="15" customHeight="1">
      <c r="B20" s="118" t="inlineStr">
        <is>
          <t>(−) Transaction &amp; integration costs (cash; added back in Adjusted EBITDA)</t>
        </is>
      </c>
      <c r="C20" s="118" t="n"/>
      <c r="D20" s="147">
        <f>-(Model!AK120+Model!AK122)</f>
        <v/>
      </c>
      <c r="E20" s="147">
        <f>-(Model!AL120+Model!AL122)</f>
        <v/>
      </c>
      <c r="F20" s="147">
        <f>-(Model!AM120+Model!AM122)</f>
        <v/>
      </c>
      <c r="G20" s="147">
        <f>-(Model!AN120+Model!AN122)</f>
        <v/>
      </c>
      <c r="H20" s="147">
        <f>-(Model!AO120+Model!AO122)</f>
        <v/>
      </c>
      <c r="I20" s="120">
        <f>H20*(1+I$31)</f>
        <v/>
      </c>
      <c r="J20" s="120">
        <f>I20*(1+J$31)</f>
        <v/>
      </c>
      <c r="K20" s="120">
        <f>J20*(1+K$31)</f>
        <v/>
      </c>
      <c r="L20" s="120">
        <f>K20*(1+L$31)</f>
        <v/>
      </c>
      <c r="M20" s="120">
        <f>L20*(1+M$31)</f>
        <v/>
      </c>
      <c r="N20" s="118" t="n"/>
      <c r="O20" s="118" t="n"/>
      <c r="P20" s="118" t="n"/>
      <c r="Q20" s="118" t="n"/>
    </row>
    <row r="21" ht="15" customHeight="1">
      <c r="B21" s="118" t="inlineStr">
        <is>
          <t>× (1 − tax rate)</t>
        </is>
      </c>
      <c r="C21" s="118" t="n"/>
      <c r="D21" s="124">
        <f>1-$C$10</f>
        <v/>
      </c>
      <c r="E21" s="124">
        <f>1-$C$10</f>
        <v/>
      </c>
      <c r="F21" s="124">
        <f>1-$C$10</f>
        <v/>
      </c>
      <c r="G21" s="124">
        <f>1-$C$10</f>
        <v/>
      </c>
      <c r="H21" s="124">
        <f>1-$C$10</f>
        <v/>
      </c>
      <c r="I21" s="124">
        <f>1-$C$10</f>
        <v/>
      </c>
      <c r="J21" s="124">
        <f>1-$C$10</f>
        <v/>
      </c>
      <c r="K21" s="124">
        <f>1-$C$10</f>
        <v/>
      </c>
      <c r="L21" s="124">
        <f>1-$C$10</f>
        <v/>
      </c>
      <c r="M21" s="124">
        <f>1-$C$10</f>
        <v/>
      </c>
      <c r="N21" s="118" t="n"/>
      <c r="O21" s="118" t="n"/>
      <c r="P21" s="118" t="n"/>
      <c r="Q21" s="118" t="n"/>
    </row>
    <row r="22" ht="15" customHeight="1">
      <c r="B22" s="118" t="inlineStr">
        <is>
          <t>NOPAT  =  (Adjusted EBIT − transaction &amp; integration costs) × (1 − t)</t>
        </is>
      </c>
      <c r="C22" s="118" t="n"/>
      <c r="D22" s="120">
        <f>(D18+D20)*D21</f>
        <v/>
      </c>
      <c r="E22" s="120">
        <f>(E18+E20)*E21</f>
        <v/>
      </c>
      <c r="F22" s="120">
        <f>(F18+F20)*F21</f>
        <v/>
      </c>
      <c r="G22" s="120">
        <f>(G18+G20)*G21</f>
        <v/>
      </c>
      <c r="H22" s="120">
        <f>(H18+H20)*H21</f>
        <v/>
      </c>
      <c r="I22" s="120">
        <f>(I18+I20)*I21</f>
        <v/>
      </c>
      <c r="J22" s="120">
        <f>(J18+J20)*J21</f>
        <v/>
      </c>
      <c r="K22" s="120">
        <f>(K18+K20)*K21</f>
        <v/>
      </c>
      <c r="L22" s="120">
        <f>(L18+L20)*L21</f>
        <v/>
      </c>
      <c r="M22" s="120">
        <f>(M18+M20)*M21</f>
        <v/>
      </c>
      <c r="N22" s="118" t="n"/>
      <c r="O22" s="118" t="n"/>
      <c r="P22" s="118" t="n"/>
      <c r="Q22" s="118" t="n"/>
    </row>
    <row r="23" ht="15" customHeight="1">
      <c r="B23" s="118" t="inlineStr">
        <is>
          <t>plus depreciation &amp; amortization (total, incl. acquired-intangible amortization)</t>
        </is>
      </c>
      <c r="C23" s="118" t="n"/>
      <c r="D23" s="147">
        <f>Model!AK144</f>
        <v/>
      </c>
      <c r="E23" s="147">
        <f>Model!AL144</f>
        <v/>
      </c>
      <c r="F23" s="147">
        <f>Model!AM144</f>
        <v/>
      </c>
      <c r="G23" s="147">
        <f>Model!AN144</f>
        <v/>
      </c>
      <c r="H23" s="147">
        <f>Model!AO144</f>
        <v/>
      </c>
      <c r="I23" s="120">
        <f>H23*(1+I$31)</f>
        <v/>
      </c>
      <c r="J23" s="120">
        <f>I23*(1+J$31)</f>
        <v/>
      </c>
      <c r="K23" s="120">
        <f>J23*(1+K$31)</f>
        <v/>
      </c>
      <c r="L23" s="120">
        <f>K23*(1+L$31)</f>
        <v/>
      </c>
      <c r="M23" s="120">
        <f>L23*(1+M$31)</f>
        <v/>
      </c>
      <c r="N23" s="118" t="n"/>
      <c r="O23" s="118" t="n"/>
      <c r="P23" s="118" t="n"/>
      <c r="Q23" s="118" t="n"/>
    </row>
    <row r="24" ht="15" customHeight="1">
      <c r="B24" s="118" t="inlineStr">
        <is>
          <t>− Capex (PP&amp;E) and acquisitions (M&amp;A lever, 2027E+)</t>
        </is>
      </c>
      <c r="C24" s="118" t="n"/>
      <c r="D24" s="147">
        <f>D29</f>
        <v/>
      </c>
      <c r="E24" s="147">
        <f>E29+Model!AL245</f>
        <v/>
      </c>
      <c r="F24" s="147">
        <f>F29+Model!AM245</f>
        <v/>
      </c>
      <c r="G24" s="147">
        <f>G29+Model!AN245</f>
        <v/>
      </c>
      <c r="H24" s="147">
        <f>H29+Model!AO245</f>
        <v/>
      </c>
      <c r="I24" s="120">
        <f>I29</f>
        <v/>
      </c>
      <c r="J24" s="120">
        <f>J29</f>
        <v/>
      </c>
      <c r="K24" s="120">
        <f>K29</f>
        <v/>
      </c>
      <c r="L24" s="120">
        <f>L29</f>
        <v/>
      </c>
      <c r="M24" s="120">
        <f>M29</f>
        <v/>
      </c>
      <c r="N24" s="118" t="n"/>
      <c r="O24" s="118" t="n"/>
      <c r="P24" s="118" t="n"/>
      <c r="Q24" s="118" t="n"/>
    </row>
    <row r="25" ht="15" customHeight="1">
      <c r="B25" s="118" t="inlineStr">
        <is>
          <t>− Δ Working capital (CF statement)</t>
        </is>
      </c>
      <c r="C25" s="118" t="n"/>
      <c r="D25" s="147">
        <f>Model!AK242</f>
        <v/>
      </c>
      <c r="E25" s="147">
        <f>Model!AL242</f>
        <v/>
      </c>
      <c r="F25" s="147">
        <f>Model!AM242</f>
        <v/>
      </c>
      <c r="G25" s="147">
        <f>Model!AN242</f>
        <v/>
      </c>
      <c r="H25" s="147">
        <f>Model!AO242</f>
        <v/>
      </c>
      <c r="I25" s="120">
        <f>H25*(1+I$31)</f>
        <v/>
      </c>
      <c r="J25" s="120">
        <f>I25*(1+J$31)</f>
        <v/>
      </c>
      <c r="K25" s="120">
        <f>J25*(1+K$31)</f>
        <v/>
      </c>
      <c r="L25" s="120">
        <f>K25*(1+L$31)</f>
        <v/>
      </c>
      <c r="M25" s="120">
        <f>L25*(1+M$31)</f>
        <v/>
      </c>
      <c r="N25" s="118" t="n"/>
      <c r="O25" s="118" t="n"/>
      <c r="P25" s="118" t="n"/>
      <c r="Q25" s="118" t="n"/>
    </row>
    <row r="26" ht="15" customHeight="1">
      <c r="B26" s="148" t="inlineStr">
        <is>
          <t>Unlevered FCF</t>
        </is>
      </c>
      <c r="C26" s="118" t="n"/>
      <c r="D26" s="149">
        <f>D22+D23+D24+D25</f>
        <v/>
      </c>
      <c r="E26" s="149">
        <f>E22+E23+E24+E25</f>
        <v/>
      </c>
      <c r="F26" s="149">
        <f>F22+F23+F24+F25</f>
        <v/>
      </c>
      <c r="G26" s="149">
        <f>G22+G23+G24+G25</f>
        <v/>
      </c>
      <c r="H26" s="149">
        <f>H22+H23+H24+H25</f>
        <v/>
      </c>
      <c r="I26" s="149">
        <f>I22+I23+I24+I25</f>
        <v/>
      </c>
      <c r="J26" s="149">
        <f>J22+J23+J24+J25</f>
        <v/>
      </c>
      <c r="K26" s="149">
        <f>K22+K23+K24+K25</f>
        <v/>
      </c>
      <c r="L26" s="149">
        <f>L22+L23+L24+L25</f>
        <v/>
      </c>
      <c r="M26" s="149">
        <f>M22+M23+M24+M25</f>
        <v/>
      </c>
      <c r="N26" s="149">
        <f>M26*(1+$C$32)</f>
        <v/>
      </c>
      <c r="O26" s="118" t="n"/>
      <c r="P26" s="121">
        <f>IFERROR(($H26/$D26)^(1/(VALUE(LEFT($H$17,4))-VALUE(LEFT($D$17,4))))-1,"n/m")</f>
        <v/>
      </c>
      <c r="Q26" s="121">
        <f>IFERROR(($M26/$D26)^(1/(VALUE(LEFT($M$17,4))-VALUE(LEFT($D$17,4))))-1,"n/m")</f>
        <v/>
      </c>
    </row>
    <row r="27" ht="15" customHeight="1">
      <c r="B27" s="122" t="inlineStr">
        <is>
          <t xml:space="preserve">   y/y %</t>
        </is>
      </c>
      <c r="C27" s="122" t="n"/>
      <c r="D27" s="123" t="n"/>
      <c r="E27" s="123">
        <f>IFERROR(E26/D26-1,"")</f>
        <v/>
      </c>
      <c r="F27" s="123">
        <f>IFERROR(F26/E26-1,"")</f>
        <v/>
      </c>
      <c r="G27" s="123">
        <f>IFERROR(G26/F26-1,"")</f>
        <v/>
      </c>
      <c r="H27" s="123">
        <f>IFERROR(H26/G26-1,"")</f>
        <v/>
      </c>
      <c r="I27" s="123">
        <f>IFERROR(I26/H26-1,"")</f>
        <v/>
      </c>
      <c r="J27" s="123">
        <f>IFERROR(J26/I26-1,"")</f>
        <v/>
      </c>
      <c r="K27" s="123">
        <f>IFERROR(K26/J26-1,"")</f>
        <v/>
      </c>
      <c r="L27" s="123">
        <f>IFERROR(L26/K26-1,"")</f>
        <v/>
      </c>
      <c r="M27" s="123">
        <f>IFERROR(M26/L26-1,"")</f>
        <v/>
      </c>
      <c r="N27" s="123" t="n"/>
      <c r="O27" s="118" t="n"/>
      <c r="P27" s="118" t="n"/>
      <c r="Q27" s="118" t="n"/>
    </row>
    <row r="28" ht="15" customHeight="1">
      <c r="B28" s="118" t="inlineStr">
        <is>
          <t>Terminal Value (Gordon Growth)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49">
        <f>N26/($C$13-$C$32)</f>
        <v/>
      </c>
      <c r="O28" s="118" t="n"/>
      <c r="P28" s="118" t="n"/>
      <c r="Q28" s="118" t="n"/>
    </row>
    <row r="29" ht="15" customHeight="1">
      <c r="B29" s="142" t="inlineStr">
        <is>
          <t xml:space="preserve">   memo: PP&amp;E capex only (fade years carry no new acquisitions)</t>
        </is>
      </c>
      <c r="C29" s="118" t="n"/>
      <c r="D29" s="147">
        <f>Model!AK244</f>
        <v/>
      </c>
      <c r="E29" s="147">
        <f>Model!AL244</f>
        <v/>
      </c>
      <c r="F29" s="147">
        <f>Model!AM244</f>
        <v/>
      </c>
      <c r="G29" s="147">
        <f>Model!AN244</f>
        <v/>
      </c>
      <c r="H29" s="147">
        <f>Model!AO244</f>
        <v/>
      </c>
      <c r="I29" s="120">
        <f>H29*(1+I$31)</f>
        <v/>
      </c>
      <c r="J29" s="120">
        <f>I29*(1+J$31)</f>
        <v/>
      </c>
      <c r="K29" s="120">
        <f>J29*(1+K$31)</f>
        <v/>
      </c>
      <c r="L29" s="120">
        <f>K29*(1+L$31)</f>
        <v/>
      </c>
      <c r="M29" s="120">
        <f>L29*(1+M$31)</f>
        <v/>
      </c>
      <c r="N29" s="118" t="n"/>
      <c r="O29" s="118" t="n"/>
      <c r="P29" s="118" t="n"/>
      <c r="Q29" s="118" t="n"/>
    </row>
    <row r="30"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</row>
    <row r="31" ht="15" customHeight="1">
      <c r="B31" s="118" t="inlineStr">
        <is>
          <t>Fade-period growth (2031E–35E)</t>
        </is>
      </c>
      <c r="C31" s="118" t="n"/>
      <c r="D31" s="118" t="n"/>
      <c r="E31" s="118" t="n"/>
      <c r="F31" s="118" t="n"/>
      <c r="G31" s="118" t="n"/>
      <c r="H31" s="118" t="n"/>
      <c r="I31" s="150" t="n">
        <v>0.08</v>
      </c>
      <c r="J31" s="151">
        <f>I31+($M$31-$I$31)/(COLUMNS($I$31:$M$31)-1)</f>
        <v/>
      </c>
      <c r="K31" s="151">
        <f>J31+($M$31-$I$31)/(COLUMNS($I$31:$M$31)-1)</f>
        <v/>
      </c>
      <c r="L31" s="151">
        <f>K31+($M$31-$I$31)/(COLUMNS($I$31:$M$31)-1)</f>
        <v/>
      </c>
      <c r="M31" s="150" t="n">
        <v>0.05</v>
      </c>
      <c r="N31" s="118" t="n"/>
      <c r="O31" s="118" t="n"/>
      <c r="P31" s="118" t="n"/>
      <c r="Q31" s="118" t="n"/>
    </row>
    <row r="32" ht="15" customHeight="1">
      <c r="B32" s="118" t="inlineStr">
        <is>
          <t>Terminal growth rate</t>
        </is>
      </c>
      <c r="C32" s="152" t="n">
        <v>0.035</v>
      </c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</row>
    <row r="33"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</row>
    <row r="34" ht="15" customHeight="1">
      <c r="B34" s="118" t="inlineStr">
        <is>
          <t>Discount period (years)</t>
        </is>
      </c>
      <c r="C34" s="118" t="n"/>
      <c r="D34" s="125">
        <f>(DATE(2026,12,31)-$C$15)/365.25</f>
        <v/>
      </c>
      <c r="E34" s="125">
        <f>(DATE(2027,12,31)-$C$15)/365.25</f>
        <v/>
      </c>
      <c r="F34" s="125">
        <f>(DATE(2028,12,31)-$C$15)/365.25</f>
        <v/>
      </c>
      <c r="G34" s="125">
        <f>(DATE(2029,12,31)-$C$15)/365.25</f>
        <v/>
      </c>
      <c r="H34" s="125">
        <f>(DATE(2030,12,31)-$C$15)/365.25</f>
        <v/>
      </c>
      <c r="I34" s="125">
        <f>(DATE(2031,12,31)-$C$15)/365.25</f>
        <v/>
      </c>
      <c r="J34" s="125">
        <f>(DATE(2032,12,31)-$C$15)/365.25</f>
        <v/>
      </c>
      <c r="K34" s="125">
        <f>(DATE(2033,12,31)-$C$15)/365.25</f>
        <v/>
      </c>
      <c r="L34" s="125">
        <f>(DATE(2034,12,31)-$C$15)/365.25</f>
        <v/>
      </c>
      <c r="M34" s="125">
        <f>(DATE(2035,12,31)-$C$15)/365.25</f>
        <v/>
      </c>
      <c r="N34" s="125">
        <f>M34</f>
        <v/>
      </c>
      <c r="O34" s="118" t="n"/>
      <c r="P34" s="118" t="n"/>
      <c r="Q34" s="118" t="n"/>
    </row>
    <row r="35" ht="15" customHeight="1">
      <c r="B35" s="118" t="inlineStr">
        <is>
          <t>Discount factor</t>
        </is>
      </c>
      <c r="C35" s="118" t="n"/>
      <c r="D35" s="126">
        <f>1/(1+$C$13)^D34</f>
        <v/>
      </c>
      <c r="E35" s="126">
        <f>1/(1+$C$13)^E34</f>
        <v/>
      </c>
      <c r="F35" s="126">
        <f>1/(1+$C$13)^F34</f>
        <v/>
      </c>
      <c r="G35" s="126">
        <f>1/(1+$C$13)^G34</f>
        <v/>
      </c>
      <c r="H35" s="126">
        <f>1/(1+$C$13)^H34</f>
        <v/>
      </c>
      <c r="I35" s="126">
        <f>1/(1+$C$13)^I34</f>
        <v/>
      </c>
      <c r="J35" s="126">
        <f>1/(1+$C$13)^J34</f>
        <v/>
      </c>
      <c r="K35" s="126">
        <f>1/(1+$C$13)^K34</f>
        <v/>
      </c>
      <c r="L35" s="126">
        <f>1/(1+$C$13)^L34</f>
        <v/>
      </c>
      <c r="M35" s="126">
        <f>1/(1+$C$13)^M34</f>
        <v/>
      </c>
      <c r="N35" s="126">
        <f>1/(1+$C$13)^N34</f>
        <v/>
      </c>
      <c r="O35" s="118" t="n"/>
      <c r="P35" s="118" t="n"/>
      <c r="Q35" s="118" t="n"/>
    </row>
    <row r="36" ht="15" customHeight="1">
      <c r="B36" s="118" t="inlineStr">
        <is>
          <t>PV of UFCF</t>
        </is>
      </c>
      <c r="C36" s="118" t="n"/>
      <c r="D36" s="120">
        <f>D26*D35</f>
        <v/>
      </c>
      <c r="E36" s="120">
        <f>E26*E35</f>
        <v/>
      </c>
      <c r="F36" s="120">
        <f>F26*F35</f>
        <v/>
      </c>
      <c r="G36" s="120">
        <f>G26*G35</f>
        <v/>
      </c>
      <c r="H36" s="120">
        <f>H26*H35</f>
        <v/>
      </c>
      <c r="I36" s="120">
        <f>I26*I35</f>
        <v/>
      </c>
      <c r="J36" s="120">
        <f>J26*J35</f>
        <v/>
      </c>
      <c r="K36" s="120">
        <f>K26*K35</f>
        <v/>
      </c>
      <c r="L36" s="120">
        <f>L26*L35</f>
        <v/>
      </c>
      <c r="M36" s="120">
        <f>M26*M35</f>
        <v/>
      </c>
      <c r="N36" s="120">
        <f>N28*N35</f>
        <v/>
      </c>
      <c r="O36" s="118" t="n"/>
      <c r="P36" s="118" t="n"/>
      <c r="Q36" s="118" t="n"/>
    </row>
    <row r="37" ht="15" customHeight="1">
      <c r="B37" s="118" t="n"/>
      <c r="C37" s="118" t="n"/>
      <c r="D37" s="142" t="inlineStr">
        <is>
          <t>Loar's Adjusted EBITDA excludes stock-based compensation (~2.6% of sales), which is a real cost; Adjusted EBIT here deducts all D&amp;A incl. ~$65m p.a. of acquired-intangible amortization (non-cash, added back in row 23). The 1H/26 Harper Engineering consideration ($249.8m) is excluded from 2026E UFCF and added to opening invested capital.</t>
        </is>
      </c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</row>
    <row r="38"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</row>
    <row r="39" ht="15.75" customHeight="1">
      <c r="B39" s="118" t="inlineStr">
        <is>
          <t>Implied ROIC &amp; incremental ROIC (USDm)</t>
        </is>
      </c>
      <c r="C39" s="118" t="n"/>
      <c r="D39" s="153">
        <f>D17</f>
        <v/>
      </c>
      <c r="E39" s="153">
        <f>E17</f>
        <v/>
      </c>
      <c r="F39" s="153">
        <f>F17</f>
        <v/>
      </c>
      <c r="G39" s="153">
        <f>G17</f>
        <v/>
      </c>
      <c r="H39" s="153">
        <f>H17</f>
        <v/>
      </c>
      <c r="I39" s="153">
        <f>I17</f>
        <v/>
      </c>
      <c r="J39" s="153">
        <f>J17</f>
        <v/>
      </c>
      <c r="K39" s="153">
        <f>K17</f>
        <v/>
      </c>
      <c r="L39" s="153">
        <f>L17</f>
        <v/>
      </c>
      <c r="M39" s="153">
        <f>M17</f>
        <v/>
      </c>
      <c r="N39" s="153" t="inlineStr">
        <is>
          <t>Terminal</t>
        </is>
      </c>
      <c r="O39" s="118" t="n"/>
      <c r="P39" s="118" t="n"/>
      <c r="Q39" s="118" t="n"/>
    </row>
    <row r="40" ht="15.75" customHeight="1">
      <c r="B40" s="118" t="inlineStr">
        <is>
          <t>NOPAT (row 22)</t>
        </is>
      </c>
      <c r="C40" s="118" t="n"/>
      <c r="D40" s="127">
        <f>D22</f>
        <v/>
      </c>
      <c r="E40" s="127">
        <f>E22</f>
        <v/>
      </c>
      <c r="F40" s="127">
        <f>F22</f>
        <v/>
      </c>
      <c r="G40" s="127">
        <f>G22</f>
        <v/>
      </c>
      <c r="H40" s="127">
        <f>H22</f>
        <v/>
      </c>
      <c r="I40" s="127">
        <f>I22</f>
        <v/>
      </c>
      <c r="J40" s="127">
        <f>J22</f>
        <v/>
      </c>
      <c r="K40" s="127">
        <f>K22</f>
        <v/>
      </c>
      <c r="L40" s="127">
        <f>L22</f>
        <v/>
      </c>
      <c r="M40" s="127">
        <f>M22</f>
        <v/>
      </c>
      <c r="N40" s="127">
        <f>M40*(1+$C$32)</f>
        <v/>
      </c>
      <c r="O40" s="118" t="n"/>
      <c r="P40" s="118" t="n"/>
      <c r="Q40" s="118" t="n"/>
    </row>
    <row r="41" ht="15.75" customHeight="1">
      <c r="B41" s="118" t="inlineStr">
        <is>
          <t>Net investment  =  NOPAT − UFCF</t>
        </is>
      </c>
      <c r="C41" s="118" t="n"/>
      <c r="D41" s="127">
        <f>D40-D26</f>
        <v/>
      </c>
      <c r="E41" s="127">
        <f>E40-E26</f>
        <v/>
      </c>
      <c r="F41" s="127">
        <f>F40-F26</f>
        <v/>
      </c>
      <c r="G41" s="127">
        <f>G40-G26</f>
        <v/>
      </c>
      <c r="H41" s="127">
        <f>H40-H26</f>
        <v/>
      </c>
      <c r="I41" s="127">
        <f>I40-I26</f>
        <v/>
      </c>
      <c r="J41" s="127">
        <f>J40-J26</f>
        <v/>
      </c>
      <c r="K41" s="127">
        <f>K40-K26</f>
        <v/>
      </c>
      <c r="L41" s="127">
        <f>L40-L26</f>
        <v/>
      </c>
      <c r="M41" s="127">
        <f>M40-M26</f>
        <v/>
      </c>
      <c r="N41" s="127">
        <f>N40-N26</f>
        <v/>
      </c>
      <c r="O41" s="118" t="n"/>
      <c r="P41" s="118" t="n"/>
      <c r="Q41" s="118" t="n"/>
    </row>
    <row r="42" ht="15.75" customHeight="1">
      <c r="B42" s="118" t="inlineStr">
        <is>
          <t>Opening invested capital</t>
        </is>
      </c>
      <c r="C42" s="118" t="n"/>
      <c r="D42" s="147">
        <f>Model!AF368-Model!AK245</f>
        <v/>
      </c>
      <c r="E42" s="127">
        <f>D43</f>
        <v/>
      </c>
      <c r="F42" s="127">
        <f>E43</f>
        <v/>
      </c>
      <c r="G42" s="127">
        <f>F43</f>
        <v/>
      </c>
      <c r="H42" s="127">
        <f>G43</f>
        <v/>
      </c>
      <c r="I42" s="127">
        <f>H43</f>
        <v/>
      </c>
      <c r="J42" s="127">
        <f>I43</f>
        <v/>
      </c>
      <c r="K42" s="127">
        <f>J43</f>
        <v/>
      </c>
      <c r="L42" s="127">
        <f>K43</f>
        <v/>
      </c>
      <c r="M42" s="127">
        <f>L43</f>
        <v/>
      </c>
      <c r="N42" s="127">
        <f>M43</f>
        <v/>
      </c>
      <c r="O42" s="118" t="n"/>
      <c r="P42" s="118" t="n"/>
      <c r="Q42" s="118" t="n"/>
    </row>
    <row r="43" ht="15.75" customHeight="1">
      <c r="B43" s="118" t="inlineStr">
        <is>
          <t>Closing invested capital</t>
        </is>
      </c>
      <c r="C43" s="118" t="n"/>
      <c r="D43" s="127">
        <f>D42+D41</f>
        <v/>
      </c>
      <c r="E43" s="127">
        <f>E42+E41</f>
        <v/>
      </c>
      <c r="F43" s="127">
        <f>F42+F41</f>
        <v/>
      </c>
      <c r="G43" s="127">
        <f>G42+G41</f>
        <v/>
      </c>
      <c r="H43" s="127">
        <f>H42+H41</f>
        <v/>
      </c>
      <c r="I43" s="127">
        <f>I42+I41</f>
        <v/>
      </c>
      <c r="J43" s="127">
        <f>J42+J41</f>
        <v/>
      </c>
      <c r="K43" s="127">
        <f>K42+K41</f>
        <v/>
      </c>
      <c r="L43" s="127">
        <f>L42+L41</f>
        <v/>
      </c>
      <c r="M43" s="127">
        <f>M42+M41</f>
        <v/>
      </c>
      <c r="N43" s="127" t="n"/>
      <c r="O43" s="118" t="n"/>
      <c r="P43" s="118" t="n"/>
      <c r="Q43" s="118" t="n"/>
    </row>
    <row r="44" ht="15.75" customHeight="1">
      <c r="B44" s="128" t="inlineStr">
        <is>
          <t>Implied ROIC  =  NOPAT / opening IC</t>
        </is>
      </c>
      <c r="C44" s="129" t="n"/>
      <c r="D44" s="130">
        <f>IFERROR(D40/D42,"")</f>
        <v/>
      </c>
      <c r="E44" s="130">
        <f>IFERROR(E40/E42,"")</f>
        <v/>
      </c>
      <c r="F44" s="130">
        <f>IFERROR(F40/F42,"")</f>
        <v/>
      </c>
      <c r="G44" s="130">
        <f>IFERROR(G40/G42,"")</f>
        <v/>
      </c>
      <c r="H44" s="130">
        <f>IFERROR(H40/H42,"")</f>
        <v/>
      </c>
      <c r="I44" s="130">
        <f>IFERROR(I40/I42,"")</f>
        <v/>
      </c>
      <c r="J44" s="130">
        <f>IFERROR(J40/J42,"")</f>
        <v/>
      </c>
      <c r="K44" s="130">
        <f>IFERROR(K40/K42,"")</f>
        <v/>
      </c>
      <c r="L44" s="130">
        <f>IFERROR(L40/L42,"")</f>
        <v/>
      </c>
      <c r="M44" s="130">
        <f>IFERROR(M40/M42,"")</f>
        <v/>
      </c>
      <c r="N44" s="130">
        <f>IFERROR(N40/N42,"")</f>
        <v/>
      </c>
      <c r="O44" s="118" t="n"/>
      <c r="P44" s="118" t="n"/>
      <c r="Q44" s="118" t="n"/>
    </row>
    <row r="45" ht="15.75" customHeight="1">
      <c r="B45" s="118" t="inlineStr">
        <is>
          <t>Reinvestment rate  =  net inv. / NOPAT</t>
        </is>
      </c>
      <c r="C45" s="131" t="n"/>
      <c r="D45" s="121">
        <f>IFERROR(D41/D40,"")</f>
        <v/>
      </c>
      <c r="E45" s="121">
        <f>IFERROR(E41/E40,"")</f>
        <v/>
      </c>
      <c r="F45" s="121">
        <f>IFERROR(F41/F40,"")</f>
        <v/>
      </c>
      <c r="G45" s="121">
        <f>IFERROR(G41/G40,"")</f>
        <v/>
      </c>
      <c r="H45" s="121">
        <f>IFERROR(H41/H40,"")</f>
        <v/>
      </c>
      <c r="I45" s="121">
        <f>IFERROR(I41/I40,"")</f>
        <v/>
      </c>
      <c r="J45" s="121">
        <f>IFERROR(J41/J40,"")</f>
        <v/>
      </c>
      <c r="K45" s="121">
        <f>IFERROR(K41/K40,"")</f>
        <v/>
      </c>
      <c r="L45" s="121">
        <f>IFERROR(L41/L40,"")</f>
        <v/>
      </c>
      <c r="M45" s="121">
        <f>IFERROR(M41/M40,"")</f>
        <v/>
      </c>
      <c r="N45" s="121">
        <f>IFERROR(N41/N40,"")</f>
        <v/>
      </c>
      <c r="O45" s="118" t="n"/>
      <c r="P45" s="118" t="n"/>
      <c r="Q45" s="118" t="n"/>
    </row>
    <row r="46" ht="15.75" customHeight="1">
      <c r="B46" s="128" t="inlineStr">
        <is>
          <t>Incremental ROIC  =  Δ NOPAT / prior-yr net inv.</t>
        </is>
      </c>
      <c r="C46" s="129" t="n"/>
      <c r="D46" s="130" t="n"/>
      <c r="E46" s="130">
        <f>IFERROR((E40-D40)/D41,"")</f>
        <v/>
      </c>
      <c r="F46" s="130">
        <f>IFERROR((F40-E40)/E41,"")</f>
        <v/>
      </c>
      <c r="G46" s="130">
        <f>IFERROR((G40-F40)/F41,"")</f>
        <v/>
      </c>
      <c r="H46" s="130">
        <f>IFERROR((H40-G40)/G41,"")</f>
        <v/>
      </c>
      <c r="I46" s="130">
        <f>IFERROR((I40-H40)/H41,"")</f>
        <v/>
      </c>
      <c r="J46" s="130">
        <f>IFERROR((J40-I40)/I41,"")</f>
        <v/>
      </c>
      <c r="K46" s="130">
        <f>IFERROR((K40-J40)/J41,"")</f>
        <v/>
      </c>
      <c r="L46" s="130">
        <f>IFERROR((L40-K40)/K41,"")</f>
        <v/>
      </c>
      <c r="M46" s="130">
        <f>IFERROR((M40-L40)/L41,"")</f>
        <v/>
      </c>
      <c r="N46" s="130">
        <f>IFERROR($C$32/N45,"")</f>
        <v/>
      </c>
      <c r="O46" s="118" t="n"/>
      <c r="P46" s="118" t="n"/>
      <c r="Q46" s="118" t="n"/>
    </row>
    <row r="47" ht="15.75" customHeight="1">
      <c r="B47" s="118" t="inlineStr">
        <is>
          <t>Cumulative incremental ROIC 2026E–35E</t>
        </is>
      </c>
      <c r="C47" s="121">
        <f>IFERROR((M40-D40)/SUM(D41:L41),"")</f>
        <v/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18" t="n"/>
      <c r="P47" s="118" t="n"/>
      <c r="Q47" s="118" t="n"/>
    </row>
    <row r="48">
      <c r="B48" s="118" t="n"/>
      <c r="C48" s="118" t="n"/>
      <c r="D48" s="142" t="inlineStr">
        <is>
          <t>Opening IC = Model 2025A book IC (equity + net debt) + 2026 acquisitions (Harper Engineering, $249.8m cash), rolled forward with DCF net investment (capex + M&amp;A − D&amp;A + ΔWC). Terminal incremental ROIC = g / reinvestment rate.</t>
        </is>
      </c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</row>
    <row r="49" ht="15" customHeight="1">
      <c r="B49" s="139" t="inlineStr">
        <is>
          <t>3. VALUATION SUMMARY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</row>
    <row r="50" ht="15" customHeight="1">
      <c r="B50" s="140" t="inlineStr">
        <is>
          <t>Sum of PV (explicit + fade)</t>
        </is>
      </c>
      <c r="C50" s="120">
        <f>SUM(D36:M36)</f>
        <v/>
      </c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</row>
    <row r="51" ht="15" customHeight="1">
      <c r="B51" s="140" t="inlineStr">
        <is>
          <t>PV of Terminal Value</t>
        </is>
      </c>
      <c r="C51" s="120">
        <f>N36</f>
        <v/>
      </c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</row>
    <row r="52" ht="15" customHeight="1">
      <c r="B52" s="145" t="inlineStr">
        <is>
          <t>Enterprise Value</t>
        </is>
      </c>
      <c r="C52" s="149">
        <f>C50+C51</f>
        <v/>
      </c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</row>
    <row r="53" ht="15" customHeight="1">
      <c r="B53" s="140" t="inlineStr">
        <is>
          <t>Less: net debt incl. finance leases (Model 2026E YE)</t>
        </is>
      </c>
      <c r="C53" s="120">
        <f>Model!AK388</f>
        <v/>
      </c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</row>
    <row r="54" ht="15" customHeight="1">
      <c r="B54" s="140" t="inlineStr">
        <is>
          <t>Less: non-controlling interests (none)</t>
        </is>
      </c>
      <c r="C54" s="120">
        <f>Model!AK397</f>
        <v/>
      </c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</row>
    <row r="55" ht="15" customHeight="1">
      <c r="B55" s="145" t="inlineStr">
        <is>
          <t>Equity Value</t>
        </is>
      </c>
      <c r="C55" s="149">
        <f>C52-C53-C54</f>
        <v/>
      </c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</row>
    <row r="56" ht="15" customHeight="1">
      <c r="B56" s="140" t="inlineStr">
        <is>
          <t>Diluted shares (m, Model 2026E period end)</t>
        </is>
      </c>
      <c r="C56" s="132">
        <f>Model!AK394</f>
        <v/>
      </c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</row>
    <row r="57" ht="15" customHeight="1">
      <c r="B57" s="145" t="inlineStr">
        <is>
          <t>Implied share price ($)</t>
        </is>
      </c>
      <c r="C57" s="154">
        <f>C55/C56</f>
        <v/>
      </c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</row>
    <row r="58" ht="15" customHeight="1">
      <c r="B58" s="140" t="inlineStr">
        <is>
          <t>Current share price ($)</t>
        </is>
      </c>
      <c r="C58" s="133">
        <f>Model!AK393</f>
        <v/>
      </c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</row>
    <row r="59" ht="15" customHeight="1">
      <c r="B59" s="140" t="inlineStr">
        <is>
          <t>Implied upside / (downside)</t>
        </is>
      </c>
      <c r="C59" s="131">
        <f>C57/C58-1</f>
        <v/>
      </c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</row>
    <row r="60" ht="15" customHeight="1">
      <c r="B60" s="118" t="inlineStr">
        <is>
          <t>Required discount to DCF value for target IRR (discount closes over horizon; value compounds at WACC)</t>
        </is>
      </c>
      <c r="C60" s="121">
        <f>1-((1+C13)/(1+F60))^F61</f>
        <v/>
      </c>
      <c r="D60" s="118" t="n"/>
      <c r="E60" s="159" t="inlineStr">
        <is>
          <t>Target IRR</t>
        </is>
      </c>
      <c r="F60" s="160" t="n">
        <v>0.15</v>
      </c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</row>
    <row r="61" ht="15" customHeight="1">
      <c r="B61" s="118" t="inlineStr">
        <is>
          <t>Max entry price for target IRR ($) — % vs. current share price shown right</t>
        </is>
      </c>
      <c r="C61" s="161">
        <f>C57*(1-C60)</f>
        <v/>
      </c>
      <c r="D61" s="170">
        <f>C61/C58-1</f>
        <v/>
      </c>
      <c r="E61" s="159" t="inlineStr">
        <is>
          <t>Years for discount to close</t>
        </is>
      </c>
      <c r="F61" s="162" t="n">
        <v>3</v>
      </c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</row>
    <row r="62"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</row>
    <row r="63"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</row>
    <row r="64" ht="15" customHeight="1">
      <c r="B64" s="139" t="inlineStr">
        <is>
          <t>4. SENSITIVITY: IMPLIED PRICE ($) — WACC × Terminal Growth</t>
        </is>
      </c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</row>
    <row r="65">
      <c r="B65" s="118" t="inlineStr">
        <is>
          <t>WACC step (across)</t>
        </is>
      </c>
      <c r="C65" s="134" t="n">
        <v>0.005</v>
      </c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</row>
    <row r="66" ht="15" customHeight="1">
      <c r="B66" s="118" t="inlineStr">
        <is>
          <t>Terminal growth step (down)</t>
        </is>
      </c>
      <c r="C66" s="134" t="n">
        <v>0.005</v>
      </c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</row>
    <row r="67" ht="15" customHeight="1">
      <c r="B67" s="118" t="inlineStr">
        <is>
          <t>g (down) / WACC</t>
        </is>
      </c>
      <c r="C67" s="118" t="n"/>
      <c r="D67" s="155">
        <f>E67-$C$65</f>
        <v/>
      </c>
      <c r="E67" s="155">
        <f>F67-$C$65</f>
        <v/>
      </c>
      <c r="F67" s="155">
        <f>$C$13</f>
        <v/>
      </c>
      <c r="G67" s="155">
        <f>F67+$C$65</f>
        <v/>
      </c>
      <c r="H67" s="155">
        <f>G67+$C$65</f>
        <v/>
      </c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</row>
    <row r="68" ht="15" customHeight="1">
      <c r="B68" s="155">
        <f>B69-$C$66</f>
        <v/>
      </c>
      <c r="C68" s="118" t="n"/>
      <c r="D68" s="135">
        <f>IFERROR((SUMPRODUCT($D$26:$M$26/(1+D$67)^$D$34:$M$34)+($M$26*(1+$B68)/(D$67-$B68))/(1+D$67)^$M$34-$C$53-$C$54)/$C$56,"")</f>
        <v/>
      </c>
      <c r="E68" s="135">
        <f>IFERROR((SUMPRODUCT($D$26:$M$26/(1+E$67)^$D$34:$M$34)+($M$26*(1+$B68)/(E$67-$B68))/(1+E$67)^$M$34-$C$53-$C$54)/$C$56,"")</f>
        <v/>
      </c>
      <c r="F68" s="135">
        <f>IFERROR((SUMPRODUCT($D$26:$M$26/(1+F$67)^$D$34:$M$34)+($M$26*(1+$B68)/(F$67-$B68))/(1+F$67)^$M$34-$C$53-$C$54)/$C$56,"")</f>
        <v/>
      </c>
      <c r="G68" s="135">
        <f>IFERROR((SUMPRODUCT($D$26:$M$26/(1+G$67)^$D$34:$M$34)+($M$26*(1+$B68)/(G$67-$B68))/(1+G$67)^$M$34-$C$53-$C$54)/$C$56,"")</f>
        <v/>
      </c>
      <c r="H68" s="135">
        <f>IFERROR((SUMPRODUCT($D$26:$M$26/(1+H$67)^$D$34:$M$34)+($M$26*(1+$B68)/(H$67-$B68))/(1+H$67)^$M$34-$C$53-$C$54)/$C$56,"")</f>
        <v/>
      </c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</row>
    <row r="69" ht="15" customHeight="1">
      <c r="B69" s="155">
        <f>B70-$C$66</f>
        <v/>
      </c>
      <c r="C69" s="118" t="n"/>
      <c r="D69" s="135">
        <f>IFERROR((SUMPRODUCT($D$26:$M$26/(1+D$67)^$D$34:$M$34)+($M$26*(1+$B69)/(D$67-$B69))/(1+D$67)^$M$34-$C$53-$C$54)/$C$56,"")</f>
        <v/>
      </c>
      <c r="E69" s="135">
        <f>IFERROR((SUMPRODUCT($D$26:$M$26/(1+E$67)^$D$34:$M$34)+($M$26*(1+$B69)/(E$67-$B69))/(1+E$67)^$M$34-$C$53-$C$54)/$C$56,"")</f>
        <v/>
      </c>
      <c r="F69" s="135">
        <f>IFERROR((SUMPRODUCT($D$26:$M$26/(1+F$67)^$D$34:$M$34)+($M$26*(1+$B69)/(F$67-$B69))/(1+F$67)^$M$34-$C$53-$C$54)/$C$56,"")</f>
        <v/>
      </c>
      <c r="G69" s="135">
        <f>IFERROR((SUMPRODUCT($D$26:$M$26/(1+G$67)^$D$34:$M$34)+($M$26*(1+$B69)/(G$67-$B69))/(1+G$67)^$M$34-$C$53-$C$54)/$C$56,"")</f>
        <v/>
      </c>
      <c r="H69" s="135">
        <f>IFERROR((SUMPRODUCT($D$26:$M$26/(1+H$67)^$D$34:$M$34)+($M$26*(1+$B69)/(H$67-$B69))/(1+H$67)^$M$34-$C$53-$C$54)/$C$56,"")</f>
        <v/>
      </c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</row>
    <row r="70" ht="15" customHeight="1">
      <c r="B70" s="155">
        <f>$C$32</f>
        <v/>
      </c>
      <c r="C70" s="118" t="n"/>
      <c r="D70" s="135">
        <f>IFERROR((SUMPRODUCT($D$26:$M$26/(1+D$67)^$D$34:$M$34)+($M$26*(1+$B70)/(D$67-$B70))/(1+D$67)^$M$34-$C$53-$C$54)/$C$56,"")</f>
        <v/>
      </c>
      <c r="E70" s="135">
        <f>IFERROR((SUMPRODUCT($D$26:$M$26/(1+E$67)^$D$34:$M$34)+($M$26*(1+$B70)/(E$67-$B70))/(1+E$67)^$M$34-$C$53-$C$54)/$C$56,"")</f>
        <v/>
      </c>
      <c r="F70" s="136">
        <f>IFERROR((SUMPRODUCT($D$26:$M$26/(1+F$67)^$D$34:$M$34)+($M$26*(1+$B70)/(F$67-$B70))/(1+F$67)^$M$34-$C$53-$C$54)/$C$56,"")</f>
        <v/>
      </c>
      <c r="G70" s="135">
        <f>IFERROR((SUMPRODUCT($D$26:$M$26/(1+G$67)^$D$34:$M$34)+($M$26*(1+$B70)/(G$67-$B70))/(1+G$67)^$M$34-$C$53-$C$54)/$C$56,"")</f>
        <v/>
      </c>
      <c r="H70" s="135">
        <f>IFERROR((SUMPRODUCT($D$26:$M$26/(1+H$67)^$D$34:$M$34)+($M$26*(1+$B70)/(H$67-$B70))/(1+H$67)^$M$34-$C$53-$C$54)/$C$56,"")</f>
        <v/>
      </c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</row>
    <row r="71" ht="15" customHeight="1">
      <c r="B71" s="155">
        <f>B70+$C$66</f>
        <v/>
      </c>
      <c r="C71" s="118" t="n"/>
      <c r="D71" s="135">
        <f>IFERROR((SUMPRODUCT($D$26:$M$26/(1+D$67)^$D$34:$M$34)+($M$26*(1+$B71)/(D$67-$B71))/(1+D$67)^$M$34-$C$53-$C$54)/$C$56,"")</f>
        <v/>
      </c>
      <c r="E71" s="135">
        <f>IFERROR((SUMPRODUCT($D$26:$M$26/(1+E$67)^$D$34:$M$34)+($M$26*(1+$B71)/(E$67-$B71))/(1+E$67)^$M$34-$C$53-$C$54)/$C$56,"")</f>
        <v/>
      </c>
      <c r="F71" s="135">
        <f>IFERROR((SUMPRODUCT($D$26:$M$26/(1+F$67)^$D$34:$M$34)+($M$26*(1+$B71)/(F$67-$B71))/(1+F$67)^$M$34-$C$53-$C$54)/$C$56,"")</f>
        <v/>
      </c>
      <c r="G71" s="135">
        <f>IFERROR((SUMPRODUCT($D$26:$M$26/(1+G$67)^$D$34:$M$34)+($M$26*(1+$B71)/(G$67-$B71))/(1+G$67)^$M$34-$C$53-$C$54)/$C$56,"")</f>
        <v/>
      </c>
      <c r="H71" s="135">
        <f>IFERROR((SUMPRODUCT($D$26:$M$26/(1+H$67)^$D$34:$M$34)+($M$26*(1+$B71)/(H$67-$B71))/(1+H$67)^$M$34-$C$53-$C$54)/$C$56,"")</f>
        <v/>
      </c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</row>
    <row r="72" ht="15" customHeight="1">
      <c r="B72" s="155">
        <f>B71+$C$66</f>
        <v/>
      </c>
      <c r="C72" s="118" t="n"/>
      <c r="D72" s="135">
        <f>IFERROR((SUMPRODUCT($D$26:$M$26/(1+D$67)^$D$34:$M$34)+($M$26*(1+$B72)/(D$67-$B72))/(1+D$67)^$M$34-$C$53-$C$54)/$C$56,"")</f>
        <v/>
      </c>
      <c r="E72" s="135">
        <f>IFERROR((SUMPRODUCT($D$26:$M$26/(1+E$67)^$D$34:$M$34)+($M$26*(1+$B72)/(E$67-$B72))/(1+E$67)^$M$34-$C$53-$C$54)/$C$56,"")</f>
        <v/>
      </c>
      <c r="F72" s="135">
        <f>IFERROR((SUMPRODUCT($D$26:$M$26/(1+F$67)^$D$34:$M$34)+($M$26*(1+$B72)/(F$67-$B72))/(1+F$67)^$M$34-$C$53-$C$54)/$C$56,"")</f>
        <v/>
      </c>
      <c r="G72" s="135">
        <f>IFERROR((SUMPRODUCT($D$26:$M$26/(1+G$67)^$D$34:$M$34)+($M$26*(1+$B72)/(G$67-$B72))/(1+G$67)^$M$34-$C$53-$C$54)/$C$56,"")</f>
        <v/>
      </c>
      <c r="H72" s="135">
        <f>IFERROR((SUMPRODUCT($D$26:$M$26/(1+H$67)^$D$34:$M$34)+($M$26*(1+$B72)/(H$67-$B72))/(1+H$67)^$M$34-$C$53-$C$54)/$C$56,"")</f>
        <v/>
      </c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</row>
    <row r="73"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</row>
    <row r="74"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</row>
    <row r="75" ht="15" customHeight="1">
      <c r="B75" s="139" t="inlineStr">
        <is>
          <t>5. REVERSE DCF</t>
        </is>
      </c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</row>
    <row r="76" ht="15" customHeight="1">
      <c r="B76" s="142" t="inlineStr">
        <is>
          <t>To solve for the market-implied path: Data ▸ What-If Analysis ▸ Goal Seek — set C57 (implied price) to the current price (C58) by changing C32 (terminal growth) or the Model scenario levers (end-market growth, Adjusted EBITDA margin, M&amp;A spend).</t>
        </is>
      </c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</row>
    <row r="77"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</row>
    <row r="78" ht="15" customHeight="1">
      <c r="B78" s="139" t="inlineStr">
        <is>
          <t>6. MAUBOUSSIN EV / NOPAT — TWO-STAGE FRAMEWORK</t>
        </is>
      </c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</row>
    <row r="79" ht="15" customHeight="1">
      <c r="B79" s="142" t="inlineStr">
        <is>
          <t>EV/NOPAT  =  1/r  +  [g × (1 − r/ROIIC) / (r × (r − g))] × [1 − ((1+g)/(1+r))^N]</t>
        </is>
      </c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</row>
    <row r="80" ht="15" customHeight="1">
      <c r="B80" s="142" t="inlineStr">
        <is>
          <t>Formula source: Mauboussin &amp; Rappaport, "Expectations Investing" (2021); Counterpoint Global, "What Does a Price-Earnings Multiple Mean?" (2020).</t>
        </is>
      </c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</row>
    <row r="81"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</row>
    <row r="82" ht="15" customHeight="1">
      <c r="B82" s="139" t="inlineStr">
        <is>
          <t>Input</t>
        </is>
      </c>
      <c r="C82" s="139" t="inlineStr">
        <is>
          <t>Value</t>
        </is>
      </c>
      <c r="D82" s="139" t="inlineStr">
        <is>
          <t>Rationale (Loar characteristics)</t>
        </is>
      </c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</row>
    <row r="83" ht="15" customHeight="1">
      <c r="B83" s="118" t="inlineStr">
        <is>
          <t>r  (Cost of capital / WACC)</t>
        </is>
      </c>
      <c r="C83" s="156">
        <f>$C$13</f>
        <v/>
      </c>
      <c r="D83" s="142" t="inlineStr">
        <is>
          <t>Linked from Section 1 WACC build</t>
        </is>
      </c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</row>
    <row r="84" ht="15" customHeight="1">
      <c r="B84" s="118" t="inlineStr">
        <is>
          <t>g  (NOPAT growth, Stage 1)</t>
        </is>
      </c>
      <c r="C84" s="141" t="n">
        <v>0.15</v>
      </c>
      <c r="D84" s="142" t="inlineStr">
        <is>
          <t>Model Adjusted EBIT CAGR 2026–30E: high-single-digit organic growth, ~50 bps p.a. margin expansion, ~$300m p.a. of bolt-on M&amp;A and deleveraging → ~15% NOPAT growth</t>
        </is>
      </c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</row>
    <row r="85" ht="15" customHeight="1">
      <c r="B85" s="118" t="inlineStr">
        <is>
          <t>ROIIC  (Return on incremental invested capital)</t>
        </is>
      </c>
      <c r="C85" s="141" t="n">
        <v>0.2</v>
      </c>
      <c r="D85" s="142" t="inlineStr">
        <is>
          <t>Proprietary, mostly sole-source components (~50% aftermarket) earn very high returns on organic capital (capex ~2.5% of sales); acquisitions at 6–8x sales earn ~8–10% after tax, rising with value drivers</t>
        </is>
      </c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</row>
    <row r="86" ht="15" customHeight="1">
      <c r="B86" s="118" t="inlineStr">
        <is>
          <t>N  (Years of value creation / CAP)</t>
        </is>
      </c>
      <c r="C86" s="157" t="n">
        <v>12</v>
      </c>
      <c r="D86" s="142" t="inlineStr">
        <is>
          <t>Niche positions on long-lived platforms (20–30-year aircraft lives), FAA / OEM qualification barriers and a TransDigm-style value-driver model; growth reliant on continued M&amp;A</t>
        </is>
      </c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</row>
    <row r="87"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</row>
    <row r="88" ht="15" customHeight="1">
      <c r="B88" s="139" t="inlineStr">
        <is>
          <t>Calculation</t>
        </is>
      </c>
      <c r="C88" s="139" t="inlineStr">
        <is>
          <t>Value</t>
        </is>
      </c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</row>
    <row r="89" ht="15" customHeight="1">
      <c r="B89" s="118" t="inlineStr">
        <is>
          <t>Steady-state component:  1 / r</t>
        </is>
      </c>
      <c r="C89" s="125">
        <f>1/C83</f>
        <v/>
      </c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</row>
    <row r="90" ht="15" customHeight="1">
      <c r="B90" s="118" t="inlineStr">
        <is>
          <t>Value-creation factor: 1 − r / ROIIC</t>
        </is>
      </c>
      <c r="C90" s="125">
        <f>1-C83/C85</f>
        <v/>
      </c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</row>
    <row r="91" ht="15" customHeight="1">
      <c r="B91" s="118" t="inlineStr">
        <is>
          <t>Growth multiplier: g × (1 − r/ROIIC) / (r × (r − g))</t>
        </is>
      </c>
      <c r="C91" s="125">
        <f>C84*C90/(C83*(C83-C84))</f>
        <v/>
      </c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</row>
    <row r="92" ht="15" customHeight="1">
      <c r="B92" s="118" t="inlineStr">
        <is>
          <t>Time decay: 1 − ((1+g)/(1+r))^N</t>
        </is>
      </c>
      <c r="C92" s="125">
        <f>1-((1+C84)/(1+C83))^C86</f>
        <v/>
      </c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</row>
    <row r="93" ht="15" customHeight="1">
      <c r="B93" s="118" t="inlineStr">
        <is>
          <t>PVGO component (growth value)</t>
        </is>
      </c>
      <c r="C93" s="125">
        <f>C91*C92</f>
        <v/>
      </c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</row>
    <row r="94" ht="15" customHeight="1">
      <c r="B94" s="138" t="inlineStr">
        <is>
          <t>Mauboussin EV / NOPAT (steady-state + PVGO)</t>
        </is>
      </c>
      <c r="C94" s="158">
        <f>C89+C93</f>
        <v/>
      </c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</row>
    <row r="95"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</row>
    <row r="96" ht="15" customHeight="1">
      <c r="B96" s="139" t="inlineStr">
        <is>
          <t>VALUATION  —  Applied to 2028E NOPAT</t>
        </is>
      </c>
      <c r="C96" s="139" t="inlineStr">
        <is>
          <t>USDm</t>
        </is>
      </c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</row>
    <row r="97" ht="15" customHeight="1">
      <c r="B97" s="118" t="inlineStr">
        <is>
          <t>2028E Adjusted EBIT (Model)</t>
        </is>
      </c>
      <c r="C97" s="120">
        <f>Model!AM183</f>
        <v/>
      </c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</row>
    <row r="98" ht="15" customHeight="1">
      <c r="B98" s="118" t="inlineStr">
        <is>
          <t>(−) 2028E transaction &amp; integration costs</t>
        </is>
      </c>
      <c r="C98" s="120">
        <f>-(Model!AM120+Model!AM122)</f>
        <v/>
      </c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</row>
    <row r="99" ht="15" customHeight="1">
      <c r="B99" s="118" t="inlineStr">
        <is>
          <t>Tax rate (from WACC build)</t>
        </is>
      </c>
      <c r="C99" s="131">
        <f>$C$10</f>
        <v/>
      </c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</row>
    <row r="100" ht="15" customHeight="1">
      <c r="B100" s="118" t="inlineStr">
        <is>
          <t>2028E NOPAT  =  (Adj. EBIT − transaction &amp; integration costs) × (1 − t)</t>
        </is>
      </c>
      <c r="C100" s="120">
        <f>(C97+C98)*(1-C99)</f>
        <v/>
      </c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</row>
    <row r="101" ht="15" customHeight="1">
      <c r="B101" s="118" t="inlineStr">
        <is>
          <t>× Mauboussin EV/NOPAT multiple</t>
        </is>
      </c>
      <c r="C101" s="137">
        <f>C94</f>
        <v/>
      </c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</row>
    <row r="102" ht="15" customHeight="1">
      <c r="B102" s="118" t="inlineStr">
        <is>
          <t>Implied Enterprise Value (2028E basis)</t>
        </is>
      </c>
      <c r="C102" s="120">
        <f>C100*C101</f>
        <v/>
      </c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</row>
    <row r="103" ht="15" customHeight="1">
      <c r="B103" s="118" t="inlineStr">
        <is>
          <t>Less: YE2027 net debt (Model)</t>
        </is>
      </c>
      <c r="C103" s="120">
        <f>Model!AL388+Model!AL397</f>
        <v/>
      </c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</row>
    <row r="104" ht="15" customHeight="1">
      <c r="B104" s="118" t="inlineStr">
        <is>
          <t>Implied Equity Value</t>
        </is>
      </c>
      <c r="C104" s="120">
        <f>C102-C103</f>
        <v/>
      </c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</row>
    <row r="105" ht="15" customHeight="1">
      <c r="B105" s="118" t="inlineStr">
        <is>
          <t>Diluted shares 2028E (m, Model)</t>
        </is>
      </c>
      <c r="C105" s="120">
        <f>Model!AM394</f>
        <v/>
      </c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</row>
    <row r="106" ht="15" customHeight="1">
      <c r="B106" s="118" t="inlineStr">
        <is>
          <t>Implied share price 2028 ($)</t>
        </is>
      </c>
      <c r="C106" s="133">
        <f>C104/C105</f>
        <v/>
      </c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</row>
    <row r="107"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</row>
    <row r="108" ht="15" customHeight="1">
      <c r="B108" s="118" t="inlineStr">
        <is>
          <t>Current share price ($)</t>
        </is>
      </c>
      <c r="C108" s="133">
        <f>C58</f>
        <v/>
      </c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</row>
    <row r="109" ht="15" customHeight="1">
      <c r="B109" s="118" t="inlineStr">
        <is>
          <t>Implied upside / (downside)</t>
        </is>
      </c>
      <c r="C109" s="131">
        <f>C106/C108-1</f>
        <v/>
      </c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</row>
    <row r="110"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</row>
    <row r="111" ht="15" customHeight="1">
      <c r="B111" s="139" t="inlineStr">
        <is>
          <t>MARKET-IMPLIED EV/NOPAT TODAY</t>
        </is>
      </c>
      <c r="C111" s="139" t="inlineStr">
        <is>
          <t>USDm</t>
        </is>
      </c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</row>
    <row r="112" ht="15" customHeight="1">
      <c r="B112" s="118" t="inlineStr">
        <is>
          <t>Current market cap (spot × diluted shares)</t>
        </is>
      </c>
      <c r="C112" s="120">
        <f>C58*C56</f>
        <v/>
      </c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</row>
    <row r="113" ht="15" customHeight="1">
      <c r="B113" s="118" t="inlineStr">
        <is>
          <t>Plus: YE2026 net debt &amp; NCI</t>
        </is>
      </c>
      <c r="C113" s="120">
        <f>C53+C54</f>
        <v/>
      </c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</row>
    <row r="114" ht="15" customHeight="1">
      <c r="B114" s="118" t="inlineStr">
        <is>
          <t>Implied Enterprise Value (today)</t>
        </is>
      </c>
      <c r="C114" s="120">
        <f>C112+C113</f>
        <v/>
      </c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</row>
    <row r="115" ht="15" customHeight="1">
      <c r="B115" s="118" t="inlineStr">
        <is>
          <t>LOAR's market-implied EV/NOPAT (on 2028E NOPAT)</t>
        </is>
      </c>
      <c r="C115" s="137">
        <f>C114/C100</f>
        <v/>
      </c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</row>
    <row r="116"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</row>
    <row r="117" ht="15" customHeight="1">
      <c r="B117" s="118" t="inlineStr">
        <is>
          <t>Multiple gap (Mauboussin − Market)</t>
        </is>
      </c>
      <c r="C117" s="137">
        <f>C94-C115</f>
        <v/>
      </c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</row>
    <row r="118" ht="15" customHeight="1">
      <c r="B118" s="118" t="inlineStr">
        <is>
          <t>Implied re-rating headroom</t>
        </is>
      </c>
      <c r="C118" s="131">
        <f>C94/C115-1</f>
        <v/>
      </c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min="2" max="2"/>
  </cols>
  <sheetData>
    <row r="2" ht="17.25" customHeight="1">
      <c r="B2" s="115" t="inlineStr">
        <is>
          <t>Loar Holdings — Operating Performance (2012–2025) and Model Forecast (2026E–2030E)</t>
        </is>
      </c>
    </row>
    <row r="3" ht="15" customHeight="1">
      <c r="B3" s="4" t="inlineStr">
        <is>
          <t>USDm · Linked to Model. Bars = organic growth vs acquisition contribution (as published from 2023; earlier years: total growth shown as organic where no split is available). Adjusted EBITDA as reconciled by Loar in each period (prospectus for FY2012–23). ROIC / RONTA on Adjusted EBIT (balance sheets from FY2022).</t>
        </is>
      </c>
    </row>
    <row r="7" ht="15" customHeight="1">
      <c r="C7" s="11" t="n">
        <v>2012</v>
      </c>
      <c r="D7" s="11" t="n">
        <v>2013</v>
      </c>
      <c r="E7" s="11" t="n">
        <v>2014</v>
      </c>
      <c r="F7" s="11" t="n">
        <v>2015</v>
      </c>
      <c r="G7" s="11" t="n">
        <v>2016</v>
      </c>
      <c r="H7" s="11" t="n">
        <v>2017</v>
      </c>
      <c r="I7" s="11" t="n">
        <v>2018</v>
      </c>
      <c r="J7" s="11" t="n">
        <v>2019</v>
      </c>
      <c r="K7" s="11" t="n">
        <v>2020</v>
      </c>
      <c r="L7" s="11" t="n">
        <v>2021</v>
      </c>
      <c r="M7" s="11" t="n">
        <v>2022</v>
      </c>
      <c r="N7" s="11" t="n">
        <v>2023</v>
      </c>
      <c r="O7" s="11" t="n">
        <v>2024</v>
      </c>
      <c r="P7" s="11" t="n">
        <v>2025</v>
      </c>
      <c r="Q7" s="11" t="inlineStr">
        <is>
          <t>2026E</t>
        </is>
      </c>
      <c r="R7" s="11" t="inlineStr">
        <is>
          <t>2027E</t>
        </is>
      </c>
      <c r="S7" s="11" t="inlineStr">
        <is>
          <t>2028E</t>
        </is>
      </c>
      <c r="T7" s="11" t="inlineStr">
        <is>
          <t>2029E</t>
        </is>
      </c>
      <c r="U7" s="11" t="inlineStr">
        <is>
          <t>2030E</t>
        </is>
      </c>
      <c r="V7" s="11" t="n"/>
    </row>
    <row r="8" ht="15" customHeight="1">
      <c r="B8" t="inlineStr">
        <is>
          <t>Organic growth %</t>
        </is>
      </c>
      <c r="C8" s="116">
        <f>IFERROR(Model!C70+0,IFERROR(Model!C219+0,0))</f>
        <v/>
      </c>
      <c r="D8" s="116">
        <f>IFERROR(Model!D70+0,IFERROR(Model!D219+0,0))</f>
        <v/>
      </c>
      <c r="E8" s="116">
        <f>IFERROR(Model!E70+0,IFERROR(Model!E219+0,0))</f>
        <v/>
      </c>
      <c r="F8" s="116">
        <f>IFERROR(Model!F70+0,IFERROR(Model!F219+0,0))</f>
        <v/>
      </c>
      <c r="G8" s="116">
        <f>IFERROR(Model!G70+0,IFERROR(Model!G219+0,0))</f>
        <v/>
      </c>
      <c r="H8" s="116">
        <f>IFERROR(Model!H70+0,IFERROR(Model!H219+0,0))</f>
        <v/>
      </c>
      <c r="I8" s="116">
        <f>IFERROR(Model!I70+0,IFERROR(Model!I219+0,0))</f>
        <v/>
      </c>
      <c r="J8" s="116">
        <f>IFERROR(Model!J70+0,IFERROR(Model!J219+0,0))</f>
        <v/>
      </c>
      <c r="K8" s="116">
        <f>IFERROR(Model!K70+0,IFERROR(Model!K219+0,0))</f>
        <v/>
      </c>
      <c r="L8" s="116">
        <f>IFERROR(Model!L70+0,IFERROR(Model!L219+0,0))</f>
        <v/>
      </c>
      <c r="M8" s="116">
        <f>IFERROR(Model!Q70+0,IFERROR(Model!Q219+0,0))</f>
        <v/>
      </c>
      <c r="N8" s="116">
        <f>IFERROR(Model!V70+0,IFERROR(Model!V219+0,0))</f>
        <v/>
      </c>
      <c r="O8" s="116">
        <f>IFERROR(Model!AA70+0,IFERROR(Model!AA219+0,0))</f>
        <v/>
      </c>
      <c r="P8" s="116">
        <f>IFERROR(Model!AF70+0,IFERROR(Model!AF219+0,0))</f>
        <v/>
      </c>
      <c r="Q8" s="116">
        <f>IFERROR(Model!AK70+0,IFERROR(Model!AK219+0,0))</f>
        <v/>
      </c>
      <c r="R8" s="116">
        <f>IFERROR(Model!AL70+0,IFERROR(Model!AL219+0,0))</f>
        <v/>
      </c>
      <c r="S8" s="116">
        <f>IFERROR(Model!AM70+0,IFERROR(Model!AM219+0,0))</f>
        <v/>
      </c>
      <c r="T8" s="116">
        <f>IFERROR(Model!AN70+0,IFERROR(Model!AN219+0,0))</f>
        <v/>
      </c>
      <c r="U8" s="116">
        <f>IFERROR(Model!AO70+0,IFERROR(Model!AO219+0,0))</f>
        <v/>
      </c>
      <c r="V8" s="116" t="n"/>
    </row>
    <row r="9" ht="15" customHeight="1">
      <c r="B9" t="inlineStr">
        <is>
          <t>Acquisition contribution %</t>
        </is>
      </c>
      <c r="C9" s="116">
        <f>IFERROR(Model!C71+0,0)</f>
        <v/>
      </c>
      <c r="D9" s="116">
        <f>IFERROR(Model!D71+0,0)</f>
        <v/>
      </c>
      <c r="E9" s="116">
        <f>IFERROR(Model!E71+0,0)</f>
        <v/>
      </c>
      <c r="F9" s="116">
        <f>IFERROR(Model!F71+0,0)</f>
        <v/>
      </c>
      <c r="G9" s="116">
        <f>IFERROR(Model!G71+0,0)</f>
        <v/>
      </c>
      <c r="H9" s="116">
        <f>IFERROR(Model!H71+0,0)</f>
        <v/>
      </c>
      <c r="I9" s="116">
        <f>IFERROR(Model!I71+0,0)</f>
        <v/>
      </c>
      <c r="J9" s="116">
        <f>IFERROR(Model!J71+0,0)</f>
        <v/>
      </c>
      <c r="K9" s="116">
        <f>IFERROR(Model!K71+0,0)</f>
        <v/>
      </c>
      <c r="L9" s="116">
        <f>IFERROR(Model!L71+0,0)</f>
        <v/>
      </c>
      <c r="M9" s="116">
        <f>IFERROR(Model!Q71+0,0)</f>
        <v/>
      </c>
      <c r="N9" s="116">
        <f>IFERROR(Model!V71+0,0)</f>
        <v/>
      </c>
      <c r="O9" s="116">
        <f>IFERROR(Model!AA71+0,0)</f>
        <v/>
      </c>
      <c r="P9" s="116">
        <f>IFERROR(Model!AF71+0,0)</f>
        <v/>
      </c>
      <c r="Q9" s="116">
        <f>IFERROR(Model!AK71+0,0)</f>
        <v/>
      </c>
      <c r="R9" s="116">
        <f>IFERROR(Model!AL71+0,0)</f>
        <v/>
      </c>
      <c r="S9" s="116">
        <f>IFERROR(Model!AM71+0,0)</f>
        <v/>
      </c>
      <c r="T9" s="116">
        <f>IFERROR(Model!AN71+0,0)</f>
        <v/>
      </c>
      <c r="U9" s="116">
        <f>IFERROR(Model!AO71+0,0)</f>
        <v/>
      </c>
      <c r="V9" s="116" t="n"/>
    </row>
    <row r="11" ht="15" customHeight="1">
      <c r="C11" s="11">
        <f>C7</f>
        <v/>
      </c>
      <c r="D11" s="11">
        <f>D7</f>
        <v/>
      </c>
      <c r="E11" s="11">
        <f>E7</f>
        <v/>
      </c>
      <c r="F11" s="11">
        <f>F7</f>
        <v/>
      </c>
      <c r="G11" s="11">
        <f>G7</f>
        <v/>
      </c>
      <c r="H11" s="11">
        <f>H7</f>
        <v/>
      </c>
      <c r="I11" s="11">
        <f>I7</f>
        <v/>
      </c>
      <c r="J11" s="11">
        <f>J7</f>
        <v/>
      </c>
      <c r="K11" s="11">
        <f>K7</f>
        <v/>
      </c>
      <c r="L11" s="11">
        <f>L7</f>
        <v/>
      </c>
      <c r="M11" s="11">
        <f>M7</f>
        <v/>
      </c>
      <c r="N11" s="11">
        <f>N7</f>
        <v/>
      </c>
      <c r="O11" s="11">
        <f>O7</f>
        <v/>
      </c>
      <c r="P11" s="11">
        <f>P7</f>
        <v/>
      </c>
      <c r="Q11" s="11">
        <f>Q7</f>
        <v/>
      </c>
      <c r="R11" s="11">
        <f>R7</f>
        <v/>
      </c>
      <c r="S11" s="11">
        <f>S7</f>
        <v/>
      </c>
      <c r="T11" s="11">
        <f>T7</f>
        <v/>
      </c>
      <c r="U11" s="11">
        <f>U7</f>
        <v/>
      </c>
      <c r="V11" s="11" t="n"/>
    </row>
    <row r="12" ht="15" customHeight="1">
      <c r="B12" t="inlineStr">
        <is>
          <t>Adjusted EBITDA</t>
        </is>
      </c>
      <c r="C12" s="114">
        <f>Model!C174</f>
        <v/>
      </c>
      <c r="D12" s="114">
        <f>Model!D174</f>
        <v/>
      </c>
      <c r="E12" s="114">
        <f>Model!E174</f>
        <v/>
      </c>
      <c r="F12" s="114">
        <f>Model!F174</f>
        <v/>
      </c>
      <c r="G12" s="114">
        <f>Model!G174</f>
        <v/>
      </c>
      <c r="H12" s="114">
        <f>Model!H174</f>
        <v/>
      </c>
      <c r="I12" s="114">
        <f>Model!I174</f>
        <v/>
      </c>
      <c r="J12" s="114">
        <f>Model!J174</f>
        <v/>
      </c>
      <c r="K12" s="114">
        <f>Model!K174</f>
        <v/>
      </c>
      <c r="L12" s="114">
        <f>Model!L174</f>
        <v/>
      </c>
      <c r="M12" s="114">
        <f>Model!Q174</f>
        <v/>
      </c>
      <c r="N12" s="114">
        <f>Model!V174</f>
        <v/>
      </c>
      <c r="O12" s="114">
        <f>Model!AA174</f>
        <v/>
      </c>
      <c r="P12" s="114">
        <f>Model!AF174</f>
        <v/>
      </c>
      <c r="Q12" s="114">
        <f>Model!AK174</f>
        <v/>
      </c>
      <c r="R12" s="114">
        <f>Model!AL174</f>
        <v/>
      </c>
      <c r="S12" s="114">
        <f>Model!AM174</f>
        <v/>
      </c>
      <c r="T12" s="114">
        <f>Model!AN174</f>
        <v/>
      </c>
      <c r="U12" s="114">
        <f>Model!AO174</f>
        <v/>
      </c>
      <c r="V12" s="114" t="n"/>
    </row>
    <row r="13" ht="15" customHeight="1">
      <c r="B13" t="inlineStr">
        <is>
          <t>Operating Income (GAAP)</t>
        </is>
      </c>
      <c r="C13" s="114">
        <f>Model!C134</f>
        <v/>
      </c>
      <c r="D13" s="114">
        <f>Model!D134</f>
        <v/>
      </c>
      <c r="E13" s="114">
        <f>Model!E134</f>
        <v/>
      </c>
      <c r="F13" s="114">
        <f>Model!F134</f>
        <v/>
      </c>
      <c r="G13" s="114">
        <f>Model!G134</f>
        <v/>
      </c>
      <c r="H13" s="114">
        <f>Model!H134</f>
        <v/>
      </c>
      <c r="I13" s="114">
        <f>Model!I134</f>
        <v/>
      </c>
      <c r="J13" s="114">
        <f>Model!J134</f>
        <v/>
      </c>
      <c r="K13" s="114">
        <f>Model!K134</f>
        <v/>
      </c>
      <c r="L13" s="114">
        <f>Model!L134</f>
        <v/>
      </c>
      <c r="M13" s="114">
        <f>Model!Q134</f>
        <v/>
      </c>
      <c r="N13" s="114">
        <f>Model!V134</f>
        <v/>
      </c>
      <c r="O13" s="114">
        <f>Model!AA134</f>
        <v/>
      </c>
      <c r="P13" s="114">
        <f>Model!AF134</f>
        <v/>
      </c>
      <c r="Q13" s="114">
        <f>Model!AK134</f>
        <v/>
      </c>
      <c r="R13" s="114">
        <f>Model!AL134</f>
        <v/>
      </c>
      <c r="S13" s="114">
        <f>Model!AM134</f>
        <v/>
      </c>
      <c r="T13" s="114">
        <f>Model!AN134</f>
        <v/>
      </c>
      <c r="U13" s="114">
        <f>Model!AO134</f>
        <v/>
      </c>
      <c r="V13" s="114" t="n"/>
    </row>
    <row r="14" ht="15" customHeight="1">
      <c r="B14" t="inlineStr">
        <is>
          <t>Adj. EBITDA Margin %</t>
        </is>
      </c>
      <c r="C14" s="116">
        <f>Model!C228</f>
        <v/>
      </c>
      <c r="D14" s="116">
        <f>Model!D228</f>
        <v/>
      </c>
      <c r="E14" s="116">
        <f>Model!E228</f>
        <v/>
      </c>
      <c r="F14" s="116">
        <f>Model!F228</f>
        <v/>
      </c>
      <c r="G14" s="116">
        <f>Model!G228</f>
        <v/>
      </c>
      <c r="H14" s="116">
        <f>Model!H228</f>
        <v/>
      </c>
      <c r="I14" s="116">
        <f>Model!I228</f>
        <v/>
      </c>
      <c r="J14" s="116">
        <f>Model!J228</f>
        <v/>
      </c>
      <c r="K14" s="116">
        <f>Model!K228</f>
        <v/>
      </c>
      <c r="L14" s="116">
        <f>Model!L228</f>
        <v/>
      </c>
      <c r="M14" s="116">
        <f>Model!Q228</f>
        <v/>
      </c>
      <c r="N14" s="116">
        <f>Model!V228</f>
        <v/>
      </c>
      <c r="O14" s="116">
        <f>Model!AA228</f>
        <v/>
      </c>
      <c r="P14" s="116">
        <f>Model!AF228</f>
        <v/>
      </c>
      <c r="Q14" s="116">
        <f>Model!AK228</f>
        <v/>
      </c>
      <c r="R14" s="116">
        <f>Model!AL228</f>
        <v/>
      </c>
      <c r="S14" s="116">
        <f>Model!AM228</f>
        <v/>
      </c>
      <c r="T14" s="116">
        <f>Model!AN228</f>
        <v/>
      </c>
      <c r="U14" s="116">
        <f>Model!AO228</f>
        <v/>
      </c>
      <c r="V14" s="116" t="n"/>
    </row>
    <row r="15" ht="15" customHeight="1">
      <c r="B15" t="inlineStr">
        <is>
          <t>GAAP Op. Margin %</t>
        </is>
      </c>
      <c r="C15" s="116">
        <f>Model!C231</f>
        <v/>
      </c>
      <c r="D15" s="116">
        <f>Model!D231</f>
        <v/>
      </c>
      <c r="E15" s="116">
        <f>Model!E231</f>
        <v/>
      </c>
      <c r="F15" s="116">
        <f>Model!F231</f>
        <v/>
      </c>
      <c r="G15" s="116">
        <f>Model!G231</f>
        <v/>
      </c>
      <c r="H15" s="116">
        <f>Model!H231</f>
        <v/>
      </c>
      <c r="I15" s="116">
        <f>Model!I231</f>
        <v/>
      </c>
      <c r="J15" s="116">
        <f>Model!J231</f>
        <v/>
      </c>
      <c r="K15" s="116">
        <f>Model!K231</f>
        <v/>
      </c>
      <c r="L15" s="116">
        <f>Model!L231</f>
        <v/>
      </c>
      <c r="M15" s="116">
        <f>Model!Q231</f>
        <v/>
      </c>
      <c r="N15" s="116">
        <f>Model!V231</f>
        <v/>
      </c>
      <c r="O15" s="116">
        <f>Model!AA231</f>
        <v/>
      </c>
      <c r="P15" s="116">
        <f>Model!AF231</f>
        <v/>
      </c>
      <c r="Q15" s="116">
        <f>Model!AK231</f>
        <v/>
      </c>
      <c r="R15" s="116">
        <f>Model!AL231</f>
        <v/>
      </c>
      <c r="S15" s="116">
        <f>Model!AM231</f>
        <v/>
      </c>
      <c r="T15" s="116">
        <f>Model!AN231</f>
        <v/>
      </c>
      <c r="U15" s="116">
        <f>Model!AO231</f>
        <v/>
      </c>
      <c r="V15" s="116" t="n"/>
    </row>
    <row r="17" ht="15" customHeight="1">
      <c r="C17" s="11">
        <f>C7</f>
        <v/>
      </c>
      <c r="D17" s="11">
        <f>D7</f>
        <v/>
      </c>
      <c r="E17" s="11">
        <f>E7</f>
        <v/>
      </c>
      <c r="F17" s="11">
        <f>F7</f>
        <v/>
      </c>
      <c r="G17" s="11">
        <f>G7</f>
        <v/>
      </c>
      <c r="H17" s="11">
        <f>H7</f>
        <v/>
      </c>
      <c r="I17" s="11">
        <f>I7</f>
        <v/>
      </c>
      <c r="J17" s="11">
        <f>J7</f>
        <v/>
      </c>
      <c r="K17" s="11">
        <f>K7</f>
        <v/>
      </c>
      <c r="L17" s="11">
        <f>L7</f>
        <v/>
      </c>
      <c r="M17" s="11">
        <f>M7</f>
        <v/>
      </c>
      <c r="N17" s="11">
        <f>N7</f>
        <v/>
      </c>
      <c r="O17" s="11">
        <f>O7</f>
        <v/>
      </c>
      <c r="P17" s="11">
        <f>P7</f>
        <v/>
      </c>
      <c r="Q17" s="11">
        <f>Q7</f>
        <v/>
      </c>
      <c r="R17" s="11">
        <f>R7</f>
        <v/>
      </c>
      <c r="S17" s="11">
        <f>S7</f>
        <v/>
      </c>
      <c r="T17" s="11">
        <f>T7</f>
        <v/>
      </c>
      <c r="U17" s="11">
        <f>U7</f>
        <v/>
      </c>
      <c r="V17" s="11" t="n"/>
    </row>
    <row r="18" ht="15" customHeight="1">
      <c r="B18" t="inlineStr">
        <is>
          <t>ROIC</t>
        </is>
      </c>
      <c r="C18" s="116">
        <f>IFERROR(Model!C371+0,NA())</f>
        <v/>
      </c>
      <c r="D18" s="116">
        <f>IFERROR(Model!D371+0,NA())</f>
        <v/>
      </c>
      <c r="E18" s="116">
        <f>IFERROR(Model!E371+0,NA())</f>
        <v/>
      </c>
      <c r="F18" s="116">
        <f>IFERROR(Model!F371+0,NA())</f>
        <v/>
      </c>
      <c r="G18" s="116">
        <f>IFERROR(Model!G371+0,NA())</f>
        <v/>
      </c>
      <c r="H18" s="116">
        <f>IFERROR(Model!H371+0,NA())</f>
        <v/>
      </c>
      <c r="I18" s="116">
        <f>IFERROR(Model!I371+0,NA())</f>
        <v/>
      </c>
      <c r="J18" s="116">
        <f>IFERROR(Model!J371+0,NA())</f>
        <v/>
      </c>
      <c r="K18" s="116">
        <f>IFERROR(Model!K371+0,NA())</f>
        <v/>
      </c>
      <c r="L18" s="116">
        <f>IFERROR(Model!L371+0,NA())</f>
        <v/>
      </c>
      <c r="M18" s="116">
        <f>IFERROR(Model!Q371+0,NA())</f>
        <v/>
      </c>
      <c r="N18" s="116">
        <f>IFERROR(Model!V371+0,NA())</f>
        <v/>
      </c>
      <c r="O18" s="116">
        <f>IFERROR(Model!AA371+0,NA())</f>
        <v/>
      </c>
      <c r="P18" s="116">
        <f>IFERROR(Model!AF371+0,NA())</f>
        <v/>
      </c>
      <c r="Q18" s="116">
        <f>IFERROR(Model!AK371+0,NA())</f>
        <v/>
      </c>
      <c r="R18" s="116">
        <f>IFERROR(Model!AL371+0,NA())</f>
        <v/>
      </c>
      <c r="S18" s="116">
        <f>IFERROR(Model!AM371+0,NA())</f>
        <v/>
      </c>
      <c r="T18" s="116">
        <f>IFERROR(Model!AN371+0,NA())</f>
        <v/>
      </c>
      <c r="U18" s="116">
        <f>IFERROR(Model!AO371+0,NA())</f>
        <v/>
      </c>
      <c r="V18" s="116" t="n"/>
    </row>
    <row r="19" ht="15" customHeight="1">
      <c r="B19" t="inlineStr">
        <is>
          <t>RONTA</t>
        </is>
      </c>
      <c r="C19" s="116">
        <f>IFERROR(Model!C382+0,NA())</f>
        <v/>
      </c>
      <c r="D19" s="116">
        <f>IFERROR(Model!D382+0,NA())</f>
        <v/>
      </c>
      <c r="E19" s="116">
        <f>IFERROR(Model!E382+0,NA())</f>
        <v/>
      </c>
      <c r="F19" s="116">
        <f>IFERROR(Model!F382+0,NA())</f>
        <v/>
      </c>
      <c r="G19" s="116">
        <f>IFERROR(Model!G382+0,NA())</f>
        <v/>
      </c>
      <c r="H19" s="116">
        <f>IFERROR(Model!H382+0,NA())</f>
        <v/>
      </c>
      <c r="I19" s="116">
        <f>IFERROR(Model!I382+0,NA())</f>
        <v/>
      </c>
      <c r="J19" s="116">
        <f>IFERROR(Model!J382+0,NA())</f>
        <v/>
      </c>
      <c r="K19" s="116">
        <f>IFERROR(Model!K382+0,NA())</f>
        <v/>
      </c>
      <c r="L19" s="116">
        <f>IFERROR(Model!L382+0,NA())</f>
        <v/>
      </c>
      <c r="M19" s="116">
        <f>IFERROR(Model!Q382+0,NA())</f>
        <v/>
      </c>
      <c r="N19" s="116">
        <f>IFERROR(Model!V382+0,NA())</f>
        <v/>
      </c>
      <c r="O19" s="116">
        <f>IFERROR(Model!AA382+0,NA())</f>
        <v/>
      </c>
      <c r="P19" s="116">
        <f>IFERROR(Model!AF382+0,NA())</f>
        <v/>
      </c>
      <c r="Q19" s="116">
        <f>IFERROR(Model!AK382+0,NA())</f>
        <v/>
      </c>
      <c r="R19" s="116">
        <f>IFERROR(Model!AL382+0,NA())</f>
        <v/>
      </c>
      <c r="S19" s="116">
        <f>IFERROR(Model!AM382+0,NA())</f>
        <v/>
      </c>
      <c r="T19" s="116">
        <f>IFERROR(Model!AN382+0,NA())</f>
        <v/>
      </c>
      <c r="U19" s="116">
        <f>IFERROR(Model!AO382+0,NA())</f>
        <v/>
      </c>
      <c r="V19" s="116" t="n"/>
    </row>
    <row r="20" ht="15" customHeight="1">
      <c r="B20" t="inlineStr">
        <is>
          <t>Adj. EBITDA margin %</t>
        </is>
      </c>
      <c r="C20" s="116">
        <f>IFERROR(Model!C228+0,NA())</f>
        <v/>
      </c>
      <c r="D20" s="116">
        <f>IFERROR(Model!D228+0,NA())</f>
        <v/>
      </c>
      <c r="E20" s="116">
        <f>IFERROR(Model!E228+0,NA())</f>
        <v/>
      </c>
      <c r="F20" s="116">
        <f>IFERROR(Model!F228+0,NA())</f>
        <v/>
      </c>
      <c r="G20" s="116">
        <f>IFERROR(Model!G228+0,NA())</f>
        <v/>
      </c>
      <c r="H20" s="116">
        <f>IFERROR(Model!H228+0,NA())</f>
        <v/>
      </c>
      <c r="I20" s="116">
        <f>IFERROR(Model!I228+0,NA())</f>
        <v/>
      </c>
      <c r="J20" s="116">
        <f>IFERROR(Model!J228+0,NA())</f>
        <v/>
      </c>
      <c r="K20" s="116">
        <f>IFERROR(Model!K228+0,NA())</f>
        <v/>
      </c>
      <c r="L20" s="116">
        <f>IFERROR(Model!L228+0,NA())</f>
        <v/>
      </c>
      <c r="M20" s="116">
        <f>IFERROR(Model!Q228+0,NA())</f>
        <v/>
      </c>
      <c r="N20" s="116">
        <f>IFERROR(Model!V228+0,NA())</f>
        <v/>
      </c>
      <c r="O20" s="116">
        <f>IFERROR(Model!AA228+0,NA())</f>
        <v/>
      </c>
      <c r="P20" s="116">
        <f>IFERROR(Model!AF228+0,NA())</f>
        <v/>
      </c>
      <c r="Q20" s="116">
        <f>IFERROR(Model!AK228+0,NA())</f>
        <v/>
      </c>
      <c r="R20" s="116">
        <f>IFERROR(Model!AL228+0,NA())</f>
        <v/>
      </c>
      <c r="S20" s="116">
        <f>IFERROR(Model!AM228+0,NA())</f>
        <v/>
      </c>
      <c r="T20" s="116">
        <f>IFERROR(Model!AN228+0,NA())</f>
        <v/>
      </c>
      <c r="U20" s="116">
        <f>IFERROR(Model!AO228+0,NA())</f>
        <v/>
      </c>
      <c r="V20" s="116" t="n"/>
    </row>
    <row r="21" ht="15" customHeight="1">
      <c r="B21" t="inlineStr">
        <is>
          <t>FCF margin %</t>
        </is>
      </c>
      <c r="C21" s="116">
        <f>IFERROR(Model!C263+0,NA())</f>
        <v/>
      </c>
      <c r="D21" s="116">
        <f>IFERROR(Model!D263+0,NA())</f>
        <v/>
      </c>
      <c r="E21" s="116">
        <f>IFERROR(Model!E263+0,NA())</f>
        <v/>
      </c>
      <c r="F21" s="116">
        <f>IFERROR(Model!F263+0,NA())</f>
        <v/>
      </c>
      <c r="G21" s="116">
        <f>IFERROR(Model!G263+0,NA())</f>
        <v/>
      </c>
      <c r="H21" s="116">
        <f>IFERROR(Model!H263+0,NA())</f>
        <v/>
      </c>
      <c r="I21" s="116">
        <f>IFERROR(Model!I263+0,NA())</f>
        <v/>
      </c>
      <c r="J21" s="116">
        <f>IFERROR(Model!J263+0,NA())</f>
        <v/>
      </c>
      <c r="K21" s="116">
        <f>IFERROR(Model!K263+0,NA())</f>
        <v/>
      </c>
      <c r="L21" s="116">
        <f>IFERROR(Model!L263+0,NA())</f>
        <v/>
      </c>
      <c r="M21" s="116">
        <f>IFERROR(Model!Q263+0,NA())</f>
        <v/>
      </c>
      <c r="N21" s="116">
        <f>IFERROR(Model!V263+0,NA())</f>
        <v/>
      </c>
      <c r="O21" s="116">
        <f>IFERROR(Model!AA263+0,NA())</f>
        <v/>
      </c>
      <c r="P21" s="116">
        <f>IFERROR(Model!AF263+0,NA())</f>
        <v/>
      </c>
      <c r="Q21" s="116">
        <f>IFERROR(Model!AK263+0,NA())</f>
        <v/>
      </c>
      <c r="R21" s="116">
        <f>IFERROR(Model!AL263+0,NA())</f>
        <v/>
      </c>
      <c r="S21" s="116">
        <f>IFERROR(Model!AM263+0,NA())</f>
        <v/>
      </c>
      <c r="T21" s="116">
        <f>IFERROR(Model!AN263+0,NA())</f>
        <v/>
      </c>
      <c r="U21" s="116">
        <f>IFERROR(Model!AO263+0,NA())</f>
        <v/>
      </c>
      <c r="V21" s="116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2026-10-06T13:06:14Z</dcterms:modified>
  <cp:lastModifiedBy>Payton Liske</cp:lastModifiedBy>
  <cp:revision>3</cp:revision>
</cp:coreProperties>
</file>