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Form 10-K / 10-Q segment note (XBRL StatementBusinessSegmentsAxis) and earnings releases (Form 8-K Ex. 99.1) "Operating segment information"; FY2006–08 from the FY2008 Form 10-K segment note. Q4 = fiscal year − nine months. Includes intersegment sales (eliminated below).</t>
        </r>
      </text>
    </comment>
    <comment ref="B13" authorId="0">
      <text>
        <r>
          <rPr>
            <sz val="10"/>
            <rFont val="Arial"/>
            <family val="2"/>
          </rPr>
          <t xml:space="preserve">Source: HEICO earnings releases (Form 8-K Ex. 99.1) — organic net sales growth as stated by the company for the quarter / fiscal year (curated; product-line or qualified figures excluded). Blank where not disclosed.</t>
        </r>
      </text>
    </comment>
    <comment ref="B15" authorId="0">
      <text>
        <r>
          <rPr>
            <sz val="10"/>
            <rFont val="Arial"/>
            <family val="2"/>
          </rPr>
          <t xml:space="preserve">Source: segment operating income per Form 10-K/10-Q segment note and earnings releases. Segment operating income is after acquired-intangible amortization.</t>
        </r>
      </text>
    </comment>
    <comment ref="B18" authorId="0">
      <text>
        <r>
          <rPr>
            <sz val="10"/>
            <rFont val="Arial"/>
            <family val="2"/>
          </rPr>
          <t xml:space="preserve">Source: segment note (depreciation and amortization by segment; XBRL Depreciation + AdjustmentForAmortization from FY2013). Historical memo only.</t>
        </r>
      </text>
    </comment>
    <comment ref="B22" authorId="0">
      <text>
        <r>
          <rPr>
            <sz val="10"/>
            <rFont val="Arial"/>
            <family val="2"/>
          </rPr>
          <t xml:space="preserve">Source: disaggregation of revenue note (Form 10-K/10-Q, XBRL ProductOrServiceAxis); disclosed from FY2014 (annual) / FY2018 (quarterly).</t>
        </r>
      </text>
    </comment>
    <comment ref="B23" authorId="0">
      <text>
        <r>
          <rPr>
            <sz val="10"/>
            <rFont val="Arial"/>
            <family val="2"/>
          </rPr>
          <t xml:space="preserve">Source: disaggregation of revenue note (Form 10-K/10-Q, XBRL ProductOrServiceAxis); disclosed from FY2014 (annual) / FY2018 (quarterly).</t>
        </r>
      </text>
    </comment>
    <comment ref="B24" authorId="0">
      <text>
        <r>
          <rPr>
            <sz val="10"/>
            <rFont val="Arial"/>
            <family val="2"/>
          </rPr>
          <t xml:space="preserve">Source: disaggregation of revenue note (Form 10-K/10-Q, XBRL ProductOrServiceAxis); disclosed from FY2014 (annual) / FY2018 (quarterly).</t>
        </r>
      </text>
    </comment>
    <comment ref="B25" authorId="0">
      <text>
        <r>
          <rPr>
            <sz val="10"/>
            <rFont val="Arial"/>
            <family val="2"/>
          </rPr>
          <t xml:space="preserve">Source: disaggregation of revenue by industry (Form 10-K/10-Q, XBRL MajorCustomersAxis); disclosed from FY2017.</t>
        </r>
      </text>
    </comment>
    <comment ref="B26" authorId="0">
      <text>
        <r>
          <rPr>
            <sz val="10"/>
            <rFont val="Arial"/>
            <family val="2"/>
          </rPr>
          <t xml:space="preserve">Source: disaggregation of revenue by industry (Form 10-K/10-Q, XBRL MajorCustomersAxis); disclosed from FY2017.</t>
        </r>
      </text>
    </comment>
    <comment ref="B27" authorId="0">
      <text>
        <r>
          <rPr>
            <sz val="10"/>
            <rFont val="Arial"/>
            <family val="2"/>
          </rPr>
          <t xml:space="preserve">Source: disaggregation of revenue by industry (Form 10-K/10-Q, XBRL MajorCustomersAxis); disclosed from FY2017.</t>
        </r>
      </text>
    </comment>
    <comment ref="B30" authorId="0">
      <text>
        <r>
          <rPr>
            <sz val="10"/>
            <rFont val="Arial"/>
            <family val="2"/>
          </rPr>
          <t xml:space="preserve">Source: Form 10-K / 10-Q segment note (XBRL StatementBusinessSegmentsAxis) and earnings releases (Form 8-K Ex. 99.1) "Operating segment information"; FY2006–08 from the FY2008 Form 10-K segment note. Q4 = fiscal year − nine months. Includes intersegment sales (eliminated below).</t>
        </r>
      </text>
    </comment>
    <comment ref="B32" authorId="0">
      <text>
        <r>
          <rPr>
            <sz val="10"/>
            <rFont val="Arial"/>
            <family val="2"/>
          </rPr>
          <t xml:space="preserve">Source: HEICO earnings releases (Form 8-K Ex. 99.1) — organic net sales growth as stated by the company for the quarter / fiscal year (curated; product-line or qualified figures excluded). Blank where not disclosed.</t>
        </r>
      </text>
    </comment>
    <comment ref="B34" authorId="0">
      <text>
        <r>
          <rPr>
            <sz val="10"/>
            <rFont val="Arial"/>
            <family val="2"/>
          </rPr>
          <t xml:space="preserve">Source: segment operating income per Form 10-K/10-Q segment note and earnings releases. Segment operating income is after acquired-intangible amortization.</t>
        </r>
      </text>
    </comment>
    <comment ref="B37" authorId="0">
      <text>
        <r>
          <rPr>
            <sz val="10"/>
            <rFont val="Arial"/>
            <family val="2"/>
          </rPr>
          <t xml:space="preserve">Source: segment note (depreciation and amortization by segment; XBRL Depreciation + AdjustmentForAmortization from FY2013). Historical memo only.</t>
        </r>
      </text>
    </comment>
    <comment ref="B41" authorId="0">
      <text>
        <r>
          <rPr>
            <sz val="10"/>
            <rFont val="Arial"/>
            <family val="2"/>
          </rPr>
          <t xml:space="preserve">Source: disaggregation of revenue note (Form 10-K/10-Q, XBRL ProductOrServiceAxis); disclosed from FY2014 (annual) / FY2018 (quarterly).</t>
        </r>
      </text>
    </comment>
    <comment ref="B42" authorId="0">
      <text>
        <r>
          <rPr>
            <sz val="10"/>
            <rFont val="Arial"/>
            <family val="2"/>
          </rPr>
          <t xml:space="preserve">Source: disaggregation of revenue note (Form 10-K/10-Q, XBRL ProductOrServiceAxis); disclosed from FY2014 (annual) / FY2018 (quarterly).</t>
        </r>
      </text>
    </comment>
    <comment ref="B43" authorId="0">
      <text>
        <r>
          <rPr>
            <sz val="10"/>
            <rFont val="Arial"/>
            <family val="2"/>
          </rPr>
          <t xml:space="preserve">Source: disaggregation of revenue by industry (Form 10-K/10-Q, XBRL MajorCustomersAxis); disclosed from FY2017.</t>
        </r>
      </text>
    </comment>
    <comment ref="B44" authorId="0">
      <text>
        <r>
          <rPr>
            <sz val="10"/>
            <rFont val="Arial"/>
            <family val="2"/>
          </rPr>
          <t xml:space="preserve">Source: disaggregation of revenue by industry (Form 10-K/10-Q, XBRL MajorCustomersAxis); disclosed from FY2017.</t>
        </r>
      </text>
    </comment>
    <comment ref="B45" authorId="0">
      <text>
        <r>
          <rPr>
            <sz val="10"/>
            <rFont val="Arial"/>
            <family val="2"/>
          </rPr>
          <t xml:space="preserve">Source: disaggregation of revenue by industry (Form 10-K/10-Q, XBRL MajorCustomersAxis); disclosed from FY2017.</t>
        </r>
      </text>
    </comment>
    <comment ref="B48" authorId="0">
      <text>
        <r>
          <rPr>
            <sz val="10"/>
            <rFont val="Arial"/>
            <family val="2"/>
          </rPr>
          <t xml:space="preserve">Derived: consolidated net sales − FSG − ETG (equals reported intersegment sales).</t>
        </r>
      </text>
    </comment>
    <comment ref="B50" authorId="0">
      <text>
        <r>
          <rPr>
            <sz val="10"/>
            <rFont val="Arial"/>
            <family val="2"/>
          </rPr>
          <t xml:space="preserve">Derived: consolidated operating income − FSG − ETG ("Other, primarily corporate").</t>
        </r>
      </text>
    </comment>
    <comment ref="B78" authorId="0">
      <text>
        <r>
          <rPr>
            <sz val="10"/>
            <rFont val="Arial"/>
            <family val="2"/>
          </rPr>
          <t xml:space="preserve">Source: earnings releases (consolidated organic growth stated from FY2018; not every quarter).</t>
        </r>
      </text>
    </comment>
    <comment ref="B93" authorId="0">
      <text>
        <r>
          <rPr>
            <sz val="10"/>
            <rFont val="Arial"/>
            <family val="2"/>
          </rPr>
          <t xml:space="preserve">Source: intangible-asset note, Form 10-K / 10-Q (XBRL AmortizationOfIntangibleAssets). Q4 = fiscal year − nine months.</t>
        </r>
      </text>
    </comment>
    <comment ref="B98" authorId="0">
      <text>
        <r>
          <rPr>
            <sz val="10"/>
            <rFont val="Arial"/>
            <family val="2"/>
          </rPr>
          <t xml:space="preserve">Source: Consolidated Statements of Operations — Forms 10-K / 10-Q (SEC EDGAR CIK 0000046619; XBRL from Q3 FY2010) and earnings releases (Form 8-K Ex. 99.1). FY2006–08 from the FY2008 Form 10-K. Q4 = fiscal year − Q1–Q3. USD millions.</t>
        </r>
      </text>
    </comment>
    <comment ref="B103" authorId="0">
      <text>
        <r>
          <rPr>
            <sz val="10"/>
            <rFont val="Arial"/>
            <family val="2"/>
          </rPr>
          <t xml:space="preserve">Derived as operating income + other income − pre-tax income (equals reported interest expense).</t>
        </r>
      </text>
    </comment>
    <comment ref="B109" authorId="0">
      <text>
        <r>
          <rPr>
            <sz val="10"/>
            <rFont val="Arial"/>
            <family val="2"/>
          </rPr>
          <t xml:space="preserve">Minority interests' share of income before the FY2010 adoption of SFAS 160 (FY2006–08 recast to the current presentation). Mainly the 20% interest held by Lufthansa Technik in HEICO Aerospace and minority owners of acquired subsidiaries.</t>
        </r>
      </text>
    </comment>
    <comment ref="B117" authorId="0">
      <text>
        <r>
          <rPr>
            <sz val="10"/>
            <rFont val="Arial"/>
            <family val="2"/>
          </rPr>
          <t xml:space="preserve">Split adjustment: each filing's share data × 1.25^(number of 5-for-4 splits after the filing date: Apr-2010, Apr-2011, Apr-2012, Oct-2013, Apr-2017, Jan-2018, Jun-2018). Q4 = 4 × fiscal year − Σ Q1–Q3.</t>
        </r>
      </text>
    </comment>
    <comment ref="B123" authorId="0">
      <text>
        <r>
          <rPr>
            <sz val="10"/>
            <rFont val="Arial"/>
            <family val="2"/>
          </rPr>
          <t xml:space="preserve">Source: dividends per share as tagged in Forms 10-K/10-Q (cash paid / declared), restated to the current share basis; FY2006–08 = dividends paid ÷ basic shares.</t>
        </r>
      </text>
    </comment>
    <comment ref="B133" authorId="0">
      <text>
        <r>
          <rPr>
            <sz val="10"/>
            <rFont val="Arial"/>
            <family val="2"/>
          </rPr>
          <t xml:space="preserve">Source: "EBITDA Calculation" table in each earnings release (Form 8-K Ex. 99.1) from Dec-2018 (Q4 FY2018, incl. Q4/FY2017 comparatives). HEICO definition: net income attributable to HEICO + D&amp;A + NCI + interest expense + income tax expense.</t>
        </r>
      </text>
    </comment>
    <comment ref="B135" authorId="0">
      <text>
        <r>
          <rPr>
            <sz val="10"/>
            <rFont val="Arial"/>
            <family val="2"/>
          </rPr>
          <t xml:space="preserve">Sources: Q1-16 release (8-K 25-Feb-2016: $3.1m pre-tax, $2.0m after tax); FY23 releases (8-K 27-Feb-2023: Exxelia $5.1m; 28-Aug-2023 and 18-Dec-2023: Wencor) and FY2023 Form 10-K XBRL BusinessCombinationAcquisitionRelatedCosts $21.6m. Q3/23 pre-tax = FSG FY Wencor costs $16.2m − Q4 $12.7m; Q4/23 = FY − Q1 − Q3.</t>
        </r>
      </text>
    </comment>
    <comment ref="B136" authorId="0">
      <text>
        <r>
          <rPr>
            <sz val="10"/>
            <rFont val="Arial"/>
            <family val="2"/>
          </rPr>
          <t xml:space="preserve">Source: Consolidated Statements of Cash Flows, "Increase (decrease) in accrued contingent consideration, net" (fair-value remeasurement recorded in SG&amp;A). Positive = expense added back.</t>
        </r>
      </text>
    </comment>
    <comment ref="B137" authorId="0">
      <text>
        <r>
          <rPr>
            <sz val="10"/>
            <rFont val="Arial"/>
            <family val="2"/>
          </rPr>
          <t xml:space="preserve">Source: FY2023 cash-flow statement ($9.1m non-cash gain, Q2/23).</t>
        </r>
      </text>
    </comment>
    <comment ref="B138" authorId="0">
      <text>
        <r>
          <rPr>
            <sz val="10"/>
            <rFont val="Arial"/>
            <family val="2"/>
          </rPr>
          <t xml:space="preserve">Source: cash-flow statement "Impairment of intangible assets" (FY2008, FY2010–11, FY2014, FY2024).</t>
        </r>
      </text>
    </comment>
    <comment ref="B157" authorId="0">
      <text>
        <r>
          <rPr>
            <sz val="10"/>
            <rFont val="Arial"/>
            <family val="2"/>
          </rPr>
          <t xml:space="preserve">Sources: release footnotes / 10-Q tax notes (Q1 amounts net of NCI: FY17 $2.6m, FY18 $2.1m, FY19 $15.1m, FY20 $46.3m, FY21 $13.4m, FY22 $17.5m, FY23 $6.1m, FY24 $13.3m, FY25 $26.5m, FY26 $21.8m). Fiscal-year totals = 10-K XBRL EmployeeServiceShareBasedCompensationTaxBenefitFromExerciseOfStockOptions × Q1 net/gross ratio (FY19 $15.0m and FY20 $47.0m as disclosed); Q4 = FY − Q1.</t>
        </r>
      </text>
    </comment>
    <comment ref="B158" authorId="0">
      <text>
        <r>
          <rPr>
            <sz val="10"/>
            <rFont val="Arial"/>
            <family val="2"/>
          </rPr>
          <t xml:space="preserve">Source: Q1-18 release ($11.9m one-time benefit) and Q4-18 release / FY2018 10-K ($16.5m remeasurement benefit less $4.4m transition tax ≈ $12.1m net).</t>
        </r>
      </text>
    </comment>
    <comment ref="B164" authorId="0">
      <text>
        <r>
          <rPr>
            <sz val="10"/>
            <rFont val="Arial"/>
            <family val="2"/>
          </rPr>
          <t xml:space="preserve">Source: Q1-16 release (8-K 25-Feb-2016): diluted EPS "as adjusted" $.49 excluding $3.1m acquisition costs; ÷ 1.25³ for the Apr-2017, Jan-2018 and Jun-2018 splits.</t>
        </r>
      </text>
    </comment>
    <comment ref="B186" authorId="0">
      <text>
        <r>
          <rPr>
            <sz val="10"/>
            <rFont val="Arial"/>
            <family val="2"/>
          </rPr>
          <t xml:space="preserve">Source: Consolidated Statements of Cash Flows (Forms 10-K/10-Q). Quarterly figures = year-to-date less prior year-to-date. Pre-FY2010 statements started from net income attributable to HEICO and added back minority interests; recast here to start from consolidated net income.</t>
        </r>
      </text>
    </comment>
    <comment ref="B235" authorId="0">
      <text>
        <r>
          <rPr>
            <sz val="10"/>
            <rFont val="Arial"/>
            <family val="2"/>
          </rPr>
          <t xml:space="preserve">Source: Consolidated Balance Sheets (Forms 10-K/10-Q; FY2006–08 from the FY2007/FY2008 Forms 10-K). "Other" lines are derived as the reported subtotal less the itemised lines.</t>
        </r>
      </text>
    </comment>
    <comment ref="B256" authorId="0">
      <text>
        <r>
          <rPr>
            <sz val="10"/>
            <rFont val="Arial"/>
            <family val="2"/>
          </rPr>
          <t xml:space="preserve">FY2009–12 derived as total liabilities &amp; equity − total liabilities − total equity. FY2006–08: "Minority interests in consolidated subsidiaries" (pre-SFAS 160 mezzanine presentation, incl. non-redeemable minority interests).</t>
        </r>
      </text>
    </comment>
    <comment ref="B269" authorId="0">
      <text>
        <r>
          <rPr>
            <sz val="10"/>
            <rFont val="Arial"/>
            <family val="2"/>
          </rPr>
          <t xml:space="preserve">Source: balance-sheet share counts (XBRL CommonStockSharesOutstanding by class) or the Form 10-Q/10-K cover page where the period-end count is not tagged; restated for splits.</t>
        </r>
      </text>
    </comment>
    <comment ref="B291" authorId="0">
      <text>
        <r>
          <rPr>
            <sz val="10"/>
            <rFont val="Arial"/>
            <family val="2"/>
          </rPr>
          <t xml:space="preserve">Source: Forms 10-K/10-Q long-term debt note. Senior notes face: $1.2bn from Jul-2023 ($600m 5.25% 2028; $600m 5.35% 2033); +$1.2bn 16-Jul-2026 ($550m 4.95% 2031; $650m 5.40% 2036). Revolver: $1,250m (Oct-23), $1,015m (Oct-24), $960m (Oct-25), $145m (Jul-26).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targets (if entered), 2027E–30E FSG / ETG organic growth and operating margins, M&amp;A spend and the leverage floor for buybacks. Bull / Bear = Base ± the Δ inputs on each block of the scenario table (CN:CR).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P/E on adjusted EPS. HEI has traded at ~40–60x NTM EPS over FY2019–26 (≈42x FY2027E adjusted EPS at $302.45). Base 42x, Bull 48x, Bear 34x applied to 2028E–2030E.</t>
        </r>
      </text>
    </comment>
  </commentList>
</comments>
</file>

<file path=xl/sharedStrings.xml><?xml version="1.0" encoding="utf-8"?>
<sst xmlns="http://schemas.openxmlformats.org/spreadsheetml/2006/main" count="830" uniqueCount="672">
  <si>
    <t xml:space="preserve">SCENARIO SWITCH ▼ (Bull / Base / Bear) — drives all scenario-linked forecast drivers</t>
  </si>
  <si>
    <t xml:space="preserve">HEICO Corporation (NYSE: HEI, HEI.A) — 3-Statement Financial Model</t>
  </si>
  <si>
    <t xml:space="preserve">Base</t>
  </si>
  <si>
    <t xml:space="preserve">US GAAP as reported · USD millions (per-share data in USD on the current share basis) · fiscal year ends 31 October · Source: HEICO Forms 10-K / 10-Q and Form 8-K earnings releases (Ex. 99.1), debt 8-K (16-Jul-2026), SEC EDGAR CIK 0000046619 (XBRL from Q3 FY2010; investor-relations releases are the same documents as filed on EDGAR)</t>
  </si>
  <si>
    <t xml:space="preserve">Basis notes: two operating segments — Flight Support Group (FSG) and Electronic Technologies Group (ETG); segment net sales include intersegment sales. Seven 5-for-4 stock splits (Apr-2010, Apr-2011, Apr-2012, Oct-2013, Apr-2017, Jan-2018, Jun-2018) — all share and per-share data restated to the current basis (×4.77 cumulative). SFAS 160 adopted FY2010 (FY2006–08 minority interests recast as NCI). ASU 2016-09 from FY2017 (stock-option excess tax benefits in income tax expense). Major deals: Wencor (Aug-2023, $1.9bn), Exxelia (Jan-2023); FY26 deals Rockmart, Ethos, Sherwood. Q4/26E–2030E = forecast. Common (HEI) and Class A (HEI.A) shares combined.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</si>
  <si>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</si>
  <si>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</si>
  <si>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</si>
  <si>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</si>
  <si>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</si>
  <si>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</si>
  <si>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</si>
  <si>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</si>
  <si>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</si>
  <si>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</si>
  <si>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</si>
  <si>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</si>
  <si>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</si>
  <si>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</si>
  <si>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</si>
  <si>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</si>
  <si>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</si>
  <si>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</si>
  <si>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</si>
  <si>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</si>
  <si>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</si>
  <si>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</si>
  <si>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</si>
  <si>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</si>
  <si>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</si>
  <si>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</si>
  <si>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</si>
  <si>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</si>
  <si>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</si>
  <si>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</si>
  <si>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</si>
  <si>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</si>
  <si>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</si>
  <si>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</si>
  <si>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</si>
  <si>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</si>
  <si>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</si>
  <si>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</si>
  <si>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</si>
  <si>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</si>
  <si>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</si>
  <si>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</si>
  <si>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</si>
  <si>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</si>
  <si>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</si>
  <si>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</si>
  <si>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</si>
  <si>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</si>
  <si>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</si>
  <si>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</si>
  <si>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</si>
  <si>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</si>
  <si>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</si>
  <si>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</si>
  <si>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</si>
  <si>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</si>
  <si>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</si>
  <si>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</si>
  <si>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</si>
  <si>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</si>
  <si>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</si>
  <si>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</si>
  <si>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</si>
  <si>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</si>
  <si>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</si>
  <si>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</si>
  <si>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</si>
  <si>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</si>
  <si>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</si>
  <si>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</si>
  <si>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</si>
  <si>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</si>
  <si>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SEGMENT P&amp;L — FLIGHT SUPPORT GROUP · ELECTRONIC TECHNOLOGIES GROUP (organic + acquired growth build)</t>
  </si>
  <si>
    <t xml:space="preserve">SEGMENT BUILD — modelling logic (net sales = prior year × (1 + organic + acquired growth); operating income = net sales × operating margin)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</si>
  <si>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</si>
  <si>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</si>
  <si>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</si>
  <si>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FY26 target block = optional high / mid / low end-points.</t>
  </si>
  <si>
    <t xml:space="preserve">Flight Support Group (FSG) — aftermarket replacement parts (PMA), repair &amp; overhaul parts and services, specialty products</t>
  </si>
  <si>
    <t xml:space="preserve">FSG — modelling logic</t>
  </si>
  <si>
    <t xml:space="preserve">  Net sales (incl. intersegment sales)</t>
  </si>
  <si>
    <t xml:space="preserve">Q4/26E: Q4/25 × (1 + organic + acquired growth + outlook calibration Δ). 2027E+: prior year × (1 + organic lever + acquired growth input).</t>
  </si>
  <si>
    <t xml:space="preserve">FY26 targets — optional (e.g. consensus); HEICO gives no numerical guidance</t>
  </si>
  <si>
    <t xml:space="preserve">High</t>
  </si>
  <si>
    <t xml:space="preserve">Mid</t>
  </si>
  <si>
    <t xml:space="preserve">Low</t>
  </si>
  <si>
    <t xml:space="preserve">Leave blank for the driver-based forecast; any number entered calibrates Q4/26E growth / margins for the active scenario.</t>
  </si>
  <si>
    <t xml:space="preserve">  Net sales y/y %</t>
  </si>
  <si>
    <t xml:space="preserve">Forecast = organic growth + acquired growth (+ outlook calibration Δ in Q4/26E, zero unless a FY26 target is entered).</t>
  </si>
  <si>
    <t xml:space="preserve">  FY26 net sales target ($m)</t>
  </si>
  <si>
    <t xml:space="preserve">Blank by default (HEICO Q3-26 release: qualitative outlook only — net sales growth at both segments for the remainder of FY26).</t>
  </si>
  <si>
    <t xml:space="preserve">  Organic net sales growth % (company-reported; forecast = scenario lever FSG_org)</t>
  </si>
  <si>
    <t xml:space="preserve">Q4/26E input: FSG organic +12% in Q3/26 and +15% in 9M/26 (Q3-26 release). 2027E+: scenario lever.</t>
  </si>
  <si>
    <t xml:space="preserve">  FY26 Adjusted EBITDA target ($m)</t>
  </si>
  <si>
    <t xml:space="preserve">  Acquired growth % (total y/y − organic; forecast = input, deals closed to date)</t>
  </si>
  <si>
    <t xml:space="preserve">Q4/26E: Q3/26 acquired contribution (+6pp: Ethos Feb-26, Sherwood Apr-26 and other FY26 deals). 2027E: annualisation of FY26 deals (+2pp). Future deals sit in the M&amp;A lever.</t>
  </si>
  <si>
    <t xml:space="preserve">  Operating income (segment)</t>
  </si>
  <si>
    <t xml:space="preserve">Capital allocation (all cases unless stated)</t>
  </si>
  <si>
    <t xml:space="preserve">  Operating margin before outlook calibration % (Q4/26E helper)</t>
  </si>
  <si>
    <t xml:space="preserve">Q4/25 margin + 9M/26 vs 9M/25 margin change (run-rate drift).</t>
  </si>
  <si>
    <t xml:space="preserve">  (see MINLEV block below for the buyback floor)</t>
  </si>
  <si>
    <t xml:space="preserve">  Operating margin %</t>
  </si>
  <si>
    <t xml:space="preserve">Q4/26E: helper + outlook calibration Δ (zero unless a target is set). 2027E+: scenario lever FSG_OM.</t>
  </si>
  <si>
    <t xml:space="preserve">  Q4/26E share repurchases ($m)</t>
  </si>
  <si>
    <t xml:space="preserve">HEICO does not run an open-market buyback; zero in all cases.</t>
  </si>
  <si>
    <t xml:space="preserve">  Depreciation &amp; amortization (segment)</t>
  </si>
  <si>
    <t xml:space="preserve">  Segment EBITDA (operating income + D&amp;A)</t>
  </si>
  <si>
    <t xml:space="preserve">FSG_org (FSG organic net sales growth y/y)</t>
  </si>
  <si>
    <t xml:space="preserve">Δ →</t>
  </si>
  <si>
    <t xml:space="preserve">FSG organic growth: FY25 ~13%, 9M/26 15% (commercial aftermarket, PMA share gains, defense). Base fades toward high-single digits.</t>
  </si>
  <si>
    <t xml:space="preserve">  Segment EBITDA margin %</t>
  </si>
  <si>
    <t xml:space="preserve">  2027E</t>
  </si>
  <si>
    <t xml:space="preserve">  Capital expenditures (segment)</t>
  </si>
  <si>
    <t xml:space="preserve">  2028E</t>
  </si>
  <si>
    <t xml:space="preserve">  Memo: product line — Aftermarket replacement parts</t>
  </si>
  <si>
    <t xml:space="preserve">  2029E</t>
  </si>
  <si>
    <t xml:space="preserve">  Memo: product line — Repair &amp; overhaul parts and services</t>
  </si>
  <si>
    <t xml:space="preserve">  2030E</t>
  </si>
  <si>
    <t xml:space="preserve">  Memo: product line — Specialty products</t>
  </si>
  <si>
    <t xml:space="preserve">  Memo: end market — Aerospace</t>
  </si>
  <si>
    <t xml:space="preserve">FSG_OM (FSG operating margin)</t>
  </si>
  <si>
    <t xml:space="preserve">FSG operating margin: FY25 24.1%, 9M/26 25.6%; Wencor amortization rolling off supports modest expansion.</t>
  </si>
  <si>
    <t xml:space="preserve">  Memo: end market — Defense &amp; space</t>
  </si>
  <si>
    <t xml:space="preserve">  Memo: end market — Other industries</t>
  </si>
  <si>
    <t xml:space="preserve">Electronic Technologies Group (ETG) — electronic components for defense, space, aerospace, medical, telecom &amp; other markets</t>
  </si>
  <si>
    <t xml:space="preserve">ETG — modelling logic</t>
  </si>
  <si>
    <t xml:space="preserve">ETG_org (ETG organic net sales growth y/y)</t>
  </si>
  <si>
    <t xml:space="preserve">ETG organic growth: FY25 ~11%, 9M/26 14% (defense, space, other electronics; lumpier, backlog-driven).</t>
  </si>
  <si>
    <t xml:space="preserve">  Organic net sales growth % (company-reported; forecast = scenario lever ETG_org)</t>
  </si>
  <si>
    <t xml:space="preserve">Q4/26E input: ETG organic +18% in Q3/26 and +14% in 9M/26 (Q3-26 release). 2027E+: scenario lever.</t>
  </si>
  <si>
    <t xml:space="preserve">Q4/26E: Q3/26 acquired contribution (+18pp: Rockmart Jan-26 and other FY25–26 deals). 2027E: annualisation (+6pp). Future deals sit in the M&amp;A lever.</t>
  </si>
  <si>
    <t xml:space="preserve">Q4/26E: helper + outlook calibration Δ (zero unless a target is set). 2027E+: scenario lever ETG_OM.</t>
  </si>
  <si>
    <t xml:space="preserve">ETG_OM (ETG operating margin)</t>
  </si>
  <si>
    <t xml:space="preserve">ETG operating margin: FY25 23.7%, 9M/26 24.6%.</t>
  </si>
  <si>
    <t xml:space="preserve">  Memo: product line — Electronic components for defense, space &amp; aerospace</t>
  </si>
  <si>
    <t xml:space="preserve">  Memo: product line — Other electronic components</t>
  </si>
  <si>
    <t xml:space="preserve">MA_spend (future acquisitions, $m)</t>
  </si>
  <si>
    <t xml:space="preserve">HEICO acquisition spend averaged ~$0.8bn p.a. over FY2021–25 incl. Wencor ($2.4bn in FY23); $1.0bn in 9M/26.</t>
  </si>
  <si>
    <t xml:space="preserve">Intersegment eliminations &amp; corporate (other, primarily corporate)</t>
  </si>
  <si>
    <t xml:space="preserve">ELIMINATIONS &amp; CORPORATE — modelling logic</t>
  </si>
  <si>
    <t xml:space="preserve">  Intersegment sales (eliminated)</t>
  </si>
  <si>
    <t xml:space="preserve">  Intersegment sales % of segment sales</t>
  </si>
  <si>
    <t xml:space="preserve">Forecast held at the 9M/26 ratio.</t>
  </si>
  <si>
    <t xml:space="preserve">MINLEV (minimum net debt / Adjusted EBITDA for buybacks, x)</t>
  </si>
  <si>
    <t xml:space="preserve">Buyback floor: Bull 1.5x (more capital returned), Base 1.0x, Bear 0.5x.</t>
  </si>
  <si>
    <t xml:space="preserve">  Other, primarily corporate — operating income (loss)</t>
  </si>
  <si>
    <t xml:space="preserve">  Corporate costs % of net sales</t>
  </si>
  <si>
    <t xml:space="preserve">Forecast held at the 9M/26 ratio (corporate costs incl. LCP-related expense).</t>
  </si>
  <si>
    <t xml:space="preserve">  Corporate D&amp;A (consolidated D&amp;A − segments)</t>
  </si>
  <si>
    <t xml:space="preserve">Future acquisitions (M&amp;A lever — bolt-ons, unallocated; deals closed from 2027E)</t>
  </si>
  <si>
    <t xml:space="preserve">M&amp;A LEVER — acquired sales = spend ÷ EV/sales; mid-year convention</t>
  </si>
  <si>
    <t xml:space="preserve">  Acquisition spend (USDm, scenario)</t>
  </si>
  <si>
    <t xml:space="preserve">Scenario lever MA_spend. HEICO deployed ~$0.2–0.6bn p.a. on acquisitions in FY2017–22, $2.4bn in FY2023 (Wencor, Exxelia), $0.2–0.6bn in FY2024–25 and $1.0bn in 9M/26.</t>
  </si>
  <si>
    <t xml:space="preserve">  Purchase multiple — EV / sales (x)</t>
  </si>
  <si>
    <t xml:space="preserve">~16x EBITDA at a ~25% EBITDA margin (HEICO niche aerospace / electronics bolt-ons; Wencor ~$1.9bn at ~3.7x sales).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</si>
  <si>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</si>
  <si>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</si>
  <si>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</si>
  <si>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Net sales from future acquisitions</t>
  </si>
  <si>
    <t xml:space="preserve">Mid-year convention: deals close evenly through the year (half a year of sales in year 1).</t>
  </si>
  <si>
    <t xml:space="preserve">  Operating margin of acquired businesses % (after amortization)</t>
  </si>
  <si>
    <t xml:space="preserve">Below group margin in early years (purchase-accounting amortization, integration).</t>
  </si>
  <si>
    <t xml:space="preserve">  Operating income from future acquisitions</t>
  </si>
  <si>
    <t xml:space="preserve">  D&amp;A of acquired businesses % of sales (incl. amortization)</t>
  </si>
  <si>
    <t xml:space="preserve">  D&amp;A from future acquisitions</t>
  </si>
  <si>
    <t xml:space="preserve">  PP&amp;E % of spend</t>
  </si>
  <si>
    <t xml:space="preserve">Asset-light niche businesses: consideration mostly goodwill and intangibles (Wencor PPA: PP&amp;E ~4%, intangibles ~35%).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</si>
  <si>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</si>
  <si>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</si>
  <si>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</si>
  <si>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D&amp;A)</t>
  </si>
  <si>
    <t xml:space="preserve">Group total — net sales &amp; operating income (segment build) → Adjusted EBITDA</t>
  </si>
  <si>
    <t xml:space="preserve">GROUP TOTAL (CONSOLIDATED) — modelling logic</t>
  </si>
  <si>
    <t xml:space="preserve">Net sales (segment build)</t>
  </si>
  <si>
    <t xml:space="preserve">Σ FSG + ETG − intersegment sales + future M&amp;A.</t>
  </si>
  <si>
    <t xml:space="preserve">Operating income (segment build)</t>
  </si>
  <si>
    <t xml:space="preserve">  Check: segment build vs consolidated net sales (should be 0)</t>
  </si>
  <si>
    <t xml:space="preserve">  Check: segment build vs consolidated operating income (should be 0)</t>
  </si>
  <si>
    <t xml:space="preserve">  Memo: consolidated organic net sales growth % (company-reported, where stated)</t>
  </si>
  <si>
    <t xml:space="preserve">  Memo: FY26 net sales target — optional input (e.g. consensus; blank = driver-based)</t>
  </si>
  <si>
    <t xml:space="preserve">HEICO gives no numerical guidance (qualitative outlook only). Enter a FY26 net sales target in the scenario table (CO12:CQ12) to calibrate Q4/26E; leave blank for the driver-based forecast.</t>
  </si>
  <si>
    <t xml:space="preserve">  Net sales before outlook calibration (Q4/26E helper)</t>
  </si>
  <si>
    <t xml:space="preserve">  Net sales sensitivity to +1.00 of growth (Q4/26E helper)</t>
  </si>
  <si>
    <t xml:space="preserve">  Outlook calibration: Δ y/y growth applied to both segments (Q4/26E)</t>
  </si>
  <si>
    <t xml:space="preserve">Solves the uniform growth shift so that FY26E net sales = the target when one is entered; zero otherwise.</t>
  </si>
  <si>
    <t xml:space="preserve">  Check: FY26E net sales vs target (should be 0 when a target is set)</t>
  </si>
  <si>
    <t xml:space="preserve">  Memo: FY26 Adjusted EBITDA target — optional input (blank = driver-based)</t>
  </si>
  <si>
    <t xml:space="preserve">  Adjusted EBITDA before margin calibration (Q4/26E helper)</t>
  </si>
  <si>
    <t xml:space="preserve">Adjusted EBITDA = operating income + other income + D&amp;A + adjusting items (EBITDA = net income + NCI + tax + interest + D&amp;A).</t>
  </si>
  <si>
    <t xml:space="preserve">  Outlook calibration: Δ operating margin applied to both segments (Q4/26E)</t>
  </si>
  <si>
    <t xml:space="preserve">  Check: FY26E Adjusted EBITDA vs target (should be 0 when a target is set)</t>
  </si>
  <si>
    <t xml:space="preserve">Cost drivers &amp; D&amp;A</t>
  </si>
  <si>
    <t xml:space="preserve">COST DRIVERS — inputs that drive forecast cost lines</t>
  </si>
  <si>
    <t xml:space="preserve">  Gross margin % (forecast driver)</t>
  </si>
  <si>
    <t xml:space="preserve">Q4/26E: 9M/26 gross margin (40.3%). 2027E+: 40.5% input (FY25 39.8%; mix shift to PMA/ETG). SG&amp;A is the plug between gross profit and the segment operating-income build.</t>
  </si>
  <si>
    <t xml:space="preserve">  Depreciation (D&amp;A − amortization of intangibles)</t>
  </si>
  <si>
    <t xml:space="preserve">  Depreciation % of net sales</t>
  </si>
  <si>
    <t xml:space="preserve">9M/26: 1.2% of net sales; 2027E+ 1.2% input (capex ~1.6% of sales).</t>
  </si>
  <si>
    <t xml:space="preserve">  Amortization of acquired intangibles — existing (company schedule)</t>
  </si>
  <si>
    <t xml:space="preserve">Q3-26 Form 10-Q: remainder of FY26 $43.6m; FY27 $170.8m, FY28 $163.7m, FY29 $156.9m, FY30 $149.0m (intangibles held at 31-Jul-2026).</t>
  </si>
  <si>
    <t xml:space="preserve">  SG&amp;A % of net sales (output)</t>
  </si>
  <si>
    <t xml:space="preserve">  Share-based compensation % of net sales</t>
  </si>
  <si>
    <t xml:space="preserve">CONSOLIDATED STATEMENT OF OPERATIONS (US GAAP, as reported; fiscal year ends 31 October)</t>
  </si>
  <si>
    <t xml:space="preserve">CONSOLIDATED IS — forecast logic</t>
  </si>
  <si>
    <t xml:space="preserve">Net sales</t>
  </si>
  <si>
    <t xml:space="preserve">Forecast linked to the segment build.</t>
  </si>
  <si>
    <t xml:space="preserve">Cost of sales</t>
  </si>
  <si>
    <t xml:space="preserve">Forecast = net sales × (1 − gross margin input).</t>
  </si>
  <si>
    <t xml:space="preserve">Gross profit</t>
  </si>
  <si>
    <t xml:space="preserve">Selling, general &amp; administrative expenses</t>
  </si>
  <si>
    <t xml:space="preserve">Forecast = gross profit − segment-build operating income (plug; HEICO reports segment operating income, not segment gross profit).</t>
  </si>
  <si>
    <t xml:space="preserve">Operating income</t>
  </si>
  <si>
    <t xml:space="preserve">Interest expense</t>
  </si>
  <si>
    <t xml:space="preserve">Q4/26E: 31-Jul-26 balances ($2.4bn senior notes at ~5.45% effective incl. Jul-26 issue; $145m revolver at 4.6%) ÷ 4. 2027E+: rate × opening balance (no circularity).</t>
  </si>
  <si>
    <t xml:space="preserve">Other income (expense), net</t>
  </si>
  <si>
    <t xml:space="preserve">Mainly LCP-related investment income (corporate-owned life insurance). Q4/26E: 9M/26 average; 2027E+ flat.</t>
  </si>
  <si>
    <t xml:space="preserve">Income before income taxes and noncontrolling interests</t>
  </si>
  <si>
    <t xml:space="preserve">Income tax expense</t>
  </si>
  <si>
    <t xml:space="preserve">  Effective tax rate</t>
  </si>
  <si>
    <t xml:space="preserve">9M/26 ETR 18.4% incl. the $22.3m Q1 stock-option benefit (21.0% excl.). Q4/26E 21.0%; 2027E+ 20.5% (no discrete stock-option benefits forecast).</t>
  </si>
  <si>
    <t xml:space="preserve">Net income from consolidated operations</t>
  </si>
  <si>
    <t xml:space="preserve">  Less: net income attributable to noncontrolling interests</t>
  </si>
  <si>
    <t xml:space="preserve">  NCI share of consolidated net income %</t>
  </si>
  <si>
    <t xml:space="preserve">9M/26 7.1%; held flat.</t>
  </si>
  <si>
    <t xml:space="preserve">Net income attributable to HEICO</t>
  </si>
  <si>
    <t xml:space="preserve">  Check: net income attributable vs reported (should be 0; ±0.1 rounding tolerated)</t>
  </si>
  <si>
    <t xml:space="preserve">  Memo: net income attributable to HEICO as reported</t>
  </si>
  <si>
    <t xml:space="preserve">  Memo: depreciation &amp; amortization (cash-flow statement)</t>
  </si>
  <si>
    <t xml:space="preserve">Forecast = depreciation + scheduled amortization of existing intangibles + future-M&amp;A D&amp;A.</t>
  </si>
  <si>
    <t xml:space="preserve">  Memo: share-based compensation</t>
  </si>
  <si>
    <t xml:space="preserve">(Earnings per share — all share data restated for the seven 5-for-4 stock splits 2010–2018; Common (HEI) + Class A (HEI.A) combined)</t>
  </si>
  <si>
    <t xml:space="preserve">  Weighted-average basic shares (m)</t>
  </si>
  <si>
    <t xml:space="preserve">Q4/26E: Q3/26 level. 2027E+: average of beginning and ending shares outstanding.</t>
  </si>
  <si>
    <t xml:space="preserve">  Weighted-average diluted shares (m)</t>
  </si>
  <si>
    <t xml:space="preserve">EPS – basic, attributable to HEICO ($)</t>
  </si>
  <si>
    <t xml:space="preserve">EPS – diluted, attributable to HEICO ($)</t>
  </si>
  <si>
    <t xml:space="preserve">EPS computed as net income / weighted diluted shares on the current share basis (may differ by ±$0.01 vs reported).</t>
  </si>
  <si>
    <t xml:space="preserve">  EPS – diluted y/y %</t>
  </si>
  <si>
    <t xml:space="preserve">  Memo: EPS – diluted as reported ($, share basis at each filing date)</t>
  </si>
  <si>
    <t xml:space="preserve">  Dividends declared per share ($, split-adjusted)</t>
  </si>
  <si>
    <t xml:space="preserve">HEICO pays semi-annual cash dividends (January and July); none in Q2/Q4. FY2013 and FY2014 include special dividends paid in Dec-2012 ($1.14 pre-split) and Dec-2013 ($0.35 pre-split). 2027E+: +8% p.a.</t>
  </si>
  <si>
    <t xml:space="preserve">  Dividend per share growth %</t>
  </si>
  <si>
    <t xml:space="preserve">RECONCILIATION: NET INCOME ATTRIBUTABLE TO HEICO → EBITDA (company definition) → ADJUSTED EBITDA (model definition)</t>
  </si>
  <si>
    <t xml:space="preserve">EBITDA per HEICO earnings-release reconciliation (published from Q4 FY2018); Adjusted EBITDA = model definition (HEICO publishes no adjusted measures)</t>
  </si>
  <si>
    <t xml:space="preserve">Net income attributable to HEICO (GAAP)</t>
  </si>
  <si>
    <t xml:space="preserve">  (+) Depreciation &amp; amortization</t>
  </si>
  <si>
    <t xml:space="preserve">  (+) Net income attributable to noncontrolling interests</t>
  </si>
  <si>
    <t xml:space="preserve">  (+) Interest expense</t>
  </si>
  <si>
    <t xml:space="preserve">  (+) Income tax expense</t>
  </si>
  <si>
    <t xml:space="preserve">  = EBITDA (company definition)</t>
  </si>
  <si>
    <t xml:space="preserve">  Company-published EBITDA (earnings releases; from Q4/FY2017 comparatives)</t>
  </si>
  <si>
    <t xml:space="preserve">  Check: model EBITDA vs company-published (should be 0)</t>
  </si>
  <si>
    <t xml:space="preserve">  (+) Acquisition costs (company-disclosed: FY16 acquisition; Exxelia &amp; Wencor FY23)</t>
  </si>
  <si>
    <t xml:space="preserve">  (+/−) Change in accrued contingent consideration (non-cash; cash-flow statement)</t>
  </si>
  <si>
    <t xml:space="preserve">  (−) Gain on amendment &amp; termination of a contingent consideration agreement (FY23)</t>
  </si>
  <si>
    <t xml:space="preserve">  (+) Impairment of intangible assets</t>
  </si>
  <si>
    <t xml:space="preserve">  Total adjusting items</t>
  </si>
  <si>
    <t xml:space="preserve">  = Adjusted EBITDA (model definition)</t>
  </si>
  <si>
    <t xml:space="preserve">Adjusted EBITDA = company EBITDA + acquisition costs + non-cash contingent-consideration remeasurement + intangible impairments (items HEICO itself calls out in releases / the cash-flow statement).</t>
  </si>
  <si>
    <t xml:space="preserve">  Adjusted EBITDA margin %</t>
  </si>
  <si>
    <t xml:space="preserve">  Definition basis</t>
  </si>
  <si>
    <t xml:space="preserve">Model EBITDA = company definition</t>
  </si>
  <si>
    <t xml:space="preserve">Co. EBITDA published (Q4/18 release; FY17 &amp; Q4/17 comparatives)</t>
  </si>
  <si>
    <t xml:space="preserve">Flags where company disclosure starts / changes.</t>
  </si>
  <si>
    <t xml:space="preserve">To adjusted EBIT:</t>
  </si>
  <si>
    <t xml:space="preserve">  (−) Depreciation &amp; amortization</t>
  </si>
  <si>
    <t xml:space="preserve">  = Adjusted EBIT (model)</t>
  </si>
  <si>
    <t xml:space="preserve">  Adjusted EBIT margin %</t>
  </si>
  <si>
    <t xml:space="preserve">  Memo: Adjusted EBITDA — last twelve months (quarter columns) / fiscal year</t>
  </si>
  <si>
    <t xml:space="preserve">Quarter columns: sum of the last four quarters (used for leverage at quarter ends).</t>
  </si>
  <si>
    <t xml:space="preserve">RECONCILIATION: GAAP NET INCOME / DILUTED EPS → ADJUSTED EPS (model definition)</t>
  </si>
  <si>
    <t xml:space="preserve">ADJUSTED EPS — HEICO published adjusted EPS only for Q1 FY2016; model applies one definition to all periods</t>
  </si>
  <si>
    <t xml:space="preserve">  (+) Adjusting items, pre-tax (as in the Adjusted EBITDA bridge)</t>
  </si>
  <si>
    <t xml:space="preserve">  Tax rate applied to adjustments</t>
  </si>
  <si>
    <t xml:space="preserve">Period ETR bounded 15–40%; disclosed after-tax acquisition costs trued up in the row below.</t>
  </si>
  <si>
    <t xml:space="preserve">  (−) Income tax effect of adjusting items</t>
  </si>
  <si>
    <t xml:space="preserve">  Memo: acquisition costs after tax, net of NCI (company-disclosed)</t>
  </si>
  <si>
    <t xml:space="preserve">  (+/−) True-up to company-disclosed after-tax acquisition costs</t>
  </si>
  <si>
    <t xml:space="preserve">Wencor transaction costs were largely non-deductible: company-disclosed after-tax impact ≈ pre-tax amount.</t>
  </si>
  <si>
    <t xml:space="preserve">  (−) Discrete tax benefit from stock option exercises, net of NCI (ASU 2016-09, from FY2017)</t>
  </si>
  <si>
    <t xml:space="preserve">Recognised mainly in Q1 (option exercises). Forecast: none (GAAP ETR input excludes discrete benefits).</t>
  </si>
  <si>
    <t xml:space="preserve">  Memo: discrete tax benefit from stock option exercises, net of NCI (company-disclosed)</t>
  </si>
  <si>
    <t xml:space="preserve">  (−) Tax Cuts and Jobs Act one-time net benefit (FY2018: deferred-tax remeasurement less transition tax)</t>
  </si>
  <si>
    <t xml:space="preserve">  Memo: Tax Act one-time net benefit (company-disclosed)</t>
  </si>
  <si>
    <t xml:space="preserve">  (+/−) Other company-defined items</t>
  </si>
  <si>
    <t xml:space="preserve">  = Adjusted net income attributable to HEICO (model)</t>
  </si>
  <si>
    <t xml:space="preserve">Adjusted EPS – diluted ($) (model)</t>
  </si>
  <si>
    <t xml:space="preserve">  Company-published adjusted EPS – diluted ($, split-adjusted)</t>
  </si>
  <si>
    <t xml:space="preserve">  Check: model vs company-published adjusted EPS (should be 0.00)</t>
  </si>
  <si>
    <t xml:space="preserve">  Definition basis (company adjusted EPS, where published)</t>
  </si>
  <si>
    <t xml:space="preserve">Co. adjusted EPS (ex acq. costs)</t>
  </si>
  <si>
    <t xml:space="preserve">ASU 2016-09: option tax benefits in P&amp;L</t>
  </si>
  <si>
    <t xml:space="preserve">GROWTH &amp; MARGINS</t>
  </si>
  <si>
    <t xml:space="preserve">GROWTH &amp; MARGINS (consolidated) — forecast outputs</t>
  </si>
  <si>
    <t xml:space="preserve">  FSG net sales y/y %</t>
  </si>
  <si>
    <t xml:space="preserve">  ETG net sales y/y %</t>
  </si>
  <si>
    <t xml:space="preserve">  Adjusted EBITDA y/y %</t>
  </si>
  <si>
    <t xml:space="preserve">  Operating income y/y %</t>
  </si>
  <si>
    <t xml:space="preserve">  Net income attributable y/y %</t>
  </si>
  <si>
    <t xml:space="preserve">  Adjusted EPS y/y %</t>
  </si>
  <si>
    <t xml:space="preserve">  Gross margin %</t>
  </si>
  <si>
    <t xml:space="preserve">  Incremental Adjusted EBITDA margin (ΔEBITDA / ΔNet sales)</t>
  </si>
  <si>
    <t xml:space="preserve">  Net margin %</t>
  </si>
  <si>
    <t xml:space="preserve">  SG&amp;A % of net sales</t>
  </si>
  <si>
    <t xml:space="preserve">  FSG operating margin %</t>
  </si>
  <si>
    <t xml:space="preserve">  ETG operating margin %</t>
  </si>
  <si>
    <t xml:space="preserve">CONSOLIDATED STATEMENT OF CASH FLOWS</t>
  </si>
  <si>
    <t xml:space="preserve">CASH FLOW — forecast logic (annual; 2026E = 9M/26 actual + Q4/26E estimate; quarters = discrete, derived from year-to-date statements)</t>
  </si>
  <si>
    <t xml:space="preserve">Adjustments:</t>
  </si>
  <si>
    <t xml:space="preserve">  Depreciation &amp; amortization</t>
  </si>
  <si>
    <t xml:space="preserve">  Share-based compensation</t>
  </si>
  <si>
    <t xml:space="preserve">  Deferred income tax provision (benefit)</t>
  </si>
  <si>
    <t xml:space="preserve">  Other non-cash items, net (derived; incl. contingent consideration, 401(k) stock contributions, LCP)</t>
  </si>
  <si>
    <t xml:space="preserve">  Changes in operating assets &amp; liabilities, net</t>
  </si>
  <si>
    <t xml:space="preserve">Linked to the balance sheet: −Δ(receivables, contract assets, inventories) + Δ(payables, accrued liabilities).</t>
  </si>
  <si>
    <t xml:space="preserve">Net cash provided by operating activities</t>
  </si>
  <si>
    <t xml:space="preserve">Capital expenditures</t>
  </si>
  <si>
    <t xml:space="preserve">Q4/26E and 2027E+: net sales × capex % input (1.6%).</t>
  </si>
  <si>
    <t xml:space="preserve">Acquisitions, net of cash acquired</t>
  </si>
  <si>
    <t xml:space="preserve">2026E: 9M/26 actual ($1,018m: Rockmart, Ethos, Sherwood and others); no further Q4 deals assumed. 2027E+: M&amp;A lever.</t>
  </si>
  <si>
    <t xml:space="preserve">Other investing activities, net (derived; incl. LCP investments, COLI)</t>
  </si>
  <si>
    <t xml:space="preserve">Net cash used in investing activities</t>
  </si>
  <si>
    <t xml:space="preserve">Borrowings (revolving credit facility, senior notes, short-term)</t>
  </si>
  <si>
    <t xml:space="preserve">Repayments of debt (revolver, short-term, notes at maturity)</t>
  </si>
  <si>
    <t xml:space="preserve">Net issuance / (repayment) = change in total debt per the debt schedule (scheduled note maturities, refinancing, revolver).</t>
  </si>
  <si>
    <t xml:space="preserve">Cash dividends paid</t>
  </si>
  <si>
    <t xml:space="preserve">2027E+: dividends per share × beginning shares outstanding (avoids circularity with buybacks).</t>
  </si>
  <si>
    <t xml:space="preserve">Distributions to noncontrolling interests</t>
  </si>
  <si>
    <t xml:space="preserve">Acquisitions of noncontrolling interests (redemptions of put rights)</t>
  </si>
  <si>
    <t xml:space="preserve">Share repurchases (forecast: leverage plug)</t>
  </si>
  <si>
    <t xml:space="preserve">HEICO has not repurchased shares on the open market since FY2010 (only redemptions tied to option exercises, shown below). 2027E+: surplus capital returned once net debt / Adj. EBITDA reaches the scenario floor (alternatively deployable in M&amp;A).</t>
  </si>
  <si>
    <t xml:space="preserve">Stock option proceeds, net of share redemptions related to option exercises</t>
  </si>
  <si>
    <t xml:space="preserve">Other financing activities, net (derived; incl. contingent-consideration payments, debt costs)</t>
  </si>
  <si>
    <t xml:space="preserve">Net cash provided by (used in) financing activities</t>
  </si>
  <si>
    <t xml:space="preserve">Effect of exchange rate changes on cash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</si>
  <si>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</si>
  <si>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</si>
  <si>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</si>
  <si>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CFO + CFI + CFF + FX = change in cash (should be 0)</t>
  </si>
  <si>
    <t xml:space="preserve">  Check: beginning cash + change = ending cash (should be 0)</t>
  </si>
  <si>
    <t xml:space="preserve">(Memo)</t>
  </si>
  <si>
    <t xml:space="preserve">Free cash flow (operating cash flow − capital expenditures)</t>
  </si>
  <si>
    <t xml:space="preserve">HEICO does not publish a free-cash-flow measure; model definition = CFO − capital expenditures.</t>
  </si>
  <si>
    <t xml:space="preserve">  FCF y/y %</t>
  </si>
  <si>
    <t xml:space="preserve">  FCF % of net sales</t>
  </si>
  <si>
    <t xml:space="preserve">  FCF / adjusted net income conversion %</t>
  </si>
  <si>
    <t xml:space="preserve">  FCF per diluted share ($)</t>
  </si>
  <si>
    <t xml:space="preserve">Capex ratios</t>
  </si>
  <si>
    <t xml:space="preserve">  Capex % of net sales</t>
  </si>
  <si>
    <t xml:space="preserve">2027E+: 1.6% input (FY25 1.6%; 9M/26 1.4%).</t>
  </si>
  <si>
    <t xml:space="preserve">  Capex / D&amp;A (x)</t>
  </si>
  <si>
    <t xml:space="preserve">SHARE SCHEDULE &amp; BUYBACKS</t>
  </si>
  <si>
    <t xml:space="preserve">SHARES — Common (HEI) + Class A (HEI.A), split-adjusted</t>
  </si>
  <si>
    <t xml:space="preserve">  Avg buyback price ($)</t>
  </si>
  <si>
    <t xml:space="preserve">2026E = current HEI share price (valuation input); appreciates with the share-price input (HEI.A trades at a discount; repurchases assumed at the HEI price).</t>
  </si>
  <si>
    <t xml:space="preserve">  Buyback cash deployed (USDm)</t>
  </si>
  <si>
    <t xml:space="preserve">  Implied shares repurchased (m)</t>
  </si>
  <si>
    <t xml:space="preserve">  Shares issued under equity plans &amp; for acquisitions (m)</t>
  </si>
  <si>
    <t xml:space="preserve">FY21–25 average net issuance ~0.8m p.a. incl. option exercises (net of redemptions) and Class A shares issued in acquisitions.</t>
  </si>
  <si>
    <t xml:space="preserve">  Beginning shares outstanding (m)</t>
  </si>
  <si>
    <t xml:space="preserve">2026E begins from shares outstanding at 31-Jul-2026 (Q3-26 Form 10-Q cover: Common + Class A).</t>
  </si>
  <si>
    <t xml:space="preserve">  Ending shares outstanding (m)</t>
  </si>
  <si>
    <t xml:space="preserve">  % of shares repurchased</t>
  </si>
  <si>
    <t xml:space="preserve">  Memo: cumulative shares repurchased since Q4/26 (m)</t>
  </si>
  <si>
    <t xml:space="preserve">CONSOLIDATED BALANCE SHEET</t>
  </si>
  <si>
    <t xml:space="preserve">BS FORECAST — 2026E rolled forward from the 31-Jul-2026 balance sheet (Q3/26) + Q4/26E flows; 2027E+ from prior year end</t>
  </si>
  <si>
    <t xml:space="preserve">ASSETS</t>
  </si>
  <si>
    <t xml:space="preserve">  Cash and cash equivalents</t>
  </si>
  <si>
    <t xml:space="preserve">  Accounts receivable, net</t>
  </si>
  <si>
    <t xml:space="preserve">  Contract assets (costs &amp; estimated earnings in excess of billings before FY2018)</t>
  </si>
  <si>
    <t xml:space="preserve">  Inventories, net</t>
  </si>
  <si>
    <t xml:space="preserve">  Prepaid expenses &amp; other current assets (derived; incl. deferred taxes to FY2016)</t>
  </si>
  <si>
    <t xml:space="preserve">Total current assets</t>
  </si>
  <si>
    <t xml:space="preserve">  Property, plant &amp; equipment, net</t>
  </si>
  <si>
    <t xml:space="preserve">PP&amp;E roll-forward: prior + capex − depreciation (+ acquired PP&amp;E, net of future-M&amp;A depreciation).</t>
  </si>
  <si>
    <t xml:space="preserve">  Goodwill</t>
  </si>
  <si>
    <t xml:space="preserve">  Intangible assets, net</t>
  </si>
  <si>
    <t xml:space="preserve">Intangibles roll-forward: prior + acquired − amortization (company schedule for existing intangibles).</t>
  </si>
  <si>
    <t xml:space="preserve">  Other assets (derived; incl. LCP corporate-owned life insurance, ROU assets)</t>
  </si>
  <si>
    <t xml:space="preserve">TOTAL ASSETS</t>
  </si>
  <si>
    <t xml:space="preserve">LIABILITIES, REDEEMABLE NONCONTROLLING INTERESTS AND EQUITY</t>
  </si>
  <si>
    <t xml:space="preserve">  Current maturities of long-term debt (incl. short-term debt)</t>
  </si>
  <si>
    <t xml:space="preserve">  Trade accounts payable</t>
  </si>
  <si>
    <t xml:space="preserve">  Accrued expenses &amp; other current liabilities (derived)</t>
  </si>
  <si>
    <t xml:space="preserve">  Income taxes payable</t>
  </si>
  <si>
    <t xml:space="preserve">Total current liabilities</t>
  </si>
  <si>
    <t xml:space="preserve">  Long-term debt, net of current maturities</t>
  </si>
  <si>
    <t xml:space="preserve">  Deferred income taxes</t>
  </si>
  <si>
    <t xml:space="preserve">  Other long-term liabilities (derived; incl. LCP, operating leases, contingent consideration)</t>
  </si>
  <si>
    <t xml:space="preserve">Total liabilities</t>
  </si>
  <si>
    <t xml:space="preserve">Redeemable noncontrolling interests (mezzanine; minority interests before FY2010)</t>
  </si>
  <si>
    <t xml:space="preserve">Held flat (put rights of minority owners in FSG/ETG subsidiaries carried at redemption value; accretion via equity not modelled).</t>
  </si>
  <si>
    <t xml:space="preserve">Shareholders' equity:</t>
  </si>
  <si>
    <t xml:space="preserve">  Common &amp; Class A common stock, capital in excess of par (incl. deferred compensation, net; derived)</t>
  </si>
  <si>
    <t xml:space="preserve">+ share-based compensation + net option proceeds / redemptions.</t>
  </si>
  <si>
    <t xml:space="preserve">  Retained earnings</t>
  </si>
  <si>
    <t xml:space="preserve">+ net income attributable to HEICO − dividends − share repurchases (retired; cost charged to retained earnings).</t>
  </si>
  <si>
    <t xml:space="preserve">  Accumulated other comprehensive income (loss)</t>
  </si>
  <si>
    <t xml:space="preserve">Total HEICO shareholders' equity</t>
  </si>
  <si>
    <t xml:space="preserve">  Noncontrolling interests (equity)</t>
  </si>
  <si>
    <t xml:space="preserve">+ NCI share of net income − distributions (all NCI income booked here; redeemable NCI held flat).</t>
  </si>
  <si>
    <t xml:space="preserve">Total shareholders' equity</t>
  </si>
  <si>
    <t xml:space="preserve">TOTAL LIABILITIES, REDEEMABLE NCI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</si>
  <si>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</si>
  <si>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</si>
  <si>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</si>
  <si>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vs cash-flow ending cash (should be 0)</t>
  </si>
  <si>
    <t xml:space="preserve">  Memo: shares outstanding at period end — Common + Class A (m, split-adjusted)</t>
  </si>
  <si>
    <t xml:space="preserve">WORKING CAPITAL &amp; CASH CONVERSION</t>
  </si>
  <si>
    <t xml:space="preserve">WORKING CAPITAL — forecast drivers (blue = input; annual columns)</t>
  </si>
  <si>
    <t xml:space="preserve">  DSO — receivables / net sales × 365</t>
  </si>
  <si>
    <t xml:space="preserve">  Contract assets % of net sales</t>
  </si>
  <si>
    <t xml:space="preserve">  Inventory days — inventories / cost of sales × 365</t>
  </si>
  <si>
    <t xml:space="preserve">  Payable days — payables / cost of sales × 365</t>
  </si>
  <si>
    <t xml:space="preserve">  Accrued expenses &amp; other current liabilities % of net sales</t>
  </si>
  <si>
    <t xml:space="preserve">Forecast inputs near FY2025 / 31-Jul-26 levels (DSO 52d, contract assets 2.7%, inventory 175d, payables 31d, accrued 12.9% in FY25).</t>
  </si>
  <si>
    <t xml:space="preserve">  Operating NWC (receivables + contract assets + inventories − payables − accrued)</t>
  </si>
  <si>
    <t xml:space="preserve">  NWC % of net sales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</si>
  <si>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</si>
  <si>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</si>
  <si>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</si>
  <si>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Shares, NCI &amp; other</t>
  </si>
  <si>
    <t xml:space="preserve">  Dilutive securities (m shares)</t>
  </si>
  <si>
    <t xml:space="preserve">Q3/26: 1.6m (stock options; treasury-stock method).</t>
  </si>
  <si>
    <t xml:space="preserve">  Share-price appreciation % (buyback pricing)</t>
  </si>
  <si>
    <t xml:space="preserve">  Distributions to NCI % of NCI net income</t>
  </si>
  <si>
    <t xml:space="preserve">FY2021–25 average ~80%; FY25 70%.</t>
  </si>
  <si>
    <t xml:space="preserve">Debt schedule (senior notes with scheduled maturities + revolver as the prepayable facility, to a minimum cash balance)</t>
  </si>
  <si>
    <t xml:space="preserve">  Total debt (current + long-term)</t>
  </si>
  <si>
    <t xml:space="preserve">31-Jul-26: $2,541m = senior notes $2,400m face (5.25% 2028 $600m; 4.95% 2031 $550m; 5.35% 2033 $600m; 5.40% 2036 $650m) + revolver $145m − unamortised discount/costs net of other debt.</t>
  </si>
  <si>
    <t xml:space="preserve">  Scheduled senior-note maturities (input, negative)</t>
  </si>
  <si>
    <t xml:space="preserve">5.25% notes due 1-Aug-2028 (fiscal 2028). Next maturity: 4.95% notes due Aug-2031 (beyond the forecast).</t>
  </si>
  <si>
    <t xml:space="preserve">  % of scheduled maturities refinanced (input)</t>
  </si>
  <si>
    <t xml:space="preserve">  Refinancing issuance</t>
  </si>
  <si>
    <t xml:space="preserve">  Senior notes outstanding (face, period end)</t>
  </si>
  <si>
    <t xml:space="preserve">  Interest rate on senior notes (effective) %</t>
  </si>
  <si>
    <t xml:space="preserve">Effective rates 5.5% (2028, 2033, 2036 notes) and 5.2% (2031 notes) per the Q3-26 10-Q → ~5.45% blended; 2028 refinancing assumed at a similar rate.</t>
  </si>
  <si>
    <t xml:space="preserve">  Revolving credit facility outstanding (prepayable; period end)</t>
  </si>
  <si>
    <t xml:space="preserve">$2.2bn facility maturing Jun-2031. Drawn / repaid so that cash = minimum balance; surplus cash first repays the revolver, then accumulates.</t>
  </si>
  <si>
    <t xml:space="preserve">  Interest rate on revolver %</t>
  </si>
  <si>
    <t xml:space="preserve">31-Jul-26 weighted average 4.6% (SOFR + ratings-based margin).</t>
  </si>
  <si>
    <t xml:space="preserve">  Other debt (finance leases, net of unamortised discount &amp; issuance costs)</t>
  </si>
  <si>
    <t xml:space="preserve">  Cash before revolver (opening cash + CFO + CFI + non-revolver financing)</t>
  </si>
  <si>
    <t xml:space="preserve">  Minimum cash balance</t>
  </si>
  <si>
    <t xml:space="preserve">HEICO typically holds ~$150–250m of cash.</t>
  </si>
  <si>
    <t xml:space="preserve">  Net issuance / (repayment) of debt</t>
  </si>
  <si>
    <t xml:space="preserve">  Interest rate on opening total debt % (historical = interest / opening total debt)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</si>
  <si>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</si>
  <si>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</si>
  <si>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HEICO targets net debt / EBITDA of ~1–2x through the cycle (2.8x after Wencor in FY23, 1.57x at Jul-26). Buybacks only once leverage falls below the scenario floor; otherwise surplus cash repays the revolver.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</si>
  <si>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</si>
  <si>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</si>
  <si>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</si>
  <si>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 xml:space="preserve">Zero while leverage is above the floor; feeds the cash-flow repurchase line.</t>
  </si>
  <si>
    <t xml:space="preserve">Historical reference (driver context)</t>
  </si>
  <si>
    <t xml:space="preserve">  Total D&amp;A % of net sales</t>
  </si>
  <si>
    <t xml:space="preserve">  Amortization of intangibles % of net sales</t>
  </si>
  <si>
    <t xml:space="preserve">RATIO ANALYSIS</t>
  </si>
  <si>
    <t xml:space="preserve">RETURNS — annual columns (NOPAT on Adjusted EBIT); leverage also at quarter ends (LTM Adjusted EBITDA)</t>
  </si>
  <si>
    <t xml:space="preserve">DuPont decomposition of ROIC</t>
  </si>
  <si>
    <t xml:space="preserve">Adjusted EBIT (Adjusted EBITDA − D&amp;A)</t>
  </si>
  <si>
    <t xml:space="preserve">Effective tax rate (actual)</t>
  </si>
  <si>
    <t xml:space="preserve">NOPAT = Adjusted EBIT × (1 − tax rate)</t>
  </si>
  <si>
    <t xml:space="preserve">Invested capital (IC) = Equity incl. NCI + redeemable NCI + Net debt</t>
  </si>
  <si>
    <t xml:space="preserve">  Total equity incl. NCI and redeemable NCI</t>
  </si>
  <si>
    <t xml:space="preserve">  Net debt = Total debt − Cash</t>
  </si>
  <si>
    <t xml:space="preserve">ROIC = NOPAT / IC</t>
  </si>
  <si>
    <t xml:space="preserve">  Margin = Adjusted EBIT / Net sales</t>
  </si>
  <si>
    <t xml:space="preserve">  Capital turnover = Net sales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</si>
  <si>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</si>
  <si>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</si>
  <si>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</si>
  <si>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</si>
  <si>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</si>
  <si>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</si>
  <si>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</si>
  <si>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</si>
  <si>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</si>
  <si>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HEICO shareholders' equity</t>
  </si>
  <si>
    <t xml:space="preserve">ROE = Net income / Equity</t>
  </si>
  <si>
    <t xml:space="preserve">Leverage</t>
  </si>
  <si>
    <t xml:space="preserve">Net debt = Total debt − cash</t>
  </si>
  <si>
    <t xml:space="preserve">Adjusted EBITDA (fiscal year; quarter columns = LTM)</t>
  </si>
  <si>
    <t xml:space="preserve">Net debt / Adjusted EBITDA (x)</t>
  </si>
  <si>
    <t xml:space="preserve">VALUATION</t>
  </si>
  <si>
    <t xml:space="preserve">VALUATION — HEI (common) share price input $302.45 (2-Oct-2026 close, stockanalysis.com) applied to all shares (HEI + HEI.A); update to market</t>
  </si>
  <si>
    <t xml:space="preserve">Share price ($) — current (HEI)</t>
  </si>
  <si>
    <t xml:space="preserve">User choice: HEI price applied to both share classes (HEI.A trades at a ~20% discount — e.g. $241.63 on 10-Jun-2026 per Form 4 — so market cap is overstated vs a blended price).</t>
  </si>
  <si>
    <t xml:space="preserve">Diluted shares at period end (m)</t>
  </si>
  <si>
    <t xml:space="preserve">Market capitalisation (USDm)</t>
  </si>
  <si>
    <t xml:space="preserve">Net debt (USDm)</t>
  </si>
  <si>
    <t xml:space="preserve">Redeemable NCI + noncontrolling interests (USDm)</t>
  </si>
  <si>
    <t xml:space="preserve">Enterprise value (USDm)</t>
  </si>
  <si>
    <t xml:space="preserve">Multiples</t>
  </si>
  <si>
    <t xml:space="preserve">  EV / Net sales</t>
  </si>
  <si>
    <t xml:space="preserve">  EV / Adjusted EBITDA</t>
  </si>
  <si>
    <t xml:space="preserve">  EV / Adjusted EBIT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</si>
  <si>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</si>
  <si>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</si>
  <si>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</si>
  <si>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</si>
  <si>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Dividend yield</t>
  </si>
  <si>
    <t xml:space="preserve">HEICO Corporation (HEI) — Bull / Base / Bear Case P&amp;L Summary</t>
  </si>
  <si>
    <t xml:space="preserve">Share price ($):</t>
  </si>
  <si>
    <t xml:space="preserve">Adjusted figures (model definition: Adjusted EBITDA / adjusted EPS — HEICO publishes only EBITDA) · USD millions · fiscal years ending 31 October · Live panel linked to Model — toggle scenario via Model!CF2. Bull and Bear panels are value snapshots generated from the Model with the switch set to each case. Share price = HEI (common) applied to all shares.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</si>
  <si>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</si>
  <si>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</si>
  <si>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</si>
  <si>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</si>
  <si>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</si>
  <si>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</si>
  <si>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</si>
  <si>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</si>
  <si>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</si>
  <si>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</si>
  <si>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Net sales y/y %</t>
  </si>
  <si>
    <t xml:space="preserve">   FSG net sales y/y %</t>
  </si>
  <si>
    <t xml:space="preserve">Adjusted EBITDA (model definition)</t>
  </si>
  <si>
    <t xml:space="preserve">   Adjusted EBITDA margin %</t>
  </si>
  <si>
    <t xml:space="preserve">Operating Income (GAAP)</t>
  </si>
  <si>
    <t xml:space="preserve">   Operating income y/y %</t>
  </si>
  <si>
    <t xml:space="preserve">   Operating margin (GAAP) %</t>
  </si>
  <si>
    <t xml:space="preserve">Adjusted Net Income (attributable to HEICO)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</si>
  <si>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</si>
  <si>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</si>
  <si>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</si>
  <si>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</si>
  <si>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</si>
  <si>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</si>
  <si>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fiscal year-end Y-1, 31-Oct)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</si>
  <si>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</si>
  <si>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</si>
  <si>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</si>
  <si>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</si>
  <si>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Adjusted EBITDA (fiscal year)</t>
  </si>
  <si>
    <t xml:space="preserve">   Adjusted EBITDA % of net sales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</si>
  <si>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</si>
  <si>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</si>
  <si>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</si>
  <si>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</si>
  <si>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</si>
  <si>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Debt, redeemable NCI &amp; NCI</t>
  </si>
  <si>
    <t xml:space="preserve">Implied Enterprise Value (USDm)</t>
  </si>
  <si>
    <t xml:space="preserve">Implied EV / Adjusted EBITDA (x)</t>
  </si>
  <si>
    <t xml:space="preserve">DCF VALUATION — HEICO CORPORATION (HEI)</t>
  </si>
  <si>
    <t xml:space="preserve">1. WACC BUILD</t>
  </si>
  <si>
    <t xml:space="preserve">Risk-free rate (US 10Y govt)</t>
  </si>
  <si>
    <t xml:space="preserve">Assumption (~US 10Y Treasury yield, Oct-2026);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</si>
  <si>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</si>
  <si>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</si>
  <si>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</si>
  <si>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Aerospace aftermarket / defense-electronics peers (TransDigm, Howmet, Curtiss-Wright, Amphenol) ~0.9–1.3; commercial-aerospace cyclicality partly offset by defense / space mix</t>
  </si>
  <si>
    <t xml:space="preserve">Cost of equity</t>
  </si>
  <si>
    <t xml:space="preserve">Pre-tax cost of debt</t>
  </si>
  <si>
    <t xml:space="preserve">Investment grade (BBB / Baa2); Jul-2026 notes priced at 4.95% (2031) and 5.40% (2036); marginal cost ~5.4%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</si>
  <si>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</si>
  <si>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</si>
  <si>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</si>
  <si>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</si>
  <si>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~$2.3bn at FY2026E vs ~$43bn market cap ($302.45 × ~141m shares); HEICO runs ~1–2x net debt / EBITDA</t>
  </si>
  <si>
    <t xml:space="preserve">WACC</t>
  </si>
  <si>
    <t xml:space="preserve">Valuation date (live)</t>
  </si>
  <si>
    <t xml:space="preserve">Periods = (31-Oct-Year − today) / 365.25 (HEICO fiscal year ends 31 October); cash flows assumed at fiscal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</si>
  <si>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</si>
  <si>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</si>
  <si>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</si>
  <si>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</si>
  <si>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</si>
  <si>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</si>
  <si>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</si>
  <si>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Terminal</t>
  </si>
  <si>
    <t xml:space="preserve">CAGR 27–30E</t>
  </si>
  <si>
    <t xml:space="preserve">CAGR 27–36E</t>
  </si>
  <si>
    <t xml:space="preserve">Adj. EBIT less acquisition costs</t>
  </si>
  <si>
    <t xml:space="preserve">× (1 − tax rate)</t>
  </si>
  <si>
    <t xml:space="preserve">NOPAT</t>
  </si>
  <si>
    <t xml:space="preserve">plus D&amp;A (incl. acquired-intangible amortization)</t>
  </si>
  <si>
    <t xml:space="preserve">− Capex and acquisitions (M&amp;A lever 2027E–30E)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</si>
  <si>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</si>
  <si>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</si>
  <si>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</si>
  <si>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(2031E–36E; 10% → 6%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</si>
  <si>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</si>
  <si>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</si>
  <si>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</si>
  <si>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</si>
  <si>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HEICO's EBITDA expenses share-based compensation; Adjusted EBIT deducts all D&amp;A incl. ~$150–170m p.a. of acquired-intangible amortization (non-cash, added back in row 21). FY2026 is ~complete at the valuation date: its cash flows (incl. $1.0bn of 9M/26 acquisitions) sit in FY2026E year-end net debt, so the explicit period starts in FY2027E. Acquisition spend from the M&amp;A lever is deducted in 2027E–30E (its earnings are in EBIT); the fade period and terminal value assume no new acquisitions.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</si>
  <si>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</si>
  <si>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</si>
  <si>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</si>
  <si>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</si>
  <si>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</si>
  <si>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</si>
  <si>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</si>
  <si>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</si>
  <si>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</si>
  <si>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</si>
  <si>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FY2026E book invested capital (equity incl. NCI + redeemable NCI + net debt), rolled forward with capex + M&amp;A − D&amp;A + ΔWC.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</si>
  <si>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</si>
  <si>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</si>
  <si>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</si>
  <si>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</si>
  <si>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+ redeemable NCI + NCI (Model FY2026E year end)</t>
  </si>
  <si>
    <t xml:space="preserve">HEICO-specific: redeemable NCI (put rights at redemption value, ~$0.6bn) and NCI deducted alongside net debt (~7% of consolidated net income accrues to minority owners).</t>
  </si>
  <si>
    <t xml:space="preserve">Equity Value</t>
  </si>
  <si>
    <t xml:space="preserve">Diluted shares (m, Model FY2026E)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</si>
  <si>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</si>
  <si>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</si>
  <si>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</si>
  <si>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</si>
  <si>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</si>
  <si>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</si>
  <si>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</si>
  <si>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</si>
  <si>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</si>
  <si>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</si>
  <si>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</si>
  <si>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</si>
  <si>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(H26 / 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</si>
  <si>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</si>
  <si>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</si>
  <si>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</si>
  <si>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</si>
  <si>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</si>
  <si>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(HEICO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</si>
  <si>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</si>
  <si>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</si>
  <si>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</si>
  <si>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FY2026–30E (~11%; 10% used, below WACC): high-single-digit organic growth at both segments plus ~$0.8–0.9bn p.a. of acquisitions</t>
  </si>
  <si>
    <t xml:space="preserve">ROIIC  (Return on incremental invested capital)</t>
  </si>
  <si>
    <t xml:space="preserve">Organic reinvestment (PMA parts, repair capabilities, niche electronics R&amp;D) earns very high returns on small capital (capex ~1.6% of sales); acquisitions at ~16x EBITDA earn ~7–9% after tax → blended ~15%</t>
  </si>
  <si>
    <t xml:space="preserve">N  (Years of value creation / CAP)</t>
  </si>
  <si>
    <t xml:space="preserve">Durable niche positions: FAA-approved PMA parts and DER repairs (~50% below OEM prices), sole-source defense / space electronics, decentralised acquisition engine with &gt;100 subsidiaries and a 30+ year compounding record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</si>
  <si>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</si>
  <si>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</si>
  <si>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</si>
  <si>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</si>
  <si>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</si>
  <si>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</si>
  <si>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</si>
  <si>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</si>
  <si>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</si>
  <si>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Adj. EBIT less acquisition costs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</si>
  <si>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</si>
  <si>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</si>
  <si>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</si>
  <si>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</si>
  <si>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FY2027E net debt + redeemable NCI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</si>
  <si>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</si>
  <si>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</si>
  <si>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</si>
  <si>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</si>
  <si>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</si>
  <si>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FY2026E net debt + redeemable NCI + NCI</t>
  </si>
  <si>
    <t xml:space="preserve">Implied Enterprise Value (today)</t>
  </si>
  <si>
    <t xml:space="preserve">HEI market-implied EV/NOPAT (on 2028E NOPAT)</t>
  </si>
  <si>
    <t xml:space="preserve">Multiple gap (Mauboussin − Market)</t>
  </si>
  <si>
    <t xml:space="preserve">Implied re-rating headroom</t>
  </si>
  <si>
    <t xml:space="preserve">HEICO Corporation — Historical Operating Performance (FY2006–FY2025)</t>
  </si>
  <si>
    <t xml:space="preserve">All historicals · USDm · fiscal years ending 31 October · Linked to Model. Segment growth = reported net sales y/y (organic + acquired). Adjusted EBITDA = company EBITDA + acquisition costs, contingent-consideration remeasurement and intangible impairments (model definition).</t>
  </si>
  <si>
    <t xml:space="preserve">FSG net sales y/y %</t>
  </si>
  <si>
    <t xml:space="preserve">ETG net sales y/y %</t>
  </si>
  <si>
    <t xml:space="preserve">Adjusted EBITDA</t>
  </si>
  <si>
    <t xml:space="preserve">Adj. EBITDA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</si>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</sst>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\+0.0%;\-0.0%"/>
    <numFmt numFmtId="169" formatCode="\+#,##0;\-#,##0"/>
    <numFmt numFmtId="170" formatCode="\+0.0\x;\-0.0\x"/>
    <numFmt numFmtId="171" formatCode="0.0\x"/>
    <numFmt numFmtId="172" formatCode="#,##0.0;\(#,##0.0\);\-"/>
    <numFmt numFmtId="173" formatCode="0.00;\(0.00\);\-"/>
    <numFmt numFmtId="174" formatCode="#,##0.00"/>
    <numFmt numFmtId="175" formatCode="dd\-mmm\-yy"/>
    <numFmt numFmtId="176" formatCode="0%;\(0%\);\-"/>
    <numFmt numFmtId="177" formatCode="0.00\x;\(0.00&quot;x)&quot;;\-"/>
    <numFmt numFmtId="178" formatCode="0.00%"/>
    <numFmt numFmtId="179" formatCode="0.00"/>
    <numFmt numFmtId="180" formatCode="d/mmm/yyyy"/>
    <numFmt numFmtId="181" formatCode="0.0%"/>
    <numFmt numFmtId="182" formatCode="0.000"/>
    <numFmt numFmtId="183" formatCode="#,##0.0"/>
    <numFmt numFmtId="184" formatCode="0.0%;\(0.0%\)"/>
    <numFmt numFmtId="185" formatCode="0"/>
    <numFmt numFmtId="186" formatCode="#,##0"/>
    <numFmt numFmtId="187" formatCode="0.00\x"/>
    <numFmt numFmtId="188" formatCode="0.0\x;\(0.0&quot;x)&quot;"/>
    <numFmt numFmtId="189" formatCode="0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sz val="12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sz val="10"/>
      <color rgb="FF595959"/>
      <name val="Calibri"/>
      <family val="2"/>
      <charset val="1"/>
    </font>
    <font>
      <b val="true"/>
      <sz val="12"/>
      <color rgb="FF2F3E46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color rgb="FF595959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2"/>
      <charset val="1"/>
    </font>
    <font>
      <sz val="12"/>
      <color rgb="FF008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52796F"/>
        <bgColor rgb="FF666666"/>
      </patternFill>
    </fill>
    <fill>
      <patternFill patternType="solid">
        <fgColor rgb="FFCAD2C5"/>
        <bgColor rgb="FFD9D9D9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2F3E46"/>
      </top>
      <bottom/>
      <diagonal/>
    </border>
    <border diagonalUp="false" diagonalDown="false">
      <left style="thin">
        <color rgb="FF2F3E46"/>
      </left>
      <right/>
      <top style="thin">
        <color rgb="FF2F3E46"/>
      </top>
      <bottom/>
      <diagonal/>
    </border>
    <border diagonalUp="false" diagonalDown="false">
      <left/>
      <right style="thin">
        <color rgb="FF2F3E46"/>
      </right>
      <top style="thin">
        <color rgb="FF2F3E46"/>
      </top>
      <bottom/>
      <diagonal/>
    </border>
    <border diagonalUp="false" diagonalDown="false">
      <left style="thin">
        <color rgb="FF2F3E46"/>
      </left>
      <right/>
      <top/>
      <bottom/>
      <diagonal/>
    </border>
    <border diagonalUp="false" diagonalDown="false">
      <left/>
      <right style="thin">
        <color rgb="FF2F3E46"/>
      </right>
      <top/>
      <bottom/>
      <diagonal/>
    </border>
    <border diagonalUp="false" diagonalDown="false">
      <left style="thin">
        <color rgb="FF2F3E46"/>
      </left>
      <right/>
      <top/>
      <bottom style="thin">
        <color rgb="FF2F3E46"/>
      </bottom>
      <diagonal/>
    </border>
    <border diagonalUp="false" diagonalDown="false">
      <left/>
      <right/>
      <top/>
      <bottom style="thin">
        <color rgb="FF2F3E46"/>
      </bottom>
      <diagonal/>
    </border>
    <border diagonalUp="false" diagonalDown="false">
      <left/>
      <right style="thin">
        <color rgb="FF2F3E46"/>
      </right>
      <top/>
      <bottom style="thin">
        <color rgb="FF2F3E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1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1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5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Segment Net Sales Growth: Flight Support Group vs. Electronic Technologies Group,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FSG net sales y/y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0.384685578258282</c:v>
                </c:pt>
                <c:pt idx="2">
                  <c:v>0.137789748144752</c:v>
                </c:pt>
                <c:pt idx="3">
                  <c:v>-0.0947482887296536</c:v>
                </c:pt>
                <c:pt idx="4">
                  <c:v>0.0427744466052809</c:v>
                </c:pt>
                <c:pt idx="5">
                  <c:v>0.308548590109546</c:v>
                </c:pt>
                <c:pt idx="6">
                  <c:v>0.057012804806853</c:v>
                </c:pt>
                <c:pt idx="7">
                  <c:v>0.166261342217157</c:v>
                </c:pt>
                <c:pt idx="8">
                  <c:v>0.146813942160241</c:v>
                </c:pt>
                <c:pt idx="9">
                  <c:v>0.0614826147317584</c:v>
                </c:pt>
                <c:pt idx="10">
                  <c:v>0.0817216252933184</c:v>
                </c:pt>
                <c:pt idx="11">
                  <c:v>0.104661650701588</c:v>
                </c:pt>
                <c:pt idx="12">
                  <c:v>0.134771689025777</c:v>
                </c:pt>
                <c:pt idx="13">
                  <c:v>0.129557524703148</c:v>
                </c:pt>
                <c:pt idx="14">
                  <c:v>-0.254293922751723</c:v>
                </c:pt>
                <c:pt idx="15">
                  <c:v>0.00246212203128859</c:v>
                </c:pt>
                <c:pt idx="16">
                  <c:v>0.35392826362949</c:v>
                </c:pt>
                <c:pt idx="17">
                  <c:v>0.410267747599609</c:v>
                </c:pt>
                <c:pt idx="18">
                  <c:v>0.491004612512252</c:v>
                </c:pt>
                <c:pt idx="19">
                  <c:v>0.181075748080781</c:v>
                </c:pt>
              </c:numCache>
            </c:numRef>
          </c:val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ETG net sales y/y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0.0783682979629807</c:v>
                </c:pt>
                <c:pt idx="2">
                  <c:v>0.177441851090418</c:v>
                </c:pt>
                <c:pt idx="3">
                  <c:v>-0.0182958560433841</c:v>
                </c:pt>
                <c:pt idx="4">
                  <c:v>0.434366542979103</c:v>
                </c:pt>
                <c:pt idx="5">
                  <c:v>0.107577024819108</c:v>
                </c:pt>
                <c:pt idx="6">
                  <c:v>0.455839417660721</c:v>
                </c:pt>
                <c:pt idx="7">
                  <c:v>0.0555944245743341</c:v>
                </c:pt>
                <c:pt idx="8">
                  <c:v>0.0839092314153236</c:v>
                </c:pt>
                <c:pt idx="9">
                  <c:v>0.0305162834340176</c:v>
                </c:pt>
                <c:pt idx="10">
                  <c:v>0.307661222255756</c:v>
                </c:pt>
                <c:pt idx="11">
                  <c:v>0.123200566430393</c:v>
                </c:pt>
                <c:pt idx="12">
                  <c:v>0.222139410477118</c:v>
                </c:pt>
                <c:pt idx="13">
                  <c:v>0.189070810897843</c:v>
                </c:pt>
                <c:pt idx="14">
                  <c:v>0.048488835525007</c:v>
                </c:pt>
                <c:pt idx="15">
                  <c:v>0.0962105722713595</c:v>
                </c:pt>
                <c:pt idx="16">
                  <c:v>0.0138713679535432</c:v>
                </c:pt>
                <c:pt idx="17">
                  <c:v>0.259900768657292</c:v>
                </c:pt>
                <c:pt idx="18">
                  <c:v>0.0313445236863197</c:v>
                </c:pt>
                <c:pt idx="19">
                  <c:v>0.118305574592482</c:v>
                </c:pt>
              </c:numCache>
            </c:numRef>
          </c:val>
        </c:ser>
        <c:gapWidth val="150"/>
        <c:overlap val="0"/>
        <c:axId val="52518906"/>
        <c:axId val="70612946"/>
      </c:barChart>
      <c:catAx>
        <c:axId val="525189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12946"/>
        <c:crosses val="autoZero"/>
        <c:auto val="1"/>
        <c:lblAlgn val="ctr"/>
        <c:lblOffset val="100"/>
        <c:noMultiLvlLbl val="0"/>
      </c:catAx>
      <c:valAx>
        <c:axId val="70612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18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78.071</c:v>
                </c:pt>
                <c:pt idx="1">
                  <c:v>98.276</c:v>
                </c:pt>
                <c:pt idx="2">
                  <c:v>122.038</c:v>
                </c:pt>
                <c:pt idx="3">
                  <c:v>103.727</c:v>
                </c:pt>
                <c:pt idx="4">
                  <c:v>128.598</c:v>
                </c:pt>
                <c:pt idx="5">
                  <c:v>160.875</c:v>
                </c:pt>
                <c:pt idx="6">
                  <c:v>194.382</c:v>
                </c:pt>
                <c:pt idx="7">
                  <c:v>219.628</c:v>
                </c:pt>
                <c:pt idx="8">
                  <c:v>238.644</c:v>
                </c:pt>
                <c:pt idx="9">
                  <c:v>277.79</c:v>
                </c:pt>
                <c:pt idx="10">
                  <c:v>331.762</c:v>
                </c:pt>
                <c:pt idx="11">
                  <c:v>373.673</c:v>
                </c:pt>
                <c:pt idx="12">
                  <c:v>453.378</c:v>
                </c:pt>
                <c:pt idx="13">
                  <c:v>545.663</c:v>
                </c:pt>
                <c:pt idx="14">
                  <c:v>467.09</c:v>
                </c:pt>
                <c:pt idx="15">
                  <c:v>488.608</c:v>
                </c:pt>
                <c:pt idx="16">
                  <c:v>586.111</c:v>
                </c:pt>
                <c:pt idx="17">
                  <c:v>770.167</c:v>
                </c:pt>
                <c:pt idx="18">
                  <c:v>999.846</c:v>
                </c:pt>
                <c:pt idx="19">
                  <c:v>1232.427</c:v>
                </c:pt>
              </c:numCache>
            </c:numRef>
          </c:val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66.867</c:v>
                </c:pt>
                <c:pt idx="1">
                  <c:v>86.014</c:v>
                </c:pt>
                <c:pt idx="2">
                  <c:v>105.788</c:v>
                </c:pt>
                <c:pt idx="3">
                  <c:v>88.255</c:v>
                </c:pt>
                <c:pt idx="4">
                  <c:v>109.173</c:v>
                </c:pt>
                <c:pt idx="5">
                  <c:v>138.431</c:v>
                </c:pt>
                <c:pt idx="6">
                  <c:v>163.294</c:v>
                </c:pt>
                <c:pt idx="7">
                  <c:v>183.59</c:v>
                </c:pt>
                <c:pt idx="8">
                  <c:v>203.388</c:v>
                </c:pt>
                <c:pt idx="9">
                  <c:v>229.656</c:v>
                </c:pt>
                <c:pt idx="10">
                  <c:v>265.345</c:v>
                </c:pt>
                <c:pt idx="11">
                  <c:v>306.658</c:v>
                </c:pt>
                <c:pt idx="12">
                  <c:v>376.245</c:v>
                </c:pt>
                <c:pt idx="13">
                  <c:v>457.097</c:v>
                </c:pt>
                <c:pt idx="14">
                  <c:v>376.648</c:v>
                </c:pt>
                <c:pt idx="15">
                  <c:v>392.9</c:v>
                </c:pt>
                <c:pt idx="16">
                  <c:v>496.844</c:v>
                </c:pt>
                <c:pt idx="17">
                  <c:v>625.339</c:v>
                </c:pt>
                <c:pt idx="18">
                  <c:v>824.455</c:v>
                </c:pt>
                <c:pt idx="19">
                  <c:v>1018.998</c:v>
                </c:pt>
              </c:numCache>
            </c:numRef>
          </c:val>
        </c:ser>
        <c:gapWidth val="150"/>
        <c:overlap val="0"/>
        <c:axId val="36401841"/>
        <c:axId val="64369241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0.199064229072643</c:v>
                </c:pt>
                <c:pt idx="1">
                  <c:v>0.193485639583875</c:v>
                </c:pt>
                <c:pt idx="2">
                  <c:v>0.209562339979428</c:v>
                </c:pt>
                <c:pt idx="3">
                  <c:v>0.192695097121286</c:v>
                </c:pt>
                <c:pt idx="4">
                  <c:v>0.208417879485268</c:v>
                </c:pt>
                <c:pt idx="5">
                  <c:v>0.210324085392559</c:v>
                </c:pt>
                <c:pt idx="6">
                  <c:v>0.216618543328278</c:v>
                </c:pt>
                <c:pt idx="7">
                  <c:v>0.217721413581269</c:v>
                </c:pt>
                <c:pt idx="8">
                  <c:v>0.210758351724924</c:v>
                </c:pt>
                <c:pt idx="9">
                  <c:v>0.233702492243288</c:v>
                </c:pt>
                <c:pt idx="10">
                  <c:v>0.241060905731338</c:v>
                </c:pt>
                <c:pt idx="11">
                  <c:v>0.245061525577235</c:v>
                </c:pt>
                <c:pt idx="12">
                  <c:v>0.255033270125065</c:v>
                </c:pt>
                <c:pt idx="13">
                  <c:v>0.265445866921704</c:v>
                </c:pt>
                <c:pt idx="14">
                  <c:v>0.261380888400674</c:v>
                </c:pt>
                <c:pt idx="15">
                  <c:v>0.261892433973207</c:v>
                </c:pt>
                <c:pt idx="16">
                  <c:v>0.265410116821732</c:v>
                </c:pt>
                <c:pt idx="17">
                  <c:v>0.259481049356408</c:v>
                </c:pt>
                <c:pt idx="18">
                  <c:v>0.259183978718755</c:v>
                </c:pt>
                <c:pt idx="19">
                  <c:v>0.274785932980814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0.170496443050562</c:v>
                </c:pt>
                <c:pt idx="1">
                  <c:v>0.169344232601728</c:v>
                </c:pt>
                <c:pt idx="2">
                  <c:v>0.181658014894899</c:v>
                </c:pt>
                <c:pt idx="3">
                  <c:v>0.163952546554312</c:v>
                </c:pt>
                <c:pt idx="4">
                  <c:v>0.176935917798451</c:v>
                </c:pt>
                <c:pt idx="5">
                  <c:v>0.180981342439642</c:v>
                </c:pt>
                <c:pt idx="6">
                  <c:v>0.181974197272627</c:v>
                </c:pt>
                <c:pt idx="7">
                  <c:v>0.181996258762021</c:v>
                </c:pt>
                <c:pt idx="8">
                  <c:v>0.179622029636734</c:v>
                </c:pt>
                <c:pt idx="9">
                  <c:v>0.193207745270257</c:v>
                </c:pt>
                <c:pt idx="10">
                  <c:v>0.192801785711691</c:v>
                </c:pt>
                <c:pt idx="11">
                  <c:v>0.201111874046195</c:v>
                </c:pt>
                <c:pt idx="12">
                  <c:v>0.211644571898515</c:v>
                </c:pt>
                <c:pt idx="13">
                  <c:v>0.222361621426247</c:v>
                </c:pt>
                <c:pt idx="14">
                  <c:v>0.210770063273324</c:v>
                </c:pt>
                <c:pt idx="15">
                  <c:v>0.210593230786383</c:v>
                </c:pt>
                <c:pt idx="16">
                  <c:v>0.224987116915015</c:v>
                </c:pt>
                <c:pt idx="17">
                  <c:v>0.210686279629595</c:v>
                </c:pt>
                <c:pt idx="18">
                  <c:v>0.213718439814302</c:v>
                </c:pt>
                <c:pt idx="19">
                  <c:v>0.22719910886047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008906"/>
        <c:axId val="42512212"/>
      </c:lineChart>
      <c:catAx>
        <c:axId val="364018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69241"/>
        <c:crosses val="autoZero"/>
        <c:auto val="1"/>
        <c:lblAlgn val="ctr"/>
        <c:lblOffset val="100"/>
        <c:noMultiLvlLbl val="0"/>
      </c:catAx>
      <c:valAx>
        <c:axId val="64369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01841"/>
        <c:crosses val="autoZero"/>
        <c:crossBetween val="between"/>
      </c:valAx>
      <c:catAx>
        <c:axId val="37008906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12212"/>
        <c:crosses val="autoZero"/>
        <c:auto val="1"/>
        <c:lblAlgn val="ctr"/>
        <c:lblOffset val="100"/>
        <c:noMultiLvlLbl val="0"/>
      </c:catAx>
      <c:valAx>
        <c:axId val="4251221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0890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0.105557357014956</c:v>
                </c:pt>
                <c:pt idx="1">
                  <c:v>0.116002471629558</c:v>
                </c:pt>
                <c:pt idx="2">
                  <c:v>0.133084313733248</c:v>
                </c:pt>
                <c:pt idx="3">
                  <c:v>0.101480971059502</c:v>
                </c:pt>
                <c:pt idx="4">
                  <c:v>0.119254925255218</c:v>
                </c:pt>
                <c:pt idx="5">
                  <c:v>0.138650639201383</c:v>
                </c:pt>
                <c:pt idx="6">
                  <c:v>0.120766883921261</c:v>
                </c:pt>
                <c:pt idx="7">
                  <c:v>0.110087948694954</c:v>
                </c:pt>
                <c:pt idx="8">
                  <c:v>0.118740983816315</c:v>
                </c:pt>
                <c:pt idx="9">
                  <c:v>0.119011054234916</c:v>
                </c:pt>
                <c:pt idx="10">
                  <c:v>0.11906875186136</c:v>
                </c:pt>
                <c:pt idx="11">
                  <c:v>0.1075534184005</c:v>
                </c:pt>
                <c:pt idx="12">
                  <c:v>0.143099735093338</c:v>
                </c:pt>
                <c:pt idx="13">
                  <c:v>0.159022790076999</c:v>
                </c:pt>
                <c:pt idx="14">
                  <c:v>0.135855800051299</c:v>
                </c:pt>
                <c:pt idx="15">
                  <c:v>0.125862792616472</c:v>
                </c:pt>
                <c:pt idx="16">
                  <c:v>0.124615547588287</c:v>
                </c:pt>
                <c:pt idx="17">
                  <c:v>0.0873454006588809</c:v>
                </c:pt>
                <c:pt idx="18">
                  <c:v>0.110966852479143</c:v>
                </c:pt>
                <c:pt idx="19">
                  <c:v>0.127223477647782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0.263930779886296</c:v>
                </c:pt>
                <c:pt idx="1">
                  <c:v>0.286968234195959</c:v>
                </c:pt>
                <c:pt idx="2">
                  <c:v>0.283647527231403</c:v>
                </c:pt>
                <c:pt idx="3">
                  <c:v>0.231854502956422</c:v>
                </c:pt>
                <c:pt idx="4">
                  <c:v>0.277432484484097</c:v>
                </c:pt>
                <c:pt idx="5">
                  <c:v>0.331241524039959</c:v>
                </c:pt>
                <c:pt idx="6">
                  <c:v>0.296463669132316</c:v>
                </c:pt>
                <c:pt idx="7">
                  <c:v>0.284806115468783</c:v>
                </c:pt>
                <c:pt idx="8">
                  <c:v>0.296229527576818</c:v>
                </c:pt>
                <c:pt idx="9">
                  <c:v>0.296568462157977</c:v>
                </c:pt>
                <c:pt idx="10">
                  <c:v>0.313790951136526</c:v>
                </c:pt>
                <c:pt idx="11">
                  <c:v>0.334208514979453</c:v>
                </c:pt>
                <c:pt idx="12">
                  <c:v>0.401851646870012</c:v>
                </c:pt>
                <c:pt idx="13">
                  <c:v>0.440731794758582</c:v>
                </c:pt>
                <c:pt idx="14">
                  <c:v>0.25899026884961</c:v>
                </c:pt>
                <c:pt idx="15">
                  <c:v>0.287481508966455</c:v>
                </c:pt>
                <c:pt idx="16">
                  <c:v>0.306667144012661</c:v>
                </c:pt>
                <c:pt idx="17">
                  <c:v>0.267381378662888</c:v>
                </c:pt>
                <c:pt idx="18">
                  <c:v>0.306725194120161</c:v>
                </c:pt>
                <c:pt idx="19">
                  <c:v>0.340603952559729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0.199064229072643</c:v>
                </c:pt>
                <c:pt idx="1">
                  <c:v>0.193485639583875</c:v>
                </c:pt>
                <c:pt idx="2">
                  <c:v>0.209562339979428</c:v>
                </c:pt>
                <c:pt idx="3">
                  <c:v>0.192695097121286</c:v>
                </c:pt>
                <c:pt idx="4">
                  <c:v>0.208417879485268</c:v>
                </c:pt>
                <c:pt idx="5">
                  <c:v>0.210324085392559</c:v>
                </c:pt>
                <c:pt idx="6">
                  <c:v>0.216618543328278</c:v>
                </c:pt>
                <c:pt idx="7">
                  <c:v>0.217721413581269</c:v>
                </c:pt>
                <c:pt idx="8">
                  <c:v>0.210758351724924</c:v>
                </c:pt>
                <c:pt idx="9">
                  <c:v>0.233702492243288</c:v>
                </c:pt>
                <c:pt idx="10">
                  <c:v>0.241060905731338</c:v>
                </c:pt>
                <c:pt idx="11">
                  <c:v>0.245061525577235</c:v>
                </c:pt>
                <c:pt idx="12">
                  <c:v>0.255033270125065</c:v>
                </c:pt>
                <c:pt idx="13">
                  <c:v>0.265445866921704</c:v>
                </c:pt>
                <c:pt idx="14">
                  <c:v>0.261380888400674</c:v>
                </c:pt>
                <c:pt idx="15">
                  <c:v>0.261892433973207</c:v>
                </c:pt>
                <c:pt idx="16">
                  <c:v>0.265410116821732</c:v>
                </c:pt>
                <c:pt idx="17">
                  <c:v>0.259481049356408</c:v>
                </c:pt>
                <c:pt idx="18">
                  <c:v>0.259183978718755</c:v>
                </c:pt>
                <c:pt idx="19">
                  <c:v>0.274785932980814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0.0941992401642061</c:v>
                </c:pt>
                <c:pt idx="1">
                  <c:v>0.0877375355368126</c:v>
                </c:pt>
                <c:pt idx="2">
                  <c:v>0.10252821771212</c:v>
                </c:pt>
                <c:pt idx="3">
                  <c:v>0.121799158827114</c:v>
                </c:pt>
                <c:pt idx="4">
                  <c:v>0.150465138893391</c:v>
                </c:pt>
                <c:pt idx="5">
                  <c:v>0.151749726431609</c:v>
                </c:pt>
                <c:pt idx="6">
                  <c:v>0.137430670632431</c:v>
                </c:pt>
                <c:pt idx="7">
                  <c:v>0.112522639248104</c:v>
                </c:pt>
                <c:pt idx="8">
                  <c:v>0.153914428103233</c:v>
                </c:pt>
                <c:pt idx="9">
                  <c:v>0.130075514365901</c:v>
                </c:pt>
                <c:pt idx="10">
                  <c:v>0.158633773609309</c:v>
                </c:pt>
                <c:pt idx="11">
                  <c:v>0.163224605246676</c:v>
                </c:pt>
                <c:pt idx="12">
                  <c:v>0.161226649176108</c:v>
                </c:pt>
                <c:pt idx="13">
                  <c:v>0.198691701444849</c:v>
                </c:pt>
                <c:pt idx="14">
                  <c:v>0.216106913843187</c:v>
                </c:pt>
                <c:pt idx="15">
                  <c:v>0.218633722145575</c:v>
                </c:pt>
                <c:pt idx="16">
                  <c:v>0.197377918618752</c:v>
                </c:pt>
                <c:pt idx="17">
                  <c:v>0.134530618020589</c:v>
                </c:pt>
                <c:pt idx="18">
                  <c:v>0.159191729513341</c:v>
                </c:pt>
                <c:pt idx="19">
                  <c:v>0.192056086852214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130778"/>
        <c:axId val="69310807"/>
      </c:lineChart>
      <c:catAx>
        <c:axId val="561307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10807"/>
        <c:crosses val="autoZero"/>
        <c:auto val="1"/>
        <c:lblAlgn val="ctr"/>
        <c:lblOffset val="100"/>
        <c:noMultiLvlLbl val="0"/>
      </c:catAx>
      <c:valAx>
        <c:axId val="693108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0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543240</xdr:colOff>
      <xdr:row>37</xdr:row>
      <xdr:rowOff>1800</xdr:rowOff>
    </xdr:to>
    <xdr:graphicFrame>
      <xdr:nvGraphicFramePr>
        <xdr:cNvPr id="0" name="Chart 1"/>
        <xdr:cNvGraphicFramePr/>
      </xdr:nvGraphicFramePr>
      <xdr:xfrm>
        <a:off x="762120" y="4380120"/>
        <a:ext cx="1083024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543240</xdr:colOff>
      <xdr:row>58</xdr:row>
      <xdr:rowOff>1440</xdr:rowOff>
    </xdr:to>
    <xdr:graphicFrame>
      <xdr:nvGraphicFramePr>
        <xdr:cNvPr id="1" name="Chart 2"/>
        <xdr:cNvGraphicFramePr/>
      </xdr:nvGraphicFramePr>
      <xdr:xfrm>
        <a:off x="762120" y="8380800"/>
        <a:ext cx="1083024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543240</xdr:colOff>
      <xdr:row>79</xdr:row>
      <xdr:rowOff>1800</xdr:rowOff>
    </xdr:to>
    <xdr:graphicFrame>
      <xdr:nvGraphicFramePr>
        <xdr:cNvPr id="2" name="Chart 3"/>
        <xdr:cNvGraphicFramePr/>
      </xdr:nvGraphicFramePr>
      <xdr:xfrm>
        <a:off x="762120" y="12381120"/>
        <a:ext cx="1083024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354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7" topLeftCell="H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1" width="2.4"/>
    <col collapsed="false" customWidth="true" hidden="false" outlineLevel="0" max="2" min="2" style="1" width="62"/>
    <col collapsed="false" customWidth="true" hidden="false" outlineLevel="0" max="9" min="3" style="1" width="14.1"/>
    <col collapsed="false" customWidth="true" hidden="true" outlineLevel="1" max="13" min="10" style="1" width="9.6"/>
    <col collapsed="false" customWidth="true" hidden="false" outlineLevel="0" max="14" min="14" style="1" width="14.1"/>
    <col collapsed="false" customWidth="true" hidden="true" outlineLevel="1" max="18" min="15" style="1" width="9.6"/>
    <col collapsed="false" customWidth="true" hidden="false" outlineLevel="0" max="19" min="19" style="1" width="14.1"/>
    <col collapsed="false" customWidth="true" hidden="true" outlineLevel="1" max="23" min="20" style="1" width="9.6"/>
    <col collapsed="false" customWidth="true" hidden="false" outlineLevel="0" max="24" min="24" style="1" width="14.1"/>
    <col collapsed="false" customWidth="true" hidden="true" outlineLevel="1" max="28" min="25" style="1" width="9.6"/>
    <col collapsed="false" customWidth="true" hidden="false" outlineLevel="0" max="29" min="29" style="1" width="14.1"/>
    <col collapsed="false" customWidth="true" hidden="true" outlineLevel="1" max="33" min="30" style="1" width="9.6"/>
    <col collapsed="false" customWidth="true" hidden="false" outlineLevel="0" max="34" min="34" style="1" width="14.1"/>
    <col collapsed="false" customWidth="true" hidden="true" outlineLevel="1" max="38" min="35" style="1" width="9.6"/>
    <col collapsed="false" customWidth="true" hidden="false" outlineLevel="0" max="39" min="39" style="1" width="14.1"/>
    <col collapsed="false" customWidth="true" hidden="true" outlineLevel="1" max="43" min="40" style="1" width="9.6"/>
    <col collapsed="false" customWidth="true" hidden="false" outlineLevel="0" max="44" min="44" style="1" width="14.1"/>
    <col collapsed="false" customWidth="true" hidden="true" outlineLevel="1" max="48" min="45" style="1" width="9.6"/>
    <col collapsed="false" customWidth="true" hidden="false" outlineLevel="0" max="49" min="49" style="1" width="14.1"/>
    <col collapsed="false" customWidth="true" hidden="true" outlineLevel="1" max="53" min="50" style="1" width="9.6"/>
    <col collapsed="false" customWidth="true" hidden="false" outlineLevel="0" max="54" min="54" style="1" width="14.1"/>
    <col collapsed="false" customWidth="true" hidden="true" outlineLevel="1" max="58" min="55" style="1" width="9.6"/>
    <col collapsed="false" customWidth="true" hidden="false" outlineLevel="0" max="59" min="59" style="1" width="14.1"/>
    <col collapsed="false" customWidth="true" hidden="true" outlineLevel="1" max="63" min="60" style="1" width="9.6"/>
    <col collapsed="false" customWidth="true" hidden="false" outlineLevel="0" max="64" min="64" style="1" width="14.1"/>
    <col collapsed="false" customWidth="true" hidden="true" outlineLevel="1" max="68" min="65" style="1" width="9.6"/>
    <col collapsed="false" customWidth="true" hidden="false" outlineLevel="0" max="69" min="69" style="1" width="14.1"/>
    <col collapsed="false" customWidth="true" hidden="true" outlineLevel="1" max="73" min="70" style="1" width="9.6"/>
    <col collapsed="false" customWidth="true" hidden="false" outlineLevel="0" max="74" min="74" style="1" width="14.1"/>
    <col collapsed="false" customWidth="true" hidden="true" outlineLevel="1" max="77" min="75" style="1" width="9.6"/>
    <col collapsed="false" customWidth="true" hidden="true" outlineLevel="1" max="78" min="78" style="1" width="11.4"/>
    <col collapsed="false" customWidth="true" hidden="false" outlineLevel="0" max="83" min="79" style="1" width="14.1"/>
    <col collapsed="false" customWidth="true" hidden="false" outlineLevel="0" max="84" min="84" style="1" width="86.9"/>
    <col collapsed="false" customWidth="true" hidden="false" outlineLevel="0" max="85" min="85" style="1" width="2"/>
    <col collapsed="false" customWidth="true" hidden="false" outlineLevel="0" max="86" min="86" style="1" width="14.1"/>
    <col collapsed="false" customWidth="true" hidden="false" outlineLevel="0" max="87" min="87" style="1" width="12.4"/>
    <col collapsed="false" customWidth="true" hidden="false" outlineLevel="0" max="89" min="88" style="1" width="13.4"/>
    <col collapsed="false" customWidth="true" hidden="false" outlineLevel="0" max="90" min="90" style="1" width="2"/>
    <col collapsed="false" customWidth="true" hidden="false" outlineLevel="0" max="91" min="91" style="1" width="6"/>
    <col collapsed="false" customWidth="true" hidden="false" outlineLevel="0" max="92" min="92" style="1" width="46"/>
    <col collapsed="false" customWidth="true" hidden="false" outlineLevel="0" max="95" min="93" style="1" width="11.6"/>
    <col collapsed="false" customWidth="true" hidden="false" outlineLevel="0" max="96" min="96" style="1" width="60"/>
  </cols>
  <sheetData>
    <row r="1" customFormat="false" ht="15" hidden="false" customHeight="true" outlineLevel="0" collapsed="false">
      <c r="CF1" s="2" t="s">
        <v>0</v>
      </c>
    </row>
    <row r="2" customFormat="false" ht="21" hidden="false" customHeight="true" outlineLevel="0" collapsed="false">
      <c r="B2" s="3" t="s">
        <v>1</v>
      </c>
      <c r="CF2" s="4" t="s">
        <v>2</v>
      </c>
    </row>
    <row r="3" customFormat="false" ht="15" hidden="false" customHeight="true" outlineLevel="0" collapsed="false">
      <c r="B3" s="5" t="s">
        <v>3</v>
      </c>
    </row>
    <row r="4" customFormat="false" ht="15" hidden="false" customHeight="true" outlineLevel="0" collapsed="false">
      <c r="B4" s="6" t="s">
        <v>4</v>
      </c>
    </row>
    <row r="5" customFormat="false" ht="15" hidden="false" customHeight="true" outlineLevel="0" collapsed="false">
      <c r="CH5" s="7" t="s">
        <v>5</v>
      </c>
      <c r="CI5" s="7" t="s">
        <v>6</v>
      </c>
      <c r="CJ5" s="7" t="s">
        <v>6</v>
      </c>
      <c r="CK5" s="7" t="s">
        <v>6</v>
      </c>
    </row>
    <row r="6" customFormat="false" ht="15" hidden="false" customHeight="true" outlineLevel="0" collapsed="false">
      <c r="B6" s="8" t="s">
        <v>7</v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n">
        <v>2013</v>
      </c>
      <c r="O6" s="9" t="s">
        <v>12</v>
      </c>
      <c r="P6" s="9" t="s">
        <v>13</v>
      </c>
      <c r="Q6" s="9" t="s">
        <v>14</v>
      </c>
      <c r="R6" s="9" t="s">
        <v>15</v>
      </c>
      <c r="S6" s="9" t="n">
        <v>2014</v>
      </c>
      <c r="T6" s="9" t="s">
        <v>16</v>
      </c>
      <c r="U6" s="9" t="s">
        <v>17</v>
      </c>
      <c r="V6" s="9" t="s">
        <v>18</v>
      </c>
      <c r="W6" s="9" t="s">
        <v>19</v>
      </c>
      <c r="X6" s="9" t="n">
        <v>2015</v>
      </c>
      <c r="Y6" s="9" t="s">
        <v>20</v>
      </c>
      <c r="Z6" s="9" t="s">
        <v>21</v>
      </c>
      <c r="AA6" s="9" t="s">
        <v>22</v>
      </c>
      <c r="AB6" s="9" t="s">
        <v>23</v>
      </c>
      <c r="AC6" s="9" t="n">
        <v>2016</v>
      </c>
      <c r="AD6" s="9" t="s">
        <v>24</v>
      </c>
      <c r="AE6" s="9" t="s">
        <v>25</v>
      </c>
      <c r="AF6" s="9" t="s">
        <v>26</v>
      </c>
      <c r="AG6" s="9" t="s">
        <v>27</v>
      </c>
      <c r="AH6" s="9" t="n">
        <v>2017</v>
      </c>
      <c r="AI6" s="9" t="s">
        <v>28</v>
      </c>
      <c r="AJ6" s="9" t="s">
        <v>29</v>
      </c>
      <c r="AK6" s="9" t="s">
        <v>30</v>
      </c>
      <c r="AL6" s="9" t="s">
        <v>31</v>
      </c>
      <c r="AM6" s="9" t="n">
        <v>2018</v>
      </c>
      <c r="AN6" s="9" t="s">
        <v>32</v>
      </c>
      <c r="AO6" s="9" t="s">
        <v>33</v>
      </c>
      <c r="AP6" s="9" t="s">
        <v>34</v>
      </c>
      <c r="AQ6" s="9" t="s">
        <v>35</v>
      </c>
      <c r="AR6" s="9" t="n">
        <v>2019</v>
      </c>
      <c r="AS6" s="9" t="s">
        <v>36</v>
      </c>
      <c r="AT6" s="9" t="s">
        <v>37</v>
      </c>
      <c r="AU6" s="9" t="s">
        <v>38</v>
      </c>
      <c r="AV6" s="9" t="s">
        <v>39</v>
      </c>
      <c r="AW6" s="9" t="n">
        <v>2020</v>
      </c>
      <c r="AX6" s="9" t="s">
        <v>40</v>
      </c>
      <c r="AY6" s="9" t="s">
        <v>41</v>
      </c>
      <c r="AZ6" s="9" t="s">
        <v>42</v>
      </c>
      <c r="BA6" s="9" t="s">
        <v>43</v>
      </c>
      <c r="BB6" s="9" t="n">
        <v>2021</v>
      </c>
      <c r="BC6" s="9" t="s">
        <v>44</v>
      </c>
      <c r="BD6" s="9" t="s">
        <v>45</v>
      </c>
      <c r="BE6" s="9" t="s">
        <v>46</v>
      </c>
      <c r="BF6" s="9" t="s">
        <v>47</v>
      </c>
      <c r="BG6" s="9" t="n">
        <v>2022</v>
      </c>
      <c r="BH6" s="9" t="s">
        <v>48</v>
      </c>
      <c r="BI6" s="9" t="s">
        <v>49</v>
      </c>
      <c r="BJ6" s="9" t="s">
        <v>50</v>
      </c>
      <c r="BK6" s="9" t="s">
        <v>51</v>
      </c>
      <c r="BL6" s="9" t="n">
        <v>2023</v>
      </c>
      <c r="BM6" s="9" t="s">
        <v>52</v>
      </c>
      <c r="BN6" s="9" t="s">
        <v>53</v>
      </c>
      <c r="BO6" s="9" t="s">
        <v>54</v>
      </c>
      <c r="BP6" s="9" t="s">
        <v>55</v>
      </c>
      <c r="BQ6" s="9" t="n">
        <v>2024</v>
      </c>
      <c r="BR6" s="9" t="s">
        <v>56</v>
      </c>
      <c r="BS6" s="9" t="s">
        <v>57</v>
      </c>
      <c r="BT6" s="9" t="s">
        <v>58</v>
      </c>
      <c r="BU6" s="9" t="s">
        <v>59</v>
      </c>
      <c r="BV6" s="9" t="n">
        <v>2025</v>
      </c>
      <c r="BW6" s="9" t="s">
        <v>60</v>
      </c>
      <c r="BX6" s="9" t="s">
        <v>61</v>
      </c>
      <c r="BY6" s="9" t="s">
        <v>62</v>
      </c>
      <c r="BZ6" s="9" t="s">
        <v>63</v>
      </c>
      <c r="CA6" s="9" t="s">
        <v>64</v>
      </c>
      <c r="CB6" s="9" t="s">
        <v>65</v>
      </c>
      <c r="CC6" s="9" t="s">
        <v>66</v>
      </c>
      <c r="CD6" s="9" t="s">
        <v>67</v>
      </c>
      <c r="CE6" s="9" t="s">
        <v>68</v>
      </c>
      <c r="CF6" s="9" t="s">
        <v>69</v>
      </c>
      <c r="CH6" s="10" t="s">
        <v>70</v>
      </c>
      <c r="CI6" s="10" t="s">
        <v>70</v>
      </c>
      <c r="CJ6" s="10" t="s">
        <v>71</v>
      </c>
      <c r="CK6" s="10" t="s">
        <v>72</v>
      </c>
    </row>
    <row r="7" customFormat="false" ht="15" hidden="false" customHeight="true" outlineLevel="0" collapsed="false">
      <c r="CH7" s="7" t="s">
        <v>73</v>
      </c>
      <c r="CI7" s="7" t="s">
        <v>74</v>
      </c>
      <c r="CJ7" s="7" t="s">
        <v>75</v>
      </c>
      <c r="CK7" s="7" t="s">
        <v>76</v>
      </c>
    </row>
    <row r="8" customFormat="false" ht="15" hidden="false" customHeight="true" outlineLevel="0" collapsed="false">
      <c r="B8" s="11" t="s">
        <v>77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 t="s">
        <v>78</v>
      </c>
    </row>
    <row r="9" customFormat="false" ht="15" hidden="false" customHeight="true" outlineLevel="0" collapsed="false">
      <c r="CN9" s="12" t="s">
        <v>79</v>
      </c>
      <c r="CO9" s="9" t="s">
        <v>80</v>
      </c>
      <c r="CP9" s="9" t="s">
        <v>2</v>
      </c>
      <c r="CQ9" s="9" t="s">
        <v>81</v>
      </c>
      <c r="CR9" s="13" t="s">
        <v>82</v>
      </c>
    </row>
    <row r="10" customFormat="false" ht="15" hidden="false" customHeight="true" outlineLevel="0" collapsed="false">
      <c r="B10" s="14" t="s">
        <v>83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5" t="s">
        <v>84</v>
      </c>
    </row>
    <row r="11" customFormat="false" ht="15" hidden="false" customHeight="true" outlineLevel="0" collapsed="false">
      <c r="B11" s="16" t="s">
        <v>85</v>
      </c>
      <c r="C11" s="17" t="n">
        <v>277.255</v>
      </c>
      <c r="D11" s="17" t="n">
        <v>383.911</v>
      </c>
      <c r="E11" s="17" t="n">
        <v>436.81</v>
      </c>
      <c r="F11" s="17" t="n">
        <v>395.423</v>
      </c>
      <c r="G11" s="17" t="n">
        <v>412.337</v>
      </c>
      <c r="H11" s="17" t="n">
        <v>539.563</v>
      </c>
      <c r="I11" s="17" t="n">
        <v>570.325</v>
      </c>
      <c r="J11" s="17" t="n">
        <v>138.998</v>
      </c>
      <c r="K11" s="17" t="n">
        <v>155.231</v>
      </c>
      <c r="L11" s="17" t="n">
        <v>181.331</v>
      </c>
      <c r="M11" s="17" t="n">
        <v>189.588</v>
      </c>
      <c r="N11" s="17" t="n">
        <v>665.148</v>
      </c>
      <c r="O11" s="17" t="n">
        <v>181.585</v>
      </c>
      <c r="P11" s="17" t="n">
        <v>194.892</v>
      </c>
      <c r="Q11" s="17" t="n">
        <v>191.561</v>
      </c>
      <c r="R11" s="17" t="n">
        <v>194.763</v>
      </c>
      <c r="S11" s="17" t="n">
        <v>762.801</v>
      </c>
      <c r="T11" s="17" t="n">
        <v>182.057</v>
      </c>
      <c r="U11" s="17" t="n">
        <v>202.775</v>
      </c>
      <c r="V11" s="17" t="n">
        <v>206.599</v>
      </c>
      <c r="W11" s="17" t="n">
        <v>218.269</v>
      </c>
      <c r="X11" s="17" t="n">
        <v>809.7</v>
      </c>
      <c r="Y11" s="17" t="n">
        <v>204.576</v>
      </c>
      <c r="Z11" s="17" t="n">
        <v>220.29</v>
      </c>
      <c r="AA11" s="17" t="n">
        <v>222.553</v>
      </c>
      <c r="AB11" s="17" t="n">
        <v>228.451</v>
      </c>
      <c r="AC11" s="17" t="n">
        <v>875.87</v>
      </c>
      <c r="AD11" s="17" t="n">
        <v>220.901</v>
      </c>
      <c r="AE11" s="17" t="n">
        <v>231.809</v>
      </c>
      <c r="AF11" s="17" t="n">
        <v>257.966</v>
      </c>
      <c r="AG11" s="17" t="n">
        <v>256.864</v>
      </c>
      <c r="AH11" s="17" t="n">
        <v>967.54</v>
      </c>
      <c r="AI11" s="17" t="n">
        <v>254.721</v>
      </c>
      <c r="AJ11" s="17" t="n">
        <v>267.836</v>
      </c>
      <c r="AK11" s="17" t="n">
        <v>285.126</v>
      </c>
      <c r="AL11" s="17" t="n">
        <v>290.254</v>
      </c>
      <c r="AM11" s="17" t="n">
        <v>1097.937</v>
      </c>
      <c r="AN11" s="17" t="n">
        <v>287.213</v>
      </c>
      <c r="AO11" s="17" t="n">
        <v>308.251</v>
      </c>
      <c r="AP11" s="17" t="n">
        <v>320.016</v>
      </c>
      <c r="AQ11" s="17" t="n">
        <v>324.703</v>
      </c>
      <c r="AR11" s="17" t="n">
        <v>1240.183</v>
      </c>
      <c r="AS11" s="17" t="n">
        <v>301.067</v>
      </c>
      <c r="AT11" s="17" t="n">
        <v>251.964</v>
      </c>
      <c r="AU11" s="17" t="n">
        <v>178.158</v>
      </c>
      <c r="AV11" s="17" t="n">
        <v>193.623</v>
      </c>
      <c r="AW11" s="17" t="n">
        <v>924.812</v>
      </c>
      <c r="AX11" s="17" t="n">
        <v>199.334</v>
      </c>
      <c r="AY11" s="17" t="n">
        <v>230.28</v>
      </c>
      <c r="AZ11" s="17" t="n">
        <v>237.118</v>
      </c>
      <c r="BA11" s="17" t="n">
        <v>260.357</v>
      </c>
      <c r="BB11" s="17" t="n">
        <v>927.089</v>
      </c>
      <c r="BC11" s="17" t="n">
        <v>272.681</v>
      </c>
      <c r="BD11" s="17" t="n">
        <v>306.313</v>
      </c>
      <c r="BE11" s="17" t="n">
        <v>330.259</v>
      </c>
      <c r="BF11" s="17" t="n">
        <v>345.959</v>
      </c>
      <c r="BG11" s="17" t="n">
        <v>1255.212</v>
      </c>
      <c r="BH11" s="17" t="n">
        <v>371.278</v>
      </c>
      <c r="BI11" s="17" t="n">
        <v>392.202</v>
      </c>
      <c r="BJ11" s="17" t="n">
        <v>405.04</v>
      </c>
      <c r="BK11" s="17" t="n">
        <v>601.665</v>
      </c>
      <c r="BL11" s="17" t="n">
        <v>1770.185</v>
      </c>
      <c r="BM11" s="17" t="n">
        <v>618.716</v>
      </c>
      <c r="BN11" s="17" t="n">
        <v>647.232</v>
      </c>
      <c r="BO11" s="17" t="n">
        <v>681.626</v>
      </c>
      <c r="BP11" s="17" t="n">
        <v>691.78</v>
      </c>
      <c r="BQ11" s="17" t="n">
        <v>2639.354</v>
      </c>
      <c r="BR11" s="17" t="n">
        <v>713.174</v>
      </c>
      <c r="BS11" s="17" t="n">
        <v>767.07</v>
      </c>
      <c r="BT11" s="17" t="n">
        <v>802.661</v>
      </c>
      <c r="BU11" s="17" t="n">
        <v>834.372</v>
      </c>
      <c r="BV11" s="17" t="n">
        <v>3117.277</v>
      </c>
      <c r="BW11" s="17" t="n">
        <v>820</v>
      </c>
      <c r="BX11" s="17" t="n">
        <v>929.427</v>
      </c>
      <c r="BY11" s="17" t="n">
        <v>947.803</v>
      </c>
      <c r="BZ11" s="18" t="n">
        <f aca="false">BU11*(1+BZ12)</f>
        <v>984.55896</v>
      </c>
      <c r="CA11" s="18" t="n">
        <f aca="false">SUM(BW11,BX11,BY11,BZ11)</f>
        <v>3681.78896</v>
      </c>
      <c r="CB11" s="18" t="n">
        <f aca="false">CA11*(1+CB12)</f>
        <v>4086.7857456</v>
      </c>
      <c r="CC11" s="18" t="n">
        <f aca="false">CB11*(1+CC12)</f>
        <v>4413.728605248</v>
      </c>
      <c r="CD11" s="18" t="n">
        <f aca="false">CC11*(1+CD12)</f>
        <v>4722.68960761536</v>
      </c>
      <c r="CE11" s="18" t="n">
        <f aca="false">CD11*(1+CE12)</f>
        <v>5053.27788014844</v>
      </c>
      <c r="CF11" s="19" t="s">
        <v>86</v>
      </c>
      <c r="CH11" s="20" t="n">
        <f aca="false">IFERROR((CE11/BV11)^(1/5)-1,"n/m")</f>
        <v>0.101436735459614</v>
      </c>
      <c r="CI11" s="20" t="n">
        <f aca="false">IFERROR((BV11/AW11)^(1/5)-1,"n/m")</f>
        <v>0.27510041700122</v>
      </c>
      <c r="CJ11" s="20" t="n">
        <f aca="false">IFERROR((BV11/X11)^(1/10)-1,"n/m")</f>
        <v>0.14431377416072</v>
      </c>
      <c r="CK11" s="20" t="n">
        <f aca="false">IFERROR((BV11/C11)^(1/19)-1,"n/m")</f>
        <v>0.135822104211613</v>
      </c>
      <c r="CN11" s="15" t="s">
        <v>87</v>
      </c>
      <c r="CO11" s="15" t="s">
        <v>88</v>
      </c>
      <c r="CP11" s="15" t="s">
        <v>89</v>
      </c>
      <c r="CQ11" s="15" t="s">
        <v>90</v>
      </c>
      <c r="CR11" s="13" t="s">
        <v>91</v>
      </c>
    </row>
    <row r="12" customFormat="false" ht="15" hidden="false" customHeight="true" outlineLevel="0" collapsed="false">
      <c r="B12" s="21" t="s">
        <v>92</v>
      </c>
      <c r="D12" s="22" t="n">
        <f aca="false">IF(AND(ISNUMBER(D11),ISNUMBER(C11)),IFERROR(D11/C11-1,""),"")</f>
        <v>0.384685578258282</v>
      </c>
      <c r="E12" s="22" t="n">
        <f aca="false">IF(AND(ISNUMBER(E11),ISNUMBER(D11)),IFERROR(E11/D11-1,""),"")</f>
        <v>0.137789748144752</v>
      </c>
      <c r="F12" s="22" t="n">
        <f aca="false">IF(AND(ISNUMBER(F11),ISNUMBER(E11)),IFERROR(F11/E11-1,""),"")</f>
        <v>-0.0947482887296536</v>
      </c>
      <c r="G12" s="22" t="n">
        <f aca="false">IF(AND(ISNUMBER(G11),ISNUMBER(F11)),IFERROR(G11/F11-1,""),"")</f>
        <v>0.0427744466052809</v>
      </c>
      <c r="H12" s="22" t="n">
        <f aca="false">IF(AND(ISNUMBER(H11),ISNUMBER(G11)),IFERROR(H11/G11-1,""),"")</f>
        <v>0.308548590109546</v>
      </c>
      <c r="I12" s="22" t="n">
        <f aca="false">IF(AND(ISNUMBER(I11),ISNUMBER(H11)),IFERROR(I11/H11-1,""),"")</f>
        <v>0.057012804806853</v>
      </c>
      <c r="N12" s="22" t="n">
        <f aca="false">IF(AND(ISNUMBER(N11),ISNUMBER(I11)),IFERROR(N11/I11-1,""),"")</f>
        <v>0.166261342217157</v>
      </c>
      <c r="O12" s="22" t="n">
        <f aca="false">IF(AND(ISNUMBER(O11),ISNUMBER(J11)),IFERROR(O11/J11-1,""),"")</f>
        <v>0.306385703391416</v>
      </c>
      <c r="P12" s="22" t="n">
        <f aca="false">IF(AND(ISNUMBER(P11),ISNUMBER(K11)),IFERROR(P11/K11-1,""),"")</f>
        <v>0.255496646932636</v>
      </c>
      <c r="Q12" s="22" t="n">
        <f aca="false">IF(AND(ISNUMBER(Q11),ISNUMBER(L11)),IFERROR(Q11/L11-1,""),"")</f>
        <v>0.0564161671197976</v>
      </c>
      <c r="R12" s="22" t="n">
        <f aca="false">IF(AND(ISNUMBER(R11),ISNUMBER(M11)),IFERROR(R11/M11-1,""),"")</f>
        <v>0.0272960313943922</v>
      </c>
      <c r="S12" s="22" t="n">
        <f aca="false">IF(AND(ISNUMBER(S11),ISNUMBER(N11)),IFERROR(S11/N11-1,""),"")</f>
        <v>0.146813942160241</v>
      </c>
      <c r="T12" s="22" t="n">
        <f aca="false">IF(AND(ISNUMBER(T11),ISNUMBER(O11)),IFERROR(T11/O11-1,""),"")</f>
        <v>0.00259933364540021</v>
      </c>
      <c r="U12" s="22" t="n">
        <f aca="false">IF(AND(ISNUMBER(U11),ISNUMBER(P11)),IFERROR(U11/P11-1,""),"")</f>
        <v>0.0404480430186975</v>
      </c>
      <c r="V12" s="22" t="n">
        <f aca="false">IF(AND(ISNUMBER(V11),ISNUMBER(Q11)),IFERROR(V11/Q11-1,""),"")</f>
        <v>0.0785024091542641</v>
      </c>
      <c r="W12" s="22" t="n">
        <f aca="false">IF(AND(ISNUMBER(W11),ISNUMBER(R11)),IFERROR(W11/R11-1,""),"")</f>
        <v>0.120690274846865</v>
      </c>
      <c r="X12" s="22" t="n">
        <f aca="false">IF(AND(ISNUMBER(X11),ISNUMBER(S11)),IFERROR(X11/S11-1,""),"")</f>
        <v>0.0614826147317584</v>
      </c>
      <c r="Y12" s="22" t="n">
        <f aca="false">IF(AND(ISNUMBER(Y11),ISNUMBER(T11)),IFERROR(Y11/T11-1,""),"")</f>
        <v>0.123692030517915</v>
      </c>
      <c r="Z12" s="22" t="n">
        <f aca="false">IF(AND(ISNUMBER(Z11),ISNUMBER(U11)),IFERROR(Z11/U11-1,""),"")</f>
        <v>0.0863765257058315</v>
      </c>
      <c r="AA12" s="22" t="n">
        <f aca="false">IF(AND(ISNUMBER(AA11),ISNUMBER(V11)),IFERROR(AA11/V11-1,""),"")</f>
        <v>0.0772220581900203</v>
      </c>
      <c r="AB12" s="22" t="n">
        <f aca="false">IF(AND(ISNUMBER(AB11),ISNUMBER(W11)),IFERROR(AB11/W11-1,""),"")</f>
        <v>0.0466488598930677</v>
      </c>
      <c r="AC12" s="22" t="n">
        <f aca="false">IF(AND(ISNUMBER(AC11),ISNUMBER(X11)),IFERROR(AC11/X11-1,""),"")</f>
        <v>0.0817216252933184</v>
      </c>
      <c r="AD12" s="22" t="n">
        <f aca="false">IF(AND(ISNUMBER(AD11),ISNUMBER(Y11)),IFERROR(AD11/Y11-1,""),"")</f>
        <v>0.0797991944314094</v>
      </c>
      <c r="AE12" s="22" t="n">
        <f aca="false">IF(AND(ISNUMBER(AE11),ISNUMBER(Z11)),IFERROR(AE11/Z11-1,""),"")</f>
        <v>0.0522901629669981</v>
      </c>
      <c r="AF12" s="22" t="n">
        <f aca="false">IF(AND(ISNUMBER(AF11),ISNUMBER(AA11)),IFERROR(AF11/AA11-1,""),"")</f>
        <v>0.159121647427804</v>
      </c>
      <c r="AG12" s="22" t="n">
        <f aca="false">IF(AND(ISNUMBER(AG11),ISNUMBER(AB11)),IFERROR(AG11/AB11-1,""),"")</f>
        <v>0.124372403710205</v>
      </c>
      <c r="AH12" s="22" t="n">
        <f aca="false">IF(AND(ISNUMBER(AH11),ISNUMBER(AC11)),IFERROR(AH11/AC11-1,""),"")</f>
        <v>0.104661650701588</v>
      </c>
      <c r="AI12" s="22" t="n">
        <f aca="false">IF(AND(ISNUMBER(AI11),ISNUMBER(AD11)),IFERROR(AI11/AD11-1,""),"")</f>
        <v>0.15310025758145</v>
      </c>
      <c r="AJ12" s="22" t="n">
        <f aca="false">IF(AND(ISNUMBER(AJ11),ISNUMBER(AE11)),IFERROR(AJ11/AE11-1,""),"")</f>
        <v>0.15541674395731</v>
      </c>
      <c r="AK12" s="22" t="n">
        <f aca="false">IF(AND(ISNUMBER(AK11),ISNUMBER(AF11)),IFERROR(AK11/AF11-1,""),"")</f>
        <v>0.105285192622284</v>
      </c>
      <c r="AL12" s="22" t="n">
        <f aca="false">IF(AND(ISNUMBER(AL11),ISNUMBER(AG11)),IFERROR(AL11/AG11-1,""),"")</f>
        <v>0.129990967983057</v>
      </c>
      <c r="AM12" s="22" t="n">
        <f aca="false">IF(AND(ISNUMBER(AM11),ISNUMBER(AH11)),IFERROR(AM11/AH11-1,""),"")</f>
        <v>0.134771689025777</v>
      </c>
      <c r="AN12" s="22" t="n">
        <f aca="false">IF(AND(ISNUMBER(AN11),ISNUMBER(AI11)),IFERROR(AN11/AI11-1,""),"")</f>
        <v>0.127559172584907</v>
      </c>
      <c r="AO12" s="22" t="n">
        <f aca="false">IF(AND(ISNUMBER(AO11),ISNUMBER(AJ11)),IFERROR(AO11/AJ11-1,""),"")</f>
        <v>0.150894577278633</v>
      </c>
      <c r="AP12" s="22" t="n">
        <f aca="false">IF(AND(ISNUMBER(AP11),ISNUMBER(AK11)),IFERROR(AP11/AK11-1,""),"")</f>
        <v>0.122366953557375</v>
      </c>
      <c r="AQ12" s="22" t="n">
        <f aca="false">IF(AND(ISNUMBER(AQ11),ISNUMBER(AL11)),IFERROR(AQ11/AL11-1,""),"")</f>
        <v>0.118685702867144</v>
      </c>
      <c r="AR12" s="22" t="n">
        <f aca="false">IF(AND(ISNUMBER(AR11),ISNUMBER(AM11)),IFERROR(AR11/AM11-1,""),"")</f>
        <v>0.129557524703148</v>
      </c>
      <c r="AS12" s="22" t="n">
        <f aca="false">IF(AND(ISNUMBER(AS11),ISNUMBER(AN11)),IFERROR(AS11/AN11-1,""),"")</f>
        <v>0.0482359781764752</v>
      </c>
      <c r="AT12" s="22" t="n">
        <f aca="false">IF(AND(ISNUMBER(AT11),ISNUMBER(AO11)),IFERROR(AT11/AO11-1,""),"")</f>
        <v>-0.182601191885833</v>
      </c>
      <c r="AU12" s="22" t="n">
        <f aca="false">IF(AND(ISNUMBER(AU11),ISNUMBER(AP11)),IFERROR(AU11/AP11-1,""),"")</f>
        <v>-0.44328408579571</v>
      </c>
      <c r="AV12" s="22" t="n">
        <f aca="false">IF(AND(ISNUMBER(AV11),ISNUMBER(AQ11)),IFERROR(AV11/AQ11-1,""),"")</f>
        <v>-0.403691989294833</v>
      </c>
      <c r="AW12" s="22" t="n">
        <f aca="false">IF(AND(ISNUMBER(AW11),ISNUMBER(AR11)),IFERROR(AW11/AR11-1,""),"")</f>
        <v>-0.254293922751723</v>
      </c>
      <c r="AX12" s="22" t="n">
        <f aca="false">IF(AND(ISNUMBER(AX11),ISNUMBER(AS11)),IFERROR(AX11/AS11-1,""),"")</f>
        <v>-0.337908173263759</v>
      </c>
      <c r="AY12" s="22" t="n">
        <f aca="false">IF(AND(ISNUMBER(AY11),ISNUMBER(AT11)),IFERROR(AY11/AT11-1,""),"")</f>
        <v>-0.0860599133209506</v>
      </c>
      <c r="AZ12" s="22" t="n">
        <f aca="false">IF(AND(ISNUMBER(AZ11),ISNUMBER(AU11)),IFERROR(AZ11/AU11-1,""),"")</f>
        <v>0.330942197375363</v>
      </c>
      <c r="BA12" s="22" t="n">
        <f aca="false">IF(AND(ISNUMBER(BA11),ISNUMBER(AV11)),IFERROR(BA11/AV11-1,""),"")</f>
        <v>0.344659467108763</v>
      </c>
      <c r="BB12" s="22" t="n">
        <f aca="false">IF(AND(ISNUMBER(BB11),ISNUMBER(AW11)),IFERROR(BB11/AW11-1,""),"")</f>
        <v>0.00246212203128859</v>
      </c>
      <c r="BC12" s="22" t="n">
        <f aca="false">IF(AND(ISNUMBER(BC11),ISNUMBER(AX11)),IFERROR(BC11/AX11-1,""),"")</f>
        <v>0.367960307825057</v>
      </c>
      <c r="BD12" s="22" t="n">
        <f aca="false">IF(AND(ISNUMBER(BD11),ISNUMBER(AY11)),IFERROR(BD11/AY11-1,""),"")</f>
        <v>0.330176307104395</v>
      </c>
      <c r="BE12" s="22" t="n">
        <f aca="false">IF(AND(ISNUMBER(BE11),ISNUMBER(AZ11)),IFERROR(BE11/AZ11-1,""),"")</f>
        <v>0.392804426488078</v>
      </c>
      <c r="BF12" s="22" t="n">
        <f aca="false">IF(AND(ISNUMBER(BF11),ISNUMBER(BA11)),IFERROR(BF11/BA11-1,""),"")</f>
        <v>0.328787011680116</v>
      </c>
      <c r="BG12" s="22" t="n">
        <f aca="false">IF(AND(ISNUMBER(BG11),ISNUMBER(BB11)),IFERROR(BG11/BB11-1,""),"")</f>
        <v>0.35392826362949</v>
      </c>
      <c r="BH12" s="22" t="n">
        <f aca="false">IF(AND(ISNUMBER(BH11),ISNUMBER(BC11)),IFERROR(BH11/BC11-1,""),"")</f>
        <v>0.361583682031385</v>
      </c>
      <c r="BI12" s="22" t="n">
        <f aca="false">IF(AND(ISNUMBER(BI11),ISNUMBER(BD11)),IFERROR(BI11/BD11-1,""),"")</f>
        <v>0.280396196047833</v>
      </c>
      <c r="BJ12" s="22" t="n">
        <f aca="false">IF(AND(ISNUMBER(BJ11),ISNUMBER(BE11)),IFERROR(BJ11/BE11-1,""),"")</f>
        <v>0.226431376586255</v>
      </c>
      <c r="BK12" s="22" t="n">
        <f aca="false">IF(AND(ISNUMBER(BK11),ISNUMBER(BF11)),IFERROR(BK11/BF11-1,""),"")</f>
        <v>0.739122265933246</v>
      </c>
      <c r="BL12" s="22" t="n">
        <f aca="false">IF(AND(ISNUMBER(BL11),ISNUMBER(BG11)),IFERROR(BL11/BG11-1,""),"")</f>
        <v>0.410267747599609</v>
      </c>
      <c r="BM12" s="22" t="n">
        <f aca="false">IF(AND(ISNUMBER(BM11),ISNUMBER(BH11)),IFERROR(BM11/BH11-1,""),"")</f>
        <v>0.666449399102559</v>
      </c>
      <c r="BN12" s="22" t="n">
        <f aca="false">IF(AND(ISNUMBER(BN11),ISNUMBER(BI11)),IFERROR(BN11/BI11-1,""),"")</f>
        <v>0.65025165603439</v>
      </c>
      <c r="BO12" s="22" t="n">
        <f aca="false">IF(AND(ISNUMBER(BO11),ISNUMBER(BJ11)),IFERROR(BO11/BJ11-1,""),"")</f>
        <v>0.68286095200474</v>
      </c>
      <c r="BP12" s="22" t="n">
        <f aca="false">IF(AND(ISNUMBER(BP11),ISNUMBER(BK11)),IFERROR(BP11/BK11-1,""),"")</f>
        <v>0.14977603816077</v>
      </c>
      <c r="BQ12" s="22" t="n">
        <f aca="false">IF(AND(ISNUMBER(BQ11),ISNUMBER(BL11)),IFERROR(BQ11/BL11-1,""),"")</f>
        <v>0.491004612512252</v>
      </c>
      <c r="BR12" s="22" t="n">
        <f aca="false">IF(AND(ISNUMBER(BR11),ISNUMBER(BM11)),IFERROR(BR11/BM11-1,""),"")</f>
        <v>0.152667782956962</v>
      </c>
      <c r="BS12" s="22" t="n">
        <f aca="false">IF(AND(ISNUMBER(BS11),ISNUMBER(BN11)),IFERROR(BS11/BN11-1,""),"")</f>
        <v>0.185154627706912</v>
      </c>
      <c r="BT12" s="22" t="n">
        <f aca="false">IF(AND(ISNUMBER(BT11),ISNUMBER(BO11)),IFERROR(BT11/BO11-1,""),"")</f>
        <v>0.177568050514505</v>
      </c>
      <c r="BU12" s="22" t="n">
        <f aca="false">IF(AND(ISNUMBER(BU11),ISNUMBER(BP11)),IFERROR(BU11/BP11-1,""),"")</f>
        <v>0.206123334007922</v>
      </c>
      <c r="BV12" s="22" t="n">
        <f aca="false">IF(AND(ISNUMBER(BV11),ISNUMBER(BQ11)),IFERROR(BV11/BQ11-1,""),"")</f>
        <v>0.181075748080781</v>
      </c>
      <c r="BW12" s="22" t="n">
        <f aca="false">IF(AND(ISNUMBER(BW11),ISNUMBER(BR11)),IFERROR(BW11/BR11-1,""),"")</f>
        <v>0.149789532428271</v>
      </c>
      <c r="BX12" s="22" t="n">
        <f aca="false">IF(AND(ISNUMBER(BX11),ISNUMBER(BS11)),IFERROR(BX11/BS11-1,""),"")</f>
        <v>0.21165864914545</v>
      </c>
      <c r="BY12" s="22" t="n">
        <f aca="false">IF(AND(ISNUMBER(BY11),ISNUMBER(BT11)),IFERROR(BY11/BT11-1,""),"")</f>
        <v>0.180826027426273</v>
      </c>
      <c r="BZ12" s="23" t="n">
        <f aca="false">BZ13+BZ14+BZ82</f>
        <v>0.18</v>
      </c>
      <c r="CA12" s="23" t="n">
        <f aca="false">IF(AND(ISNUMBER(CA11),ISNUMBER(BV11)),IFERROR(CA11/BV11-1,""),"")</f>
        <v>0.181091369166102</v>
      </c>
      <c r="CB12" s="23" t="n">
        <f aca="false">CB13+CB14</f>
        <v>0.11</v>
      </c>
      <c r="CC12" s="23" t="n">
        <f aca="false">CC13+CC14</f>
        <v>0.08</v>
      </c>
      <c r="CD12" s="23" t="n">
        <f aca="false">CD13+CD14</f>
        <v>0.07</v>
      </c>
      <c r="CE12" s="23" t="n">
        <f aca="false">CE13+CE14</f>
        <v>0.07</v>
      </c>
      <c r="CF12" s="19" t="s">
        <v>93</v>
      </c>
      <c r="CN12" s="24" t="s">
        <v>94</v>
      </c>
      <c r="CO12" s="25"/>
      <c r="CP12" s="25"/>
      <c r="CQ12" s="25"/>
      <c r="CR12" s="13" t="s">
        <v>95</v>
      </c>
    </row>
    <row r="13" customFormat="false" ht="15" hidden="false" customHeight="true" outlineLevel="0" collapsed="false">
      <c r="B13" s="26" t="s">
        <v>96</v>
      </c>
      <c r="C13" s="27" t="n">
        <v>0.14</v>
      </c>
      <c r="D13" s="27" t="n">
        <v>0.21</v>
      </c>
      <c r="E13" s="27" t="n">
        <v>0.1</v>
      </c>
      <c r="H13" s="27" t="n">
        <v>0.21</v>
      </c>
      <c r="I13" s="27" t="n">
        <v>0.04</v>
      </c>
      <c r="K13" s="27" t="n">
        <v>0.07</v>
      </c>
      <c r="L13" s="27" t="n">
        <v>0.17</v>
      </c>
      <c r="M13" s="27" t="n">
        <v>0.14</v>
      </c>
      <c r="N13" s="27" t="n">
        <v>0.09</v>
      </c>
      <c r="O13" s="27" t="n">
        <v>0.19</v>
      </c>
      <c r="P13" s="27" t="n">
        <v>0.15</v>
      </c>
      <c r="Q13" s="27" t="n">
        <v>0.02</v>
      </c>
      <c r="R13" s="27" t="n">
        <v>0.03</v>
      </c>
      <c r="S13" s="27" t="n">
        <v>0.09</v>
      </c>
      <c r="T13" s="27" t="n">
        <v>-0.01</v>
      </c>
      <c r="U13" s="27" t="n">
        <v>-0.03</v>
      </c>
      <c r="X13" s="27" t="n">
        <v>-0.01</v>
      </c>
      <c r="Y13" s="27" t="n">
        <v>0.01</v>
      </c>
      <c r="Z13" s="27" t="n">
        <v>0.04</v>
      </c>
      <c r="AA13" s="27" t="n">
        <v>0.04</v>
      </c>
      <c r="AB13" s="27" t="n">
        <v>0.04</v>
      </c>
      <c r="AC13" s="27" t="n">
        <v>0.03</v>
      </c>
      <c r="AD13" s="27" t="n">
        <v>0.08</v>
      </c>
      <c r="AE13" s="27" t="n">
        <v>0.05</v>
      </c>
      <c r="AF13" s="27" t="n">
        <v>0.06</v>
      </c>
      <c r="AG13" s="27" t="n">
        <v>0.02</v>
      </c>
      <c r="AH13" s="27" t="n">
        <v>0.05</v>
      </c>
      <c r="AI13" s="27" t="n">
        <v>0.04</v>
      </c>
      <c r="AJ13" s="27" t="n">
        <v>0.05</v>
      </c>
      <c r="AK13" s="27" t="n">
        <v>0.1</v>
      </c>
      <c r="AL13" s="27" t="n">
        <v>0.13</v>
      </c>
      <c r="AM13" s="27" t="n">
        <v>0.08</v>
      </c>
      <c r="AN13" s="27" t="n">
        <v>0.13</v>
      </c>
      <c r="AO13" s="27" t="n">
        <v>0.15</v>
      </c>
      <c r="AP13" s="27" t="n">
        <v>0.12</v>
      </c>
      <c r="AQ13" s="27" t="n">
        <v>0.12</v>
      </c>
      <c r="AR13" s="27" t="n">
        <v>0.13</v>
      </c>
      <c r="AS13" s="27" t="n">
        <v>0.04</v>
      </c>
      <c r="AZ13" s="27" t="n">
        <v>0.32</v>
      </c>
      <c r="BA13" s="27" t="n">
        <v>0.28</v>
      </c>
      <c r="BC13" s="27" t="n">
        <v>0.3</v>
      </c>
      <c r="BD13" s="27" t="n">
        <v>0.23</v>
      </c>
      <c r="BE13" s="27" t="n">
        <v>0.25</v>
      </c>
      <c r="BF13" s="27" t="n">
        <v>0.22</v>
      </c>
      <c r="BG13" s="27" t="n">
        <v>0.25</v>
      </c>
      <c r="BH13" s="27" t="n">
        <v>0.25</v>
      </c>
      <c r="BI13" s="27" t="n">
        <v>0.2</v>
      </c>
      <c r="BJ13" s="27" t="n">
        <v>0.19</v>
      </c>
      <c r="BK13" s="27" t="n">
        <v>0.2</v>
      </c>
      <c r="BL13" s="27" t="n">
        <v>0.21</v>
      </c>
      <c r="BM13" s="27" t="n">
        <v>0.12</v>
      </c>
      <c r="BN13" s="27" t="n">
        <v>0.12</v>
      </c>
      <c r="BO13" s="27" t="n">
        <v>0.15</v>
      </c>
      <c r="BP13" s="27" t="n">
        <v>0.12</v>
      </c>
      <c r="BQ13" s="27" t="n">
        <v>0.13</v>
      </c>
      <c r="BR13" s="27" t="n">
        <v>0.13</v>
      </c>
      <c r="BS13" s="27" t="n">
        <v>0.14</v>
      </c>
      <c r="BT13" s="27" t="n">
        <v>0.13</v>
      </c>
      <c r="BU13" s="27" t="n">
        <v>0.16</v>
      </c>
      <c r="BV13" s="27" t="n">
        <v>0.14</v>
      </c>
      <c r="BW13" s="27" t="n">
        <v>0.12</v>
      </c>
      <c r="BX13" s="27" t="n">
        <v>0.19</v>
      </c>
      <c r="BY13" s="27" t="n">
        <v>0.12</v>
      </c>
      <c r="BZ13" s="28" t="n">
        <v>0.12</v>
      </c>
      <c r="CB13" s="23" t="n">
        <f aca="false">CHOOSE(MATCH($CF$2,{"Bull","Base","Bear"},0),$CO$20,$CP$20,$CQ$20)</f>
        <v>0.09</v>
      </c>
      <c r="CC13" s="23" t="n">
        <f aca="false">CHOOSE(MATCH($CF$2,{"Bull","Base","Bear"},0),$CO$21,$CP$21,$CQ$21)</f>
        <v>0.08</v>
      </c>
      <c r="CD13" s="23" t="n">
        <f aca="false">CHOOSE(MATCH($CF$2,{"Bull","Base","Bear"},0),$CO$22,$CP$22,$CQ$22)</f>
        <v>0.07</v>
      </c>
      <c r="CE13" s="23" t="n">
        <f aca="false">CHOOSE(MATCH($CF$2,{"Bull","Base","Bear"},0),$CO$23,$CP$23,$CQ$23)</f>
        <v>0.07</v>
      </c>
      <c r="CF13" s="19" t="s">
        <v>97</v>
      </c>
      <c r="CN13" s="24" t="s">
        <v>98</v>
      </c>
      <c r="CO13" s="25"/>
      <c r="CP13" s="25"/>
      <c r="CQ13" s="25"/>
    </row>
    <row r="14" customFormat="false" ht="15" hidden="false" customHeight="true" outlineLevel="0" collapsed="false">
      <c r="B14" s="29" t="s">
        <v>99</v>
      </c>
      <c r="C14" s="30" t="str">
        <f aca="false">IF(AND(ISNUMBER(C12),ISNUMBER(C13)),C12-C13,"")</f>
        <v/>
      </c>
      <c r="D14" s="30" t="n">
        <f aca="false">IF(AND(ISNUMBER(D12),ISNUMBER(D13)),D12-D13,"")</f>
        <v>0.174685578258282</v>
      </c>
      <c r="E14" s="30" t="n">
        <f aca="false">IF(AND(ISNUMBER(E12),ISNUMBER(E13)),E12-E13,"")</f>
        <v>0.0377897481447523</v>
      </c>
      <c r="F14" s="30" t="str">
        <f aca="false">IF(AND(ISNUMBER(F12),ISNUMBER(F13)),F12-F13,"")</f>
        <v/>
      </c>
      <c r="G14" s="30" t="str">
        <f aca="false">IF(AND(ISNUMBER(G12),ISNUMBER(G13)),G12-G13,"")</f>
        <v/>
      </c>
      <c r="H14" s="30" t="n">
        <f aca="false">IF(AND(ISNUMBER(H12),ISNUMBER(H13)),H12-H13,"")</f>
        <v>0.0985485901095464</v>
      </c>
      <c r="I14" s="30" t="n">
        <f aca="false">IF(AND(ISNUMBER(I12),ISNUMBER(I13)),I12-I13,"")</f>
        <v>0.017012804806853</v>
      </c>
      <c r="J14" s="30" t="str">
        <f aca="false">IF(AND(ISNUMBER(J12),ISNUMBER(J13)),J12-J13,"")</f>
        <v/>
      </c>
      <c r="K14" s="30" t="str">
        <f aca="false">IF(AND(ISNUMBER(K12),ISNUMBER(K13)),K12-K13,"")</f>
        <v/>
      </c>
      <c r="L14" s="30" t="str">
        <f aca="false">IF(AND(ISNUMBER(L12),ISNUMBER(L13)),L12-L13,"")</f>
        <v/>
      </c>
      <c r="M14" s="30" t="str">
        <f aca="false">IF(AND(ISNUMBER(M12),ISNUMBER(M13)),M12-M13,"")</f>
        <v/>
      </c>
      <c r="N14" s="30" t="n">
        <f aca="false">IF(AND(ISNUMBER(N12),ISNUMBER(N13)),N12-N13,"")</f>
        <v>0.0762613422171568</v>
      </c>
      <c r="O14" s="30" t="n">
        <f aca="false">IF(AND(ISNUMBER(O12),ISNUMBER(O13)),O12-O13,"")</f>
        <v>0.116385703391416</v>
      </c>
      <c r="P14" s="30" t="n">
        <f aca="false">IF(AND(ISNUMBER(P12),ISNUMBER(P13)),P12-P13,"")</f>
        <v>0.105496646932636</v>
      </c>
      <c r="Q14" s="30" t="n">
        <f aca="false">IF(AND(ISNUMBER(Q12),ISNUMBER(Q13)),Q12-Q13,"")</f>
        <v>0.0364161671197976</v>
      </c>
      <c r="R14" s="30" t="n">
        <f aca="false">IF(AND(ISNUMBER(R12),ISNUMBER(R13)),R12-R13,"")</f>
        <v>-0.00270396860560782</v>
      </c>
      <c r="S14" s="30" t="n">
        <f aca="false">IF(AND(ISNUMBER(S12),ISNUMBER(S13)),S12-S13,"")</f>
        <v>0.056813942160241</v>
      </c>
      <c r="T14" s="30" t="n">
        <f aca="false">IF(AND(ISNUMBER(T12),ISNUMBER(T13)),T12-T13,"")</f>
        <v>0.0125993336454002</v>
      </c>
      <c r="U14" s="30" t="n">
        <f aca="false">IF(AND(ISNUMBER(U12),ISNUMBER(U13)),U12-U13,"")</f>
        <v>0.0704480430186975</v>
      </c>
      <c r="V14" s="30" t="str">
        <f aca="false">IF(AND(ISNUMBER(V12),ISNUMBER(V13)),V12-V13,"")</f>
        <v/>
      </c>
      <c r="W14" s="30" t="str">
        <f aca="false">IF(AND(ISNUMBER(W12),ISNUMBER(W13)),W12-W13,"")</f>
        <v/>
      </c>
      <c r="X14" s="30" t="n">
        <f aca="false">IF(AND(ISNUMBER(X12),ISNUMBER(X13)),X12-X13,"")</f>
        <v>0.0714826147317584</v>
      </c>
      <c r="Y14" s="30" t="n">
        <f aca="false">IF(AND(ISNUMBER(Y12),ISNUMBER(Y13)),Y12-Y13,"")</f>
        <v>0.113692030517915</v>
      </c>
      <c r="Z14" s="30" t="n">
        <f aca="false">IF(AND(ISNUMBER(Z12),ISNUMBER(Z13)),Z12-Z13,"")</f>
        <v>0.0463765257058315</v>
      </c>
      <c r="AA14" s="30" t="n">
        <f aca="false">IF(AND(ISNUMBER(AA12),ISNUMBER(AA13)),AA12-AA13,"")</f>
        <v>0.0372220581900203</v>
      </c>
      <c r="AB14" s="30" t="n">
        <f aca="false">IF(AND(ISNUMBER(AB12),ISNUMBER(AB13)),AB12-AB13,"")</f>
        <v>0.00664885989306766</v>
      </c>
      <c r="AC14" s="30" t="n">
        <f aca="false">IF(AND(ISNUMBER(AC12),ISNUMBER(AC13)),AC12-AC13,"")</f>
        <v>0.0517216252933184</v>
      </c>
      <c r="AD14" s="30" t="n">
        <f aca="false">IF(AND(ISNUMBER(AD12),ISNUMBER(AD13)),AD12-AD13,"")</f>
        <v>-0.000200805568590631</v>
      </c>
      <c r="AE14" s="30" t="n">
        <f aca="false">IF(AND(ISNUMBER(AE12),ISNUMBER(AE13)),AE12-AE13,"")</f>
        <v>0.00229016296699806</v>
      </c>
      <c r="AF14" s="30" t="n">
        <f aca="false">IF(AND(ISNUMBER(AF12),ISNUMBER(AF13)),AF12-AF13,"")</f>
        <v>0.0991216474278037</v>
      </c>
      <c r="AG14" s="30" t="n">
        <f aca="false">IF(AND(ISNUMBER(AG12),ISNUMBER(AG13)),AG12-AG13,"")</f>
        <v>0.104372403710205</v>
      </c>
      <c r="AH14" s="30" t="n">
        <f aca="false">IF(AND(ISNUMBER(AH12),ISNUMBER(AH13)),AH12-AH13,"")</f>
        <v>0.0546616507015881</v>
      </c>
      <c r="AI14" s="30" t="n">
        <f aca="false">IF(AND(ISNUMBER(AI12),ISNUMBER(AI13)),AI12-AI13,"")</f>
        <v>0.11310025758145</v>
      </c>
      <c r="AJ14" s="30" t="n">
        <f aca="false">IF(AND(ISNUMBER(AJ12),ISNUMBER(AJ13)),AJ12-AJ13,"")</f>
        <v>0.10541674395731</v>
      </c>
      <c r="AK14" s="30" t="n">
        <f aca="false">IF(AND(ISNUMBER(AK12),ISNUMBER(AK13)),AK12-AK13,"")</f>
        <v>0.00528519262228352</v>
      </c>
      <c r="AL14" s="30" t="n">
        <f aca="false">IF(AND(ISNUMBER(AL12),ISNUMBER(AL13)),AL12-AL13,"")</f>
        <v>-9.0320169426894E-006</v>
      </c>
      <c r="AM14" s="30" t="n">
        <f aca="false">IF(AND(ISNUMBER(AM12),ISNUMBER(AM13)),AM12-AM13,"")</f>
        <v>0.0547716890257766</v>
      </c>
      <c r="AN14" s="30" t="n">
        <f aca="false">IF(AND(ISNUMBER(AN12),ISNUMBER(AN13)),AN12-AN13,"")</f>
        <v>-0.00244082741509322</v>
      </c>
      <c r="AO14" s="30" t="n">
        <f aca="false">IF(AND(ISNUMBER(AO12),ISNUMBER(AO13)),AO12-AO13,"")</f>
        <v>0.000894577278632985</v>
      </c>
      <c r="AP14" s="30" t="n">
        <f aca="false">IF(AND(ISNUMBER(AP12),ISNUMBER(AP13)),AP12-AP13,"")</f>
        <v>0.00236695355737482</v>
      </c>
      <c r="AQ14" s="30" t="n">
        <f aca="false">IF(AND(ISNUMBER(AQ12),ISNUMBER(AQ13)),AQ12-AQ13,"")</f>
        <v>-0.00131429713285625</v>
      </c>
      <c r="AR14" s="30" t="n">
        <f aca="false">IF(AND(ISNUMBER(AR12),ISNUMBER(AR13)),AR12-AR13,"")</f>
        <v>-0.000442475296852041</v>
      </c>
      <c r="AS14" s="30" t="n">
        <f aca="false">IF(AND(ISNUMBER(AS12),ISNUMBER(AS13)),AS12-AS13,"")</f>
        <v>0.00823597817647518</v>
      </c>
      <c r="AT14" s="30" t="str">
        <f aca="false">IF(AND(ISNUMBER(AT12),ISNUMBER(AT13)),AT12-AT13,"")</f>
        <v/>
      </c>
      <c r="AU14" s="30" t="str">
        <f aca="false">IF(AND(ISNUMBER(AU12),ISNUMBER(AU13)),AU12-AU13,"")</f>
        <v/>
      </c>
      <c r="AV14" s="30" t="str">
        <f aca="false">IF(AND(ISNUMBER(AV12),ISNUMBER(AV13)),AV12-AV13,"")</f>
        <v/>
      </c>
      <c r="AW14" s="30" t="str">
        <f aca="false">IF(AND(ISNUMBER(AW12),ISNUMBER(AW13)),AW12-AW13,"")</f>
        <v/>
      </c>
      <c r="AX14" s="30" t="str">
        <f aca="false">IF(AND(ISNUMBER(AX12),ISNUMBER(AX13)),AX12-AX13,"")</f>
        <v/>
      </c>
      <c r="AY14" s="30" t="str">
        <f aca="false">IF(AND(ISNUMBER(AY12),ISNUMBER(AY13)),AY12-AY13,"")</f>
        <v/>
      </c>
      <c r="AZ14" s="30" t="n">
        <f aca="false">IF(AND(ISNUMBER(AZ12),ISNUMBER(AZ13)),AZ12-AZ13,"")</f>
        <v>0.0109421973753635</v>
      </c>
      <c r="BA14" s="30" t="n">
        <f aca="false">IF(AND(ISNUMBER(BA12),ISNUMBER(BA13)),BA12-BA13,"")</f>
        <v>0.064659467108763</v>
      </c>
      <c r="BB14" s="30" t="str">
        <f aca="false">IF(AND(ISNUMBER(BB12),ISNUMBER(BB13)),BB12-BB13,"")</f>
        <v/>
      </c>
      <c r="BC14" s="30" t="n">
        <f aca="false">IF(AND(ISNUMBER(BC12),ISNUMBER(BC13)),BC12-BC13,"")</f>
        <v>0.0679603078250573</v>
      </c>
      <c r="BD14" s="30" t="n">
        <f aca="false">IF(AND(ISNUMBER(BD12),ISNUMBER(BD13)),BD12-BD13,"")</f>
        <v>0.100176307104395</v>
      </c>
      <c r="BE14" s="30" t="n">
        <f aca="false">IF(AND(ISNUMBER(BE12),ISNUMBER(BE13)),BE12-BE13,"")</f>
        <v>0.142804426488078</v>
      </c>
      <c r="BF14" s="30" t="n">
        <f aca="false">IF(AND(ISNUMBER(BF12),ISNUMBER(BF13)),BF12-BF13,"")</f>
        <v>0.108787011680116</v>
      </c>
      <c r="BG14" s="30" t="n">
        <f aca="false">IF(AND(ISNUMBER(BG12),ISNUMBER(BG13)),BG12-BG13,"")</f>
        <v>0.10392826362949</v>
      </c>
      <c r="BH14" s="30" t="n">
        <f aca="false">IF(AND(ISNUMBER(BH12),ISNUMBER(BH13)),BH12-BH13,"")</f>
        <v>0.111583682031385</v>
      </c>
      <c r="BI14" s="30" t="n">
        <f aca="false">IF(AND(ISNUMBER(BI12),ISNUMBER(BI13)),BI12-BI13,"")</f>
        <v>0.0803961960478334</v>
      </c>
      <c r="BJ14" s="30" t="n">
        <f aca="false">IF(AND(ISNUMBER(BJ12),ISNUMBER(BJ13)),BJ12-BJ13,"")</f>
        <v>0.0364313765862551</v>
      </c>
      <c r="BK14" s="30" t="n">
        <f aca="false">IF(AND(ISNUMBER(BK12),ISNUMBER(BK13)),BK12-BK13,"")</f>
        <v>0.539122265933246</v>
      </c>
      <c r="BL14" s="30" t="n">
        <f aca="false">IF(AND(ISNUMBER(BL12),ISNUMBER(BL13)),BL12-BL13,"")</f>
        <v>0.200267747599609</v>
      </c>
      <c r="BM14" s="30" t="n">
        <f aca="false">IF(AND(ISNUMBER(BM12),ISNUMBER(BM13)),BM12-BM13,"")</f>
        <v>0.546449399102559</v>
      </c>
      <c r="BN14" s="30" t="n">
        <f aca="false">IF(AND(ISNUMBER(BN12),ISNUMBER(BN13)),BN12-BN13,"")</f>
        <v>0.53025165603439</v>
      </c>
      <c r="BO14" s="30" t="n">
        <f aca="false">IF(AND(ISNUMBER(BO12),ISNUMBER(BO13)),BO12-BO13,"")</f>
        <v>0.53286095200474</v>
      </c>
      <c r="BP14" s="30" t="n">
        <f aca="false">IF(AND(ISNUMBER(BP12),ISNUMBER(BP13)),BP12-BP13,"")</f>
        <v>0.0297760381607705</v>
      </c>
      <c r="BQ14" s="30" t="n">
        <f aca="false">IF(AND(ISNUMBER(BQ12),ISNUMBER(BQ13)),BQ12-BQ13,"")</f>
        <v>0.361004612512252</v>
      </c>
      <c r="BR14" s="30" t="n">
        <f aca="false">IF(AND(ISNUMBER(BR12),ISNUMBER(BR13)),BR12-BR13,"")</f>
        <v>0.0226677829569625</v>
      </c>
      <c r="BS14" s="30" t="n">
        <f aca="false">IF(AND(ISNUMBER(BS12),ISNUMBER(BS13)),BS12-BS13,"")</f>
        <v>0.045154627706912</v>
      </c>
      <c r="BT14" s="30" t="n">
        <f aca="false">IF(AND(ISNUMBER(BT12),ISNUMBER(BT13)),BT12-BT13,"")</f>
        <v>0.047568050514505</v>
      </c>
      <c r="BU14" s="30" t="n">
        <f aca="false">IF(AND(ISNUMBER(BU12),ISNUMBER(BU13)),BU12-BU13,"")</f>
        <v>0.0461233340079216</v>
      </c>
      <c r="BV14" s="30" t="n">
        <f aca="false">IF(AND(ISNUMBER(BV12),ISNUMBER(BV13)),BV12-BV13,"")</f>
        <v>0.0410757480807805</v>
      </c>
      <c r="BW14" s="30" t="n">
        <f aca="false">IF(AND(ISNUMBER(BW12),ISNUMBER(BW13)),BW12-BW13,"")</f>
        <v>0.0297895324282714</v>
      </c>
      <c r="BX14" s="30" t="n">
        <f aca="false">IF(AND(ISNUMBER(BX12),ISNUMBER(BX13)),BX12-BX13,"")</f>
        <v>0.0216586491454495</v>
      </c>
      <c r="BY14" s="30" t="n">
        <f aca="false">IF(AND(ISNUMBER(BY12),ISNUMBER(BY13)),BY12-BY13,"")</f>
        <v>0.0608260274262734</v>
      </c>
      <c r="BZ14" s="31" t="n">
        <v>0.06</v>
      </c>
      <c r="CB14" s="31" t="n">
        <v>0.02</v>
      </c>
      <c r="CC14" s="31" t="n">
        <v>0</v>
      </c>
      <c r="CD14" s="31" t="n">
        <v>0</v>
      </c>
      <c r="CE14" s="31" t="n">
        <v>0</v>
      </c>
      <c r="CF14" s="19" t="s">
        <v>100</v>
      </c>
    </row>
    <row r="15" customFormat="false" ht="15" hidden="false" customHeight="true" outlineLevel="0" collapsed="false">
      <c r="B15" s="16" t="s">
        <v>101</v>
      </c>
      <c r="C15" s="17" t="n">
        <v>46.84</v>
      </c>
      <c r="D15" s="17" t="n">
        <v>67.408</v>
      </c>
      <c r="E15" s="17" t="n">
        <v>81.184</v>
      </c>
      <c r="F15" s="17" t="n">
        <v>60.003</v>
      </c>
      <c r="G15" s="17" t="n">
        <v>67.896</v>
      </c>
      <c r="H15" s="17" t="n">
        <v>95.001</v>
      </c>
      <c r="I15" s="17" t="n">
        <v>103.943</v>
      </c>
      <c r="J15" s="17" t="n">
        <v>24.245</v>
      </c>
      <c r="K15" s="17" t="n">
        <v>30.296</v>
      </c>
      <c r="L15" s="17" t="n">
        <v>32.649</v>
      </c>
      <c r="M15" s="17" t="n">
        <v>34.868</v>
      </c>
      <c r="N15" s="17" t="n">
        <v>122.058</v>
      </c>
      <c r="O15" s="17" t="n">
        <v>32.203</v>
      </c>
      <c r="P15" s="17" t="n">
        <v>36.886</v>
      </c>
      <c r="Q15" s="17" t="n">
        <v>34.234</v>
      </c>
      <c r="R15" s="17" t="n">
        <v>33.157</v>
      </c>
      <c r="S15" s="17" t="n">
        <v>136.48</v>
      </c>
      <c r="T15" s="17" t="n">
        <v>30.703</v>
      </c>
      <c r="U15" s="17" t="n">
        <v>37.545</v>
      </c>
      <c r="V15" s="17" t="n">
        <v>39.25</v>
      </c>
      <c r="W15" s="17" t="n">
        <v>42.3</v>
      </c>
      <c r="X15" s="17" t="n">
        <v>149.798</v>
      </c>
      <c r="Y15" s="17" t="n">
        <v>35.48</v>
      </c>
      <c r="Z15" s="17" t="n">
        <v>41.308</v>
      </c>
      <c r="AA15" s="17" t="n">
        <v>41.969</v>
      </c>
      <c r="AB15" s="17" t="n">
        <v>44.67</v>
      </c>
      <c r="AC15" s="17" t="n">
        <v>163.427</v>
      </c>
      <c r="AD15" s="17" t="n">
        <v>41.363</v>
      </c>
      <c r="AE15" s="17" t="n">
        <v>44.744</v>
      </c>
      <c r="AF15" s="17" t="n">
        <v>46.664</v>
      </c>
      <c r="AG15" s="17" t="n">
        <v>46.507</v>
      </c>
      <c r="AH15" s="17" t="n">
        <v>179.278</v>
      </c>
      <c r="AI15" s="17" t="n">
        <v>45.869</v>
      </c>
      <c r="AJ15" s="17" t="n">
        <v>51.488</v>
      </c>
      <c r="AK15" s="17" t="n">
        <v>54.712</v>
      </c>
      <c r="AL15" s="17" t="n">
        <v>54.554</v>
      </c>
      <c r="AM15" s="17" t="n">
        <v>206.623</v>
      </c>
      <c r="AN15" s="17" t="n">
        <v>52.88</v>
      </c>
      <c r="AO15" s="17" t="n">
        <v>62.166</v>
      </c>
      <c r="AP15" s="17" t="n">
        <v>64.797</v>
      </c>
      <c r="AQ15" s="17" t="n">
        <v>62.186</v>
      </c>
      <c r="AR15" s="17" t="n">
        <v>242.029</v>
      </c>
      <c r="AS15" s="17" t="n">
        <v>62.045</v>
      </c>
      <c r="AT15" s="17" t="n">
        <v>47.531</v>
      </c>
      <c r="AU15" s="17" t="n">
        <v>12.021</v>
      </c>
      <c r="AV15" s="17" t="n">
        <v>21.454</v>
      </c>
      <c r="AW15" s="17" t="n">
        <v>143.051</v>
      </c>
      <c r="AX15" s="17" t="n">
        <v>25.822</v>
      </c>
      <c r="AY15" s="17" t="n">
        <v>35.476</v>
      </c>
      <c r="AZ15" s="17" t="n">
        <v>42.059</v>
      </c>
      <c r="BA15" s="17" t="n">
        <v>48.573</v>
      </c>
      <c r="BB15" s="17" t="n">
        <v>151.93</v>
      </c>
      <c r="BC15" s="17" t="n">
        <v>52.376</v>
      </c>
      <c r="BD15" s="17" t="n">
        <v>66.197</v>
      </c>
      <c r="BE15" s="17" t="n">
        <v>70.756</v>
      </c>
      <c r="BF15" s="17" t="n">
        <v>77.838</v>
      </c>
      <c r="BG15" s="17" t="n">
        <v>267.167</v>
      </c>
      <c r="BH15" s="17" t="n">
        <v>83.609</v>
      </c>
      <c r="BI15" s="17" t="n">
        <v>99.912</v>
      </c>
      <c r="BJ15" s="17" t="n">
        <v>89.172</v>
      </c>
      <c r="BK15" s="17" t="n">
        <v>114.604</v>
      </c>
      <c r="BL15" s="17" t="n">
        <v>387.297</v>
      </c>
      <c r="BM15" s="17" t="n">
        <v>136.091</v>
      </c>
      <c r="BN15" s="17" t="n">
        <v>148.876</v>
      </c>
      <c r="BO15" s="17" t="n">
        <v>153.594</v>
      </c>
      <c r="BP15" s="17" t="n">
        <v>154.513</v>
      </c>
      <c r="BQ15" s="17" t="n">
        <v>593.074</v>
      </c>
      <c r="BR15" s="17" t="n">
        <v>166.116</v>
      </c>
      <c r="BS15" s="17" t="n">
        <v>184.98</v>
      </c>
      <c r="BT15" s="17" t="n">
        <v>198.326</v>
      </c>
      <c r="BU15" s="17" t="n">
        <v>200.973</v>
      </c>
      <c r="BV15" s="17" t="n">
        <v>750.395</v>
      </c>
      <c r="BW15" s="17" t="n">
        <v>200.733</v>
      </c>
      <c r="BX15" s="17" t="n">
        <v>243.064</v>
      </c>
      <c r="BY15" s="17" t="n">
        <v>245.299</v>
      </c>
      <c r="BZ15" s="18" t="n">
        <f aca="false">BZ11*BZ17</f>
        <v>251.734308431172</v>
      </c>
      <c r="CA15" s="18" t="n">
        <f aca="false">SUM(BW15,BX15,BY15,BZ15)</f>
        <v>940.830308431172</v>
      </c>
      <c r="CB15" s="18" t="n">
        <f aca="false">CB11*CB17</f>
        <v>1042.130365128</v>
      </c>
      <c r="CC15" s="18" t="n">
        <f aca="false">CC11*CC17</f>
        <v>1147.56943736448</v>
      </c>
      <c r="CD15" s="18" t="n">
        <f aca="false">CD11*CD17</f>
        <v>1227.89929797999</v>
      </c>
      <c r="CE15" s="18" t="n">
        <f aca="false">CE11*CE17</f>
        <v>1313.85224883859</v>
      </c>
      <c r="CH15" s="20" t="n">
        <f aca="false">IFERROR((CE15/BV15)^(1/5)-1,"n/m")</f>
        <v>0.118539484780188</v>
      </c>
      <c r="CI15" s="20" t="n">
        <f aca="false">IFERROR((BV15/AW15)^(1/5)-1,"n/m")</f>
        <v>0.393027874357667</v>
      </c>
      <c r="CJ15" s="20" t="n">
        <f aca="false">IFERROR((BV15/X15)^(1/10)-1,"n/m")</f>
        <v>0.174839099319146</v>
      </c>
      <c r="CK15" s="20" t="n">
        <f aca="false">IFERROR((BV15/C15)^(1/19)-1,"n/m")</f>
        <v>0.157187795109477</v>
      </c>
      <c r="CN15" s="15" t="s">
        <v>102</v>
      </c>
      <c r="CO15" s="15"/>
      <c r="CP15" s="15"/>
      <c r="CQ15" s="15"/>
    </row>
    <row r="16" customFormat="false" ht="15" hidden="false" customHeight="true" outlineLevel="0" collapsed="false">
      <c r="B16" s="29" t="s">
        <v>103</v>
      </c>
      <c r="BZ16" s="23" t="n">
        <f aca="false">BU15/BU11+(SUM(BW15,BX15,BY15)/SUM(BW11,BX11,BY11)-SUM(BR15,BS15,BT15)/SUM(BR11,BS11,BT11))</f>
        <v>0.25568230919474</v>
      </c>
      <c r="CF16" s="19" t="s">
        <v>104</v>
      </c>
      <c r="CN16" s="32" t="s">
        <v>105</v>
      </c>
    </row>
    <row r="17" customFormat="false" ht="15" hidden="false" customHeight="true" outlineLevel="0" collapsed="false">
      <c r="B17" s="29" t="s">
        <v>106</v>
      </c>
      <c r="C17" s="30" t="n">
        <f aca="false">IF(AND(ISNUMBER(C15),ISNUMBER(C11)),IFERROR(C15/C11,""),"")</f>
        <v>0.168941948747543</v>
      </c>
      <c r="D17" s="30" t="n">
        <f aca="false">IF(AND(ISNUMBER(D15),ISNUMBER(D11)),IFERROR(D15/D11,""),"")</f>
        <v>0.175582361536919</v>
      </c>
      <c r="E17" s="30" t="n">
        <f aca="false">IF(AND(ISNUMBER(E15),ISNUMBER(E11)),IFERROR(E15/E11,""),"")</f>
        <v>0.185856550903139</v>
      </c>
      <c r="F17" s="30" t="n">
        <f aca="false">IF(AND(ISNUMBER(F15),ISNUMBER(F11)),IFERROR(F15/F11,""),"")</f>
        <v>0.151743828760593</v>
      </c>
      <c r="G17" s="30" t="n">
        <f aca="false">IF(AND(ISNUMBER(G15),ISNUMBER(G11)),IFERROR(G15/G11,""),"")</f>
        <v>0.164661429849856</v>
      </c>
      <c r="H17" s="30" t="n">
        <f aca="false">IF(AND(ISNUMBER(H15),ISNUMBER(H11)),IFERROR(H15/H11,""),"")</f>
        <v>0.176070264269418</v>
      </c>
      <c r="I17" s="30" t="n">
        <f aca="false">IF(AND(ISNUMBER(I15),ISNUMBER(I11)),IFERROR(I15/I11,""),"")</f>
        <v>0.182252224608776</v>
      </c>
      <c r="J17" s="30" t="n">
        <f aca="false">IF(AND(ISNUMBER(J15),ISNUMBER(J11)),IFERROR(J15/J11,""),"")</f>
        <v>0.174426970172233</v>
      </c>
      <c r="K17" s="30" t="n">
        <f aca="false">IF(AND(ISNUMBER(K15),ISNUMBER(K11)),IFERROR(K15/K11,""),"")</f>
        <v>0.19516720242735</v>
      </c>
      <c r="L17" s="30" t="n">
        <f aca="false">IF(AND(ISNUMBER(L15),ISNUMBER(L11)),IFERROR(L15/L11,""),"")</f>
        <v>0.180051949197876</v>
      </c>
      <c r="M17" s="30" t="n">
        <f aca="false">IF(AND(ISNUMBER(M15),ISNUMBER(M11)),IFERROR(M15/M11,""),"")</f>
        <v>0.183914593750659</v>
      </c>
      <c r="N17" s="30" t="n">
        <f aca="false">IF(AND(ISNUMBER(N15),ISNUMBER(N11)),IFERROR(N15/N11,""),"")</f>
        <v>0.183505024445687</v>
      </c>
      <c r="O17" s="30" t="n">
        <f aca="false">IF(AND(ISNUMBER(O15),ISNUMBER(O11)),IFERROR(O15/O11,""),"")</f>
        <v>0.177343943607677</v>
      </c>
      <c r="P17" s="30" t="n">
        <f aca="false">IF(AND(ISNUMBER(P15),ISNUMBER(P11)),IFERROR(P15/P11,""),"")</f>
        <v>0.189263797385219</v>
      </c>
      <c r="Q17" s="30" t="n">
        <f aca="false">IF(AND(ISNUMBER(Q15),ISNUMBER(Q11)),IFERROR(Q15/Q11,""),"")</f>
        <v>0.178710697897798</v>
      </c>
      <c r="R17" s="30" t="n">
        <f aca="false">IF(AND(ISNUMBER(R15),ISNUMBER(R11)),IFERROR(R15/R11,""),"")</f>
        <v>0.17024280792553</v>
      </c>
      <c r="S17" s="30" t="n">
        <f aca="false">IF(AND(ISNUMBER(S15),ISNUMBER(S11)),IFERROR(S15/S11,""),"")</f>
        <v>0.178919534714821</v>
      </c>
      <c r="T17" s="30" t="n">
        <f aca="false">IF(AND(ISNUMBER(T15),ISNUMBER(T11)),IFERROR(T15/T11,""),"")</f>
        <v>0.168644984812449</v>
      </c>
      <c r="U17" s="30" t="n">
        <f aca="false">IF(AND(ISNUMBER(U15),ISNUMBER(U11)),IFERROR(U15/U11,""),"")</f>
        <v>0.185155961040562</v>
      </c>
      <c r="V17" s="30" t="n">
        <f aca="false">IF(AND(ISNUMBER(V15),ISNUMBER(V11)),IFERROR(V15/V11,""),"")</f>
        <v>0.189981558478018</v>
      </c>
      <c r="W17" s="30" t="n">
        <f aca="false">IF(AND(ISNUMBER(W15),ISNUMBER(W11)),IFERROR(W15/W11,""),"")</f>
        <v>0.193797561724294</v>
      </c>
      <c r="X17" s="30" t="n">
        <f aca="false">IF(AND(ISNUMBER(X15),ISNUMBER(X11)),IFERROR(X15/X11,""),"")</f>
        <v>0.185004322588613</v>
      </c>
      <c r="Y17" s="30" t="n">
        <f aca="false">IF(AND(ISNUMBER(Y15),ISNUMBER(Y11)),IFERROR(Y15/Y11,""),"")</f>
        <v>0.173431878617238</v>
      </c>
      <c r="Z17" s="30" t="n">
        <f aca="false">IF(AND(ISNUMBER(Z15),ISNUMBER(Z11)),IFERROR(Z15/Z11,""),"")</f>
        <v>0.187516455581279</v>
      </c>
      <c r="AA17" s="30" t="n">
        <f aca="false">IF(AND(ISNUMBER(AA15),ISNUMBER(AA11)),IFERROR(AA15/AA11,""),"")</f>
        <v>0.188579798969234</v>
      </c>
      <c r="AB17" s="30" t="n">
        <f aca="false">IF(AND(ISNUMBER(AB15),ISNUMBER(AB11)),IFERROR(AB15/AB11,""),"")</f>
        <v>0.195534272119623</v>
      </c>
      <c r="AC17" s="30" t="n">
        <f aca="false">IF(AND(ISNUMBER(AC15),ISNUMBER(AC11)),IFERROR(AC15/AC11,""),"")</f>
        <v>0.186588192311644</v>
      </c>
      <c r="AD17" s="30" t="n">
        <f aca="false">IF(AND(ISNUMBER(AD15),ISNUMBER(AD11)),IFERROR(AD15/AD11,""),"")</f>
        <v>0.187246775704954</v>
      </c>
      <c r="AE17" s="30" t="n">
        <f aca="false">IF(AND(ISNUMBER(AE15),ISNUMBER(AE11)),IFERROR(AE15/AE11,""),"")</f>
        <v>0.193020978477971</v>
      </c>
      <c r="AF17" s="30" t="n">
        <f aca="false">IF(AND(ISNUMBER(AF15),ISNUMBER(AF11)),IFERROR(AF15/AF11,""),"")</f>
        <v>0.180892055542203</v>
      </c>
      <c r="AG17" s="30" t="n">
        <f aca="false">IF(AND(ISNUMBER(AG15),ISNUMBER(AG11)),IFERROR(AG15/AG11,""),"")</f>
        <v>0.18105690170674</v>
      </c>
      <c r="AH17" s="30" t="n">
        <f aca="false">IF(AND(ISNUMBER(AH15),ISNUMBER(AH11)),IFERROR(AH15/AH11,""),"")</f>
        <v>0.185292597722058</v>
      </c>
      <c r="AI17" s="30" t="n">
        <f aca="false">IF(AND(ISNUMBER(AI15),ISNUMBER(AI11)),IFERROR(AI15/AI11,""),"")</f>
        <v>0.180075455105782</v>
      </c>
      <c r="AJ17" s="30" t="n">
        <f aca="false">IF(AND(ISNUMBER(AJ15),ISNUMBER(AJ11)),IFERROR(AJ15/AJ11,""),"")</f>
        <v>0.19223704057707</v>
      </c>
      <c r="AK17" s="30" t="n">
        <f aca="false">IF(AND(ISNUMBER(AK15),ISNUMBER(AK11)),IFERROR(AK15/AK11,""),"")</f>
        <v>0.191887095529696</v>
      </c>
      <c r="AL17" s="30" t="n">
        <f aca="false">IF(AND(ISNUMBER(AL15),ISNUMBER(AL11)),IFERROR(AL15/AL11,""),"")</f>
        <v>0.187952620807982</v>
      </c>
      <c r="AM17" s="30" t="n">
        <f aca="false">IF(AND(ISNUMBER(AM15),ISNUMBER(AM11)),IFERROR(AM15/AM11,""),"")</f>
        <v>0.1881920365194</v>
      </c>
      <c r="AN17" s="30" t="n">
        <f aca="false">IF(AND(ISNUMBER(AN15),ISNUMBER(AN11)),IFERROR(AN15/AN11,""),"")</f>
        <v>0.184114228812763</v>
      </c>
      <c r="AO17" s="30" t="n">
        <f aca="false">IF(AND(ISNUMBER(AO15),ISNUMBER(AO11)),IFERROR(AO15/AO11,""),"")</f>
        <v>0.201673311684309</v>
      </c>
      <c r="AP17" s="30" t="n">
        <f aca="false">IF(AND(ISNUMBER(AP15),ISNUMBER(AP11)),IFERROR(AP15/AP11,""),"")</f>
        <v>0.202480500974951</v>
      </c>
      <c r="AQ17" s="30" t="n">
        <f aca="false">IF(AND(ISNUMBER(AQ15),ISNUMBER(AQ11)),IFERROR(AQ15/AQ11,""),"")</f>
        <v>0.191516555128841</v>
      </c>
      <c r="AR17" s="30" t="n">
        <f aca="false">IF(AND(ISNUMBER(AR15),ISNUMBER(AR11)),IFERROR(AR15/AR11,""),"")</f>
        <v>0.19515587618924</v>
      </c>
      <c r="AS17" s="30" t="n">
        <f aca="false">IF(AND(ISNUMBER(AS15),ISNUMBER(AS11)),IFERROR(AS15/AS11,""),"")</f>
        <v>0.206083695655784</v>
      </c>
      <c r="AT17" s="30" t="n">
        <f aca="false">IF(AND(ISNUMBER(AT15),ISNUMBER(AT11)),IFERROR(AT15/AT11,""),"")</f>
        <v>0.188642028226255</v>
      </c>
      <c r="AU17" s="30" t="n">
        <f aca="false">IF(AND(ISNUMBER(AU15),ISNUMBER(AU11)),IFERROR(AU15/AU11,""),"")</f>
        <v>0.0674738153773617</v>
      </c>
      <c r="AV17" s="30" t="n">
        <f aca="false">IF(AND(ISNUMBER(AV15),ISNUMBER(AV11)),IFERROR(AV15/AV11,""),"")</f>
        <v>0.110802952128621</v>
      </c>
      <c r="AW17" s="30" t="n">
        <f aca="false">IF(AND(ISNUMBER(AW15),ISNUMBER(AW11)),IFERROR(AW15/AW11,""),"")</f>
        <v>0.154681167631908</v>
      </c>
      <c r="AX17" s="30" t="n">
        <f aca="false">IF(AND(ISNUMBER(AX15),ISNUMBER(AX11)),IFERROR(AX15/AX11,""),"")</f>
        <v>0.129541372771329</v>
      </c>
      <c r="AY17" s="30" t="n">
        <f aca="false">IF(AND(ISNUMBER(AY15),ISNUMBER(AY11)),IFERROR(AY15/AY11,""),"")</f>
        <v>0.15405593190898</v>
      </c>
      <c r="AZ17" s="30" t="n">
        <f aca="false">IF(AND(ISNUMBER(AZ15),ISNUMBER(AZ11)),IFERROR(AZ15/AZ11,""),"")</f>
        <v>0.17737582132103</v>
      </c>
      <c r="BA17" s="30" t="n">
        <f aca="false">IF(AND(ISNUMBER(BA15),ISNUMBER(BA11)),IFERROR(BA15/BA11,""),"")</f>
        <v>0.186563065329528</v>
      </c>
      <c r="BB17" s="30" t="n">
        <f aca="false">IF(AND(ISNUMBER(BB15),ISNUMBER(BB11)),IFERROR(BB15/BB11,""),"")</f>
        <v>0.163878548877184</v>
      </c>
      <c r="BC17" s="30" t="n">
        <f aca="false">IF(AND(ISNUMBER(BC15),ISNUMBER(BC11)),IFERROR(BC15/BC11,""),"")</f>
        <v>0.192077922554193</v>
      </c>
      <c r="BD17" s="30" t="n">
        <f aca="false">IF(AND(ISNUMBER(BD15),ISNUMBER(BD11)),IFERROR(BD15/BD11,""),"")</f>
        <v>0.216109012676576</v>
      </c>
      <c r="BE17" s="30" t="n">
        <f aca="false">IF(AND(ISNUMBER(BE15),ISNUMBER(BE11)),IFERROR(BE15/BE11,""),"")</f>
        <v>0.214243972155187</v>
      </c>
      <c r="BF17" s="30" t="n">
        <f aca="false">IF(AND(ISNUMBER(BF15),ISNUMBER(BF11)),IFERROR(BF15/BF11,""),"")</f>
        <v>0.224991978818299</v>
      </c>
      <c r="BG17" s="30" t="n">
        <f aca="false">IF(AND(ISNUMBER(BG15),ISNUMBER(BG11)),IFERROR(BG15/BG11,""),"")</f>
        <v>0.21284611683126</v>
      </c>
      <c r="BH17" s="30" t="n">
        <f aca="false">IF(AND(ISNUMBER(BH15),ISNUMBER(BH11)),IFERROR(BH15/BH11,""),"")</f>
        <v>0.225192443398208</v>
      </c>
      <c r="BI17" s="30" t="n">
        <f aca="false">IF(AND(ISNUMBER(BI15),ISNUMBER(BI11)),IFERROR(BI15/BI11,""),"")</f>
        <v>0.254746278703321</v>
      </c>
      <c r="BJ17" s="30" t="n">
        <f aca="false">IF(AND(ISNUMBER(BJ15),ISNUMBER(BJ11)),IFERROR(BJ15/BJ11,""),"")</f>
        <v>0.220156033971953</v>
      </c>
      <c r="BK17" s="30" t="n">
        <f aca="false">IF(AND(ISNUMBER(BK15),ISNUMBER(BK11)),IFERROR(BK15/BK11,""),"")</f>
        <v>0.190478089967008</v>
      </c>
      <c r="BL17" s="30" t="n">
        <f aca="false">IF(AND(ISNUMBER(BL15),ISNUMBER(BL11)),IFERROR(BL15/BL11,""),"")</f>
        <v>0.218788996630296</v>
      </c>
      <c r="BM17" s="30" t="n">
        <f aca="false">IF(AND(ISNUMBER(BM15),ISNUMBER(BM11)),IFERROR(BM15/BM11,""),"")</f>
        <v>0.219957137038641</v>
      </c>
      <c r="BN17" s="30" t="n">
        <f aca="false">IF(AND(ISNUMBER(BN15),ISNUMBER(BN11)),IFERROR(BN15/BN11,""),"")</f>
        <v>0.230019529318699</v>
      </c>
      <c r="BO17" s="30" t="n">
        <f aca="false">IF(AND(ISNUMBER(BO15),ISNUMBER(BO11)),IFERROR(BO15/BO11,""),"")</f>
        <v>0.225334714344817</v>
      </c>
      <c r="BP17" s="30" t="n">
        <f aca="false">IF(AND(ISNUMBER(BP15),ISNUMBER(BP11)),IFERROR(BP15/BP11,""),"")</f>
        <v>0.223355691115673</v>
      </c>
      <c r="BQ17" s="30" t="n">
        <f aca="false">IF(AND(ISNUMBER(BQ15),ISNUMBER(BQ11)),IFERROR(BQ15/BQ11,""),"")</f>
        <v>0.224704226867635</v>
      </c>
      <c r="BR17" s="30" t="n">
        <f aca="false">IF(AND(ISNUMBER(BR15),ISNUMBER(BR11)),IFERROR(BR15/BR11,""),"")</f>
        <v>0.232924924352262</v>
      </c>
      <c r="BS17" s="30" t="n">
        <f aca="false">IF(AND(ISNUMBER(BS15),ISNUMBER(BS11)),IFERROR(BS15/BS11,""),"")</f>
        <v>0.241151394266495</v>
      </c>
      <c r="BT17" s="30" t="n">
        <f aca="false">IF(AND(ISNUMBER(BT15),ISNUMBER(BT11)),IFERROR(BT15/BT11,""),"")</f>
        <v>0.247085631418494</v>
      </c>
      <c r="BU17" s="30" t="n">
        <f aca="false">IF(AND(ISNUMBER(BU15),ISNUMBER(BU11)),IFERROR(BU15/BU11,""),"")</f>
        <v>0.240867382893961</v>
      </c>
      <c r="BV17" s="30" t="n">
        <f aca="false">IF(AND(ISNUMBER(BV15),ISNUMBER(BV11)),IFERROR(BV15/BV11,""),"")</f>
        <v>0.240721309014245</v>
      </c>
      <c r="BW17" s="30" t="n">
        <f aca="false">IF(AND(ISNUMBER(BW15),ISNUMBER(BW11)),IFERROR(BW15/BW11,""),"")</f>
        <v>0.244796341463415</v>
      </c>
      <c r="BX17" s="30" t="n">
        <f aca="false">IF(AND(ISNUMBER(BX15),ISNUMBER(BX11)),IFERROR(BX15/BX11,""),"")</f>
        <v>0.261520270015827</v>
      </c>
      <c r="BY17" s="30" t="n">
        <f aca="false">IF(AND(ISNUMBER(BY15),ISNUMBER(BY11)),IFERROR(BY15/BY11,""),"")</f>
        <v>0.258808001240764</v>
      </c>
      <c r="BZ17" s="23" t="n">
        <f aca="false">BZ16+BZ86</f>
        <v>0.25568230919474</v>
      </c>
      <c r="CA17" s="23" t="n">
        <f aca="false">IF(AND(ISNUMBER(CA15),ISNUMBER(CA11)),IFERROR(CA15/CA11,""),"")</f>
        <v>0.255536185982581</v>
      </c>
      <c r="CB17" s="23" t="n">
        <f aca="false">CHOOSE(MATCH($CF$2,{"Bull","Base","Bear"},0),$CO$26,$CP$26,$CQ$26)</f>
        <v>0.255</v>
      </c>
      <c r="CC17" s="23" t="n">
        <f aca="false">CHOOSE(MATCH($CF$2,{"Bull","Base","Bear"},0),$CO$27,$CP$27,$CQ$27)</f>
        <v>0.26</v>
      </c>
      <c r="CD17" s="23" t="n">
        <f aca="false">CHOOSE(MATCH($CF$2,{"Bull","Base","Bear"},0),$CO$28,$CP$28,$CQ$28)</f>
        <v>0.26</v>
      </c>
      <c r="CE17" s="23" t="n">
        <f aca="false">CHOOSE(MATCH($CF$2,{"Bull","Base","Bear"},0),$CO$29,$CP$29,$CQ$29)</f>
        <v>0.26</v>
      </c>
      <c r="CF17" s="19" t="s">
        <v>107</v>
      </c>
      <c r="CH17" s="33" t="n">
        <f aca="false">IFERROR(AVERAGE(CA17,CB17,CC17,CD17,CE17),"n/m")</f>
        <v>0.258107237196516</v>
      </c>
      <c r="CI17" s="33" t="n">
        <f aca="false">IFERROR(AVERAGE(BB17,BG17,BL17,BQ17,BV17),"n/m")</f>
        <v>0.212187839644124</v>
      </c>
      <c r="CJ17" s="33" t="n">
        <f aca="false">IFERROR(AVERAGE(AC17,AH17,AM17,AR17,AW17,BB17,BG17,BL17,BQ17,BV17),"n/m")</f>
        <v>0.197084906859487</v>
      </c>
      <c r="CK17" s="33" t="n">
        <f aca="false">IFERROR(AVERAGE(C17,D17,E17,F17,G17,H17,I17,N17,S17,X17,AC17,AH17,AM17,AR17,AW17,BB17,BG17,BL17,BQ17,BV17),"n/m")</f>
        <v>0.186169327951012</v>
      </c>
      <c r="CN17" s="24" t="s">
        <v>108</v>
      </c>
      <c r="CO17" s="34" t="n">
        <v>0</v>
      </c>
      <c r="CP17" s="34" t="n">
        <v>0</v>
      </c>
      <c r="CQ17" s="34" t="n">
        <v>0</v>
      </c>
      <c r="CR17" s="13" t="s">
        <v>109</v>
      </c>
    </row>
    <row r="18" customFormat="false" ht="15" hidden="false" customHeight="true" outlineLevel="0" collapsed="false">
      <c r="B18" s="29" t="s">
        <v>110</v>
      </c>
      <c r="C18" s="35" t="n">
        <v>6.822</v>
      </c>
      <c r="D18" s="35" t="n">
        <v>8.047</v>
      </c>
      <c r="E18" s="35" t="n">
        <v>9.339</v>
      </c>
      <c r="F18" s="35" t="n">
        <v>9.801</v>
      </c>
      <c r="G18" s="35" t="n">
        <v>9.899</v>
      </c>
      <c r="H18" s="35" t="n">
        <v>10.661</v>
      </c>
      <c r="I18" s="35" t="n">
        <v>10.451</v>
      </c>
      <c r="J18" s="35" t="n">
        <v>2.835</v>
      </c>
      <c r="K18" s="35" t="n">
        <v>2.868</v>
      </c>
      <c r="L18" s="35" t="n">
        <v>4.069</v>
      </c>
      <c r="M18" s="35" t="n">
        <v>4.842</v>
      </c>
      <c r="N18" s="35" t="n">
        <v>14.614</v>
      </c>
      <c r="O18" s="35" t="n">
        <v>4.92</v>
      </c>
      <c r="P18" s="35" t="n">
        <v>4.943</v>
      </c>
      <c r="Q18" s="35" t="n">
        <v>5.02</v>
      </c>
      <c r="R18" s="35" t="n">
        <v>4.96</v>
      </c>
      <c r="S18" s="35" t="n">
        <v>19.843</v>
      </c>
      <c r="U18" s="35" t="n">
        <v>6.349</v>
      </c>
      <c r="V18" s="35" t="n">
        <v>6.402</v>
      </c>
      <c r="X18" s="35" t="n">
        <v>24.329</v>
      </c>
      <c r="Y18" s="35" t="n">
        <v>7.078</v>
      </c>
      <c r="Z18" s="35" t="n">
        <v>7.091</v>
      </c>
      <c r="AA18" s="35" t="n">
        <v>7.218</v>
      </c>
      <c r="AB18" s="35" t="n">
        <v>7.316</v>
      </c>
      <c r="AC18" s="35" t="n">
        <v>28.703</v>
      </c>
      <c r="AD18" s="35" t="n">
        <v>7.252</v>
      </c>
      <c r="AE18" s="35" t="n">
        <v>7.227</v>
      </c>
      <c r="AF18" s="35" t="n">
        <v>8.263</v>
      </c>
      <c r="AG18" s="35" t="n">
        <v>8.326</v>
      </c>
      <c r="AH18" s="35" t="n">
        <v>31.068</v>
      </c>
      <c r="AI18" s="35" t="n">
        <v>8.239</v>
      </c>
      <c r="AJ18" s="35" t="n">
        <v>8.222</v>
      </c>
      <c r="AK18" s="35" t="n">
        <v>8.087</v>
      </c>
      <c r="AL18" s="35" t="n">
        <v>8.304</v>
      </c>
      <c r="AM18" s="35" t="n">
        <v>32.852</v>
      </c>
      <c r="AN18" s="35" t="n">
        <v>8.158</v>
      </c>
      <c r="AO18" s="35" t="n">
        <v>8.323</v>
      </c>
      <c r="AP18" s="35" t="n">
        <v>8.458</v>
      </c>
      <c r="AQ18" s="35" t="n">
        <v>8.478</v>
      </c>
      <c r="AR18" s="35" t="n">
        <v>33.417</v>
      </c>
      <c r="AS18" s="35" t="n">
        <v>8.476</v>
      </c>
      <c r="AT18" s="35" t="n">
        <v>8.38</v>
      </c>
      <c r="AU18" s="35" t="n">
        <v>8.699</v>
      </c>
      <c r="AV18" s="35" t="n">
        <v>8.741</v>
      </c>
      <c r="AW18" s="35" t="n">
        <v>34.296</v>
      </c>
      <c r="AX18" s="35" t="n">
        <v>8.586</v>
      </c>
      <c r="AY18" s="35" t="n">
        <v>8.35</v>
      </c>
      <c r="AZ18" s="35" t="n">
        <v>8.259</v>
      </c>
      <c r="BA18" s="35" t="n">
        <v>9.445</v>
      </c>
      <c r="BB18" s="35" t="n">
        <v>34.64</v>
      </c>
      <c r="BC18" s="35" t="n">
        <v>9.231</v>
      </c>
      <c r="BD18" s="35" t="n">
        <v>9.442</v>
      </c>
      <c r="BE18" s="35" t="n">
        <v>10.363</v>
      </c>
      <c r="BF18" s="35" t="n">
        <v>10.888</v>
      </c>
      <c r="BG18" s="35" t="n">
        <v>39.924</v>
      </c>
      <c r="BH18" s="35" t="n">
        <v>10.909</v>
      </c>
      <c r="BI18" s="35" t="n">
        <v>10.529</v>
      </c>
      <c r="BJ18" s="35" t="n">
        <v>10.215</v>
      </c>
      <c r="BK18" s="35" t="n">
        <v>24.003</v>
      </c>
      <c r="BL18" s="35" t="n">
        <v>55.656</v>
      </c>
      <c r="BM18" s="35" t="n">
        <v>24.344</v>
      </c>
      <c r="BN18" s="35" t="n">
        <v>23.889</v>
      </c>
      <c r="BO18" s="35" t="n">
        <v>25.305</v>
      </c>
      <c r="BP18" s="35" t="n">
        <v>25.255</v>
      </c>
      <c r="BQ18" s="35" t="n">
        <v>98.793</v>
      </c>
      <c r="BR18" s="35" t="n">
        <v>25.832</v>
      </c>
      <c r="BS18" s="35" t="n">
        <v>28.449</v>
      </c>
      <c r="BT18" s="35" t="n">
        <v>28.581</v>
      </c>
      <c r="BU18" s="35" t="n">
        <v>27.838</v>
      </c>
      <c r="BV18" s="35" t="n">
        <v>110.7</v>
      </c>
      <c r="BW18" s="35" t="n">
        <v>27.875</v>
      </c>
      <c r="BX18" s="35" t="n">
        <v>29.891</v>
      </c>
      <c r="BY18" s="35" t="n">
        <v>32.457</v>
      </c>
    </row>
    <row r="19" customFormat="false" ht="15" hidden="false" customHeight="true" outlineLevel="0" collapsed="false">
      <c r="B19" s="29" t="s">
        <v>111</v>
      </c>
      <c r="C19" s="36" t="n">
        <f aca="false">IF(AND(ISNUMBER(C15),ISNUMBER(C18)),C15+C18,"")</f>
        <v>53.662</v>
      </c>
      <c r="D19" s="36" t="n">
        <f aca="false">IF(AND(ISNUMBER(D15),ISNUMBER(D18)),D15+D18,"")</f>
        <v>75.455</v>
      </c>
      <c r="E19" s="36" t="n">
        <f aca="false">IF(AND(ISNUMBER(E15),ISNUMBER(E18)),E15+E18,"")</f>
        <v>90.523</v>
      </c>
      <c r="F19" s="36" t="n">
        <f aca="false">IF(AND(ISNUMBER(F15),ISNUMBER(F18)),F15+F18,"")</f>
        <v>69.804</v>
      </c>
      <c r="G19" s="36" t="n">
        <f aca="false">IF(AND(ISNUMBER(G15),ISNUMBER(G18)),G15+G18,"")</f>
        <v>77.795</v>
      </c>
      <c r="H19" s="36" t="n">
        <f aca="false">IF(AND(ISNUMBER(H15),ISNUMBER(H18)),H15+H18,"")</f>
        <v>105.662</v>
      </c>
      <c r="I19" s="36" t="n">
        <f aca="false">IF(AND(ISNUMBER(I15),ISNUMBER(I18)),I15+I18,"")</f>
        <v>114.394</v>
      </c>
      <c r="J19" s="36" t="n">
        <f aca="false">IF(AND(ISNUMBER(J15),ISNUMBER(J18)),J15+J18,"")</f>
        <v>27.08</v>
      </c>
      <c r="K19" s="36" t="n">
        <f aca="false">IF(AND(ISNUMBER(K15),ISNUMBER(K18)),K15+K18,"")</f>
        <v>33.164</v>
      </c>
      <c r="L19" s="36" t="n">
        <f aca="false">IF(AND(ISNUMBER(L15),ISNUMBER(L18)),L15+L18,"")</f>
        <v>36.718</v>
      </c>
      <c r="M19" s="36" t="n">
        <f aca="false">IF(AND(ISNUMBER(M15),ISNUMBER(M18)),M15+M18,"")</f>
        <v>39.71</v>
      </c>
      <c r="N19" s="36" t="n">
        <f aca="false">IF(AND(ISNUMBER(N15),ISNUMBER(N18)),N15+N18,"")</f>
        <v>136.672</v>
      </c>
      <c r="O19" s="36" t="n">
        <f aca="false">IF(AND(ISNUMBER(O15),ISNUMBER(O18)),O15+O18,"")</f>
        <v>37.123</v>
      </c>
      <c r="P19" s="36" t="n">
        <f aca="false">IF(AND(ISNUMBER(P15),ISNUMBER(P18)),P15+P18,"")</f>
        <v>41.829</v>
      </c>
      <c r="Q19" s="36" t="n">
        <f aca="false">IF(AND(ISNUMBER(Q15),ISNUMBER(Q18)),Q15+Q18,"")</f>
        <v>39.254</v>
      </c>
      <c r="R19" s="36" t="n">
        <f aca="false">IF(AND(ISNUMBER(R15),ISNUMBER(R18)),R15+R18,"")</f>
        <v>38.117</v>
      </c>
      <c r="S19" s="36" t="n">
        <f aca="false">IF(AND(ISNUMBER(S15),ISNUMBER(S18)),S15+S18,"")</f>
        <v>156.323</v>
      </c>
      <c r="T19" s="36" t="str">
        <f aca="false">IF(AND(ISNUMBER(T15),ISNUMBER(T18)),T15+T18,"")</f>
        <v/>
      </c>
      <c r="U19" s="36" t="n">
        <f aca="false">IF(AND(ISNUMBER(U15),ISNUMBER(U18)),U15+U18,"")</f>
        <v>43.894</v>
      </c>
      <c r="V19" s="36" t="n">
        <f aca="false">IF(AND(ISNUMBER(V15),ISNUMBER(V18)),V15+V18,"")</f>
        <v>45.652</v>
      </c>
      <c r="W19" s="36" t="str">
        <f aca="false">IF(AND(ISNUMBER(W15),ISNUMBER(W18)),W15+W18,"")</f>
        <v/>
      </c>
      <c r="X19" s="36" t="n">
        <f aca="false">IF(AND(ISNUMBER(X15),ISNUMBER(X18)),X15+X18,"")</f>
        <v>174.127</v>
      </c>
      <c r="Y19" s="36" t="n">
        <f aca="false">IF(AND(ISNUMBER(Y15),ISNUMBER(Y18)),Y15+Y18,"")</f>
        <v>42.558</v>
      </c>
      <c r="Z19" s="36" t="n">
        <f aca="false">IF(AND(ISNUMBER(Z15),ISNUMBER(Z18)),Z15+Z18,"")</f>
        <v>48.399</v>
      </c>
      <c r="AA19" s="36" t="n">
        <f aca="false">IF(AND(ISNUMBER(AA15),ISNUMBER(AA18)),AA15+AA18,"")</f>
        <v>49.187</v>
      </c>
      <c r="AB19" s="36" t="n">
        <f aca="false">IF(AND(ISNUMBER(AB15),ISNUMBER(AB18)),AB15+AB18,"")</f>
        <v>51.986</v>
      </c>
      <c r="AC19" s="36" t="n">
        <f aca="false">IF(AND(ISNUMBER(AC15),ISNUMBER(AC18)),AC15+AC18,"")</f>
        <v>192.13</v>
      </c>
      <c r="AD19" s="36" t="n">
        <f aca="false">IF(AND(ISNUMBER(AD15),ISNUMBER(AD18)),AD15+AD18,"")</f>
        <v>48.615</v>
      </c>
      <c r="AE19" s="36" t="n">
        <f aca="false">IF(AND(ISNUMBER(AE15),ISNUMBER(AE18)),AE15+AE18,"")</f>
        <v>51.971</v>
      </c>
      <c r="AF19" s="36" t="n">
        <f aca="false">IF(AND(ISNUMBER(AF15),ISNUMBER(AF18)),AF15+AF18,"")</f>
        <v>54.927</v>
      </c>
      <c r="AG19" s="36" t="n">
        <f aca="false">IF(AND(ISNUMBER(AG15),ISNUMBER(AG18)),AG15+AG18,"")</f>
        <v>54.833</v>
      </c>
      <c r="AH19" s="36" t="n">
        <f aca="false">IF(AND(ISNUMBER(AH15),ISNUMBER(AH18)),AH15+AH18,"")</f>
        <v>210.346</v>
      </c>
      <c r="AI19" s="36" t="n">
        <f aca="false">IF(AND(ISNUMBER(AI15),ISNUMBER(AI18)),AI15+AI18,"")</f>
        <v>54.108</v>
      </c>
      <c r="AJ19" s="36" t="n">
        <f aca="false">IF(AND(ISNUMBER(AJ15),ISNUMBER(AJ18)),AJ15+AJ18,"")</f>
        <v>59.71</v>
      </c>
      <c r="AK19" s="36" t="n">
        <f aca="false">IF(AND(ISNUMBER(AK15),ISNUMBER(AK18)),AK15+AK18,"")</f>
        <v>62.799</v>
      </c>
      <c r="AL19" s="36" t="n">
        <f aca="false">IF(AND(ISNUMBER(AL15),ISNUMBER(AL18)),AL15+AL18,"")</f>
        <v>62.858</v>
      </c>
      <c r="AM19" s="36" t="n">
        <f aca="false">IF(AND(ISNUMBER(AM15),ISNUMBER(AM18)),AM15+AM18,"")</f>
        <v>239.475</v>
      </c>
      <c r="AN19" s="36" t="n">
        <f aca="false">IF(AND(ISNUMBER(AN15),ISNUMBER(AN18)),AN15+AN18,"")</f>
        <v>61.038</v>
      </c>
      <c r="AO19" s="36" t="n">
        <f aca="false">IF(AND(ISNUMBER(AO15),ISNUMBER(AO18)),AO15+AO18,"")</f>
        <v>70.489</v>
      </c>
      <c r="AP19" s="36" t="n">
        <f aca="false">IF(AND(ISNUMBER(AP15),ISNUMBER(AP18)),AP15+AP18,"")</f>
        <v>73.255</v>
      </c>
      <c r="AQ19" s="36" t="n">
        <f aca="false">IF(AND(ISNUMBER(AQ15),ISNUMBER(AQ18)),AQ15+AQ18,"")</f>
        <v>70.664</v>
      </c>
      <c r="AR19" s="36" t="n">
        <f aca="false">IF(AND(ISNUMBER(AR15),ISNUMBER(AR18)),AR15+AR18,"")</f>
        <v>275.446</v>
      </c>
      <c r="AS19" s="36" t="n">
        <f aca="false">IF(AND(ISNUMBER(AS15),ISNUMBER(AS18)),AS15+AS18,"")</f>
        <v>70.521</v>
      </c>
      <c r="AT19" s="36" t="n">
        <f aca="false">IF(AND(ISNUMBER(AT15),ISNUMBER(AT18)),AT15+AT18,"")</f>
        <v>55.911</v>
      </c>
      <c r="AU19" s="36" t="n">
        <f aca="false">IF(AND(ISNUMBER(AU15),ISNUMBER(AU18)),AU15+AU18,"")</f>
        <v>20.72</v>
      </c>
      <c r="AV19" s="36" t="n">
        <f aca="false">IF(AND(ISNUMBER(AV15),ISNUMBER(AV18)),AV15+AV18,"")</f>
        <v>30.195</v>
      </c>
      <c r="AW19" s="36" t="n">
        <f aca="false">IF(AND(ISNUMBER(AW15),ISNUMBER(AW18)),AW15+AW18,"")</f>
        <v>177.347</v>
      </c>
      <c r="AX19" s="36" t="n">
        <f aca="false">IF(AND(ISNUMBER(AX15),ISNUMBER(AX18)),AX15+AX18,"")</f>
        <v>34.408</v>
      </c>
      <c r="AY19" s="36" t="n">
        <f aca="false">IF(AND(ISNUMBER(AY15),ISNUMBER(AY18)),AY15+AY18,"")</f>
        <v>43.826</v>
      </c>
      <c r="AZ19" s="36" t="n">
        <f aca="false">IF(AND(ISNUMBER(AZ15),ISNUMBER(AZ18)),AZ15+AZ18,"")</f>
        <v>50.318</v>
      </c>
      <c r="BA19" s="36" t="n">
        <f aca="false">IF(AND(ISNUMBER(BA15),ISNUMBER(BA18)),BA15+BA18,"")</f>
        <v>58.018</v>
      </c>
      <c r="BB19" s="36" t="n">
        <f aca="false">IF(AND(ISNUMBER(BB15),ISNUMBER(BB18)),BB15+BB18,"")</f>
        <v>186.57</v>
      </c>
      <c r="BC19" s="36" t="n">
        <f aca="false">IF(AND(ISNUMBER(BC15),ISNUMBER(BC18)),BC15+BC18,"")</f>
        <v>61.607</v>
      </c>
      <c r="BD19" s="36" t="n">
        <f aca="false">IF(AND(ISNUMBER(BD15),ISNUMBER(BD18)),BD15+BD18,"")</f>
        <v>75.639</v>
      </c>
      <c r="BE19" s="36" t="n">
        <f aca="false">IF(AND(ISNUMBER(BE15),ISNUMBER(BE18)),BE15+BE18,"")</f>
        <v>81.119</v>
      </c>
      <c r="BF19" s="36" t="n">
        <f aca="false">IF(AND(ISNUMBER(BF15),ISNUMBER(BF18)),BF15+BF18,"")</f>
        <v>88.726</v>
      </c>
      <c r="BG19" s="36" t="n">
        <f aca="false">IF(AND(ISNUMBER(BG15),ISNUMBER(BG18)),BG15+BG18,"")</f>
        <v>307.091</v>
      </c>
      <c r="BH19" s="36" t="n">
        <f aca="false">IF(AND(ISNUMBER(BH15),ISNUMBER(BH18)),BH15+BH18,"")</f>
        <v>94.518</v>
      </c>
      <c r="BI19" s="36" t="n">
        <f aca="false">IF(AND(ISNUMBER(BI15),ISNUMBER(BI18)),BI15+BI18,"")</f>
        <v>110.441</v>
      </c>
      <c r="BJ19" s="36" t="n">
        <f aca="false">IF(AND(ISNUMBER(BJ15),ISNUMBER(BJ18)),BJ15+BJ18,"")</f>
        <v>99.387</v>
      </c>
      <c r="BK19" s="36" t="n">
        <f aca="false">IF(AND(ISNUMBER(BK15),ISNUMBER(BK18)),BK15+BK18,"")</f>
        <v>138.607</v>
      </c>
      <c r="BL19" s="36" t="n">
        <f aca="false">IF(AND(ISNUMBER(BL15),ISNUMBER(BL18)),BL15+BL18,"")</f>
        <v>442.953</v>
      </c>
      <c r="BM19" s="36" t="n">
        <f aca="false">IF(AND(ISNUMBER(BM15),ISNUMBER(BM18)),BM15+BM18,"")</f>
        <v>160.435</v>
      </c>
      <c r="BN19" s="36" t="n">
        <f aca="false">IF(AND(ISNUMBER(BN15),ISNUMBER(BN18)),BN15+BN18,"")</f>
        <v>172.765</v>
      </c>
      <c r="BO19" s="36" t="n">
        <f aca="false">IF(AND(ISNUMBER(BO15),ISNUMBER(BO18)),BO15+BO18,"")</f>
        <v>178.899</v>
      </c>
      <c r="BP19" s="36" t="n">
        <f aca="false">IF(AND(ISNUMBER(BP15),ISNUMBER(BP18)),BP15+BP18,"")</f>
        <v>179.768</v>
      </c>
      <c r="BQ19" s="36" t="n">
        <f aca="false">IF(AND(ISNUMBER(BQ15),ISNUMBER(BQ18)),BQ15+BQ18,"")</f>
        <v>691.867</v>
      </c>
      <c r="BR19" s="36" t="n">
        <f aca="false">IF(AND(ISNUMBER(BR15),ISNUMBER(BR18)),BR15+BR18,"")</f>
        <v>191.948</v>
      </c>
      <c r="BS19" s="36" t="n">
        <f aca="false">IF(AND(ISNUMBER(BS15),ISNUMBER(BS18)),BS15+BS18,"")</f>
        <v>213.429</v>
      </c>
      <c r="BT19" s="36" t="n">
        <f aca="false">IF(AND(ISNUMBER(BT15),ISNUMBER(BT18)),BT15+BT18,"")</f>
        <v>226.907</v>
      </c>
      <c r="BU19" s="36" t="n">
        <f aca="false">IF(AND(ISNUMBER(BU15),ISNUMBER(BU18)),BU15+BU18,"")</f>
        <v>228.811</v>
      </c>
      <c r="BV19" s="36" t="n">
        <f aca="false">IF(AND(ISNUMBER(BV15),ISNUMBER(BV18)),BV15+BV18,"")</f>
        <v>861.095</v>
      </c>
      <c r="BW19" s="36" t="n">
        <f aca="false">IF(AND(ISNUMBER(BW15),ISNUMBER(BW18)),BW15+BW18,"")</f>
        <v>228.608</v>
      </c>
      <c r="BX19" s="36" t="n">
        <f aca="false">IF(AND(ISNUMBER(BX15),ISNUMBER(BX18)),BX15+BX18,"")</f>
        <v>272.955</v>
      </c>
      <c r="BY19" s="36" t="n">
        <f aca="false">IF(AND(ISNUMBER(BY15),ISNUMBER(BY18)),BY15+BY18,"")</f>
        <v>277.756</v>
      </c>
      <c r="CN19" s="15" t="s">
        <v>112</v>
      </c>
      <c r="CO19" s="37" t="n">
        <v>0.03</v>
      </c>
      <c r="CP19" s="15" t="s">
        <v>113</v>
      </c>
      <c r="CQ19" s="37" t="n">
        <v>-0.03</v>
      </c>
      <c r="CR19" s="13" t="s">
        <v>114</v>
      </c>
    </row>
    <row r="20" customFormat="false" ht="15" hidden="false" customHeight="true" outlineLevel="0" collapsed="false">
      <c r="B20" s="29" t="s">
        <v>115</v>
      </c>
      <c r="C20" s="30" t="n">
        <f aca="false">IF(AND(ISNUMBER(C19),ISNUMBER(C11)),IFERROR(C19/C11,""),"")</f>
        <v>0.193547456312781</v>
      </c>
      <c r="D20" s="30" t="n">
        <f aca="false">IF(AND(ISNUMBER(D19),ISNUMBER(D11)),IFERROR(D19/D11,""),"")</f>
        <v>0.196542948756352</v>
      </c>
      <c r="E20" s="30" t="n">
        <f aca="false">IF(AND(ISNUMBER(E19),ISNUMBER(E11)),IFERROR(E19/E11,""),"")</f>
        <v>0.207236555939653</v>
      </c>
      <c r="F20" s="30" t="n">
        <f aca="false">IF(AND(ISNUMBER(F19),ISNUMBER(F11)),IFERROR(F19/F11,""),"")</f>
        <v>0.17652994388288</v>
      </c>
      <c r="G20" s="30" t="n">
        <f aca="false">IF(AND(ISNUMBER(G19),ISNUMBER(G11)),IFERROR(G19/G11,""),"")</f>
        <v>0.188668492034428</v>
      </c>
      <c r="H20" s="30" t="n">
        <f aca="false">IF(AND(ISNUMBER(H19),ISNUMBER(H11)),IFERROR(H19/H11,""),"")</f>
        <v>0.195828846677774</v>
      </c>
      <c r="I20" s="30" t="n">
        <f aca="false">IF(AND(ISNUMBER(I19),ISNUMBER(I11)),IFERROR(I19/I11,""),"")</f>
        <v>0.200576864068733</v>
      </c>
      <c r="J20" s="30" t="n">
        <f aca="false">IF(AND(ISNUMBER(J19),ISNUMBER(J11)),IFERROR(J19/J11,""),"")</f>
        <v>0.194822947092764</v>
      </c>
      <c r="K20" s="30" t="n">
        <f aca="false">IF(AND(ISNUMBER(K19),ISNUMBER(K11)),IFERROR(K19/K11,""),"")</f>
        <v>0.213642893494212</v>
      </c>
      <c r="L20" s="30" t="n">
        <f aca="false">IF(AND(ISNUMBER(L19),ISNUMBER(L11)),IFERROR(L19/L11,""),"")</f>
        <v>0.20249157617837</v>
      </c>
      <c r="M20" s="30" t="n">
        <f aca="false">IF(AND(ISNUMBER(M19),ISNUMBER(M11)),IFERROR(M19/M11,""),"")</f>
        <v>0.209454184864021</v>
      </c>
      <c r="N20" s="30" t="n">
        <f aca="false">IF(AND(ISNUMBER(N19),ISNUMBER(N11)),IFERROR(N19/N11,""),"")</f>
        <v>0.205476074497706</v>
      </c>
      <c r="O20" s="30" t="n">
        <f aca="false">IF(AND(ISNUMBER(O19),ISNUMBER(O11)),IFERROR(O19/O11,""),"")</f>
        <v>0.204438692623289</v>
      </c>
      <c r="P20" s="30" t="n">
        <f aca="false">IF(AND(ISNUMBER(P19),ISNUMBER(P11)),IFERROR(P19/P11,""),"")</f>
        <v>0.214626562403793</v>
      </c>
      <c r="Q20" s="30" t="n">
        <f aca="false">IF(AND(ISNUMBER(Q19),ISNUMBER(Q11)),IFERROR(Q19/Q11,""),"")</f>
        <v>0.20491644959047</v>
      </c>
      <c r="R20" s="30" t="n">
        <f aca="false">IF(AND(ISNUMBER(R19),ISNUMBER(R11)),IFERROR(R19/R11,""),"")</f>
        <v>0.195709657378455</v>
      </c>
      <c r="S20" s="30" t="n">
        <f aca="false">IF(AND(ISNUMBER(S19),ISNUMBER(S11)),IFERROR(S19/S11,""),"")</f>
        <v>0.204932872400534</v>
      </c>
      <c r="T20" s="30" t="str">
        <f aca="false">IF(AND(ISNUMBER(T19),ISNUMBER(T11)),IFERROR(T19/T11,""),"")</f>
        <v/>
      </c>
      <c r="U20" s="30" t="n">
        <f aca="false">IF(AND(ISNUMBER(U19),ISNUMBER(U11)),IFERROR(U19/U11,""),"")</f>
        <v>0.216466526938725</v>
      </c>
      <c r="V20" s="30" t="n">
        <f aca="false">IF(AND(ISNUMBER(V19),ISNUMBER(V11)),IFERROR(V19/V11,""),"")</f>
        <v>0.22096912376149</v>
      </c>
      <c r="W20" s="30" t="str">
        <f aca="false">IF(AND(ISNUMBER(W19),ISNUMBER(W11)),IFERROR(W19/W11,""),"")</f>
        <v/>
      </c>
      <c r="X20" s="30" t="n">
        <f aca="false">IF(AND(ISNUMBER(X19),ISNUMBER(X11)),IFERROR(X19/X11,""),"")</f>
        <v>0.215051253550698</v>
      </c>
      <c r="Y20" s="30" t="n">
        <f aca="false">IF(AND(ISNUMBER(Y19),ISNUMBER(Y11)),IFERROR(Y19/Y11,""),"")</f>
        <v>0.208030267480056</v>
      </c>
      <c r="Z20" s="30" t="n">
        <f aca="false">IF(AND(ISNUMBER(Z19),ISNUMBER(Z11)),IFERROR(Z19/Z11,""),"")</f>
        <v>0.219705842298788</v>
      </c>
      <c r="AA20" s="30" t="n">
        <f aca="false">IF(AND(ISNUMBER(AA19),ISNUMBER(AA11)),IFERROR(AA19/AA11,""),"")</f>
        <v>0.221012522859723</v>
      </c>
      <c r="AB20" s="30" t="n">
        <f aca="false">IF(AND(ISNUMBER(AB19),ISNUMBER(AB11)),IFERROR(AB19/AB11,""),"")</f>
        <v>0.227558644961064</v>
      </c>
      <c r="AC20" s="30" t="n">
        <f aca="false">IF(AND(ISNUMBER(AC19),ISNUMBER(AC11)),IFERROR(AC19/AC11,""),"")</f>
        <v>0.219359037300056</v>
      </c>
      <c r="AD20" s="30" t="n">
        <f aca="false">IF(AND(ISNUMBER(AD19),ISNUMBER(AD11)),IFERROR(AD19/AD11,""),"")</f>
        <v>0.22007596162987</v>
      </c>
      <c r="AE20" s="30" t="n">
        <f aca="false">IF(AND(ISNUMBER(AE19),ISNUMBER(AE11)),IFERROR(AE19/AE11,""),"")</f>
        <v>0.224197507430686</v>
      </c>
      <c r="AF20" s="30" t="n">
        <f aca="false">IF(AND(ISNUMBER(AF19),ISNUMBER(AF11)),IFERROR(AF19/AF11,""),"")</f>
        <v>0.212923408511199</v>
      </c>
      <c r="AG20" s="30" t="n">
        <f aca="false">IF(AND(ISNUMBER(AG19),ISNUMBER(AG11)),IFERROR(AG19/AG11,""),"")</f>
        <v>0.213470941821353</v>
      </c>
      <c r="AH20" s="30" t="n">
        <f aca="false">IF(AND(ISNUMBER(AH19),ISNUMBER(AH11)),IFERROR(AH19/AH11,""),"")</f>
        <v>0.217402898071398</v>
      </c>
      <c r="AI20" s="30" t="n">
        <f aca="false">IF(AND(ISNUMBER(AI19),ISNUMBER(AI11)),IFERROR(AI19/AI11,""),"")</f>
        <v>0.212420648474213</v>
      </c>
      <c r="AJ20" s="30" t="n">
        <f aca="false">IF(AND(ISNUMBER(AJ19),ISNUMBER(AJ11)),IFERROR(AJ19/AJ11,""),"")</f>
        <v>0.222934930330501</v>
      </c>
      <c r="AK20" s="30" t="n">
        <f aca="false">IF(AND(ISNUMBER(AK19),ISNUMBER(AK11)),IFERROR(AK19/AK11,""),"")</f>
        <v>0.220249994739168</v>
      </c>
      <c r="AL20" s="30" t="n">
        <f aca="false">IF(AND(ISNUMBER(AL19),ISNUMBER(AL11)),IFERROR(AL19/AL11,""),"")</f>
        <v>0.216562045656563</v>
      </c>
      <c r="AM20" s="30" t="n">
        <f aca="false">IF(AND(ISNUMBER(AM19),ISNUMBER(AM11)),IFERROR(AM19/AM11,""),"")</f>
        <v>0.218113607611366</v>
      </c>
      <c r="AN20" s="30" t="n">
        <f aca="false">IF(AND(ISNUMBER(AN19),ISNUMBER(AN11)),IFERROR(AN19/AN11,""),"")</f>
        <v>0.212518235595185</v>
      </c>
      <c r="AO20" s="30" t="n">
        <f aca="false">IF(AND(ISNUMBER(AO19),ISNUMBER(AO11)),IFERROR(AO19/AO11,""),"")</f>
        <v>0.22867403512073</v>
      </c>
      <c r="AP20" s="30" t="n">
        <f aca="false">IF(AND(ISNUMBER(AP19),ISNUMBER(AP11)),IFERROR(AP19/AP11,""),"")</f>
        <v>0.228910429478526</v>
      </c>
      <c r="AQ20" s="30" t="n">
        <f aca="false">IF(AND(ISNUMBER(AQ19),ISNUMBER(AQ11)),IFERROR(AQ19/AQ11,""),"")</f>
        <v>0.217626569511215</v>
      </c>
      <c r="AR20" s="30" t="n">
        <f aca="false">IF(AND(ISNUMBER(AR19),ISNUMBER(AR11)),IFERROR(AR19/AR11,""),"")</f>
        <v>0.222101093145125</v>
      </c>
      <c r="AS20" s="30" t="n">
        <f aca="false">IF(AND(ISNUMBER(AS19),ISNUMBER(AS11)),IFERROR(AS19/AS11,""),"")</f>
        <v>0.23423689743479</v>
      </c>
      <c r="AT20" s="30" t="n">
        <f aca="false">IF(AND(ISNUMBER(AT19),ISNUMBER(AT11)),IFERROR(AT19/AT11,""),"")</f>
        <v>0.221900747725866</v>
      </c>
      <c r="AU20" s="30" t="n">
        <f aca="false">IF(AND(ISNUMBER(AU19),ISNUMBER(AU11)),IFERROR(AU19/AU11,""),"")</f>
        <v>0.116301260678723</v>
      </c>
      <c r="AV20" s="30" t="n">
        <f aca="false">IF(AND(ISNUMBER(AV19),ISNUMBER(AV11)),IFERROR(AV19/AV11,""),"")</f>
        <v>0.155947382284129</v>
      </c>
      <c r="AW20" s="30" t="n">
        <f aca="false">IF(AND(ISNUMBER(AW19),ISNUMBER(AW11)),IFERROR(AW19/AW11,""),"")</f>
        <v>0.191765461520828</v>
      </c>
      <c r="AX20" s="30" t="n">
        <f aca="false">IF(AND(ISNUMBER(AX19),ISNUMBER(AX11)),IFERROR(AX19/AX11,""),"")</f>
        <v>0.172614807308337</v>
      </c>
      <c r="AY20" s="30" t="n">
        <f aca="false">IF(AND(ISNUMBER(AY19),ISNUMBER(AY11)),IFERROR(AY19/AY11,""),"")</f>
        <v>0.190316136876846</v>
      </c>
      <c r="AZ20" s="30" t="n">
        <f aca="false">IF(AND(ISNUMBER(AZ19),ISNUMBER(AZ11)),IFERROR(AZ19/AZ11,""),"")</f>
        <v>0.212206580689783</v>
      </c>
      <c r="BA20" s="30" t="n">
        <f aca="false">IF(AND(ISNUMBER(BA19),ISNUMBER(BA11)),IFERROR(BA19/BA11,""),"")</f>
        <v>0.222840177141387</v>
      </c>
      <c r="BB20" s="30" t="n">
        <f aca="false">IF(AND(ISNUMBER(BB19),ISNUMBER(BB11)),IFERROR(BB19/BB11,""),"")</f>
        <v>0.201242814875379</v>
      </c>
      <c r="BC20" s="30" t="n">
        <f aca="false">IF(AND(ISNUMBER(BC19),ISNUMBER(BC11)),IFERROR(BC19/BC11,""),"")</f>
        <v>0.225930666236371</v>
      </c>
      <c r="BD20" s="30" t="n">
        <f aca="false">IF(AND(ISNUMBER(BD19),ISNUMBER(BD11)),IFERROR(BD19/BD11,""),"")</f>
        <v>0.246933692007848</v>
      </c>
      <c r="BE20" s="30" t="n">
        <f aca="false">IF(AND(ISNUMBER(BE19),ISNUMBER(BE11)),IFERROR(BE19/BE11,""),"")</f>
        <v>0.245622375166157</v>
      </c>
      <c r="BF20" s="30" t="n">
        <f aca="false">IF(AND(ISNUMBER(BF19),ISNUMBER(BF11)),IFERROR(BF19/BF11,""),"")</f>
        <v>0.25646391624441</v>
      </c>
      <c r="BG20" s="30" t="n">
        <f aca="false">IF(AND(ISNUMBER(BG19),ISNUMBER(BG11)),IFERROR(BG19/BG11,""),"")</f>
        <v>0.244652696118265</v>
      </c>
      <c r="BH20" s="30" t="n">
        <f aca="false">IF(AND(ISNUMBER(BH19),ISNUMBER(BH11)),IFERROR(BH19/BH11,""),"")</f>
        <v>0.254574739144253</v>
      </c>
      <c r="BI20" s="30" t="n">
        <f aca="false">IF(AND(ISNUMBER(BI19),ISNUMBER(BI11)),IFERROR(BI19/BI11,""),"")</f>
        <v>0.28159213874483</v>
      </c>
      <c r="BJ20" s="30" t="n">
        <f aca="false">IF(AND(ISNUMBER(BJ19),ISNUMBER(BJ11)),IFERROR(BJ19/BJ11,""),"")</f>
        <v>0.245375765356508</v>
      </c>
      <c r="BK20" s="30" t="n">
        <f aca="false">IF(AND(ISNUMBER(BK19),ISNUMBER(BK11)),IFERROR(BK19/BK11,""),"")</f>
        <v>0.230372383303001</v>
      </c>
      <c r="BL20" s="30" t="n">
        <f aca="false">IF(AND(ISNUMBER(BL19),ISNUMBER(BL11)),IFERROR(BL19/BL11,""),"")</f>
        <v>0.250229778243517</v>
      </c>
      <c r="BM20" s="30" t="n">
        <f aca="false">IF(AND(ISNUMBER(BM19),ISNUMBER(BM11)),IFERROR(BM19/BM11,""),"")</f>
        <v>0.259303137465331</v>
      </c>
      <c r="BN20" s="30" t="n">
        <f aca="false">IF(AND(ISNUMBER(BN19),ISNUMBER(BN11)),IFERROR(BN19/BN11,""),"")</f>
        <v>0.266929014634629</v>
      </c>
      <c r="BO20" s="30" t="n">
        <f aca="false">IF(AND(ISNUMBER(BO19),ISNUMBER(BO11)),IFERROR(BO19/BO11,""),"")</f>
        <v>0.262459178493778</v>
      </c>
      <c r="BP20" s="30" t="n">
        <f aca="false">IF(AND(ISNUMBER(BP19),ISNUMBER(BP11)),IFERROR(BP19/BP11,""),"")</f>
        <v>0.259862962213421</v>
      </c>
      <c r="BQ20" s="30" t="n">
        <f aca="false">IF(AND(ISNUMBER(BQ19),ISNUMBER(BQ11)),IFERROR(BQ19/BQ11,""),"")</f>
        <v>0.262134976967849</v>
      </c>
      <c r="BR20" s="30" t="n">
        <f aca="false">IF(AND(ISNUMBER(BR19),ISNUMBER(BR11)),IFERROR(BR19/BR11,""),"")</f>
        <v>0.269146098988466</v>
      </c>
      <c r="BS20" s="30" t="n">
        <f aca="false">IF(AND(ISNUMBER(BS19),ISNUMBER(BS11)),IFERROR(BS19/BS11,""),"")</f>
        <v>0.278239274121006</v>
      </c>
      <c r="BT20" s="30" t="n">
        <f aca="false">IF(AND(ISNUMBER(BT19),ISNUMBER(BT11)),IFERROR(BT19/BT11,""),"")</f>
        <v>0.282693440942066</v>
      </c>
      <c r="BU20" s="30" t="n">
        <f aca="false">IF(AND(ISNUMBER(BU19),ISNUMBER(BU11)),IFERROR(BU19/BU11,""),"")</f>
        <v>0.274231397985551</v>
      </c>
      <c r="BV20" s="30" t="n">
        <f aca="false">IF(AND(ISNUMBER(BV19),ISNUMBER(BV11)),IFERROR(BV19/BV11,""),"")</f>
        <v>0.276233071363244</v>
      </c>
      <c r="BW20" s="30" t="n">
        <f aca="false">IF(AND(ISNUMBER(BW19),ISNUMBER(BW11)),IFERROR(BW19/BW11,""),"")</f>
        <v>0.278790243902439</v>
      </c>
      <c r="BX20" s="30" t="n">
        <f aca="false">IF(AND(ISNUMBER(BX19),ISNUMBER(BX11)),IFERROR(BX19/BX11,""),"")</f>
        <v>0.293680945356655</v>
      </c>
      <c r="BY20" s="30" t="n">
        <f aca="false">IF(AND(ISNUMBER(BY19),ISNUMBER(BY11)),IFERROR(BY19/BY11,""),"")</f>
        <v>0.293052459213571</v>
      </c>
      <c r="CN20" s="24" t="s">
        <v>116</v>
      </c>
      <c r="CO20" s="38" t="n">
        <f aca="false">CP20+$CO$19</f>
        <v>0.12</v>
      </c>
      <c r="CP20" s="39" t="n">
        <v>0.09</v>
      </c>
      <c r="CQ20" s="38" t="n">
        <f aca="false">CP20+$CQ$19</f>
        <v>0.06</v>
      </c>
    </row>
    <row r="21" customFormat="false" ht="15" hidden="false" customHeight="true" outlineLevel="0" collapsed="false">
      <c r="B21" s="29" t="s">
        <v>117</v>
      </c>
      <c r="C21" s="35" t="n">
        <v>8.189</v>
      </c>
      <c r="D21" s="35" t="n">
        <v>10.146</v>
      </c>
      <c r="E21" s="35" t="n">
        <v>10.735</v>
      </c>
      <c r="F21" s="35" t="n">
        <v>8.518</v>
      </c>
      <c r="G21" s="35" t="n">
        <v>7.343</v>
      </c>
      <c r="H21" s="35" t="n">
        <v>6.866</v>
      </c>
      <c r="I21" s="35" t="n">
        <v>7.045</v>
      </c>
      <c r="J21" s="35" t="n">
        <v>2.387</v>
      </c>
      <c r="K21" s="35" t="n">
        <v>2.911</v>
      </c>
      <c r="L21" s="35" t="n">
        <v>2.435</v>
      </c>
      <c r="M21" s="35" t="n">
        <v>2.457</v>
      </c>
      <c r="N21" s="35" t="n">
        <v>10.19</v>
      </c>
      <c r="O21" s="35" t="n">
        <v>2.025</v>
      </c>
      <c r="P21" s="35" t="n">
        <v>2.231</v>
      </c>
      <c r="Q21" s="35" t="n">
        <v>3.083</v>
      </c>
      <c r="R21" s="35" t="n">
        <v>2.098</v>
      </c>
      <c r="S21" s="35" t="n">
        <v>9.437</v>
      </c>
      <c r="U21" s="35" t="n">
        <v>3.863</v>
      </c>
      <c r="V21" s="35" t="n">
        <v>2.523</v>
      </c>
      <c r="X21" s="35" t="n">
        <v>11.737</v>
      </c>
      <c r="Y21" s="35" t="n">
        <v>3.705</v>
      </c>
      <c r="Z21" s="35" t="n">
        <v>4.71</v>
      </c>
      <c r="AA21" s="35" t="n">
        <v>5.034</v>
      </c>
      <c r="AB21" s="35" t="n">
        <v>4.985</v>
      </c>
      <c r="AC21" s="35" t="n">
        <v>18.434</v>
      </c>
      <c r="AD21" s="35" t="n">
        <v>3.872</v>
      </c>
      <c r="AE21" s="35" t="n">
        <v>4.688</v>
      </c>
      <c r="AF21" s="35" t="n">
        <v>3.745</v>
      </c>
      <c r="AG21" s="35" t="n">
        <v>3.36</v>
      </c>
      <c r="AH21" s="35" t="n">
        <v>15.665</v>
      </c>
      <c r="AI21" s="35" t="n">
        <v>2.297</v>
      </c>
      <c r="AJ21" s="35" t="n">
        <v>3.909</v>
      </c>
      <c r="AK21" s="35" t="n">
        <v>3.504</v>
      </c>
      <c r="AL21" s="35" t="n">
        <v>3.364</v>
      </c>
      <c r="AM21" s="35" t="n">
        <v>13.074</v>
      </c>
      <c r="AN21" s="35" t="n">
        <v>2.849</v>
      </c>
      <c r="AO21" s="35" t="n">
        <v>3.727</v>
      </c>
      <c r="AP21" s="35" t="n">
        <v>6.024</v>
      </c>
      <c r="AQ21" s="35" t="n">
        <v>4.436</v>
      </c>
      <c r="AR21" s="35" t="n">
        <v>17.036</v>
      </c>
      <c r="AS21" s="35" t="n">
        <v>4.118</v>
      </c>
      <c r="AT21" s="35" t="n">
        <v>2.647</v>
      </c>
      <c r="AU21" s="35" t="n">
        <v>1.624</v>
      </c>
      <c r="AV21" s="35" t="n">
        <v>2.454</v>
      </c>
      <c r="AW21" s="35" t="n">
        <v>10.843</v>
      </c>
      <c r="AX21" s="35" t="n">
        <v>1.988</v>
      </c>
      <c r="AY21" s="35" t="n">
        <v>2.105</v>
      </c>
      <c r="AZ21" s="35" t="n">
        <v>1.792</v>
      </c>
      <c r="BA21" s="35" t="n">
        <v>3.03</v>
      </c>
      <c r="BB21" s="35" t="n">
        <v>8.915</v>
      </c>
      <c r="BC21" s="35" t="n">
        <v>3.582</v>
      </c>
      <c r="BD21" s="35" t="n">
        <v>4.531</v>
      </c>
      <c r="BE21" s="35" t="n">
        <v>3.971</v>
      </c>
      <c r="BF21" s="35" t="n">
        <v>3.504</v>
      </c>
      <c r="BG21" s="35" t="n">
        <v>15.588</v>
      </c>
      <c r="BH21" s="35" t="n">
        <v>6.653</v>
      </c>
      <c r="BI21" s="35" t="n">
        <v>3.99</v>
      </c>
      <c r="BJ21" s="35" t="n">
        <v>4.791</v>
      </c>
      <c r="BK21" s="35" t="n">
        <v>7.341</v>
      </c>
      <c r="BL21" s="35" t="n">
        <v>22.775</v>
      </c>
      <c r="BM21" s="35" t="n">
        <v>6.732</v>
      </c>
      <c r="BN21" s="35" t="n">
        <v>5.982</v>
      </c>
      <c r="BO21" s="35" t="n">
        <v>7.925</v>
      </c>
      <c r="BP21" s="35" t="n">
        <v>6.859</v>
      </c>
      <c r="BQ21" s="35" t="n">
        <v>27.498</v>
      </c>
      <c r="BR21" s="35" t="n">
        <v>10.246</v>
      </c>
      <c r="BS21" s="35" t="n">
        <v>8.768</v>
      </c>
      <c r="BT21" s="35" t="n">
        <v>7.224</v>
      </c>
      <c r="BU21" s="35" t="n">
        <v>6.104</v>
      </c>
      <c r="BV21" s="35" t="n">
        <v>32.342</v>
      </c>
      <c r="BW21" s="35" t="n">
        <v>5.552</v>
      </c>
      <c r="BX21" s="35" t="n">
        <v>7.979</v>
      </c>
      <c r="BY21" s="35" t="n">
        <v>6.864</v>
      </c>
      <c r="CN21" s="24" t="s">
        <v>118</v>
      </c>
      <c r="CO21" s="38" t="n">
        <f aca="false">CP21+$CO$19</f>
        <v>0.11</v>
      </c>
      <c r="CP21" s="39" t="n">
        <v>0.08</v>
      </c>
      <c r="CQ21" s="38" t="n">
        <f aca="false">CP21+$CQ$19</f>
        <v>0.05</v>
      </c>
    </row>
    <row r="22" customFormat="false" ht="15" hidden="false" customHeight="true" outlineLevel="0" collapsed="false">
      <c r="B22" s="26" t="s">
        <v>119</v>
      </c>
      <c r="S22" s="35" t="n">
        <v>327.416</v>
      </c>
      <c r="X22" s="35" t="n">
        <v>356.07</v>
      </c>
      <c r="AC22" s="35" t="n">
        <v>405.108</v>
      </c>
      <c r="AH22" s="35" t="n">
        <v>489.644</v>
      </c>
      <c r="AI22" s="35" t="n">
        <v>134.288</v>
      </c>
      <c r="AJ22" s="35" t="n">
        <v>139.567</v>
      </c>
      <c r="AK22" s="35" t="n">
        <v>150.729</v>
      </c>
      <c r="AL22" s="35" t="n">
        <v>157.978</v>
      </c>
      <c r="AM22" s="35" t="n">
        <v>582.562</v>
      </c>
      <c r="AN22" s="35" t="n">
        <v>159.497</v>
      </c>
      <c r="AO22" s="35" t="n">
        <v>167.225</v>
      </c>
      <c r="AP22" s="35" t="n">
        <v>173.992</v>
      </c>
      <c r="AQ22" s="35" t="n">
        <v>177.287</v>
      </c>
      <c r="AR22" s="35" t="n">
        <v>678.001</v>
      </c>
      <c r="AS22" s="35" t="n">
        <v>168.267</v>
      </c>
      <c r="AT22" s="35" t="n">
        <v>141.192</v>
      </c>
      <c r="AU22" s="35" t="n">
        <v>102.629</v>
      </c>
      <c r="AV22" s="35" t="n">
        <v>113.548</v>
      </c>
      <c r="AW22" s="35" t="n">
        <v>525.636</v>
      </c>
      <c r="AX22" s="35" t="n">
        <v>118.434</v>
      </c>
      <c r="AY22" s="35" t="n">
        <v>135.894</v>
      </c>
      <c r="AZ22" s="35" t="n">
        <v>136.357</v>
      </c>
      <c r="BA22" s="35" t="n">
        <v>144.532</v>
      </c>
      <c r="BB22" s="35" t="n">
        <v>535.217</v>
      </c>
      <c r="BC22" s="35" t="n">
        <v>150.901</v>
      </c>
      <c r="BD22" s="35" t="n">
        <v>173.981</v>
      </c>
      <c r="BE22" s="35" t="n">
        <v>187.453</v>
      </c>
      <c r="BF22" s="35" t="n">
        <v>182.565</v>
      </c>
      <c r="BG22" s="35" t="n">
        <v>694.9</v>
      </c>
      <c r="BH22" s="35" t="n">
        <v>208.643</v>
      </c>
      <c r="BI22" s="35" t="n">
        <v>218.343</v>
      </c>
      <c r="BJ22" s="35" t="n">
        <v>238.95</v>
      </c>
      <c r="BK22" s="35" t="n">
        <v>374.566</v>
      </c>
      <c r="BL22" s="35" t="n">
        <v>1040.502</v>
      </c>
      <c r="BM22" s="35" t="n">
        <v>395.154</v>
      </c>
      <c r="BN22" s="35" t="n">
        <v>403.725</v>
      </c>
      <c r="BO22" s="35" t="n">
        <v>432.699</v>
      </c>
      <c r="BP22" s="35" t="n">
        <v>426.853</v>
      </c>
      <c r="BQ22" s="35" t="n">
        <v>1658.431</v>
      </c>
      <c r="BR22" s="35" t="n">
        <v>456.028</v>
      </c>
      <c r="BS22" s="35" t="n">
        <v>469.962</v>
      </c>
      <c r="BT22" s="35" t="n">
        <v>486.296</v>
      </c>
      <c r="BU22" s="35" t="n">
        <v>510.037</v>
      </c>
      <c r="BV22" s="35" t="n">
        <v>1922.323</v>
      </c>
      <c r="BW22" s="35" t="n">
        <v>513.861</v>
      </c>
      <c r="BX22" s="35" t="n">
        <v>570.327</v>
      </c>
      <c r="BY22" s="35" t="n">
        <v>556.277</v>
      </c>
      <c r="CN22" s="24" t="s">
        <v>120</v>
      </c>
      <c r="CO22" s="38" t="n">
        <f aca="false">CP22+$CO$19</f>
        <v>0.1</v>
      </c>
      <c r="CP22" s="39" t="n">
        <v>0.07</v>
      </c>
      <c r="CQ22" s="38" t="n">
        <f aca="false">CP22+$CQ$19</f>
        <v>0.04</v>
      </c>
    </row>
    <row r="23" customFormat="false" ht="15" hidden="false" customHeight="true" outlineLevel="0" collapsed="false">
      <c r="B23" s="26" t="s">
        <v>121</v>
      </c>
      <c r="S23" s="35" t="n">
        <v>253.717</v>
      </c>
      <c r="X23" s="35" t="n">
        <v>258.952</v>
      </c>
      <c r="AC23" s="35" t="n">
        <v>251.357</v>
      </c>
      <c r="AH23" s="35" t="n">
        <v>270.482</v>
      </c>
      <c r="AI23" s="35" t="n">
        <v>68.324</v>
      </c>
      <c r="AJ23" s="35" t="n">
        <v>71.756</v>
      </c>
      <c r="AK23" s="35" t="n">
        <v>74.853</v>
      </c>
      <c r="AL23" s="35" t="n">
        <v>71.521</v>
      </c>
      <c r="AM23" s="35" t="n">
        <v>286.454</v>
      </c>
      <c r="AN23" s="35" t="n">
        <v>67.163</v>
      </c>
      <c r="AO23" s="35" t="n">
        <v>73.454</v>
      </c>
      <c r="AP23" s="35" t="n">
        <v>76.27</v>
      </c>
      <c r="AQ23" s="35" t="n">
        <v>82.436</v>
      </c>
      <c r="AR23" s="35" t="n">
        <v>299.323</v>
      </c>
      <c r="AS23" s="35" t="n">
        <v>69.287</v>
      </c>
      <c r="AT23" s="35" t="n">
        <v>52.629</v>
      </c>
      <c r="AU23" s="35" t="n">
        <v>32.601</v>
      </c>
      <c r="AV23" s="35" t="n">
        <v>38.647</v>
      </c>
      <c r="AW23" s="35" t="n">
        <v>193.164</v>
      </c>
      <c r="AX23" s="35" t="n">
        <v>42.412</v>
      </c>
      <c r="AY23" s="35" t="n">
        <v>50.706</v>
      </c>
      <c r="AZ23" s="35" t="n">
        <v>54.591</v>
      </c>
      <c r="BA23" s="35" t="n">
        <v>60.506</v>
      </c>
      <c r="BB23" s="35" t="n">
        <v>208.215</v>
      </c>
      <c r="BC23" s="35" t="n">
        <v>62.487</v>
      </c>
      <c r="BD23" s="35" t="n">
        <v>65.046</v>
      </c>
      <c r="BE23" s="35" t="n">
        <v>66.44</v>
      </c>
      <c r="BF23" s="35" t="n">
        <v>71.013</v>
      </c>
      <c r="BG23" s="35" t="n">
        <v>264.986</v>
      </c>
      <c r="BH23" s="35" t="n">
        <v>71.15</v>
      </c>
      <c r="BI23" s="35" t="n">
        <v>77.851</v>
      </c>
      <c r="BJ23" s="35" t="n">
        <v>80.924</v>
      </c>
      <c r="BK23" s="35" t="n">
        <v>136.641</v>
      </c>
      <c r="BL23" s="35" t="n">
        <v>366.566</v>
      </c>
      <c r="BM23" s="35" t="n">
        <v>135.582</v>
      </c>
      <c r="BN23" s="35" t="n">
        <v>148.181</v>
      </c>
      <c r="BO23" s="35" t="n">
        <v>149.895</v>
      </c>
      <c r="BP23" s="35" t="n">
        <v>159.579</v>
      </c>
      <c r="BQ23" s="35" t="n">
        <v>593.237</v>
      </c>
      <c r="BR23" s="35" t="n">
        <v>155.449</v>
      </c>
      <c r="BS23" s="35" t="n">
        <v>186.656</v>
      </c>
      <c r="BT23" s="35" t="n">
        <v>201.261</v>
      </c>
      <c r="BU23" s="35" t="n">
        <v>205.483</v>
      </c>
      <c r="BV23" s="35" t="n">
        <v>748.849</v>
      </c>
      <c r="BW23" s="35" t="n">
        <v>196.654</v>
      </c>
      <c r="BX23" s="35" t="n">
        <v>225.875</v>
      </c>
      <c r="BY23" s="35" t="n">
        <v>248.603</v>
      </c>
      <c r="CN23" s="24" t="s">
        <v>122</v>
      </c>
      <c r="CO23" s="38" t="n">
        <f aca="false">CP23+$CO$19</f>
        <v>0.1</v>
      </c>
      <c r="CP23" s="39" t="n">
        <v>0.07</v>
      </c>
      <c r="CQ23" s="38" t="n">
        <f aca="false">CP23+$CQ$19</f>
        <v>0.04</v>
      </c>
    </row>
    <row r="24" customFormat="false" ht="15" hidden="false" customHeight="true" outlineLevel="0" collapsed="false">
      <c r="B24" s="26" t="s">
        <v>123</v>
      </c>
      <c r="S24" s="35" t="n">
        <v>181.668</v>
      </c>
      <c r="X24" s="35" t="n">
        <v>194.678</v>
      </c>
      <c r="AC24" s="35" t="n">
        <v>219.405</v>
      </c>
      <c r="AH24" s="35" t="n">
        <v>207.414</v>
      </c>
      <c r="AI24" s="35" t="n">
        <v>52.109</v>
      </c>
      <c r="AJ24" s="35" t="n">
        <v>56.513</v>
      </c>
      <c r="AK24" s="35" t="n">
        <v>59.544</v>
      </c>
      <c r="AL24" s="35" t="n">
        <v>60.755</v>
      </c>
      <c r="AM24" s="35" t="n">
        <v>228.921</v>
      </c>
      <c r="AN24" s="35" t="n">
        <v>60.553</v>
      </c>
      <c r="AO24" s="35" t="n">
        <v>67.572</v>
      </c>
      <c r="AP24" s="35" t="n">
        <v>69.754</v>
      </c>
      <c r="AQ24" s="35" t="n">
        <v>64.98</v>
      </c>
      <c r="AR24" s="35" t="n">
        <v>262.859</v>
      </c>
      <c r="AS24" s="35" t="n">
        <v>63.513</v>
      </c>
      <c r="AT24" s="35" t="n">
        <v>58.143</v>
      </c>
      <c r="AU24" s="35" t="n">
        <v>42.928</v>
      </c>
      <c r="AV24" s="35" t="n">
        <v>41.428</v>
      </c>
      <c r="AW24" s="35" t="n">
        <v>206.012</v>
      </c>
      <c r="AX24" s="35" t="n">
        <v>38.488</v>
      </c>
      <c r="AY24" s="35" t="n">
        <v>43.68</v>
      </c>
      <c r="AZ24" s="35" t="n">
        <v>46.17</v>
      </c>
      <c r="BA24" s="35" t="n">
        <v>55.319</v>
      </c>
      <c r="BB24" s="35" t="n">
        <v>183.657</v>
      </c>
      <c r="BC24" s="35" t="n">
        <v>59.293</v>
      </c>
      <c r="BD24" s="35" t="n">
        <v>67.286</v>
      </c>
      <c r="BE24" s="35" t="n">
        <v>76.366</v>
      </c>
      <c r="BF24" s="35" t="n">
        <v>92.381</v>
      </c>
      <c r="BG24" s="35" t="n">
        <v>295.326</v>
      </c>
      <c r="BH24" s="35" t="n">
        <v>91.485</v>
      </c>
      <c r="BI24" s="35" t="n">
        <v>96.008</v>
      </c>
      <c r="BJ24" s="35" t="n">
        <v>85.166</v>
      </c>
      <c r="BK24" s="35" t="n">
        <v>90.458</v>
      </c>
      <c r="BL24" s="35" t="n">
        <v>363.117</v>
      </c>
      <c r="BM24" s="35" t="n">
        <v>87.98</v>
      </c>
      <c r="BN24" s="35" t="n">
        <v>95.326</v>
      </c>
      <c r="BO24" s="35" t="n">
        <v>99.032</v>
      </c>
      <c r="BP24" s="35" t="n">
        <v>105.348</v>
      </c>
      <c r="BQ24" s="35" t="n">
        <v>387.686</v>
      </c>
      <c r="BR24" s="35" t="n">
        <v>101.697</v>
      </c>
      <c r="BS24" s="35" t="n">
        <v>110.452</v>
      </c>
      <c r="BT24" s="35" t="n">
        <v>115.104</v>
      </c>
      <c r="BU24" s="35" t="n">
        <v>118.852</v>
      </c>
      <c r="BV24" s="35" t="n">
        <v>446.105</v>
      </c>
      <c r="BW24" s="35" t="n">
        <v>109.485</v>
      </c>
      <c r="BX24" s="35" t="n">
        <v>133.225</v>
      </c>
      <c r="BY24" s="35" t="n">
        <v>142.923</v>
      </c>
    </row>
    <row r="25" customFormat="false" ht="15" hidden="false" customHeight="true" outlineLevel="0" collapsed="false">
      <c r="B25" s="26" t="s">
        <v>124</v>
      </c>
      <c r="AH25" s="35" t="n">
        <v>781.344</v>
      </c>
      <c r="AI25" s="35" t="n">
        <v>209.591</v>
      </c>
      <c r="AJ25" s="35" t="n">
        <v>220.083</v>
      </c>
      <c r="AK25" s="35" t="n">
        <v>230.633</v>
      </c>
      <c r="AL25" s="35" t="n">
        <v>229.752</v>
      </c>
      <c r="AM25" s="35" t="n">
        <v>890.059</v>
      </c>
      <c r="AN25" s="35" t="n">
        <v>235.173</v>
      </c>
      <c r="AO25" s="35" t="n">
        <v>249.225</v>
      </c>
      <c r="AP25" s="35" t="n">
        <v>258.157</v>
      </c>
      <c r="AQ25" s="35" t="n">
        <v>261.533</v>
      </c>
      <c r="AR25" s="35" t="n">
        <v>1004.088</v>
      </c>
      <c r="AS25" s="35" t="n">
        <v>239.923</v>
      </c>
      <c r="AT25" s="35" t="n">
        <v>188.655</v>
      </c>
      <c r="AU25" s="35" t="n">
        <v>114.627</v>
      </c>
      <c r="AV25" s="35" t="n">
        <v>125.989</v>
      </c>
      <c r="AW25" s="35" t="n">
        <v>669.194</v>
      </c>
      <c r="AX25" s="35" t="n">
        <v>135.056</v>
      </c>
      <c r="AY25" s="35" t="n">
        <v>163.026</v>
      </c>
      <c r="AZ25" s="35" t="n">
        <v>175.388</v>
      </c>
      <c r="BA25" s="35" t="n">
        <v>187.397</v>
      </c>
      <c r="BB25" s="35" t="n">
        <v>660.867</v>
      </c>
      <c r="BC25" s="35" t="n">
        <v>202.405</v>
      </c>
      <c r="BD25" s="35" t="n">
        <v>215.319</v>
      </c>
      <c r="BE25" s="35" t="n">
        <v>219.558</v>
      </c>
      <c r="BF25" s="35" t="n">
        <v>238.972</v>
      </c>
      <c r="BG25" s="35" t="n">
        <v>876.254</v>
      </c>
      <c r="BH25" s="35" t="n">
        <v>254.54</v>
      </c>
      <c r="BI25" s="35" t="n">
        <v>269.353</v>
      </c>
      <c r="BJ25" s="35" t="n">
        <v>288.069</v>
      </c>
      <c r="BK25" s="35" t="n">
        <v>445.688</v>
      </c>
      <c r="BL25" s="35" t="n">
        <v>1257.65</v>
      </c>
      <c r="BM25" s="35" t="n">
        <v>461.241</v>
      </c>
      <c r="BN25" s="35" t="n">
        <v>478.349</v>
      </c>
      <c r="BO25" s="35" t="n">
        <v>499.917</v>
      </c>
      <c r="BP25" s="35" t="n">
        <v>521.198</v>
      </c>
      <c r="BQ25" s="35" t="n">
        <v>1960.705</v>
      </c>
      <c r="BR25" s="35" t="n">
        <v>533.621</v>
      </c>
      <c r="BS25" s="35" t="n">
        <v>572.7</v>
      </c>
      <c r="BT25" s="35" t="n">
        <v>615.053</v>
      </c>
      <c r="BU25" s="35" t="n">
        <v>647.881</v>
      </c>
      <c r="BV25" s="35" t="n">
        <v>2369.255</v>
      </c>
      <c r="BW25" s="35" t="n">
        <v>626.472</v>
      </c>
      <c r="BX25" s="35" t="n">
        <v>675.013</v>
      </c>
      <c r="BY25" s="35" t="n">
        <v>668.382</v>
      </c>
      <c r="CN25" s="15" t="s">
        <v>125</v>
      </c>
      <c r="CO25" s="37" t="n">
        <v>0.015</v>
      </c>
      <c r="CP25" s="15" t="s">
        <v>113</v>
      </c>
      <c r="CQ25" s="37" t="n">
        <v>-0.015</v>
      </c>
      <c r="CR25" s="13" t="s">
        <v>126</v>
      </c>
    </row>
    <row r="26" customFormat="false" ht="15" hidden="false" customHeight="true" outlineLevel="0" collapsed="false">
      <c r="B26" s="26" t="s">
        <v>127</v>
      </c>
      <c r="AH26" s="35" t="n">
        <v>146.708</v>
      </c>
      <c r="AI26" s="35" t="n">
        <v>34.782</v>
      </c>
      <c r="AJ26" s="35" t="n">
        <v>36.312</v>
      </c>
      <c r="AK26" s="35" t="n">
        <v>43.009</v>
      </c>
      <c r="AL26" s="35" t="n">
        <v>49.227</v>
      </c>
      <c r="AM26" s="35" t="n">
        <v>163.33</v>
      </c>
      <c r="AN26" s="35" t="n">
        <v>41.534</v>
      </c>
      <c r="AO26" s="35" t="n">
        <v>45.969</v>
      </c>
      <c r="AP26" s="35" t="n">
        <v>49.769</v>
      </c>
      <c r="AQ26" s="35" t="n">
        <v>52.804</v>
      </c>
      <c r="AR26" s="35" t="n">
        <v>190.076</v>
      </c>
      <c r="AS26" s="35" t="n">
        <v>50.253</v>
      </c>
      <c r="AT26" s="35" t="n">
        <v>54.142</v>
      </c>
      <c r="AU26" s="35" t="n">
        <v>53.269</v>
      </c>
      <c r="AV26" s="35" t="n">
        <v>55.609</v>
      </c>
      <c r="AW26" s="35" t="n">
        <v>213.273</v>
      </c>
      <c r="AX26" s="35" t="n">
        <v>54.044</v>
      </c>
      <c r="AY26" s="35" t="n">
        <v>56.254</v>
      </c>
      <c r="AZ26" s="35" t="n">
        <v>51.898</v>
      </c>
      <c r="BA26" s="35" t="n">
        <v>62.04</v>
      </c>
      <c r="BB26" s="35" t="n">
        <v>224.236</v>
      </c>
      <c r="BC26" s="35" t="n">
        <v>58.655</v>
      </c>
      <c r="BD26" s="35" t="n">
        <v>77.603</v>
      </c>
      <c r="BE26" s="35" t="n">
        <v>94.756</v>
      </c>
      <c r="BF26" s="35" t="n">
        <v>85.446</v>
      </c>
      <c r="BG26" s="35" t="n">
        <v>316.46</v>
      </c>
      <c r="BH26" s="35" t="n">
        <v>95.642</v>
      </c>
      <c r="BI26" s="35" t="n">
        <v>101.267</v>
      </c>
      <c r="BJ26" s="35" t="n">
        <v>98.777</v>
      </c>
      <c r="BK26" s="35" t="n">
        <v>138.543</v>
      </c>
      <c r="BL26" s="35" t="n">
        <v>434.229</v>
      </c>
      <c r="BM26" s="35" t="n">
        <v>138.772</v>
      </c>
      <c r="BN26" s="35" t="n">
        <v>149.906</v>
      </c>
      <c r="BO26" s="35" t="n">
        <v>161.16</v>
      </c>
      <c r="BP26" s="35" t="n">
        <v>150.968</v>
      </c>
      <c r="BQ26" s="35" t="n">
        <v>600.806</v>
      </c>
      <c r="BR26" s="35" t="n">
        <v>165.889</v>
      </c>
      <c r="BS26" s="35" t="n">
        <v>178.112</v>
      </c>
      <c r="BT26" s="35" t="n">
        <v>172.286</v>
      </c>
      <c r="BU26" s="35" t="n">
        <v>170.578</v>
      </c>
      <c r="BV26" s="35" t="n">
        <v>686.865</v>
      </c>
      <c r="BW26" s="35" t="n">
        <v>179.377</v>
      </c>
      <c r="BX26" s="35" t="n">
        <v>226.399</v>
      </c>
      <c r="BY26" s="35" t="n">
        <v>247.651</v>
      </c>
      <c r="CN26" s="24" t="s">
        <v>116</v>
      </c>
      <c r="CO26" s="38" t="n">
        <f aca="false">CP26+$CO$25</f>
        <v>0.27</v>
      </c>
      <c r="CP26" s="39" t="n">
        <v>0.255</v>
      </c>
      <c r="CQ26" s="38" t="n">
        <f aca="false">CP26+$CQ$25</f>
        <v>0.24</v>
      </c>
    </row>
    <row r="27" customFormat="false" ht="15" hidden="false" customHeight="true" outlineLevel="0" collapsed="false">
      <c r="B27" s="26" t="s">
        <v>128</v>
      </c>
      <c r="AH27" s="35" t="n">
        <v>39.488</v>
      </c>
      <c r="AI27" s="35" t="n">
        <v>10.348</v>
      </c>
      <c r="AJ27" s="35" t="n">
        <v>11.441</v>
      </c>
      <c r="AK27" s="35" t="n">
        <v>11.484</v>
      </c>
      <c r="AL27" s="35" t="n">
        <v>11.275</v>
      </c>
      <c r="AM27" s="35" t="n">
        <v>44.548</v>
      </c>
      <c r="AN27" s="35" t="n">
        <v>10.506</v>
      </c>
      <c r="AO27" s="35" t="n">
        <v>13.057</v>
      </c>
      <c r="AP27" s="35" t="n">
        <v>12.09</v>
      </c>
      <c r="AQ27" s="35" t="n">
        <v>10.366</v>
      </c>
      <c r="AR27" s="35" t="n">
        <v>46.019</v>
      </c>
      <c r="AS27" s="35" t="n">
        <v>10.891</v>
      </c>
      <c r="AT27" s="35" t="n">
        <v>9.167</v>
      </c>
      <c r="AU27" s="35" t="n">
        <v>10.262</v>
      </c>
      <c r="AV27" s="35" t="n">
        <v>12.025</v>
      </c>
      <c r="AW27" s="35" t="n">
        <v>42.345</v>
      </c>
      <c r="AX27" s="35" t="n">
        <v>10.234</v>
      </c>
      <c r="AY27" s="35" t="n">
        <v>11</v>
      </c>
      <c r="AZ27" s="35" t="n">
        <v>9.832</v>
      </c>
      <c r="BA27" s="35" t="n">
        <v>10.92</v>
      </c>
      <c r="BB27" s="35" t="n">
        <v>41.986</v>
      </c>
      <c r="BC27" s="35" t="n">
        <v>11.621</v>
      </c>
      <c r="BD27" s="35" t="n">
        <v>13.391</v>
      </c>
      <c r="BE27" s="35" t="n">
        <v>15.945</v>
      </c>
      <c r="BF27" s="35" t="n">
        <v>21.541</v>
      </c>
      <c r="BG27" s="35" t="n">
        <v>62.498</v>
      </c>
      <c r="BH27" s="35" t="n">
        <v>21.096</v>
      </c>
      <c r="BI27" s="35" t="n">
        <v>21.582</v>
      </c>
      <c r="BJ27" s="35" t="n">
        <v>18.194</v>
      </c>
      <c r="BK27" s="35" t="n">
        <v>17.434</v>
      </c>
      <c r="BL27" s="35" t="n">
        <v>78.306</v>
      </c>
      <c r="BM27" s="35" t="n">
        <v>18.703</v>
      </c>
      <c r="BN27" s="35" t="n">
        <v>18.977</v>
      </c>
      <c r="BO27" s="35" t="n">
        <v>20.549</v>
      </c>
      <c r="BP27" s="35" t="n">
        <v>19.614</v>
      </c>
      <c r="BQ27" s="35" t="n">
        <v>77.843</v>
      </c>
      <c r="BR27" s="35" t="n">
        <v>13.664</v>
      </c>
      <c r="BS27" s="35" t="n">
        <v>16.258</v>
      </c>
      <c r="BT27" s="35" t="n">
        <v>15.322</v>
      </c>
      <c r="BU27" s="35" t="n">
        <v>15.913</v>
      </c>
      <c r="BV27" s="35" t="n">
        <v>61.157</v>
      </c>
      <c r="BW27" s="35" t="n">
        <v>14.151</v>
      </c>
      <c r="BX27" s="35" t="n">
        <v>28.015</v>
      </c>
      <c r="BY27" s="35" t="n">
        <v>31.77</v>
      </c>
      <c r="CN27" s="24" t="s">
        <v>118</v>
      </c>
      <c r="CO27" s="38" t="n">
        <f aca="false">CP27+$CO$25</f>
        <v>0.275</v>
      </c>
      <c r="CP27" s="39" t="n">
        <v>0.26</v>
      </c>
      <c r="CQ27" s="38" t="n">
        <f aca="false">CP27+$CQ$25</f>
        <v>0.245</v>
      </c>
    </row>
    <row r="28" customFormat="false" ht="15" hidden="false" customHeight="true" outlineLevel="0" collapsed="false">
      <c r="CN28" s="24" t="s">
        <v>120</v>
      </c>
      <c r="CO28" s="38" t="n">
        <f aca="false">CP28+$CO$25</f>
        <v>0.275</v>
      </c>
      <c r="CP28" s="39" t="n">
        <v>0.26</v>
      </c>
      <c r="CQ28" s="38" t="n">
        <f aca="false">CP28+$CQ$25</f>
        <v>0.245</v>
      </c>
    </row>
    <row r="29" customFormat="false" ht="15" hidden="false" customHeight="true" outlineLevel="0" collapsed="false">
      <c r="B29" s="14" t="s">
        <v>129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5" t="s">
        <v>130</v>
      </c>
      <c r="CN29" s="24" t="s">
        <v>122</v>
      </c>
      <c r="CO29" s="38" t="n">
        <f aca="false">CP29+$CO$25</f>
        <v>0.275</v>
      </c>
      <c r="CP29" s="39" t="n">
        <v>0.26</v>
      </c>
      <c r="CQ29" s="38" t="n">
        <f aca="false">CP29+$CQ$25</f>
        <v>0.245</v>
      </c>
    </row>
    <row r="30" customFormat="false" ht="15" hidden="false" customHeight="true" outlineLevel="0" collapsed="false">
      <c r="B30" s="16" t="s">
        <v>85</v>
      </c>
      <c r="C30" s="17" t="n">
        <v>115.021</v>
      </c>
      <c r="D30" s="17" t="n">
        <v>124.035</v>
      </c>
      <c r="E30" s="17" t="n">
        <v>146.044</v>
      </c>
      <c r="F30" s="17" t="n">
        <v>143.372</v>
      </c>
      <c r="G30" s="17" t="n">
        <v>205.648</v>
      </c>
      <c r="H30" s="17" t="n">
        <v>227.771</v>
      </c>
      <c r="I30" s="17" t="n">
        <v>331.598</v>
      </c>
      <c r="J30" s="17" t="n">
        <v>78.841</v>
      </c>
      <c r="K30" s="17" t="n">
        <v>83.937</v>
      </c>
      <c r="L30" s="17" t="n">
        <v>87.401</v>
      </c>
      <c r="M30" s="17" t="n">
        <v>99.854</v>
      </c>
      <c r="N30" s="17" t="n">
        <v>350.033</v>
      </c>
      <c r="O30" s="17" t="n">
        <v>87.492</v>
      </c>
      <c r="P30" s="17" t="n">
        <v>89.741</v>
      </c>
      <c r="Q30" s="17" t="n">
        <v>102.065</v>
      </c>
      <c r="R30" s="17" t="n">
        <v>100.106</v>
      </c>
      <c r="S30" s="17" t="n">
        <v>379.404</v>
      </c>
      <c r="T30" s="17" t="n">
        <v>89.221</v>
      </c>
      <c r="U30" s="17" t="n">
        <v>90.995</v>
      </c>
      <c r="V30" s="17" t="n">
        <v>97.223</v>
      </c>
      <c r="W30" s="17" t="n">
        <v>113.543</v>
      </c>
      <c r="X30" s="17" t="n">
        <v>390.982</v>
      </c>
      <c r="Y30" s="17" t="n">
        <v>104.152</v>
      </c>
      <c r="Z30" s="17" t="n">
        <v>132.566</v>
      </c>
      <c r="AA30" s="17" t="n">
        <v>136.215</v>
      </c>
      <c r="AB30" s="17" t="n">
        <v>138.339</v>
      </c>
      <c r="AC30" s="17" t="n">
        <v>511.272</v>
      </c>
      <c r="AD30" s="17" t="n">
        <v>126.165</v>
      </c>
      <c r="AE30" s="17" t="n">
        <v>141.169</v>
      </c>
      <c r="AF30" s="17" t="n">
        <v>137.86</v>
      </c>
      <c r="AG30" s="17" t="n">
        <v>169.067</v>
      </c>
      <c r="AH30" s="17" t="n">
        <v>574.261</v>
      </c>
      <c r="AI30" s="17" t="n">
        <v>155.658</v>
      </c>
      <c r="AJ30" s="17" t="n">
        <v>168.722</v>
      </c>
      <c r="AK30" s="17" t="n">
        <v>186.37</v>
      </c>
      <c r="AL30" s="17" t="n">
        <v>191.077</v>
      </c>
      <c r="AM30" s="17" t="n">
        <v>701.827</v>
      </c>
      <c r="AN30" s="17" t="n">
        <v>184.429</v>
      </c>
      <c r="AO30" s="17" t="n">
        <v>214.451</v>
      </c>
      <c r="AP30" s="17" t="n">
        <v>216.129</v>
      </c>
      <c r="AQ30" s="17" t="n">
        <v>219.513</v>
      </c>
      <c r="AR30" s="17" t="n">
        <v>834.522</v>
      </c>
      <c r="AS30" s="17" t="n">
        <v>208.411</v>
      </c>
      <c r="AT30" s="17" t="n">
        <v>218.955</v>
      </c>
      <c r="AU30" s="17" t="n">
        <v>210.919</v>
      </c>
      <c r="AV30" s="17" t="n">
        <v>236.702</v>
      </c>
      <c r="AW30" s="17" t="n">
        <v>874.987</v>
      </c>
      <c r="AX30" s="17" t="n">
        <v>223.55</v>
      </c>
      <c r="AY30" s="17" t="n">
        <v>243.089</v>
      </c>
      <c r="AZ30" s="17" t="n">
        <v>239.543</v>
      </c>
      <c r="BA30" s="17" t="n">
        <v>252.988</v>
      </c>
      <c r="BB30" s="17" t="n">
        <v>959.17</v>
      </c>
      <c r="BC30" s="17" t="n">
        <v>222.336</v>
      </c>
      <c r="BD30" s="17" t="n">
        <v>237.393</v>
      </c>
      <c r="BE30" s="17" t="n">
        <v>244.203</v>
      </c>
      <c r="BF30" s="17" t="n">
        <v>268.543</v>
      </c>
      <c r="BG30" s="17" t="n">
        <v>972.475</v>
      </c>
      <c r="BH30" s="17" t="n">
        <v>255.059</v>
      </c>
      <c r="BI30" s="17" t="n">
        <v>301.759</v>
      </c>
      <c r="BJ30" s="17" t="n">
        <v>325.867</v>
      </c>
      <c r="BK30" s="17" t="n">
        <v>342.537</v>
      </c>
      <c r="BL30" s="17" t="n">
        <v>1225.222</v>
      </c>
      <c r="BM30" s="17" t="n">
        <v>285.942</v>
      </c>
      <c r="BN30" s="17" t="n">
        <v>319.322</v>
      </c>
      <c r="BO30" s="17" t="n">
        <v>322.129</v>
      </c>
      <c r="BP30" s="17" t="n">
        <v>336.233</v>
      </c>
      <c r="BQ30" s="17" t="n">
        <v>1263.626</v>
      </c>
      <c r="BR30" s="17" t="n">
        <v>330.315</v>
      </c>
      <c r="BS30" s="17" t="n">
        <v>342.167</v>
      </c>
      <c r="BT30" s="17" t="n">
        <v>355.863</v>
      </c>
      <c r="BU30" s="17" t="n">
        <v>384.775</v>
      </c>
      <c r="BV30" s="17" t="n">
        <v>1413.12</v>
      </c>
      <c r="BW30" s="17" t="n">
        <v>370.675</v>
      </c>
      <c r="BX30" s="17" t="n">
        <v>459.532</v>
      </c>
      <c r="BY30" s="17" t="n">
        <v>483.487</v>
      </c>
      <c r="BZ30" s="18" t="n">
        <f aca="false">BU30*(1+BZ31)</f>
        <v>507.903</v>
      </c>
      <c r="CA30" s="18" t="n">
        <f aca="false">SUM(BW30,BX30,BY30,BZ30)</f>
        <v>1821.597</v>
      </c>
      <c r="CB30" s="18" t="n">
        <f aca="false">CA30*(1+CB31)</f>
        <v>2076.62058</v>
      </c>
      <c r="CC30" s="18" t="n">
        <f aca="false">CB30*(1+CC31)</f>
        <v>2221.9840206</v>
      </c>
      <c r="CD30" s="18" t="n">
        <f aca="false">CC30*(1+CD31)</f>
        <v>2366.412981939</v>
      </c>
      <c r="CE30" s="18" t="n">
        <f aca="false">CD30*(1+CE31)</f>
        <v>2520.22982576504</v>
      </c>
      <c r="CF30" s="19" t="s">
        <v>86</v>
      </c>
      <c r="CH30" s="20" t="n">
        <f aca="false">IFERROR((CE30/BV30)^(1/5)-1,"n/m")</f>
        <v>0.122670266776796</v>
      </c>
      <c r="CI30" s="20" t="n">
        <f aca="false">IFERROR((BV30/AW30)^(1/5)-1,"n/m")</f>
        <v>0.100615154804276</v>
      </c>
      <c r="CJ30" s="20" t="n">
        <f aca="false">IFERROR((BV30/X30)^(1/10)-1,"n/m")</f>
        <v>0.13710934303908</v>
      </c>
      <c r="CK30" s="20" t="n">
        <f aca="false">IFERROR((BV30/C30)^(1/19)-1,"n/m")</f>
        <v>0.141134780337298</v>
      </c>
    </row>
    <row r="31" customFormat="false" ht="15" hidden="false" customHeight="true" outlineLevel="0" collapsed="false">
      <c r="B31" s="21" t="s">
        <v>92</v>
      </c>
      <c r="D31" s="22" t="n">
        <f aca="false">IF(AND(ISNUMBER(D30),ISNUMBER(C30)),IFERROR(D30/C30-1,""),"")</f>
        <v>0.0783682979629807</v>
      </c>
      <c r="E31" s="22" t="n">
        <f aca="false">IF(AND(ISNUMBER(E30),ISNUMBER(D30)),IFERROR(E30/D30-1,""),"")</f>
        <v>0.177441851090418</v>
      </c>
      <c r="F31" s="22" t="n">
        <f aca="false">IF(AND(ISNUMBER(F30),ISNUMBER(E30)),IFERROR(F30/E30-1,""),"")</f>
        <v>-0.0182958560433841</v>
      </c>
      <c r="G31" s="22" t="n">
        <f aca="false">IF(AND(ISNUMBER(G30),ISNUMBER(F30)),IFERROR(G30/F30-1,""),"")</f>
        <v>0.434366542979103</v>
      </c>
      <c r="H31" s="22" t="n">
        <f aca="false">IF(AND(ISNUMBER(H30),ISNUMBER(G30)),IFERROR(H30/G30-1,""),"")</f>
        <v>0.107577024819108</v>
      </c>
      <c r="I31" s="22" t="n">
        <f aca="false">IF(AND(ISNUMBER(I30),ISNUMBER(H30)),IFERROR(I30/H30-1,""),"")</f>
        <v>0.455839417660721</v>
      </c>
      <c r="N31" s="22" t="n">
        <f aca="false">IF(AND(ISNUMBER(N30),ISNUMBER(I30)),IFERROR(N30/I30-1,""),"")</f>
        <v>0.0555944245743341</v>
      </c>
      <c r="O31" s="22" t="n">
        <f aca="false">IF(AND(ISNUMBER(O30),ISNUMBER(J30)),IFERROR(O30/J30-1,""),"")</f>
        <v>0.109727172410294</v>
      </c>
      <c r="P31" s="22" t="n">
        <f aca="false">IF(AND(ISNUMBER(P30),ISNUMBER(K30)),IFERROR(P30/K30-1,""),"")</f>
        <v>0.0691470984190523</v>
      </c>
      <c r="Q31" s="22" t="n">
        <f aca="false">IF(AND(ISNUMBER(Q30),ISNUMBER(L30)),IFERROR(Q30/L30-1,""),"")</f>
        <v>0.167778400704798</v>
      </c>
      <c r="R31" s="22" t="n">
        <f aca="false">IF(AND(ISNUMBER(R30),ISNUMBER(M30)),IFERROR(R30/M30-1,""),"")</f>
        <v>0.00252368457948604</v>
      </c>
      <c r="S31" s="22" t="n">
        <f aca="false">IF(AND(ISNUMBER(S30),ISNUMBER(N30)),IFERROR(S30/N30-1,""),"")</f>
        <v>0.0839092314153236</v>
      </c>
      <c r="T31" s="22" t="n">
        <f aca="false">IF(AND(ISNUMBER(T30),ISNUMBER(O30)),IFERROR(T30/O30-1,""),"")</f>
        <v>0.0197618067937639</v>
      </c>
      <c r="U31" s="22" t="n">
        <f aca="false">IF(AND(ISNUMBER(U30),ISNUMBER(P30)),IFERROR(U30/P30-1,""),"")</f>
        <v>0.0139735460937587</v>
      </c>
      <c r="V31" s="22" t="n">
        <f aca="false">IF(AND(ISNUMBER(V30),ISNUMBER(Q30)),IFERROR(V30/Q30-1,""),"")</f>
        <v>-0.0474403566354774</v>
      </c>
      <c r="W31" s="22" t="n">
        <f aca="false">IF(AND(ISNUMBER(W30),ISNUMBER(R30)),IFERROR(W30/R30-1,""),"")</f>
        <v>0.134227718618265</v>
      </c>
      <c r="X31" s="22" t="n">
        <f aca="false">IF(AND(ISNUMBER(X30),ISNUMBER(S30)),IFERROR(X30/S30-1,""),"")</f>
        <v>0.0305162834340176</v>
      </c>
      <c r="Y31" s="22" t="n">
        <f aca="false">IF(AND(ISNUMBER(Y30),ISNUMBER(T30)),IFERROR(Y30/T30-1,""),"")</f>
        <v>0.167348494188588</v>
      </c>
      <c r="Z31" s="22" t="n">
        <f aca="false">IF(AND(ISNUMBER(Z30),ISNUMBER(U30)),IFERROR(Z30/U30-1,""),"")</f>
        <v>0.456849277432826</v>
      </c>
      <c r="AA31" s="22" t="n">
        <f aca="false">IF(AND(ISNUMBER(AA30),ISNUMBER(V30)),IFERROR(AA30/V30-1,""),"")</f>
        <v>0.401057362969668</v>
      </c>
      <c r="AB31" s="22" t="n">
        <f aca="false">IF(AND(ISNUMBER(AB30),ISNUMBER(W30)),IFERROR(AB30/W30-1,""),"")</f>
        <v>0.218384224478832</v>
      </c>
      <c r="AC31" s="22" t="n">
        <f aca="false">IF(AND(ISNUMBER(AC30),ISNUMBER(X30)),IFERROR(AC30/X30-1,""),"")</f>
        <v>0.307661222255756</v>
      </c>
      <c r="AD31" s="22" t="n">
        <f aca="false">IF(AND(ISNUMBER(AD30),ISNUMBER(Y30)),IFERROR(AD30/Y30-1,""),"")</f>
        <v>0.211354558721868</v>
      </c>
      <c r="AE31" s="22" t="n">
        <f aca="false">IF(AND(ISNUMBER(AE30),ISNUMBER(Z30)),IFERROR(AE30/Z30-1,""),"")</f>
        <v>0.064895976343859</v>
      </c>
      <c r="AF31" s="22" t="n">
        <f aca="false">IF(AND(ISNUMBER(AF30),ISNUMBER(AA30)),IFERROR(AF30/AA30-1,""),"")</f>
        <v>0.0120764967147524</v>
      </c>
      <c r="AG31" s="22" t="n">
        <f aca="false">IF(AND(ISNUMBER(AG30),ISNUMBER(AB30)),IFERROR(AG30/AB30-1,""),"")</f>
        <v>0.222121021548515</v>
      </c>
      <c r="AH31" s="22" t="n">
        <f aca="false">IF(AND(ISNUMBER(AH30),ISNUMBER(AC30)),IFERROR(AH30/AC30-1,""),"")</f>
        <v>0.123200566430393</v>
      </c>
      <c r="AI31" s="22" t="n">
        <f aca="false">IF(AND(ISNUMBER(AI30),ISNUMBER(AD30)),IFERROR(AI30/AD30-1,""),"")</f>
        <v>0.233765307335632</v>
      </c>
      <c r="AJ31" s="22" t="n">
        <f aca="false">IF(AND(ISNUMBER(AJ30),ISNUMBER(AE30)),IFERROR(AJ30/AE30-1,""),"")</f>
        <v>0.195177411471357</v>
      </c>
      <c r="AK31" s="22" t="n">
        <f aca="false">IF(AND(ISNUMBER(AK30),ISNUMBER(AF30)),IFERROR(AK30/AF30-1,""),"")</f>
        <v>0.351878717539533</v>
      </c>
      <c r="AL31" s="22" t="n">
        <f aca="false">IF(AND(ISNUMBER(AL30),ISNUMBER(AG30)),IFERROR(AL30/AG30-1,""),"")</f>
        <v>0.130185074556241</v>
      </c>
      <c r="AM31" s="22" t="n">
        <f aca="false">IF(AND(ISNUMBER(AM30),ISNUMBER(AH30)),IFERROR(AM30/AH30-1,""),"")</f>
        <v>0.222139410477118</v>
      </c>
      <c r="AN31" s="22" t="n">
        <f aca="false">IF(AND(ISNUMBER(AN30),ISNUMBER(AI30)),IFERROR(AN30/AI30-1,""),"")</f>
        <v>0.184834701717869</v>
      </c>
      <c r="AO31" s="22" t="n">
        <f aca="false">IF(AND(ISNUMBER(AO30),ISNUMBER(AJ30)),IFERROR(AO30/AJ30-1,""),"")</f>
        <v>0.271031637842131</v>
      </c>
      <c r="AP31" s="22" t="n">
        <f aca="false">IF(AND(ISNUMBER(AP30),ISNUMBER(AK30)),IFERROR(AP30/AK30-1,""),"")</f>
        <v>0.159676986639481</v>
      </c>
      <c r="AQ31" s="22" t="n">
        <f aca="false">IF(AND(ISNUMBER(AQ30),ISNUMBER(AL30)),IFERROR(AQ30/AL30-1,""),"")</f>
        <v>0.148819585821423</v>
      </c>
      <c r="AR31" s="22" t="n">
        <f aca="false">IF(AND(ISNUMBER(AR30),ISNUMBER(AM30)),IFERROR(AR30/AM30-1,""),"")</f>
        <v>0.189070810897843</v>
      </c>
      <c r="AS31" s="22" t="n">
        <f aca="false">IF(AND(ISNUMBER(AS30),ISNUMBER(AN30)),IFERROR(AS30/AN30-1,""),"")</f>
        <v>0.130033779936995</v>
      </c>
      <c r="AT31" s="22" t="n">
        <f aca="false">IF(AND(ISNUMBER(AT30),ISNUMBER(AO30)),IFERROR(AT30/AO30-1,""),"")</f>
        <v>0.0210024667639694</v>
      </c>
      <c r="AU31" s="22" t="n">
        <f aca="false">IF(AND(ISNUMBER(AU30),ISNUMBER(AP30)),IFERROR(AU30/AP30-1,""),"")</f>
        <v>-0.0241059737471602</v>
      </c>
      <c r="AV31" s="22" t="n">
        <f aca="false">IF(AND(ISNUMBER(AV30),ISNUMBER(AQ30)),IFERROR(AV30/AQ30-1,""),"")</f>
        <v>0.0783051573255342</v>
      </c>
      <c r="AW31" s="22" t="n">
        <f aca="false">IF(AND(ISNUMBER(AW30),ISNUMBER(AR30)),IFERROR(AW30/AR30-1,""),"")</f>
        <v>0.048488835525007</v>
      </c>
      <c r="AX31" s="22" t="n">
        <f aca="false">IF(AND(ISNUMBER(AX30),ISNUMBER(AS30)),IFERROR(AX30/AS30-1,""),"")</f>
        <v>0.0726401197633522</v>
      </c>
      <c r="AY31" s="22" t="n">
        <f aca="false">IF(AND(ISNUMBER(AY30),ISNUMBER(AT30)),IFERROR(AY30/AT30-1,""),"")</f>
        <v>0.110223561919116</v>
      </c>
      <c r="AZ31" s="22" t="n">
        <f aca="false">IF(AND(ISNUMBER(AZ30),ISNUMBER(AU30)),IFERROR(AZ30/AU30-1,""),"")</f>
        <v>0.135710865308483</v>
      </c>
      <c r="BA31" s="22" t="n">
        <f aca="false">IF(AND(ISNUMBER(BA30),ISNUMBER(AV30)),IFERROR(BA30/AV30-1,""),"")</f>
        <v>0.068803812388573</v>
      </c>
      <c r="BB31" s="22" t="n">
        <f aca="false">IF(AND(ISNUMBER(BB30),ISNUMBER(AW30)),IFERROR(BB30/AW30-1,""),"")</f>
        <v>0.0962105722713595</v>
      </c>
      <c r="BC31" s="22" t="n">
        <f aca="false">IF(AND(ISNUMBER(BC30),ISNUMBER(AX30)),IFERROR(BC30/AX30-1,""),"")</f>
        <v>-0.0054305524491165</v>
      </c>
      <c r="BD31" s="22" t="n">
        <f aca="false">IF(AND(ISNUMBER(BD30),ISNUMBER(AY30)),IFERROR(BD30/AY30-1,""),"")</f>
        <v>-0.023431747220154</v>
      </c>
      <c r="BE31" s="22" t="n">
        <f aca="false">IF(AND(ISNUMBER(BE30),ISNUMBER(AZ30)),IFERROR(BE30/AZ30-1,""),"")</f>
        <v>0.0194537097723582</v>
      </c>
      <c r="BF31" s="22" t="n">
        <f aca="false">IF(AND(ISNUMBER(BF30),ISNUMBER(BA30)),IFERROR(BF30/BA30-1,""),"")</f>
        <v>0.0614851297294734</v>
      </c>
      <c r="BG31" s="22" t="n">
        <f aca="false">IF(AND(ISNUMBER(BG30),ISNUMBER(BB30)),IFERROR(BG30/BB30-1,""),"")</f>
        <v>0.0138713679535432</v>
      </c>
      <c r="BH31" s="22" t="n">
        <f aca="false">IF(AND(ISNUMBER(BH30),ISNUMBER(BC30)),IFERROR(BH30/BC30-1,""),"")</f>
        <v>0.147178144789867</v>
      </c>
      <c r="BI31" s="22" t="n">
        <f aca="false">IF(AND(ISNUMBER(BI30),ISNUMBER(BD30)),IFERROR(BI30/BD30-1,""),"")</f>
        <v>0.271136891146748</v>
      </c>
      <c r="BJ31" s="22" t="n">
        <f aca="false">IF(AND(ISNUMBER(BJ30),ISNUMBER(BE30)),IFERROR(BJ30/BE30-1,""),"")</f>
        <v>0.334410306179695</v>
      </c>
      <c r="BK31" s="22" t="n">
        <f aca="false">IF(AND(ISNUMBER(BK30),ISNUMBER(BF30)),IFERROR(BK30/BF30-1,""),"")</f>
        <v>0.275538740536897</v>
      </c>
      <c r="BL31" s="22" t="n">
        <f aca="false">IF(AND(ISNUMBER(BL30),ISNUMBER(BG30)),IFERROR(BL30/BG30-1,""),"")</f>
        <v>0.259900768657292</v>
      </c>
      <c r="BM31" s="22" t="n">
        <f aca="false">IF(AND(ISNUMBER(BM30),ISNUMBER(BH30)),IFERROR(BM30/BH30-1,""),"")</f>
        <v>0.121081788919426</v>
      </c>
      <c r="BN31" s="22" t="n">
        <f aca="false">IF(AND(ISNUMBER(BN30),ISNUMBER(BI30)),IFERROR(BN30/BI30-1,""),"")</f>
        <v>0.0582020751659436</v>
      </c>
      <c r="BO31" s="22" t="n">
        <f aca="false">IF(AND(ISNUMBER(BO30),ISNUMBER(BJ30)),IFERROR(BO30/BJ30-1,""),"")</f>
        <v>-0.0114709375297284</v>
      </c>
      <c r="BP31" s="22" t="n">
        <f aca="false">IF(AND(ISNUMBER(BP30),ISNUMBER(BK30)),IFERROR(BP30/BK30-1,""),"")</f>
        <v>-0.0184038512627832</v>
      </c>
      <c r="BQ31" s="22" t="n">
        <f aca="false">IF(AND(ISNUMBER(BQ30),ISNUMBER(BL30)),IFERROR(BQ30/BL30-1,""),"")</f>
        <v>0.0313445236863197</v>
      </c>
      <c r="BR31" s="22" t="n">
        <f aca="false">IF(AND(ISNUMBER(BR30),ISNUMBER(BM30)),IFERROR(BR30/BM30-1,""),"")</f>
        <v>0.155181820089389</v>
      </c>
      <c r="BS31" s="22" t="n">
        <f aca="false">IF(AND(ISNUMBER(BS30),ISNUMBER(BN30)),IFERROR(BS30/BN30-1,""),"")</f>
        <v>0.0715422050469432</v>
      </c>
      <c r="BT31" s="22" t="n">
        <f aca="false">IF(AND(ISNUMBER(BT30),ISNUMBER(BO30)),IFERROR(BT30/BO30-1,""),"")</f>
        <v>0.104722021302025</v>
      </c>
      <c r="BU31" s="22" t="n">
        <f aca="false">IF(AND(ISNUMBER(BU30),ISNUMBER(BP30)),IFERROR(BU30/BP30-1,""),"")</f>
        <v>0.144370124288812</v>
      </c>
      <c r="BV31" s="22" t="n">
        <f aca="false">IF(AND(ISNUMBER(BV30),ISNUMBER(BQ30)),IFERROR(BV30/BQ30-1,""),"")</f>
        <v>0.118305574592482</v>
      </c>
      <c r="BW31" s="22" t="n">
        <f aca="false">IF(AND(ISNUMBER(BW30),ISNUMBER(BR30)),IFERROR(BW30/BR30-1,""),"")</f>
        <v>0.122186397832372</v>
      </c>
      <c r="BX31" s="22" t="n">
        <f aca="false">IF(AND(ISNUMBER(BX30),ISNUMBER(BS30)),IFERROR(BX30/BS30-1,""),"")</f>
        <v>0.343005023862617</v>
      </c>
      <c r="BY31" s="22" t="n">
        <f aca="false">IF(AND(ISNUMBER(BY30),ISNUMBER(BT30)),IFERROR(BY30/BT30-1,""),"")</f>
        <v>0.358632395050905</v>
      </c>
      <c r="BZ31" s="23" t="n">
        <f aca="false">BZ32+BZ33+BZ82</f>
        <v>0.32</v>
      </c>
      <c r="CA31" s="23" t="n">
        <f aca="false">IF(AND(ISNUMBER(CA30),ISNUMBER(BV30)),IFERROR(CA30/BV30-1,""),"")</f>
        <v>0.289060377038044</v>
      </c>
      <c r="CB31" s="23" t="n">
        <f aca="false">CB32+CB33</f>
        <v>0.14</v>
      </c>
      <c r="CC31" s="23" t="n">
        <f aca="false">CC32+CC33</f>
        <v>0.07</v>
      </c>
      <c r="CD31" s="23" t="n">
        <f aca="false">CD32+CD33</f>
        <v>0.065</v>
      </c>
      <c r="CE31" s="23" t="n">
        <f aca="false">CE32+CE33</f>
        <v>0.065</v>
      </c>
      <c r="CF31" s="19" t="s">
        <v>93</v>
      </c>
      <c r="CN31" s="15" t="s">
        <v>131</v>
      </c>
      <c r="CO31" s="37" t="n">
        <v>0.03</v>
      </c>
      <c r="CP31" s="15" t="s">
        <v>113</v>
      </c>
      <c r="CQ31" s="37" t="n">
        <v>-0.03</v>
      </c>
      <c r="CR31" s="13" t="s">
        <v>132</v>
      </c>
    </row>
    <row r="32" customFormat="false" ht="15" hidden="false" customHeight="true" outlineLevel="0" collapsed="false">
      <c r="B32" s="26" t="s">
        <v>133</v>
      </c>
      <c r="C32" s="27" t="n">
        <v>0.08</v>
      </c>
      <c r="D32" s="27" t="n">
        <v>0.05</v>
      </c>
      <c r="E32" s="27" t="n">
        <v>0.09</v>
      </c>
      <c r="G32" s="27" t="n">
        <v>0.12</v>
      </c>
      <c r="H32" s="27" t="n">
        <v>0.1</v>
      </c>
      <c r="I32" s="27" t="n">
        <v>0.07</v>
      </c>
      <c r="K32" s="27" t="n">
        <v>0.09</v>
      </c>
      <c r="L32" s="27" t="n">
        <v>0.01</v>
      </c>
      <c r="M32" s="27" t="n">
        <v>0.02</v>
      </c>
      <c r="N32" s="27" t="n">
        <v>0.03</v>
      </c>
      <c r="O32" s="27" t="n">
        <v>0.01</v>
      </c>
      <c r="P32" s="27" t="n">
        <v>0.02</v>
      </c>
      <c r="Q32" s="27" t="n">
        <v>0.09</v>
      </c>
      <c r="S32" s="27" t="n">
        <v>0.02</v>
      </c>
      <c r="T32" s="27" t="n">
        <v>0.02</v>
      </c>
      <c r="U32" s="27" t="n">
        <v>0.01</v>
      </c>
      <c r="W32" s="27" t="n">
        <v>0.05</v>
      </c>
      <c r="X32" s="27" t="n">
        <v>0.01</v>
      </c>
      <c r="Y32" s="27" t="n">
        <v>0.04</v>
      </c>
      <c r="Z32" s="27" t="n">
        <v>0.12</v>
      </c>
      <c r="AA32" s="27" t="n">
        <v>0.01</v>
      </c>
      <c r="AC32" s="27" t="n">
        <v>0.04</v>
      </c>
      <c r="AD32" s="27" t="n">
        <v>0.08</v>
      </c>
      <c r="AE32" s="27" t="n">
        <v>0.05</v>
      </c>
      <c r="AG32" s="27" t="n">
        <v>0.14</v>
      </c>
      <c r="AH32" s="27" t="n">
        <v>0.07</v>
      </c>
      <c r="AI32" s="27" t="n">
        <v>0.06</v>
      </c>
      <c r="AK32" s="27" t="n">
        <v>0.16</v>
      </c>
      <c r="AL32" s="27" t="n">
        <v>0.03</v>
      </c>
      <c r="AM32" s="27" t="n">
        <v>0.06</v>
      </c>
      <c r="AN32" s="27" t="n">
        <v>0.12</v>
      </c>
      <c r="AO32" s="27" t="n">
        <v>0.2</v>
      </c>
      <c r="AP32" s="27" t="n">
        <v>0.07</v>
      </c>
      <c r="AQ32" s="27" t="n">
        <v>0.04</v>
      </c>
      <c r="AR32" s="27" t="n">
        <v>0.1</v>
      </c>
      <c r="AS32" s="27" t="n">
        <v>0.06</v>
      </c>
      <c r="AT32" s="27" t="n">
        <v>-0.02</v>
      </c>
      <c r="AU32" s="27" t="n">
        <v>-0.06</v>
      </c>
      <c r="AW32" s="27" t="n">
        <v>-0.01</v>
      </c>
      <c r="AY32" s="27" t="n">
        <v>0.03</v>
      </c>
      <c r="AZ32" s="27" t="n">
        <v>0.05</v>
      </c>
      <c r="BA32" s="27" t="n">
        <v>0.05</v>
      </c>
      <c r="BB32" s="27" t="n">
        <v>0.03</v>
      </c>
      <c r="BE32" s="27" t="n">
        <v>0.01</v>
      </c>
      <c r="BH32" s="27" t="n">
        <v>0</v>
      </c>
      <c r="BJ32" s="27" t="n">
        <v>0.02</v>
      </c>
      <c r="BK32" s="27" t="n">
        <v>0.06</v>
      </c>
      <c r="BL32" s="27" t="n">
        <v>0.01</v>
      </c>
      <c r="BN32" s="27" t="n">
        <v>0.04</v>
      </c>
      <c r="BR32" s="27" t="n">
        <v>0.11</v>
      </c>
      <c r="BS32" s="27" t="n">
        <v>0.04</v>
      </c>
      <c r="BT32" s="27" t="n">
        <v>0.07</v>
      </c>
      <c r="BU32" s="27" t="n">
        <v>0.07</v>
      </c>
      <c r="BV32" s="27" t="n">
        <v>0.07</v>
      </c>
      <c r="BW32" s="27" t="n">
        <v>0.06</v>
      </c>
      <c r="BX32" s="27" t="n">
        <v>0.17</v>
      </c>
      <c r="BY32" s="27" t="n">
        <v>0.18</v>
      </c>
      <c r="BZ32" s="28" t="n">
        <v>0.14</v>
      </c>
      <c r="CB32" s="23" t="n">
        <f aca="false">CHOOSE(MATCH($CF$2,{"Bull","Base","Bear"},0),$CO$32,$CP$32,$CQ$32)</f>
        <v>0.08</v>
      </c>
      <c r="CC32" s="23" t="n">
        <f aca="false">CHOOSE(MATCH($CF$2,{"Bull","Base","Bear"},0),$CO$33,$CP$33,$CQ$33)</f>
        <v>0.07</v>
      </c>
      <c r="CD32" s="23" t="n">
        <f aca="false">CHOOSE(MATCH($CF$2,{"Bull","Base","Bear"},0),$CO$34,$CP$34,$CQ$34)</f>
        <v>0.065</v>
      </c>
      <c r="CE32" s="23" t="n">
        <f aca="false">CHOOSE(MATCH($CF$2,{"Bull","Base","Bear"},0),$CO$35,$CP$35,$CQ$35)</f>
        <v>0.065</v>
      </c>
      <c r="CF32" s="19" t="s">
        <v>134</v>
      </c>
      <c r="CN32" s="24" t="s">
        <v>116</v>
      </c>
      <c r="CO32" s="38" t="n">
        <f aca="false">CP32+$CO$31</f>
        <v>0.11</v>
      </c>
      <c r="CP32" s="39" t="n">
        <v>0.08</v>
      </c>
      <c r="CQ32" s="38" t="n">
        <f aca="false">CP32+$CQ$31</f>
        <v>0.05</v>
      </c>
    </row>
    <row r="33" customFormat="false" ht="15" hidden="false" customHeight="true" outlineLevel="0" collapsed="false">
      <c r="B33" s="29" t="s">
        <v>99</v>
      </c>
      <c r="C33" s="30" t="str">
        <f aca="false">IF(AND(ISNUMBER(C31),ISNUMBER(C32)),C31-C32,"")</f>
        <v/>
      </c>
      <c r="D33" s="30" t="n">
        <f aca="false">IF(AND(ISNUMBER(D31),ISNUMBER(D32)),D31-D32,"")</f>
        <v>0.0283682979629807</v>
      </c>
      <c r="E33" s="30" t="n">
        <f aca="false">IF(AND(ISNUMBER(E31),ISNUMBER(E32)),E31-E32,"")</f>
        <v>0.0874418510904181</v>
      </c>
      <c r="F33" s="30" t="str">
        <f aca="false">IF(AND(ISNUMBER(F31),ISNUMBER(F32)),F31-F32,"")</f>
        <v/>
      </c>
      <c r="G33" s="30" t="n">
        <f aca="false">IF(AND(ISNUMBER(G31),ISNUMBER(G32)),G31-G32,"")</f>
        <v>0.314366542979103</v>
      </c>
      <c r="H33" s="30" t="n">
        <f aca="false">IF(AND(ISNUMBER(H31),ISNUMBER(H32)),H31-H32,"")</f>
        <v>0.00757702481910835</v>
      </c>
      <c r="I33" s="30" t="n">
        <f aca="false">IF(AND(ISNUMBER(I31),ISNUMBER(I32)),I31-I32,"")</f>
        <v>0.385839417660721</v>
      </c>
      <c r="J33" s="30" t="str">
        <f aca="false">IF(AND(ISNUMBER(J31),ISNUMBER(J32)),J31-J32,"")</f>
        <v/>
      </c>
      <c r="K33" s="30" t="str">
        <f aca="false">IF(AND(ISNUMBER(K31),ISNUMBER(K32)),K31-K32,"")</f>
        <v/>
      </c>
      <c r="L33" s="30" t="str">
        <f aca="false">IF(AND(ISNUMBER(L31),ISNUMBER(L32)),L31-L32,"")</f>
        <v/>
      </c>
      <c r="M33" s="30" t="str">
        <f aca="false">IF(AND(ISNUMBER(M31),ISNUMBER(M32)),M31-M32,"")</f>
        <v/>
      </c>
      <c r="N33" s="30" t="n">
        <f aca="false">IF(AND(ISNUMBER(N31),ISNUMBER(N32)),N31-N32,"")</f>
        <v>0.0255944245743341</v>
      </c>
      <c r="O33" s="30" t="n">
        <f aca="false">IF(AND(ISNUMBER(O31),ISNUMBER(O32)),O31-O32,"")</f>
        <v>0.0997271724102942</v>
      </c>
      <c r="P33" s="30" t="n">
        <f aca="false">IF(AND(ISNUMBER(P31),ISNUMBER(P32)),P31-P32,"")</f>
        <v>0.0491470984190523</v>
      </c>
      <c r="Q33" s="30" t="n">
        <f aca="false">IF(AND(ISNUMBER(Q31),ISNUMBER(Q32)),Q31-Q32,"")</f>
        <v>0.0777784007047976</v>
      </c>
      <c r="R33" s="30" t="str">
        <f aca="false">IF(AND(ISNUMBER(R31),ISNUMBER(R32)),R31-R32,"")</f>
        <v/>
      </c>
      <c r="S33" s="30" t="n">
        <f aca="false">IF(AND(ISNUMBER(S31),ISNUMBER(S32)),S31-S32,"")</f>
        <v>0.0639092314153236</v>
      </c>
      <c r="T33" s="30" t="n">
        <f aca="false">IF(AND(ISNUMBER(T31),ISNUMBER(T32)),T31-T32,"")</f>
        <v>-0.000238193206236064</v>
      </c>
      <c r="U33" s="30" t="n">
        <f aca="false">IF(AND(ISNUMBER(U31),ISNUMBER(U32)),U31-U32,"")</f>
        <v>0.00397354609375867</v>
      </c>
      <c r="V33" s="30" t="str">
        <f aca="false">IF(AND(ISNUMBER(V31),ISNUMBER(V32)),V31-V32,"")</f>
        <v/>
      </c>
      <c r="W33" s="30" t="n">
        <f aca="false">IF(AND(ISNUMBER(W31),ISNUMBER(W32)),W31-W32,"")</f>
        <v>0.0842277186182648</v>
      </c>
      <c r="X33" s="30" t="n">
        <f aca="false">IF(AND(ISNUMBER(X31),ISNUMBER(X32)),X31-X32,"")</f>
        <v>0.0205162834340176</v>
      </c>
      <c r="Y33" s="30" t="n">
        <f aca="false">IF(AND(ISNUMBER(Y31),ISNUMBER(Y32)),Y31-Y32,"")</f>
        <v>0.127348494188588</v>
      </c>
      <c r="Z33" s="30" t="n">
        <f aca="false">IF(AND(ISNUMBER(Z31),ISNUMBER(Z32)),Z31-Z32,"")</f>
        <v>0.336849277432826</v>
      </c>
      <c r="AA33" s="30" t="n">
        <f aca="false">IF(AND(ISNUMBER(AA31),ISNUMBER(AA32)),AA31-AA32,"")</f>
        <v>0.391057362969668</v>
      </c>
      <c r="AB33" s="30" t="str">
        <f aca="false">IF(AND(ISNUMBER(AB31),ISNUMBER(AB32)),AB31-AB32,"")</f>
        <v/>
      </c>
      <c r="AC33" s="30" t="n">
        <f aca="false">IF(AND(ISNUMBER(AC31),ISNUMBER(AC32)),AC31-AC32,"")</f>
        <v>0.267661222255756</v>
      </c>
      <c r="AD33" s="30" t="n">
        <f aca="false">IF(AND(ISNUMBER(AD31),ISNUMBER(AD32)),AD31-AD32,"")</f>
        <v>0.131354558721868</v>
      </c>
      <c r="AE33" s="30" t="n">
        <f aca="false">IF(AND(ISNUMBER(AE31),ISNUMBER(AE32)),AE31-AE32,"")</f>
        <v>0.014895976343859</v>
      </c>
      <c r="AF33" s="30" t="str">
        <f aca="false">IF(AND(ISNUMBER(AF31),ISNUMBER(AF32)),AF31-AF32,"")</f>
        <v/>
      </c>
      <c r="AG33" s="30" t="n">
        <f aca="false">IF(AND(ISNUMBER(AG31),ISNUMBER(AG32)),AG31-AG32,"")</f>
        <v>0.082121021548515</v>
      </c>
      <c r="AH33" s="30" t="n">
        <f aca="false">IF(AND(ISNUMBER(AH31),ISNUMBER(AH32)),AH31-AH32,"")</f>
        <v>0.0532005664303932</v>
      </c>
      <c r="AI33" s="30" t="n">
        <f aca="false">IF(AND(ISNUMBER(AI31),ISNUMBER(AI32)),AI31-AI32,"")</f>
        <v>0.173765307335632</v>
      </c>
      <c r="AJ33" s="30" t="str">
        <f aca="false">IF(AND(ISNUMBER(AJ31),ISNUMBER(AJ32)),AJ31-AJ32,"")</f>
        <v/>
      </c>
      <c r="AK33" s="30" t="n">
        <f aca="false">IF(AND(ISNUMBER(AK31),ISNUMBER(AK32)),AK31-AK32,"")</f>
        <v>0.191878717539533</v>
      </c>
      <c r="AL33" s="30" t="n">
        <f aca="false">IF(AND(ISNUMBER(AL31),ISNUMBER(AL32)),AL31-AL32,"")</f>
        <v>0.100185074556241</v>
      </c>
      <c r="AM33" s="30" t="n">
        <f aca="false">IF(AND(ISNUMBER(AM31),ISNUMBER(AM32)),AM31-AM32,"")</f>
        <v>0.162139410477118</v>
      </c>
      <c r="AN33" s="30" t="n">
        <f aca="false">IF(AND(ISNUMBER(AN31),ISNUMBER(AN32)),AN31-AN32,"")</f>
        <v>0.0648347017178689</v>
      </c>
      <c r="AO33" s="30" t="n">
        <f aca="false">IF(AND(ISNUMBER(AO31),ISNUMBER(AO32)),AO31-AO32,"")</f>
        <v>0.0710316378421307</v>
      </c>
      <c r="AP33" s="30" t="n">
        <f aca="false">IF(AND(ISNUMBER(AP31),ISNUMBER(AP32)),AP31-AP32,"")</f>
        <v>0.0896769866394805</v>
      </c>
      <c r="AQ33" s="30" t="n">
        <f aca="false">IF(AND(ISNUMBER(AQ31),ISNUMBER(AQ32)),AQ31-AQ32,"")</f>
        <v>0.108819585821423</v>
      </c>
      <c r="AR33" s="30" t="n">
        <f aca="false">IF(AND(ISNUMBER(AR31),ISNUMBER(AR32)),AR31-AR32,"")</f>
        <v>0.0890708108978425</v>
      </c>
      <c r="AS33" s="30" t="n">
        <f aca="false">IF(AND(ISNUMBER(AS31),ISNUMBER(AS32)),AS31-AS32,"")</f>
        <v>0.0700337799369946</v>
      </c>
      <c r="AT33" s="30" t="n">
        <f aca="false">IF(AND(ISNUMBER(AT31),ISNUMBER(AT32)),AT31-AT32,"")</f>
        <v>0.0410024667639694</v>
      </c>
      <c r="AU33" s="30" t="n">
        <f aca="false">IF(AND(ISNUMBER(AU31),ISNUMBER(AU32)),AU31-AU32,"")</f>
        <v>0.0358940262528398</v>
      </c>
      <c r="AV33" s="30" t="str">
        <f aca="false">IF(AND(ISNUMBER(AV31),ISNUMBER(AV32)),AV31-AV32,"")</f>
        <v/>
      </c>
      <c r="AW33" s="30" t="n">
        <f aca="false">IF(AND(ISNUMBER(AW31),ISNUMBER(AW32)),AW31-AW32,"")</f>
        <v>0.0584888355250071</v>
      </c>
      <c r="AX33" s="30" t="str">
        <f aca="false">IF(AND(ISNUMBER(AX31),ISNUMBER(AX32)),AX31-AX32,"")</f>
        <v/>
      </c>
      <c r="AY33" s="30" t="n">
        <f aca="false">IF(AND(ISNUMBER(AY31),ISNUMBER(AY32)),AY31-AY32,"")</f>
        <v>0.0802235619191156</v>
      </c>
      <c r="AZ33" s="30" t="n">
        <f aca="false">IF(AND(ISNUMBER(AZ31),ISNUMBER(AZ32)),AZ31-AZ32,"")</f>
        <v>0.0857108653084833</v>
      </c>
      <c r="BA33" s="30" t="n">
        <f aca="false">IF(AND(ISNUMBER(BA31),ISNUMBER(BA32)),BA31-BA32,"")</f>
        <v>0.018803812388573</v>
      </c>
      <c r="BB33" s="30" t="n">
        <f aca="false">IF(AND(ISNUMBER(BB31),ISNUMBER(BB32)),BB31-BB32,"")</f>
        <v>0.0662105722713595</v>
      </c>
      <c r="BC33" s="30" t="str">
        <f aca="false">IF(AND(ISNUMBER(BC31),ISNUMBER(BC32)),BC31-BC32,"")</f>
        <v/>
      </c>
      <c r="BD33" s="30" t="str">
        <f aca="false">IF(AND(ISNUMBER(BD31),ISNUMBER(BD32)),BD31-BD32,"")</f>
        <v/>
      </c>
      <c r="BE33" s="30" t="n">
        <f aca="false">IF(AND(ISNUMBER(BE31),ISNUMBER(BE32)),BE31-BE32,"")</f>
        <v>0.00945370977235816</v>
      </c>
      <c r="BF33" s="30" t="str">
        <f aca="false">IF(AND(ISNUMBER(BF31),ISNUMBER(BF32)),BF31-BF32,"")</f>
        <v/>
      </c>
      <c r="BG33" s="30" t="str">
        <f aca="false">IF(AND(ISNUMBER(BG31),ISNUMBER(BG32)),BG31-BG32,"")</f>
        <v/>
      </c>
      <c r="BH33" s="30" t="n">
        <f aca="false">IF(AND(ISNUMBER(BH31),ISNUMBER(BH32)),BH31-BH32,"")</f>
        <v>0.147178144789867</v>
      </c>
      <c r="BI33" s="30" t="str">
        <f aca="false">IF(AND(ISNUMBER(BI31),ISNUMBER(BI32)),BI31-BI32,"")</f>
        <v/>
      </c>
      <c r="BJ33" s="30" t="n">
        <f aca="false">IF(AND(ISNUMBER(BJ31),ISNUMBER(BJ32)),BJ31-BJ32,"")</f>
        <v>0.314410306179695</v>
      </c>
      <c r="BK33" s="30" t="n">
        <f aca="false">IF(AND(ISNUMBER(BK31),ISNUMBER(BK32)),BK31-BK32,"")</f>
        <v>0.215538740536897</v>
      </c>
      <c r="BL33" s="30" t="n">
        <f aca="false">IF(AND(ISNUMBER(BL31),ISNUMBER(BL32)),BL31-BL32,"")</f>
        <v>0.249900768657292</v>
      </c>
      <c r="BM33" s="30" t="str">
        <f aca="false">IF(AND(ISNUMBER(BM31),ISNUMBER(BM32)),BM31-BM32,"")</f>
        <v/>
      </c>
      <c r="BN33" s="30" t="n">
        <f aca="false">IF(AND(ISNUMBER(BN31),ISNUMBER(BN32)),BN31-BN32,"")</f>
        <v>0.0182020751659436</v>
      </c>
      <c r="BO33" s="30" t="str">
        <f aca="false">IF(AND(ISNUMBER(BO31),ISNUMBER(BO32)),BO31-BO32,"")</f>
        <v/>
      </c>
      <c r="BP33" s="30" t="str">
        <f aca="false">IF(AND(ISNUMBER(BP31),ISNUMBER(BP32)),BP31-BP32,"")</f>
        <v/>
      </c>
      <c r="BQ33" s="30" t="str">
        <f aca="false">IF(AND(ISNUMBER(BQ31),ISNUMBER(BQ32)),BQ31-BQ32,"")</f>
        <v/>
      </c>
      <c r="BR33" s="30" t="n">
        <f aca="false">IF(AND(ISNUMBER(BR31),ISNUMBER(BR32)),BR31-BR32,"")</f>
        <v>0.0451818200893886</v>
      </c>
      <c r="BS33" s="30" t="n">
        <f aca="false">IF(AND(ISNUMBER(BS31),ISNUMBER(BS32)),BS31-BS32,"")</f>
        <v>0.0315422050469432</v>
      </c>
      <c r="BT33" s="30" t="n">
        <f aca="false">IF(AND(ISNUMBER(BT31),ISNUMBER(BT32)),BT31-BT32,"")</f>
        <v>0.0347220213020248</v>
      </c>
      <c r="BU33" s="30" t="n">
        <f aca="false">IF(AND(ISNUMBER(BU31),ISNUMBER(BU32)),BU31-BU32,"")</f>
        <v>0.0743701242888116</v>
      </c>
      <c r="BV33" s="30" t="n">
        <f aca="false">IF(AND(ISNUMBER(BV31),ISNUMBER(BV32)),BV31-BV32,"")</f>
        <v>0.0483055745924821</v>
      </c>
      <c r="BW33" s="30" t="n">
        <f aca="false">IF(AND(ISNUMBER(BW31),ISNUMBER(BW32)),BW31-BW32,"")</f>
        <v>0.0621863978323721</v>
      </c>
      <c r="BX33" s="30" t="n">
        <f aca="false">IF(AND(ISNUMBER(BX31),ISNUMBER(BX32)),BX31-BX32,"")</f>
        <v>0.173005023862617</v>
      </c>
      <c r="BY33" s="30" t="n">
        <f aca="false">IF(AND(ISNUMBER(BY31),ISNUMBER(BY32)),BY31-BY32,"")</f>
        <v>0.178632395050905</v>
      </c>
      <c r="BZ33" s="31" t="n">
        <v>0.18</v>
      </c>
      <c r="CB33" s="31" t="n">
        <v>0.06</v>
      </c>
      <c r="CC33" s="31" t="n">
        <v>0</v>
      </c>
      <c r="CD33" s="31" t="n">
        <v>0</v>
      </c>
      <c r="CE33" s="31" t="n">
        <v>0</v>
      </c>
      <c r="CF33" s="19" t="s">
        <v>135</v>
      </c>
      <c r="CN33" s="24" t="s">
        <v>118</v>
      </c>
      <c r="CO33" s="38" t="n">
        <f aca="false">CP33+$CO$31</f>
        <v>0.1</v>
      </c>
      <c r="CP33" s="39" t="n">
        <v>0.07</v>
      </c>
      <c r="CQ33" s="38" t="n">
        <f aca="false">CP33+$CQ$31</f>
        <v>0.04</v>
      </c>
    </row>
    <row r="34" customFormat="false" ht="15" hidden="false" customHeight="true" outlineLevel="0" collapsed="false">
      <c r="B34" s="16" t="s">
        <v>101</v>
      </c>
      <c r="C34" s="17" t="n">
        <v>34.026</v>
      </c>
      <c r="D34" s="17" t="n">
        <v>33.87</v>
      </c>
      <c r="E34" s="17" t="n">
        <v>38.775</v>
      </c>
      <c r="F34" s="17" t="n">
        <v>39.981</v>
      </c>
      <c r="G34" s="17" t="n">
        <v>56.126</v>
      </c>
      <c r="H34" s="17" t="n">
        <v>59.465</v>
      </c>
      <c r="I34" s="17" t="n">
        <v>77.438</v>
      </c>
      <c r="J34" s="17" t="n">
        <v>15.546</v>
      </c>
      <c r="K34" s="17" t="n">
        <v>20.249</v>
      </c>
      <c r="L34" s="17" t="n">
        <v>21.516</v>
      </c>
      <c r="M34" s="17" t="n">
        <v>25.752</v>
      </c>
      <c r="N34" s="17" t="n">
        <v>83.063</v>
      </c>
      <c r="O34" s="17" t="n">
        <v>22.904</v>
      </c>
      <c r="P34" s="17" t="n">
        <v>18.136</v>
      </c>
      <c r="Q34" s="17" t="n">
        <v>21.455</v>
      </c>
      <c r="R34" s="17" t="n">
        <v>26.419</v>
      </c>
      <c r="S34" s="17" t="n">
        <v>88.914</v>
      </c>
      <c r="T34" s="17" t="n">
        <v>19.418</v>
      </c>
      <c r="U34" s="17" t="n">
        <v>22.206</v>
      </c>
      <c r="V34" s="17" t="n">
        <v>24.372</v>
      </c>
      <c r="W34" s="17" t="n">
        <v>32.837</v>
      </c>
      <c r="X34" s="17" t="n">
        <v>98.833</v>
      </c>
      <c r="Y34" s="17" t="n">
        <v>22.269</v>
      </c>
      <c r="Z34" s="17" t="n">
        <v>33.402</v>
      </c>
      <c r="AA34" s="17" t="n">
        <v>33.609</v>
      </c>
      <c r="AB34" s="17" t="n">
        <v>36.751</v>
      </c>
      <c r="AC34" s="17" t="n">
        <v>126.031</v>
      </c>
      <c r="AD34" s="17" t="n">
        <v>29.084</v>
      </c>
      <c r="AE34" s="17" t="n">
        <v>38.826</v>
      </c>
      <c r="AF34" s="17" t="n">
        <v>38.543</v>
      </c>
      <c r="AG34" s="17" t="n">
        <v>50.998</v>
      </c>
      <c r="AH34" s="17" t="n">
        <v>157.451</v>
      </c>
      <c r="AI34" s="17" t="n">
        <v>43.22</v>
      </c>
      <c r="AJ34" s="17" t="n">
        <v>48.13</v>
      </c>
      <c r="AK34" s="17" t="n">
        <v>56.021</v>
      </c>
      <c r="AL34" s="17" t="n">
        <v>57.137</v>
      </c>
      <c r="AM34" s="17" t="n">
        <v>204.508</v>
      </c>
      <c r="AN34" s="17" t="n">
        <v>51.602</v>
      </c>
      <c r="AO34" s="17" t="n">
        <v>67.352</v>
      </c>
      <c r="AP34" s="17" t="n">
        <v>62.206</v>
      </c>
      <c r="AQ34" s="17" t="n">
        <v>64.583</v>
      </c>
      <c r="AR34" s="17" t="n">
        <v>245.743</v>
      </c>
      <c r="AS34" s="17" t="n">
        <v>57.491</v>
      </c>
      <c r="AT34" s="17" t="n">
        <v>65.526</v>
      </c>
      <c r="AU34" s="17" t="n">
        <v>61.931</v>
      </c>
      <c r="AV34" s="17" t="n">
        <v>73.866</v>
      </c>
      <c r="AW34" s="17" t="n">
        <v>258.814</v>
      </c>
      <c r="AX34" s="17" t="n">
        <v>60.128</v>
      </c>
      <c r="AY34" s="17" t="n">
        <v>71.294</v>
      </c>
      <c r="AZ34" s="17" t="n">
        <v>68.997</v>
      </c>
      <c r="BA34" s="17" t="n">
        <v>76.887</v>
      </c>
      <c r="BB34" s="17" t="n">
        <v>277.306</v>
      </c>
      <c r="BC34" s="17" t="n">
        <v>55.588</v>
      </c>
      <c r="BD34" s="17" t="n">
        <v>65.988</v>
      </c>
      <c r="BE34" s="17" t="n">
        <v>68.029</v>
      </c>
      <c r="BF34" s="17" t="n">
        <v>79.868</v>
      </c>
      <c r="BG34" s="17" t="n">
        <v>269.473</v>
      </c>
      <c r="BH34" s="17" t="n">
        <v>56.537</v>
      </c>
      <c r="BI34" s="17" t="n">
        <v>67.979</v>
      </c>
      <c r="BJ34" s="17" t="n">
        <v>74.157</v>
      </c>
      <c r="BK34" s="17" t="n">
        <v>86.38</v>
      </c>
      <c r="BL34" s="17" t="n">
        <v>285.053</v>
      </c>
      <c r="BM34" s="17" t="n">
        <v>55.328</v>
      </c>
      <c r="BN34" s="17" t="n">
        <v>75.263</v>
      </c>
      <c r="BO34" s="17" t="n">
        <v>75.788</v>
      </c>
      <c r="BP34" s="17" t="n">
        <v>81.814</v>
      </c>
      <c r="BQ34" s="17" t="n">
        <v>288.193</v>
      </c>
      <c r="BR34" s="17" t="n">
        <v>76.456</v>
      </c>
      <c r="BS34" s="17" t="n">
        <v>77.88</v>
      </c>
      <c r="BT34" s="17" t="n">
        <v>80.998</v>
      </c>
      <c r="BU34" s="17" t="n">
        <v>89.618</v>
      </c>
      <c r="BV34" s="17" t="n">
        <v>324.952</v>
      </c>
      <c r="BW34" s="17" t="n">
        <v>73.246</v>
      </c>
      <c r="BX34" s="17" t="n">
        <v>121.809</v>
      </c>
      <c r="BY34" s="17" t="n">
        <v>125.565</v>
      </c>
      <c r="BZ34" s="18" t="n">
        <f aca="false">BZ30*BZ36</f>
        <v>126.022263522198</v>
      </c>
      <c r="CA34" s="18" t="n">
        <f aca="false">SUM(BW34,BX34,BY34,BZ34)</f>
        <v>446.642263522198</v>
      </c>
      <c r="CB34" s="18" t="n">
        <f aca="false">CB30*CB36</f>
        <v>519.155145</v>
      </c>
      <c r="CC34" s="18" t="n">
        <f aca="false">CC30*CC36</f>
        <v>566.605925253</v>
      </c>
      <c r="CD34" s="18" t="n">
        <f aca="false">CD30*CD36</f>
        <v>603.435310394445</v>
      </c>
      <c r="CE34" s="18" t="n">
        <f aca="false">CE30*CE36</f>
        <v>642.658605570084</v>
      </c>
      <c r="CH34" s="20" t="n">
        <f aca="false">IFERROR((CE34/BV34)^(1/5)-1,"n/m")</f>
        <v>0.146125625135608</v>
      </c>
      <c r="CI34" s="20" t="n">
        <f aca="false">IFERROR((BV34/AW34)^(1/5)-1,"n/m")</f>
        <v>0.0465652005726196</v>
      </c>
      <c r="CJ34" s="20" t="n">
        <f aca="false">IFERROR((BV34/X34)^(1/10)-1,"n/m")</f>
        <v>0.126397618546839</v>
      </c>
      <c r="CK34" s="20" t="n">
        <f aca="false">IFERROR((BV34/C34)^(1/19)-1,"n/m")</f>
        <v>0.126106292081088</v>
      </c>
      <c r="CN34" s="24" t="s">
        <v>120</v>
      </c>
      <c r="CO34" s="38" t="n">
        <f aca="false">CP34+$CO$31</f>
        <v>0.095</v>
      </c>
      <c r="CP34" s="39" t="n">
        <v>0.065</v>
      </c>
      <c r="CQ34" s="38" t="n">
        <f aca="false">CP34+$CQ$31</f>
        <v>0.035</v>
      </c>
    </row>
    <row r="35" customFormat="false" ht="15" hidden="false" customHeight="true" outlineLevel="0" collapsed="false">
      <c r="B35" s="29" t="s">
        <v>103</v>
      </c>
      <c r="BZ35" s="23" t="n">
        <f aca="false">BU34/BU30+(SUM(BW34,BX34,BY34)/SUM(BW30,BX30,BY30)-SUM(BR34,BS34,BT34)/SUM(BR30,BS30,BT30))</f>
        <v>0.24812269965367</v>
      </c>
      <c r="CF35" s="19" t="s">
        <v>104</v>
      </c>
      <c r="CN35" s="24" t="s">
        <v>122</v>
      </c>
      <c r="CO35" s="38" t="n">
        <f aca="false">CP35+$CO$31</f>
        <v>0.095</v>
      </c>
      <c r="CP35" s="39" t="n">
        <v>0.065</v>
      </c>
      <c r="CQ35" s="38" t="n">
        <f aca="false">CP35+$CQ$31</f>
        <v>0.035</v>
      </c>
    </row>
    <row r="36" customFormat="false" ht="15" hidden="false" customHeight="true" outlineLevel="0" collapsed="false">
      <c r="B36" s="29" t="s">
        <v>106</v>
      </c>
      <c r="C36" s="30" t="n">
        <f aca="false">IF(AND(ISNUMBER(C34),ISNUMBER(C30)),IFERROR(C34/C30,""),"")</f>
        <v>0.295824240790812</v>
      </c>
      <c r="D36" s="30" t="n">
        <f aca="false">IF(AND(ISNUMBER(D34),ISNUMBER(D30)),IFERROR(D34/D30,""),"")</f>
        <v>0.273068085620994</v>
      </c>
      <c r="E36" s="30" t="n">
        <f aca="false">IF(AND(ISNUMBER(E34),ISNUMBER(E30)),IFERROR(E34/E30,""),"")</f>
        <v>0.265502177425981</v>
      </c>
      <c r="F36" s="30" t="n">
        <f aca="false">IF(AND(ISNUMBER(F34),ISNUMBER(F30)),IFERROR(F34/F30,""),"")</f>
        <v>0.278861981418966</v>
      </c>
      <c r="G36" s="30" t="n">
        <f aca="false">IF(AND(ISNUMBER(G34),ISNUMBER(G30)),IFERROR(G34/G30,""),"")</f>
        <v>0.272922663969501</v>
      </c>
      <c r="H36" s="30" t="n">
        <f aca="false">IF(AND(ISNUMBER(H34),ISNUMBER(H30)),IFERROR(H34/H30,""),"")</f>
        <v>0.261073622190709</v>
      </c>
      <c r="I36" s="30" t="n">
        <f aca="false">IF(AND(ISNUMBER(I34),ISNUMBER(I30)),IFERROR(I34/I30,""),"")</f>
        <v>0.233529755909264</v>
      </c>
      <c r="J36" s="30" t="n">
        <f aca="false">IF(AND(ISNUMBER(J34),ISNUMBER(J30)),IFERROR(J34/J30,""),"")</f>
        <v>0.197181669435953</v>
      </c>
      <c r="K36" s="30" t="n">
        <f aca="false">IF(AND(ISNUMBER(K34),ISNUMBER(K30)),IFERROR(K34/K30,""),"")</f>
        <v>0.241240454150136</v>
      </c>
      <c r="L36" s="30" t="n">
        <f aca="false">IF(AND(ISNUMBER(L34),ISNUMBER(L30)),IFERROR(L34/L30,""),"")</f>
        <v>0.246175673047219</v>
      </c>
      <c r="M36" s="30" t="n">
        <f aca="false">IF(AND(ISNUMBER(M34),ISNUMBER(M30)),IFERROR(M34/M30,""),"")</f>
        <v>0.257896528932241</v>
      </c>
      <c r="N36" s="30" t="n">
        <f aca="false">IF(AND(ISNUMBER(N34),ISNUMBER(N30)),IFERROR(N34/N30,""),"")</f>
        <v>0.237300483097308</v>
      </c>
      <c r="O36" s="30" t="n">
        <f aca="false">IF(AND(ISNUMBER(O34),ISNUMBER(O30)),IFERROR(O34/O30,""),"")</f>
        <v>0.261783934531157</v>
      </c>
      <c r="P36" s="30" t="n">
        <f aca="false">IF(AND(ISNUMBER(P34),ISNUMBER(P30)),IFERROR(P34/P30,""),"")</f>
        <v>0.202092688960453</v>
      </c>
      <c r="Q36" s="30" t="n">
        <f aca="false">IF(AND(ISNUMBER(Q34),ISNUMBER(Q30)),IFERROR(Q34/Q30,""),"")</f>
        <v>0.210209180424239</v>
      </c>
      <c r="R36" s="30" t="n">
        <f aca="false">IF(AND(ISNUMBER(R34),ISNUMBER(R30)),IFERROR(R34/R30,""),"")</f>
        <v>0.263910255129563</v>
      </c>
      <c r="S36" s="30" t="n">
        <f aca="false">IF(AND(ISNUMBER(S34),ISNUMBER(S30)),IFERROR(S34/S30,""),"")</f>
        <v>0.234351772780466</v>
      </c>
      <c r="T36" s="30" t="n">
        <f aca="false">IF(AND(ISNUMBER(T34),ISNUMBER(T30)),IFERROR(T34/T30,""),"")</f>
        <v>0.217639344997254</v>
      </c>
      <c r="U36" s="30" t="n">
        <f aca="false">IF(AND(ISNUMBER(U34),ISNUMBER(U30)),IFERROR(U34/U30,""),"")</f>
        <v>0.244035386559701</v>
      </c>
      <c r="V36" s="30" t="n">
        <f aca="false">IF(AND(ISNUMBER(V34),ISNUMBER(V30)),IFERROR(V34/V30,""),"")</f>
        <v>0.250681423120044</v>
      </c>
      <c r="W36" s="30" t="n">
        <f aca="false">IF(AND(ISNUMBER(W34),ISNUMBER(W30)),IFERROR(W34/W30,""),"")</f>
        <v>0.289203209356808</v>
      </c>
      <c r="X36" s="30" t="n">
        <f aca="false">IF(AND(ISNUMBER(X34),ISNUMBER(X30)),IFERROR(X34/X30,""),"")</f>
        <v>0.252781457969932</v>
      </c>
      <c r="Y36" s="30" t="n">
        <f aca="false">IF(AND(ISNUMBER(Y34),ISNUMBER(Y30)),IFERROR(Y34/Y30,""),"")</f>
        <v>0.213812504800676</v>
      </c>
      <c r="Z36" s="30" t="n">
        <f aca="false">IF(AND(ISNUMBER(Z34),ISNUMBER(Z30)),IFERROR(Z34/Z30,""),"")</f>
        <v>0.25196505891405</v>
      </c>
      <c r="AA36" s="30" t="n">
        <f aca="false">IF(AND(ISNUMBER(AA34),ISNUMBER(AA30)),IFERROR(AA34/AA30,""),"")</f>
        <v>0.246734941085784</v>
      </c>
      <c r="AB36" s="30" t="n">
        <f aca="false">IF(AND(ISNUMBER(AB34),ISNUMBER(AB30)),IFERROR(AB34/AB30,""),"")</f>
        <v>0.265658997101324</v>
      </c>
      <c r="AC36" s="30" t="n">
        <f aca="false">IF(AND(ISNUMBER(AC34),ISNUMBER(AC30)),IFERROR(AC34/AC30,""),"")</f>
        <v>0.246504795881644</v>
      </c>
      <c r="AD36" s="30" t="n">
        <f aca="false">IF(AND(ISNUMBER(AD34),ISNUMBER(AD30)),IFERROR(AD34/AD30,""),"")</f>
        <v>0.230523520786272</v>
      </c>
      <c r="AE36" s="30" t="n">
        <f aca="false">IF(AND(ISNUMBER(AE34),ISNUMBER(AE30)),IFERROR(AE34/AE30,""),"")</f>
        <v>0.275032053779513</v>
      </c>
      <c r="AF36" s="30" t="n">
        <f aca="false">IF(AND(ISNUMBER(AF34),ISNUMBER(AF30)),IFERROR(AF34/AF30,""),"")</f>
        <v>0.27958073407805</v>
      </c>
      <c r="AG36" s="30" t="n">
        <f aca="false">IF(AND(ISNUMBER(AG34),ISNUMBER(AG30)),IFERROR(AG34/AG30,""),"")</f>
        <v>0.301643727043125</v>
      </c>
      <c r="AH36" s="30" t="n">
        <f aca="false">IF(AND(ISNUMBER(AH34),ISNUMBER(AH30)),IFERROR(AH34/AH30,""),"")</f>
        <v>0.274180207257676</v>
      </c>
      <c r="AI36" s="30" t="n">
        <f aca="false">IF(AND(ISNUMBER(AI34),ISNUMBER(AI30)),IFERROR(AI34/AI30,""),"")</f>
        <v>0.277659998201185</v>
      </c>
      <c r="AJ36" s="30" t="n">
        <f aca="false">IF(AND(ISNUMBER(AJ34),ISNUMBER(AJ30)),IFERROR(AJ34/AJ30,""),"")</f>
        <v>0.285262147200721</v>
      </c>
      <c r="AK36" s="30" t="n">
        <f aca="false">IF(AND(ISNUMBER(AK34),ISNUMBER(AK30)),IFERROR(AK34/AK30,""),"")</f>
        <v>0.300590223748457</v>
      </c>
      <c r="AL36" s="30" t="n">
        <f aca="false">IF(AND(ISNUMBER(AL34),ISNUMBER(AL30)),IFERROR(AL34/AL30,""),"")</f>
        <v>0.299026047090963</v>
      </c>
      <c r="AM36" s="30" t="n">
        <f aca="false">IF(AND(ISNUMBER(AM34),ISNUMBER(AM30)),IFERROR(AM34/AM30,""),"")</f>
        <v>0.291393748031922</v>
      </c>
      <c r="AN36" s="30" t="n">
        <f aca="false">IF(AND(ISNUMBER(AN34),ISNUMBER(AN30)),IFERROR(AN34/AN30,""),"")</f>
        <v>0.279793307993862</v>
      </c>
      <c r="AO36" s="30" t="n">
        <f aca="false">IF(AND(ISNUMBER(AO34),ISNUMBER(AO30)),IFERROR(AO34/AO30,""),"")</f>
        <v>0.314067082923372</v>
      </c>
      <c r="AP36" s="30" t="n">
        <f aca="false">IF(AND(ISNUMBER(AP34),ISNUMBER(AP30)),IFERROR(AP34/AP30,""),"")</f>
        <v>0.287818848928186</v>
      </c>
      <c r="AQ36" s="30" t="n">
        <f aca="false">IF(AND(ISNUMBER(AQ34),ISNUMBER(AQ30)),IFERROR(AQ34/AQ30,""),"")</f>
        <v>0.294210365673104</v>
      </c>
      <c r="AR36" s="30" t="n">
        <f aca="false">IF(AND(ISNUMBER(AR34),ISNUMBER(AR30)),IFERROR(AR34/AR30,""),"")</f>
        <v>0.294471565758602</v>
      </c>
      <c r="AS36" s="30" t="n">
        <f aca="false">IF(AND(ISNUMBER(AS34),ISNUMBER(AS30)),IFERROR(AS34/AS30,""),"")</f>
        <v>0.275853961643099</v>
      </c>
      <c r="AT36" s="30" t="n">
        <f aca="false">IF(AND(ISNUMBER(AT34),ISNUMBER(AT30)),IFERROR(AT34/AT30,""),"")</f>
        <v>0.299266972665616</v>
      </c>
      <c r="AU36" s="30" t="n">
        <f aca="false">IF(AND(ISNUMBER(AU34),ISNUMBER(AU30)),IFERROR(AU34/AU30,""),"")</f>
        <v>0.29362456677682</v>
      </c>
      <c r="AV36" s="30" t="n">
        <f aca="false">IF(AND(ISNUMBER(AV34),ISNUMBER(AV30)),IFERROR(AV34/AV30,""),"")</f>
        <v>0.312063269427381</v>
      </c>
      <c r="AW36" s="30" t="n">
        <f aca="false">IF(AND(ISNUMBER(AW34),ISNUMBER(AW30)),IFERROR(AW34/AW30,""),"")</f>
        <v>0.295791823192802</v>
      </c>
      <c r="AX36" s="30" t="n">
        <f aca="false">IF(AND(ISNUMBER(AX34),ISNUMBER(AX30)),IFERROR(AX34/AX30,""),"")</f>
        <v>0.26896891075822</v>
      </c>
      <c r="AY36" s="30" t="n">
        <f aca="false">IF(AND(ISNUMBER(AY34),ISNUMBER(AY30)),IFERROR(AY34/AY30,""),"")</f>
        <v>0.293283529900571</v>
      </c>
      <c r="AZ36" s="30" t="n">
        <f aca="false">IF(AND(ISNUMBER(AZ34),ISNUMBER(AZ30)),IFERROR(AZ34/AZ30,""),"")</f>
        <v>0.28803596849</v>
      </c>
      <c r="BA36" s="30" t="n">
        <f aca="false">IF(AND(ISNUMBER(BA34),ISNUMBER(BA30)),IFERROR(BA34/BA30,""),"")</f>
        <v>0.303915600739956</v>
      </c>
      <c r="BB36" s="30" t="n">
        <f aca="false">IF(AND(ISNUMBER(BB34),ISNUMBER(BB30)),IFERROR(BB34/BB30,""),"")</f>
        <v>0.289110376679838</v>
      </c>
      <c r="BC36" s="30" t="n">
        <f aca="false">IF(AND(ISNUMBER(BC34),ISNUMBER(BC30)),IFERROR(BC34/BC30,""),"")</f>
        <v>0.250017990788716</v>
      </c>
      <c r="BD36" s="30" t="n">
        <f aca="false">IF(AND(ISNUMBER(BD34),ISNUMBER(BD30)),IFERROR(BD34/BD30,""),"")</f>
        <v>0.277969443075407</v>
      </c>
      <c r="BE36" s="30" t="n">
        <f aca="false">IF(AND(ISNUMBER(BE34),ISNUMBER(BE30)),IFERROR(BE34/BE30,""),"")</f>
        <v>0.278575611274227</v>
      </c>
      <c r="BF36" s="30" t="n">
        <f aca="false">IF(AND(ISNUMBER(BF34),ISNUMBER(BF30)),IFERROR(BF34/BF30,""),"")</f>
        <v>0.297412332475618</v>
      </c>
      <c r="BG36" s="30" t="n">
        <f aca="false">IF(AND(ISNUMBER(BG34),ISNUMBER(BG30)),IFERROR(BG34/BG30,""),"")</f>
        <v>0.277100182523972</v>
      </c>
      <c r="BH36" s="30" t="n">
        <f aca="false">IF(AND(ISNUMBER(BH34),ISNUMBER(BH30)),IFERROR(BH34/BH30,""),"")</f>
        <v>0.221662438886689</v>
      </c>
      <c r="BI36" s="30" t="n">
        <f aca="false">IF(AND(ISNUMBER(BI34),ISNUMBER(BI30)),IFERROR(BI34/BI30,""),"")</f>
        <v>0.225275799561902</v>
      </c>
      <c r="BJ36" s="30" t="n">
        <f aca="false">IF(AND(ISNUMBER(BJ34),ISNUMBER(BJ30)),IFERROR(BJ34/BJ30,""),"")</f>
        <v>0.227568302405583</v>
      </c>
      <c r="BK36" s="30" t="n">
        <f aca="false">IF(AND(ISNUMBER(BK34),ISNUMBER(BK30)),IFERROR(BK34/BK30,""),"")</f>
        <v>0.252177137068404</v>
      </c>
      <c r="BL36" s="30" t="n">
        <f aca="false">IF(AND(ISNUMBER(BL34),ISNUMBER(BL30)),IFERROR(BL34/BL30,""),"")</f>
        <v>0.232654163898461</v>
      </c>
      <c r="BM36" s="30" t="n">
        <f aca="false">IF(AND(ISNUMBER(BM34),ISNUMBER(BM30)),IFERROR(BM34/BM30,""),"")</f>
        <v>0.193493785452994</v>
      </c>
      <c r="BN36" s="30" t="n">
        <f aca="false">IF(AND(ISNUMBER(BN34),ISNUMBER(BN30)),IFERROR(BN34/BN30,""),"")</f>
        <v>0.235696256443339</v>
      </c>
      <c r="BO36" s="30" t="n">
        <f aca="false">IF(AND(ISNUMBER(BO34),ISNUMBER(BO30)),IFERROR(BO34/BO30,""),"")</f>
        <v>0.23527220461368</v>
      </c>
      <c r="BP36" s="30" t="n">
        <f aca="false">IF(AND(ISNUMBER(BP34),ISNUMBER(BP30)),IFERROR(BP34/BP30,""),"")</f>
        <v>0.243325313101332</v>
      </c>
      <c r="BQ36" s="30" t="n">
        <f aca="false">IF(AND(ISNUMBER(BQ34),ISNUMBER(BQ30)),IFERROR(BQ34/BQ30,""),"")</f>
        <v>0.228068273365695</v>
      </c>
      <c r="BR36" s="30" t="n">
        <f aca="false">IF(AND(ISNUMBER(BR34),ISNUMBER(BR30)),IFERROR(BR34/BR30,""),"")</f>
        <v>0.231463905665804</v>
      </c>
      <c r="BS36" s="30" t="n">
        <f aca="false">IF(AND(ISNUMBER(BS34),ISNUMBER(BS30)),IFERROR(BS34/BS30,""),"")</f>
        <v>0.227608156251187</v>
      </c>
      <c r="BT36" s="30" t="n">
        <f aca="false">IF(AND(ISNUMBER(BT34),ISNUMBER(BT30)),IFERROR(BT34/BT30,""),"")</f>
        <v>0.227610063423284</v>
      </c>
      <c r="BU36" s="30" t="n">
        <f aca="false">IF(AND(ISNUMBER(BU34),ISNUMBER(BU30)),IFERROR(BU34/BU30,""),"")</f>
        <v>0.232910142290949</v>
      </c>
      <c r="BV36" s="30" t="n">
        <f aca="false">IF(AND(ISNUMBER(BV34),ISNUMBER(BV30)),IFERROR(BV34/BV30,""),"")</f>
        <v>0.229953577898551</v>
      </c>
      <c r="BW36" s="30" t="n">
        <f aca="false">IF(AND(ISNUMBER(BW34),ISNUMBER(BW30)),IFERROR(BW34/BW30,""),"")</f>
        <v>0.197601672624267</v>
      </c>
      <c r="BX36" s="30" t="n">
        <f aca="false">IF(AND(ISNUMBER(BX34),ISNUMBER(BX30)),IFERROR(BX34/BX30,""),"")</f>
        <v>0.265071855714074</v>
      </c>
      <c r="BY36" s="30" t="n">
        <f aca="false">IF(AND(ISNUMBER(BY34),ISNUMBER(BY30)),IFERROR(BY34/BY30,""),"")</f>
        <v>0.259707086229826</v>
      </c>
      <c r="BZ36" s="23" t="n">
        <f aca="false">BZ35+BZ86</f>
        <v>0.24812269965367</v>
      </c>
      <c r="CA36" s="23" t="n">
        <f aca="false">IF(AND(ISNUMBER(CA34),ISNUMBER(CA30)),IFERROR(CA34/CA30,""),"")</f>
        <v>0.245192687253107</v>
      </c>
      <c r="CB36" s="23" t="n">
        <f aca="false">CHOOSE(MATCH($CF$2,{"Bull","Base","Bear"},0),$CO$38,$CP$38,$CQ$38)</f>
        <v>0.25</v>
      </c>
      <c r="CC36" s="23" t="n">
        <f aca="false">CHOOSE(MATCH($CF$2,{"Bull","Base","Bear"},0),$CO$39,$CP$39,$CQ$39)</f>
        <v>0.255</v>
      </c>
      <c r="CD36" s="23" t="n">
        <f aca="false">CHOOSE(MATCH($CF$2,{"Bull","Base","Bear"},0),$CO$40,$CP$40,$CQ$40)</f>
        <v>0.255</v>
      </c>
      <c r="CE36" s="23" t="n">
        <f aca="false">CHOOSE(MATCH($CF$2,{"Bull","Base","Bear"},0),$CO$41,$CP$41,$CQ$41)</f>
        <v>0.255</v>
      </c>
      <c r="CF36" s="19" t="s">
        <v>136</v>
      </c>
      <c r="CH36" s="33" t="n">
        <f aca="false">IFERROR(AVERAGE(CA36,CB36,CC36,CD36,CE36),"n/m")</f>
        <v>0.252038537450621</v>
      </c>
      <c r="CI36" s="33" t="n">
        <f aca="false">IFERROR(AVERAGE(BB36,BG36,BL36,BQ36,BV36),"n/m")</f>
        <v>0.251377314873303</v>
      </c>
      <c r="CJ36" s="33" t="n">
        <f aca="false">IFERROR(AVERAGE(AC36,AH36,AM36,AR36,AW36,BB36,BG36,BL36,BQ36,BV36),"n/m")</f>
        <v>0.265922871448916</v>
      </c>
      <c r="CK36" s="33" t="n">
        <f aca="false">IFERROR(AVERAGE(C36,D36,E36,F36,G36,H36,I36,N36,S36,X36,AC36,AH36,AM36,AR36,AW36,BB36,BG36,BL36,BQ36,BV36),"n/m")</f>
        <v>0.263222247783155</v>
      </c>
    </row>
    <row r="37" customFormat="false" ht="15" hidden="false" customHeight="true" outlineLevel="0" collapsed="false">
      <c r="B37" s="29" t="s">
        <v>110</v>
      </c>
      <c r="C37" s="35" t="n">
        <v>3.437</v>
      </c>
      <c r="D37" s="35" t="n">
        <v>3.786</v>
      </c>
      <c r="E37" s="35" t="n">
        <v>5.238</v>
      </c>
      <c r="F37" s="35" t="n">
        <v>4.728</v>
      </c>
      <c r="G37" s="35" t="n">
        <v>7.308</v>
      </c>
      <c r="H37" s="35" t="n">
        <v>7.502</v>
      </c>
      <c r="I37" s="35" t="n">
        <v>19.365</v>
      </c>
      <c r="J37" s="35" t="n">
        <v>5.113</v>
      </c>
      <c r="K37" s="35" t="n">
        <v>5.203</v>
      </c>
      <c r="L37" s="35" t="n">
        <v>5.226</v>
      </c>
      <c r="M37" s="35" t="n">
        <v>5.85</v>
      </c>
      <c r="N37" s="35" t="n">
        <v>21.392</v>
      </c>
      <c r="O37" s="35" t="n">
        <v>6.925</v>
      </c>
      <c r="P37" s="35" t="n">
        <v>6.946</v>
      </c>
      <c r="Q37" s="35" t="n">
        <v>6.911</v>
      </c>
      <c r="R37" s="35" t="n">
        <v>6.324</v>
      </c>
      <c r="S37" s="35" t="n">
        <v>27.106</v>
      </c>
      <c r="U37" s="35" t="n">
        <v>5.686</v>
      </c>
      <c r="V37" s="35" t="n">
        <v>5.317</v>
      </c>
      <c r="X37" s="35" t="n">
        <v>22.748</v>
      </c>
      <c r="Y37" s="35" t="n">
        <v>6.622</v>
      </c>
      <c r="Z37" s="35" t="n">
        <v>7.949</v>
      </c>
      <c r="AA37" s="35" t="n">
        <v>7.983</v>
      </c>
      <c r="AB37" s="35" t="n">
        <v>8.14</v>
      </c>
      <c r="AC37" s="35" t="n">
        <v>30.694</v>
      </c>
      <c r="AD37" s="35" t="n">
        <v>7.778</v>
      </c>
      <c r="AE37" s="35" t="n">
        <v>7.794</v>
      </c>
      <c r="AF37" s="35" t="n">
        <v>7.89</v>
      </c>
      <c r="AG37" s="35" t="n">
        <v>9.314</v>
      </c>
      <c r="AH37" s="35" t="n">
        <v>32.776</v>
      </c>
      <c r="AI37" s="35" t="n">
        <v>10.378</v>
      </c>
      <c r="AJ37" s="35" t="n">
        <v>10.473</v>
      </c>
      <c r="AK37" s="35" t="n">
        <v>10.848</v>
      </c>
      <c r="AL37" s="35" t="n">
        <v>10.865</v>
      </c>
      <c r="AM37" s="35" t="n">
        <v>42.564</v>
      </c>
      <c r="AN37" s="35" t="n">
        <v>11.382</v>
      </c>
      <c r="AO37" s="35" t="n">
        <v>11.69</v>
      </c>
      <c r="AP37" s="35" t="n">
        <v>12.183</v>
      </c>
      <c r="AQ37" s="35" t="n">
        <v>12.833</v>
      </c>
      <c r="AR37" s="35" t="n">
        <v>48.088</v>
      </c>
      <c r="AS37" s="35" t="n">
        <v>12.606</v>
      </c>
      <c r="AT37" s="35" t="n">
        <v>12.811</v>
      </c>
      <c r="AU37" s="35" t="n">
        <v>12.748</v>
      </c>
      <c r="AV37" s="35" t="n">
        <v>14.11</v>
      </c>
      <c r="AW37" s="35" t="n">
        <v>52.275</v>
      </c>
      <c r="AX37" s="35" t="n">
        <v>13.897</v>
      </c>
      <c r="AY37" s="35" t="n">
        <v>14.039</v>
      </c>
      <c r="AZ37" s="35" t="n">
        <v>14.109</v>
      </c>
      <c r="BA37" s="35" t="n">
        <v>14.225</v>
      </c>
      <c r="BB37" s="35" t="n">
        <v>56.27</v>
      </c>
      <c r="BC37" s="35" t="n">
        <v>13.458</v>
      </c>
      <c r="BD37" s="35" t="n">
        <v>13.513</v>
      </c>
      <c r="BE37" s="35" t="n">
        <v>12.932</v>
      </c>
      <c r="BF37" s="35" t="n">
        <v>14.389</v>
      </c>
      <c r="BG37" s="35" t="n">
        <v>54.292</v>
      </c>
      <c r="BH37" s="35" t="n">
        <v>15.607</v>
      </c>
      <c r="BI37" s="35" t="n">
        <v>18.656</v>
      </c>
      <c r="BJ37" s="35" t="n">
        <v>18.479</v>
      </c>
      <c r="BK37" s="35" t="n">
        <v>19.032</v>
      </c>
      <c r="BL37" s="35" t="n">
        <v>71.774</v>
      </c>
      <c r="BM37" s="35" t="n">
        <v>18.465</v>
      </c>
      <c r="BN37" s="35" t="n">
        <v>18.245</v>
      </c>
      <c r="BO37" s="35" t="n">
        <v>18.3</v>
      </c>
      <c r="BP37" s="35" t="n">
        <v>18.715</v>
      </c>
      <c r="BQ37" s="35" t="n">
        <v>73.725</v>
      </c>
      <c r="BR37" s="35" t="n">
        <v>19.5</v>
      </c>
      <c r="BS37" s="35" t="n">
        <v>19.537</v>
      </c>
      <c r="BT37" s="35" t="n">
        <v>20.297</v>
      </c>
      <c r="BU37" s="35" t="n">
        <v>22.495</v>
      </c>
      <c r="BV37" s="35" t="n">
        <v>81.829</v>
      </c>
      <c r="BW37" s="35" t="n">
        <v>22.284</v>
      </c>
      <c r="BX37" s="35" t="n">
        <v>25.916</v>
      </c>
      <c r="BY37" s="35" t="n">
        <v>26.634</v>
      </c>
      <c r="CN37" s="15" t="s">
        <v>137</v>
      </c>
      <c r="CO37" s="37" t="n">
        <v>0.015</v>
      </c>
      <c r="CP37" s="15" t="s">
        <v>113</v>
      </c>
      <c r="CQ37" s="37" t="n">
        <v>-0.015</v>
      </c>
      <c r="CR37" s="13" t="s">
        <v>138</v>
      </c>
    </row>
    <row r="38" customFormat="false" ht="15" hidden="false" customHeight="true" outlineLevel="0" collapsed="false">
      <c r="B38" s="29" t="s">
        <v>111</v>
      </c>
      <c r="C38" s="36" t="n">
        <f aca="false">IF(AND(ISNUMBER(C34),ISNUMBER(C37)),C34+C37,"")</f>
        <v>37.463</v>
      </c>
      <c r="D38" s="36" t="n">
        <f aca="false">IF(AND(ISNUMBER(D34),ISNUMBER(D37)),D34+D37,"")</f>
        <v>37.656</v>
      </c>
      <c r="E38" s="36" t="n">
        <f aca="false">IF(AND(ISNUMBER(E34),ISNUMBER(E37)),E34+E37,"")</f>
        <v>44.013</v>
      </c>
      <c r="F38" s="36" t="n">
        <f aca="false">IF(AND(ISNUMBER(F34),ISNUMBER(F37)),F34+F37,"")</f>
        <v>44.709</v>
      </c>
      <c r="G38" s="36" t="n">
        <f aca="false">IF(AND(ISNUMBER(G34),ISNUMBER(G37)),G34+G37,"")</f>
        <v>63.434</v>
      </c>
      <c r="H38" s="36" t="n">
        <f aca="false">IF(AND(ISNUMBER(H34),ISNUMBER(H37)),H34+H37,"")</f>
        <v>66.967</v>
      </c>
      <c r="I38" s="36" t="n">
        <f aca="false">IF(AND(ISNUMBER(I34),ISNUMBER(I37)),I34+I37,"")</f>
        <v>96.803</v>
      </c>
      <c r="J38" s="36" t="n">
        <f aca="false">IF(AND(ISNUMBER(J34),ISNUMBER(J37)),J34+J37,"")</f>
        <v>20.659</v>
      </c>
      <c r="K38" s="36" t="n">
        <f aca="false">IF(AND(ISNUMBER(K34),ISNUMBER(K37)),K34+K37,"")</f>
        <v>25.452</v>
      </c>
      <c r="L38" s="36" t="n">
        <f aca="false">IF(AND(ISNUMBER(L34),ISNUMBER(L37)),L34+L37,"")</f>
        <v>26.742</v>
      </c>
      <c r="M38" s="36" t="n">
        <f aca="false">IF(AND(ISNUMBER(M34),ISNUMBER(M37)),M34+M37,"")</f>
        <v>31.602</v>
      </c>
      <c r="N38" s="36" t="n">
        <f aca="false">IF(AND(ISNUMBER(N34),ISNUMBER(N37)),N34+N37,"")</f>
        <v>104.455</v>
      </c>
      <c r="O38" s="36" t="n">
        <f aca="false">IF(AND(ISNUMBER(O34),ISNUMBER(O37)),O34+O37,"")</f>
        <v>29.829</v>
      </c>
      <c r="P38" s="36" t="n">
        <f aca="false">IF(AND(ISNUMBER(P34),ISNUMBER(P37)),P34+P37,"")</f>
        <v>25.082</v>
      </c>
      <c r="Q38" s="36" t="n">
        <f aca="false">IF(AND(ISNUMBER(Q34),ISNUMBER(Q37)),Q34+Q37,"")</f>
        <v>28.366</v>
      </c>
      <c r="R38" s="36" t="n">
        <f aca="false">IF(AND(ISNUMBER(R34),ISNUMBER(R37)),R34+R37,"")</f>
        <v>32.743</v>
      </c>
      <c r="S38" s="36" t="n">
        <f aca="false">IF(AND(ISNUMBER(S34),ISNUMBER(S37)),S34+S37,"")</f>
        <v>116.02</v>
      </c>
      <c r="T38" s="36" t="str">
        <f aca="false">IF(AND(ISNUMBER(T34),ISNUMBER(T37)),T34+T37,"")</f>
        <v/>
      </c>
      <c r="U38" s="36" t="n">
        <f aca="false">IF(AND(ISNUMBER(U34),ISNUMBER(U37)),U34+U37,"")</f>
        <v>27.892</v>
      </c>
      <c r="V38" s="36" t="n">
        <f aca="false">IF(AND(ISNUMBER(V34),ISNUMBER(V37)),V34+V37,"")</f>
        <v>29.689</v>
      </c>
      <c r="W38" s="36" t="str">
        <f aca="false">IF(AND(ISNUMBER(W34),ISNUMBER(W37)),W34+W37,"")</f>
        <v/>
      </c>
      <c r="X38" s="36" t="n">
        <f aca="false">IF(AND(ISNUMBER(X34),ISNUMBER(X37)),X34+X37,"")</f>
        <v>121.581</v>
      </c>
      <c r="Y38" s="36" t="n">
        <f aca="false">IF(AND(ISNUMBER(Y34),ISNUMBER(Y37)),Y34+Y37,"")</f>
        <v>28.891</v>
      </c>
      <c r="Z38" s="36" t="n">
        <f aca="false">IF(AND(ISNUMBER(Z34),ISNUMBER(Z37)),Z34+Z37,"")</f>
        <v>41.351</v>
      </c>
      <c r="AA38" s="36" t="n">
        <f aca="false">IF(AND(ISNUMBER(AA34),ISNUMBER(AA37)),AA34+AA37,"")</f>
        <v>41.592</v>
      </c>
      <c r="AB38" s="36" t="n">
        <f aca="false">IF(AND(ISNUMBER(AB34),ISNUMBER(AB37)),AB34+AB37,"")</f>
        <v>44.891</v>
      </c>
      <c r="AC38" s="36" t="n">
        <f aca="false">IF(AND(ISNUMBER(AC34),ISNUMBER(AC37)),AC34+AC37,"")</f>
        <v>156.725</v>
      </c>
      <c r="AD38" s="36" t="n">
        <f aca="false">IF(AND(ISNUMBER(AD34),ISNUMBER(AD37)),AD34+AD37,"")</f>
        <v>36.862</v>
      </c>
      <c r="AE38" s="36" t="n">
        <f aca="false">IF(AND(ISNUMBER(AE34),ISNUMBER(AE37)),AE34+AE37,"")</f>
        <v>46.62</v>
      </c>
      <c r="AF38" s="36" t="n">
        <f aca="false">IF(AND(ISNUMBER(AF34),ISNUMBER(AF37)),AF34+AF37,"")</f>
        <v>46.433</v>
      </c>
      <c r="AG38" s="36" t="n">
        <f aca="false">IF(AND(ISNUMBER(AG34),ISNUMBER(AG37)),AG34+AG37,"")</f>
        <v>60.312</v>
      </c>
      <c r="AH38" s="36" t="n">
        <f aca="false">IF(AND(ISNUMBER(AH34),ISNUMBER(AH37)),AH34+AH37,"")</f>
        <v>190.227</v>
      </c>
      <c r="AI38" s="36" t="n">
        <f aca="false">IF(AND(ISNUMBER(AI34),ISNUMBER(AI37)),AI34+AI37,"")</f>
        <v>53.598</v>
      </c>
      <c r="AJ38" s="36" t="n">
        <f aca="false">IF(AND(ISNUMBER(AJ34),ISNUMBER(AJ37)),AJ34+AJ37,"")</f>
        <v>58.603</v>
      </c>
      <c r="AK38" s="36" t="n">
        <f aca="false">IF(AND(ISNUMBER(AK34),ISNUMBER(AK37)),AK34+AK37,"")</f>
        <v>66.869</v>
      </c>
      <c r="AL38" s="36" t="n">
        <f aca="false">IF(AND(ISNUMBER(AL34),ISNUMBER(AL37)),AL34+AL37,"")</f>
        <v>68.002</v>
      </c>
      <c r="AM38" s="36" t="n">
        <f aca="false">IF(AND(ISNUMBER(AM34),ISNUMBER(AM37)),AM34+AM37,"")</f>
        <v>247.072</v>
      </c>
      <c r="AN38" s="36" t="n">
        <f aca="false">IF(AND(ISNUMBER(AN34),ISNUMBER(AN37)),AN34+AN37,"")</f>
        <v>62.984</v>
      </c>
      <c r="AO38" s="36" t="n">
        <f aca="false">IF(AND(ISNUMBER(AO34),ISNUMBER(AO37)),AO34+AO37,"")</f>
        <v>79.042</v>
      </c>
      <c r="AP38" s="36" t="n">
        <f aca="false">IF(AND(ISNUMBER(AP34),ISNUMBER(AP37)),AP34+AP37,"")</f>
        <v>74.389</v>
      </c>
      <c r="AQ38" s="36" t="n">
        <f aca="false">IF(AND(ISNUMBER(AQ34),ISNUMBER(AQ37)),AQ34+AQ37,"")</f>
        <v>77.416</v>
      </c>
      <c r="AR38" s="36" t="n">
        <f aca="false">IF(AND(ISNUMBER(AR34),ISNUMBER(AR37)),AR34+AR37,"")</f>
        <v>293.831</v>
      </c>
      <c r="AS38" s="36" t="n">
        <f aca="false">IF(AND(ISNUMBER(AS34),ISNUMBER(AS37)),AS34+AS37,"")</f>
        <v>70.097</v>
      </c>
      <c r="AT38" s="36" t="n">
        <f aca="false">IF(AND(ISNUMBER(AT34),ISNUMBER(AT37)),AT34+AT37,"")</f>
        <v>78.337</v>
      </c>
      <c r="AU38" s="36" t="n">
        <f aca="false">IF(AND(ISNUMBER(AU34),ISNUMBER(AU37)),AU34+AU37,"")</f>
        <v>74.679</v>
      </c>
      <c r="AV38" s="36" t="n">
        <f aca="false">IF(AND(ISNUMBER(AV34),ISNUMBER(AV37)),AV34+AV37,"")</f>
        <v>87.976</v>
      </c>
      <c r="AW38" s="36" t="n">
        <f aca="false">IF(AND(ISNUMBER(AW34),ISNUMBER(AW37)),AW34+AW37,"")</f>
        <v>311.089</v>
      </c>
      <c r="AX38" s="36" t="n">
        <f aca="false">IF(AND(ISNUMBER(AX34),ISNUMBER(AX37)),AX34+AX37,"")</f>
        <v>74.025</v>
      </c>
      <c r="AY38" s="36" t="n">
        <f aca="false">IF(AND(ISNUMBER(AY34),ISNUMBER(AY37)),AY34+AY37,"")</f>
        <v>85.333</v>
      </c>
      <c r="AZ38" s="36" t="n">
        <f aca="false">IF(AND(ISNUMBER(AZ34),ISNUMBER(AZ37)),AZ34+AZ37,"")</f>
        <v>83.106</v>
      </c>
      <c r="BA38" s="36" t="n">
        <f aca="false">IF(AND(ISNUMBER(BA34),ISNUMBER(BA37)),BA34+BA37,"")</f>
        <v>91.112</v>
      </c>
      <c r="BB38" s="36" t="n">
        <f aca="false">IF(AND(ISNUMBER(BB34),ISNUMBER(BB37)),BB34+BB37,"")</f>
        <v>333.576</v>
      </c>
      <c r="BC38" s="36" t="n">
        <f aca="false">IF(AND(ISNUMBER(BC34),ISNUMBER(BC37)),BC34+BC37,"")</f>
        <v>69.046</v>
      </c>
      <c r="BD38" s="36" t="n">
        <f aca="false">IF(AND(ISNUMBER(BD34),ISNUMBER(BD37)),BD34+BD37,"")</f>
        <v>79.501</v>
      </c>
      <c r="BE38" s="36" t="n">
        <f aca="false">IF(AND(ISNUMBER(BE34),ISNUMBER(BE37)),BE34+BE37,"")</f>
        <v>80.961</v>
      </c>
      <c r="BF38" s="36" t="n">
        <f aca="false">IF(AND(ISNUMBER(BF34),ISNUMBER(BF37)),BF34+BF37,"")</f>
        <v>94.257</v>
      </c>
      <c r="BG38" s="36" t="n">
        <f aca="false">IF(AND(ISNUMBER(BG34),ISNUMBER(BG37)),BG34+BG37,"")</f>
        <v>323.765</v>
      </c>
      <c r="BH38" s="36" t="n">
        <f aca="false">IF(AND(ISNUMBER(BH34),ISNUMBER(BH37)),BH34+BH37,"")</f>
        <v>72.144</v>
      </c>
      <c r="BI38" s="36" t="n">
        <f aca="false">IF(AND(ISNUMBER(BI34),ISNUMBER(BI37)),BI34+BI37,"")</f>
        <v>86.635</v>
      </c>
      <c r="BJ38" s="36" t="n">
        <f aca="false">IF(AND(ISNUMBER(BJ34),ISNUMBER(BJ37)),BJ34+BJ37,"")</f>
        <v>92.636</v>
      </c>
      <c r="BK38" s="36" t="n">
        <f aca="false">IF(AND(ISNUMBER(BK34),ISNUMBER(BK37)),BK34+BK37,"")</f>
        <v>105.412</v>
      </c>
      <c r="BL38" s="36" t="n">
        <f aca="false">IF(AND(ISNUMBER(BL34),ISNUMBER(BL37)),BL34+BL37,"")</f>
        <v>356.827</v>
      </c>
      <c r="BM38" s="36" t="n">
        <f aca="false">IF(AND(ISNUMBER(BM34),ISNUMBER(BM37)),BM34+BM37,"")</f>
        <v>73.793</v>
      </c>
      <c r="BN38" s="36" t="n">
        <f aca="false">IF(AND(ISNUMBER(BN34),ISNUMBER(BN37)),BN34+BN37,"")</f>
        <v>93.508</v>
      </c>
      <c r="BO38" s="36" t="n">
        <f aca="false">IF(AND(ISNUMBER(BO34),ISNUMBER(BO37)),BO34+BO37,"")</f>
        <v>94.088</v>
      </c>
      <c r="BP38" s="36" t="n">
        <f aca="false">IF(AND(ISNUMBER(BP34),ISNUMBER(BP37)),BP34+BP37,"")</f>
        <v>100.529</v>
      </c>
      <c r="BQ38" s="36" t="n">
        <f aca="false">IF(AND(ISNUMBER(BQ34),ISNUMBER(BQ37)),BQ34+BQ37,"")</f>
        <v>361.918</v>
      </c>
      <c r="BR38" s="36" t="n">
        <f aca="false">IF(AND(ISNUMBER(BR34),ISNUMBER(BR37)),BR34+BR37,"")</f>
        <v>95.956</v>
      </c>
      <c r="BS38" s="36" t="n">
        <f aca="false">IF(AND(ISNUMBER(BS34),ISNUMBER(BS37)),BS34+BS37,"")</f>
        <v>97.417</v>
      </c>
      <c r="BT38" s="36" t="n">
        <f aca="false">IF(AND(ISNUMBER(BT34),ISNUMBER(BT37)),BT34+BT37,"")</f>
        <v>101.295</v>
      </c>
      <c r="BU38" s="36" t="n">
        <f aca="false">IF(AND(ISNUMBER(BU34),ISNUMBER(BU37)),BU34+BU37,"")</f>
        <v>112.113</v>
      </c>
      <c r="BV38" s="36" t="n">
        <f aca="false">IF(AND(ISNUMBER(BV34),ISNUMBER(BV37)),BV34+BV37,"")</f>
        <v>406.781</v>
      </c>
      <c r="BW38" s="36" t="n">
        <f aca="false">IF(AND(ISNUMBER(BW34),ISNUMBER(BW37)),BW34+BW37,"")</f>
        <v>95.53</v>
      </c>
      <c r="BX38" s="36" t="n">
        <f aca="false">IF(AND(ISNUMBER(BX34),ISNUMBER(BX37)),BX34+BX37,"")</f>
        <v>147.725</v>
      </c>
      <c r="BY38" s="36" t="n">
        <f aca="false">IF(AND(ISNUMBER(BY34),ISNUMBER(BY37)),BY34+BY37,"")</f>
        <v>152.199</v>
      </c>
      <c r="CN38" s="24" t="s">
        <v>116</v>
      </c>
      <c r="CO38" s="38" t="n">
        <f aca="false">CP38+$CO$37</f>
        <v>0.265</v>
      </c>
      <c r="CP38" s="39" t="n">
        <v>0.25</v>
      </c>
      <c r="CQ38" s="38" t="n">
        <f aca="false">CP38+$CQ$37</f>
        <v>0.235</v>
      </c>
    </row>
    <row r="39" customFormat="false" ht="15" hidden="false" customHeight="true" outlineLevel="0" collapsed="false">
      <c r="B39" s="29" t="s">
        <v>115</v>
      </c>
      <c r="C39" s="30" t="n">
        <f aca="false">IF(AND(ISNUMBER(C38),ISNUMBER(C30)),IFERROR(C38/C30,""),"")</f>
        <v>0.32570574069083</v>
      </c>
      <c r="D39" s="30" t="n">
        <f aca="false">IF(AND(ISNUMBER(D38),ISNUMBER(D30)),IFERROR(D38/D30,""),"")</f>
        <v>0.30359172814125</v>
      </c>
      <c r="E39" s="30" t="n">
        <f aca="false">IF(AND(ISNUMBER(E38),ISNUMBER(E30)),IFERROR(E38/E30,""),"")</f>
        <v>0.301368080852346</v>
      </c>
      <c r="F39" s="30" t="n">
        <f aca="false">IF(AND(ISNUMBER(F38),ISNUMBER(F30)),IFERROR(F38/F30,""),"")</f>
        <v>0.311839131769104</v>
      </c>
      <c r="G39" s="30" t="n">
        <f aca="false">IF(AND(ISNUMBER(G38),ISNUMBER(G30)),IFERROR(G38/G30,""),"")</f>
        <v>0.308459114603595</v>
      </c>
      <c r="H39" s="30" t="n">
        <f aca="false">IF(AND(ISNUMBER(H38),ISNUMBER(H30)),IFERROR(H38/H30,""),"")</f>
        <v>0.294010212011187</v>
      </c>
      <c r="I39" s="30" t="n">
        <f aca="false">IF(AND(ISNUMBER(I38),ISNUMBER(I30)),IFERROR(I38/I30,""),"")</f>
        <v>0.29192878123511</v>
      </c>
      <c r="J39" s="30" t="n">
        <f aca="false">IF(AND(ISNUMBER(J38),ISNUMBER(J30)),IFERROR(J38/J30,""),"")</f>
        <v>0.262033713423219</v>
      </c>
      <c r="K39" s="30" t="n">
        <f aca="false">IF(AND(ISNUMBER(K38),ISNUMBER(K30)),IFERROR(K38/K30,""),"")</f>
        <v>0.303227420565424</v>
      </c>
      <c r="L39" s="30" t="n">
        <f aca="false">IF(AND(ISNUMBER(L38),ISNUMBER(L30)),IFERROR(L38/L30,""),"")</f>
        <v>0.305969039255844</v>
      </c>
      <c r="M39" s="30" t="n">
        <f aca="false">IF(AND(ISNUMBER(M38),ISNUMBER(M30)),IFERROR(M38/M30,""),"")</f>
        <v>0.316482063813167</v>
      </c>
      <c r="N39" s="30" t="n">
        <f aca="false">IF(AND(ISNUMBER(N38),ISNUMBER(N30)),IFERROR(N38/N30,""),"")</f>
        <v>0.298414720897744</v>
      </c>
      <c r="O39" s="30" t="n">
        <f aca="false">IF(AND(ISNUMBER(O38),ISNUMBER(O30)),IFERROR(O38/O30,""),"")</f>
        <v>0.340934028254012</v>
      </c>
      <c r="P39" s="30" t="n">
        <f aca="false">IF(AND(ISNUMBER(P38),ISNUMBER(P30)),IFERROR(P38/P30,""),"")</f>
        <v>0.27949320823258</v>
      </c>
      <c r="Q39" s="30" t="n">
        <f aca="false">IF(AND(ISNUMBER(Q38),ISNUMBER(Q30)),IFERROR(Q38/Q30,""),"")</f>
        <v>0.277920932738941</v>
      </c>
      <c r="R39" s="30" t="n">
        <f aca="false">IF(AND(ISNUMBER(R38),ISNUMBER(R30)),IFERROR(R38/R30,""),"")</f>
        <v>0.327083291710787</v>
      </c>
      <c r="S39" s="30" t="n">
        <f aca="false">IF(AND(ISNUMBER(S38),ISNUMBER(S30)),IFERROR(S38/S30,""),"")</f>
        <v>0.305795405425351</v>
      </c>
      <c r="T39" s="30" t="str">
        <f aca="false">IF(AND(ISNUMBER(T38),ISNUMBER(T30)),IFERROR(T38/T30,""),"")</f>
        <v/>
      </c>
      <c r="U39" s="30" t="n">
        <f aca="false">IF(AND(ISNUMBER(U38),ISNUMBER(U30)),IFERROR(U38/U30,""),"")</f>
        <v>0.306522336392109</v>
      </c>
      <c r="V39" s="30" t="n">
        <f aca="false">IF(AND(ISNUMBER(V38),ISNUMBER(V30)),IFERROR(V38/V30,""),"")</f>
        <v>0.305370128467544</v>
      </c>
      <c r="W39" s="30" t="str">
        <f aca="false">IF(AND(ISNUMBER(W38),ISNUMBER(W30)),IFERROR(W38/W30,""),"")</f>
        <v/>
      </c>
      <c r="X39" s="30" t="n">
        <f aca="false">IF(AND(ISNUMBER(X38),ISNUMBER(X30)),IFERROR(X38/X30,""),"")</f>
        <v>0.310963164544659</v>
      </c>
      <c r="Y39" s="30" t="n">
        <f aca="false">IF(AND(ISNUMBER(Y38),ISNUMBER(Y30)),IFERROR(Y38/Y30,""),"")</f>
        <v>0.27739265688609</v>
      </c>
      <c r="Z39" s="30" t="n">
        <f aca="false">IF(AND(ISNUMBER(Z38),ISNUMBER(Z30)),IFERROR(Z38/Z30,""),"")</f>
        <v>0.311927643588854</v>
      </c>
      <c r="AA39" s="30" t="n">
        <f aca="false">IF(AND(ISNUMBER(AA38),ISNUMBER(AA30)),IFERROR(AA38/AA30,""),"")</f>
        <v>0.30534082149543</v>
      </c>
      <c r="AB39" s="30" t="n">
        <f aca="false">IF(AND(ISNUMBER(AB38),ISNUMBER(AB30)),IFERROR(AB38/AB30,""),"")</f>
        <v>0.324499960242593</v>
      </c>
      <c r="AC39" s="30" t="n">
        <f aca="false">IF(AND(ISNUMBER(AC38),ISNUMBER(AC30)),IFERROR(AC38/AC30,""),"")</f>
        <v>0.306539376300678</v>
      </c>
      <c r="AD39" s="30" t="n">
        <f aca="false">IF(AND(ISNUMBER(AD38),ISNUMBER(AD30)),IFERROR(AD38/AD30,""),"")</f>
        <v>0.292172948123489</v>
      </c>
      <c r="AE39" s="30" t="n">
        <f aca="false">IF(AND(ISNUMBER(AE38),ISNUMBER(AE30)),IFERROR(AE38/AE30,""),"")</f>
        <v>0.330242475330986</v>
      </c>
      <c r="AF39" s="30" t="n">
        <f aca="false">IF(AND(ISNUMBER(AF38),ISNUMBER(AF30)),IFERROR(AF38/AF30,""),"")</f>
        <v>0.336812708544901</v>
      </c>
      <c r="AG39" s="30" t="n">
        <f aca="false">IF(AND(ISNUMBER(AG38),ISNUMBER(AG30)),IFERROR(AG38/AG30,""),"")</f>
        <v>0.356734312432349</v>
      </c>
      <c r="AH39" s="30" t="n">
        <f aca="false">IF(AND(ISNUMBER(AH38),ISNUMBER(AH30)),IFERROR(AH38/AH30,""),"")</f>
        <v>0.331255300290286</v>
      </c>
      <c r="AI39" s="30" t="n">
        <f aca="false">IF(AND(ISNUMBER(AI38),ISNUMBER(AI30)),IFERROR(AI38/AI30,""),"")</f>
        <v>0.344331804340285</v>
      </c>
      <c r="AJ39" s="30" t="n">
        <f aca="false">IF(AND(ISNUMBER(AJ38),ISNUMBER(AJ30)),IFERROR(AJ38/AJ30,""),"")</f>
        <v>0.347334668863574</v>
      </c>
      <c r="AK39" s="30" t="n">
        <f aca="false">IF(AND(ISNUMBER(AK38),ISNUMBER(AK30)),IFERROR(AK38/AK30,""),"")</f>
        <v>0.358797016687235</v>
      </c>
      <c r="AL39" s="30" t="n">
        <f aca="false">IF(AND(ISNUMBER(AL38),ISNUMBER(AL30)),IFERROR(AL38/AL30,""),"")</f>
        <v>0.355887940463792</v>
      </c>
      <c r="AM39" s="30" t="n">
        <f aca="false">IF(AND(ISNUMBER(AM38),ISNUMBER(AM30)),IFERROR(AM38/AM30,""),"")</f>
        <v>0.352041172539672</v>
      </c>
      <c r="AN39" s="30" t="n">
        <f aca="false">IF(AND(ISNUMBER(AN38),ISNUMBER(AN30)),IFERROR(AN38/AN30,""),"")</f>
        <v>0.341508114233662</v>
      </c>
      <c r="AO39" s="30" t="n">
        <f aca="false">IF(AND(ISNUMBER(AO38),ISNUMBER(AO30)),IFERROR(AO38/AO30,""),"")</f>
        <v>0.36857836988403</v>
      </c>
      <c r="AP39" s="30" t="n">
        <f aca="false">IF(AND(ISNUMBER(AP38),ISNUMBER(AP30)),IFERROR(AP38/AP30,""),"")</f>
        <v>0.344187961819099</v>
      </c>
      <c r="AQ39" s="30" t="n">
        <f aca="false">IF(AND(ISNUMBER(AQ38),ISNUMBER(AQ30)),IFERROR(AQ38/AQ30,""),"")</f>
        <v>0.352671595759704</v>
      </c>
      <c r="AR39" s="30" t="n">
        <f aca="false">IF(AND(ISNUMBER(AR38),ISNUMBER(AR30)),IFERROR(AR38/AR30,""),"")</f>
        <v>0.352094971732321</v>
      </c>
      <c r="AS39" s="30" t="n">
        <f aca="false">IF(AND(ISNUMBER(AS38),ISNUMBER(AS30)),IFERROR(AS38/AS30,""),"")</f>
        <v>0.336340212368829</v>
      </c>
      <c r="AT39" s="30" t="n">
        <f aca="false">IF(AND(ISNUMBER(AT38),ISNUMBER(AT30)),IFERROR(AT38/AT30,""),"")</f>
        <v>0.357776712109794</v>
      </c>
      <c r="AU39" s="30" t="n">
        <f aca="false">IF(AND(ISNUMBER(AU38),ISNUMBER(AU30)),IFERROR(AU38/AU30,""),"")</f>
        <v>0.35406483057477</v>
      </c>
      <c r="AV39" s="30" t="n">
        <f aca="false">IF(AND(ISNUMBER(AV38),ISNUMBER(AV30)),IFERROR(AV38/AV30,""),"")</f>
        <v>0.37167408809389</v>
      </c>
      <c r="AW39" s="30" t="n">
        <f aca="false">IF(AND(ISNUMBER(AW38),ISNUMBER(AW30)),IFERROR(AW38/AW30,""),"")</f>
        <v>0.35553556795701</v>
      </c>
      <c r="AX39" s="30" t="n">
        <f aca="false">IF(AND(ISNUMBER(AX38),ISNUMBER(AX30)),IFERROR(AX38/AX30,""),"")</f>
        <v>0.331133974502349</v>
      </c>
      <c r="AY39" s="30" t="n">
        <f aca="false">IF(AND(ISNUMBER(AY38),ISNUMBER(AY30)),IFERROR(AY38/AY30,""),"")</f>
        <v>0.351036040297998</v>
      </c>
      <c r="AZ39" s="30" t="n">
        <f aca="false">IF(AND(ISNUMBER(AZ38),ISNUMBER(AZ30)),IFERROR(AZ38/AZ30,""),"")</f>
        <v>0.34693562324927</v>
      </c>
      <c r="BA39" s="30" t="n">
        <f aca="false">IF(AND(ISNUMBER(BA38),ISNUMBER(BA30)),IFERROR(BA38/BA30,""),"")</f>
        <v>0.360143564121618</v>
      </c>
      <c r="BB39" s="30" t="n">
        <f aca="false">IF(AND(ISNUMBER(BB38),ISNUMBER(BB30)),IFERROR(BB38/BB30,""),"")</f>
        <v>0.347775681057581</v>
      </c>
      <c r="BC39" s="30" t="n">
        <f aca="false">IF(AND(ISNUMBER(BC38),ISNUMBER(BC30)),IFERROR(BC38/BC30,""),"")</f>
        <v>0.310547999424295</v>
      </c>
      <c r="BD39" s="30" t="n">
        <f aca="false">IF(AND(ISNUMBER(BD38),ISNUMBER(BD30)),IFERROR(BD38/BD30,""),"")</f>
        <v>0.334891930259106</v>
      </c>
      <c r="BE39" s="30" t="n">
        <f aca="false">IF(AND(ISNUMBER(BE38),ISNUMBER(BE30)),IFERROR(BE38/BE30,""),"")</f>
        <v>0.331531553666417</v>
      </c>
      <c r="BF39" s="30" t="n">
        <f aca="false">IF(AND(ISNUMBER(BF38),ISNUMBER(BF30)),IFERROR(BF38/BF30,""),"")</f>
        <v>0.350994067989112</v>
      </c>
      <c r="BG39" s="30" t="n">
        <f aca="false">IF(AND(ISNUMBER(BG38),ISNUMBER(BG30)),IFERROR(BG38/BG30,""),"")</f>
        <v>0.332928867065991</v>
      </c>
      <c r="BH39" s="30" t="n">
        <f aca="false">IF(AND(ISNUMBER(BH38),ISNUMBER(BH30)),IFERROR(BH38/BH30,""),"")</f>
        <v>0.28285220282366</v>
      </c>
      <c r="BI39" s="30" t="n">
        <f aca="false">IF(AND(ISNUMBER(BI38),ISNUMBER(BI30)),IFERROR(BI38/BI30,""),"")</f>
        <v>0.287099970506265</v>
      </c>
      <c r="BJ39" s="30" t="n">
        <f aca="false">IF(AND(ISNUMBER(BJ38),ISNUMBER(BJ30)),IFERROR(BJ38/BJ30,""),"")</f>
        <v>0.284275486624911</v>
      </c>
      <c r="BK39" s="30" t="n">
        <f aca="false">IF(AND(ISNUMBER(BK38),ISNUMBER(BK30)),IFERROR(BK38/BK30,""),"")</f>
        <v>0.307739017974701</v>
      </c>
      <c r="BL39" s="30" t="n">
        <f aca="false">IF(AND(ISNUMBER(BL38),ISNUMBER(BL30)),IFERROR(BL38/BL30,""),"")</f>
        <v>0.29123456810276</v>
      </c>
      <c r="BM39" s="30" t="n">
        <f aca="false">IF(AND(ISNUMBER(BM38),ISNUMBER(BM30)),IFERROR(BM38/BM30,""),"")</f>
        <v>0.258069818354771</v>
      </c>
      <c r="BN39" s="30" t="n">
        <f aca="false">IF(AND(ISNUMBER(BN38),ISNUMBER(BN30)),IFERROR(BN38/BN30,""),"")</f>
        <v>0.292832939791183</v>
      </c>
      <c r="BO39" s="30" t="n">
        <f aca="false">IF(AND(ISNUMBER(BO38),ISNUMBER(BO30)),IFERROR(BO38/BO30,""),"")</f>
        <v>0.292081743649283</v>
      </c>
      <c r="BP39" s="30" t="n">
        <f aca="false">IF(AND(ISNUMBER(BP38),ISNUMBER(BP30)),IFERROR(BP38/BP30,""),"")</f>
        <v>0.298986119744344</v>
      </c>
      <c r="BQ39" s="30" t="n">
        <f aca="false">IF(AND(ISNUMBER(BQ38),ISNUMBER(BQ30)),IFERROR(BQ38/BQ30,""),"")</f>
        <v>0.28641227705033</v>
      </c>
      <c r="BR39" s="30" t="n">
        <f aca="false">IF(AND(ISNUMBER(BR38),ISNUMBER(BR30)),IFERROR(BR38/BR30,""),"")</f>
        <v>0.290498463587787</v>
      </c>
      <c r="BS39" s="30" t="n">
        <f aca="false">IF(AND(ISNUMBER(BS38),ISNUMBER(BS30)),IFERROR(BS38/BS30,""),"")</f>
        <v>0.284706006131509</v>
      </c>
      <c r="BT39" s="30" t="n">
        <f aca="false">IF(AND(ISNUMBER(BT38),ISNUMBER(BT30)),IFERROR(BT38/BT30,""),"")</f>
        <v>0.284646057612059</v>
      </c>
      <c r="BU39" s="30" t="n">
        <f aca="false">IF(AND(ISNUMBER(BU38),ISNUMBER(BU30)),IFERROR(BU38/BU30,""),"")</f>
        <v>0.291372880254694</v>
      </c>
      <c r="BV39" s="30" t="n">
        <f aca="false">IF(AND(ISNUMBER(BV38),ISNUMBER(BV30)),IFERROR(BV38/BV30,""),"")</f>
        <v>0.287860195878623</v>
      </c>
      <c r="BW39" s="30" t="n">
        <f aca="false">IF(AND(ISNUMBER(BW38),ISNUMBER(BW30)),IFERROR(BW38/BW30,""),"")</f>
        <v>0.257719026101032</v>
      </c>
      <c r="BX39" s="30" t="n">
        <f aca="false">IF(AND(ISNUMBER(BX38),ISNUMBER(BX30)),IFERROR(BX38/BX30,""),"")</f>
        <v>0.321468363465439</v>
      </c>
      <c r="BY39" s="30" t="n">
        <f aca="false">IF(AND(ISNUMBER(BY38),ISNUMBER(BY30)),IFERROR(BY38/BY30,""),"")</f>
        <v>0.314794399849427</v>
      </c>
      <c r="CN39" s="24" t="s">
        <v>118</v>
      </c>
      <c r="CO39" s="38" t="n">
        <f aca="false">CP39+$CO$37</f>
        <v>0.27</v>
      </c>
      <c r="CP39" s="39" t="n">
        <v>0.255</v>
      </c>
      <c r="CQ39" s="38" t="n">
        <f aca="false">CP39+$CQ$37</f>
        <v>0.24</v>
      </c>
    </row>
    <row r="40" customFormat="false" ht="15" hidden="false" customHeight="true" outlineLevel="0" collapsed="false">
      <c r="B40" s="29" t="s">
        <v>117</v>
      </c>
      <c r="C40" s="35" t="n">
        <v>1.607</v>
      </c>
      <c r="D40" s="35" t="n">
        <v>2.3</v>
      </c>
      <c r="E40" s="35" t="n">
        <v>2.093</v>
      </c>
      <c r="F40" s="35" t="n">
        <v>1.67</v>
      </c>
      <c r="G40" s="35" t="n">
        <v>1.502</v>
      </c>
      <c r="H40" s="35" t="n">
        <v>2.543</v>
      </c>
      <c r="I40" s="35" t="n">
        <v>7.248</v>
      </c>
      <c r="J40" s="35" t="n">
        <v>2.035</v>
      </c>
      <c r="K40" s="35" t="n">
        <v>1.79</v>
      </c>
      <c r="L40" s="35" t="n">
        <v>1.673</v>
      </c>
      <c r="M40" s="35" t="n">
        <v>2.25</v>
      </c>
      <c r="N40" s="35" t="n">
        <v>7.748</v>
      </c>
      <c r="O40" s="35" t="n">
        <v>1.708</v>
      </c>
      <c r="P40" s="35" t="n">
        <v>1.051</v>
      </c>
      <c r="Q40" s="35" t="n">
        <v>1.605</v>
      </c>
      <c r="R40" s="35" t="n">
        <v>1.963</v>
      </c>
      <c r="S40" s="35" t="n">
        <v>6.327</v>
      </c>
      <c r="U40" s="35" t="n">
        <v>1.226</v>
      </c>
      <c r="V40" s="35" t="n">
        <v>1.6</v>
      </c>
      <c r="X40" s="35" t="n">
        <v>6.201</v>
      </c>
      <c r="Y40" s="35" t="n">
        <v>1.683</v>
      </c>
      <c r="Z40" s="35" t="n">
        <v>5.058</v>
      </c>
      <c r="AA40" s="35" t="n">
        <v>2.516</v>
      </c>
      <c r="AB40" s="35" t="n">
        <v>2.705</v>
      </c>
      <c r="AC40" s="35" t="n">
        <v>11.962</v>
      </c>
      <c r="AD40" s="35" t="n">
        <v>2.504</v>
      </c>
      <c r="AE40" s="35" t="n">
        <v>2.33</v>
      </c>
      <c r="AF40" s="35" t="n">
        <v>3.086</v>
      </c>
      <c r="AG40" s="35" t="n">
        <v>2.18</v>
      </c>
      <c r="AH40" s="35" t="n">
        <v>10.1</v>
      </c>
      <c r="AI40" s="35" t="n">
        <v>1.743</v>
      </c>
      <c r="AJ40" s="35" t="n">
        <v>2.242</v>
      </c>
      <c r="AK40" s="35" t="n">
        <v>2.937</v>
      </c>
      <c r="AL40" s="35" t="n">
        <v>2.609</v>
      </c>
      <c r="AM40" s="35" t="n">
        <v>9.531</v>
      </c>
      <c r="AN40" s="35" t="n">
        <v>3.058</v>
      </c>
      <c r="AO40" s="35" t="n">
        <v>2.954</v>
      </c>
      <c r="AP40" s="35" t="n">
        <v>2.996</v>
      </c>
      <c r="AQ40" s="35" t="n">
        <v>2.818</v>
      </c>
      <c r="AR40" s="35" t="n">
        <v>11.826</v>
      </c>
      <c r="AS40" s="35" t="n">
        <v>2.727</v>
      </c>
      <c r="AT40" s="35" t="n">
        <v>2.938</v>
      </c>
      <c r="AU40" s="35" t="n">
        <v>3.401</v>
      </c>
      <c r="AV40" s="35" t="n">
        <v>2.959</v>
      </c>
      <c r="AW40" s="35" t="n">
        <v>12.025</v>
      </c>
      <c r="AX40" s="35" t="n">
        <v>13.521</v>
      </c>
      <c r="AY40" s="35" t="n">
        <v>4.307</v>
      </c>
      <c r="AZ40" s="35" t="n">
        <v>5.921</v>
      </c>
      <c r="BA40" s="35" t="n">
        <v>2.747</v>
      </c>
      <c r="BB40" s="35" t="n">
        <v>26.496</v>
      </c>
      <c r="BC40" s="35" t="n">
        <v>5.07</v>
      </c>
      <c r="BD40" s="35" t="n">
        <v>2.925</v>
      </c>
      <c r="BE40" s="35" t="n">
        <v>3.879</v>
      </c>
      <c r="BF40" s="35" t="n">
        <v>3.656</v>
      </c>
      <c r="BG40" s="35" t="n">
        <v>15.53</v>
      </c>
      <c r="BH40" s="35" t="n">
        <v>4.089</v>
      </c>
      <c r="BI40" s="35" t="n">
        <v>6.969</v>
      </c>
      <c r="BJ40" s="35" t="n">
        <v>7.517</v>
      </c>
      <c r="BK40" s="35" t="n">
        <v>7.918</v>
      </c>
      <c r="BL40" s="35" t="n">
        <v>26.493</v>
      </c>
      <c r="BM40" s="35" t="n">
        <v>6.174</v>
      </c>
      <c r="BN40" s="35" t="n">
        <v>6.854</v>
      </c>
      <c r="BO40" s="35" t="n">
        <v>7.841</v>
      </c>
      <c r="BP40" s="35" t="n">
        <v>8.995</v>
      </c>
      <c r="BQ40" s="35" t="n">
        <v>29.864</v>
      </c>
      <c r="BR40" s="35" t="n">
        <v>7.089</v>
      </c>
      <c r="BS40" s="35" t="n">
        <v>7.189</v>
      </c>
      <c r="BT40" s="35" t="n">
        <v>5.453</v>
      </c>
      <c r="BU40" s="35" t="n">
        <v>5.347</v>
      </c>
      <c r="BV40" s="35" t="n">
        <v>25.078</v>
      </c>
      <c r="BW40" s="35" t="n">
        <v>7.831</v>
      </c>
      <c r="BX40" s="35" t="n">
        <v>9.552</v>
      </c>
      <c r="BY40" s="35" t="n">
        <v>15.569</v>
      </c>
      <c r="CN40" s="24" t="s">
        <v>120</v>
      </c>
      <c r="CO40" s="38" t="n">
        <f aca="false">CP40+$CO$37</f>
        <v>0.27</v>
      </c>
      <c r="CP40" s="39" t="n">
        <v>0.255</v>
      </c>
      <c r="CQ40" s="38" t="n">
        <f aca="false">CP40+$CQ$37</f>
        <v>0.24</v>
      </c>
    </row>
    <row r="41" customFormat="false" ht="15" hidden="false" customHeight="true" outlineLevel="0" collapsed="false">
      <c r="B41" s="26" t="s">
        <v>139</v>
      </c>
      <c r="S41" s="35" t="n">
        <v>243.13</v>
      </c>
      <c r="X41" s="35" t="n">
        <v>255.095</v>
      </c>
      <c r="AC41" s="35" t="n">
        <v>371.297</v>
      </c>
      <c r="AH41" s="35" t="n">
        <v>420.991</v>
      </c>
      <c r="AI41" s="35" t="n">
        <v>117.341</v>
      </c>
      <c r="AJ41" s="35" t="n">
        <v>130.891</v>
      </c>
      <c r="AK41" s="35" t="n">
        <v>146.652</v>
      </c>
      <c r="AL41" s="35" t="n">
        <v>152.204</v>
      </c>
      <c r="AM41" s="35" t="n">
        <v>547.088</v>
      </c>
      <c r="AN41" s="35" t="n">
        <v>137.75</v>
      </c>
      <c r="AO41" s="35" t="n">
        <v>161.664</v>
      </c>
      <c r="AP41" s="35" t="n">
        <v>160.031</v>
      </c>
      <c r="AQ41" s="35" t="n">
        <v>174.24</v>
      </c>
      <c r="AR41" s="35" t="n">
        <v>633.685</v>
      </c>
      <c r="AS41" s="35" t="n">
        <v>160.713</v>
      </c>
      <c r="AT41" s="35" t="n">
        <v>168.962</v>
      </c>
      <c r="AU41" s="35" t="n">
        <v>165.189</v>
      </c>
      <c r="AV41" s="35" t="n">
        <v>185.037</v>
      </c>
      <c r="AW41" s="35" t="n">
        <v>679.901</v>
      </c>
      <c r="AX41" s="35" t="n">
        <v>167.089</v>
      </c>
      <c r="AY41" s="35" t="n">
        <v>178.259</v>
      </c>
      <c r="AZ41" s="35" t="n">
        <v>176.238</v>
      </c>
      <c r="BA41" s="35" t="n">
        <v>188.035</v>
      </c>
      <c r="BB41" s="35" t="n">
        <v>709.621</v>
      </c>
      <c r="BC41" s="35" t="n">
        <v>157.468</v>
      </c>
      <c r="BD41" s="35" t="n">
        <v>162.441</v>
      </c>
      <c r="BE41" s="35" t="n">
        <v>165.871</v>
      </c>
      <c r="BF41" s="35" t="n">
        <v>186.367</v>
      </c>
      <c r="BG41" s="35" t="n">
        <v>672.147</v>
      </c>
      <c r="BH41" s="35" t="n">
        <v>174.578</v>
      </c>
      <c r="BI41" s="35" t="n">
        <v>220.742</v>
      </c>
      <c r="BJ41" s="35" t="n">
        <v>248.919</v>
      </c>
      <c r="BK41" s="35" t="n">
        <v>274.135</v>
      </c>
      <c r="BL41" s="35" t="n">
        <v>918.374</v>
      </c>
      <c r="BM41" s="35" t="n">
        <v>220.646</v>
      </c>
      <c r="BN41" s="35" t="n">
        <v>253.758</v>
      </c>
      <c r="BO41" s="35" t="n">
        <v>257.974</v>
      </c>
      <c r="BP41" s="35" t="n">
        <v>272.133</v>
      </c>
      <c r="BQ41" s="35" t="n">
        <v>1004.511</v>
      </c>
      <c r="BR41" s="35" t="n">
        <v>263.622</v>
      </c>
      <c r="BS41" s="35" t="n">
        <v>276.091</v>
      </c>
      <c r="BT41" s="35" t="n">
        <v>290.68</v>
      </c>
      <c r="BU41" s="35" t="n">
        <v>311.814</v>
      </c>
      <c r="BV41" s="35" t="n">
        <v>1142.207</v>
      </c>
      <c r="BW41" s="35" t="n">
        <v>301.162</v>
      </c>
      <c r="BX41" s="35" t="n">
        <v>378.945</v>
      </c>
      <c r="BY41" s="35" t="n">
        <v>392.399</v>
      </c>
      <c r="CN41" s="24" t="s">
        <v>122</v>
      </c>
      <c r="CO41" s="38" t="n">
        <f aca="false">CP41+$CO$37</f>
        <v>0.27</v>
      </c>
      <c r="CP41" s="39" t="n">
        <v>0.255</v>
      </c>
      <c r="CQ41" s="38" t="n">
        <f aca="false">CP41+$CQ$37</f>
        <v>0.24</v>
      </c>
    </row>
    <row r="42" customFormat="false" ht="15" hidden="false" customHeight="true" outlineLevel="0" collapsed="false">
      <c r="B42" s="26" t="s">
        <v>140</v>
      </c>
      <c r="S42" s="35" t="n">
        <v>136.274</v>
      </c>
      <c r="X42" s="35" t="n">
        <v>135.887</v>
      </c>
      <c r="AC42" s="35" t="n">
        <v>139.975</v>
      </c>
      <c r="AH42" s="35" t="n">
        <v>153.27</v>
      </c>
      <c r="AI42" s="35" t="n">
        <v>38.317</v>
      </c>
      <c r="AJ42" s="35" t="n">
        <v>37.831</v>
      </c>
      <c r="AK42" s="35" t="n">
        <v>39.718</v>
      </c>
      <c r="AL42" s="35" t="n">
        <v>38.873</v>
      </c>
      <c r="AM42" s="35" t="n">
        <v>154.739</v>
      </c>
      <c r="AN42" s="35" t="n">
        <v>46.679</v>
      </c>
      <c r="AO42" s="35" t="n">
        <v>52.787</v>
      </c>
      <c r="AP42" s="35" t="n">
        <v>56.098</v>
      </c>
      <c r="AQ42" s="35" t="n">
        <v>45.273</v>
      </c>
      <c r="AR42" s="35" t="n">
        <v>200.837</v>
      </c>
      <c r="AS42" s="35" t="n">
        <v>47.698</v>
      </c>
      <c r="AT42" s="35" t="n">
        <v>49.993</v>
      </c>
      <c r="AU42" s="35" t="n">
        <v>45.73</v>
      </c>
      <c r="AV42" s="35" t="n">
        <v>51.665</v>
      </c>
      <c r="AW42" s="35" t="n">
        <v>195.086</v>
      </c>
      <c r="AX42" s="35" t="n">
        <v>56.461</v>
      </c>
      <c r="AY42" s="35" t="n">
        <v>64.83</v>
      </c>
      <c r="AZ42" s="35" t="n">
        <v>63.305</v>
      </c>
      <c r="BA42" s="35" t="n">
        <v>64.953</v>
      </c>
      <c r="BB42" s="35" t="n">
        <v>249.549</v>
      </c>
      <c r="BC42" s="35" t="n">
        <v>64.868</v>
      </c>
      <c r="BD42" s="35" t="n">
        <v>74.952</v>
      </c>
      <c r="BE42" s="35" t="n">
        <v>78.332</v>
      </c>
      <c r="BF42" s="35" t="n">
        <v>82.176</v>
      </c>
      <c r="BG42" s="35" t="n">
        <v>300.328</v>
      </c>
      <c r="BH42" s="35" t="n">
        <v>80.481</v>
      </c>
      <c r="BI42" s="35" t="n">
        <v>81.017</v>
      </c>
      <c r="BJ42" s="35" t="n">
        <v>76.948</v>
      </c>
      <c r="BK42" s="35" t="n">
        <v>68.402</v>
      </c>
      <c r="BL42" s="35" t="n">
        <v>306.848</v>
      </c>
      <c r="BM42" s="35" t="n">
        <v>65.296</v>
      </c>
      <c r="BN42" s="35" t="n">
        <v>65.564</v>
      </c>
      <c r="BO42" s="35" t="n">
        <v>64.155</v>
      </c>
      <c r="BP42" s="35" t="n">
        <v>64.1</v>
      </c>
      <c r="BQ42" s="35" t="n">
        <v>259.115</v>
      </c>
      <c r="BR42" s="35" t="n">
        <v>66.693</v>
      </c>
      <c r="BS42" s="35" t="n">
        <v>66.076</v>
      </c>
      <c r="BT42" s="35" t="n">
        <v>65.183</v>
      </c>
      <c r="BU42" s="35" t="n">
        <v>72.961</v>
      </c>
      <c r="BV42" s="35" t="n">
        <v>270.913</v>
      </c>
      <c r="BW42" s="35" t="n">
        <v>69.513</v>
      </c>
      <c r="BX42" s="35" t="n">
        <v>80.587</v>
      </c>
      <c r="BY42" s="35" t="n">
        <v>91.088</v>
      </c>
    </row>
    <row r="43" customFormat="false" ht="15" hidden="false" customHeight="true" outlineLevel="0" collapsed="false">
      <c r="B43" s="26" t="s">
        <v>124</v>
      </c>
      <c r="AH43" s="35" t="n">
        <v>48.832</v>
      </c>
      <c r="AI43" s="35" t="n">
        <v>15.523</v>
      </c>
      <c r="AJ43" s="35" t="n">
        <v>14.935</v>
      </c>
      <c r="AK43" s="35" t="n">
        <v>16.146</v>
      </c>
      <c r="AL43" s="35" t="n">
        <v>24.631</v>
      </c>
      <c r="AM43" s="35" t="n">
        <v>71.235</v>
      </c>
      <c r="AN43" s="35" t="n">
        <v>19.295</v>
      </c>
      <c r="AO43" s="35" t="n">
        <v>22.876</v>
      </c>
      <c r="AP43" s="35" t="n">
        <v>20.729</v>
      </c>
      <c r="AQ43" s="35" t="n">
        <v>22.704</v>
      </c>
      <c r="AR43" s="35" t="n">
        <v>85.604</v>
      </c>
      <c r="AS43" s="35" t="n">
        <v>20.338</v>
      </c>
      <c r="AT43" s="35" t="n">
        <v>21.721</v>
      </c>
      <c r="AU43" s="35" t="n">
        <v>14.482</v>
      </c>
      <c r="AV43" s="35" t="n">
        <v>15.116</v>
      </c>
      <c r="AW43" s="35" t="n">
        <v>71.657</v>
      </c>
      <c r="AX43" s="35" t="n">
        <v>17.551</v>
      </c>
      <c r="AY43" s="35" t="n">
        <v>19.724</v>
      </c>
      <c r="AZ43" s="35" t="n">
        <v>19.305</v>
      </c>
      <c r="BA43" s="35" t="n">
        <v>18.186</v>
      </c>
      <c r="BB43" s="35" t="n">
        <v>74.766</v>
      </c>
      <c r="BC43" s="35" t="n">
        <v>17.526</v>
      </c>
      <c r="BD43" s="35" t="n">
        <v>20.207</v>
      </c>
      <c r="BE43" s="35" t="n">
        <v>20.322</v>
      </c>
      <c r="BF43" s="35" t="n">
        <v>28.725</v>
      </c>
      <c r="BG43" s="35" t="n">
        <v>86.78</v>
      </c>
      <c r="BH43" s="35" t="n">
        <v>35.327</v>
      </c>
      <c r="BI43" s="35" t="n">
        <v>45.126</v>
      </c>
      <c r="BJ43" s="35" t="n">
        <v>52.685</v>
      </c>
      <c r="BK43" s="35" t="n">
        <v>50.481</v>
      </c>
      <c r="BL43" s="35" t="n">
        <v>183.619</v>
      </c>
      <c r="BM43" s="35" t="n">
        <v>49.556</v>
      </c>
      <c r="BN43" s="35" t="n">
        <v>54.509</v>
      </c>
      <c r="BO43" s="35" t="n">
        <v>57.812</v>
      </c>
      <c r="BP43" s="35" t="n">
        <v>56.17</v>
      </c>
      <c r="BQ43" s="35" t="n">
        <v>218.047</v>
      </c>
      <c r="BR43" s="35" t="n">
        <v>60.612</v>
      </c>
      <c r="BS43" s="35" t="n">
        <v>64.543</v>
      </c>
      <c r="BT43" s="35" t="n">
        <v>68.749</v>
      </c>
      <c r="BU43" s="35" t="n">
        <v>81.655</v>
      </c>
      <c r="BV43" s="35" t="n">
        <v>275.559</v>
      </c>
      <c r="BW43" s="35" t="n">
        <v>88.918</v>
      </c>
      <c r="BX43" s="35" t="n">
        <v>112.479</v>
      </c>
      <c r="BY43" s="35" t="n">
        <v>105.787</v>
      </c>
      <c r="CN43" s="15" t="s">
        <v>141</v>
      </c>
      <c r="CO43" s="40" t="n">
        <v>400</v>
      </c>
      <c r="CP43" s="15" t="s">
        <v>113</v>
      </c>
      <c r="CQ43" s="40" t="n">
        <v>-400</v>
      </c>
      <c r="CR43" s="13" t="s">
        <v>142</v>
      </c>
    </row>
    <row r="44" customFormat="false" ht="15" hidden="false" customHeight="true" outlineLevel="0" collapsed="false">
      <c r="B44" s="26" t="s">
        <v>127</v>
      </c>
      <c r="AH44" s="35" t="n">
        <v>368.234</v>
      </c>
      <c r="AI44" s="35" t="n">
        <v>97.082</v>
      </c>
      <c r="AJ44" s="35" t="n">
        <v>109.13</v>
      </c>
      <c r="AK44" s="35" t="n">
        <v>125.375</v>
      </c>
      <c r="AL44" s="35" t="n">
        <v>121.127</v>
      </c>
      <c r="AM44" s="35" t="n">
        <v>452.714</v>
      </c>
      <c r="AN44" s="35" t="n">
        <v>115.219</v>
      </c>
      <c r="AO44" s="35" t="n">
        <v>135.952</v>
      </c>
      <c r="AP44" s="35" t="n">
        <v>138.875</v>
      </c>
      <c r="AQ44" s="35" t="n">
        <v>140.983</v>
      </c>
      <c r="AR44" s="35" t="n">
        <v>531.029</v>
      </c>
      <c r="AS44" s="35" t="n">
        <v>133.11</v>
      </c>
      <c r="AT44" s="35" t="n">
        <v>139.491</v>
      </c>
      <c r="AU44" s="35" t="n">
        <v>141.282</v>
      </c>
      <c r="AV44" s="35" t="n">
        <v>163.698</v>
      </c>
      <c r="AW44" s="35" t="n">
        <v>577.581</v>
      </c>
      <c r="AX44" s="35" t="n">
        <v>142.092</v>
      </c>
      <c r="AY44" s="35" t="n">
        <v>149.361</v>
      </c>
      <c r="AZ44" s="35" t="n">
        <v>148.035</v>
      </c>
      <c r="BA44" s="35" t="n">
        <v>160.082</v>
      </c>
      <c r="BB44" s="35" t="n">
        <v>599.57</v>
      </c>
      <c r="BC44" s="35" t="n">
        <v>131.447</v>
      </c>
      <c r="BD44" s="35" t="n">
        <v>134.414</v>
      </c>
      <c r="BE44" s="35" t="n">
        <v>136.778</v>
      </c>
      <c r="BF44" s="35" t="n">
        <v>142.745</v>
      </c>
      <c r="BG44" s="35" t="n">
        <v>545.384</v>
      </c>
      <c r="BH44" s="35" t="n">
        <v>121.962</v>
      </c>
      <c r="BI44" s="35" t="n">
        <v>138.609</v>
      </c>
      <c r="BJ44" s="35" t="n">
        <v>153.19</v>
      </c>
      <c r="BK44" s="35" t="n">
        <v>189.653</v>
      </c>
      <c r="BL44" s="35" t="n">
        <v>603.414</v>
      </c>
      <c r="BM44" s="35" t="n">
        <v>135.776</v>
      </c>
      <c r="BN44" s="35" t="n">
        <v>164.981</v>
      </c>
      <c r="BO44" s="35" t="n">
        <v>169.67</v>
      </c>
      <c r="BP44" s="35" t="n">
        <v>180.22</v>
      </c>
      <c r="BQ44" s="35" t="n">
        <v>650.647</v>
      </c>
      <c r="BR44" s="35" t="n">
        <v>170.741</v>
      </c>
      <c r="BS44" s="35" t="n">
        <v>171.246</v>
      </c>
      <c r="BT44" s="35" t="n">
        <v>182.59</v>
      </c>
      <c r="BU44" s="35" t="n">
        <v>191.973</v>
      </c>
      <c r="BV44" s="35" t="n">
        <v>716.55</v>
      </c>
      <c r="BW44" s="35" t="n">
        <v>170.363</v>
      </c>
      <c r="BX44" s="35" t="n">
        <v>217.595</v>
      </c>
      <c r="BY44" s="35" t="n">
        <v>238.093</v>
      </c>
      <c r="CN44" s="24" t="s">
        <v>116</v>
      </c>
      <c r="CO44" s="41" t="n">
        <f aca="false">CP44+$CO$43</f>
        <v>1200</v>
      </c>
      <c r="CP44" s="34" t="n">
        <v>800</v>
      </c>
      <c r="CQ44" s="41" t="n">
        <f aca="false">MAX(0,CP44+$CQ$43)</f>
        <v>400</v>
      </c>
    </row>
    <row r="45" customFormat="false" ht="15" hidden="false" customHeight="true" outlineLevel="0" collapsed="false">
      <c r="B45" s="26" t="s">
        <v>128</v>
      </c>
      <c r="AH45" s="35" t="n">
        <v>157.195</v>
      </c>
      <c r="AI45" s="35" t="n">
        <v>43.053</v>
      </c>
      <c r="AJ45" s="35" t="n">
        <v>44.657</v>
      </c>
      <c r="AK45" s="35" t="n">
        <v>44.849</v>
      </c>
      <c r="AL45" s="35" t="n">
        <v>45.319</v>
      </c>
      <c r="AM45" s="35" t="n">
        <v>177.878</v>
      </c>
      <c r="AN45" s="35" t="n">
        <v>49.915</v>
      </c>
      <c r="AO45" s="35" t="n">
        <v>55.623</v>
      </c>
      <c r="AP45" s="35" t="n">
        <v>56.525</v>
      </c>
      <c r="AQ45" s="35" t="n">
        <v>55.826</v>
      </c>
      <c r="AR45" s="35" t="n">
        <v>217.889</v>
      </c>
      <c r="AS45" s="35" t="n">
        <v>54.963</v>
      </c>
      <c r="AT45" s="35" t="n">
        <v>57.743</v>
      </c>
      <c r="AU45" s="35" t="n">
        <v>55.155</v>
      </c>
      <c r="AV45" s="35" t="n">
        <v>57.888</v>
      </c>
      <c r="AW45" s="35" t="n">
        <v>225.749</v>
      </c>
      <c r="AX45" s="35" t="n">
        <v>63.907</v>
      </c>
      <c r="AY45" s="35" t="n">
        <v>74.004</v>
      </c>
      <c r="AZ45" s="35" t="n">
        <v>72.203</v>
      </c>
      <c r="BA45" s="35" t="n">
        <v>74.72</v>
      </c>
      <c r="BB45" s="35" t="n">
        <v>284.834</v>
      </c>
      <c r="BC45" s="35" t="n">
        <v>73.363</v>
      </c>
      <c r="BD45" s="35" t="n">
        <v>82.772</v>
      </c>
      <c r="BE45" s="35" t="n">
        <v>87.103</v>
      </c>
      <c r="BF45" s="35" t="n">
        <v>97.073</v>
      </c>
      <c r="BG45" s="35" t="n">
        <v>340.311</v>
      </c>
      <c r="BH45" s="35" t="n">
        <v>97.77</v>
      </c>
      <c r="BI45" s="35" t="n">
        <v>118.024</v>
      </c>
      <c r="BJ45" s="35" t="n">
        <v>119.992</v>
      </c>
      <c r="BK45" s="35" t="n">
        <v>102.403</v>
      </c>
      <c r="BL45" s="35" t="n">
        <v>438.189</v>
      </c>
      <c r="BM45" s="35" t="n">
        <v>100.61</v>
      </c>
      <c r="BN45" s="35" t="n">
        <v>99.832</v>
      </c>
      <c r="BO45" s="35" t="n">
        <v>94.647</v>
      </c>
      <c r="BP45" s="35" t="n">
        <v>99.843</v>
      </c>
      <c r="BQ45" s="35" t="n">
        <v>394.932</v>
      </c>
      <c r="BR45" s="35" t="n">
        <v>98.962</v>
      </c>
      <c r="BS45" s="35" t="n">
        <v>106.378</v>
      </c>
      <c r="BT45" s="35" t="n">
        <v>104.524</v>
      </c>
      <c r="BU45" s="35" t="n">
        <v>111.147</v>
      </c>
      <c r="BV45" s="35" t="n">
        <v>421.011</v>
      </c>
      <c r="BW45" s="35" t="n">
        <v>111.394</v>
      </c>
      <c r="BX45" s="35" t="n">
        <v>129.458</v>
      </c>
      <c r="BY45" s="35" t="n">
        <v>139.607</v>
      </c>
      <c r="CN45" s="24" t="s">
        <v>118</v>
      </c>
      <c r="CO45" s="41" t="n">
        <f aca="false">CP45+$CO$43</f>
        <v>1200</v>
      </c>
      <c r="CP45" s="34" t="n">
        <v>800</v>
      </c>
      <c r="CQ45" s="41" t="n">
        <f aca="false">MAX(0,CP45+$CQ$43)</f>
        <v>400</v>
      </c>
    </row>
    <row r="46" customFormat="false" ht="15" hidden="false" customHeight="true" outlineLevel="0" collapsed="false">
      <c r="CN46" s="24" t="s">
        <v>120</v>
      </c>
      <c r="CO46" s="41" t="n">
        <f aca="false">CP46+$CO$43</f>
        <v>1300</v>
      </c>
      <c r="CP46" s="34" t="n">
        <v>900</v>
      </c>
      <c r="CQ46" s="41" t="n">
        <f aca="false">MAX(0,CP46+$CQ$43)</f>
        <v>500</v>
      </c>
    </row>
    <row r="47" customFormat="false" ht="15" hidden="false" customHeight="true" outlineLevel="0" collapsed="false">
      <c r="B47" s="14" t="s">
        <v>143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5" t="s">
        <v>144</v>
      </c>
      <c r="CN47" s="24" t="s">
        <v>122</v>
      </c>
      <c r="CO47" s="41" t="n">
        <f aca="false">CP47+$CO$43</f>
        <v>1300</v>
      </c>
      <c r="CP47" s="34" t="n">
        <v>900</v>
      </c>
      <c r="CQ47" s="41" t="n">
        <f aca="false">MAX(0,CP47+$CQ$43)</f>
        <v>500</v>
      </c>
    </row>
    <row r="48" customFormat="false" ht="15" hidden="false" customHeight="true" outlineLevel="0" collapsed="false">
      <c r="B48" s="29" t="s">
        <v>145</v>
      </c>
      <c r="C48" s="35" t="n">
        <v>-0.086</v>
      </c>
      <c r="D48" s="35" t="n">
        <v>-0.022</v>
      </c>
      <c r="E48" s="35" t="n">
        <v>-0.507</v>
      </c>
      <c r="F48" s="35" t="n">
        <v>-0.499</v>
      </c>
      <c r="G48" s="35" t="n">
        <v>-0.965</v>
      </c>
      <c r="H48" s="35" t="n">
        <v>-2.443</v>
      </c>
      <c r="I48" s="35" t="n">
        <v>-4.576</v>
      </c>
      <c r="J48" s="35" t="n">
        <v>-1.349</v>
      </c>
      <c r="K48" s="35" t="n">
        <v>-1.46</v>
      </c>
      <c r="L48" s="35" t="n">
        <v>-1.599</v>
      </c>
      <c r="M48" s="35" t="n">
        <v>-2.016</v>
      </c>
      <c r="N48" s="35" t="n">
        <v>-6.424</v>
      </c>
      <c r="O48" s="35" t="n">
        <v>-2.251</v>
      </c>
      <c r="P48" s="35" t="n">
        <v>-2.401</v>
      </c>
      <c r="Q48" s="35" t="n">
        <v>-2.596</v>
      </c>
      <c r="R48" s="35" t="n">
        <v>-2.646</v>
      </c>
      <c r="S48" s="35" t="n">
        <v>-9.894</v>
      </c>
      <c r="T48" s="35" t="n">
        <v>-3.093</v>
      </c>
      <c r="U48" s="35" t="n">
        <v>-2.349</v>
      </c>
      <c r="V48" s="35" t="n">
        <v>-3.452</v>
      </c>
      <c r="W48" s="35" t="n">
        <v>-3.14</v>
      </c>
      <c r="X48" s="35" t="n">
        <v>-12.034</v>
      </c>
      <c r="Y48" s="35" t="n">
        <v>-2.501</v>
      </c>
      <c r="Z48" s="35" t="n">
        <v>-2.208</v>
      </c>
      <c r="AA48" s="35" t="n">
        <v>-2.684</v>
      </c>
      <c r="AB48" s="35" t="n">
        <v>-3.491</v>
      </c>
      <c r="AC48" s="35" t="n">
        <v>-10.884</v>
      </c>
      <c r="AD48" s="35" t="n">
        <v>-3.634</v>
      </c>
      <c r="AE48" s="35" t="n">
        <v>-4.321</v>
      </c>
      <c r="AF48" s="35" t="n">
        <v>-4.326</v>
      </c>
      <c r="AG48" s="35" t="n">
        <v>-4.707</v>
      </c>
      <c r="AH48" s="35" t="n">
        <v>-16.988</v>
      </c>
      <c r="AI48" s="35" t="n">
        <v>-5.969</v>
      </c>
      <c r="AJ48" s="35" t="n">
        <v>-5.956</v>
      </c>
      <c r="AK48" s="35" t="n">
        <v>-5.671</v>
      </c>
      <c r="AL48" s="35" t="n">
        <v>-4.447</v>
      </c>
      <c r="AM48" s="35" t="n">
        <v>-22.043</v>
      </c>
      <c r="AN48" s="35" t="n">
        <v>-5.496</v>
      </c>
      <c r="AO48" s="35" t="n">
        <v>-7.054</v>
      </c>
      <c r="AP48" s="35" t="n">
        <v>-3.821</v>
      </c>
      <c r="AQ48" s="35" t="n">
        <v>-2.687</v>
      </c>
      <c r="AR48" s="35" t="n">
        <v>-19.058</v>
      </c>
      <c r="AS48" s="35" t="n">
        <v>-3.203</v>
      </c>
      <c r="AT48" s="35" t="n">
        <v>-2.773</v>
      </c>
      <c r="AU48" s="35" t="n">
        <v>-2.667</v>
      </c>
      <c r="AV48" s="35" t="n">
        <v>-4.147</v>
      </c>
      <c r="AW48" s="35" t="n">
        <v>-12.79</v>
      </c>
      <c r="AX48" s="35" t="n">
        <v>-4.982</v>
      </c>
      <c r="AY48" s="35" t="n">
        <v>-6.718</v>
      </c>
      <c r="AZ48" s="35" t="n">
        <v>-4.954</v>
      </c>
      <c r="BA48" s="35" t="n">
        <v>-3.923</v>
      </c>
      <c r="BB48" s="35" t="n">
        <v>-20.577</v>
      </c>
      <c r="BC48" s="35" t="n">
        <v>-4.674</v>
      </c>
      <c r="BD48" s="35" t="n">
        <v>-4.893</v>
      </c>
      <c r="BE48" s="35" t="n">
        <v>-4.934</v>
      </c>
      <c r="BF48" s="35" t="n">
        <v>-4.864</v>
      </c>
      <c r="BG48" s="35" t="n">
        <v>-19.365</v>
      </c>
      <c r="BH48" s="35" t="n">
        <v>-5.422</v>
      </c>
      <c r="BI48" s="35" t="n">
        <v>-6.12</v>
      </c>
      <c r="BJ48" s="35" t="n">
        <v>-8.005</v>
      </c>
      <c r="BK48" s="35" t="n">
        <v>-7.755</v>
      </c>
      <c r="BL48" s="35" t="n">
        <v>-27.302</v>
      </c>
      <c r="BM48" s="35" t="n">
        <v>-8.295</v>
      </c>
      <c r="BN48" s="35" t="n">
        <v>-11.159</v>
      </c>
      <c r="BO48" s="35" t="n">
        <v>-11.509</v>
      </c>
      <c r="BP48" s="35" t="n">
        <v>-14.348</v>
      </c>
      <c r="BQ48" s="35" t="n">
        <v>-45.311</v>
      </c>
      <c r="BR48" s="35" t="n">
        <v>-13.267</v>
      </c>
      <c r="BS48" s="35" t="n">
        <v>-11.417</v>
      </c>
      <c r="BT48" s="35" t="n">
        <v>-10.933</v>
      </c>
      <c r="BU48" s="35" t="n">
        <v>-9.736</v>
      </c>
      <c r="BV48" s="35" t="n">
        <v>-45.353</v>
      </c>
      <c r="BW48" s="35" t="n">
        <v>-12.093</v>
      </c>
      <c r="BX48" s="35" t="n">
        <v>-13.246</v>
      </c>
      <c r="BY48" s="35" t="n">
        <v>-18.24</v>
      </c>
      <c r="BZ48" s="42" t="n">
        <f aca="false">-(BZ11+BZ30)*BZ49</f>
        <v>-16.2157148215324</v>
      </c>
      <c r="CA48" s="42" t="n">
        <f aca="false">SUM(BW48,BX48,BY48,BZ48)</f>
        <v>-59.7947148215324</v>
      </c>
      <c r="CB48" s="42" t="n">
        <f aca="false">-(CB11+CB30)*CB49</f>
        <v>-66.9658872278115</v>
      </c>
      <c r="CC48" s="42" t="n">
        <f aca="false">-(CC11+CC30)*CC49</f>
        <v>-72.0975317711904</v>
      </c>
      <c r="CD48" s="42" t="n">
        <f aca="false">-(CD11+CD30)*CD49</f>
        <v>-77.0236488525311</v>
      </c>
      <c r="CE48" s="42" t="n">
        <f aca="false">-(CE11+CE30)*CE49</f>
        <v>-82.2867479702939</v>
      </c>
    </row>
    <row r="49" customFormat="false" ht="15" hidden="false" customHeight="true" outlineLevel="0" collapsed="false">
      <c r="B49" s="21" t="s">
        <v>146</v>
      </c>
      <c r="C49" s="22" t="n">
        <f aca="false">IFERROR(-C48/(C11+C30),"")</f>
        <v>0.000219233396894024</v>
      </c>
      <c r="D49" s="22" t="n">
        <f aca="false">IFERROR(-D48/(D11+D30),"")</f>
        <v>4.33116906127817E-005</v>
      </c>
      <c r="E49" s="22" t="n">
        <f aca="false">IFERROR(-E48/(E11+E30),"")</f>
        <v>0.000869857631585268</v>
      </c>
      <c r="F49" s="22" t="n">
        <f aca="false">IFERROR(-F48/(F11+F30),"")</f>
        <v>0.000926140739984595</v>
      </c>
      <c r="G49" s="22" t="n">
        <f aca="false">IFERROR(-G48/(G11+G30),"")</f>
        <v>0.0015615265742696</v>
      </c>
      <c r="H49" s="22" t="n">
        <f aca="false">IFERROR(-H48/(H11+H30),"")</f>
        <v>0.00318375049196308</v>
      </c>
      <c r="I49" s="22" t="n">
        <f aca="false">IFERROR(-I48/(I11+I30),"")</f>
        <v>0.00507360384423061</v>
      </c>
      <c r="J49" s="22" t="n">
        <f aca="false">IFERROR(-J48/(J11+J30),"")</f>
        <v>0.00619264686305023</v>
      </c>
      <c r="K49" s="22" t="n">
        <f aca="false">IFERROR(-K48/(K11+K30),"")</f>
        <v>0.0061044955846936</v>
      </c>
      <c r="L49" s="22" t="n">
        <f aca="false">IFERROR(-L48/(L11+L30),"")</f>
        <v>0.00595016596460414</v>
      </c>
      <c r="M49" s="22" t="n">
        <f aca="false">IFERROR(-M48/(M11+M30),"")</f>
        <v>0.00696512600106412</v>
      </c>
      <c r="N49" s="22" t="n">
        <f aca="false">IFERROR(-N48/(N11+N30),"")</f>
        <v>0.006327935609512</v>
      </c>
      <c r="O49" s="22" t="n">
        <f aca="false">IFERROR(-O48/(O11+O30),"")</f>
        <v>0.00836563511559888</v>
      </c>
      <c r="P49" s="22" t="n">
        <f aca="false">IFERROR(-P48/(P11+P30),"")</f>
        <v>0.00843542386160424</v>
      </c>
      <c r="Q49" s="22" t="n">
        <f aca="false">IFERROR(-Q48/(Q11+Q30),"")</f>
        <v>0.00884117891467377</v>
      </c>
      <c r="R49" s="22" t="n">
        <f aca="false">IFERROR(-R48/(R11+R30),"")</f>
        <v>0.00897347635729765</v>
      </c>
      <c r="S49" s="22" t="n">
        <f aca="false">IFERROR(-S48/(S11+S30),"")</f>
        <v>0.00866219286380291</v>
      </c>
      <c r="T49" s="22" t="n">
        <f aca="false">IFERROR(-T48/(T11+T30),"")</f>
        <v>0.0114015880388384</v>
      </c>
      <c r="U49" s="22" t="n">
        <f aca="false">IFERROR(-U48/(U11+U30),"")</f>
        <v>0.00799605133267522</v>
      </c>
      <c r="V49" s="22" t="n">
        <f aca="false">IFERROR(-V48/(V11+V30),"")</f>
        <v>0.0113619158586277</v>
      </c>
      <c r="W49" s="22" t="n">
        <f aca="false">IFERROR(-W48/(W11+W30),"")</f>
        <v>0.00946318999915615</v>
      </c>
      <c r="X49" s="22" t="n">
        <f aca="false">IFERROR(-X48/(X11+X30),"")</f>
        <v>0.0100226371345619</v>
      </c>
      <c r="Y49" s="22" t="n">
        <f aca="false">IFERROR(-Y48/(Y11+Y30),"")</f>
        <v>0.00810098209427069</v>
      </c>
      <c r="Z49" s="22" t="n">
        <f aca="false">IFERROR(-Z48/(Z11+Z30),"")</f>
        <v>0.00625751014578185</v>
      </c>
      <c r="AA49" s="22" t="n">
        <f aca="false">IFERROR(-AA48/(AA11+AA30),"")</f>
        <v>0.00748115773982072</v>
      </c>
      <c r="AB49" s="22" t="n">
        <f aca="false">IFERROR(-AB48/(AB11+AB30),"")</f>
        <v>0.00951770768014395</v>
      </c>
      <c r="AC49" s="22" t="n">
        <f aca="false">IFERROR(-AC48/(AC11+AC30),"")</f>
        <v>0.00784634882369649</v>
      </c>
      <c r="AD49" s="22" t="n">
        <f aca="false">IFERROR(-AD48/(AD11+AD30),"")</f>
        <v>0.0104706309462753</v>
      </c>
      <c r="AE49" s="22" t="n">
        <f aca="false">IFERROR(-AE48/(AE11+AE30),"")</f>
        <v>0.0115851337076181</v>
      </c>
      <c r="AF49" s="22" t="n">
        <f aca="false">IFERROR(-AF48/(AF11+AF30),"")</f>
        <v>0.0109290445801943</v>
      </c>
      <c r="AG49" s="22" t="n">
        <f aca="false">IFERROR(-AG48/(AG11+AG30),"")</f>
        <v>0.0110510857392395</v>
      </c>
      <c r="AH49" s="22" t="n">
        <f aca="false">IFERROR(-AH48/(AH11+AH30),"")</f>
        <v>0.0110182831636508</v>
      </c>
      <c r="AI49" s="22" t="n">
        <f aca="false">IFERROR(-AI48/(AI11+AI30),"")</f>
        <v>0.0145450912449224</v>
      </c>
      <c r="AJ49" s="22" t="n">
        <f aca="false">IFERROR(-AJ48/(AJ11+AJ30),"")</f>
        <v>0.0136430898070818</v>
      </c>
      <c r="AK49" s="22" t="n">
        <f aca="false">IFERROR(-AK48/(AK11+AK30),"")</f>
        <v>0.0120276736175917</v>
      </c>
      <c r="AL49" s="22" t="n">
        <f aca="false">IFERROR(-AL48/(AL11+AL30),"")</f>
        <v>0.00923896445481384</v>
      </c>
      <c r="AM49" s="22" t="n">
        <f aca="false">IFERROR(-AM48/(AM11+AM30),"")</f>
        <v>0.0122477169228854</v>
      </c>
      <c r="AN49" s="22" t="n">
        <f aca="false">IFERROR(-AN48/(AN11+AN30),"")</f>
        <v>0.0116529062297251</v>
      </c>
      <c r="AO49" s="22" t="n">
        <f aca="false">IFERROR(-AO48/(AO11+AO30),"")</f>
        <v>0.0134952611621918</v>
      </c>
      <c r="AP49" s="22" t="n">
        <f aca="false">IFERROR(-AP48/(AP11+AP30),"")</f>
        <v>0.00712680338341307</v>
      </c>
      <c r="AQ49" s="22" t="n">
        <f aca="false">IFERROR(-AQ48/(AQ11+AQ30),"")</f>
        <v>0.0049373778058712</v>
      </c>
      <c r="AR49" s="22" t="n">
        <f aca="false">IFERROR(-AR48/(AR11+AR30),"")</f>
        <v>0.00918588425824394</v>
      </c>
      <c r="AS49" s="22" t="n">
        <f aca="false">IFERROR(-AS48/(AS11+AS30),"")</f>
        <v>0.00628682690911089</v>
      </c>
      <c r="AT49" s="22" t="n">
        <f aca="false">IFERROR(-AT48/(AT11+AT30),"")</f>
        <v>0.00588848613031116</v>
      </c>
      <c r="AU49" s="22" t="n">
        <f aca="false">IFERROR(-AU48/(AU11+AU30),"")</f>
        <v>0.00685468429128424</v>
      </c>
      <c r="AV49" s="22" t="n">
        <f aca="false">IFERROR(-AV48/(AV11+AV30),"")</f>
        <v>0.00963690234125371</v>
      </c>
      <c r="AW49" s="22" t="n">
        <f aca="false">IFERROR(-AW48/(AW11+AW30),"")</f>
        <v>0.00710634909787148</v>
      </c>
      <c r="AX49" s="22" t="n">
        <f aca="false">IFERROR(-AX48/(AX11+AX30),"")</f>
        <v>0.011781008503514</v>
      </c>
      <c r="AY49" s="22" t="n">
        <f aca="false">IFERROR(-AY48/(AY11+AY30),"")</f>
        <v>0.0141918883577083</v>
      </c>
      <c r="AZ49" s="22" t="n">
        <f aca="false">IFERROR(-AZ48/(AZ11+AZ30),"")</f>
        <v>0.0103931305477058</v>
      </c>
      <c r="BA49" s="22" t="n">
        <f aca="false">IFERROR(-BA48/(BA11+BA30),"")</f>
        <v>0.00764203410961439</v>
      </c>
      <c r="BB49" s="22" t="n">
        <f aca="false">IFERROR(-BB48/(BB11+BB30),"")</f>
        <v>0.0109088942716774</v>
      </c>
      <c r="BC49" s="22" t="n">
        <f aca="false">IFERROR(-BC48/(BC11+BC30),"")</f>
        <v>0.00944209996828392</v>
      </c>
      <c r="BD49" s="22" t="n">
        <f aca="false">IFERROR(-BD48/(BD11+BD30),"")</f>
        <v>0.00899934891283157</v>
      </c>
      <c r="BE49" s="22" t="n">
        <f aca="false">IFERROR(-BE48/(BE11+BE30),"")</f>
        <v>0.0085889057935947</v>
      </c>
      <c r="BF49" s="22" t="n">
        <f aca="false">IFERROR(-BF48/(BF11+BF30),"")</f>
        <v>0.0079153525944586</v>
      </c>
      <c r="BG49" s="22" t="n">
        <f aca="false">IFERROR(-BG48/(BG11+BG30),"")</f>
        <v>0.00869287292155496</v>
      </c>
      <c r="BH49" s="22" t="n">
        <f aca="false">IFERROR(-BH48/(BH11+BH30),"")</f>
        <v>0.00865668162666424</v>
      </c>
      <c r="BI49" s="22" t="n">
        <f aca="false">IFERROR(-BI48/(BI11+BI30),"")</f>
        <v>0.00881893939284772</v>
      </c>
      <c r="BJ49" s="22" t="n">
        <f aca="false">IFERROR(-BJ48/(BJ11+BJ30),"")</f>
        <v>0.0109521457586259</v>
      </c>
      <c r="BK49" s="22" t="n">
        <f aca="false">IFERROR(-BK48/(BK11+BK30),"")</f>
        <v>0.00821328486912758</v>
      </c>
      <c r="BL49" s="22" t="n">
        <f aca="false">IFERROR(-BL48/(BL11+BL30),"")</f>
        <v>0.00911462115164984</v>
      </c>
      <c r="BM49" s="22" t="n">
        <f aca="false">IFERROR(-BM48/(BM11+BM30),"")</f>
        <v>0.00916921090622092</v>
      </c>
      <c r="BN49" s="22" t="n">
        <f aca="false">IFERROR(-BN48/(BN11+BN30),"")</f>
        <v>0.0115451387092703</v>
      </c>
      <c r="BO49" s="22" t="n">
        <f aca="false">IFERROR(-BO48/(BO11+BO30),"")</f>
        <v>0.0114659453751164</v>
      </c>
      <c r="BP49" s="22" t="n">
        <f aca="false">IFERROR(-BP48/(BP11+BP30),"")</f>
        <v>0.013957021944275</v>
      </c>
      <c r="BQ49" s="22" t="n">
        <f aca="false">IFERROR(-BQ48/(BQ11+BQ30),"")</f>
        <v>0.011609334406018</v>
      </c>
      <c r="BR49" s="22" t="n">
        <f aca="false">IFERROR(-BR48/(BR11+BR30),"")</f>
        <v>0.0127140774842859</v>
      </c>
      <c r="BS49" s="22" t="n">
        <f aca="false">IFERROR(-BS48/(BS11+BS30),"")</f>
        <v>0.0102926606306858</v>
      </c>
      <c r="BT49" s="22" t="n">
        <f aca="false">IFERROR(-BT48/(BT11+BT30),"")</f>
        <v>0.00943700777886345</v>
      </c>
      <c r="BU49" s="22" t="n">
        <f aca="false">IFERROR(-BU48/(BU11+BU30),"")</f>
        <v>0.00798591146104613</v>
      </c>
      <c r="BV49" s="22" t="n">
        <f aca="false">IFERROR(-BV48/(BV11+BV30),"")</f>
        <v>0.0100108224511009</v>
      </c>
      <c r="BW49" s="22" t="n">
        <f aca="false">IFERROR(-BW48/(BW11+BW30),"")</f>
        <v>0.0101564238772125</v>
      </c>
      <c r="BX49" s="22" t="n">
        <f aca="false">IFERROR(-BX48/(BX11+BX30),"")</f>
        <v>0.00953663859048395</v>
      </c>
      <c r="BY49" s="22" t="n">
        <f aca="false">IFERROR(-BY48/(BY11+BY30),"")</f>
        <v>0.012743748646326</v>
      </c>
      <c r="BZ49" s="23" t="n">
        <f aca="false">-SUM(BW48,BX48,BY48)/(SUM(BW11,BX11,BY11)+SUM(BW30,BX30,BY30))</f>
        <v>0.0108650774734201</v>
      </c>
      <c r="CA49" s="23" t="n">
        <f aca="false">IFERROR(-CA48/(CA11+CA30),"")</f>
        <v>0.0108650774734201</v>
      </c>
      <c r="CB49" s="23" t="n">
        <f aca="false">$CA$49</f>
        <v>0.0108650774734201</v>
      </c>
      <c r="CC49" s="23" t="n">
        <f aca="false">$CA$49</f>
        <v>0.0108650774734201</v>
      </c>
      <c r="CD49" s="23" t="n">
        <f aca="false">$CA$49</f>
        <v>0.0108650774734201</v>
      </c>
      <c r="CE49" s="23" t="n">
        <f aca="false">$CA$49</f>
        <v>0.0108650774734201</v>
      </c>
      <c r="CF49" s="19" t="s">
        <v>147</v>
      </c>
      <c r="CN49" s="15" t="s">
        <v>148</v>
      </c>
      <c r="CO49" s="43" t="n">
        <v>0.5</v>
      </c>
      <c r="CP49" s="15" t="s">
        <v>113</v>
      </c>
      <c r="CQ49" s="43" t="n">
        <v>-0.5</v>
      </c>
      <c r="CR49" s="13" t="s">
        <v>149</v>
      </c>
    </row>
    <row r="50" customFormat="false" ht="15" hidden="false" customHeight="true" outlineLevel="0" collapsed="false">
      <c r="B50" s="29" t="s">
        <v>150</v>
      </c>
      <c r="C50" s="35" t="n">
        <v>-13.999</v>
      </c>
      <c r="D50" s="35" t="n">
        <v>-15.264</v>
      </c>
      <c r="E50" s="35" t="n">
        <v>-14.171</v>
      </c>
      <c r="F50" s="35" t="n">
        <v>-11.729</v>
      </c>
      <c r="G50" s="35" t="n">
        <v>-14.849</v>
      </c>
      <c r="H50" s="35" t="n">
        <v>-16.035</v>
      </c>
      <c r="I50" s="35" t="n">
        <v>-18.087</v>
      </c>
      <c r="J50" s="35" t="n">
        <v>-4.852</v>
      </c>
      <c r="K50" s="35" t="n">
        <v>-5.857</v>
      </c>
      <c r="L50" s="35" t="n">
        <v>-5.759</v>
      </c>
      <c r="M50" s="35" t="n">
        <v>-5.063</v>
      </c>
      <c r="N50" s="35" t="n">
        <v>-21.531</v>
      </c>
      <c r="O50" s="35" t="n">
        <v>-4.722</v>
      </c>
      <c r="P50" s="35" t="n">
        <v>-5.851</v>
      </c>
      <c r="Q50" s="35" t="n">
        <v>-5.576</v>
      </c>
      <c r="R50" s="35" t="n">
        <v>-5.857</v>
      </c>
      <c r="S50" s="35" t="n">
        <v>-22.006</v>
      </c>
      <c r="T50" s="35" t="n">
        <v>-3.715</v>
      </c>
      <c r="U50" s="35" t="n">
        <v>-3.963</v>
      </c>
      <c r="V50" s="35" t="n">
        <v>-5.112</v>
      </c>
      <c r="W50" s="35" t="n">
        <v>-6.185</v>
      </c>
      <c r="X50" s="35" t="n">
        <v>-18.975</v>
      </c>
      <c r="Y50" s="35" t="n">
        <v>-5.128</v>
      </c>
      <c r="Z50" s="35" t="n">
        <v>-7.916</v>
      </c>
      <c r="AA50" s="35" t="n">
        <v>-5.724</v>
      </c>
      <c r="AB50" s="35" t="n">
        <v>-5.345</v>
      </c>
      <c r="AC50" s="35" t="n">
        <v>-24.113</v>
      </c>
      <c r="AD50" s="35" t="n">
        <v>-5.897</v>
      </c>
      <c r="AE50" s="35" t="n">
        <v>-7.028</v>
      </c>
      <c r="AF50" s="35" t="n">
        <v>-9.085</v>
      </c>
      <c r="AG50" s="35" t="n">
        <v>-8.061</v>
      </c>
      <c r="AH50" s="35" t="n">
        <v>-30.071</v>
      </c>
      <c r="AI50" s="35" t="n">
        <v>-9.529</v>
      </c>
      <c r="AJ50" s="35" t="n">
        <v>-8.053</v>
      </c>
      <c r="AK50" s="35" t="n">
        <v>-9.31</v>
      </c>
      <c r="AL50" s="35" t="n">
        <v>-7.994</v>
      </c>
      <c r="AM50" s="35" t="n">
        <v>-34.886</v>
      </c>
      <c r="AN50" s="35" t="n">
        <v>-6.535</v>
      </c>
      <c r="AO50" s="35" t="n">
        <v>-10.335</v>
      </c>
      <c r="AP50" s="35" t="n">
        <v>-7.589</v>
      </c>
      <c r="AQ50" s="35" t="n">
        <v>-6.216</v>
      </c>
      <c r="AR50" s="35" t="n">
        <v>-30.675</v>
      </c>
      <c r="AS50" s="35" t="n">
        <v>-8.546</v>
      </c>
      <c r="AT50" s="35" t="n">
        <v>-4.896</v>
      </c>
      <c r="AU50" s="35" t="n">
        <v>-5.518</v>
      </c>
      <c r="AV50" s="35" t="n">
        <v>-6.257</v>
      </c>
      <c r="AW50" s="35" t="n">
        <v>-25.217</v>
      </c>
      <c r="AX50" s="35" t="n">
        <v>-5.665</v>
      </c>
      <c r="AY50" s="35" t="n">
        <v>-10.022</v>
      </c>
      <c r="AZ50" s="35" t="n">
        <v>-10.218</v>
      </c>
      <c r="BA50" s="35" t="n">
        <v>-10.431</v>
      </c>
      <c r="BB50" s="35" t="n">
        <v>-36.336</v>
      </c>
      <c r="BC50" s="35" t="n">
        <v>-9.142</v>
      </c>
      <c r="BD50" s="35" t="n">
        <v>-9.408</v>
      </c>
      <c r="BE50" s="35" t="n">
        <v>-10.038</v>
      </c>
      <c r="BF50" s="35" t="n">
        <v>-11.208</v>
      </c>
      <c r="BG50" s="35" t="n">
        <v>-39.796</v>
      </c>
      <c r="BH50" s="35" t="n">
        <v>-10.712</v>
      </c>
      <c r="BI50" s="35" t="n">
        <v>-10.801</v>
      </c>
      <c r="BJ50" s="35" t="n">
        <v>-13.962</v>
      </c>
      <c r="BK50" s="35" t="n">
        <v>-11.536</v>
      </c>
      <c r="BL50" s="35" t="n">
        <v>-47.011</v>
      </c>
      <c r="BM50" s="35" t="n">
        <v>-11.209</v>
      </c>
      <c r="BN50" s="35" t="n">
        <v>-14.986</v>
      </c>
      <c r="BO50" s="35" t="n">
        <v>-12.936</v>
      </c>
      <c r="BP50" s="35" t="n">
        <v>-17.681</v>
      </c>
      <c r="BQ50" s="35" t="n">
        <v>-56.812</v>
      </c>
      <c r="BR50" s="35" t="n">
        <v>-15.767</v>
      </c>
      <c r="BS50" s="35" t="n">
        <v>-14.708</v>
      </c>
      <c r="BT50" s="35" t="n">
        <v>-14.305</v>
      </c>
      <c r="BU50" s="35" t="n">
        <v>-11.569</v>
      </c>
      <c r="BV50" s="35" t="n">
        <v>-56.349</v>
      </c>
      <c r="BW50" s="35" t="n">
        <v>-14.08</v>
      </c>
      <c r="BX50" s="35" t="n">
        <v>-14.436</v>
      </c>
      <c r="BY50" s="35" t="n">
        <v>-15.667</v>
      </c>
      <c r="BZ50" s="42" t="n">
        <f aca="false">-BZ51*(BZ11+BZ30+BZ48)</f>
        <v>-16.4404627907884</v>
      </c>
      <c r="CA50" s="42" t="n">
        <f aca="false">SUM(BW50,BX50,BY50,BZ50)</f>
        <v>-60.6234627907884</v>
      </c>
      <c r="CB50" s="42" t="n">
        <f aca="false">-CB51*(CB11+CB30+CB48)</f>
        <v>-67.8940268337133</v>
      </c>
      <c r="CC50" s="42" t="n">
        <f aca="false">-CC51*(CC11+CC30+CC48)</f>
        <v>-73.0967953887539</v>
      </c>
      <c r="CD50" s="42" t="n">
        <f aca="false">-CD51*(CD11+CD30+CD48)</f>
        <v>-78.0911878944304</v>
      </c>
      <c r="CE50" s="42" t="n">
        <f aca="false">-CE51*(CE11+CE30+CE48)</f>
        <v>-83.4272329693544</v>
      </c>
      <c r="CN50" s="24" t="s">
        <v>116</v>
      </c>
      <c r="CO50" s="44" t="n">
        <f aca="false">CP50+$CO$49</f>
        <v>1.5</v>
      </c>
      <c r="CP50" s="45" t="n">
        <v>1</v>
      </c>
      <c r="CQ50" s="44" t="n">
        <f aca="false">MAX(0,CP50+$CQ$49)</f>
        <v>0.5</v>
      </c>
    </row>
    <row r="51" customFormat="false" ht="15" hidden="false" customHeight="true" outlineLevel="0" collapsed="false">
      <c r="B51" s="21" t="s">
        <v>151</v>
      </c>
      <c r="C51" s="22" t="n">
        <f aca="false">IFERROR(-C50/(C11+C30+C48),"")</f>
        <v>0.0356944338203422</v>
      </c>
      <c r="D51" s="22" t="n">
        <f aca="false">IFERROR(-D50/(D11+D30+D48),"")</f>
        <v>0.0300517400240981</v>
      </c>
      <c r="E51" s="22" t="n">
        <f aca="false">IFERROR(-E50/(E11+E30+E48),"")</f>
        <v>0.0243342886629449</v>
      </c>
      <c r="F51" s="22" t="n">
        <f aca="false">IFERROR(-F50/(F11+F30+F48),"")</f>
        <v>0.0217891271716676</v>
      </c>
      <c r="G51" s="22" t="n">
        <f aca="false">IFERROR(-G50/(G11+G30+G48),"")</f>
        <v>0.0240656704806976</v>
      </c>
      <c r="H51" s="22" t="n">
        <f aca="false">IFERROR(-H50/(H11+H30+H48),"")</f>
        <v>0.0209637713085917</v>
      </c>
      <c r="I51" s="22" t="n">
        <f aca="false">IFERROR(-I50/(I11+I30+I48),"")</f>
        <v>0.0201560823182114</v>
      </c>
      <c r="J51" s="22" t="n">
        <f aca="false">IFERROR(-J50/(J11+J30+J48),"")</f>
        <v>0.0224121206522241</v>
      </c>
      <c r="K51" s="22" t="n">
        <f aca="false">IFERROR(-K50/(K11+K30+K48),"")</f>
        <v>0.024639473639928</v>
      </c>
      <c r="L51" s="22" t="n">
        <f aca="false">IFERROR(-L50/(L11+L30+L48),"")</f>
        <v>0.0215585494865853</v>
      </c>
      <c r="M51" s="22" t="n">
        <f aca="false">IFERROR(-M50/(M11+M30+M48),"")</f>
        <v>0.0176149687223842</v>
      </c>
      <c r="N51" s="22" t="n">
        <f aca="false">IFERROR(-N50/(N11+N30+N48),"")</f>
        <v>0.0213440898055726</v>
      </c>
      <c r="O51" s="22" t="n">
        <f aca="false">IFERROR(-O50/(O11+O30+O48),"")</f>
        <v>0.0176969260866632</v>
      </c>
      <c r="P51" s="22" t="n">
        <f aca="false">IFERROR(-P50/(P11+P30+P48),"")</f>
        <v>0.0207311715184671</v>
      </c>
      <c r="Q51" s="22" t="n">
        <f aca="false">IFERROR(-Q50/(Q11+Q30+Q48),"")</f>
        <v>0.0191595368175102</v>
      </c>
      <c r="R51" s="22" t="n">
        <f aca="false">IFERROR(-R50/(R11+R30+R48),"")</f>
        <v>0.0200429124333129</v>
      </c>
      <c r="S51" s="22" t="n">
        <f aca="false">IFERROR(-S50/(S11+S30+S48),"")</f>
        <v>0.0194345899668907</v>
      </c>
      <c r="T51" s="22" t="n">
        <f aca="false">IFERROR(-T50/(T11+T30+T48),"")</f>
        <v>0.0138523780226336</v>
      </c>
      <c r="U51" s="22" t="n">
        <f aca="false">IFERROR(-U50/(U11+U30+U48),"")</f>
        <v>0.0135988827160706</v>
      </c>
      <c r="V51" s="22" t="n">
        <f aca="false">IFERROR(-V50/(V11+V30+V48),"")</f>
        <v>0.017019009887805</v>
      </c>
      <c r="W51" s="22" t="n">
        <f aca="false">IFERROR(-W50/(W11+W30+W48),"")</f>
        <v>0.0188181530522831</v>
      </c>
      <c r="X51" s="22" t="n">
        <f aca="false">IFERROR(-X50/(X11+X30+X48),"")</f>
        <v>0.0159635148504856</v>
      </c>
      <c r="Y51" s="22" t="n">
        <f aca="false">IFERROR(-Y50/(Y11+Y30+Y48),"")</f>
        <v>0.0167457474357258</v>
      </c>
      <c r="Z51" s="22" t="n">
        <f aca="false">IFERROR(-Z50/(Z11+Z30+Z48),"")</f>
        <v>0.0225753462161484</v>
      </c>
      <c r="AA51" s="22" t="n">
        <f aca="false">IFERROR(-AA50/(AA11+AA30+AA48),"")</f>
        <v>0.0160748587411959</v>
      </c>
      <c r="AB51" s="22" t="n">
        <f aca="false">IFERROR(-AB50/(AB11+AB30+AB48),"")</f>
        <v>0.0147123994285699</v>
      </c>
      <c r="AC51" s="22" t="n">
        <f aca="false">IFERROR(-AC50/(AC11+AC30+AC48),"")</f>
        <v>0.0175206974273719</v>
      </c>
      <c r="AD51" s="22" t="n">
        <f aca="false">IFERROR(-AD50/(AD11+AD30+AD48),"")</f>
        <v>0.0171707936360036</v>
      </c>
      <c r="AE51" s="22" t="n">
        <f aca="false">IFERROR(-AE50/(AE11+AE30+AE48),"")</f>
        <v>0.0190637910035616</v>
      </c>
      <c r="AF51" s="22" t="n">
        <f aca="false">IFERROR(-AF50/(AF11+AF30+AF48),"")</f>
        <v>0.023205619412516</v>
      </c>
      <c r="AG51" s="22" t="n">
        <f aca="false">IFERROR(-AG50/(AG11+AG30+AG48),"")</f>
        <v>0.0191370862059142</v>
      </c>
      <c r="AH51" s="22" t="n">
        <f aca="false">IFERROR(-AH50/(AH11+AH30+AH48),"")</f>
        <v>0.0197211067848976</v>
      </c>
      <c r="AI51" s="22" t="n">
        <f aca="false">IFERROR(-AI50/(AI11+AI30+AI48),"")</f>
        <v>0.0235627210009644</v>
      </c>
      <c r="AJ51" s="22" t="n">
        <f aca="false">IFERROR(-AJ50/(AJ11+AJ30+AJ48),"")</f>
        <v>0.0187017245623569</v>
      </c>
      <c r="AK51" s="22" t="n">
        <f aca="false">IFERROR(-AK50/(AK11+AK30+AK48),"")</f>
        <v>0.0199860462620083</v>
      </c>
      <c r="AL51" s="22" t="n">
        <f aca="false">IFERROR(-AL50/(AL11+AL30+AL48),"")</f>
        <v>0.0167629863866265</v>
      </c>
      <c r="AM51" s="22" t="n">
        <f aca="false">IFERROR(-AM50/(AM11+AM30+AM48),"")</f>
        <v>0.0196240017415556</v>
      </c>
      <c r="AN51" s="22" t="n">
        <f aca="false">IFERROR(-AN50/(AN11+AN30+AN48),"")</f>
        <v>0.014019212864639</v>
      </c>
      <c r="AO51" s="22" t="n">
        <f aca="false">IFERROR(-AO50/(AO11+AO30+AO48),"")</f>
        <v>0.020042742335857</v>
      </c>
      <c r="AP51" s="22" t="n">
        <f aca="false">IFERROR(-AP50/(AP11+AP30+AP48),"")</f>
        <v>0.0142563551521254</v>
      </c>
      <c r="AQ51" s="22" t="n">
        <f aca="false">IFERROR(-AQ50/(AQ11+AQ30+AQ48),"")</f>
        <v>0.0114786096404809</v>
      </c>
      <c r="AR51" s="22" t="n">
        <f aca="false">IFERROR(-AR50/(AR11+AR30+AR48),"")</f>
        <v>0.0149223091318694</v>
      </c>
      <c r="AS51" s="22" t="n">
        <f aca="false">IFERROR(-AS50/(AS11+AS30+AS48),"")</f>
        <v>0.0168801540664659</v>
      </c>
      <c r="AT51" s="22" t="n">
        <f aca="false">IFERROR(-AT50/(AT11+AT30+AT48),"")</f>
        <v>0.0104582758370252</v>
      </c>
      <c r="AU51" s="22" t="n">
        <f aca="false">IFERROR(-AU50/(AU11+AU30+AU48),"")</f>
        <v>0.0142801687326933</v>
      </c>
      <c r="AV51" s="22" t="n">
        <f aca="false">IFERROR(-AV50/(AV11+AV30+AV48),"")</f>
        <v>0.0146816588373872</v>
      </c>
      <c r="AW51" s="22" t="n">
        <f aca="false">IFERROR(-AW50/(AW11+AW30+AW48),"")</f>
        <v>0.0141112887512038</v>
      </c>
      <c r="AX51" s="22" t="n">
        <f aca="false">IFERROR(-AX50/(AX11+AX30+AX48),"")</f>
        <v>0.0135558097352968</v>
      </c>
      <c r="AY51" s="22" t="n">
        <f aca="false">IFERROR(-AY50/(AY11+AY30+AY48),"")</f>
        <v>0.0214764352803273</v>
      </c>
      <c r="AZ51" s="22" t="n">
        <f aca="false">IFERROR(-AZ50/(AZ11+AZ30+AZ48),"")</f>
        <v>0.0216617518925943</v>
      </c>
      <c r="BA51" s="22" t="n">
        <f aca="false">IFERROR(-BA50/(BA11+BA30+BA48),"")</f>
        <v>0.0204761474769445</v>
      </c>
      <c r="BB51" s="22" t="n">
        <f aca="false">IFERROR(-BB50/(BB11+BB30+BB48),"")</f>
        <v>0.0194759878693154</v>
      </c>
      <c r="BC51" s="22" t="n">
        <f aca="false">IFERROR(-BC50/(BC11+BC30+BC48),"")</f>
        <v>0.0186440919927479</v>
      </c>
      <c r="BD51" s="22" t="n">
        <f aca="false">IFERROR(-BD50/(BD11+BD30+BD48),"")</f>
        <v>0.0174606032148445</v>
      </c>
      <c r="BE51" s="22" t="n">
        <f aca="false">IFERROR(-BE50/(BE11+BE30+BE48),"")</f>
        <v>0.0176251211529547</v>
      </c>
      <c r="BF51" s="22" t="n">
        <f aca="false">IFERROR(-BF50/(BF11+BF30+BF48),"")</f>
        <v>0.0183846807449667</v>
      </c>
      <c r="BG51" s="22" t="n">
        <f aca="false">IFERROR(-BG50/(BG11+BG30+BG48),"")</f>
        <v>0.0180209226734145</v>
      </c>
      <c r="BH51" s="22" t="n">
        <f aca="false">IFERROR(-BH50/(BH11+BH30+BH48),"")</f>
        <v>0.0172519588027347</v>
      </c>
      <c r="BI51" s="22" t="n">
        <f aca="false">IFERROR(-BI50/(BI11+BI30+BI48),"")</f>
        <v>0.0157027568871294</v>
      </c>
      <c r="BJ51" s="22" t="n">
        <f aca="false">IFERROR(-BJ50/(BJ11+BJ30+BJ48),"")</f>
        <v>0.0193138212371801</v>
      </c>
      <c r="BK51" s="22" t="n">
        <f aca="false">IFERROR(-BK50/(BK11+BK30+BK48),"")</f>
        <v>0.012318903258807</v>
      </c>
      <c r="BL51" s="22" t="n">
        <f aca="false">IFERROR(-BL50/(BL11+BL30+BL48),"")</f>
        <v>0.0158387253820198</v>
      </c>
      <c r="BM51" s="22" t="n">
        <f aca="false">IFERROR(-BM50/(BM11+BM30+BM48),"")</f>
        <v>0.0125049784518103</v>
      </c>
      <c r="BN51" s="22" t="n">
        <f aca="false">IFERROR(-BN50/(BN11+BN30+BN48),"")</f>
        <v>0.015685658811277</v>
      </c>
      <c r="BO51" s="22" t="n">
        <f aca="false">IFERROR(-BO50/(BO11+BO30+BO48),"")</f>
        <v>0.0130370895927018</v>
      </c>
      <c r="BP51" s="22" t="n">
        <f aca="false">IFERROR(-BP50/(BP11+BP30+BP48),"")</f>
        <v>0.0174426462391421</v>
      </c>
      <c r="BQ51" s="22" t="n">
        <f aca="false">IFERROR(-BQ50/(BQ11+BQ30+BQ48),"")</f>
        <v>0.0147270281613067</v>
      </c>
      <c r="BR51" s="22" t="n">
        <f aca="false">IFERROR(-BR50/(BR11+BR30+BR48),"")</f>
        <v>0.0153044683573055</v>
      </c>
      <c r="BS51" s="22" t="n">
        <f aca="false">IFERROR(-BS50/(BS11+BS30+BS48),"")</f>
        <v>0.0133974604215627</v>
      </c>
      <c r="BT51" s="22" t="n">
        <f aca="false">IFERROR(-BT50/(BT11+BT30+BT48),"")</f>
        <v>0.0124652424077916</v>
      </c>
      <c r="BU51" s="22" t="n">
        <f aca="false">IFERROR(-BU50/(BU11+BU30+BU48),"")</f>
        <v>0.00956581344141901</v>
      </c>
      <c r="BV51" s="22" t="n">
        <f aca="false">IFERROR(-BV50/(BV11+BV30+BV48),"")</f>
        <v>0.0125637563421897</v>
      </c>
      <c r="BW51" s="22" t="n">
        <f aca="false">IFERROR(-BW50/(BW11+BW30+BW48),"")</f>
        <v>0.011946559509648</v>
      </c>
      <c r="BX51" s="22" t="n">
        <f aca="false">IFERROR(-BX50/(BX11+BX30+BX48),"")</f>
        <v>0.0104934677509044</v>
      </c>
      <c r="BY51" s="22" t="n">
        <f aca="false">IFERROR(-BY50/(BY11+BY30+BY48),"")</f>
        <v>0.0110873642121652</v>
      </c>
      <c r="BZ51" s="23" t="n">
        <f aca="false">-SUM(BW50,BX50,BY50)/SUM(BW98,BX98,BY98)</f>
        <v>0.011136666964935</v>
      </c>
      <c r="CA51" s="23" t="n">
        <f aca="false">IFERROR(-CA50/(CA11+CA30+CA48),"")</f>
        <v>0.011136666964935</v>
      </c>
      <c r="CB51" s="23" t="n">
        <f aca="false">$CA$51</f>
        <v>0.011136666964935</v>
      </c>
      <c r="CC51" s="23" t="n">
        <f aca="false">$CA$51</f>
        <v>0.011136666964935</v>
      </c>
      <c r="CD51" s="23" t="n">
        <f aca="false">$CA$51</f>
        <v>0.011136666964935</v>
      </c>
      <c r="CE51" s="23" t="n">
        <f aca="false">$CA$51</f>
        <v>0.011136666964935</v>
      </c>
      <c r="CF51" s="19" t="s">
        <v>152</v>
      </c>
      <c r="CN51" s="24" t="s">
        <v>118</v>
      </c>
      <c r="CO51" s="44" t="n">
        <f aca="false">CP51+$CO$49</f>
        <v>1.5</v>
      </c>
      <c r="CP51" s="45" t="n">
        <v>1</v>
      </c>
      <c r="CQ51" s="44" t="n">
        <f aca="false">MAX(0,CP51+$CQ$49)</f>
        <v>0.5</v>
      </c>
    </row>
    <row r="52" customFormat="false" ht="15" hidden="false" customHeight="true" outlineLevel="0" collapsed="false">
      <c r="B52" s="29" t="s">
        <v>153</v>
      </c>
      <c r="C52" s="35" t="n">
        <v>0.306</v>
      </c>
      <c r="D52" s="35" t="n">
        <v>0.334</v>
      </c>
      <c r="E52" s="35" t="n">
        <v>0.475</v>
      </c>
      <c r="F52" s="35" t="n">
        <v>0.438</v>
      </c>
      <c r="G52" s="35" t="n">
        <v>0.39</v>
      </c>
      <c r="H52" s="35" t="n">
        <v>0.38</v>
      </c>
      <c r="I52" s="35" t="n">
        <v>0.84</v>
      </c>
      <c r="J52" s="35" t="n">
        <v>0.192</v>
      </c>
      <c r="K52" s="35" t="n">
        <v>0.194</v>
      </c>
      <c r="L52" s="35" t="n">
        <v>0.2</v>
      </c>
      <c r="M52" s="35" t="n">
        <v>0.198</v>
      </c>
      <c r="N52" s="35" t="n">
        <v>0.784</v>
      </c>
      <c r="O52" s="35" t="n">
        <v>0.205</v>
      </c>
      <c r="P52" s="35" t="n">
        <v>0.2</v>
      </c>
      <c r="Q52" s="35" t="n">
        <v>0.2</v>
      </c>
      <c r="R52" s="35" t="n">
        <v>0.203</v>
      </c>
      <c r="S52" s="35" t="n">
        <v>0.808</v>
      </c>
      <c r="U52" s="35" t="n">
        <v>0.202</v>
      </c>
      <c r="V52" s="35" t="n">
        <v>0.206</v>
      </c>
      <c r="X52" s="35" t="n">
        <v>0.83</v>
      </c>
      <c r="Y52" s="35" t="n">
        <v>0.221</v>
      </c>
      <c r="Z52" s="35" t="n">
        <v>0.222</v>
      </c>
      <c r="AA52" s="35" t="n">
        <v>0.219</v>
      </c>
      <c r="AB52" s="35" t="n">
        <v>0.218</v>
      </c>
      <c r="AC52" s="35" t="n">
        <v>0.88</v>
      </c>
      <c r="AD52" s="35" t="n">
        <v>0.218</v>
      </c>
      <c r="AE52" s="35" t="n">
        <v>0.232</v>
      </c>
      <c r="AF52" s="35" t="n">
        <v>0.258</v>
      </c>
      <c r="AG52" s="35" t="n">
        <v>0.271</v>
      </c>
      <c r="AH52" s="35" t="n">
        <v>0.979</v>
      </c>
      <c r="AI52" s="35" t="n">
        <v>0.407</v>
      </c>
      <c r="AJ52" s="35" t="n">
        <v>0.37</v>
      </c>
      <c r="AK52" s="35" t="n">
        <v>0.499</v>
      </c>
      <c r="AL52" s="35" t="n">
        <v>0.499</v>
      </c>
      <c r="AM52" s="35" t="n">
        <v>1.775</v>
      </c>
      <c r="AN52" s="35" t="n">
        <v>0.497</v>
      </c>
      <c r="AO52" s="35" t="n">
        <v>0.498</v>
      </c>
      <c r="AP52" s="35" t="n">
        <v>0.497</v>
      </c>
      <c r="AQ52" s="35" t="n">
        <v>0.5</v>
      </c>
      <c r="AR52" s="35" t="n">
        <v>1.992</v>
      </c>
      <c r="AS52" s="35" t="n">
        <v>0.501</v>
      </c>
      <c r="AT52" s="35" t="n">
        <v>0.502</v>
      </c>
      <c r="AU52" s="35" t="n">
        <v>0.495</v>
      </c>
      <c r="AV52" s="35" t="n">
        <v>0.492</v>
      </c>
      <c r="AW52" s="35" t="n">
        <v>1.99</v>
      </c>
      <c r="AX52" s="35" t="n">
        <v>0.52</v>
      </c>
      <c r="AY52" s="35" t="n">
        <v>0.527</v>
      </c>
      <c r="AZ52" s="35" t="n">
        <v>0.529</v>
      </c>
      <c r="BA52" s="35" t="n">
        <v>0.533</v>
      </c>
      <c r="BB52" s="35" t="n">
        <v>2.109</v>
      </c>
      <c r="BC52" s="35" t="n">
        <v>0.533</v>
      </c>
      <c r="BD52" s="35" t="n">
        <v>0.53</v>
      </c>
      <c r="BE52" s="35" t="n">
        <v>0.524</v>
      </c>
      <c r="BF52" s="35" t="n">
        <v>0.53</v>
      </c>
      <c r="BG52" s="35" t="n">
        <v>2.117</v>
      </c>
      <c r="BH52" s="35" t="n">
        <v>0.544</v>
      </c>
      <c r="BI52" s="35" t="n">
        <v>0.539</v>
      </c>
      <c r="BJ52" s="35" t="n">
        <v>0.837</v>
      </c>
      <c r="BK52" s="35" t="n">
        <v>0.693</v>
      </c>
      <c r="BL52" s="35" t="n">
        <v>2.613</v>
      </c>
      <c r="BM52" s="35" t="n">
        <v>0.696</v>
      </c>
      <c r="BN52" s="35" t="n">
        <v>0.697</v>
      </c>
      <c r="BO52" s="35" t="n">
        <v>0.705</v>
      </c>
      <c r="BP52" s="35" t="n">
        <v>0.715</v>
      </c>
      <c r="BQ52" s="35" t="n">
        <v>2.813</v>
      </c>
      <c r="BR52" s="35" t="n">
        <v>0.893</v>
      </c>
      <c r="BS52" s="35" t="n">
        <v>0.891</v>
      </c>
      <c r="BT52" s="35" t="n">
        <v>0.889</v>
      </c>
      <c r="BU52" s="35" t="n">
        <v>0.874</v>
      </c>
      <c r="BV52" s="35" t="n">
        <v>3.547</v>
      </c>
      <c r="BW52" s="35" t="n">
        <v>0.849</v>
      </c>
      <c r="BX52" s="35" t="n">
        <v>0.827</v>
      </c>
      <c r="BY52" s="35" t="n">
        <v>-0.348</v>
      </c>
      <c r="CN52" s="24" t="s">
        <v>120</v>
      </c>
      <c r="CO52" s="44" t="n">
        <f aca="false">CP52+$CO$49</f>
        <v>1.5</v>
      </c>
      <c r="CP52" s="45" t="n">
        <v>1</v>
      </c>
      <c r="CQ52" s="44" t="n">
        <f aca="false">MAX(0,CP52+$CQ$49)</f>
        <v>0.5</v>
      </c>
    </row>
    <row r="53" customFormat="false" ht="15" hidden="false" customHeight="true" outlineLevel="0" collapsed="false">
      <c r="CN53" s="24" t="s">
        <v>122</v>
      </c>
      <c r="CO53" s="44" t="n">
        <f aca="false">CP53+$CO$49</f>
        <v>1.5</v>
      </c>
      <c r="CP53" s="45" t="n">
        <v>1</v>
      </c>
      <c r="CQ53" s="44" t="n">
        <f aca="false">MAX(0,CP53+$CQ$49)</f>
        <v>0.5</v>
      </c>
    </row>
    <row r="54" customFormat="false" ht="15" hidden="false" customHeight="true" outlineLevel="0" collapsed="false">
      <c r="B54" s="14" t="s">
        <v>154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5" t="s">
        <v>155</v>
      </c>
    </row>
    <row r="55" customFormat="false" ht="15" hidden="false" customHeight="true" outlineLevel="0" collapsed="false">
      <c r="B55" s="29" t="s">
        <v>156</v>
      </c>
      <c r="CA55" s="46" t="n">
        <v>0</v>
      </c>
      <c r="CB55" s="42" t="n">
        <f aca="false">MAX(0,CHOOSE(MATCH($CF$2,{"Bull","Base","Bear"},0),$CO$44,$CP$44,$CQ$44))</f>
        <v>800</v>
      </c>
      <c r="CC55" s="42" t="n">
        <f aca="false">MAX(0,CHOOSE(MATCH($CF$2,{"Bull","Base","Bear"},0),$CO$45,$CP$45,$CQ$45))</f>
        <v>800</v>
      </c>
      <c r="CD55" s="42" t="n">
        <f aca="false">MAX(0,CHOOSE(MATCH($CF$2,{"Bull","Base","Bear"},0),$CO$46,$CP$46,$CQ$46))</f>
        <v>900</v>
      </c>
      <c r="CE55" s="42" t="n">
        <f aca="false">MAX(0,CHOOSE(MATCH($CF$2,{"Bull","Base","Bear"},0),$CO$47,$CP$47,$CQ$47))</f>
        <v>900</v>
      </c>
      <c r="CF55" s="19" t="s">
        <v>157</v>
      </c>
    </row>
    <row r="56" customFormat="false" ht="15" hidden="false" customHeight="true" outlineLevel="0" collapsed="false">
      <c r="B56" s="29" t="s">
        <v>158</v>
      </c>
      <c r="CA56" s="47" t="n">
        <v>0</v>
      </c>
      <c r="CB56" s="47" t="n">
        <v>4</v>
      </c>
      <c r="CC56" s="48" t="n">
        <f aca="false">CB56</f>
        <v>4</v>
      </c>
      <c r="CD56" s="48" t="n">
        <f aca="false">CC56</f>
        <v>4</v>
      </c>
      <c r="CE56" s="48" t="n">
        <f aca="false">CD56</f>
        <v>4</v>
      </c>
      <c r="CF56" s="19" t="s">
        <v>159</v>
      </c>
    </row>
    <row r="57" customFormat="false" ht="15" hidden="false" customHeight="true" outlineLevel="0" collapsed="false">
      <c r="B57" s="29" t="s">
        <v>160</v>
      </c>
      <c r="CA57" s="46" t="n">
        <v>0</v>
      </c>
      <c r="CB57" s="42" t="n">
        <f aca="false">IFERROR(CB55/CB56,0)</f>
        <v>200</v>
      </c>
      <c r="CC57" s="42" t="n">
        <f aca="false">IFERROR(CC55/CC56,0)</f>
        <v>200</v>
      </c>
      <c r="CD57" s="42" t="n">
        <f aca="false">IFERROR(CD55/CD56,0)</f>
        <v>225</v>
      </c>
      <c r="CE57" s="42" t="n">
        <f aca="false">IFERROR(CE55/CE56,0)</f>
        <v>225</v>
      </c>
    </row>
    <row r="58" customFormat="false" ht="15" hidden="false" customHeight="true" outlineLevel="0" collapsed="false">
      <c r="B58" s="29" t="s">
        <v>161</v>
      </c>
      <c r="CA58" s="31" t="n">
        <v>0</v>
      </c>
      <c r="CB58" s="31" t="n">
        <v>0.07</v>
      </c>
      <c r="CC58" s="23" t="n">
        <f aca="false">CB58</f>
        <v>0.07</v>
      </c>
      <c r="CD58" s="23" t="n">
        <f aca="false">CC58</f>
        <v>0.07</v>
      </c>
      <c r="CE58" s="23" t="n">
        <f aca="false">CD58</f>
        <v>0.07</v>
      </c>
    </row>
    <row r="59" customFormat="false" ht="15" hidden="false" customHeight="true" outlineLevel="0" collapsed="false">
      <c r="B59" s="29" t="s">
        <v>162</v>
      </c>
      <c r="CA59" s="46" t="n">
        <v>0</v>
      </c>
      <c r="CB59" s="42" t="n">
        <f aca="false">CA59*(1+CB58)+CB57</f>
        <v>200</v>
      </c>
      <c r="CC59" s="42" t="n">
        <f aca="false">CB59*(1+CC58)+CC57</f>
        <v>414</v>
      </c>
      <c r="CD59" s="42" t="n">
        <f aca="false">CC59*(1+CD58)+CD57</f>
        <v>667.98</v>
      </c>
      <c r="CE59" s="42" t="n">
        <f aca="false">CD59*(1+CE58)+CE57</f>
        <v>939.7386</v>
      </c>
    </row>
    <row r="60" customFormat="false" ht="15" hidden="false" customHeight="true" outlineLevel="0" collapsed="false">
      <c r="B60" s="29" t="s">
        <v>163</v>
      </c>
      <c r="CA60" s="46" t="n">
        <v>0</v>
      </c>
      <c r="CB60" s="42" t="n">
        <f aca="false">CA59*(1+CB58)+0.5*CB57</f>
        <v>100</v>
      </c>
      <c r="CC60" s="42" t="n">
        <f aca="false">CB59*(1+CC58)+0.5*CC57</f>
        <v>314</v>
      </c>
      <c r="CD60" s="42" t="n">
        <f aca="false">CC59*(1+CD58)+0.5*CD57</f>
        <v>555.48</v>
      </c>
      <c r="CE60" s="42" t="n">
        <f aca="false">CD59*(1+CE58)+0.5*CE57</f>
        <v>827.2386</v>
      </c>
      <c r="CF60" s="19" t="s">
        <v>164</v>
      </c>
    </row>
    <row r="61" customFormat="false" ht="15" hidden="false" customHeight="true" outlineLevel="0" collapsed="false">
      <c r="B61" s="29" t="s">
        <v>165</v>
      </c>
      <c r="CA61" s="31" t="n">
        <v>0</v>
      </c>
      <c r="CB61" s="31" t="n">
        <v>0.18</v>
      </c>
      <c r="CC61" s="23" t="n">
        <f aca="false">CB61</f>
        <v>0.18</v>
      </c>
      <c r="CD61" s="23" t="n">
        <f aca="false">CC61</f>
        <v>0.18</v>
      </c>
      <c r="CE61" s="23" t="n">
        <f aca="false">CD61</f>
        <v>0.18</v>
      </c>
      <c r="CF61" s="19" t="s">
        <v>166</v>
      </c>
    </row>
    <row r="62" customFormat="false" ht="15" hidden="false" customHeight="true" outlineLevel="0" collapsed="false">
      <c r="B62" s="29" t="s">
        <v>167</v>
      </c>
      <c r="CA62" s="46" t="n">
        <v>0</v>
      </c>
      <c r="CB62" s="42" t="n">
        <f aca="false">CB60*CB61</f>
        <v>18</v>
      </c>
      <c r="CC62" s="42" t="n">
        <f aca="false">CC60*CC61</f>
        <v>56.52</v>
      </c>
      <c r="CD62" s="42" t="n">
        <f aca="false">CD60*CD61</f>
        <v>99.9864</v>
      </c>
      <c r="CE62" s="42" t="n">
        <f aca="false">CE60*CE61</f>
        <v>148.902948</v>
      </c>
    </row>
    <row r="63" customFormat="false" ht="15" hidden="false" customHeight="true" outlineLevel="0" collapsed="false">
      <c r="B63" s="29" t="s">
        <v>168</v>
      </c>
      <c r="CA63" s="31" t="n">
        <v>0</v>
      </c>
      <c r="CB63" s="31" t="n">
        <v>0.08</v>
      </c>
      <c r="CC63" s="23" t="n">
        <f aca="false">CB63</f>
        <v>0.08</v>
      </c>
      <c r="CD63" s="23" t="n">
        <f aca="false">CC63</f>
        <v>0.08</v>
      </c>
      <c r="CE63" s="23" t="n">
        <f aca="false">CD63</f>
        <v>0.08</v>
      </c>
    </row>
    <row r="64" customFormat="false" ht="15" hidden="false" customHeight="true" outlineLevel="0" collapsed="false">
      <c r="B64" s="29" t="s">
        <v>169</v>
      </c>
      <c r="CA64" s="46" t="n">
        <v>0</v>
      </c>
      <c r="CB64" s="42" t="n">
        <f aca="false">CB60*CB63</f>
        <v>8</v>
      </c>
      <c r="CC64" s="42" t="n">
        <f aca="false">CC60*CC63</f>
        <v>25.12</v>
      </c>
      <c r="CD64" s="42" t="n">
        <f aca="false">CD60*CD63</f>
        <v>44.4384</v>
      </c>
      <c r="CE64" s="42" t="n">
        <f aca="false">CE60*CE63</f>
        <v>66.179088</v>
      </c>
    </row>
    <row r="65" customFormat="false" ht="15" hidden="false" customHeight="true" outlineLevel="0" collapsed="false">
      <c r="B65" s="29" t="s">
        <v>170</v>
      </c>
      <c r="CA65" s="31" t="n">
        <v>0</v>
      </c>
      <c r="CB65" s="31" t="n">
        <v>0.05</v>
      </c>
      <c r="CC65" s="23" t="n">
        <f aca="false">CB65</f>
        <v>0.05</v>
      </c>
      <c r="CD65" s="23" t="n">
        <f aca="false">CC65</f>
        <v>0.05</v>
      </c>
      <c r="CE65" s="23" t="n">
        <f aca="false">CD65</f>
        <v>0.05</v>
      </c>
      <c r="CF65" s="19" t="s">
        <v>171</v>
      </c>
    </row>
    <row r="66" customFormat="false" ht="15" hidden="false" customHeight="true" outlineLevel="0" collapsed="false">
      <c r="B66" s="29" t="s">
        <v>172</v>
      </c>
      <c r="CA66" s="31" t="n">
        <v>0</v>
      </c>
      <c r="CB66" s="31" t="n">
        <v>0.35</v>
      </c>
      <c r="CC66" s="23" t="n">
        <f aca="false">CB66</f>
        <v>0.35</v>
      </c>
      <c r="CD66" s="23" t="n">
        <f aca="false">CC66</f>
        <v>0.35</v>
      </c>
      <c r="CE66" s="23" t="n">
        <f aca="false">CD66</f>
        <v>0.35</v>
      </c>
    </row>
    <row r="67" customFormat="false" ht="15" hidden="false" customHeight="true" outlineLevel="0" collapsed="false">
      <c r="B67" s="29" t="s">
        <v>173</v>
      </c>
      <c r="CA67" s="46" t="n">
        <v>0</v>
      </c>
      <c r="CB67" s="46" t="n">
        <v>12</v>
      </c>
      <c r="CC67" s="42" t="n">
        <f aca="false">CB67</f>
        <v>12</v>
      </c>
      <c r="CD67" s="42" t="n">
        <f aca="false">CC67</f>
        <v>12</v>
      </c>
      <c r="CE67" s="42" t="n">
        <f aca="false">CD67</f>
        <v>12</v>
      </c>
    </row>
    <row r="68" customFormat="false" ht="15" hidden="false" customHeight="true" outlineLevel="0" collapsed="false">
      <c r="B68" s="29" t="s">
        <v>174</v>
      </c>
      <c r="CA68" s="46" t="n">
        <v>0</v>
      </c>
      <c r="CB68" s="42" t="n">
        <f aca="false">CA68+CB55*CB66</f>
        <v>280</v>
      </c>
      <c r="CC68" s="42" t="n">
        <f aca="false">CB68+CC55*CC66</f>
        <v>560</v>
      </c>
      <c r="CD68" s="42" t="n">
        <f aca="false">CC68+CD55*CD66</f>
        <v>875</v>
      </c>
      <c r="CE68" s="42" t="n">
        <f aca="false">CD68+CE55*CE66</f>
        <v>1190</v>
      </c>
    </row>
    <row r="69" customFormat="false" ht="15" hidden="false" customHeight="true" outlineLevel="0" collapsed="false">
      <c r="B69" s="29" t="s">
        <v>175</v>
      </c>
      <c r="CA69" s="46" t="n">
        <v>0</v>
      </c>
      <c r="CB69" s="42" t="n">
        <f aca="false">(CA68+0.5*CB55*CB66)/CB67</f>
        <v>11.6666666666667</v>
      </c>
      <c r="CC69" s="42" t="n">
        <f aca="false">(CB68+0.5*CC55*CC66)/CC67</f>
        <v>35</v>
      </c>
      <c r="CD69" s="42" t="n">
        <f aca="false">(CC68+0.5*CD55*CD66)/CD67</f>
        <v>59.7916666666667</v>
      </c>
      <c r="CE69" s="42" t="n">
        <f aca="false">(CD68+0.5*CE55*CE66)/CE67</f>
        <v>86.0416666666667</v>
      </c>
    </row>
    <row r="70" customFormat="false" ht="15" hidden="false" customHeight="true" outlineLevel="0" collapsed="false"/>
    <row r="71" customFormat="false" ht="15" hidden="false" customHeight="true" outlineLevel="0" collapsed="false">
      <c r="B71" s="14" t="s">
        <v>176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5" t="s">
        <v>177</v>
      </c>
    </row>
    <row r="72" customFormat="false" ht="15" hidden="false" customHeight="true" outlineLevel="0" collapsed="false">
      <c r="B72" s="49" t="s">
        <v>178</v>
      </c>
      <c r="C72" s="50" t="n">
        <f aca="false">N(C11)+N(C30)+N(C48)+N(C60)</f>
        <v>392.19</v>
      </c>
      <c r="D72" s="50" t="n">
        <f aca="false">N(D11)+N(D30)+N(D48)+N(D60)</f>
        <v>507.924</v>
      </c>
      <c r="E72" s="50" t="n">
        <f aca="false">N(E11)+N(E30)+N(E48)+N(E60)</f>
        <v>582.347</v>
      </c>
      <c r="F72" s="50" t="n">
        <f aca="false">N(F11)+N(F30)+N(F48)+N(F60)</f>
        <v>538.296</v>
      </c>
      <c r="G72" s="50" t="n">
        <f aca="false">N(G11)+N(G30)+N(G48)+N(G60)</f>
        <v>617.02</v>
      </c>
      <c r="H72" s="50" t="n">
        <f aca="false">N(H11)+N(H30)+N(H48)+N(H60)</f>
        <v>764.891</v>
      </c>
      <c r="I72" s="50" t="n">
        <f aca="false">N(I11)+N(I30)+N(I48)+N(I60)</f>
        <v>897.347</v>
      </c>
      <c r="J72" s="50" t="n">
        <f aca="false">N(J11)+N(J30)+N(J48)+N(J60)</f>
        <v>216.49</v>
      </c>
      <c r="K72" s="50" t="n">
        <f aca="false">N(K11)+N(K30)+N(K48)+N(K60)</f>
        <v>237.708</v>
      </c>
      <c r="L72" s="50" t="n">
        <f aca="false">N(L11)+N(L30)+N(L48)+N(L60)</f>
        <v>267.133</v>
      </c>
      <c r="M72" s="50" t="n">
        <f aca="false">N(M11)+N(M30)+N(M48)+N(M60)</f>
        <v>287.426</v>
      </c>
      <c r="N72" s="50" t="n">
        <f aca="false">N(N11)+N(N30)+N(N48)+N(N60)</f>
        <v>1008.757</v>
      </c>
      <c r="O72" s="50" t="n">
        <f aca="false">N(O11)+N(O30)+N(O48)+N(O60)</f>
        <v>266.826</v>
      </c>
      <c r="P72" s="50" t="n">
        <f aca="false">N(P11)+N(P30)+N(P48)+N(P60)</f>
        <v>282.232</v>
      </c>
      <c r="Q72" s="50" t="n">
        <f aca="false">N(Q11)+N(Q30)+N(Q48)+N(Q60)</f>
        <v>291.03</v>
      </c>
      <c r="R72" s="50" t="n">
        <f aca="false">N(R11)+N(R30)+N(R48)+N(R60)</f>
        <v>292.223</v>
      </c>
      <c r="S72" s="50" t="n">
        <f aca="false">N(S11)+N(S30)+N(S48)+N(S60)</f>
        <v>1132.311</v>
      </c>
      <c r="T72" s="50" t="n">
        <f aca="false">N(T11)+N(T30)+N(T48)+N(T60)</f>
        <v>268.185</v>
      </c>
      <c r="U72" s="50" t="n">
        <f aca="false">N(U11)+N(U30)+N(U48)+N(U60)</f>
        <v>291.421</v>
      </c>
      <c r="V72" s="50" t="n">
        <f aca="false">N(V11)+N(V30)+N(V48)+N(V60)</f>
        <v>300.37</v>
      </c>
      <c r="W72" s="50" t="n">
        <f aca="false">N(W11)+N(W30)+N(W48)+N(W60)</f>
        <v>328.672</v>
      </c>
      <c r="X72" s="50" t="n">
        <f aca="false">N(X11)+N(X30)+N(X48)+N(X60)</f>
        <v>1188.648</v>
      </c>
      <c r="Y72" s="50" t="n">
        <f aca="false">N(Y11)+N(Y30)+N(Y48)+N(Y60)</f>
        <v>306.227</v>
      </c>
      <c r="Z72" s="50" t="n">
        <f aca="false">N(Z11)+N(Z30)+N(Z48)+N(Z60)</f>
        <v>350.648</v>
      </c>
      <c r="AA72" s="50" t="n">
        <f aca="false">N(AA11)+N(AA30)+N(AA48)+N(AA60)</f>
        <v>356.084</v>
      </c>
      <c r="AB72" s="50" t="n">
        <f aca="false">N(AB11)+N(AB30)+N(AB48)+N(AB60)</f>
        <v>363.299</v>
      </c>
      <c r="AC72" s="50" t="n">
        <f aca="false">N(AC11)+N(AC30)+N(AC48)+N(AC60)</f>
        <v>1376.258</v>
      </c>
      <c r="AD72" s="50" t="n">
        <f aca="false">N(AD11)+N(AD30)+N(AD48)+N(AD60)</f>
        <v>343.432</v>
      </c>
      <c r="AE72" s="50" t="n">
        <f aca="false">N(AE11)+N(AE30)+N(AE48)+N(AE60)</f>
        <v>368.657</v>
      </c>
      <c r="AF72" s="50" t="n">
        <f aca="false">N(AF11)+N(AF30)+N(AF48)+N(AF60)</f>
        <v>391.5</v>
      </c>
      <c r="AG72" s="50" t="n">
        <f aca="false">N(AG11)+N(AG30)+N(AG48)+N(AG60)</f>
        <v>421.224</v>
      </c>
      <c r="AH72" s="50" t="n">
        <f aca="false">N(AH11)+N(AH30)+N(AH48)+N(AH60)</f>
        <v>1524.813</v>
      </c>
      <c r="AI72" s="50" t="n">
        <f aca="false">N(AI11)+N(AI30)+N(AI48)+N(AI60)</f>
        <v>404.41</v>
      </c>
      <c r="AJ72" s="50" t="n">
        <f aca="false">N(AJ11)+N(AJ30)+N(AJ48)+N(AJ60)</f>
        <v>430.602</v>
      </c>
      <c r="AK72" s="50" t="n">
        <f aca="false">N(AK11)+N(AK30)+N(AK48)+N(AK60)</f>
        <v>465.825</v>
      </c>
      <c r="AL72" s="50" t="n">
        <f aca="false">N(AL11)+N(AL30)+N(AL48)+N(AL60)</f>
        <v>476.884</v>
      </c>
      <c r="AM72" s="50" t="n">
        <f aca="false">N(AM11)+N(AM30)+N(AM48)+N(AM60)</f>
        <v>1777.721</v>
      </c>
      <c r="AN72" s="50" t="n">
        <f aca="false">N(AN11)+N(AN30)+N(AN48)+N(AN60)</f>
        <v>466.146</v>
      </c>
      <c r="AO72" s="50" t="n">
        <f aca="false">N(AO11)+N(AO30)+N(AO48)+N(AO60)</f>
        <v>515.648</v>
      </c>
      <c r="AP72" s="50" t="n">
        <f aca="false">N(AP11)+N(AP30)+N(AP48)+N(AP60)</f>
        <v>532.324</v>
      </c>
      <c r="AQ72" s="50" t="n">
        <f aca="false">N(AQ11)+N(AQ30)+N(AQ48)+N(AQ60)</f>
        <v>541.529</v>
      </c>
      <c r="AR72" s="50" t="n">
        <f aca="false">N(AR11)+N(AR30)+N(AR48)+N(AR60)</f>
        <v>2055.647</v>
      </c>
      <c r="AS72" s="50" t="n">
        <f aca="false">N(AS11)+N(AS30)+N(AS48)+N(AS60)</f>
        <v>506.275</v>
      </c>
      <c r="AT72" s="50" t="n">
        <f aca="false">N(AT11)+N(AT30)+N(AT48)+N(AT60)</f>
        <v>468.146</v>
      </c>
      <c r="AU72" s="50" t="n">
        <f aca="false">N(AU11)+N(AU30)+N(AU48)+N(AU60)</f>
        <v>386.41</v>
      </c>
      <c r="AV72" s="50" t="n">
        <f aca="false">N(AV11)+N(AV30)+N(AV48)+N(AV60)</f>
        <v>426.178</v>
      </c>
      <c r="AW72" s="50" t="n">
        <f aca="false">N(AW11)+N(AW30)+N(AW48)+N(AW60)</f>
        <v>1787.009</v>
      </c>
      <c r="AX72" s="50" t="n">
        <f aca="false">N(AX11)+N(AX30)+N(AX48)+N(AX60)</f>
        <v>417.902</v>
      </c>
      <c r="AY72" s="50" t="n">
        <f aca="false">N(AY11)+N(AY30)+N(AY48)+N(AY60)</f>
        <v>466.651</v>
      </c>
      <c r="AZ72" s="50" t="n">
        <f aca="false">N(AZ11)+N(AZ30)+N(AZ48)+N(AZ60)</f>
        <v>471.707</v>
      </c>
      <c r="BA72" s="50" t="n">
        <f aca="false">N(BA11)+N(BA30)+N(BA48)+N(BA60)</f>
        <v>509.422</v>
      </c>
      <c r="BB72" s="50" t="n">
        <f aca="false">N(BB11)+N(BB30)+N(BB48)+N(BB60)</f>
        <v>1865.682</v>
      </c>
      <c r="BC72" s="50" t="n">
        <f aca="false">N(BC11)+N(BC30)+N(BC48)+N(BC60)</f>
        <v>490.343</v>
      </c>
      <c r="BD72" s="50" t="n">
        <f aca="false">N(BD11)+N(BD30)+N(BD48)+N(BD60)</f>
        <v>538.813</v>
      </c>
      <c r="BE72" s="50" t="n">
        <f aca="false">N(BE11)+N(BE30)+N(BE48)+N(BE60)</f>
        <v>569.528</v>
      </c>
      <c r="BF72" s="50" t="n">
        <f aca="false">N(BF11)+N(BF30)+N(BF48)+N(BF60)</f>
        <v>609.638</v>
      </c>
      <c r="BG72" s="50" t="n">
        <f aca="false">N(BG11)+N(BG30)+N(BG48)+N(BG60)</f>
        <v>2208.322</v>
      </c>
      <c r="BH72" s="50" t="n">
        <f aca="false">N(BH11)+N(BH30)+N(BH48)+N(BH60)</f>
        <v>620.915</v>
      </c>
      <c r="BI72" s="50" t="n">
        <f aca="false">N(BI11)+N(BI30)+N(BI48)+N(BI60)</f>
        <v>687.841</v>
      </c>
      <c r="BJ72" s="50" t="n">
        <f aca="false">N(BJ11)+N(BJ30)+N(BJ48)+N(BJ60)</f>
        <v>722.902</v>
      </c>
      <c r="BK72" s="50" t="n">
        <f aca="false">N(BK11)+N(BK30)+N(BK48)+N(BK60)</f>
        <v>936.447</v>
      </c>
      <c r="BL72" s="50" t="n">
        <f aca="false">N(BL11)+N(BL30)+N(BL48)+N(BL60)</f>
        <v>2968.105</v>
      </c>
      <c r="BM72" s="50" t="n">
        <f aca="false">N(BM11)+N(BM30)+N(BM48)+N(BM60)</f>
        <v>896.363</v>
      </c>
      <c r="BN72" s="50" t="n">
        <f aca="false">N(BN11)+N(BN30)+N(BN48)+N(BN60)</f>
        <v>955.395</v>
      </c>
      <c r="BO72" s="50" t="n">
        <f aca="false">N(BO11)+N(BO30)+N(BO48)+N(BO60)</f>
        <v>992.246</v>
      </c>
      <c r="BP72" s="50" t="n">
        <f aca="false">N(BP11)+N(BP30)+N(BP48)+N(BP60)</f>
        <v>1013.665</v>
      </c>
      <c r="BQ72" s="50" t="n">
        <f aca="false">N(BQ11)+N(BQ30)+N(BQ48)+N(BQ60)</f>
        <v>3857.669</v>
      </c>
      <c r="BR72" s="50" t="n">
        <f aca="false">N(BR11)+N(BR30)+N(BR48)+N(BR60)</f>
        <v>1030.222</v>
      </c>
      <c r="BS72" s="50" t="n">
        <f aca="false">N(BS11)+N(BS30)+N(BS48)+N(BS60)</f>
        <v>1097.82</v>
      </c>
      <c r="BT72" s="50" t="n">
        <f aca="false">N(BT11)+N(BT30)+N(BT48)+N(BT60)</f>
        <v>1147.591</v>
      </c>
      <c r="BU72" s="50" t="n">
        <f aca="false">N(BU11)+N(BU30)+N(BU48)+N(BU60)</f>
        <v>1209.411</v>
      </c>
      <c r="BV72" s="50" t="n">
        <f aca="false">N(BV11)+N(BV30)+N(BV48)+N(BV60)</f>
        <v>4485.044</v>
      </c>
      <c r="BW72" s="50" t="n">
        <f aca="false">N(BW11)+N(BW30)+N(BW48)+N(BW60)</f>
        <v>1178.582</v>
      </c>
      <c r="BX72" s="50" t="n">
        <f aca="false">N(BX11)+N(BX30)+N(BX48)+N(BX60)</f>
        <v>1375.713</v>
      </c>
      <c r="BY72" s="50" t="n">
        <f aca="false">N(BY11)+N(BY30)+N(BY48)+N(BY60)</f>
        <v>1413.05</v>
      </c>
      <c r="BZ72" s="50" t="n">
        <f aca="false">N(BZ11)+N(BZ30)+N(BZ48)+N(BZ60)</f>
        <v>1476.24624517847</v>
      </c>
      <c r="CA72" s="50" t="n">
        <f aca="false">SUM(BW72,BX72,BY72,BZ72)</f>
        <v>5443.59124517847</v>
      </c>
      <c r="CB72" s="50" t="n">
        <f aca="false">N(CB11)+N(CB30)+N(CB48)+N(CB60)</f>
        <v>6196.44043837219</v>
      </c>
      <c r="CC72" s="50" t="n">
        <f aca="false">N(CC11)+N(CC30)+N(CC48)+N(CC60)</f>
        <v>6877.61509407681</v>
      </c>
      <c r="CD72" s="50" t="n">
        <f aca="false">N(CD11)+N(CD30)+N(CD48)+N(CD60)</f>
        <v>7567.55894070183</v>
      </c>
      <c r="CE72" s="50" t="n">
        <f aca="false">N(CE11)+N(CE30)+N(CE48)+N(CE60)</f>
        <v>8318.45955794318</v>
      </c>
      <c r="CF72" s="19" t="s">
        <v>179</v>
      </c>
      <c r="CH72" s="20" t="n">
        <f aca="false">IFERROR((CE72/BV72)^(1/5)-1,"n/m")</f>
        <v>0.131501776910332</v>
      </c>
      <c r="CI72" s="20" t="n">
        <f aca="false">IFERROR((BV72/AW72)^(1/5)-1,"n/m")</f>
        <v>0.202065114786015</v>
      </c>
      <c r="CJ72" s="20" t="n">
        <f aca="false">IFERROR((BV72/X72)^(1/10)-1,"n/m")</f>
        <v>0.142013780234462</v>
      </c>
      <c r="CK72" s="20" t="n">
        <f aca="false">IFERROR((BV72/C72)^(1/19)-1,"n/m")</f>
        <v>0.136837605395663</v>
      </c>
    </row>
    <row r="73" customFormat="false" ht="15" hidden="false" customHeight="true" outlineLevel="0" collapsed="false">
      <c r="B73" s="49" t="s">
        <v>180</v>
      </c>
      <c r="C73" s="50" t="n">
        <f aca="false">N(C15)+N(C34)+N(C50)+N(C62)</f>
        <v>66.867</v>
      </c>
      <c r="D73" s="50" t="n">
        <f aca="false">N(D15)+N(D34)+N(D50)+N(D62)</f>
        <v>86.014</v>
      </c>
      <c r="E73" s="50" t="n">
        <f aca="false">N(E15)+N(E34)+N(E50)+N(E62)</f>
        <v>105.788</v>
      </c>
      <c r="F73" s="50" t="n">
        <f aca="false">N(F15)+N(F34)+N(F50)+N(F62)</f>
        <v>88.255</v>
      </c>
      <c r="G73" s="50" t="n">
        <f aca="false">N(G15)+N(G34)+N(G50)+N(G62)</f>
        <v>109.173</v>
      </c>
      <c r="H73" s="50" t="n">
        <f aca="false">N(H15)+N(H34)+N(H50)+N(H62)</f>
        <v>138.431</v>
      </c>
      <c r="I73" s="50" t="n">
        <f aca="false">N(I15)+N(I34)+N(I50)+N(I62)</f>
        <v>163.294</v>
      </c>
      <c r="J73" s="50" t="n">
        <f aca="false">N(J15)+N(J34)+N(J50)+N(J62)</f>
        <v>34.939</v>
      </c>
      <c r="K73" s="50" t="n">
        <f aca="false">N(K15)+N(K34)+N(K50)+N(K62)</f>
        <v>44.688</v>
      </c>
      <c r="L73" s="50" t="n">
        <f aca="false">N(L15)+N(L34)+N(L50)+N(L62)</f>
        <v>48.406</v>
      </c>
      <c r="M73" s="50" t="n">
        <f aca="false">N(M15)+N(M34)+N(M50)+N(M62)</f>
        <v>55.557</v>
      </c>
      <c r="N73" s="50" t="n">
        <f aca="false">N(N15)+N(N34)+N(N50)+N(N62)</f>
        <v>183.59</v>
      </c>
      <c r="O73" s="50" t="n">
        <f aca="false">N(O15)+N(O34)+N(O50)+N(O62)</f>
        <v>50.385</v>
      </c>
      <c r="P73" s="50" t="n">
        <f aca="false">N(P15)+N(P34)+N(P50)+N(P62)</f>
        <v>49.171</v>
      </c>
      <c r="Q73" s="50" t="n">
        <f aca="false">N(Q15)+N(Q34)+N(Q50)+N(Q62)</f>
        <v>50.113</v>
      </c>
      <c r="R73" s="50" t="n">
        <f aca="false">N(R15)+N(R34)+N(R50)+N(R62)</f>
        <v>53.719</v>
      </c>
      <c r="S73" s="50" t="n">
        <f aca="false">N(S15)+N(S34)+N(S50)+N(S62)</f>
        <v>203.388</v>
      </c>
      <c r="T73" s="50" t="n">
        <f aca="false">N(T15)+N(T34)+N(T50)+N(T62)</f>
        <v>46.406</v>
      </c>
      <c r="U73" s="50" t="n">
        <f aca="false">N(U15)+N(U34)+N(U50)+N(U62)</f>
        <v>55.788</v>
      </c>
      <c r="V73" s="50" t="n">
        <f aca="false">N(V15)+N(V34)+N(V50)+N(V62)</f>
        <v>58.51</v>
      </c>
      <c r="W73" s="50" t="n">
        <f aca="false">N(W15)+N(W34)+N(W50)+N(W62)</f>
        <v>68.952</v>
      </c>
      <c r="X73" s="50" t="n">
        <f aca="false">N(X15)+N(X34)+N(X50)+N(X62)</f>
        <v>229.656</v>
      </c>
      <c r="Y73" s="50" t="n">
        <f aca="false">N(Y15)+N(Y34)+N(Y50)+N(Y62)</f>
        <v>52.621</v>
      </c>
      <c r="Z73" s="50" t="n">
        <f aca="false">N(Z15)+N(Z34)+N(Z50)+N(Z62)</f>
        <v>66.794</v>
      </c>
      <c r="AA73" s="50" t="n">
        <f aca="false">N(AA15)+N(AA34)+N(AA50)+N(AA62)</f>
        <v>69.854</v>
      </c>
      <c r="AB73" s="50" t="n">
        <f aca="false">N(AB15)+N(AB34)+N(AB50)+N(AB62)</f>
        <v>76.076</v>
      </c>
      <c r="AC73" s="50" t="n">
        <f aca="false">N(AC15)+N(AC34)+N(AC50)+N(AC62)</f>
        <v>265.345</v>
      </c>
      <c r="AD73" s="50" t="n">
        <f aca="false">N(AD15)+N(AD34)+N(AD50)+N(AD62)</f>
        <v>64.55</v>
      </c>
      <c r="AE73" s="50" t="n">
        <f aca="false">N(AE15)+N(AE34)+N(AE50)+N(AE62)</f>
        <v>76.542</v>
      </c>
      <c r="AF73" s="50" t="n">
        <f aca="false">N(AF15)+N(AF34)+N(AF50)+N(AF62)</f>
        <v>76.122</v>
      </c>
      <c r="AG73" s="50" t="n">
        <f aca="false">N(AG15)+N(AG34)+N(AG50)+N(AG62)</f>
        <v>89.444</v>
      </c>
      <c r="AH73" s="50" t="n">
        <f aca="false">N(AH15)+N(AH34)+N(AH50)+N(AH62)</f>
        <v>306.658</v>
      </c>
      <c r="AI73" s="50" t="n">
        <f aca="false">N(AI15)+N(AI34)+N(AI50)+N(AI62)</f>
        <v>79.56</v>
      </c>
      <c r="AJ73" s="50" t="n">
        <f aca="false">N(AJ15)+N(AJ34)+N(AJ50)+N(AJ62)</f>
        <v>91.565</v>
      </c>
      <c r="AK73" s="50" t="n">
        <f aca="false">N(AK15)+N(AK34)+N(AK50)+N(AK62)</f>
        <v>101.423</v>
      </c>
      <c r="AL73" s="50" t="n">
        <f aca="false">N(AL15)+N(AL34)+N(AL50)+N(AL62)</f>
        <v>103.697</v>
      </c>
      <c r="AM73" s="50" t="n">
        <f aca="false">N(AM15)+N(AM34)+N(AM50)+N(AM62)</f>
        <v>376.245</v>
      </c>
      <c r="AN73" s="50" t="n">
        <f aca="false">N(AN15)+N(AN34)+N(AN50)+N(AN62)</f>
        <v>97.947</v>
      </c>
      <c r="AO73" s="50" t="n">
        <f aca="false">N(AO15)+N(AO34)+N(AO50)+N(AO62)</f>
        <v>119.183</v>
      </c>
      <c r="AP73" s="50" t="n">
        <f aca="false">N(AP15)+N(AP34)+N(AP50)+N(AP62)</f>
        <v>119.414</v>
      </c>
      <c r="AQ73" s="50" t="n">
        <f aca="false">N(AQ15)+N(AQ34)+N(AQ50)+N(AQ62)</f>
        <v>120.553</v>
      </c>
      <c r="AR73" s="50" t="n">
        <f aca="false">N(AR15)+N(AR34)+N(AR50)+N(AR62)</f>
        <v>457.097</v>
      </c>
      <c r="AS73" s="50" t="n">
        <f aca="false">N(AS15)+N(AS34)+N(AS50)+N(AS62)</f>
        <v>110.99</v>
      </c>
      <c r="AT73" s="50" t="n">
        <f aca="false">N(AT15)+N(AT34)+N(AT50)+N(AT62)</f>
        <v>108.161</v>
      </c>
      <c r="AU73" s="50" t="n">
        <f aca="false">N(AU15)+N(AU34)+N(AU50)+N(AU62)</f>
        <v>68.434</v>
      </c>
      <c r="AV73" s="50" t="n">
        <f aca="false">N(AV15)+N(AV34)+N(AV50)+N(AV62)</f>
        <v>89.063</v>
      </c>
      <c r="AW73" s="50" t="n">
        <f aca="false">N(AW15)+N(AW34)+N(AW50)+N(AW62)</f>
        <v>376.648</v>
      </c>
      <c r="AX73" s="50" t="n">
        <f aca="false">N(AX15)+N(AX34)+N(AX50)+N(AX62)</f>
        <v>80.285</v>
      </c>
      <c r="AY73" s="50" t="n">
        <f aca="false">N(AY15)+N(AY34)+N(AY50)+N(AY62)</f>
        <v>96.748</v>
      </c>
      <c r="AZ73" s="50" t="n">
        <f aca="false">N(AZ15)+N(AZ34)+N(AZ50)+N(AZ62)</f>
        <v>100.838</v>
      </c>
      <c r="BA73" s="50" t="n">
        <f aca="false">N(BA15)+N(BA34)+N(BA50)+N(BA62)</f>
        <v>115.029</v>
      </c>
      <c r="BB73" s="50" t="n">
        <f aca="false">N(BB15)+N(BB34)+N(BB50)+N(BB62)</f>
        <v>392.9</v>
      </c>
      <c r="BC73" s="50" t="n">
        <f aca="false">N(BC15)+N(BC34)+N(BC50)+N(BC62)</f>
        <v>98.822</v>
      </c>
      <c r="BD73" s="50" t="n">
        <f aca="false">N(BD15)+N(BD34)+N(BD50)+N(BD62)</f>
        <v>122.777</v>
      </c>
      <c r="BE73" s="50" t="n">
        <f aca="false">N(BE15)+N(BE34)+N(BE50)+N(BE62)</f>
        <v>128.747</v>
      </c>
      <c r="BF73" s="50" t="n">
        <f aca="false">N(BF15)+N(BF34)+N(BF50)+N(BF62)</f>
        <v>146.498</v>
      </c>
      <c r="BG73" s="50" t="n">
        <f aca="false">N(BG15)+N(BG34)+N(BG50)+N(BG62)</f>
        <v>496.844</v>
      </c>
      <c r="BH73" s="50" t="n">
        <f aca="false">N(BH15)+N(BH34)+N(BH50)+N(BH62)</f>
        <v>129.434</v>
      </c>
      <c r="BI73" s="50" t="n">
        <f aca="false">N(BI15)+N(BI34)+N(BI50)+N(BI62)</f>
        <v>157.09</v>
      </c>
      <c r="BJ73" s="50" t="n">
        <f aca="false">N(BJ15)+N(BJ34)+N(BJ50)+N(BJ62)</f>
        <v>149.367</v>
      </c>
      <c r="BK73" s="50" t="n">
        <f aca="false">N(BK15)+N(BK34)+N(BK50)+N(BK62)</f>
        <v>189.448</v>
      </c>
      <c r="BL73" s="50" t="n">
        <f aca="false">N(BL15)+N(BL34)+N(BL50)+N(BL62)</f>
        <v>625.339</v>
      </c>
      <c r="BM73" s="50" t="n">
        <f aca="false">N(BM15)+N(BM34)+N(BM50)+N(BM62)</f>
        <v>180.21</v>
      </c>
      <c r="BN73" s="50" t="n">
        <f aca="false">N(BN15)+N(BN34)+N(BN50)+N(BN62)</f>
        <v>209.153</v>
      </c>
      <c r="BO73" s="50" t="n">
        <f aca="false">N(BO15)+N(BO34)+N(BO50)+N(BO62)</f>
        <v>216.446</v>
      </c>
      <c r="BP73" s="50" t="n">
        <f aca="false">N(BP15)+N(BP34)+N(BP50)+N(BP62)</f>
        <v>218.646</v>
      </c>
      <c r="BQ73" s="50" t="n">
        <f aca="false">N(BQ15)+N(BQ34)+N(BQ50)+N(BQ62)</f>
        <v>824.455</v>
      </c>
      <c r="BR73" s="50" t="n">
        <f aca="false">N(BR15)+N(BR34)+N(BR50)+N(BR62)</f>
        <v>226.805</v>
      </c>
      <c r="BS73" s="50" t="n">
        <f aca="false">N(BS15)+N(BS34)+N(BS50)+N(BS62)</f>
        <v>248.152</v>
      </c>
      <c r="BT73" s="50" t="n">
        <f aca="false">N(BT15)+N(BT34)+N(BT50)+N(BT62)</f>
        <v>265.019</v>
      </c>
      <c r="BU73" s="50" t="n">
        <f aca="false">N(BU15)+N(BU34)+N(BU50)+N(BU62)</f>
        <v>279.022</v>
      </c>
      <c r="BV73" s="50" t="n">
        <f aca="false">N(BV15)+N(BV34)+N(BV50)+N(BV62)</f>
        <v>1018.998</v>
      </c>
      <c r="BW73" s="50" t="n">
        <f aca="false">N(BW15)+N(BW34)+N(BW50)+N(BW62)</f>
        <v>259.899</v>
      </c>
      <c r="BX73" s="50" t="n">
        <f aca="false">N(BX15)+N(BX34)+N(BX50)+N(BX62)</f>
        <v>350.437</v>
      </c>
      <c r="BY73" s="50" t="n">
        <f aca="false">N(BY15)+N(BY34)+N(BY50)+N(BY62)</f>
        <v>355.197</v>
      </c>
      <c r="BZ73" s="50" t="n">
        <f aca="false">N(BZ15)+N(BZ34)+N(BZ50)+N(BZ62)</f>
        <v>361.316109162581</v>
      </c>
      <c r="CA73" s="50" t="n">
        <f aca="false">SUM(BW73,BX73,BY73,BZ73)</f>
        <v>1326.84910916258</v>
      </c>
      <c r="CB73" s="50" t="n">
        <f aca="false">N(CB15)+N(CB34)+N(CB50)+N(CB62)</f>
        <v>1511.39148329429</v>
      </c>
      <c r="CC73" s="50" t="n">
        <f aca="false">N(CC15)+N(CC34)+N(CC50)+N(CC62)</f>
        <v>1697.59856722873</v>
      </c>
      <c r="CD73" s="50" t="n">
        <f aca="false">N(CD15)+N(CD34)+N(CD50)+N(CD62)</f>
        <v>1853.22982048001</v>
      </c>
      <c r="CE73" s="50" t="n">
        <f aca="false">N(CE15)+N(CE34)+N(CE50)+N(CE62)</f>
        <v>2021.98656943932</v>
      </c>
      <c r="CH73" s="20" t="n">
        <f aca="false">IFERROR((CE73/BV73)^(1/5)-1,"n/m")</f>
        <v>0.146887942678089</v>
      </c>
      <c r="CI73" s="20" t="n">
        <f aca="false">IFERROR((BV73/AW73)^(1/5)-1,"n/m")</f>
        <v>0.220246394727531</v>
      </c>
      <c r="CJ73" s="20" t="n">
        <f aca="false">IFERROR((BV73/X73)^(1/10)-1,"n/m")</f>
        <v>0.160672122577507</v>
      </c>
      <c r="CK73" s="20" t="n">
        <f aca="false">IFERROR((BV73/C73)^(1/19)-1,"n/m")</f>
        <v>0.154147011045157</v>
      </c>
    </row>
    <row r="74" customFormat="false" ht="15" hidden="false" customHeight="true" outlineLevel="0" collapsed="false">
      <c r="B74" s="29" t="s">
        <v>106</v>
      </c>
      <c r="C74" s="30" t="n">
        <f aca="false">IF(AND(ISNUMBER(C73),ISNUMBER(C72)),IFERROR(C73/C72,""),"")</f>
        <v>0.170496443050562</v>
      </c>
      <c r="D74" s="30" t="n">
        <f aca="false">IF(AND(ISNUMBER(D73),ISNUMBER(D72)),IFERROR(D73/D72,""),"")</f>
        <v>0.169344232601728</v>
      </c>
      <c r="E74" s="30" t="n">
        <f aca="false">IF(AND(ISNUMBER(E73),ISNUMBER(E72)),IFERROR(E73/E72,""),"")</f>
        <v>0.181658014894899</v>
      </c>
      <c r="F74" s="30" t="n">
        <f aca="false">IF(AND(ISNUMBER(F73),ISNUMBER(F72)),IFERROR(F73/F72,""),"")</f>
        <v>0.163952546554312</v>
      </c>
      <c r="G74" s="30" t="n">
        <f aca="false">IF(AND(ISNUMBER(G73),ISNUMBER(G72)),IFERROR(G73/G72,""),"")</f>
        <v>0.176935917798451</v>
      </c>
      <c r="H74" s="30" t="n">
        <f aca="false">IF(AND(ISNUMBER(H73),ISNUMBER(H72)),IFERROR(H73/H72,""),"")</f>
        <v>0.180981342439642</v>
      </c>
      <c r="I74" s="30" t="n">
        <f aca="false">IF(AND(ISNUMBER(I73),ISNUMBER(I72)),IFERROR(I73/I72,""),"")</f>
        <v>0.181974197272627</v>
      </c>
      <c r="J74" s="30" t="n">
        <f aca="false">IF(AND(ISNUMBER(J73),ISNUMBER(J72)),IFERROR(J73/J72,""),"")</f>
        <v>0.161388516790614</v>
      </c>
      <c r="K74" s="30" t="n">
        <f aca="false">IF(AND(ISNUMBER(K73),ISNUMBER(K72)),IFERROR(K73/K72,""),"")</f>
        <v>0.187995355646423</v>
      </c>
      <c r="L74" s="30" t="n">
        <f aca="false">IF(AND(ISNUMBER(L73),ISNUMBER(L72)),IFERROR(L73/L72,""),"")</f>
        <v>0.181205616677835</v>
      </c>
      <c r="M74" s="30" t="n">
        <f aca="false">IF(AND(ISNUMBER(M73),ISNUMBER(M72)),IFERROR(M73/M72,""),"")</f>
        <v>0.19329149067934</v>
      </c>
      <c r="N74" s="30" t="n">
        <f aca="false">IF(AND(ISNUMBER(N73),ISNUMBER(N72)),IFERROR(N73/N72,""),"")</f>
        <v>0.181996258762021</v>
      </c>
      <c r="O74" s="30" t="n">
        <f aca="false">IF(AND(ISNUMBER(O73),ISNUMBER(O72)),IFERROR(O73/O72,""),"")</f>
        <v>0.188830923523195</v>
      </c>
      <c r="P74" s="30" t="n">
        <f aca="false">IF(AND(ISNUMBER(P73),ISNUMBER(P72)),IFERROR(P73/P72,""),"")</f>
        <v>0.174221916720996</v>
      </c>
      <c r="Q74" s="30" t="n">
        <f aca="false">IF(AND(ISNUMBER(Q73),ISNUMBER(Q72)),IFERROR(Q73/Q72,""),"")</f>
        <v>0.172191870253926</v>
      </c>
      <c r="R74" s="30" t="n">
        <f aca="false">IF(AND(ISNUMBER(R73),ISNUMBER(R72)),IFERROR(R73/R72,""),"")</f>
        <v>0.183828788288396</v>
      </c>
      <c r="S74" s="30" t="n">
        <f aca="false">IF(AND(ISNUMBER(S73),ISNUMBER(S72)),IFERROR(S73/S72,""),"")</f>
        <v>0.179622029636734</v>
      </c>
      <c r="T74" s="30" t="n">
        <f aca="false">IF(AND(ISNUMBER(T73),ISNUMBER(T72)),IFERROR(T73/T72,""),"")</f>
        <v>0.17303726904935</v>
      </c>
      <c r="U74" s="30" t="n">
        <f aca="false">IF(AND(ISNUMBER(U73),ISNUMBER(U72)),IFERROR(U73/U72,""),"")</f>
        <v>0.191434385305108</v>
      </c>
      <c r="V74" s="30" t="n">
        <f aca="false">IF(AND(ISNUMBER(V73),ISNUMBER(V72)),IFERROR(V73/V72,""),"")</f>
        <v>0.194793088524154</v>
      </c>
      <c r="W74" s="30" t="n">
        <f aca="false">IF(AND(ISNUMBER(W73),ISNUMBER(W72)),IFERROR(W73/W72,""),"")</f>
        <v>0.209789699152955</v>
      </c>
      <c r="X74" s="30" t="n">
        <f aca="false">IF(AND(ISNUMBER(X73),ISNUMBER(X72)),IFERROR(X73/X72,""),"")</f>
        <v>0.193207745270257</v>
      </c>
      <c r="Y74" s="30" t="n">
        <f aca="false">IF(AND(ISNUMBER(Y73),ISNUMBER(Y72)),IFERROR(Y73/Y72,""),"")</f>
        <v>0.171836578747139</v>
      </c>
      <c r="Z74" s="30" t="n">
        <f aca="false">IF(AND(ISNUMBER(Z73),ISNUMBER(Z72)),IFERROR(Z73/Z72,""),"")</f>
        <v>0.190487326321553</v>
      </c>
      <c r="AA74" s="30" t="n">
        <f aca="false">IF(AND(ISNUMBER(AA73),ISNUMBER(AA72)),IFERROR(AA73/AA72,""),"")</f>
        <v>0.196172813156446</v>
      </c>
      <c r="AB74" s="30" t="n">
        <f aca="false">IF(AND(ISNUMBER(AB73),ISNUMBER(AB72)),IFERROR(AB73/AB72,""),"")</f>
        <v>0.209403273887349</v>
      </c>
      <c r="AC74" s="30" t="n">
        <f aca="false">IF(AND(ISNUMBER(AC73),ISNUMBER(AC72)),IFERROR(AC73/AC72,""),"")</f>
        <v>0.192801785711691</v>
      </c>
      <c r="AD74" s="30" t="n">
        <f aca="false">IF(AND(ISNUMBER(AD73),ISNUMBER(AD72)),IFERROR(AD73/AD72,""),"")</f>
        <v>0.187955694285914</v>
      </c>
      <c r="AE74" s="30" t="n">
        <f aca="false">IF(AND(ISNUMBER(AE73),ISNUMBER(AE72)),IFERROR(AE73/AE72,""),"")</f>
        <v>0.207623888872312</v>
      </c>
      <c r="AF74" s="30" t="n">
        <f aca="false">IF(AND(ISNUMBER(AF73),ISNUMBER(AF72)),IFERROR(AF73/AF72,""),"")</f>
        <v>0.194436781609195</v>
      </c>
      <c r="AG74" s="30" t="n">
        <f aca="false">IF(AND(ISNUMBER(AG73),ISNUMBER(AG72)),IFERROR(AG73/AG72,""),"")</f>
        <v>0.212343076367918</v>
      </c>
      <c r="AH74" s="30" t="n">
        <f aca="false">IF(AND(ISNUMBER(AH73),ISNUMBER(AH72)),IFERROR(AH73/AH72,""),"")</f>
        <v>0.201111874046195</v>
      </c>
      <c r="AI74" s="30" t="n">
        <f aca="false">IF(AND(ISNUMBER(AI73),ISNUMBER(AI72)),IFERROR(AI73/AI72,""),"")</f>
        <v>0.196731040280903</v>
      </c>
      <c r="AJ74" s="30" t="n">
        <f aca="false">IF(AND(ISNUMBER(AJ73),ISNUMBER(AJ72)),IFERROR(AJ73/AJ72,""),"")</f>
        <v>0.212644158643016</v>
      </c>
      <c r="AK74" s="30" t="n">
        <f aca="false">IF(AND(ISNUMBER(AK73),ISNUMBER(AK72)),IFERROR(AK73/AK72,""),"")</f>
        <v>0.217727687436269</v>
      </c>
      <c r="AL74" s="30" t="n">
        <f aca="false">IF(AND(ISNUMBER(AL73),ISNUMBER(AL72)),IFERROR(AL73/AL72,""),"")</f>
        <v>0.217447010174382</v>
      </c>
      <c r="AM74" s="30" t="n">
        <f aca="false">IF(AND(ISNUMBER(AM73),ISNUMBER(AM72)),IFERROR(AM73/AM72,""),"")</f>
        <v>0.211644571898515</v>
      </c>
      <c r="AN74" s="30" t="n">
        <f aca="false">IF(AND(ISNUMBER(AN73),ISNUMBER(AN72)),IFERROR(AN73/AN72,""),"")</f>
        <v>0.210120863420473</v>
      </c>
      <c r="AO74" s="30" t="n">
        <f aca="false">IF(AND(ISNUMBER(AO73),ISNUMBER(AO72)),IFERROR(AO73/AO72,""),"")</f>
        <v>0.231132477969468</v>
      </c>
      <c r="AP74" s="30" t="n">
        <f aca="false">IF(AND(ISNUMBER(AP73),ISNUMBER(AP72)),IFERROR(AP73/AP72,""),"")</f>
        <v>0.224325786551048</v>
      </c>
      <c r="AQ74" s="30" t="n">
        <f aca="false">IF(AND(ISNUMBER(AQ73),ISNUMBER(AQ72)),IFERROR(AQ73/AQ72,""),"")</f>
        <v>0.222615963318677</v>
      </c>
      <c r="AR74" s="30" t="n">
        <f aca="false">IF(AND(ISNUMBER(AR73),ISNUMBER(AR72)),IFERROR(AR73/AR72,""),"")</f>
        <v>0.222361621426247</v>
      </c>
      <c r="AS74" s="30" t="n">
        <f aca="false">IF(AND(ISNUMBER(AS73),ISNUMBER(AS72)),IFERROR(AS73/AS72,""),"")</f>
        <v>0.219228680065182</v>
      </c>
      <c r="AT74" s="30" t="n">
        <f aca="false">IF(AND(ISNUMBER(AT73),ISNUMBER(AT72)),IFERROR(AT73/AT72,""),"")</f>
        <v>0.231041170916765</v>
      </c>
      <c r="AU74" s="30" t="n">
        <f aca="false">IF(AND(ISNUMBER(AU73),ISNUMBER(AU72)),IFERROR(AU73/AU72,""),"")</f>
        <v>0.177102041872622</v>
      </c>
      <c r="AV74" s="30" t="n">
        <f aca="false">IF(AND(ISNUMBER(AV73),ISNUMBER(AV72)),IFERROR(AV73/AV72,""),"")</f>
        <v>0.208980754520412</v>
      </c>
      <c r="AW74" s="30" t="n">
        <f aca="false">IF(AND(ISNUMBER(AW73),ISNUMBER(AW72)),IFERROR(AW73/AW72,""),"")</f>
        <v>0.210770063273324</v>
      </c>
      <c r="AX74" s="30" t="n">
        <f aca="false">IF(AND(ISNUMBER(AX73),ISNUMBER(AX72)),IFERROR(AX73/AX72,""),"")</f>
        <v>0.192114419170045</v>
      </c>
      <c r="AY74" s="30" t="n">
        <f aca="false">IF(AND(ISNUMBER(AY73),ISNUMBER(AY72)),IFERROR(AY73/AY72,""),"")</f>
        <v>0.207324103023459</v>
      </c>
      <c r="AZ74" s="30" t="n">
        <f aca="false">IF(AND(ISNUMBER(AZ73),ISNUMBER(AZ72)),IFERROR(AZ73/AZ72,""),"")</f>
        <v>0.213772532525487</v>
      </c>
      <c r="BA74" s="30" t="n">
        <f aca="false">IF(AND(ISNUMBER(BA73),ISNUMBER(BA72)),IFERROR(BA73/BA72,""),"")</f>
        <v>0.225802968854898</v>
      </c>
      <c r="BB74" s="30" t="n">
        <f aca="false">IF(AND(ISNUMBER(BB73),ISNUMBER(BB72)),IFERROR(BB73/BB72,""),"")</f>
        <v>0.210593230786383</v>
      </c>
      <c r="BC74" s="30" t="n">
        <f aca="false">IF(AND(ISNUMBER(BC73),ISNUMBER(BC72)),IFERROR(BC73/BC72,""),"")</f>
        <v>0.201536475487567</v>
      </c>
      <c r="BD74" s="30" t="n">
        <f aca="false">IF(AND(ISNUMBER(BD73),ISNUMBER(BD72)),IFERROR(BD73/BD72,""),"")</f>
        <v>0.227865697375527</v>
      </c>
      <c r="BE74" s="30" t="n">
        <f aca="false">IF(AND(ISNUMBER(BE73),ISNUMBER(BE72)),IFERROR(BE73/BE72,""),"")</f>
        <v>0.226059122641907</v>
      </c>
      <c r="BF74" s="30" t="n">
        <f aca="false">IF(AND(ISNUMBER(BF73),ISNUMBER(BF72)),IFERROR(BF73/BF72,""),"")</f>
        <v>0.240303261935772</v>
      </c>
      <c r="BG74" s="30" t="n">
        <f aca="false">IF(AND(ISNUMBER(BG73),ISNUMBER(BG72)),IFERROR(BG73/BG72,""),"")</f>
        <v>0.224987116915015</v>
      </c>
      <c r="BH74" s="30" t="n">
        <f aca="false">IF(AND(ISNUMBER(BH73),ISNUMBER(BH72)),IFERROR(BH73/BH72,""),"")</f>
        <v>0.208456874129309</v>
      </c>
      <c r="BI74" s="30" t="n">
        <f aca="false">IF(AND(ISNUMBER(BI73),ISNUMBER(BI72)),IFERROR(BI73/BI72,""),"")</f>
        <v>0.228381268345446</v>
      </c>
      <c r="BJ74" s="30" t="n">
        <f aca="false">IF(AND(ISNUMBER(BJ73),ISNUMBER(BJ72)),IFERROR(BJ73/BJ72,""),"")</f>
        <v>0.206621367764925</v>
      </c>
      <c r="BK74" s="30" t="n">
        <f aca="false">IF(AND(ISNUMBER(BK73),ISNUMBER(BK72)),IFERROR(BK73/BK72,""),"")</f>
        <v>0.202305095750213</v>
      </c>
      <c r="BL74" s="30" t="n">
        <f aca="false">IF(AND(ISNUMBER(BL73),ISNUMBER(BL72)),IFERROR(BL73/BL72,""),"")</f>
        <v>0.210686279629595</v>
      </c>
      <c r="BM74" s="30" t="n">
        <f aca="false">IF(AND(ISNUMBER(BM73),ISNUMBER(BM72)),IFERROR(BM73/BM72,""),"")</f>
        <v>0.201045781675504</v>
      </c>
      <c r="BN74" s="30" t="n">
        <f aca="false">IF(AND(ISNUMBER(BN73),ISNUMBER(BN72)),IFERROR(BN73/BN72,""),"")</f>
        <v>0.218917829798146</v>
      </c>
      <c r="BO74" s="30" t="n">
        <f aca="false">IF(AND(ISNUMBER(BO73),ISNUMBER(BO72)),IFERROR(BO73/BO72,""),"")</f>
        <v>0.218137437691863</v>
      </c>
      <c r="BP74" s="30" t="n">
        <f aca="false">IF(AND(ISNUMBER(BP73),ISNUMBER(BP72)),IFERROR(BP73/BP72,""),"")</f>
        <v>0.215698480267149</v>
      </c>
      <c r="BQ74" s="30" t="n">
        <f aca="false">IF(AND(ISNUMBER(BQ73),ISNUMBER(BQ72)),IFERROR(BQ73/BQ72,""),"")</f>
        <v>0.213718439814302</v>
      </c>
      <c r="BR74" s="30" t="n">
        <f aca="false">IF(AND(ISNUMBER(BR73),ISNUMBER(BR72)),IFERROR(BR73/BR72,""),"")</f>
        <v>0.220151578980065</v>
      </c>
      <c r="BS74" s="30" t="n">
        <f aca="false">IF(AND(ISNUMBER(BS73),ISNUMBER(BS72)),IFERROR(BS73/BS72,""),"")</f>
        <v>0.226040698839518</v>
      </c>
      <c r="BT74" s="30" t="n">
        <f aca="false">IF(AND(ISNUMBER(BT73),ISNUMBER(BT72)),IFERROR(BT73/BT72,""),"")</f>
        <v>0.23093506310175</v>
      </c>
      <c r="BU74" s="30" t="n">
        <f aca="false">IF(AND(ISNUMBER(BU73),ISNUMBER(BU72)),IFERROR(BU73/BU72,""),"")</f>
        <v>0.23070899801639</v>
      </c>
      <c r="BV74" s="30" t="n">
        <f aca="false">IF(AND(ISNUMBER(BV73),ISNUMBER(BV72)),IFERROR(BV73/BV72,""),"")</f>
        <v>0.22719910886047</v>
      </c>
      <c r="BW74" s="30" t="n">
        <f aca="false">IF(AND(ISNUMBER(BW73),ISNUMBER(BW72)),IFERROR(BW73/BW72,""),"")</f>
        <v>0.220518385653268</v>
      </c>
      <c r="BX74" s="30" t="n">
        <f aca="false">IF(AND(ISNUMBER(BX73),ISNUMBER(BX72)),IFERROR(BX73/BX72,""),"")</f>
        <v>0.254731183030181</v>
      </c>
      <c r="BY74" s="30" t="n">
        <f aca="false">IF(AND(ISNUMBER(BY73),ISNUMBER(BY72)),IFERROR(BY73/BY72,""),"")</f>
        <v>0.251369024450656</v>
      </c>
      <c r="BZ74" s="23" t="n">
        <f aca="false">IF(AND(ISNUMBER(BZ73),ISNUMBER(BZ72)),IFERROR(BZ73/BZ72,""),"")</f>
        <v>0.244753279029611</v>
      </c>
      <c r="CA74" s="23" t="n">
        <f aca="false">IF(AND(ISNUMBER(CA73),ISNUMBER(CA72)),IFERROR(CA73/CA72,""),"")</f>
        <v>0.243745176557444</v>
      </c>
      <c r="CB74" s="23" t="n">
        <f aca="false">IF(AND(ISNUMBER(CB73),ISNUMBER(CB72)),IFERROR(CB73/CB72,""),"")</f>
        <v>0.243912855828455</v>
      </c>
      <c r="CC74" s="23" t="n">
        <f aca="false">IF(AND(ISNUMBER(CC73),ISNUMBER(CC72)),IFERROR(CC73/CC72,""),"")</f>
        <v>0.246829539601706</v>
      </c>
      <c r="CD74" s="23" t="n">
        <f aca="false">IF(AND(ISNUMBER(CD73),ISNUMBER(CD72)),IFERROR(CD73/CD72,""),"")</f>
        <v>0.244891362591507</v>
      </c>
      <c r="CE74" s="23" t="n">
        <f aca="false">IF(AND(ISNUMBER(CE73),ISNUMBER(CE72)),IFERROR(CE73/CE72,""),"")</f>
        <v>0.24307223655473</v>
      </c>
      <c r="CH74" s="33" t="n">
        <f aca="false">IFERROR(AVERAGE(CA74,CB74,CC74,CD74,CE74),"n/m")</f>
        <v>0.244490234226769</v>
      </c>
      <c r="CI74" s="33" t="n">
        <f aca="false">IFERROR(AVERAGE(BB74,BG74,BL74,BQ74,BV74),"n/m")</f>
        <v>0.217436835201153</v>
      </c>
      <c r="CJ74" s="33" t="n">
        <f aca="false">IFERROR(AVERAGE(AC74,AH74,AM74,AR74,AW74,BB74,BG74,BL74,BQ74,BV74),"n/m")</f>
        <v>0.212587409236174</v>
      </c>
      <c r="CK74" s="33" t="n">
        <f aca="false">IFERROR(AVERAGE(C74,D74,E74,F74,G74,H74,I74,N74,S74,X74,AC74,AH74,AM74,AR74,AW74,BB74,BG74,BL74,BQ74,BV74),"n/m")</f>
        <v>0.195302141032149</v>
      </c>
    </row>
    <row r="75" customFormat="false" ht="15" hidden="false" customHeight="true" outlineLevel="0" collapsed="false">
      <c r="B75" s="21" t="s">
        <v>92</v>
      </c>
      <c r="D75" s="22" t="n">
        <f aca="false">IF(AND(ISNUMBER(D72),ISNUMBER(C72)),IFERROR(D72/C72-1,""),"")</f>
        <v>0.295096764323415</v>
      </c>
      <c r="E75" s="22" t="n">
        <f aca="false">IF(AND(ISNUMBER(E72),ISNUMBER(D72)),IFERROR(E72/D72-1,""),"")</f>
        <v>0.146523889400777</v>
      </c>
      <c r="F75" s="22" t="n">
        <f aca="false">IF(AND(ISNUMBER(F72),ISNUMBER(E72)),IFERROR(F72/E72-1,""),"")</f>
        <v>-0.0756439030337583</v>
      </c>
      <c r="G75" s="22" t="n">
        <f aca="false">IF(AND(ISNUMBER(G72),ISNUMBER(F72)),IFERROR(G72/F72-1,""),"")</f>
        <v>0.146246674691991</v>
      </c>
      <c r="H75" s="22" t="n">
        <f aca="false">IF(AND(ISNUMBER(H72),ISNUMBER(G72)),IFERROR(H72/G72-1,""),"")</f>
        <v>0.239653495834819</v>
      </c>
      <c r="I75" s="22" t="n">
        <f aca="false">IF(AND(ISNUMBER(I72),ISNUMBER(H72)),IFERROR(I72/H72-1,""),"")</f>
        <v>0.17316977190214</v>
      </c>
      <c r="N75" s="22" t="n">
        <f aca="false">IF(AND(ISNUMBER(N72),ISNUMBER(I72)),IFERROR(N72/I72-1,""),"")</f>
        <v>0.124154869855251</v>
      </c>
      <c r="O75" s="22" t="n">
        <f aca="false">IF(AND(ISNUMBER(O72),ISNUMBER(J72)),IFERROR(O72/J72-1,""),"")</f>
        <v>0.232509584738325</v>
      </c>
      <c r="P75" s="22" t="n">
        <f aca="false">IF(AND(ISNUMBER(P72),ISNUMBER(K72)),IFERROR(P72/K72-1,""),"")</f>
        <v>0.187305433557137</v>
      </c>
      <c r="Q75" s="22" t="n">
        <f aca="false">IF(AND(ISNUMBER(Q72),ISNUMBER(L72)),IFERROR(Q72/L72-1,""),"")</f>
        <v>0.0894573115264681</v>
      </c>
      <c r="R75" s="22" t="n">
        <f aca="false">IF(AND(ISNUMBER(R72),ISNUMBER(M72)),IFERROR(R72/M72-1,""),"")</f>
        <v>0.0166895131268572</v>
      </c>
      <c r="S75" s="22" t="n">
        <f aca="false">IF(AND(ISNUMBER(S72),ISNUMBER(N72)),IFERROR(S72/N72-1,""),"")</f>
        <v>0.12248143011647</v>
      </c>
      <c r="T75" s="22" t="n">
        <f aca="false">IF(AND(ISNUMBER(T72),ISNUMBER(O72)),IFERROR(T72/O72-1,""),"")</f>
        <v>0.00509320680893155</v>
      </c>
      <c r="U75" s="22" t="n">
        <f aca="false">IF(AND(ISNUMBER(U72),ISNUMBER(P72)),IFERROR(U72/P72-1,""),"")</f>
        <v>0.0325583208140821</v>
      </c>
      <c r="V75" s="22" t="n">
        <f aca="false">IF(AND(ISNUMBER(V72),ISNUMBER(Q72)),IFERROR(V72/Q72-1,""),"")</f>
        <v>0.0320929113837063</v>
      </c>
      <c r="W75" s="22" t="n">
        <f aca="false">IF(AND(ISNUMBER(W72),ISNUMBER(R72)),IFERROR(W72/R72-1,""),"")</f>
        <v>0.124730086269732</v>
      </c>
      <c r="X75" s="22" t="n">
        <f aca="false">IF(AND(ISNUMBER(X72),ISNUMBER(S72)),IFERROR(X72/S72-1,""),"")</f>
        <v>0.0497539986805744</v>
      </c>
      <c r="Y75" s="22" t="n">
        <f aca="false">IF(AND(ISNUMBER(Y72),ISNUMBER(T72)),IFERROR(Y72/T72-1,""),"")</f>
        <v>0.141849842459496</v>
      </c>
      <c r="Z75" s="22" t="n">
        <f aca="false">IF(AND(ISNUMBER(Z72),ISNUMBER(U72)),IFERROR(Z72/U72-1,""),"")</f>
        <v>0.203235182090515</v>
      </c>
      <c r="AA75" s="22" t="n">
        <f aca="false">IF(AND(ISNUMBER(AA72),ISNUMBER(V72)),IFERROR(AA72/V72-1,""),"")</f>
        <v>0.185484569031528</v>
      </c>
      <c r="AB75" s="22" t="n">
        <f aca="false">IF(AND(ISNUMBER(AB72),ISNUMBER(W72)),IFERROR(AB72/W72-1,""),"")</f>
        <v>0.105354274169993</v>
      </c>
      <c r="AC75" s="22" t="n">
        <f aca="false">IF(AND(ISNUMBER(AC72),ISNUMBER(X72)),IFERROR(AC72/X72-1,""),"")</f>
        <v>0.157834783720664</v>
      </c>
      <c r="AD75" s="22" t="n">
        <f aca="false">IF(AND(ISNUMBER(AD72),ISNUMBER(Y72)),IFERROR(AD72/Y72-1,""),"")</f>
        <v>0.121494838796056</v>
      </c>
      <c r="AE75" s="22" t="n">
        <f aca="false">IF(AND(ISNUMBER(AE72),ISNUMBER(Z72)),IFERROR(AE72/Z72-1,""),"")</f>
        <v>0.0513591978280212</v>
      </c>
      <c r="AF75" s="22" t="n">
        <f aca="false">IF(AND(ISNUMBER(AF72),ISNUMBER(AA72)),IFERROR(AF72/AA72-1,""),"")</f>
        <v>0.0994596780534931</v>
      </c>
      <c r="AG75" s="22" t="n">
        <f aca="false">IF(AND(ISNUMBER(AG72),ISNUMBER(AB72)),IFERROR(AG72/AB72-1,""),"")</f>
        <v>0.159441672011208</v>
      </c>
      <c r="AH75" s="22" t="n">
        <f aca="false">IF(AND(ISNUMBER(AH72),ISNUMBER(AC72)),IFERROR(AH72/AC72-1,""),"")</f>
        <v>0.107941243574969</v>
      </c>
      <c r="AI75" s="22" t="n">
        <f aca="false">IF(AND(ISNUMBER(AI72),ISNUMBER(AD72)),IFERROR(AI72/AD72-1,""),"")</f>
        <v>0.177554799785693</v>
      </c>
      <c r="AJ75" s="22" t="n">
        <f aca="false">IF(AND(ISNUMBER(AJ72),ISNUMBER(AE72)),IFERROR(AJ72/AE72-1,""),"")</f>
        <v>0.168028818115484</v>
      </c>
      <c r="AK75" s="22" t="n">
        <f aca="false">IF(AND(ISNUMBER(AK72),ISNUMBER(AF72)),IFERROR(AK72/AF72-1,""),"")</f>
        <v>0.189846743295019</v>
      </c>
      <c r="AL75" s="22" t="n">
        <f aca="false">IF(AND(ISNUMBER(AL72),ISNUMBER(AG72)),IFERROR(AL72/AG72-1,""),"")</f>
        <v>0.132138719541147</v>
      </c>
      <c r="AM75" s="22" t="n">
        <f aca="false">IF(AND(ISNUMBER(AM72),ISNUMBER(AH72)),IFERROR(AM72/AH72-1,""),"")</f>
        <v>0.165861649920351</v>
      </c>
      <c r="AN75" s="22" t="n">
        <f aca="false">IF(AND(ISNUMBER(AN72),ISNUMBER(AI72)),IFERROR(AN72/AI72-1,""),"")</f>
        <v>0.15265695704854</v>
      </c>
      <c r="AO75" s="22" t="n">
        <f aca="false">IF(AND(ISNUMBER(AO72),ISNUMBER(AJ72)),IFERROR(AO72/AJ72-1,""),"")</f>
        <v>0.19750488850493</v>
      </c>
      <c r="AP75" s="22" t="n">
        <f aca="false">IF(AND(ISNUMBER(AP72),ISNUMBER(AK72)),IFERROR(AP72/AK72-1,""),"")</f>
        <v>0.142755326571137</v>
      </c>
      <c r="AQ75" s="22" t="n">
        <f aca="false">IF(AND(ISNUMBER(AQ72),ISNUMBER(AL72)),IFERROR(AQ72/AL72-1,""),"")</f>
        <v>0.135557074676441</v>
      </c>
      <c r="AR75" s="22" t="n">
        <f aca="false">IF(AND(ISNUMBER(AR72),ISNUMBER(AM72)),IFERROR(AR72/AM72-1,""),"")</f>
        <v>0.15633836805663</v>
      </c>
      <c r="AS75" s="22" t="n">
        <f aca="false">IF(AND(ISNUMBER(AS72),ISNUMBER(AN72)),IFERROR(AS72/AN72-1,""),"")</f>
        <v>0.0860867625164647</v>
      </c>
      <c r="AT75" s="22" t="n">
        <f aca="false">IF(AND(ISNUMBER(AT72),ISNUMBER(AO72)),IFERROR(AT72/AO72-1,""),"")</f>
        <v>-0.0921209817549958</v>
      </c>
      <c r="AU75" s="22" t="n">
        <f aca="false">IF(AND(ISNUMBER(AU72),ISNUMBER(AP72)),IFERROR(AU72/AP72-1,""),"")</f>
        <v>-0.274107498440799</v>
      </c>
      <c r="AV75" s="22" t="n">
        <f aca="false">IF(AND(ISNUMBER(AV72),ISNUMBER(AQ72)),IFERROR(AV72/AQ72-1,""),"")</f>
        <v>-0.213009829575147</v>
      </c>
      <c r="AW75" s="22" t="n">
        <f aca="false">IF(AND(ISNUMBER(AW72),ISNUMBER(AR72)),IFERROR(AW72/AR72-1,""),"")</f>
        <v>-0.130682943131773</v>
      </c>
      <c r="AX75" s="22" t="n">
        <f aca="false">IF(AND(ISNUMBER(AX72),ISNUMBER(AS72)),IFERROR(AX72/AS72-1,""),"")</f>
        <v>-0.174555330600958</v>
      </c>
      <c r="AY75" s="22" t="n">
        <f aca="false">IF(AND(ISNUMBER(AY72),ISNUMBER(AT72)),IFERROR(AY72/AT72-1,""),"")</f>
        <v>-0.00319344819778433</v>
      </c>
      <c r="AZ75" s="22" t="n">
        <f aca="false">IF(AND(ISNUMBER(AZ72),ISNUMBER(AU72)),IFERROR(AZ72/AU72-1,""),"")</f>
        <v>0.220742216816335</v>
      </c>
      <c r="BA75" s="22" t="n">
        <f aca="false">IF(AND(ISNUMBER(BA72),ISNUMBER(AV72)),IFERROR(BA72/AV72-1,""),"")</f>
        <v>0.195326835266016</v>
      </c>
      <c r="BB75" s="22" t="n">
        <f aca="false">IF(AND(ISNUMBER(BB72),ISNUMBER(AW72)),IFERROR(BB72/AW72-1,""),"")</f>
        <v>0.0440249601428979</v>
      </c>
      <c r="BC75" s="22" t="n">
        <f aca="false">IF(AND(ISNUMBER(BC72),ISNUMBER(AX72)),IFERROR(BC72/AX72-1,""),"")</f>
        <v>0.173344468320324</v>
      </c>
      <c r="BD75" s="22" t="n">
        <f aca="false">IF(AND(ISNUMBER(BD72),ISNUMBER(AY72)),IFERROR(BD72/AY72-1,""),"")</f>
        <v>0.154638048563059</v>
      </c>
      <c r="BE75" s="22" t="n">
        <f aca="false">IF(AND(ISNUMBER(BE72),ISNUMBER(AZ72)),IFERROR(BE72/AZ72-1,""),"")</f>
        <v>0.207376613024611</v>
      </c>
      <c r="BF75" s="22" t="n">
        <f aca="false">IF(AND(ISNUMBER(BF72),ISNUMBER(BA72)),IFERROR(BF72/BA72-1,""),"")</f>
        <v>0.196724915688761</v>
      </c>
      <c r="BG75" s="22" t="n">
        <f aca="false">IF(AND(ISNUMBER(BG72),ISNUMBER(BB72)),IFERROR(BG72/BB72-1,""),"")</f>
        <v>0.183654020352879</v>
      </c>
      <c r="BH75" s="22" t="n">
        <f aca="false">IF(AND(ISNUMBER(BH72),ISNUMBER(BC72)),IFERROR(BH72/BC72-1,""),"")</f>
        <v>0.266287068439847</v>
      </c>
      <c r="BI75" s="22" t="n">
        <f aca="false">IF(AND(ISNUMBER(BI72),ISNUMBER(BD72)),IFERROR(BI72/BD72-1,""),"")</f>
        <v>0.276585754241268</v>
      </c>
      <c r="BJ75" s="22" t="n">
        <f aca="false">IF(AND(ISNUMBER(BJ72),ISNUMBER(BE72)),IFERROR(BJ72/BE72-1,""),"")</f>
        <v>0.269300192440056</v>
      </c>
      <c r="BK75" s="22" t="n">
        <f aca="false">IF(AND(ISNUMBER(BK72),ISNUMBER(BF72)),IFERROR(BK72/BF72-1,""),"")</f>
        <v>0.536070586151126</v>
      </c>
      <c r="BL75" s="22" t="n">
        <f aca="false">IF(AND(ISNUMBER(BL72),ISNUMBER(BG72)),IFERROR(BL72/BG72-1,""),"")</f>
        <v>0.344054444958661</v>
      </c>
      <c r="BM75" s="22" t="n">
        <f aca="false">IF(AND(ISNUMBER(BM72),ISNUMBER(BH72)),IFERROR(BM72/BH72-1,""),"")</f>
        <v>0.443616275979804</v>
      </c>
      <c r="BN75" s="22" t="n">
        <f aca="false">IF(AND(ISNUMBER(BN72),ISNUMBER(BI72)),IFERROR(BN72/BI72-1,""),"")</f>
        <v>0.388976522190448</v>
      </c>
      <c r="BO75" s="22" t="n">
        <f aca="false">IF(AND(ISNUMBER(BO72),ISNUMBER(BJ72)),IFERROR(BO72/BJ72-1,""),"")</f>
        <v>0.37258715565872</v>
      </c>
      <c r="BP75" s="22" t="n">
        <f aca="false">IF(AND(ISNUMBER(BP72),ISNUMBER(BK72)),IFERROR(BP72/BK72-1,""),"")</f>
        <v>0.0824584840359357</v>
      </c>
      <c r="BQ75" s="22" t="n">
        <f aca="false">IF(AND(ISNUMBER(BQ72),ISNUMBER(BL72)),IFERROR(BQ72/BL72-1,""),"")</f>
        <v>0.299707725973306</v>
      </c>
      <c r="BR75" s="22" t="n">
        <f aca="false">IF(AND(ISNUMBER(BR72),ISNUMBER(BM72)),IFERROR(BR72/BM72-1,""),"")</f>
        <v>0.149335704396545</v>
      </c>
      <c r="BS75" s="22" t="n">
        <f aca="false">IF(AND(ISNUMBER(BS72),ISNUMBER(BN72)),IFERROR(BS72/BN72-1,""),"")</f>
        <v>0.149074466581885</v>
      </c>
      <c r="BT75" s="22" t="n">
        <f aca="false">IF(AND(ISNUMBER(BT72),ISNUMBER(BO72)),IFERROR(BT72/BO72-1,""),"")</f>
        <v>0.156558958161585</v>
      </c>
      <c r="BU75" s="22" t="n">
        <f aca="false">IF(AND(ISNUMBER(BU72),ISNUMBER(BP72)),IFERROR(BU72/BP72-1,""),"")</f>
        <v>0.193107190245298</v>
      </c>
      <c r="BV75" s="22" t="n">
        <f aca="false">IF(AND(ISNUMBER(BV72),ISNUMBER(BQ72)),IFERROR(BV72/BQ72-1,""),"")</f>
        <v>0.162630593760118</v>
      </c>
      <c r="BW75" s="22" t="n">
        <f aca="false">IF(AND(ISNUMBER(BW72),ISNUMBER(BR72)),IFERROR(BW72/BR72-1,""),"")</f>
        <v>0.144007796377868</v>
      </c>
      <c r="BX75" s="22" t="n">
        <f aca="false">IF(AND(ISNUMBER(BX72),ISNUMBER(BS72)),IFERROR(BX72/BS72-1,""),"")</f>
        <v>0.253131660928021</v>
      </c>
      <c r="BY75" s="22" t="n">
        <f aca="false">IF(AND(ISNUMBER(BY72),ISNUMBER(BT72)),IFERROR(BY72/BT72-1,""),"")</f>
        <v>0.231318474961899</v>
      </c>
      <c r="BZ75" s="23" t="n">
        <f aca="false">IF(AND(ISNUMBER(BZ72),ISNUMBER(BU72)),IFERROR(BZ72/BU72-1,""),"")</f>
        <v>0.220632394759488</v>
      </c>
      <c r="CA75" s="23" t="n">
        <f aca="false">IF(AND(ISNUMBER(CA72),ISNUMBER(BV72)),IFERROR(CA72/BV72-1,""),"")</f>
        <v>0.213720811920344</v>
      </c>
      <c r="CB75" s="23" t="n">
        <f aca="false">IF(AND(ISNUMBER(CB72),ISNUMBER(CA72)),IFERROR(CB72/CA72-1,""),"")</f>
        <v>0.138300096257327</v>
      </c>
      <c r="CC75" s="23" t="n">
        <f aca="false">IF(AND(ISNUMBER(CC72),ISNUMBER(CB72)),IFERROR(CC72/CB72-1,""),"")</f>
        <v>0.109929993272648</v>
      </c>
      <c r="CD75" s="23" t="n">
        <f aca="false">IF(AND(ISNUMBER(CD72),ISNUMBER(CC72)),IFERROR(CD72/CC72-1,""),"")</f>
        <v>0.100317310170384</v>
      </c>
      <c r="CE75" s="23" t="n">
        <f aca="false">IF(AND(ISNUMBER(CE72),ISNUMBER(CD72)),IFERROR(CE72/CD72-1,""),"")</f>
        <v>0.0992262661084356</v>
      </c>
    </row>
    <row r="76" customFormat="false" ht="15" hidden="false" customHeight="true" outlineLevel="0" collapsed="false">
      <c r="B76" s="51" t="s">
        <v>181</v>
      </c>
      <c r="C76" s="36" t="n">
        <f aca="false">IF(ISNUMBER(C98),ROUND(C72-C98,1),"")</f>
        <v>0</v>
      </c>
      <c r="D76" s="36" t="n">
        <f aca="false">IF(ISNUMBER(D98),ROUND(D72-D98,1),"")</f>
        <v>0</v>
      </c>
      <c r="E76" s="36" t="n">
        <f aca="false">IF(ISNUMBER(E98),ROUND(E72-E98,1),"")</f>
        <v>0</v>
      </c>
      <c r="F76" s="36" t="n">
        <f aca="false">IF(ISNUMBER(F98),ROUND(F72-F98,1),"")</f>
        <v>0</v>
      </c>
      <c r="G76" s="36" t="n">
        <f aca="false">IF(ISNUMBER(G98),ROUND(G72-G98,1),"")</f>
        <v>0</v>
      </c>
      <c r="H76" s="36" t="n">
        <f aca="false">IF(ISNUMBER(H98),ROUND(H72-H98,1),"")</f>
        <v>0</v>
      </c>
      <c r="I76" s="36" t="n">
        <f aca="false">IF(ISNUMBER(I98),ROUND(I72-I98,1),"")</f>
        <v>0</v>
      </c>
      <c r="J76" s="36" t="n">
        <f aca="false">IF(ISNUMBER(J98),ROUND(J72-J98,1),"")</f>
        <v>0</v>
      </c>
      <c r="K76" s="36" t="n">
        <f aca="false">IF(ISNUMBER(K98),ROUND(K72-K98,1),"")</f>
        <v>0</v>
      </c>
      <c r="L76" s="36" t="n">
        <f aca="false">IF(ISNUMBER(L98),ROUND(L72-L98,1),"")</f>
        <v>0</v>
      </c>
      <c r="M76" s="36" t="n">
        <f aca="false">IF(ISNUMBER(M98),ROUND(M72-M98,1),"")</f>
        <v>0</v>
      </c>
      <c r="N76" s="36" t="n">
        <f aca="false">IF(ISNUMBER(N98),ROUND(N72-N98,1),"")</f>
        <v>0</v>
      </c>
      <c r="O76" s="36" t="n">
        <f aca="false">IF(ISNUMBER(O98),ROUND(O72-O98,1),"")</f>
        <v>0</v>
      </c>
      <c r="P76" s="36" t="n">
        <f aca="false">IF(ISNUMBER(P98),ROUND(P72-P98,1),"")</f>
        <v>0</v>
      </c>
      <c r="Q76" s="36" t="n">
        <f aca="false">IF(ISNUMBER(Q98),ROUND(Q72-Q98,1),"")</f>
        <v>0</v>
      </c>
      <c r="R76" s="36" t="n">
        <f aca="false">IF(ISNUMBER(R98),ROUND(R72-R98,1),"")</f>
        <v>0</v>
      </c>
      <c r="S76" s="36" t="n">
        <f aca="false">IF(ISNUMBER(S98),ROUND(S72-S98,1),"")</f>
        <v>0</v>
      </c>
      <c r="T76" s="36" t="n">
        <f aca="false">IF(ISNUMBER(T98),ROUND(T72-T98,1),"")</f>
        <v>0</v>
      </c>
      <c r="U76" s="36" t="n">
        <f aca="false">IF(ISNUMBER(U98),ROUND(U72-U98,1),"")</f>
        <v>0</v>
      </c>
      <c r="V76" s="36" t="n">
        <f aca="false">IF(ISNUMBER(V98),ROUND(V72-V98,1),"")</f>
        <v>0</v>
      </c>
      <c r="W76" s="36" t="n">
        <f aca="false">IF(ISNUMBER(W98),ROUND(W72-W98,1),"")</f>
        <v>0</v>
      </c>
      <c r="X76" s="36" t="n">
        <f aca="false">IF(ISNUMBER(X98),ROUND(X72-X98,1),"")</f>
        <v>0</v>
      </c>
      <c r="Y76" s="36" t="n">
        <f aca="false">IF(ISNUMBER(Y98),ROUND(Y72-Y98,1),"")</f>
        <v>0</v>
      </c>
      <c r="Z76" s="36" t="n">
        <f aca="false">IF(ISNUMBER(Z98),ROUND(Z72-Z98,1),"")</f>
        <v>0</v>
      </c>
      <c r="AA76" s="36" t="n">
        <f aca="false">IF(ISNUMBER(AA98),ROUND(AA72-AA98,1),"")</f>
        <v>0</v>
      </c>
      <c r="AB76" s="36" t="n">
        <f aca="false">IF(ISNUMBER(AB98),ROUND(AB72-AB98,1),"")</f>
        <v>0</v>
      </c>
      <c r="AC76" s="36" t="n">
        <f aca="false">IF(ISNUMBER(AC98),ROUND(AC72-AC98,1),"")</f>
        <v>0</v>
      </c>
      <c r="AD76" s="36" t="n">
        <f aca="false">IF(ISNUMBER(AD98),ROUND(AD72-AD98,1),"")</f>
        <v>0</v>
      </c>
      <c r="AE76" s="36" t="n">
        <f aca="false">IF(ISNUMBER(AE98),ROUND(AE72-AE98,1),"")</f>
        <v>0</v>
      </c>
      <c r="AF76" s="36" t="n">
        <f aca="false">IF(ISNUMBER(AF98),ROUND(AF72-AF98,1),"")</f>
        <v>0</v>
      </c>
      <c r="AG76" s="36" t="n">
        <f aca="false">IF(ISNUMBER(AG98),ROUND(AG72-AG98,1),"")</f>
        <v>0</v>
      </c>
      <c r="AH76" s="36" t="n">
        <f aca="false">IF(ISNUMBER(AH98),ROUND(AH72-AH98,1),"")</f>
        <v>0</v>
      </c>
      <c r="AI76" s="36" t="n">
        <f aca="false">IF(ISNUMBER(AI98),ROUND(AI72-AI98,1),"")</f>
        <v>0</v>
      </c>
      <c r="AJ76" s="36" t="n">
        <f aca="false">IF(ISNUMBER(AJ98),ROUND(AJ72-AJ98,1),"")</f>
        <v>0</v>
      </c>
      <c r="AK76" s="36" t="n">
        <f aca="false">IF(ISNUMBER(AK98),ROUND(AK72-AK98,1),"")</f>
        <v>0</v>
      </c>
      <c r="AL76" s="36" t="n">
        <f aca="false">IF(ISNUMBER(AL98),ROUND(AL72-AL98,1),"")</f>
        <v>0</v>
      </c>
      <c r="AM76" s="36" t="n">
        <f aca="false">IF(ISNUMBER(AM98),ROUND(AM72-AM98,1),"")</f>
        <v>0</v>
      </c>
      <c r="AN76" s="36" t="n">
        <f aca="false">IF(ISNUMBER(AN98),ROUND(AN72-AN98,1),"")</f>
        <v>0</v>
      </c>
      <c r="AO76" s="36" t="n">
        <f aca="false">IF(ISNUMBER(AO98),ROUND(AO72-AO98,1),"")</f>
        <v>0</v>
      </c>
      <c r="AP76" s="36" t="n">
        <f aca="false">IF(ISNUMBER(AP98),ROUND(AP72-AP98,1),"")</f>
        <v>0</v>
      </c>
      <c r="AQ76" s="36" t="n">
        <f aca="false">IF(ISNUMBER(AQ98),ROUND(AQ72-AQ98,1),"")</f>
        <v>0</v>
      </c>
      <c r="AR76" s="36" t="n">
        <f aca="false">IF(ISNUMBER(AR98),ROUND(AR72-AR98,1),"")</f>
        <v>0</v>
      </c>
      <c r="AS76" s="36" t="n">
        <f aca="false">IF(ISNUMBER(AS98),ROUND(AS72-AS98,1),"")</f>
        <v>0</v>
      </c>
      <c r="AT76" s="36" t="n">
        <f aca="false">IF(ISNUMBER(AT98),ROUND(AT72-AT98,1),"")</f>
        <v>0</v>
      </c>
      <c r="AU76" s="36" t="n">
        <f aca="false">IF(ISNUMBER(AU98),ROUND(AU72-AU98,1),"")</f>
        <v>0</v>
      </c>
      <c r="AV76" s="36" t="n">
        <f aca="false">IF(ISNUMBER(AV98),ROUND(AV72-AV98,1),"")</f>
        <v>0</v>
      </c>
      <c r="AW76" s="36" t="n">
        <f aca="false">IF(ISNUMBER(AW98),ROUND(AW72-AW98,1),"")</f>
        <v>0</v>
      </c>
      <c r="AX76" s="36" t="n">
        <f aca="false">IF(ISNUMBER(AX98),ROUND(AX72-AX98,1),"")</f>
        <v>0</v>
      </c>
      <c r="AY76" s="36" t="n">
        <f aca="false">IF(ISNUMBER(AY98),ROUND(AY72-AY98,1),"")</f>
        <v>0</v>
      </c>
      <c r="AZ76" s="36" t="n">
        <f aca="false">IF(ISNUMBER(AZ98),ROUND(AZ72-AZ98,1),"")</f>
        <v>0</v>
      </c>
      <c r="BA76" s="36" t="n">
        <f aca="false">IF(ISNUMBER(BA98),ROUND(BA72-BA98,1),"")</f>
        <v>0</v>
      </c>
      <c r="BB76" s="36" t="n">
        <f aca="false">IF(ISNUMBER(BB98),ROUND(BB72-BB98,1),"")</f>
        <v>0</v>
      </c>
      <c r="BC76" s="36" t="n">
        <f aca="false">IF(ISNUMBER(BC98),ROUND(BC72-BC98,1),"")</f>
        <v>0</v>
      </c>
      <c r="BD76" s="36" t="n">
        <f aca="false">IF(ISNUMBER(BD98),ROUND(BD72-BD98,1),"")</f>
        <v>0</v>
      </c>
      <c r="BE76" s="36" t="n">
        <f aca="false">IF(ISNUMBER(BE98),ROUND(BE72-BE98,1),"")</f>
        <v>0</v>
      </c>
      <c r="BF76" s="36" t="n">
        <f aca="false">IF(ISNUMBER(BF98),ROUND(BF72-BF98,1),"")</f>
        <v>0</v>
      </c>
      <c r="BG76" s="36" t="n">
        <f aca="false">IF(ISNUMBER(BG98),ROUND(BG72-BG98,1),"")</f>
        <v>0</v>
      </c>
      <c r="BH76" s="36" t="n">
        <f aca="false">IF(ISNUMBER(BH98),ROUND(BH72-BH98,1),"")</f>
        <v>0</v>
      </c>
      <c r="BI76" s="36" t="n">
        <f aca="false">IF(ISNUMBER(BI98),ROUND(BI72-BI98,1),"")</f>
        <v>0</v>
      </c>
      <c r="BJ76" s="36" t="n">
        <f aca="false">IF(ISNUMBER(BJ98),ROUND(BJ72-BJ98,1),"")</f>
        <v>0</v>
      </c>
      <c r="BK76" s="36" t="n">
        <f aca="false">IF(ISNUMBER(BK98),ROUND(BK72-BK98,1),"")</f>
        <v>0</v>
      </c>
      <c r="BL76" s="36" t="n">
        <f aca="false">IF(ISNUMBER(BL98),ROUND(BL72-BL98,1),"")</f>
        <v>0</v>
      </c>
      <c r="BM76" s="36" t="n">
        <f aca="false">IF(ISNUMBER(BM98),ROUND(BM72-BM98,1),"")</f>
        <v>0</v>
      </c>
      <c r="BN76" s="36" t="n">
        <f aca="false">IF(ISNUMBER(BN98),ROUND(BN72-BN98,1),"")</f>
        <v>0</v>
      </c>
      <c r="BO76" s="36" t="n">
        <f aca="false">IF(ISNUMBER(BO98),ROUND(BO72-BO98,1),"")</f>
        <v>0</v>
      </c>
      <c r="BP76" s="36" t="n">
        <f aca="false">IF(ISNUMBER(BP98),ROUND(BP72-BP98,1),"")</f>
        <v>0</v>
      </c>
      <c r="BQ76" s="36" t="n">
        <f aca="false">IF(ISNUMBER(BQ98),ROUND(BQ72-BQ98,1),"")</f>
        <v>0</v>
      </c>
      <c r="BR76" s="36" t="n">
        <f aca="false">IF(ISNUMBER(BR98),ROUND(BR72-BR98,1),"")</f>
        <v>0</v>
      </c>
      <c r="BS76" s="36" t="n">
        <f aca="false">IF(ISNUMBER(BS98),ROUND(BS72-BS98,1),"")</f>
        <v>0</v>
      </c>
      <c r="BT76" s="36" t="n">
        <f aca="false">IF(ISNUMBER(BT98),ROUND(BT72-BT98,1),"")</f>
        <v>0</v>
      </c>
      <c r="BU76" s="36" t="n">
        <f aca="false">IF(ISNUMBER(BU98),ROUND(BU72-BU98,1),"")</f>
        <v>0</v>
      </c>
      <c r="BV76" s="36" t="n">
        <f aca="false">IF(ISNUMBER(BV98),ROUND(BV72-BV98,1),"")</f>
        <v>0</v>
      </c>
      <c r="BW76" s="36" t="n">
        <f aca="false">IF(ISNUMBER(BW98),ROUND(BW72-BW98,1),"")</f>
        <v>0</v>
      </c>
      <c r="BX76" s="36" t="n">
        <f aca="false">IF(ISNUMBER(BX98),ROUND(BX72-BX98,1),"")</f>
        <v>0</v>
      </c>
      <c r="BY76" s="36" t="n">
        <f aca="false">IF(ISNUMBER(BY98),ROUND(BY72-BY98,1),"")</f>
        <v>0</v>
      </c>
      <c r="BZ76" s="42" t="n">
        <f aca="false">IF(ISNUMBER(BZ98),ROUND(BZ72-BZ98,1),"")</f>
        <v>0</v>
      </c>
      <c r="CA76" s="42" t="n">
        <f aca="false">IF(ISNUMBER(CA98),ROUND(CA72-CA98,1),"")</f>
        <v>0</v>
      </c>
      <c r="CB76" s="42" t="n">
        <f aca="false">IF(ISNUMBER(CB98),ROUND(CB72-CB98,1),"")</f>
        <v>0</v>
      </c>
      <c r="CC76" s="42" t="n">
        <f aca="false">IF(ISNUMBER(CC98),ROUND(CC72-CC98,1),"")</f>
        <v>0</v>
      </c>
      <c r="CD76" s="42" t="n">
        <f aca="false">IF(ISNUMBER(CD98),ROUND(CD72-CD98,1),"")</f>
        <v>0</v>
      </c>
      <c r="CE76" s="42" t="n">
        <f aca="false">IF(ISNUMBER(CE98),ROUND(CE72-CE98,1),"")</f>
        <v>0</v>
      </c>
    </row>
    <row r="77" customFormat="false" ht="15" hidden="false" customHeight="true" outlineLevel="0" collapsed="false">
      <c r="B77" s="51" t="s">
        <v>182</v>
      </c>
      <c r="C77" s="36" t="n">
        <f aca="false">IF(ISNUMBER(C102),ROUND(C73-C102,1),"")</f>
        <v>0</v>
      </c>
      <c r="D77" s="36" t="n">
        <f aca="false">IF(ISNUMBER(D102),ROUND(D73-D102,1),"")</f>
        <v>0</v>
      </c>
      <c r="E77" s="36" t="n">
        <f aca="false">IF(ISNUMBER(E102),ROUND(E73-E102,1),"")</f>
        <v>0</v>
      </c>
      <c r="F77" s="36" t="n">
        <f aca="false">IF(ISNUMBER(F102),ROUND(F73-F102,1),"")</f>
        <v>0</v>
      </c>
      <c r="G77" s="36" t="n">
        <f aca="false">IF(ISNUMBER(G102),ROUND(G73-G102,1),"")</f>
        <v>0</v>
      </c>
      <c r="H77" s="36" t="n">
        <f aca="false">IF(ISNUMBER(H102),ROUND(H73-H102,1),"")</f>
        <v>0</v>
      </c>
      <c r="I77" s="36" t="n">
        <f aca="false">IF(ISNUMBER(I102),ROUND(I73-I102,1),"")</f>
        <v>0</v>
      </c>
      <c r="J77" s="36" t="n">
        <f aca="false">IF(ISNUMBER(J102),ROUND(J73-J102,1),"")</f>
        <v>0</v>
      </c>
      <c r="K77" s="36" t="n">
        <f aca="false">IF(ISNUMBER(K102),ROUND(K73-K102,1),"")</f>
        <v>0</v>
      </c>
      <c r="L77" s="36" t="n">
        <f aca="false">IF(ISNUMBER(L102),ROUND(L73-L102,1),"")</f>
        <v>0</v>
      </c>
      <c r="M77" s="36" t="n">
        <f aca="false">IF(ISNUMBER(M102),ROUND(M73-M102,1),"")</f>
        <v>0</v>
      </c>
      <c r="N77" s="36" t="n">
        <f aca="false">IF(ISNUMBER(N102),ROUND(N73-N102,1),"")</f>
        <v>0</v>
      </c>
      <c r="O77" s="36" t="n">
        <f aca="false">IF(ISNUMBER(O102),ROUND(O73-O102,1),"")</f>
        <v>0</v>
      </c>
      <c r="P77" s="36" t="n">
        <f aca="false">IF(ISNUMBER(P102),ROUND(P73-P102,1),"")</f>
        <v>0</v>
      </c>
      <c r="Q77" s="36" t="n">
        <f aca="false">IF(ISNUMBER(Q102),ROUND(Q73-Q102,1),"")</f>
        <v>0</v>
      </c>
      <c r="R77" s="36" t="n">
        <f aca="false">IF(ISNUMBER(R102),ROUND(R73-R102,1),"")</f>
        <v>0</v>
      </c>
      <c r="S77" s="36" t="n">
        <f aca="false">IF(ISNUMBER(S102),ROUND(S73-S102,1),"")</f>
        <v>0</v>
      </c>
      <c r="T77" s="36" t="n">
        <f aca="false">IF(ISNUMBER(T102),ROUND(T73-T102,1),"")</f>
        <v>0</v>
      </c>
      <c r="U77" s="36" t="n">
        <f aca="false">IF(ISNUMBER(U102),ROUND(U73-U102,1),"")</f>
        <v>0</v>
      </c>
      <c r="V77" s="36" t="n">
        <f aca="false">IF(ISNUMBER(V102),ROUND(V73-V102,1),"")</f>
        <v>0</v>
      </c>
      <c r="W77" s="36" t="n">
        <f aca="false">IF(ISNUMBER(W102),ROUND(W73-W102,1),"")</f>
        <v>0</v>
      </c>
      <c r="X77" s="36" t="n">
        <f aca="false">IF(ISNUMBER(X102),ROUND(X73-X102,1),"")</f>
        <v>0</v>
      </c>
      <c r="Y77" s="36" t="n">
        <f aca="false">IF(ISNUMBER(Y102),ROUND(Y73-Y102,1),"")</f>
        <v>0</v>
      </c>
      <c r="Z77" s="36" t="n">
        <f aca="false">IF(ISNUMBER(Z102),ROUND(Z73-Z102,1),"")</f>
        <v>0</v>
      </c>
      <c r="AA77" s="36" t="n">
        <f aca="false">IF(ISNUMBER(AA102),ROUND(AA73-AA102,1),"")</f>
        <v>0</v>
      </c>
      <c r="AB77" s="36" t="n">
        <f aca="false">IF(ISNUMBER(AB102),ROUND(AB73-AB102,1),"")</f>
        <v>0</v>
      </c>
      <c r="AC77" s="36" t="n">
        <f aca="false">IF(ISNUMBER(AC102),ROUND(AC73-AC102,1),"")</f>
        <v>0</v>
      </c>
      <c r="AD77" s="36" t="n">
        <f aca="false">IF(ISNUMBER(AD102),ROUND(AD73-AD102,1),"")</f>
        <v>0</v>
      </c>
      <c r="AE77" s="36" t="n">
        <f aca="false">IF(ISNUMBER(AE102),ROUND(AE73-AE102,1),"")</f>
        <v>0</v>
      </c>
      <c r="AF77" s="36" t="n">
        <f aca="false">IF(ISNUMBER(AF102),ROUND(AF73-AF102,1),"")</f>
        <v>0</v>
      </c>
      <c r="AG77" s="36" t="n">
        <f aca="false">IF(ISNUMBER(AG102),ROUND(AG73-AG102,1),"")</f>
        <v>0</v>
      </c>
      <c r="AH77" s="36" t="n">
        <f aca="false">IF(ISNUMBER(AH102),ROUND(AH73-AH102,1),"")</f>
        <v>0</v>
      </c>
      <c r="AI77" s="36" t="n">
        <f aca="false">IF(ISNUMBER(AI102),ROUND(AI73-AI102,1),"")</f>
        <v>0</v>
      </c>
      <c r="AJ77" s="36" t="n">
        <f aca="false">IF(ISNUMBER(AJ102),ROUND(AJ73-AJ102,1),"")</f>
        <v>0</v>
      </c>
      <c r="AK77" s="36" t="n">
        <f aca="false">IF(ISNUMBER(AK102),ROUND(AK73-AK102,1),"")</f>
        <v>0</v>
      </c>
      <c r="AL77" s="36" t="n">
        <f aca="false">IF(ISNUMBER(AL102),ROUND(AL73-AL102,1),"")</f>
        <v>0</v>
      </c>
      <c r="AM77" s="36" t="n">
        <f aca="false">IF(ISNUMBER(AM102),ROUND(AM73-AM102,1),"")</f>
        <v>0</v>
      </c>
      <c r="AN77" s="36" t="n">
        <f aca="false">IF(ISNUMBER(AN102),ROUND(AN73-AN102,1),"")</f>
        <v>0</v>
      </c>
      <c r="AO77" s="36" t="n">
        <f aca="false">IF(ISNUMBER(AO102),ROUND(AO73-AO102,1),"")</f>
        <v>0</v>
      </c>
      <c r="AP77" s="36" t="n">
        <f aca="false">IF(ISNUMBER(AP102),ROUND(AP73-AP102,1),"")</f>
        <v>0</v>
      </c>
      <c r="AQ77" s="36" t="n">
        <f aca="false">IF(ISNUMBER(AQ102),ROUND(AQ73-AQ102,1),"")</f>
        <v>0</v>
      </c>
      <c r="AR77" s="36" t="n">
        <f aca="false">IF(ISNUMBER(AR102),ROUND(AR73-AR102,1),"")</f>
        <v>0</v>
      </c>
      <c r="AS77" s="36" t="n">
        <f aca="false">IF(ISNUMBER(AS102),ROUND(AS73-AS102,1),"")</f>
        <v>0</v>
      </c>
      <c r="AT77" s="36" t="n">
        <f aca="false">IF(ISNUMBER(AT102),ROUND(AT73-AT102,1),"")</f>
        <v>0</v>
      </c>
      <c r="AU77" s="36" t="n">
        <f aca="false">IF(ISNUMBER(AU102),ROUND(AU73-AU102,1),"")</f>
        <v>0</v>
      </c>
      <c r="AV77" s="36" t="n">
        <f aca="false">IF(ISNUMBER(AV102),ROUND(AV73-AV102,1),"")</f>
        <v>0</v>
      </c>
      <c r="AW77" s="36" t="n">
        <f aca="false">IF(ISNUMBER(AW102),ROUND(AW73-AW102,1),"")</f>
        <v>0</v>
      </c>
      <c r="AX77" s="36" t="n">
        <f aca="false">IF(ISNUMBER(AX102),ROUND(AX73-AX102,1),"")</f>
        <v>0</v>
      </c>
      <c r="AY77" s="36" t="n">
        <f aca="false">IF(ISNUMBER(AY102),ROUND(AY73-AY102,1),"")</f>
        <v>0</v>
      </c>
      <c r="AZ77" s="36" t="n">
        <f aca="false">IF(ISNUMBER(AZ102),ROUND(AZ73-AZ102,1),"")</f>
        <v>0</v>
      </c>
      <c r="BA77" s="36" t="n">
        <f aca="false">IF(ISNUMBER(BA102),ROUND(BA73-BA102,1),"")</f>
        <v>0</v>
      </c>
      <c r="BB77" s="36" t="n">
        <f aca="false">IF(ISNUMBER(BB102),ROUND(BB73-BB102,1),"")</f>
        <v>0</v>
      </c>
      <c r="BC77" s="36" t="n">
        <f aca="false">IF(ISNUMBER(BC102),ROUND(BC73-BC102,1),"")</f>
        <v>0</v>
      </c>
      <c r="BD77" s="36" t="n">
        <f aca="false">IF(ISNUMBER(BD102),ROUND(BD73-BD102,1),"")</f>
        <v>0</v>
      </c>
      <c r="BE77" s="36" t="n">
        <f aca="false">IF(ISNUMBER(BE102),ROUND(BE73-BE102,1),"")</f>
        <v>0</v>
      </c>
      <c r="BF77" s="36" t="n">
        <f aca="false">IF(ISNUMBER(BF102),ROUND(BF73-BF102,1),"")</f>
        <v>0</v>
      </c>
      <c r="BG77" s="36" t="n">
        <f aca="false">IF(ISNUMBER(BG102),ROUND(BG73-BG102,1),"")</f>
        <v>0</v>
      </c>
      <c r="BH77" s="36" t="n">
        <f aca="false">IF(ISNUMBER(BH102),ROUND(BH73-BH102,1),"")</f>
        <v>0</v>
      </c>
      <c r="BI77" s="36" t="n">
        <f aca="false">IF(ISNUMBER(BI102),ROUND(BI73-BI102,1),"")</f>
        <v>0</v>
      </c>
      <c r="BJ77" s="36" t="n">
        <f aca="false">IF(ISNUMBER(BJ102),ROUND(BJ73-BJ102,1),"")</f>
        <v>0</v>
      </c>
      <c r="BK77" s="36" t="n">
        <f aca="false">IF(ISNUMBER(BK102),ROUND(BK73-BK102,1),"")</f>
        <v>0</v>
      </c>
      <c r="BL77" s="36" t="n">
        <f aca="false">IF(ISNUMBER(BL102),ROUND(BL73-BL102,1),"")</f>
        <v>0</v>
      </c>
      <c r="BM77" s="36" t="n">
        <f aca="false">IF(ISNUMBER(BM102),ROUND(BM73-BM102,1),"")</f>
        <v>0</v>
      </c>
      <c r="BN77" s="36" t="n">
        <f aca="false">IF(ISNUMBER(BN102),ROUND(BN73-BN102,1),"")</f>
        <v>0</v>
      </c>
      <c r="BO77" s="36" t="n">
        <f aca="false">IF(ISNUMBER(BO102),ROUND(BO73-BO102,1),"")</f>
        <v>0</v>
      </c>
      <c r="BP77" s="36" t="n">
        <f aca="false">IF(ISNUMBER(BP102),ROUND(BP73-BP102,1),"")</f>
        <v>0</v>
      </c>
      <c r="BQ77" s="36" t="n">
        <f aca="false">IF(ISNUMBER(BQ102),ROUND(BQ73-BQ102,1),"")</f>
        <v>0</v>
      </c>
      <c r="BR77" s="36" t="n">
        <f aca="false">IF(ISNUMBER(BR102),ROUND(BR73-BR102,1),"")</f>
        <v>0</v>
      </c>
      <c r="BS77" s="36" t="n">
        <f aca="false">IF(ISNUMBER(BS102),ROUND(BS73-BS102,1),"")</f>
        <v>0</v>
      </c>
      <c r="BT77" s="36" t="n">
        <f aca="false">IF(ISNUMBER(BT102),ROUND(BT73-BT102,1),"")</f>
        <v>0</v>
      </c>
      <c r="BU77" s="36" t="n">
        <f aca="false">IF(ISNUMBER(BU102),ROUND(BU73-BU102,1),"")</f>
        <v>0</v>
      </c>
      <c r="BV77" s="36" t="n">
        <f aca="false">IF(ISNUMBER(BV102),ROUND(BV73-BV102,1),"")</f>
        <v>0</v>
      </c>
      <c r="BW77" s="36" t="n">
        <f aca="false">IF(ISNUMBER(BW102),ROUND(BW73-BW102,1),"")</f>
        <v>0</v>
      </c>
      <c r="BX77" s="36" t="n">
        <f aca="false">IF(ISNUMBER(BX102),ROUND(BX73-BX102,1),"")</f>
        <v>0</v>
      </c>
      <c r="BY77" s="36" t="n">
        <f aca="false">IF(ISNUMBER(BY102),ROUND(BY73-BY102,1),"")</f>
        <v>0</v>
      </c>
      <c r="BZ77" s="42" t="n">
        <f aca="false">IF(ISNUMBER(BZ102),ROUND(BZ73-BZ102,1),"")</f>
        <v>0</v>
      </c>
      <c r="CA77" s="42" t="n">
        <f aca="false">IF(ISNUMBER(CA102),ROUND(CA73-CA102,1),"")</f>
        <v>0</v>
      </c>
      <c r="CB77" s="42" t="n">
        <f aca="false">IF(ISNUMBER(CB102),ROUND(CB73-CB102,1),"")</f>
        <v>0</v>
      </c>
      <c r="CC77" s="42" t="n">
        <f aca="false">IF(ISNUMBER(CC102),ROUND(CC73-CC102,1),"")</f>
        <v>0</v>
      </c>
      <c r="CD77" s="42" t="n">
        <f aca="false">IF(ISNUMBER(CD102),ROUND(CD73-CD102,1),"")</f>
        <v>0</v>
      </c>
      <c r="CE77" s="42" t="n">
        <f aca="false">IF(ISNUMBER(CE102),ROUND(CE73-CE102,1),"")</f>
        <v>0</v>
      </c>
    </row>
    <row r="78" customFormat="false" ht="15" hidden="false" customHeight="true" outlineLevel="0" collapsed="false">
      <c r="B78" s="26" t="s">
        <v>183</v>
      </c>
      <c r="AI78" s="27" t="n">
        <v>0.05</v>
      </c>
      <c r="AZ78" s="27" t="n">
        <v>0.17</v>
      </c>
      <c r="BA78" s="27" t="n">
        <v>0.16</v>
      </c>
      <c r="BC78" s="27" t="n">
        <v>0.13</v>
      </c>
      <c r="BD78" s="27" t="n">
        <v>0.09</v>
      </c>
      <c r="BE78" s="27" t="n">
        <v>0.13</v>
      </c>
      <c r="BF78" s="27" t="n">
        <v>0.11</v>
      </c>
      <c r="BH78" s="27" t="n">
        <v>0.14</v>
      </c>
      <c r="BI78" s="27" t="n">
        <v>0.1</v>
      </c>
      <c r="BJ78" s="27" t="n">
        <v>0.12</v>
      </c>
      <c r="BK78" s="27" t="n">
        <v>0.12</v>
      </c>
      <c r="BX78" s="27" t="n">
        <v>0.18</v>
      </c>
      <c r="BY78" s="27" t="n">
        <v>0.14</v>
      </c>
    </row>
    <row r="79" customFormat="false" ht="15" hidden="false" customHeight="true" outlineLevel="0" collapsed="false">
      <c r="B79" s="26" t="s">
        <v>184</v>
      </c>
      <c r="CA79" s="42" t="str">
        <f aca="false">IF(CHOOSE(MATCH($CF$2,{"Bull","Base","Bear"},0),$CO$12,$CP$12,$CQ$12)=0,"",CHOOSE(MATCH($CF$2,{"Bull","Base","Bear"},0),$CO$12,$CP$12,$CQ$12))</f>
        <v/>
      </c>
      <c r="CF79" s="19" t="s">
        <v>185</v>
      </c>
    </row>
    <row r="80" customFormat="false" ht="15" hidden="false" customHeight="true" outlineLevel="0" collapsed="false">
      <c r="B80" s="29" t="s">
        <v>186</v>
      </c>
      <c r="BZ80" s="42" t="n">
        <f aca="false">(BU11*(1+BZ13+BZ14)+BU30*(1+BZ32+BZ33))*(1-BZ49)</f>
        <v>1476.24624517847</v>
      </c>
    </row>
    <row r="81" customFormat="false" ht="15" hidden="false" customHeight="true" outlineLevel="0" collapsed="false">
      <c r="B81" s="29" t="s">
        <v>187</v>
      </c>
      <c r="BZ81" s="42" t="n">
        <f aca="false">(BU11+BU30)*(1-BZ49)</f>
        <v>1205.90087339351</v>
      </c>
    </row>
    <row r="82" customFormat="false" ht="15" hidden="false" customHeight="true" outlineLevel="0" collapsed="false">
      <c r="B82" s="29" t="s">
        <v>188</v>
      </c>
      <c r="BZ82" s="23" t="n">
        <f aca="false">IF(ISNUMBER(CA79),(CA79-SUM(BW98,BX98,BY98)-BZ80)/BZ81,0)</f>
        <v>0</v>
      </c>
      <c r="CF82" s="19" t="s">
        <v>189</v>
      </c>
    </row>
    <row r="83" customFormat="false" ht="15" hidden="false" customHeight="true" outlineLevel="0" collapsed="false">
      <c r="B83" s="51" t="s">
        <v>190</v>
      </c>
      <c r="CA83" s="42" t="str">
        <f aca="false">IF(ISNUMBER(CA79),ROUND(CA98-CA79,1),"n/a")</f>
        <v>n/a</v>
      </c>
    </row>
    <row r="84" customFormat="false" ht="15" hidden="false" customHeight="true" outlineLevel="0" collapsed="false">
      <c r="B84" s="26" t="s">
        <v>191</v>
      </c>
      <c r="CA84" s="42" t="str">
        <f aca="false">IF(CHOOSE(MATCH($CF$2,{"Bull","Base","Bear"},0),$CO$13,$CP$13,$CQ$13)=0,"",CHOOSE(MATCH($CF$2,{"Bull","Base","Bear"},0),$CO$13,$CP$13,$CQ$13))</f>
        <v/>
      </c>
    </row>
    <row r="85" customFormat="false" ht="15" hidden="false" customHeight="true" outlineLevel="0" collapsed="false">
      <c r="B85" s="29" t="s">
        <v>192</v>
      </c>
      <c r="BZ85" s="42" t="n">
        <f aca="false">BZ11*BZ16+BZ30*BZ35+BZ50+BZ104+BZ114+BZ139</f>
        <v>423.370267916342</v>
      </c>
      <c r="CF85" s="19" t="s">
        <v>193</v>
      </c>
    </row>
    <row r="86" customFormat="false" ht="15" hidden="false" customHeight="true" outlineLevel="0" collapsed="false">
      <c r="B86" s="29" t="s">
        <v>194</v>
      </c>
      <c r="BZ86" s="23" t="n">
        <f aca="false">IF(ISNUMBER(CA84),(CA84-SUM(BW140,BX140,BY140)-BZ85)/(BZ11+BZ30),0)</f>
        <v>0</v>
      </c>
    </row>
    <row r="87" customFormat="false" ht="15" hidden="false" customHeight="true" outlineLevel="0" collapsed="false">
      <c r="B87" s="51" t="s">
        <v>195</v>
      </c>
      <c r="CA87" s="42" t="str">
        <f aca="false">IF(ISNUMBER(CA84),ROUND(CA140-CA84,1),"n/a")</f>
        <v>n/a</v>
      </c>
    </row>
    <row r="88" customFormat="false" ht="15" hidden="false" customHeight="true" outlineLevel="0" collapsed="false"/>
    <row r="89" customFormat="false" ht="15" hidden="false" customHeight="true" outlineLevel="0" collapsed="false">
      <c r="B89" s="14" t="s">
        <v>196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5" t="s">
        <v>197</v>
      </c>
    </row>
    <row r="90" customFormat="false" ht="15" hidden="false" customHeight="true" outlineLevel="0" collapsed="false">
      <c r="B90" s="29" t="s">
        <v>198</v>
      </c>
      <c r="C90" s="30" t="n">
        <f aca="false">IF(AND(ISNUMBER(C100),ISNUMBER(C98)),IFERROR(C100/C98,""),"")</f>
        <v>0.363377444605931</v>
      </c>
      <c r="D90" s="30" t="n">
        <f aca="false">IF(AND(ISNUMBER(D100),ISNUMBER(D98)),IFERROR(D100/D98,""),"")</f>
        <v>0.349379040958884</v>
      </c>
      <c r="E90" s="30" t="n">
        <f aca="false">IF(AND(ISNUMBER(E100),ISNUMBER(E98)),IFERROR(E100/E98,""),"")</f>
        <v>0.361459748225714</v>
      </c>
      <c r="F90" s="30" t="n">
        <f aca="false">IF(AND(ISNUMBER(F100),ISNUMBER(F98)),IFERROR(F100/F98,""),"")</f>
        <v>0.336266663694324</v>
      </c>
      <c r="G90" s="30" t="n">
        <f aca="false">IF(AND(ISNUMBER(G100),ISNUMBER(G98)),IFERROR(G100/G98,""),"")</f>
        <v>0.360356228323231</v>
      </c>
      <c r="H90" s="30" t="n">
        <f aca="false">IF(AND(ISNUMBER(H100),ISNUMBER(H98)),IFERROR(H100/H98,""),"")</f>
        <v>0.358797528013795</v>
      </c>
      <c r="I90" s="30" t="n">
        <f aca="false">IF(AND(ISNUMBER(I100),ISNUMBER(I98)),IFERROR(I100/I98,""),"")</f>
        <v>0.36489340244075</v>
      </c>
      <c r="J90" s="30" t="n">
        <f aca="false">IF(AND(ISNUMBER(J100),ISNUMBER(J98)),IFERROR(J100/J98,""),"")</f>
        <v>0.358395306942584</v>
      </c>
      <c r="K90" s="30" t="n">
        <f aca="false">IF(AND(ISNUMBER(K100),ISNUMBER(K98)),IFERROR(K100/K98,""),"")</f>
        <v>0.376293603917411</v>
      </c>
      <c r="L90" s="30" t="n">
        <f aca="false">IF(AND(ISNUMBER(L100),ISNUMBER(L98)),IFERROR(L100/L98,""),"")</f>
        <v>0.365136467602281</v>
      </c>
      <c r="M90" s="30" t="n">
        <f aca="false">IF(AND(ISNUMBER(M100),ISNUMBER(M98)),IFERROR(M100/M98,""),"")</f>
        <v>0.370891986111208</v>
      </c>
      <c r="N90" s="30" t="n">
        <f aca="false">IF(AND(ISNUMBER(N100),ISNUMBER(N98)),IFERROR(N100/N98,""),"")</f>
        <v>0.367958784920452</v>
      </c>
      <c r="O90" s="30" t="n">
        <f aca="false">IF(AND(ISNUMBER(O100),ISNUMBER(O98)),IFERROR(O100/O98,""),"")</f>
        <v>0.345232473597026</v>
      </c>
      <c r="P90" s="30" t="n">
        <f aca="false">IF(AND(ISNUMBER(P100),ISNUMBER(P98)),IFERROR(P100/P98,""),"")</f>
        <v>0.354042064684373</v>
      </c>
      <c r="Q90" s="30" t="n">
        <f aca="false">IF(AND(ISNUMBER(Q100),ISNUMBER(Q98)),IFERROR(Q100/Q98,""),"")</f>
        <v>0.355038999415868</v>
      </c>
      <c r="R90" s="30" t="n">
        <f aca="false">IF(AND(ISNUMBER(R100),ISNUMBER(R98)),IFERROR(R100/R98,""),"")</f>
        <v>0.352285754372517</v>
      </c>
      <c r="S90" s="30" t="n">
        <f aca="false">IF(AND(ISNUMBER(S100),ISNUMBER(S98)),IFERROR(S100/S98,""),"")</f>
        <v>0.351769081109342</v>
      </c>
      <c r="T90" s="30" t="n">
        <f aca="false">IF(AND(ISNUMBER(T100),ISNUMBER(T98)),IFERROR(T100/T98,""),"")</f>
        <v>0.349747375878591</v>
      </c>
      <c r="U90" s="30" t="n">
        <f aca="false">IF(AND(ISNUMBER(U100),ISNUMBER(U98)),IFERROR(U100/U98,""),"")</f>
        <v>0.361998620552397</v>
      </c>
      <c r="V90" s="30" t="n">
        <f aca="false">IF(AND(ISNUMBER(V100),ISNUMBER(V98)),IFERROR(V100/V98,""),"")</f>
        <v>0.359862835835803</v>
      </c>
      <c r="W90" s="30" t="n">
        <f aca="false">IF(AND(ISNUMBER(W100),ISNUMBER(W98)),IFERROR(W100/W98,""),"")</f>
        <v>0.385782786486223</v>
      </c>
      <c r="X90" s="30" t="n">
        <f aca="false">IF(AND(ISNUMBER(X100),ISNUMBER(X98)),IFERROR(X100/X98,""),"")</f>
        <v>0.365271299829722</v>
      </c>
      <c r="Y90" s="30" t="n">
        <f aca="false">IF(AND(ISNUMBER(Y100),ISNUMBER(Y98)),IFERROR(Y100/Y98,""),"")</f>
        <v>0.366381801735314</v>
      </c>
      <c r="Z90" s="30" t="n">
        <f aca="false">IF(AND(ISNUMBER(Z100),ISNUMBER(Z98)),IFERROR(Z100/Z98,""),"")</f>
        <v>0.382232324154138</v>
      </c>
      <c r="AA90" s="30" t="n">
        <f aca="false">IF(AND(ISNUMBER(AA100),ISNUMBER(AA98)),IFERROR(AA100/AA98,""),"")</f>
        <v>0.375144628795453</v>
      </c>
      <c r="AB90" s="30" t="n">
        <f aca="false">IF(AND(ISNUMBER(AB100),ISNUMBER(AB98)),IFERROR(AB100/AB98,""),"")</f>
        <v>0.373477493744822</v>
      </c>
      <c r="AC90" s="30" t="n">
        <f aca="false">IF(AND(ISNUMBER(AC100),ISNUMBER(AC98)),IFERROR(AC100/AC98,""),"")</f>
        <v>0.374560583844018</v>
      </c>
      <c r="AD90" s="30" t="n">
        <f aca="false">IF(AND(ISNUMBER(AD100),ISNUMBER(AD98)),IFERROR(AD100/AD98,""),"")</f>
        <v>0.365187285983834</v>
      </c>
      <c r="AE90" s="30" t="n">
        <f aca="false">IF(AND(ISNUMBER(AE100),ISNUMBER(AE98)),IFERROR(AE100/AE98,""),"")</f>
        <v>0.380792986434545</v>
      </c>
      <c r="AF90" s="30" t="n">
        <f aca="false">IF(AND(ISNUMBER(AF100),ISNUMBER(AF98)),IFERROR(AF100/AF98,""),"")</f>
        <v>0.380324393358876</v>
      </c>
      <c r="AG90" s="30" t="n">
        <f aca="false">IF(AND(ISNUMBER(AG100),ISNUMBER(AG98)),IFERROR(AG100/AG98,""),"")</f>
        <v>0.379914249900291</v>
      </c>
      <c r="AH90" s="30" t="n">
        <f aca="false">IF(AND(ISNUMBER(AH100),ISNUMBER(AH98)),IFERROR(AH100/AH98,""),"")</f>
        <v>0.376915070897218</v>
      </c>
      <c r="AI90" s="30" t="n">
        <f aca="false">IF(AND(ISNUMBER(AI100),ISNUMBER(AI98)),IFERROR(AI100/AI98,""),"")</f>
        <v>0.382757597487698</v>
      </c>
      <c r="AJ90" s="30" t="n">
        <f aca="false">IF(AND(ISNUMBER(AJ100),ISNUMBER(AJ98)),IFERROR(AJ100/AJ98,""),"")</f>
        <v>0.389819369162243</v>
      </c>
      <c r="AK90" s="30" t="n">
        <f aca="false">IF(AND(ISNUMBER(AK100),ISNUMBER(AK98)),IFERROR(AK100/AK98,""),"")</f>
        <v>0.389865292760157</v>
      </c>
      <c r="AL90" s="30" t="n">
        <f aca="false">IF(AND(ISNUMBER(AL100),ISNUMBER(AL98)),IFERROR(AL100/AL98,""),"")</f>
        <v>0.390992358728748</v>
      </c>
      <c r="AM90" s="30" t="n">
        <f aca="false">IF(AND(ISNUMBER(AM100),ISNUMBER(AM98)),IFERROR(AM100/AM98,""),"")</f>
        <v>0.388539596483363</v>
      </c>
      <c r="AN90" s="30" t="n">
        <f aca="false">IF(AND(ISNUMBER(AN100),ISNUMBER(AN98)),IFERROR(AN100/AN98,""),"")</f>
        <v>0.390944038992075</v>
      </c>
      <c r="AO90" s="30" t="n">
        <f aca="false">IF(AND(ISNUMBER(AO100),ISNUMBER(AO98)),IFERROR(AO100/AO98,""),"")</f>
        <v>0.40606576579372</v>
      </c>
      <c r="AP90" s="30" t="n">
        <f aca="false">IF(AND(ISNUMBER(AP100),ISNUMBER(AP98)),IFERROR(AP100/AP98,""),"")</f>
        <v>0.399814774460667</v>
      </c>
      <c r="AQ90" s="30" t="n">
        <f aca="false">IF(AND(ISNUMBER(AQ100),ISNUMBER(AQ98)),IFERROR(AQ100/AQ98,""),"")</f>
        <v>0.386655192981355</v>
      </c>
      <c r="AR90" s="30" t="n">
        <f aca="false">IF(AND(ISNUMBER(AR100),ISNUMBER(AR98)),IFERROR(AR100/AR98,""),"")</f>
        <v>0.395904549759759</v>
      </c>
      <c r="AS90" s="30" t="n">
        <f aca="false">IF(AND(ISNUMBER(AS100),ISNUMBER(AS98)),IFERROR(AS100/AS98,""),"")</f>
        <v>0.391184632857637</v>
      </c>
      <c r="AT90" s="30" t="n">
        <f aca="false">IF(AND(ISNUMBER(AT100),ISNUMBER(AT98)),IFERROR(AT100/AT98,""),"")</f>
        <v>0.382124380001111</v>
      </c>
      <c r="AU90" s="30" t="n">
        <f aca="false">IF(AND(ISNUMBER(AU100),ISNUMBER(AU98)),IFERROR(AU100/AU98,""),"")</f>
        <v>0.371323205921172</v>
      </c>
      <c r="AV90" s="30" t="n">
        <f aca="false">IF(AND(ISNUMBER(AV100),ISNUMBER(AV98)),IFERROR(AV100/AV98,""),"")</f>
        <v>0.37943535330308</v>
      </c>
      <c r="AW90" s="30" t="n">
        <f aca="false">IF(AND(ISNUMBER(AW100),ISNUMBER(AW98)),IFERROR(AW100/AW98,""),"")</f>
        <v>0.381714361819107</v>
      </c>
      <c r="AX90" s="30" t="n">
        <f aca="false">IF(AND(ISNUMBER(AX100),ISNUMBER(AX98)),IFERROR(AX100/AX98,""),"")</f>
        <v>0.379117592162756</v>
      </c>
      <c r="AY90" s="30" t="n">
        <f aca="false">IF(AND(ISNUMBER(AY100),ISNUMBER(AY98)),IFERROR(AY100/AY98,""),"")</f>
        <v>0.385240790226529</v>
      </c>
      <c r="AZ90" s="30" t="n">
        <f aca="false">IF(AND(ISNUMBER(AZ100),ISNUMBER(AZ98)),IFERROR(AZ100/AZ98,""),"")</f>
        <v>0.39159266239424</v>
      </c>
      <c r="BA90" s="30" t="n">
        <f aca="false">IF(AND(ISNUMBER(BA100),ISNUMBER(BA98)),IFERROR(BA100/BA98,""),"")</f>
        <v>0.401433389213658</v>
      </c>
      <c r="BB90" s="30" t="n">
        <f aca="false">IF(AND(ISNUMBER(BB100),ISNUMBER(BB98)),IFERROR(BB100/BB98,""),"")</f>
        <v>0.389896563294281</v>
      </c>
      <c r="BC90" s="30" t="n">
        <f aca="false">IF(AND(ISNUMBER(BC100),ISNUMBER(BC98)),IFERROR(BC100/BC98,""),"")</f>
        <v>0.387912134974905</v>
      </c>
      <c r="BD90" s="30" t="n">
        <f aca="false">IF(AND(ISNUMBER(BD100),ISNUMBER(BD98)),IFERROR(BD100/BD98,""),"")</f>
        <v>0.392026547243663</v>
      </c>
      <c r="BE90" s="30" t="n">
        <f aca="false">IF(AND(ISNUMBER(BE100),ISNUMBER(BE98)),IFERROR(BE100/BE98,""),"")</f>
        <v>0.387930005197286</v>
      </c>
      <c r="BF90" s="30" t="n">
        <f aca="false">IF(AND(ISNUMBER(BF100),ISNUMBER(BF98)),IFERROR(BF100/BF98,""),"")</f>
        <v>0.394304488893409</v>
      </c>
      <c r="BG90" s="30" t="n">
        <f aca="false">IF(AND(ISNUMBER(BG100),ISNUMBER(BG98)),IFERROR(BG100/BG98,""),"")</f>
        <v>0.390685325781295</v>
      </c>
      <c r="BH90" s="30" t="n">
        <f aca="false">IF(AND(ISNUMBER(BH100),ISNUMBER(BH98)),IFERROR(BH100/BH98,""),"")</f>
        <v>0.39264472592867</v>
      </c>
      <c r="BI90" s="30" t="n">
        <f aca="false">IF(AND(ISNUMBER(BI100),ISNUMBER(BI98)),IFERROR(BI100/BI98,""),"")</f>
        <v>0.387461637209762</v>
      </c>
      <c r="BJ90" s="30" t="n">
        <f aca="false">IF(AND(ISNUMBER(BJ100),ISNUMBER(BJ98)),IFERROR(BJ100/BJ98,""),"")</f>
        <v>0.385576468179643</v>
      </c>
      <c r="BK90" s="30" t="n">
        <f aca="false">IF(AND(ISNUMBER(BK100),ISNUMBER(BK98)),IFERROR(BK100/BK98,""),"")</f>
        <v>0.38917632284582</v>
      </c>
      <c r="BL90" s="30" t="n">
        <f aca="false">IF(AND(ISNUMBER(BL100),ISNUMBER(BL98)),IFERROR(BL100/BL98,""),"")</f>
        <v>0.388627760810349</v>
      </c>
      <c r="BM90" s="30" t="n">
        <f aca="false">IF(AND(ISNUMBER(BM100),ISNUMBER(BM98)),IFERROR(BM100/BM98,""),"")</f>
        <v>0.38686224219429</v>
      </c>
      <c r="BN90" s="30" t="n">
        <f aca="false">IF(AND(ISNUMBER(BN100),ISNUMBER(BN98)),IFERROR(BN100/BN98,""),"")</f>
        <v>0.389153177481565</v>
      </c>
      <c r="BO90" s="30" t="n">
        <f aca="false">IF(AND(ISNUMBER(BO100),ISNUMBER(BO98)),IFERROR(BO100/BO98,""),"")</f>
        <v>0.392311987148348</v>
      </c>
      <c r="BP90" s="30" t="n">
        <f aca="false">IF(AND(ISNUMBER(BP100),ISNUMBER(BP98)),IFERROR(BP100/BP98,""),"")</f>
        <v>0.388582026606423</v>
      </c>
      <c r="BQ90" s="30" t="n">
        <f aca="false">IF(AND(ISNUMBER(BQ100),ISNUMBER(BQ98)),IFERROR(BQ100/BQ98,""),"")</f>
        <v>0.389283269248865</v>
      </c>
      <c r="BR90" s="30" t="n">
        <f aca="false">IF(AND(ISNUMBER(BR100),ISNUMBER(BR98)),IFERROR(BR100/BR98,""),"")</f>
        <v>0.393761732908053</v>
      </c>
      <c r="BS90" s="30" t="n">
        <f aca="false">IF(AND(ISNUMBER(BS100),ISNUMBER(BS98)),IFERROR(BS100/BS98,""),"")</f>
        <v>0.39879397351114</v>
      </c>
      <c r="BT90" s="30" t="n">
        <f aca="false">IF(AND(ISNUMBER(BT100),ISNUMBER(BT98)),IFERROR(BT100/BT98,""),"")</f>
        <v>0.39836230852281</v>
      </c>
      <c r="BU90" s="30" t="n">
        <f aca="false">IF(AND(ISNUMBER(BU100),ISNUMBER(BU98)),IFERROR(BU100/BU98,""),"")</f>
        <v>0.401717034159603</v>
      </c>
      <c r="BV90" s="30" t="n">
        <f aca="false">IF(AND(ISNUMBER(BV100),ISNUMBER(BV98)),IFERROR(BV100/BV98,""),"")</f>
        <v>0.398315824772288</v>
      </c>
      <c r="BW90" s="30" t="n">
        <f aca="false">IF(AND(ISNUMBER(BW100),ISNUMBER(BW98)),IFERROR(BW100/BW98,""),"")</f>
        <v>0.386026598064454</v>
      </c>
      <c r="BX90" s="30" t="n">
        <f aca="false">IF(AND(ISNUMBER(BX100),ISNUMBER(BX98)),IFERROR(BX100/BX98,""),"")</f>
        <v>0.413985329788989</v>
      </c>
      <c r="BY90" s="30" t="n">
        <f aca="false">IF(AND(ISNUMBER(BY100),ISNUMBER(BY98)),IFERROR(BY100/BY98,""),"")</f>
        <v>0.411158133116309</v>
      </c>
      <c r="BZ90" s="23" t="n">
        <f aca="false">SUM(BW100,BX100,BY100)/SUM(BW98,BX98,BY98)</f>
        <v>0.404672646316365</v>
      </c>
      <c r="CA90" s="23" t="n">
        <f aca="false">CA100/CA98</f>
        <v>0.404672646316365</v>
      </c>
      <c r="CB90" s="31" t="n">
        <v>0.405</v>
      </c>
      <c r="CC90" s="23" t="n">
        <f aca="false">CB90</f>
        <v>0.405</v>
      </c>
      <c r="CD90" s="23" t="n">
        <f aca="false">CC90</f>
        <v>0.405</v>
      </c>
      <c r="CE90" s="23" t="n">
        <f aca="false">CD90</f>
        <v>0.405</v>
      </c>
      <c r="CF90" s="19" t="s">
        <v>199</v>
      </c>
    </row>
    <row r="91" customFormat="false" ht="15" hidden="false" customHeight="true" outlineLevel="0" collapsed="false">
      <c r="B91" s="29" t="s">
        <v>200</v>
      </c>
      <c r="C91" s="36" t="str">
        <f aca="false">IF(AND(ISNUMBER(C114),ISNUMBER(C93)),C114-C93,"")</f>
        <v/>
      </c>
      <c r="D91" s="36" t="str">
        <f aca="false">IF(AND(ISNUMBER(D114),ISNUMBER(D93)),D114-D93,"")</f>
        <v/>
      </c>
      <c r="E91" s="36" t="str">
        <f aca="false">IF(AND(ISNUMBER(E114),ISNUMBER(E93)),E114-E93,"")</f>
        <v/>
      </c>
      <c r="F91" s="36" t="str">
        <f aca="false">IF(AND(ISNUMBER(F114),ISNUMBER(F93)),F114-F93,"")</f>
        <v/>
      </c>
      <c r="G91" s="36" t="n">
        <f aca="false">IF(AND(ISNUMBER(G114),ISNUMBER(G93)),G114-G93,"")</f>
        <v>10.797</v>
      </c>
      <c r="H91" s="36" t="n">
        <f aca="false">IF(AND(ISNUMBER(H114),ISNUMBER(H93)),H114-H93,"")</f>
        <v>10.943</v>
      </c>
      <c r="I91" s="36" t="n">
        <f aca="false">IF(AND(ISNUMBER(I114),ISNUMBER(I93)),I114-I93,"")</f>
        <v>14.456</v>
      </c>
      <c r="J91" s="36" t="n">
        <f aca="false">IF(AND(ISNUMBER(J114),ISNUMBER(J93)),J114-J93,"")</f>
        <v>3.64</v>
      </c>
      <c r="K91" s="36" t="n">
        <f aca="false">IF(AND(ISNUMBER(K114),ISNUMBER(K93)),K114-K93,"")</f>
        <v>3.865</v>
      </c>
      <c r="L91" s="36" t="n">
        <f aca="false">IF(AND(ISNUMBER(L114),ISNUMBER(L93)),L114-L93,"")</f>
        <v>4.095</v>
      </c>
      <c r="M91" s="36" t="n">
        <f aca="false">IF(AND(ISNUMBER(M114),ISNUMBER(M93)),M114-M93,"")</f>
        <v>4.59</v>
      </c>
      <c r="N91" s="36" t="n">
        <f aca="false">IF(AND(ISNUMBER(N114),ISNUMBER(N93)),N114-N93,"")</f>
        <v>16.19</v>
      </c>
      <c r="O91" s="36" t="n">
        <f aca="false">IF(AND(ISNUMBER(O114),ISNUMBER(O93)),O114-O93,"")</f>
        <v>4.95</v>
      </c>
      <c r="P91" s="36" t="n">
        <f aca="false">IF(AND(ISNUMBER(P114),ISNUMBER(P93)),P114-P93,"")</f>
        <v>5.089</v>
      </c>
      <c r="Q91" s="36" t="n">
        <f aca="false">IF(AND(ISNUMBER(Q114),ISNUMBER(Q93)),Q114-Q93,"")</f>
        <v>5.131</v>
      </c>
      <c r="R91" s="36" t="n">
        <f aca="false">IF(AND(ISNUMBER(R114),ISNUMBER(R93)),R114-R93,"")</f>
        <v>4.887</v>
      </c>
      <c r="S91" s="36" t="n">
        <f aca="false">IF(AND(ISNUMBER(S114),ISNUMBER(S93)),S114-S93,"")</f>
        <v>20.057</v>
      </c>
      <c r="T91" s="36" t="n">
        <f aca="false">IF(AND(ISNUMBER(T114),ISNUMBER(T93)),T114-T93,"")</f>
        <v>4.804</v>
      </c>
      <c r="U91" s="36" t="n">
        <f aca="false">IF(AND(ISNUMBER(U114),ISNUMBER(U93)),U114-U93,"")</f>
        <v>5.237</v>
      </c>
      <c r="V91" s="36" t="n">
        <f aca="false">IF(AND(ISNUMBER(V114),ISNUMBER(V93)),V114-V93,"")</f>
        <v>5.325</v>
      </c>
      <c r="W91" s="36" t="n">
        <f aca="false">IF(AND(ISNUMBER(W114),ISNUMBER(W93)),W114-W93,"")</f>
        <v>5.541</v>
      </c>
      <c r="X91" s="36" t="n">
        <f aca="false">IF(AND(ISNUMBER(X114),ISNUMBER(X93)),X114-X93,"")</f>
        <v>20.907</v>
      </c>
      <c r="Y91" s="36" t="n">
        <f aca="false">IF(AND(ISNUMBER(Y114),ISNUMBER(Y93)),Y114-Y93,"")</f>
        <v>5.621</v>
      </c>
      <c r="Z91" s="36" t="n">
        <f aca="false">IF(AND(ISNUMBER(Z114),ISNUMBER(Z93)),Z114-Z93,"")</f>
        <v>5.962</v>
      </c>
      <c r="AA91" s="36" t="n">
        <f aca="false">IF(AND(ISNUMBER(AA114),ISNUMBER(AA93)),AA114-AA93,"")</f>
        <v>6.02</v>
      </c>
      <c r="AB91" s="36" t="n">
        <f aca="false">IF(AND(ISNUMBER(AB114),ISNUMBER(AB93)),AB114-AB93,"")</f>
        <v>6.274</v>
      </c>
      <c r="AC91" s="36" t="n">
        <f aca="false">IF(AND(ISNUMBER(AC114),ISNUMBER(AC93)),AC114-AC93,"")</f>
        <v>23.877</v>
      </c>
      <c r="AD91" s="36" t="n">
        <f aca="false">IF(AND(ISNUMBER(AD114),ISNUMBER(AD93)),AD114-AD93,"")</f>
        <v>6.048</v>
      </c>
      <c r="AE91" s="36" t="n">
        <f aca="false">IF(AND(ISNUMBER(AE114),ISNUMBER(AE93)),AE114-AE93,"")</f>
        <v>6.153</v>
      </c>
      <c r="AF91" s="36" t="n">
        <f aca="false">IF(AND(ISNUMBER(AF114),ISNUMBER(AF93)),AF114-AF93,"")</f>
        <v>6.511</v>
      </c>
      <c r="AG91" s="36" t="n">
        <f aca="false">IF(AND(ISNUMBER(AG114),ISNUMBER(AG93)),AG114-AG93,"")</f>
        <v>6.611</v>
      </c>
      <c r="AH91" s="36" t="n">
        <f aca="false">IF(AND(ISNUMBER(AH114),ISNUMBER(AH93)),AH114-AH93,"")</f>
        <v>25.323</v>
      </c>
      <c r="AI91" s="36" t="n">
        <f aca="false">IF(AND(ISNUMBER(AI114),ISNUMBER(AI93)),AI114-AI93,"")</f>
        <v>6.624</v>
      </c>
      <c r="AJ91" s="36" t="n">
        <f aca="false">IF(AND(ISNUMBER(AJ114),ISNUMBER(AJ93)),AJ114-AJ93,"")</f>
        <v>6.665</v>
      </c>
      <c r="AK91" s="36" t="n">
        <f aca="false">IF(AND(ISNUMBER(AK114),ISNUMBER(AK93)),AK114-AK93,"")</f>
        <v>6.734</v>
      </c>
      <c r="AL91" s="36" t="n">
        <f aca="false">IF(AND(ISNUMBER(AL114),ISNUMBER(AL93)),AL114-AL93,"")</f>
        <v>7.068</v>
      </c>
      <c r="AM91" s="36" t="n">
        <f aca="false">IF(AND(ISNUMBER(AM114),ISNUMBER(AM93)),AM114-AM93,"")</f>
        <v>27.091</v>
      </c>
      <c r="AN91" s="36" t="n">
        <f aca="false">IF(AND(ISNUMBER(AN114),ISNUMBER(AN93)),AN114-AN93,"")</f>
        <v>7.237</v>
      </c>
      <c r="AO91" s="36" t="n">
        <f aca="false">IF(AND(ISNUMBER(AO114),ISNUMBER(AO93)),AO114-AO93,"")</f>
        <v>7.411</v>
      </c>
      <c r="AP91" s="36" t="n">
        <f aca="false">IF(AND(ISNUMBER(AP114),ISNUMBER(AP93)),AP114-AP93,"")</f>
        <v>7.438</v>
      </c>
      <c r="AQ91" s="36" t="n">
        <f aca="false">IF(AND(ISNUMBER(AQ114),ISNUMBER(AQ93)),AQ114-AQ93,"")</f>
        <v>7.711</v>
      </c>
      <c r="AR91" s="36" t="n">
        <f aca="false">IF(AND(ISNUMBER(AR114),ISNUMBER(AR93)),AR114-AR93,"")</f>
        <v>29.797</v>
      </c>
      <c r="AS91" s="36" t="n">
        <f aca="false">IF(AND(ISNUMBER(AS114),ISNUMBER(AS93)),AS114-AS93,"")</f>
        <v>7.883</v>
      </c>
      <c r="AT91" s="36" t="n">
        <f aca="false">IF(AND(ISNUMBER(AT114),ISNUMBER(AT93)),AT114-AT93,"")</f>
        <v>7.793</v>
      </c>
      <c r="AU91" s="36" t="n">
        <f aca="false">IF(AND(ISNUMBER(AU114),ISNUMBER(AU93)),AU114-AU93,"")</f>
        <v>7.742</v>
      </c>
      <c r="AV91" s="36" t="n">
        <f aca="false">IF(AND(ISNUMBER(AV114),ISNUMBER(AV93)),AV114-AV93,"")</f>
        <v>7.743</v>
      </c>
      <c r="AW91" s="36" t="n">
        <f aca="false">IF(AND(ISNUMBER(AW114),ISNUMBER(AW93)),AW114-AW93,"")</f>
        <v>31.161</v>
      </c>
      <c r="AX91" s="36" t="n">
        <f aca="false">IF(AND(ISNUMBER(AX114),ISNUMBER(AX93)),AX114-AX93,"")</f>
        <v>7.803</v>
      </c>
      <c r="AY91" s="36" t="n">
        <f aca="false">IF(AND(ISNUMBER(AY114),ISNUMBER(AY93)),AY114-AY93,"")</f>
        <v>7.816</v>
      </c>
      <c r="AZ91" s="36" t="n">
        <f aca="false">IF(AND(ISNUMBER(AZ114),ISNUMBER(AZ93)),AZ114-AZ93,"")</f>
        <v>7.697</v>
      </c>
      <c r="BA91" s="36" t="n">
        <f aca="false">IF(AND(ISNUMBER(BA114),ISNUMBER(BA93)),BA114-BA93,"")</f>
        <v>8.403</v>
      </c>
      <c r="BB91" s="36" t="n">
        <f aca="false">IF(AND(ISNUMBER(BB114),ISNUMBER(BB93)),BB114-BB93,"")</f>
        <v>31.719</v>
      </c>
      <c r="BC91" s="36" t="n">
        <f aca="false">IF(AND(ISNUMBER(BC114),ISNUMBER(BC93)),BC114-BC93,"")</f>
        <v>8.222</v>
      </c>
      <c r="BD91" s="36" t="n">
        <f aca="false">IF(AND(ISNUMBER(BD114),ISNUMBER(BD93)),BD114-BD93,"")</f>
        <v>8.285</v>
      </c>
      <c r="BE91" s="36" t="n">
        <f aca="false">IF(AND(ISNUMBER(BE114),ISNUMBER(BE93)),BE114-BE93,"")</f>
        <v>8.619</v>
      </c>
      <c r="BF91" s="36" t="n">
        <f aca="false">IF(AND(ISNUMBER(BF114),ISNUMBER(BF93)),BF114-BF93,"")</f>
        <v>8.707</v>
      </c>
      <c r="BG91" s="36" t="n">
        <f aca="false">IF(AND(ISNUMBER(BG114),ISNUMBER(BG93)),BG114-BG93,"")</f>
        <v>33.833</v>
      </c>
      <c r="BH91" s="36" t="n">
        <f aca="false">IF(AND(ISNUMBER(BH114),ISNUMBER(BH93)),BH114-BH93,"")</f>
        <v>9.26</v>
      </c>
      <c r="BI91" s="36" t="n">
        <f aca="false">IF(AND(ISNUMBER(BI114),ISNUMBER(BI93)),BI114-BI93,"")</f>
        <v>10.624</v>
      </c>
      <c r="BJ91" s="36" t="n">
        <f aca="false">IF(AND(ISNUMBER(BJ114),ISNUMBER(BJ93)),BJ114-BJ93,"")</f>
        <v>10.931</v>
      </c>
      <c r="BK91" s="36" t="n">
        <f aca="false">IF(AND(ISNUMBER(BK114),ISNUMBER(BK93)),BK114-BK93,"")</f>
        <v>13.328</v>
      </c>
      <c r="BL91" s="36" t="n">
        <f aca="false">IF(AND(ISNUMBER(BL114),ISNUMBER(BL93)),BL114-BL93,"")</f>
        <v>44.143</v>
      </c>
      <c r="BM91" s="36" t="n">
        <f aca="false">IF(AND(ISNUMBER(BM114),ISNUMBER(BM93)),BM114-BM93,"")</f>
        <v>13.305</v>
      </c>
      <c r="BN91" s="36" t="n">
        <f aca="false">IF(AND(ISNUMBER(BN114),ISNUMBER(BN93)),BN114-BN93,"")</f>
        <v>12.231</v>
      </c>
      <c r="BO91" s="36" t="n">
        <f aca="false">IF(AND(ISNUMBER(BO114),ISNUMBER(BO93)),BO114-BO93,"")</f>
        <v>13.61</v>
      </c>
      <c r="BP91" s="36" t="n">
        <f aca="false">IF(AND(ISNUMBER(BP114),ISNUMBER(BP93)),BP114-BP93,"")</f>
        <v>13.885</v>
      </c>
      <c r="BQ91" s="36" t="n">
        <f aca="false">IF(AND(ISNUMBER(BQ114),ISNUMBER(BQ93)),BQ114-BQ93,"")</f>
        <v>53.031</v>
      </c>
      <c r="BR91" s="36" t="n">
        <f aca="false">IF(AND(ISNUMBER(BR114),ISNUMBER(BR93)),BR114-BR93,"")</f>
        <v>14.025</v>
      </c>
      <c r="BS91" s="36" t="n">
        <f aca="false">IF(AND(ISNUMBER(BS114),ISNUMBER(BS93)),BS114-BS93,"")</f>
        <v>14.077</v>
      </c>
      <c r="BT91" s="36" t="n">
        <f aca="false">IF(AND(ISNUMBER(BT114),ISNUMBER(BT93)),BT114-BT93,"")</f>
        <v>15.067</v>
      </c>
      <c r="BU91" s="36" t="n">
        <f aca="false">IF(AND(ISNUMBER(BU114),ISNUMBER(BU93)),BU114-BU93,"")</f>
        <v>15.007</v>
      </c>
      <c r="BV91" s="36" t="n">
        <f aca="false">IF(AND(ISNUMBER(BV114),ISNUMBER(BV93)),BV114-BV93,"")</f>
        <v>58.176</v>
      </c>
      <c r="BW91" s="36" t="n">
        <f aca="false">IF(AND(ISNUMBER(BW114),ISNUMBER(BW93)),BW114-BW93,"")</f>
        <v>15.108</v>
      </c>
      <c r="BX91" s="36" t="n">
        <f aca="false">IF(AND(ISNUMBER(BX114),ISNUMBER(BX93)),BX114-BX93,"")</f>
        <v>15.834</v>
      </c>
      <c r="BY91" s="36" t="n">
        <f aca="false">IF(AND(ISNUMBER(BY114),ISNUMBER(BY93)),BY114-BY93,"")</f>
        <v>15.443</v>
      </c>
      <c r="BZ91" s="42" t="n">
        <f aca="false">BZ98*BZ92</f>
        <v>17.2598254204268</v>
      </c>
      <c r="CA91" s="42" t="n">
        <f aca="false">SUM(BW91,BX91,BY91,BZ91)</f>
        <v>63.6448254204268</v>
      </c>
      <c r="CB91" s="42" t="n">
        <f aca="false">(CB98-N(CB60))*CB92</f>
        <v>73.1572852604663</v>
      </c>
      <c r="CC91" s="42" t="n">
        <f aca="false">(CC98-N(CC60))*CC92</f>
        <v>78.7633811289217</v>
      </c>
      <c r="CD91" s="42" t="n">
        <f aca="false">(CD98-N(CD60))*CD92</f>
        <v>84.144947288422</v>
      </c>
      <c r="CE91" s="42" t="n">
        <f aca="false">(CE98-N(CE60))*CE92</f>
        <v>89.8946514953182</v>
      </c>
    </row>
    <row r="92" customFormat="false" ht="15" hidden="false" customHeight="true" outlineLevel="0" collapsed="false">
      <c r="B92" s="29" t="s">
        <v>201</v>
      </c>
      <c r="C92" s="30" t="str">
        <f aca="false">IF(AND(ISNUMBER(C91),ISNUMBER(C98)),IFERROR(C91/C98,""),"")</f>
        <v/>
      </c>
      <c r="D92" s="30" t="str">
        <f aca="false">IF(AND(ISNUMBER(D91),ISNUMBER(D98)),IFERROR(D91/D98,""),"")</f>
        <v/>
      </c>
      <c r="E92" s="30" t="str">
        <f aca="false">IF(AND(ISNUMBER(E91),ISNUMBER(E98)),IFERROR(E91/E98,""),"")</f>
        <v/>
      </c>
      <c r="F92" s="30" t="str">
        <f aca="false">IF(AND(ISNUMBER(F91),ISNUMBER(F98)),IFERROR(F91/F98,""),"")</f>
        <v/>
      </c>
      <c r="G92" s="30" t="n">
        <f aca="false">IF(AND(ISNUMBER(G91),ISNUMBER(G98)),IFERROR(G91/G98,""),"")</f>
        <v>0.0174986224109429</v>
      </c>
      <c r="H92" s="30" t="n">
        <f aca="false">IF(AND(ISNUMBER(H91),ISNUMBER(H98)),IFERROR(H91/H98,""),"")</f>
        <v>0.0143066136220716</v>
      </c>
      <c r="I92" s="30" t="n">
        <f aca="false">IF(AND(ISNUMBER(I91),ISNUMBER(I98)),IFERROR(I91/I98,""),"")</f>
        <v>0.0161097100675658</v>
      </c>
      <c r="J92" s="30" t="n">
        <f aca="false">IF(AND(ISNUMBER(J91),ISNUMBER(J98)),IFERROR(J91/J98,""),"")</f>
        <v>0.0168137096401681</v>
      </c>
      <c r="K92" s="30" t="n">
        <f aca="false">IF(AND(ISNUMBER(K91),ISNUMBER(K98)),IFERROR(K91/K98,""),"")</f>
        <v>0.0162594443603076</v>
      </c>
      <c r="L92" s="30" t="n">
        <f aca="false">IF(AND(ISNUMBER(L91),ISNUMBER(L98)),IFERROR(L91/L98,""),"")</f>
        <v>0.0153294426371882</v>
      </c>
      <c r="M92" s="30" t="n">
        <f aca="false">IF(AND(ISNUMBER(M91),ISNUMBER(M98)),IFERROR(M91/M98,""),"")</f>
        <v>0.0159693277574054</v>
      </c>
      <c r="N92" s="30" t="n">
        <f aca="false">IF(AND(ISNUMBER(N91),ISNUMBER(N98)),IFERROR(N91/N98,""),"")</f>
        <v>0.0160494549232372</v>
      </c>
      <c r="O92" s="30" t="n">
        <f aca="false">IF(AND(ISNUMBER(O91),ISNUMBER(O98)),IFERROR(O91/O98,""),"")</f>
        <v>0.0185514155292213</v>
      </c>
      <c r="P92" s="30" t="n">
        <f aca="false">IF(AND(ISNUMBER(P91),ISNUMBER(P98)),IFERROR(P91/P98,""),"")</f>
        <v>0.0180312650585334</v>
      </c>
      <c r="Q92" s="30" t="n">
        <f aca="false">IF(AND(ISNUMBER(Q91),ISNUMBER(Q98)),IFERROR(Q91/Q98,""),"")</f>
        <v>0.0176304848297426</v>
      </c>
      <c r="R92" s="30" t="n">
        <f aca="false">IF(AND(ISNUMBER(R91),ISNUMBER(R98)),IFERROR(R91/R98,""),"")</f>
        <v>0.0167235296331911</v>
      </c>
      <c r="S92" s="30" t="n">
        <f aca="false">IF(AND(ISNUMBER(S91),ISNUMBER(S98)),IFERROR(S91/S98,""),"")</f>
        <v>0.0177133314080672</v>
      </c>
      <c r="T92" s="30" t="n">
        <f aca="false">IF(AND(ISNUMBER(T91),ISNUMBER(T98)),IFERROR(T91/T98,""),"")</f>
        <v>0.0179130078117717</v>
      </c>
      <c r="U92" s="30" t="n">
        <f aca="false">IF(AND(ISNUMBER(U91),ISNUMBER(U98)),IFERROR(U91/U98,""),"")</f>
        <v>0.0179705649215396</v>
      </c>
      <c r="V92" s="30" t="n">
        <f aca="false">IF(AND(ISNUMBER(V91),ISNUMBER(V98)),IFERROR(V91/V98,""),"")</f>
        <v>0.0177281352997969</v>
      </c>
      <c r="W92" s="30" t="n">
        <f aca="false">IF(AND(ISNUMBER(W91),ISNUMBER(W98)),IFERROR(W91/W98,""),"")</f>
        <v>0.0168587527991432</v>
      </c>
      <c r="X92" s="30" t="n">
        <f aca="false">IF(AND(ISNUMBER(X91),ISNUMBER(X98)),IFERROR(X91/X98,""),"")</f>
        <v>0.0175888909079896</v>
      </c>
      <c r="Y92" s="30" t="n">
        <f aca="false">IF(AND(ISNUMBER(Y91),ISNUMBER(Y98)),IFERROR(Y91/Y98,""),"")</f>
        <v>0.0183556642621323</v>
      </c>
      <c r="Z92" s="30" t="n">
        <f aca="false">IF(AND(ISNUMBER(Z91),ISNUMBER(Z98)),IFERROR(Z91/Z98,""),"")</f>
        <v>0.0170028062330314</v>
      </c>
      <c r="AA92" s="30" t="n">
        <f aca="false">IF(AND(ISNUMBER(AA91),ISNUMBER(AA98)),IFERROR(AA91/AA98,""),"")</f>
        <v>0.0169061232742836</v>
      </c>
      <c r="AB92" s="30" t="n">
        <f aca="false">IF(AND(ISNUMBER(AB91),ISNUMBER(AB98)),IFERROR(AB91/AB98,""),"")</f>
        <v>0.0172695217988489</v>
      </c>
      <c r="AC92" s="30" t="n">
        <f aca="false">IF(AND(ISNUMBER(AC91),ISNUMBER(AC98)),IFERROR(AC91/AC98,""),"")</f>
        <v>0.0173492179518666</v>
      </c>
      <c r="AD92" s="30" t="n">
        <f aca="false">IF(AND(ISNUMBER(AD91),ISNUMBER(AD98)),IFERROR(AD91/AD98,""),"")</f>
        <v>0.0176104731067577</v>
      </c>
      <c r="AE92" s="30" t="n">
        <f aca="false">IF(AND(ISNUMBER(AE91),ISNUMBER(AE98)),IFERROR(AE91/AE98,""),"")</f>
        <v>0.0166903110479389</v>
      </c>
      <c r="AF92" s="30" t="n">
        <f aca="false">IF(AND(ISNUMBER(AF91),ISNUMBER(AF98)),IFERROR(AF91/AF98,""),"")</f>
        <v>0.0166309067688378</v>
      </c>
      <c r="AG92" s="30" t="n">
        <f aca="false">IF(AND(ISNUMBER(AG91),ISNUMBER(AG98)),IFERROR(AG91/AG98,""),"")</f>
        <v>0.0156947372419425</v>
      </c>
      <c r="AH92" s="30" t="n">
        <f aca="false">IF(AND(ISNUMBER(AH91),ISNUMBER(AH98)),IFERROR(AH91/AH98,""),"")</f>
        <v>0.0166072823356044</v>
      </c>
      <c r="AI92" s="30" t="n">
        <f aca="false">IF(AND(ISNUMBER(AI91),ISNUMBER(AI98)),IFERROR(AI91/AI98,""),"")</f>
        <v>0.0163794169283648</v>
      </c>
      <c r="AJ92" s="30" t="n">
        <f aca="false">IF(AND(ISNUMBER(AJ91),ISNUMBER(AJ98)),IFERROR(AJ91/AJ98,""),"")</f>
        <v>0.0154783303375275</v>
      </c>
      <c r="AK92" s="30" t="n">
        <f aca="false">IF(AND(ISNUMBER(AK91),ISNUMBER(AK98)),IFERROR(AK91/AK98,""),"")</f>
        <v>0.0144560725594376</v>
      </c>
      <c r="AL92" s="30" t="n">
        <f aca="false">IF(AND(ISNUMBER(AL91),ISNUMBER(AL98)),IFERROR(AL91/AL98,""),"")</f>
        <v>0.0148212143833721</v>
      </c>
      <c r="AM92" s="30" t="n">
        <f aca="false">IF(AND(ISNUMBER(AM91),ISNUMBER(AM98)),IFERROR(AM91/AM98,""),"")</f>
        <v>0.0152391742011261</v>
      </c>
      <c r="AN92" s="30" t="n">
        <f aca="false">IF(AND(ISNUMBER(AN91),ISNUMBER(AN98)),IFERROR(AN91/AN98,""),"")</f>
        <v>0.01552517880664</v>
      </c>
      <c r="AO92" s="30" t="n">
        <f aca="false">IF(AND(ISNUMBER(AO91),ISNUMBER(AO98)),IFERROR(AO91/AO98,""),"")</f>
        <v>0.0143722073972943</v>
      </c>
      <c r="AP92" s="30" t="n">
        <f aca="false">IF(AND(ISNUMBER(AP91),ISNUMBER(AP98)),IFERROR(AP91/AP98,""),"")</f>
        <v>0.0139726933221121</v>
      </c>
      <c r="AQ92" s="30" t="n">
        <f aca="false">IF(AND(ISNUMBER(AQ91),ISNUMBER(AQ98)),IFERROR(AQ91/AQ98,""),"")</f>
        <v>0.0142393112834216</v>
      </c>
      <c r="AR92" s="30" t="n">
        <f aca="false">IF(AND(ISNUMBER(AR91),ISNUMBER(AR98)),IFERROR(AR91/AR98,""),"")</f>
        <v>0.0144951929976304</v>
      </c>
      <c r="AS92" s="30" t="n">
        <f aca="false">IF(AND(ISNUMBER(AS91),ISNUMBER(AS98)),IFERROR(AS91/AS98,""),"")</f>
        <v>0.0155705891067108</v>
      </c>
      <c r="AT92" s="30" t="n">
        <f aca="false">IF(AND(ISNUMBER(AT91),ISNUMBER(AT98)),IFERROR(AT91/AT98,""),"")</f>
        <v>0.0166465162577487</v>
      </c>
      <c r="AU92" s="30" t="n">
        <f aca="false">IF(AND(ISNUMBER(AU91),ISNUMBER(AU98)),IFERROR(AU91/AU98,""),"")</f>
        <v>0.0200357133614555</v>
      </c>
      <c r="AV92" s="30" t="n">
        <f aca="false">IF(AND(ISNUMBER(AV91),ISNUMBER(AV98)),IFERROR(AV91/AV98,""),"")</f>
        <v>0.018168464819864</v>
      </c>
      <c r="AW92" s="30" t="n">
        <f aca="false">IF(AND(ISNUMBER(AW91),ISNUMBER(AW98)),IFERROR(AW91/AW98,""),"")</f>
        <v>0.0174375171025999</v>
      </c>
      <c r="AX92" s="30" t="n">
        <f aca="false">IF(AND(ISNUMBER(AX91),ISNUMBER(AX98)),IFERROR(AX91/AX98,""),"")</f>
        <v>0.0186718417236577</v>
      </c>
      <c r="AY92" s="30" t="n">
        <f aca="false">IF(AND(ISNUMBER(AY91),ISNUMBER(AY98)),IFERROR(AY91/AY98,""),"")</f>
        <v>0.0167491337209178</v>
      </c>
      <c r="AZ92" s="30" t="n">
        <f aca="false">IF(AND(ISNUMBER(AZ91),ISNUMBER(AZ98)),IFERROR(AZ91/AZ98,""),"")</f>
        <v>0.0163173325814542</v>
      </c>
      <c r="BA92" s="30" t="n">
        <f aca="false">IF(AND(ISNUMBER(BA91),ISNUMBER(BA98)),IFERROR(BA91/BA98,""),"")</f>
        <v>0.0164951651086918</v>
      </c>
      <c r="BB92" s="30" t="n">
        <f aca="false">IF(AND(ISNUMBER(BB91),ISNUMBER(BB98)),IFERROR(BB91/BB98,""),"")</f>
        <v>0.0170012896088401</v>
      </c>
      <c r="BC92" s="30" t="n">
        <f aca="false">IF(AND(ISNUMBER(BC91),ISNUMBER(BC98)),IFERROR(BC91/BC98,""),"")</f>
        <v>0.0167678543386976</v>
      </c>
      <c r="BD92" s="30" t="n">
        <f aca="false">IF(AND(ISNUMBER(BD91),ISNUMBER(BD98)),IFERROR(BD91/BD98,""),"")</f>
        <v>0.0153763921805896</v>
      </c>
      <c r="BE92" s="30" t="n">
        <f aca="false">IF(AND(ISNUMBER(BE91),ISNUMBER(BE98)),IFERROR(BE91/BE98,""),"")</f>
        <v>0.0151335843013864</v>
      </c>
      <c r="BF92" s="30" t="n">
        <f aca="false">IF(AND(ISNUMBER(BF91),ISNUMBER(BF98)),IFERROR(BF91/BF98,""),"")</f>
        <v>0.0142822461854412</v>
      </c>
      <c r="BG92" s="30" t="n">
        <f aca="false">IF(AND(ISNUMBER(BG91),ISNUMBER(BG98)),IFERROR(BG91/BG98,""),"")</f>
        <v>0.0153206824004833</v>
      </c>
      <c r="BH92" s="30" t="n">
        <f aca="false">IF(AND(ISNUMBER(BH91),ISNUMBER(BH98)),IFERROR(BH91/BH98,""),"")</f>
        <v>0.0149134744691302</v>
      </c>
      <c r="BI92" s="30" t="n">
        <f aca="false">IF(AND(ISNUMBER(BI91),ISNUMBER(BI98)),IFERROR(BI91/BI98,""),"")</f>
        <v>0.0154454299758229</v>
      </c>
      <c r="BJ92" s="30" t="n">
        <f aca="false">IF(AND(ISNUMBER(BJ91),ISNUMBER(BJ98)),IFERROR(BJ91/BJ98,""),"")</f>
        <v>0.0151209984202561</v>
      </c>
      <c r="BK92" s="30" t="n">
        <f aca="false">IF(AND(ISNUMBER(BK91),ISNUMBER(BK98)),IFERROR(BK91/BK98,""),"")</f>
        <v>0.01423251929901</v>
      </c>
      <c r="BL92" s="30" t="n">
        <f aca="false">IF(AND(ISNUMBER(BL91),ISNUMBER(BL98)),IFERROR(BL91/BL98,""),"")</f>
        <v>0.0148724522885814</v>
      </c>
      <c r="BM92" s="30" t="n">
        <f aca="false">IF(AND(ISNUMBER(BM91),ISNUMBER(BM98)),IFERROR(BM91/BM98,""),"")</f>
        <v>0.0148433168258842</v>
      </c>
      <c r="BN92" s="30" t="n">
        <f aca="false">IF(AND(ISNUMBER(BN91),ISNUMBER(BN98)),IFERROR(BN91/BN98,""),"")</f>
        <v>0.0128020347604917</v>
      </c>
      <c r="BO92" s="30" t="n">
        <f aca="false">IF(AND(ISNUMBER(BO91),ISNUMBER(BO98)),IFERROR(BO91/BO98,""),"")</f>
        <v>0.0137163566293036</v>
      </c>
      <c r="BP92" s="30" t="n">
        <f aca="false">IF(AND(ISNUMBER(BP91),ISNUMBER(BP98)),IFERROR(BP91/BP98,""),"")</f>
        <v>0.0136978192992754</v>
      </c>
      <c r="BQ92" s="30" t="n">
        <f aca="false">IF(AND(ISNUMBER(BQ91),ISNUMBER(BQ98)),IFERROR(BQ91/BQ98,""),"")</f>
        <v>0.0137469025984344</v>
      </c>
      <c r="BR92" s="30" t="n">
        <f aca="false">IF(AND(ISNUMBER(BR91),ISNUMBER(BR98)),IFERROR(BR91/BR98,""),"")</f>
        <v>0.0136135706672931</v>
      </c>
      <c r="BS92" s="30" t="n">
        <f aca="false">IF(AND(ISNUMBER(BS91),ISNUMBER(BS98)),IFERROR(BS91/BS98,""),"")</f>
        <v>0.0128226849574612</v>
      </c>
      <c r="BT92" s="30" t="n">
        <f aca="false">IF(AND(ISNUMBER(BT91),ISNUMBER(BT98)),IFERROR(BT91/BT98,""),"")</f>
        <v>0.013129242038322</v>
      </c>
      <c r="BU92" s="30" t="n">
        <f aca="false">IF(AND(ISNUMBER(BU91),ISNUMBER(BU98)),IFERROR(BU91/BU98,""),"")</f>
        <v>0.0124085195190055</v>
      </c>
      <c r="BV92" s="30" t="n">
        <f aca="false">IF(AND(ISNUMBER(BV91),ISNUMBER(BV98)),IFERROR(BV91/BV98,""),"")</f>
        <v>0.0129711102053848</v>
      </c>
      <c r="BW92" s="30" t="n">
        <f aca="false">IF(AND(ISNUMBER(BW91),ISNUMBER(BW98)),IFERROR(BW91/BW98,""),"")</f>
        <v>0.0128187941102104</v>
      </c>
      <c r="BX92" s="30" t="n">
        <f aca="false">IF(AND(ISNUMBER(BX91),ISNUMBER(BX98)),IFERROR(BX91/BX98,""),"")</f>
        <v>0.0115096680775714</v>
      </c>
      <c r="BY92" s="30" t="n">
        <f aca="false">IF(AND(ISNUMBER(BY91),ISNUMBER(BY98)),IFERROR(BY91/BY98,""),"")</f>
        <v>0.0109288418668837</v>
      </c>
      <c r="BZ92" s="23" t="n">
        <f aca="false">SUM(BW91,BX91,BY91)/SUM(BW98,BX98,BY98)</f>
        <v>0.0116916981003669</v>
      </c>
      <c r="CA92" s="23" t="n">
        <f aca="false">CA91/CA98</f>
        <v>0.0116916981003669</v>
      </c>
      <c r="CB92" s="31" t="n">
        <v>0.012</v>
      </c>
      <c r="CC92" s="23" t="n">
        <f aca="false">CB92</f>
        <v>0.012</v>
      </c>
      <c r="CD92" s="23" t="n">
        <f aca="false">CC92</f>
        <v>0.012</v>
      </c>
      <c r="CE92" s="23" t="n">
        <f aca="false">CD92</f>
        <v>0.012</v>
      </c>
      <c r="CF92" s="19" t="s">
        <v>202</v>
      </c>
    </row>
    <row r="93" customFormat="false" ht="15" hidden="false" customHeight="true" outlineLevel="0" collapsed="false">
      <c r="B93" s="29" t="s">
        <v>203</v>
      </c>
      <c r="G93" s="35" t="n">
        <v>6.8</v>
      </c>
      <c r="H93" s="35" t="n">
        <v>7.6</v>
      </c>
      <c r="I93" s="35" t="n">
        <v>16.2</v>
      </c>
      <c r="J93" s="35" t="n">
        <v>4.5</v>
      </c>
      <c r="K93" s="35" t="n">
        <v>4.4</v>
      </c>
      <c r="L93" s="35" t="n">
        <v>5.4</v>
      </c>
      <c r="M93" s="35" t="n">
        <v>6.3</v>
      </c>
      <c r="N93" s="35" t="n">
        <v>20.6</v>
      </c>
      <c r="O93" s="35" t="n">
        <v>7.1</v>
      </c>
      <c r="P93" s="35" t="n">
        <v>7</v>
      </c>
      <c r="Q93" s="35" t="n">
        <v>7</v>
      </c>
      <c r="R93" s="35" t="n">
        <v>6.6</v>
      </c>
      <c r="S93" s="35" t="n">
        <v>27.7</v>
      </c>
      <c r="T93" s="35" t="n">
        <v>6.1</v>
      </c>
      <c r="U93" s="35" t="n">
        <v>7</v>
      </c>
      <c r="V93" s="35" t="n">
        <v>6.6</v>
      </c>
      <c r="W93" s="35" t="n">
        <v>7.3</v>
      </c>
      <c r="X93" s="35" t="n">
        <v>27</v>
      </c>
      <c r="Y93" s="35" t="n">
        <v>8.3</v>
      </c>
      <c r="Z93" s="35" t="n">
        <v>9.3</v>
      </c>
      <c r="AA93" s="35" t="n">
        <v>9.4</v>
      </c>
      <c r="AB93" s="35" t="n">
        <v>9.4</v>
      </c>
      <c r="AC93" s="35" t="n">
        <v>36.4</v>
      </c>
      <c r="AD93" s="35" t="n">
        <v>9.2</v>
      </c>
      <c r="AE93" s="35" t="n">
        <v>9.1</v>
      </c>
      <c r="AF93" s="35" t="n">
        <v>9.9</v>
      </c>
      <c r="AG93" s="35" t="n">
        <v>11.3</v>
      </c>
      <c r="AH93" s="35" t="n">
        <v>39.5</v>
      </c>
      <c r="AI93" s="35" t="n">
        <v>12.4</v>
      </c>
      <c r="AJ93" s="35" t="n">
        <v>12.4</v>
      </c>
      <c r="AK93" s="35" t="n">
        <v>12.7</v>
      </c>
      <c r="AL93" s="35" t="n">
        <v>12.6</v>
      </c>
      <c r="AM93" s="35" t="n">
        <v>50.1</v>
      </c>
      <c r="AN93" s="35" t="n">
        <v>12.8</v>
      </c>
      <c r="AO93" s="35" t="n">
        <v>13.1</v>
      </c>
      <c r="AP93" s="35" t="n">
        <v>13.7</v>
      </c>
      <c r="AQ93" s="35" t="n">
        <v>14.1</v>
      </c>
      <c r="AR93" s="35" t="n">
        <v>53.7</v>
      </c>
      <c r="AS93" s="35" t="n">
        <v>13.7</v>
      </c>
      <c r="AT93" s="35" t="n">
        <v>13.9</v>
      </c>
      <c r="AU93" s="35" t="n">
        <v>14.2</v>
      </c>
      <c r="AV93" s="35" t="n">
        <v>15.6</v>
      </c>
      <c r="AW93" s="35" t="n">
        <v>57.4</v>
      </c>
      <c r="AX93" s="35" t="n">
        <v>15.2</v>
      </c>
      <c r="AY93" s="35" t="n">
        <v>15.1</v>
      </c>
      <c r="AZ93" s="35" t="n">
        <v>15.2</v>
      </c>
      <c r="BA93" s="35" t="n">
        <v>15.8</v>
      </c>
      <c r="BB93" s="35" t="n">
        <v>61.3</v>
      </c>
      <c r="BC93" s="35" t="n">
        <v>15</v>
      </c>
      <c r="BD93" s="35" t="n">
        <v>15.2</v>
      </c>
      <c r="BE93" s="35" t="n">
        <v>15.2</v>
      </c>
      <c r="BF93" s="35" t="n">
        <v>17.1</v>
      </c>
      <c r="BG93" s="35" t="n">
        <v>62.5</v>
      </c>
      <c r="BH93" s="35" t="n">
        <v>17.8</v>
      </c>
      <c r="BI93" s="35" t="n">
        <v>19.1</v>
      </c>
      <c r="BJ93" s="35" t="n">
        <v>18.6</v>
      </c>
      <c r="BK93" s="35" t="n">
        <v>30.4</v>
      </c>
      <c r="BL93" s="35" t="n">
        <v>85.9</v>
      </c>
      <c r="BM93" s="35" t="n">
        <v>30.2</v>
      </c>
      <c r="BN93" s="35" t="n">
        <v>30.6</v>
      </c>
      <c r="BO93" s="35" t="n">
        <v>30.7</v>
      </c>
      <c r="BP93" s="35" t="n">
        <v>30.8</v>
      </c>
      <c r="BQ93" s="35" t="n">
        <v>122.3</v>
      </c>
      <c r="BR93" s="35" t="n">
        <v>32.2</v>
      </c>
      <c r="BS93" s="35" t="n">
        <v>34.8</v>
      </c>
      <c r="BT93" s="35" t="n">
        <v>34.7</v>
      </c>
      <c r="BU93" s="35" t="n">
        <v>36.2</v>
      </c>
      <c r="BV93" s="35" t="n">
        <v>137.9</v>
      </c>
      <c r="BW93" s="35" t="n">
        <v>35.9</v>
      </c>
      <c r="BX93" s="35" t="n">
        <v>40.8</v>
      </c>
      <c r="BY93" s="35" t="n">
        <v>43.3</v>
      </c>
      <c r="BZ93" s="46" t="n">
        <v>43.6</v>
      </c>
      <c r="CA93" s="42" t="n">
        <f aca="false">SUM(BW93,BX93,BY93,BZ93)</f>
        <v>163.6</v>
      </c>
      <c r="CB93" s="46" t="n">
        <v>170.8</v>
      </c>
      <c r="CC93" s="46" t="n">
        <v>163.7</v>
      </c>
      <c r="CD93" s="46" t="n">
        <v>156.9</v>
      </c>
      <c r="CE93" s="46" t="n">
        <v>149</v>
      </c>
      <c r="CF93" s="19" t="s">
        <v>204</v>
      </c>
    </row>
    <row r="94" customFormat="false" ht="15" hidden="false" customHeight="true" outlineLevel="0" collapsed="false">
      <c r="B94" s="29" t="s">
        <v>205</v>
      </c>
      <c r="C94" s="30" t="n">
        <f aca="false">IF(AND(ISNUMBER(C101),ISNUMBER(C98)),IFERROR(C101/C98,""),"")</f>
        <v>0.192881001555369</v>
      </c>
      <c r="D94" s="30" t="n">
        <f aca="false">IF(AND(ISNUMBER(D101),ISNUMBER(D98)),IFERROR(D101/D98,""),"")</f>
        <v>0.180034808357156</v>
      </c>
      <c r="E94" s="30" t="n">
        <f aca="false">IF(AND(ISNUMBER(E101),ISNUMBER(E98)),IFERROR(E101/E98,""),"")</f>
        <v>0.179801733330815</v>
      </c>
      <c r="F94" s="30" t="n">
        <f aca="false">IF(AND(ISNUMBER(F101),ISNUMBER(F98)),IFERROR(F101/F98,""),"")</f>
        <v>0.172314117140012</v>
      </c>
      <c r="G94" s="30" t="n">
        <f aca="false">IF(AND(ISNUMBER(G101),ISNUMBER(G98)),IFERROR(G101/G98,""),"")</f>
        <v>0.18342031052478</v>
      </c>
      <c r="H94" s="30" t="n">
        <f aca="false">IF(AND(ISNUMBER(H101),ISNUMBER(H98)),IFERROR(H101/H98,""),"")</f>
        <v>0.177816185574154</v>
      </c>
      <c r="I94" s="30" t="n">
        <f aca="false">IF(AND(ISNUMBER(I101),ISNUMBER(I98)),IFERROR(I101/I98,""),"")</f>
        <v>0.182919205168123</v>
      </c>
      <c r="J94" s="30" t="n">
        <f aca="false">IF(AND(ISNUMBER(J101),ISNUMBER(J98)),IFERROR(J101/J98,""),"")</f>
        <v>0.19700679015197</v>
      </c>
      <c r="K94" s="30" t="n">
        <f aca="false">IF(AND(ISNUMBER(K101),ISNUMBER(K98)),IFERROR(K101/K98,""),"")</f>
        <v>0.188298248270988</v>
      </c>
      <c r="L94" s="30" t="n">
        <f aca="false">IF(AND(ISNUMBER(L101),ISNUMBER(L98)),IFERROR(L101/L98,""),"")</f>
        <v>0.183930850924446</v>
      </c>
      <c r="M94" s="30" t="n">
        <f aca="false">IF(AND(ISNUMBER(M101),ISNUMBER(M98)),IFERROR(M101/M98,""),"")</f>
        <v>0.177600495431868</v>
      </c>
      <c r="N94" s="30" t="n">
        <f aca="false">IF(AND(ISNUMBER(N101),ISNUMBER(N98)),IFERROR(N101/N98,""),"")</f>
        <v>0.185962526158431</v>
      </c>
      <c r="O94" s="30" t="n">
        <f aca="false">IF(AND(ISNUMBER(O101),ISNUMBER(O98)),IFERROR(O101/O98,""),"")</f>
        <v>0.156401550073831</v>
      </c>
      <c r="P94" s="30" t="n">
        <f aca="false">IF(AND(ISNUMBER(P101),ISNUMBER(P98)),IFERROR(P101/P98,""),"")</f>
        <v>0.179820147963378</v>
      </c>
      <c r="Q94" s="30" t="n">
        <f aca="false">IF(AND(ISNUMBER(Q101),ISNUMBER(Q98)),IFERROR(Q101/Q98,""),"")</f>
        <v>0.182847129161942</v>
      </c>
      <c r="R94" s="30" t="n">
        <f aca="false">IF(AND(ISNUMBER(R101),ISNUMBER(R98)),IFERROR(R101/R98,""),"")</f>
        <v>0.168456966084121</v>
      </c>
      <c r="S94" s="30" t="n">
        <f aca="false">IF(AND(ISNUMBER(S101),ISNUMBER(S98)),IFERROR(S101/S98,""),"")</f>
        <v>0.172147051472608</v>
      </c>
      <c r="T94" s="30" t="n">
        <f aca="false">IF(AND(ISNUMBER(T101),ISNUMBER(T98)),IFERROR(T101/T98,""),"")</f>
        <v>0.176710106829241</v>
      </c>
      <c r="U94" s="30" t="n">
        <f aca="false">IF(AND(ISNUMBER(U101),ISNUMBER(U98)),IFERROR(U101/U98,""),"")</f>
        <v>0.170564235247288</v>
      </c>
      <c r="V94" s="30" t="n">
        <f aca="false">IF(AND(ISNUMBER(V101),ISNUMBER(V98)),IFERROR(V101/V98,""),"")</f>
        <v>0.165069747311649</v>
      </c>
      <c r="W94" s="30" t="n">
        <f aca="false">IF(AND(ISNUMBER(W101),ISNUMBER(W98)),IFERROR(W101/W98,""),"")</f>
        <v>0.175993087333268</v>
      </c>
      <c r="X94" s="30" t="n">
        <f aca="false">IF(AND(ISNUMBER(X101),ISNUMBER(X98)),IFERROR(X101/X98,""),"")</f>
        <v>0.172063554559466</v>
      </c>
      <c r="Y94" s="30" t="n">
        <f aca="false">IF(AND(ISNUMBER(Y101),ISNUMBER(Y98)),IFERROR(Y101/Y98,""),"")</f>
        <v>0.194545222988175</v>
      </c>
      <c r="Z94" s="30" t="n">
        <f aca="false">IF(AND(ISNUMBER(Z101),ISNUMBER(Z98)),IFERROR(Z101/Z98,""),"")</f>
        <v>0.191744997832584</v>
      </c>
      <c r="AA94" s="30" t="n">
        <f aca="false">IF(AND(ISNUMBER(AA101),ISNUMBER(AA98)),IFERROR(AA101/AA98,""),"")</f>
        <v>0.178971815639007</v>
      </c>
      <c r="AB94" s="30" t="n">
        <f aca="false">IF(AND(ISNUMBER(AB101),ISNUMBER(AB98)),IFERROR(AB101/AB98,""),"")</f>
        <v>0.164074219857473</v>
      </c>
      <c r="AC94" s="30" t="n">
        <f aca="false">IF(AND(ISNUMBER(AC101),ISNUMBER(AC98)),IFERROR(AC101/AC98,""),"")</f>
        <v>0.181758798132327</v>
      </c>
      <c r="AD94" s="30" t="n">
        <f aca="false">IF(AND(ISNUMBER(AD101),ISNUMBER(AD98)),IFERROR(AD101/AD98,""),"")</f>
        <v>0.17723159169792</v>
      </c>
      <c r="AE94" s="30" t="n">
        <f aca="false">IF(AND(ISNUMBER(AE101),ISNUMBER(AE98)),IFERROR(AE101/AE98,""),"")</f>
        <v>0.173169097562233</v>
      </c>
      <c r="AF94" s="30" t="n">
        <f aca="false">IF(AND(ISNUMBER(AF101),ISNUMBER(AF98)),IFERROR(AF101/AF98,""),"")</f>
        <v>0.185887611749681</v>
      </c>
      <c r="AG94" s="30" t="n">
        <f aca="false">IF(AND(ISNUMBER(AG101),ISNUMBER(AG98)),IFERROR(AG101/AG98,""),"")</f>
        <v>0.167571173532372</v>
      </c>
      <c r="AH94" s="30" t="n">
        <f aca="false">IF(AND(ISNUMBER(AH101),ISNUMBER(AH98)),IFERROR(AH101/AH98,""),"")</f>
        <v>0.175803196851024</v>
      </c>
      <c r="AI94" s="30" t="n">
        <f aca="false">IF(AND(ISNUMBER(AI101),ISNUMBER(AI98)),IFERROR(AI101/AI98,""),"")</f>
        <v>0.186026557206795</v>
      </c>
      <c r="AJ94" s="30" t="n">
        <f aca="false">IF(AND(ISNUMBER(AJ101),ISNUMBER(AJ98)),IFERROR(AJ101/AJ98,""),"")</f>
        <v>0.177175210519227</v>
      </c>
      <c r="AK94" s="30" t="n">
        <f aca="false">IF(AND(ISNUMBER(AK101),ISNUMBER(AK98)),IFERROR(AK101/AK98,""),"")</f>
        <v>0.172137605323888</v>
      </c>
      <c r="AL94" s="30" t="n">
        <f aca="false">IF(AND(ISNUMBER(AL101),ISNUMBER(AL98)),IFERROR(AL101/AL98,""),"")</f>
        <v>0.173545348554365</v>
      </c>
      <c r="AM94" s="30" t="n">
        <f aca="false">IF(AND(ISNUMBER(AM101),ISNUMBER(AM98)),IFERROR(AM101/AM98,""),"")</f>
        <v>0.176895024584848</v>
      </c>
      <c r="AN94" s="30" t="n">
        <f aca="false">IF(AND(ISNUMBER(AN101),ISNUMBER(AN98)),IFERROR(AN101/AN98,""),"")</f>
        <v>0.180823175571602</v>
      </c>
      <c r="AO94" s="30" t="n">
        <f aca="false">IF(AND(ISNUMBER(AO101),ISNUMBER(AO98)),IFERROR(AO101/AO98,""),"")</f>
        <v>0.174933287824252</v>
      </c>
      <c r="AP94" s="30" t="n">
        <f aca="false">IF(AND(ISNUMBER(AP101),ISNUMBER(AP98)),IFERROR(AP101/AP98,""),"")</f>
        <v>0.175488987909619</v>
      </c>
      <c r="AQ94" s="30" t="n">
        <f aca="false">IF(AND(ISNUMBER(AQ101),ISNUMBER(AQ98)),IFERROR(AQ101/AQ98,""),"")</f>
        <v>0.164039229662677</v>
      </c>
      <c r="AR94" s="30" t="n">
        <f aca="false">IF(AND(ISNUMBER(AR101),ISNUMBER(AR98)),IFERROR(AR101/AR98,""),"")</f>
        <v>0.173542928333513</v>
      </c>
      <c r="AS94" s="30" t="n">
        <f aca="false">IF(AND(ISNUMBER(AS101),ISNUMBER(AS98)),IFERROR(AS101/AS98,""),"")</f>
        <v>0.171955952792455</v>
      </c>
      <c r="AT94" s="30" t="n">
        <f aca="false">IF(AND(ISNUMBER(AT101),ISNUMBER(AT98)),IFERROR(AT101/AT98,""),"")</f>
        <v>0.151083209084345</v>
      </c>
      <c r="AU94" s="30" t="n">
        <f aca="false">IF(AND(ISNUMBER(AU101),ISNUMBER(AU98)),IFERROR(AU101/AU98,""),"")</f>
        <v>0.194221164048549</v>
      </c>
      <c r="AV94" s="30" t="n">
        <f aca="false">IF(AND(ISNUMBER(AV101),ISNUMBER(AV98)),IFERROR(AV101/AV98,""),"")</f>
        <v>0.170454598782668</v>
      </c>
      <c r="AW94" s="30" t="n">
        <f aca="false">IF(AND(ISNUMBER(AW101),ISNUMBER(AW98)),IFERROR(AW101/AW98,""),"")</f>
        <v>0.170944298545782</v>
      </c>
      <c r="AX94" s="30" t="n">
        <f aca="false">IF(AND(ISNUMBER(AX101),ISNUMBER(AX98)),IFERROR(AX101/AX98,""),"")</f>
        <v>0.187003172992711</v>
      </c>
      <c r="AY94" s="30" t="n">
        <f aca="false">IF(AND(ISNUMBER(AY101),ISNUMBER(AY98)),IFERROR(AY101/AY98,""),"")</f>
        <v>0.17791668720307</v>
      </c>
      <c r="AZ94" s="30" t="n">
        <f aca="false">IF(AND(ISNUMBER(AZ101),ISNUMBER(AZ98)),IFERROR(AZ101/AZ98,""),"")</f>
        <v>0.177820129868753</v>
      </c>
      <c r="BA94" s="30" t="n">
        <f aca="false">IF(AND(ISNUMBER(BA101),ISNUMBER(BA98)),IFERROR(BA101/BA98,""),"")</f>
        <v>0.17563042035876</v>
      </c>
      <c r="BB94" s="30" t="n">
        <f aca="false">IF(AND(ISNUMBER(BB101),ISNUMBER(BB98)),IFERROR(BB101/BB98,""),"")</f>
        <v>0.179303332507898</v>
      </c>
      <c r="BC94" s="30" t="n">
        <f aca="false">IF(AND(ISNUMBER(BC101),ISNUMBER(BC98)),IFERROR(BC101/BC98,""),"")</f>
        <v>0.186375659487338</v>
      </c>
      <c r="BD94" s="30" t="n">
        <f aca="false">IF(AND(ISNUMBER(BD101),ISNUMBER(BD98)),IFERROR(BD101/BD98,""),"")</f>
        <v>0.164160849868136</v>
      </c>
      <c r="BE94" s="30" t="n">
        <f aca="false">IF(AND(ISNUMBER(BE101),ISNUMBER(BE98)),IFERROR(BE101/BE98,""),"")</f>
        <v>0.161870882555379</v>
      </c>
      <c r="BF94" s="30" t="n">
        <f aca="false">IF(AND(ISNUMBER(BF101),ISNUMBER(BF98)),IFERROR(BF101/BF98,""),"")</f>
        <v>0.154001226957637</v>
      </c>
      <c r="BG94" s="30" t="n">
        <f aca="false">IF(AND(ISNUMBER(BG101),ISNUMBER(BG98)),IFERROR(BG101/BG98,""),"")</f>
        <v>0.165698208866279</v>
      </c>
      <c r="BH94" s="30" t="n">
        <f aca="false">IF(AND(ISNUMBER(BH101),ISNUMBER(BH98)),IFERROR(BH101/BH98,""),"")</f>
        <v>0.184187851799361</v>
      </c>
      <c r="BI94" s="30" t="n">
        <f aca="false">IF(AND(ISNUMBER(BI101),ISNUMBER(BI98)),IFERROR(BI101/BI98,""),"")</f>
        <v>0.159080368864316</v>
      </c>
      <c r="BJ94" s="30" t="n">
        <f aca="false">IF(AND(ISNUMBER(BJ101),ISNUMBER(BJ98)),IFERROR(BJ101/BJ98,""),"")</f>
        <v>0.178955100414717</v>
      </c>
      <c r="BK94" s="30" t="n">
        <f aca="false">IF(AND(ISNUMBER(BK101),ISNUMBER(BK98)),IFERROR(BK101/BK98,""),"")</f>
        <v>0.186871227095607</v>
      </c>
      <c r="BL94" s="30" t="n">
        <f aca="false">IF(AND(ISNUMBER(BL101),ISNUMBER(BL98)),IFERROR(BL101/BL98,""),"")</f>
        <v>0.177941481180753</v>
      </c>
      <c r="BM94" s="30" t="n">
        <f aca="false">IF(AND(ISNUMBER(BM101),ISNUMBER(BM98)),IFERROR(BM101/BM98,""),"")</f>
        <v>0.185816460518785</v>
      </c>
      <c r="BN94" s="30" t="n">
        <f aca="false">IF(AND(ISNUMBER(BN101),ISNUMBER(BN98)),IFERROR(BN101/BN98,""),"")</f>
        <v>0.170235347683419</v>
      </c>
      <c r="BO94" s="30" t="n">
        <f aca="false">IF(AND(ISNUMBER(BO101),ISNUMBER(BO98)),IFERROR(BO101/BO98,""),"")</f>
        <v>0.174174549456486</v>
      </c>
      <c r="BP94" s="30" t="n">
        <f aca="false">IF(AND(ISNUMBER(BP101),ISNUMBER(BP98)),IFERROR(BP101/BP98,""),"")</f>
        <v>0.172883546339274</v>
      </c>
      <c r="BQ94" s="30" t="n">
        <f aca="false">IF(AND(ISNUMBER(BQ101),ISNUMBER(BQ98)),IFERROR(BQ101/BQ98,""),"")</f>
        <v>0.175564829434563</v>
      </c>
      <c r="BR94" s="30" t="n">
        <f aca="false">IF(AND(ISNUMBER(BR101),ISNUMBER(BR98)),IFERROR(BR101/BR98,""),"")</f>
        <v>0.173610153927988</v>
      </c>
      <c r="BS94" s="30" t="n">
        <f aca="false">IF(AND(ISNUMBER(BS101),ISNUMBER(BS98)),IFERROR(BS101/BS98,""),"")</f>
        <v>0.172753274671622</v>
      </c>
      <c r="BT94" s="30" t="n">
        <f aca="false">IF(AND(ISNUMBER(BT101),ISNUMBER(BT98)),IFERROR(BT101/BT98,""),"")</f>
        <v>0.16742724542106</v>
      </c>
      <c r="BU94" s="30" t="n">
        <f aca="false">IF(AND(ISNUMBER(BU101),ISNUMBER(BU98)),IFERROR(BU101/BU98,""),"")</f>
        <v>0.171008036143214</v>
      </c>
      <c r="BV94" s="30" t="n">
        <f aca="false">IF(AND(ISNUMBER(BV101),ISNUMBER(BV98)),IFERROR(BV101/BV98,""),"")</f>
        <v>0.171116715911817</v>
      </c>
      <c r="BW94" s="30" t="n">
        <f aca="false">IF(AND(ISNUMBER(BW101),ISNUMBER(BW98)),IFERROR(BW101/BW98,""),"")</f>
        <v>0.165508212411186</v>
      </c>
      <c r="BX94" s="30" t="n">
        <f aca="false">IF(AND(ISNUMBER(BX101),ISNUMBER(BX98)),IFERROR(BX101/BX98,""),"")</f>
        <v>0.159254146758808</v>
      </c>
      <c r="BY94" s="30" t="n">
        <f aca="false">IF(AND(ISNUMBER(BY101),ISNUMBER(BY98)),IFERROR(BY101/BY98,""),"")</f>
        <v>0.159789108665652</v>
      </c>
      <c r="BZ94" s="23" t="n">
        <f aca="false">IF(AND(ISNUMBER(BZ101),ISNUMBER(BZ98)),IFERROR(BZ101/BZ98,""),"")</f>
        <v>0.159919367286754</v>
      </c>
      <c r="CA94" s="23" t="n">
        <f aca="false">IF(AND(ISNUMBER(CA101),ISNUMBER(CA98)),IFERROR(CA101/CA98,""),"")</f>
        <v>0.160927469758921</v>
      </c>
      <c r="CB94" s="23" t="n">
        <f aca="false">IF(AND(ISNUMBER(CB101),ISNUMBER(CB98)),IFERROR(CB101/CB98,""),"")</f>
        <v>0.161087144171545</v>
      </c>
      <c r="CC94" s="23" t="n">
        <f aca="false">IF(AND(ISNUMBER(CC101),ISNUMBER(CC98)),IFERROR(CC101/CC98,""),"")</f>
        <v>0.158170460398294</v>
      </c>
      <c r="CD94" s="23" t="n">
        <f aca="false">IF(AND(ISNUMBER(CD101),ISNUMBER(CD98)),IFERROR(CD101/CD98,""),"")</f>
        <v>0.160108637408494</v>
      </c>
      <c r="CE94" s="23" t="n">
        <f aca="false">IF(AND(ISNUMBER(CE101),ISNUMBER(CE98)),IFERROR(CE101/CE98,""),"")</f>
        <v>0.16192776344527</v>
      </c>
      <c r="CH94" s="33" t="n">
        <f aca="false">IFERROR(AVERAGE(CA94,CB94,CC94,CD94,CE94),"n/m")</f>
        <v>0.160444295036505</v>
      </c>
      <c r="CI94" s="33" t="n">
        <f aca="false">IFERROR(AVERAGE(BB94,BG94,BL94,BQ94,BV94),"n/m")</f>
        <v>0.173924913580262</v>
      </c>
      <c r="CJ94" s="33" t="n">
        <f aca="false">IFERROR(AVERAGE(AC94,AH94,AM94,AR94,AW94,BB94,BG94,BL94,BQ94,BV94),"n/m")</f>
        <v>0.17485688143488</v>
      </c>
      <c r="CK94" s="33" t="n">
        <f aca="false">IFERROR(AVERAGE(C94,D94,E94,F94,G94,H94,I94,N94,S94,X94,AC94,AH94,AM94,AR94,AW94,BB94,BG94,BL94,BQ94,BV94),"n/m")</f>
        <v>0.177396465409486</v>
      </c>
    </row>
    <row r="95" customFormat="false" ht="15" hidden="false" customHeight="true" outlineLevel="0" collapsed="false">
      <c r="B95" s="29" t="s">
        <v>206</v>
      </c>
      <c r="C95" s="30" t="n">
        <f aca="false">IF(AND(ISNUMBER(C115),ISNUMBER(C98)),IFERROR(C115/C98,""),"")</f>
        <v>0.00350085417782197</v>
      </c>
      <c r="D95" s="30" t="n">
        <f aca="false">IF(AND(ISNUMBER(D115),ISNUMBER(D98)),IFERROR(D115/D98,""),"")</f>
        <v>0.001295469400934</v>
      </c>
      <c r="E95" s="30" t="n">
        <f aca="false">IF(AND(ISNUMBER(E115),ISNUMBER(E98)),IFERROR(E115/E98,""),"")</f>
        <v>0.000243840871507881</v>
      </c>
      <c r="F95" s="30" t="n">
        <f aca="false">IF(AND(ISNUMBER(F115),ISNUMBER(F98)),IFERROR(F115/F98,""),"")</f>
        <v>0.000336246228840638</v>
      </c>
      <c r="G95" s="30" t="n">
        <f aca="false">IF(AND(ISNUMBER(G115),ISNUMBER(G98)),IFERROR(G115/G98,""),"")</f>
        <v>0.00219279764027098</v>
      </c>
      <c r="H95" s="30" t="n">
        <f aca="false">IF(AND(ISNUMBER(H115),ISNUMBER(H98)),IFERROR(H115/H98,""),"")</f>
        <v>0.00346062380129979</v>
      </c>
      <c r="I95" s="30" t="n">
        <f aca="false">IF(AND(ISNUMBER(I115),ISNUMBER(I98)),IFERROR(I115/I98,""),"")</f>
        <v>0.00439963581535348</v>
      </c>
      <c r="J95" s="30" t="n">
        <f aca="false">IF(AND(ISNUMBER(J115),ISNUMBER(J98)),IFERROR(J115/J98,""),"")</f>
        <v>0.00505335119405053</v>
      </c>
      <c r="K95" s="30" t="n">
        <f aca="false">IF(AND(ISNUMBER(K115),ISNUMBER(K98)),IFERROR(K115/K98,""),"")</f>
        <v>0.00445925252831205</v>
      </c>
      <c r="L95" s="30" t="n">
        <f aca="false">IF(AND(ISNUMBER(L115),ISNUMBER(L98)),IFERROR(L115/L98,""),"")</f>
        <v>0.00487023317972695</v>
      </c>
      <c r="M95" s="30" t="n">
        <f aca="false">IF(AND(ISNUMBER(M115),ISNUMBER(M98)),IFERROR(M115/M98,""),"")</f>
        <v>0.0057823578938579</v>
      </c>
      <c r="N95" s="30" t="n">
        <f aca="false">IF(AND(ISNUMBER(N115),ISNUMBER(N98)),IFERROR(N115/N98,""),"")</f>
        <v>0.00507257942200153</v>
      </c>
      <c r="O95" s="30" t="n">
        <f aca="false">IF(AND(ISNUMBER(O115),ISNUMBER(O98)),IFERROR(O115/O98,""),"")</f>
        <v>0.0097441778537324</v>
      </c>
      <c r="P95" s="30" t="n">
        <f aca="false">IF(AND(ISNUMBER(P115),ISNUMBER(P98)),IFERROR(P115/P98,""),"")</f>
        <v>0.00563011990135775</v>
      </c>
      <c r="Q95" s="30" t="n">
        <f aca="false">IF(AND(ISNUMBER(Q115),ISNUMBER(Q98)),IFERROR(Q115/Q98,""),"")</f>
        <v>0.00578978112222108</v>
      </c>
      <c r="R95" s="30" t="n">
        <f aca="false">IF(AND(ISNUMBER(R115),ISNUMBER(R98)),IFERROR(R115/R98,""),"")</f>
        <v>0.00188896835635799</v>
      </c>
      <c r="S95" s="30" t="n">
        <f aca="false">IF(AND(ISNUMBER(S115),ISNUMBER(S98)),IFERROR(S115/S98,""),"")</f>
        <v>0.00567511929143142</v>
      </c>
      <c r="T95" s="30" t="n">
        <f aca="false">IF(AND(ISNUMBER(T115),ISNUMBER(T98)),IFERROR(T115/T98,""),"")</f>
        <v>0.00530230997259355</v>
      </c>
      <c r="U95" s="30" t="n">
        <f aca="false">IF(AND(ISNUMBER(U115),ISNUMBER(U98)),IFERROR(U115/U98,""),"")</f>
        <v>0.00465306206484776</v>
      </c>
      <c r="V95" s="30" t="n">
        <f aca="false">IF(AND(ISNUMBER(V115),ISNUMBER(V98)),IFERROR(V115/V98,""),"")</f>
        <v>0.00538003129473649</v>
      </c>
      <c r="W95" s="30" t="n">
        <f aca="false">IF(AND(ISNUMBER(W115),ISNUMBER(W98)),IFERROR(W115/W98,""),"")</f>
        <v>0.00503237269983449</v>
      </c>
      <c r="X95" s="30" t="n">
        <f aca="false">IF(AND(ISNUMBER(X115),ISNUMBER(X98)),IFERROR(X115/X98,""),"")</f>
        <v>0.00508813374522988</v>
      </c>
      <c r="Y95" s="30" t="n">
        <f aca="false">IF(AND(ISNUMBER(Y115),ISNUMBER(Y98)),IFERROR(Y115/Y98,""),"")</f>
        <v>0.00548612630499597</v>
      </c>
      <c r="Z95" s="30" t="n">
        <f aca="false">IF(AND(ISNUMBER(Z115),ISNUMBER(Z98)),IFERROR(Z115/Z98,""),"")</f>
        <v>0.00458009171590883</v>
      </c>
      <c r="AA95" s="30" t="n">
        <f aca="false">IF(AND(ISNUMBER(AA115),ISNUMBER(AA98)),IFERROR(AA115/AA98,""),"")</f>
        <v>0.00454667999685468</v>
      </c>
      <c r="AB95" s="30" t="n">
        <f aca="false">IF(AND(ISNUMBER(AB115),ISNUMBER(AB98)),IFERROR(AB115/AB98,""),"")</f>
        <v>0.00420865457928593</v>
      </c>
      <c r="AC95" s="30" t="n">
        <f aca="false">IF(AND(ISNUMBER(AC115),ISNUMBER(AC98)),IFERROR(AC115/AC98,""),"")</f>
        <v>0.00467499553136113</v>
      </c>
      <c r="AD95" s="30" t="n">
        <f aca="false">IF(AND(ISNUMBER(AD115),ISNUMBER(AD98)),IFERROR(AD115/AD98,""),"")</f>
        <v>0.00422499941764309</v>
      </c>
      <c r="AE95" s="30" t="n">
        <f aca="false">IF(AND(ISNUMBER(AE115),ISNUMBER(AE98)),IFERROR(AE115/AE98,""),"")</f>
        <v>0.00450011799586065</v>
      </c>
      <c r="AF95" s="30" t="n">
        <f aca="false">IF(AND(ISNUMBER(AF115),ISNUMBER(AF98)),IFERROR(AF115/AF98,""),"")</f>
        <v>0.00535632183908046</v>
      </c>
      <c r="AG95" s="30" t="n">
        <f aca="false">IF(AND(ISNUMBER(AG115),ISNUMBER(AG98)),IFERROR(AG115/AG98,""),"")</f>
        <v>0.00524186656030995</v>
      </c>
      <c r="AH95" s="30" t="n">
        <f aca="false">IF(AND(ISNUMBER(AH115),ISNUMBER(AH98)),IFERROR(AH115/AH98,""),"")</f>
        <v>0.00486289138405824</v>
      </c>
      <c r="AI95" s="30" t="n">
        <f aca="false">IF(AND(ISNUMBER(AI115),ISNUMBER(AI98)),IFERROR(AI115/AI98,""),"")</f>
        <v>0.00536089612027398</v>
      </c>
      <c r="AJ95" s="30" t="n">
        <f aca="false">IF(AND(ISNUMBER(AJ115),ISNUMBER(AJ98)),IFERROR(AJ115/AJ98,""),"")</f>
        <v>0.00532045833507508</v>
      </c>
      <c r="AK95" s="30" t="n">
        <f aca="false">IF(AND(ISNUMBER(AK115),ISNUMBER(AK98)),IFERROR(AK115/AK98,""),"")</f>
        <v>0.00531100735254656</v>
      </c>
      <c r="AL95" s="30" t="n">
        <f aca="false">IF(AND(ISNUMBER(AL115),ISNUMBER(AL98)),IFERROR(AL115/AL98,""),"")</f>
        <v>0.00492782311841035</v>
      </c>
      <c r="AM95" s="30" t="n">
        <f aca="false">IF(AND(ISNUMBER(AM115),ISNUMBER(AM98)),IFERROR(AM115/AM98,""),"")</f>
        <v>0.00522185427297084</v>
      </c>
      <c r="AN95" s="30" t="n">
        <f aca="false">IF(AND(ISNUMBER(AN115),ISNUMBER(AN98)),IFERROR(AN115/AN98,""),"")</f>
        <v>0.00523226628567015</v>
      </c>
      <c r="AO95" s="30" t="n">
        <f aca="false">IF(AND(ISNUMBER(AO115),ISNUMBER(AO98)),IFERROR(AO115/AO98,""),"")</f>
        <v>0.00494135534317984</v>
      </c>
      <c r="AP95" s="30" t="n">
        <f aca="false">IF(AND(ISNUMBER(AP115),ISNUMBER(AP98)),IFERROR(AP115/AP98,""),"")</f>
        <v>0.00504767773010422</v>
      </c>
      <c r="AQ95" s="30" t="n">
        <f aca="false">IF(AND(ISNUMBER(AQ115),ISNUMBER(AQ98)),IFERROR(AQ115/AQ98,""),"")</f>
        <v>0.00491201763894454</v>
      </c>
      <c r="AR95" s="30" t="n">
        <f aca="false">IF(AND(ISNUMBER(AR115),ISNUMBER(AR98)),IFERROR(AR115/AR98,""),"")</f>
        <v>0.00502712771210232</v>
      </c>
      <c r="AS95" s="30" t="n">
        <f aca="false">IF(AND(ISNUMBER(AS115),ISNUMBER(AS98)),IFERROR(AS115/AS98,""),"")</f>
        <v>0.00522640857241618</v>
      </c>
      <c r="AT95" s="30" t="n">
        <f aca="false">IF(AND(ISNUMBER(AT115),ISNUMBER(AT98)),IFERROR(AT115/AT98,""),"")</f>
        <v>0.00561576943944838</v>
      </c>
      <c r="AU95" s="30" t="n">
        <f aca="false">IF(AND(ISNUMBER(AU115),ISNUMBER(AU98)),IFERROR(AU115/AU98,""),"")</f>
        <v>0.00646981185787117</v>
      </c>
      <c r="AV95" s="30" t="n">
        <f aca="false">IF(AND(ISNUMBER(AV115),ISNUMBER(AV98)),IFERROR(AV115/AV98,""),"")</f>
        <v>0.00553524583624683</v>
      </c>
      <c r="AW95" s="30" t="n">
        <f aca="false">IF(AND(ISNUMBER(AW115),ISNUMBER(AW98)),IFERROR(AW115/AW98,""),"")</f>
        <v>0.00567092835010904</v>
      </c>
      <c r="AX95" s="30" t="n">
        <f aca="false">IF(AND(ISNUMBER(AX115),ISNUMBER(AX98)),IFERROR(AX115/AX98,""),"")</f>
        <v>0.0053337863901106</v>
      </c>
      <c r="AY95" s="30" t="n">
        <f aca="false">IF(AND(ISNUMBER(AY115),ISNUMBER(AY98)),IFERROR(AY115/AY98,""),"")</f>
        <v>0.00437586118962565</v>
      </c>
      <c r="AZ95" s="30" t="n">
        <f aca="false">IF(AND(ISNUMBER(AZ115),ISNUMBER(AZ98)),IFERROR(AZ115/AZ98,""),"")</f>
        <v>0.004415876804881</v>
      </c>
      <c r="BA95" s="30" t="n">
        <f aca="false">IF(AND(ISNUMBER(BA115),ISNUMBER(BA98)),IFERROR(BA115/BA98,""),"")</f>
        <v>0.00530797649100353</v>
      </c>
      <c r="BB95" s="30" t="n">
        <f aca="false">IF(AND(ISNUMBER(BB115),ISNUMBER(BB98)),IFERROR(BB115/BB98,""),"")</f>
        <v>0.00485506104470108</v>
      </c>
      <c r="BC95" s="30" t="n">
        <f aca="false">IF(AND(ISNUMBER(BC115),ISNUMBER(BC98)),IFERROR(BC115/BC98,""),"")</f>
        <v>0.00737035095841074</v>
      </c>
      <c r="BD95" s="30" t="n">
        <f aca="false">IF(AND(ISNUMBER(BD115),ISNUMBER(BD98)),IFERROR(BD115/BD98,""),"")</f>
        <v>0.00601507387535193</v>
      </c>
      <c r="BE95" s="30" t="n">
        <f aca="false">IF(AND(ISNUMBER(BE115),ISNUMBER(BE98)),IFERROR(BE115/BE98,""),"")</f>
        <v>0.00519728617381411</v>
      </c>
      <c r="BF95" s="30" t="n">
        <f aca="false">IF(AND(ISNUMBER(BF115),ISNUMBER(BF98)),IFERROR(BF115/BF98,""),"")</f>
        <v>0.00464373939944688</v>
      </c>
      <c r="BG95" s="30" t="n">
        <f aca="false">IF(AND(ISNUMBER(BG115),ISNUMBER(BG98)),IFERROR(BG115/BG98,""),"")</f>
        <v>0.00572651995497034</v>
      </c>
      <c r="BH95" s="30" t="n">
        <f aca="false">IF(AND(ISNUMBER(BH115),ISNUMBER(BH98)),IFERROR(BH115/BH98,""),"")</f>
        <v>0.00452880023835791</v>
      </c>
      <c r="BI95" s="30" t="n">
        <f aca="false">IF(AND(ISNUMBER(BI115),ISNUMBER(BI98)),IFERROR(BI115/BI98,""),"")</f>
        <v>0.00471475239190452</v>
      </c>
      <c r="BJ95" s="30" t="n">
        <f aca="false">IF(AND(ISNUMBER(BJ115),ISNUMBER(BJ98)),IFERROR(BJ115/BJ98,""),"")</f>
        <v>0.00602709634224279</v>
      </c>
      <c r="BK95" s="30" t="n">
        <f aca="false">IF(AND(ISNUMBER(BK115),ISNUMBER(BK98)),IFERROR(BK115/BK98,""),"")</f>
        <v>0.00540660603322986</v>
      </c>
      <c r="BL95" s="30" t="n">
        <f aca="false">IF(AND(ISNUMBER(BL115),ISNUMBER(BL98)),IFERROR(BL115/BL98,""),"")</f>
        <v>0.00521376433785193</v>
      </c>
      <c r="BM95" s="30" t="n">
        <f aca="false">IF(AND(ISNUMBER(BM115),ISNUMBER(BM98)),IFERROR(BM115/BM98,""),"")</f>
        <v>0.00544533855145739</v>
      </c>
      <c r="BN95" s="30" t="n">
        <f aca="false">IF(AND(ISNUMBER(BN115),ISNUMBER(BN98)),IFERROR(BN115/BN98,""),"")</f>
        <v>0.00479592210551657</v>
      </c>
      <c r="BO95" s="30" t="n">
        <f aca="false">IF(AND(ISNUMBER(BO115),ISNUMBER(BO98)),IFERROR(BO115/BO98,""),"")</f>
        <v>0.00466114249893676</v>
      </c>
      <c r="BP95" s="30" t="n">
        <f aca="false">IF(AND(ISNUMBER(BP115),ISNUMBER(BP98)),IFERROR(BP115/BP98,""),"")</f>
        <v>0.00462381556036758</v>
      </c>
      <c r="BQ95" s="30" t="n">
        <f aca="false">IF(AND(ISNUMBER(BQ115),ISNUMBER(BQ98)),IFERROR(BQ115/BQ98,""),"")</f>
        <v>0.00486692870746557</v>
      </c>
      <c r="BR95" s="30" t="n">
        <f aca="false">IF(AND(ISNUMBER(BR115),ISNUMBER(BR98)),IFERROR(BR115/BR98,""),"")</f>
        <v>0.00453397423079686</v>
      </c>
      <c r="BS95" s="30" t="n">
        <f aca="false">IF(AND(ISNUMBER(BS115),ISNUMBER(BS98)),IFERROR(BS115/BS98,""),"")</f>
        <v>0.00546537683773296</v>
      </c>
      <c r="BT95" s="30" t="n">
        <f aca="false">IF(AND(ISNUMBER(BT115),ISNUMBER(BT98)),IFERROR(BT115/BT98,""),"")</f>
        <v>0.00668792278782249</v>
      </c>
      <c r="BU95" s="30" t="n">
        <f aca="false">IF(AND(ISNUMBER(BU115),ISNUMBER(BU98)),IFERROR(BU115/BU98,""),"")</f>
        <v>0.0132585200564572</v>
      </c>
      <c r="BV95" s="30" t="n">
        <f aca="false">IF(AND(ISNUMBER(BV115),ISNUMBER(BV98)),IFERROR(BV115/BV98,""),"")</f>
        <v>0.00766569960071741</v>
      </c>
      <c r="BW95" s="30" t="n">
        <f aca="false">IF(AND(ISNUMBER(BW115),ISNUMBER(BW98)),IFERROR(BW115/BW98,""),"")</f>
        <v>0.00958439887933126</v>
      </c>
      <c r="BX95" s="30" t="n">
        <f aca="false">IF(AND(ISNUMBER(BX115),ISNUMBER(BX98)),IFERROR(BX115/BX98,""),"")</f>
        <v>0.00815649775788991</v>
      </c>
      <c r="BY95" s="30" t="n">
        <f aca="false">IF(AND(ISNUMBER(BY115),ISNUMBER(BY98)),IFERROR(BY115/BY98,""),"")</f>
        <v>0.00843706875199038</v>
      </c>
      <c r="BZ95" s="23" t="n">
        <f aca="false">SUM(BW115,BX115,BY115)/SUM(BW98,BX98,BY98)</f>
        <v>0.00868061638198846</v>
      </c>
      <c r="CA95" s="23" t="n">
        <f aca="false">CA115/CA98</f>
        <v>0.00868061638198846</v>
      </c>
      <c r="CB95" s="31" t="n">
        <v>0.008</v>
      </c>
      <c r="CC95" s="23" t="n">
        <f aca="false">CB95</f>
        <v>0.008</v>
      </c>
      <c r="CD95" s="23" t="n">
        <f aca="false">CC95</f>
        <v>0.008</v>
      </c>
      <c r="CE95" s="23" t="n">
        <f aca="false">CD95</f>
        <v>0.008</v>
      </c>
    </row>
    <row r="96" customFormat="false" ht="15" hidden="false" customHeight="true" outlineLevel="0" collapsed="false"/>
    <row r="97" customFormat="false" ht="15" hidden="false" customHeight="true" outlineLevel="0" collapsed="false">
      <c r="B97" s="11" t="s">
        <v>207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 t="s">
        <v>208</v>
      </c>
    </row>
    <row r="98" customFormat="false" ht="15" hidden="false" customHeight="true" outlineLevel="0" collapsed="false">
      <c r="B98" s="49" t="s">
        <v>209</v>
      </c>
      <c r="C98" s="52" t="n">
        <v>392.19</v>
      </c>
      <c r="D98" s="52" t="n">
        <v>507.924</v>
      </c>
      <c r="E98" s="52" t="n">
        <v>582.347</v>
      </c>
      <c r="F98" s="52" t="n">
        <v>538.296</v>
      </c>
      <c r="G98" s="52" t="n">
        <v>617.02</v>
      </c>
      <c r="H98" s="52" t="n">
        <v>764.891</v>
      </c>
      <c r="I98" s="52" t="n">
        <v>897.347</v>
      </c>
      <c r="J98" s="52" t="n">
        <v>216.49</v>
      </c>
      <c r="K98" s="52" t="n">
        <v>237.708</v>
      </c>
      <c r="L98" s="52" t="n">
        <v>267.133</v>
      </c>
      <c r="M98" s="52" t="n">
        <v>287.426</v>
      </c>
      <c r="N98" s="52" t="n">
        <v>1008.757</v>
      </c>
      <c r="O98" s="52" t="n">
        <v>266.826</v>
      </c>
      <c r="P98" s="52" t="n">
        <v>282.232</v>
      </c>
      <c r="Q98" s="52" t="n">
        <v>291.03</v>
      </c>
      <c r="R98" s="52" t="n">
        <v>292.223</v>
      </c>
      <c r="S98" s="52" t="n">
        <v>1132.311</v>
      </c>
      <c r="T98" s="52" t="n">
        <v>268.185</v>
      </c>
      <c r="U98" s="52" t="n">
        <v>291.421</v>
      </c>
      <c r="V98" s="52" t="n">
        <v>300.37</v>
      </c>
      <c r="W98" s="52" t="n">
        <v>328.672</v>
      </c>
      <c r="X98" s="52" t="n">
        <v>1188.648</v>
      </c>
      <c r="Y98" s="52" t="n">
        <v>306.227</v>
      </c>
      <c r="Z98" s="52" t="n">
        <v>350.648</v>
      </c>
      <c r="AA98" s="52" t="n">
        <v>356.084</v>
      </c>
      <c r="AB98" s="52" t="n">
        <v>363.299</v>
      </c>
      <c r="AC98" s="52" t="n">
        <v>1376.258</v>
      </c>
      <c r="AD98" s="52" t="n">
        <v>343.432</v>
      </c>
      <c r="AE98" s="52" t="n">
        <v>368.657</v>
      </c>
      <c r="AF98" s="52" t="n">
        <v>391.5</v>
      </c>
      <c r="AG98" s="52" t="n">
        <v>421.224</v>
      </c>
      <c r="AH98" s="52" t="n">
        <v>1524.813</v>
      </c>
      <c r="AI98" s="52" t="n">
        <v>404.41</v>
      </c>
      <c r="AJ98" s="52" t="n">
        <v>430.602</v>
      </c>
      <c r="AK98" s="52" t="n">
        <v>465.825</v>
      </c>
      <c r="AL98" s="52" t="n">
        <v>476.884</v>
      </c>
      <c r="AM98" s="52" t="n">
        <v>1777.721</v>
      </c>
      <c r="AN98" s="52" t="n">
        <v>466.146</v>
      </c>
      <c r="AO98" s="52" t="n">
        <v>515.648</v>
      </c>
      <c r="AP98" s="52" t="n">
        <v>532.324</v>
      </c>
      <c r="AQ98" s="52" t="n">
        <v>541.529</v>
      </c>
      <c r="AR98" s="52" t="n">
        <v>2055.647</v>
      </c>
      <c r="AS98" s="52" t="n">
        <v>506.275</v>
      </c>
      <c r="AT98" s="52" t="n">
        <v>468.146</v>
      </c>
      <c r="AU98" s="52" t="n">
        <v>386.41</v>
      </c>
      <c r="AV98" s="52" t="n">
        <v>426.178</v>
      </c>
      <c r="AW98" s="52" t="n">
        <v>1787.009</v>
      </c>
      <c r="AX98" s="52" t="n">
        <v>417.902</v>
      </c>
      <c r="AY98" s="52" t="n">
        <v>466.651</v>
      </c>
      <c r="AZ98" s="52" t="n">
        <v>471.707</v>
      </c>
      <c r="BA98" s="52" t="n">
        <v>509.422</v>
      </c>
      <c r="BB98" s="52" t="n">
        <v>1865.682</v>
      </c>
      <c r="BC98" s="52" t="n">
        <v>490.343</v>
      </c>
      <c r="BD98" s="52" t="n">
        <v>538.813</v>
      </c>
      <c r="BE98" s="52" t="n">
        <v>569.528</v>
      </c>
      <c r="BF98" s="52" t="n">
        <v>609.638</v>
      </c>
      <c r="BG98" s="52" t="n">
        <v>2208.322</v>
      </c>
      <c r="BH98" s="52" t="n">
        <v>620.915</v>
      </c>
      <c r="BI98" s="52" t="n">
        <v>687.841</v>
      </c>
      <c r="BJ98" s="52" t="n">
        <v>722.902</v>
      </c>
      <c r="BK98" s="52" t="n">
        <v>936.447</v>
      </c>
      <c r="BL98" s="52" t="n">
        <v>2968.105</v>
      </c>
      <c r="BM98" s="52" t="n">
        <v>896.363</v>
      </c>
      <c r="BN98" s="52" t="n">
        <v>955.395</v>
      </c>
      <c r="BO98" s="52" t="n">
        <v>992.246</v>
      </c>
      <c r="BP98" s="52" t="n">
        <v>1013.665</v>
      </c>
      <c r="BQ98" s="52" t="n">
        <v>3857.669</v>
      </c>
      <c r="BR98" s="52" t="n">
        <v>1030.222</v>
      </c>
      <c r="BS98" s="52" t="n">
        <v>1097.82</v>
      </c>
      <c r="BT98" s="52" t="n">
        <v>1147.591</v>
      </c>
      <c r="BU98" s="52" t="n">
        <v>1209.411</v>
      </c>
      <c r="BV98" s="52" t="n">
        <v>4485.044</v>
      </c>
      <c r="BW98" s="52" t="n">
        <v>1178.582</v>
      </c>
      <c r="BX98" s="52" t="n">
        <v>1375.713</v>
      </c>
      <c r="BY98" s="52" t="n">
        <v>1413.05</v>
      </c>
      <c r="BZ98" s="50" t="n">
        <f aca="false">BZ72</f>
        <v>1476.24624517847</v>
      </c>
      <c r="CA98" s="50" t="n">
        <f aca="false">SUM(BW98,BX98,BY98,BZ98)</f>
        <v>5443.59124517847</v>
      </c>
      <c r="CB98" s="50" t="n">
        <f aca="false">CB72</f>
        <v>6196.44043837219</v>
      </c>
      <c r="CC98" s="50" t="n">
        <f aca="false">CC72</f>
        <v>6877.61509407681</v>
      </c>
      <c r="CD98" s="50" t="n">
        <f aca="false">CD72</f>
        <v>7567.55894070183</v>
      </c>
      <c r="CE98" s="50" t="n">
        <f aca="false">CE72</f>
        <v>8318.45955794318</v>
      </c>
      <c r="CF98" s="19" t="s">
        <v>210</v>
      </c>
      <c r="CH98" s="20" t="n">
        <f aca="false">IFERROR((CE98/BV98)^(1/5)-1,"n/m")</f>
        <v>0.131501776910332</v>
      </c>
      <c r="CI98" s="20" t="n">
        <f aca="false">IFERROR((BV98/AW98)^(1/5)-1,"n/m")</f>
        <v>0.202065114786015</v>
      </c>
      <c r="CJ98" s="20" t="n">
        <f aca="false">IFERROR((BV98/X98)^(1/10)-1,"n/m")</f>
        <v>0.142013780234462</v>
      </c>
      <c r="CK98" s="20" t="n">
        <f aca="false">IFERROR((BV98/C98)^(1/19)-1,"n/m")</f>
        <v>0.136837605395663</v>
      </c>
    </row>
    <row r="99" customFormat="false" ht="15" hidden="false" customHeight="true" outlineLevel="0" collapsed="false">
      <c r="B99" s="29" t="s">
        <v>211</v>
      </c>
      <c r="C99" s="35" t="n">
        <v>249.677</v>
      </c>
      <c r="D99" s="35" t="n">
        <v>330.466</v>
      </c>
      <c r="E99" s="35" t="n">
        <v>371.852</v>
      </c>
      <c r="F99" s="35" t="n">
        <v>357.285</v>
      </c>
      <c r="G99" s="35" t="n">
        <v>394.673</v>
      </c>
      <c r="H99" s="35" t="n">
        <v>490.45</v>
      </c>
      <c r="I99" s="35" t="n">
        <v>569.911</v>
      </c>
      <c r="J99" s="35" t="n">
        <v>138.901</v>
      </c>
      <c r="K99" s="35" t="n">
        <v>148.26</v>
      </c>
      <c r="L99" s="35" t="n">
        <v>169.593</v>
      </c>
      <c r="M99" s="35" t="n">
        <v>180.822</v>
      </c>
      <c r="N99" s="35" t="n">
        <v>637.576</v>
      </c>
      <c r="O99" s="35" t="n">
        <v>174.709</v>
      </c>
      <c r="P99" s="35" t="n">
        <v>182.31</v>
      </c>
      <c r="Q99" s="35" t="n">
        <v>187.703</v>
      </c>
      <c r="R99" s="35" t="n">
        <v>189.277</v>
      </c>
      <c r="S99" s="35" t="n">
        <v>733.999</v>
      </c>
      <c r="T99" s="35" t="n">
        <v>174.388</v>
      </c>
      <c r="U99" s="35" t="n">
        <v>185.927</v>
      </c>
      <c r="V99" s="35" t="n">
        <v>192.278</v>
      </c>
      <c r="W99" s="35" t="n">
        <v>201.876</v>
      </c>
      <c r="X99" s="35" t="n">
        <v>754.469</v>
      </c>
      <c r="Y99" s="35" t="n">
        <v>194.031</v>
      </c>
      <c r="Z99" s="35" t="n">
        <v>216.619</v>
      </c>
      <c r="AA99" s="35" t="n">
        <v>222.501</v>
      </c>
      <c r="AB99" s="35" t="n">
        <v>227.615</v>
      </c>
      <c r="AC99" s="35" t="n">
        <v>860.766</v>
      </c>
      <c r="AD99" s="35" t="n">
        <v>218.015</v>
      </c>
      <c r="AE99" s="35" t="n">
        <v>228.275</v>
      </c>
      <c r="AF99" s="35" t="n">
        <v>242.603</v>
      </c>
      <c r="AG99" s="35" t="n">
        <v>261.195</v>
      </c>
      <c r="AH99" s="35" t="n">
        <v>950.088</v>
      </c>
      <c r="AI99" s="35" t="n">
        <v>249.619</v>
      </c>
      <c r="AJ99" s="35" t="n">
        <v>262.745</v>
      </c>
      <c r="AK99" s="35" t="n">
        <v>284.216</v>
      </c>
      <c r="AL99" s="35" t="n">
        <v>290.426</v>
      </c>
      <c r="AM99" s="35" t="n">
        <v>1087.006</v>
      </c>
      <c r="AN99" s="35" t="n">
        <v>283.909</v>
      </c>
      <c r="AO99" s="35" t="n">
        <v>306.261</v>
      </c>
      <c r="AP99" s="35" t="n">
        <v>319.493</v>
      </c>
      <c r="AQ99" s="35" t="n">
        <v>332.144</v>
      </c>
      <c r="AR99" s="35" t="n">
        <v>1241.807</v>
      </c>
      <c r="AS99" s="35" t="n">
        <v>308.228</v>
      </c>
      <c r="AT99" s="35" t="n">
        <v>289.256</v>
      </c>
      <c r="AU99" s="35" t="n">
        <v>242.927</v>
      </c>
      <c r="AV99" s="35" t="n">
        <v>264.471</v>
      </c>
      <c r="AW99" s="35" t="n">
        <v>1104.882</v>
      </c>
      <c r="AX99" s="35" t="n">
        <v>259.468</v>
      </c>
      <c r="AY99" s="35" t="n">
        <v>286.878</v>
      </c>
      <c r="AZ99" s="35" t="n">
        <v>286.99</v>
      </c>
      <c r="BA99" s="35" t="n">
        <v>304.923</v>
      </c>
      <c r="BB99" s="35" t="n">
        <v>1138.259</v>
      </c>
      <c r="BC99" s="35" t="n">
        <v>300.133</v>
      </c>
      <c r="BD99" s="35" t="n">
        <v>327.584</v>
      </c>
      <c r="BE99" s="35" t="n">
        <v>348.591</v>
      </c>
      <c r="BF99" s="35" t="n">
        <v>369.255</v>
      </c>
      <c r="BG99" s="35" t="n">
        <v>1345.563</v>
      </c>
      <c r="BH99" s="35" t="n">
        <v>377.116</v>
      </c>
      <c r="BI99" s="35" t="n">
        <v>421.329</v>
      </c>
      <c r="BJ99" s="35" t="n">
        <v>444.168</v>
      </c>
      <c r="BK99" s="35" t="n">
        <v>572.004</v>
      </c>
      <c r="BL99" s="35" t="n">
        <v>1814.617</v>
      </c>
      <c r="BM99" s="35" t="n">
        <v>549.594</v>
      </c>
      <c r="BN99" s="35" t="n">
        <v>583.6</v>
      </c>
      <c r="BO99" s="35" t="n">
        <v>602.976</v>
      </c>
      <c r="BP99" s="35" t="n">
        <v>619.773</v>
      </c>
      <c r="BQ99" s="35" t="n">
        <v>2355.943</v>
      </c>
      <c r="BR99" s="35" t="n">
        <v>624.56</v>
      </c>
      <c r="BS99" s="35" t="n">
        <v>660.016</v>
      </c>
      <c r="BT99" s="35" t="n">
        <v>690.434</v>
      </c>
      <c r="BU99" s="35" t="n">
        <v>723.57</v>
      </c>
      <c r="BV99" s="35" t="n">
        <v>2698.58</v>
      </c>
      <c r="BW99" s="35" t="n">
        <v>723.618</v>
      </c>
      <c r="BX99" s="35" t="n">
        <v>806.188</v>
      </c>
      <c r="BY99" s="35" t="n">
        <v>832.063</v>
      </c>
      <c r="BZ99" s="42" t="n">
        <f aca="false">BZ98*(1-BZ90)</f>
        <v>878.849770527499</v>
      </c>
      <c r="CA99" s="42" t="n">
        <f aca="false">SUM(BW99,BX99,BY99,BZ99)</f>
        <v>3240.7187705275</v>
      </c>
      <c r="CB99" s="42" t="n">
        <f aca="false">CB98*(1-CB90)</f>
        <v>3686.88206083145</v>
      </c>
      <c r="CC99" s="42" t="n">
        <f aca="false">CC98*(1-CC90)</f>
        <v>4092.1809809757</v>
      </c>
      <c r="CD99" s="42" t="n">
        <f aca="false">CD98*(1-CD90)</f>
        <v>4502.69756971759</v>
      </c>
      <c r="CE99" s="42" t="n">
        <f aca="false">CE98*(1-CE90)</f>
        <v>4949.48343697619</v>
      </c>
      <c r="CF99" s="19" t="s">
        <v>212</v>
      </c>
    </row>
    <row r="100" customFormat="false" ht="15" hidden="false" customHeight="true" outlineLevel="0" collapsed="false">
      <c r="B100" s="16" t="s">
        <v>213</v>
      </c>
      <c r="C100" s="53" t="n">
        <f aca="false">C98-C99</f>
        <v>142.513</v>
      </c>
      <c r="D100" s="53" t="n">
        <f aca="false">D98-D99</f>
        <v>177.458</v>
      </c>
      <c r="E100" s="53" t="n">
        <f aca="false">E98-E99</f>
        <v>210.495</v>
      </c>
      <c r="F100" s="53" t="n">
        <f aca="false">F98-F99</f>
        <v>181.011</v>
      </c>
      <c r="G100" s="53" t="n">
        <f aca="false">G98-G99</f>
        <v>222.347</v>
      </c>
      <c r="H100" s="53" t="n">
        <f aca="false">H98-H99</f>
        <v>274.441</v>
      </c>
      <c r="I100" s="53" t="n">
        <f aca="false">I98-I99</f>
        <v>327.436</v>
      </c>
      <c r="J100" s="53" t="n">
        <f aca="false">J98-J99</f>
        <v>77.589</v>
      </c>
      <c r="K100" s="53" t="n">
        <f aca="false">K98-K99</f>
        <v>89.448</v>
      </c>
      <c r="L100" s="53" t="n">
        <f aca="false">L98-L99</f>
        <v>97.54</v>
      </c>
      <c r="M100" s="53" t="n">
        <f aca="false">M98-M99</f>
        <v>106.604</v>
      </c>
      <c r="N100" s="53" t="n">
        <f aca="false">N98-N99</f>
        <v>371.181</v>
      </c>
      <c r="O100" s="53" t="n">
        <f aca="false">O98-O99</f>
        <v>92.117</v>
      </c>
      <c r="P100" s="53" t="n">
        <f aca="false">P98-P99</f>
        <v>99.922</v>
      </c>
      <c r="Q100" s="53" t="n">
        <f aca="false">Q98-Q99</f>
        <v>103.327</v>
      </c>
      <c r="R100" s="53" t="n">
        <f aca="false">R98-R99</f>
        <v>102.946</v>
      </c>
      <c r="S100" s="53" t="n">
        <f aca="false">S98-S99</f>
        <v>398.312</v>
      </c>
      <c r="T100" s="53" t="n">
        <f aca="false">T98-T99</f>
        <v>93.797</v>
      </c>
      <c r="U100" s="53" t="n">
        <f aca="false">U98-U99</f>
        <v>105.494</v>
      </c>
      <c r="V100" s="53" t="n">
        <f aca="false">V98-V99</f>
        <v>108.092</v>
      </c>
      <c r="W100" s="53" t="n">
        <f aca="false">W98-W99</f>
        <v>126.796</v>
      </c>
      <c r="X100" s="53" t="n">
        <f aca="false">X98-X99</f>
        <v>434.179</v>
      </c>
      <c r="Y100" s="53" t="n">
        <f aca="false">Y98-Y99</f>
        <v>112.196</v>
      </c>
      <c r="Z100" s="53" t="n">
        <f aca="false">Z98-Z99</f>
        <v>134.029</v>
      </c>
      <c r="AA100" s="53" t="n">
        <f aca="false">AA98-AA99</f>
        <v>133.583</v>
      </c>
      <c r="AB100" s="53" t="n">
        <f aca="false">AB98-AB99</f>
        <v>135.684</v>
      </c>
      <c r="AC100" s="53" t="n">
        <f aca="false">AC98-AC99</f>
        <v>515.492</v>
      </c>
      <c r="AD100" s="53" t="n">
        <f aca="false">AD98-AD99</f>
        <v>125.417</v>
      </c>
      <c r="AE100" s="53" t="n">
        <f aca="false">AE98-AE99</f>
        <v>140.382</v>
      </c>
      <c r="AF100" s="53" t="n">
        <f aca="false">AF98-AF99</f>
        <v>148.897</v>
      </c>
      <c r="AG100" s="53" t="n">
        <f aca="false">AG98-AG99</f>
        <v>160.029</v>
      </c>
      <c r="AH100" s="53" t="n">
        <f aca="false">AH98-AH99</f>
        <v>574.725</v>
      </c>
      <c r="AI100" s="53" t="n">
        <f aca="false">AI98-AI99</f>
        <v>154.791</v>
      </c>
      <c r="AJ100" s="53" t="n">
        <f aca="false">AJ98-AJ99</f>
        <v>167.857</v>
      </c>
      <c r="AK100" s="53" t="n">
        <f aca="false">AK98-AK99</f>
        <v>181.609</v>
      </c>
      <c r="AL100" s="53" t="n">
        <f aca="false">AL98-AL99</f>
        <v>186.458</v>
      </c>
      <c r="AM100" s="53" t="n">
        <f aca="false">AM98-AM99</f>
        <v>690.715</v>
      </c>
      <c r="AN100" s="53" t="n">
        <f aca="false">AN98-AN99</f>
        <v>182.237</v>
      </c>
      <c r="AO100" s="53" t="n">
        <f aca="false">AO98-AO99</f>
        <v>209.387</v>
      </c>
      <c r="AP100" s="53" t="n">
        <f aca="false">AP98-AP99</f>
        <v>212.831</v>
      </c>
      <c r="AQ100" s="53" t="n">
        <f aca="false">AQ98-AQ99</f>
        <v>209.385</v>
      </c>
      <c r="AR100" s="53" t="n">
        <f aca="false">AR98-AR99</f>
        <v>813.84</v>
      </c>
      <c r="AS100" s="53" t="n">
        <f aca="false">AS98-AS99</f>
        <v>198.047</v>
      </c>
      <c r="AT100" s="53" t="n">
        <f aca="false">AT98-AT99</f>
        <v>178.89</v>
      </c>
      <c r="AU100" s="53" t="n">
        <f aca="false">AU98-AU99</f>
        <v>143.483</v>
      </c>
      <c r="AV100" s="53" t="n">
        <f aca="false">AV98-AV99</f>
        <v>161.707</v>
      </c>
      <c r="AW100" s="53" t="n">
        <f aca="false">AW98-AW99</f>
        <v>682.127</v>
      </c>
      <c r="AX100" s="53" t="n">
        <f aca="false">AX98-AX99</f>
        <v>158.434</v>
      </c>
      <c r="AY100" s="53" t="n">
        <f aca="false">AY98-AY99</f>
        <v>179.773</v>
      </c>
      <c r="AZ100" s="53" t="n">
        <f aca="false">AZ98-AZ99</f>
        <v>184.717</v>
      </c>
      <c r="BA100" s="53" t="n">
        <f aca="false">BA98-BA99</f>
        <v>204.499</v>
      </c>
      <c r="BB100" s="53" t="n">
        <f aca="false">BB98-BB99</f>
        <v>727.423</v>
      </c>
      <c r="BC100" s="53" t="n">
        <f aca="false">BC98-BC99</f>
        <v>190.21</v>
      </c>
      <c r="BD100" s="53" t="n">
        <f aca="false">BD98-BD99</f>
        <v>211.229</v>
      </c>
      <c r="BE100" s="53" t="n">
        <f aca="false">BE98-BE99</f>
        <v>220.937</v>
      </c>
      <c r="BF100" s="53" t="n">
        <f aca="false">BF98-BF99</f>
        <v>240.383</v>
      </c>
      <c r="BG100" s="53" t="n">
        <f aca="false">BG98-BG99</f>
        <v>862.759</v>
      </c>
      <c r="BH100" s="53" t="n">
        <f aca="false">BH98-BH99</f>
        <v>243.799</v>
      </c>
      <c r="BI100" s="53" t="n">
        <f aca="false">BI98-BI99</f>
        <v>266.512</v>
      </c>
      <c r="BJ100" s="53" t="n">
        <f aca="false">BJ98-BJ99</f>
        <v>278.734</v>
      </c>
      <c r="BK100" s="53" t="n">
        <f aca="false">BK98-BK99</f>
        <v>364.443</v>
      </c>
      <c r="BL100" s="53" t="n">
        <f aca="false">BL98-BL99</f>
        <v>1153.488</v>
      </c>
      <c r="BM100" s="53" t="n">
        <f aca="false">BM98-BM99</f>
        <v>346.769</v>
      </c>
      <c r="BN100" s="53" t="n">
        <f aca="false">BN98-BN99</f>
        <v>371.795</v>
      </c>
      <c r="BO100" s="53" t="n">
        <f aca="false">BO98-BO99</f>
        <v>389.27</v>
      </c>
      <c r="BP100" s="53" t="n">
        <f aca="false">BP98-BP99</f>
        <v>393.892</v>
      </c>
      <c r="BQ100" s="53" t="n">
        <f aca="false">BQ98-BQ99</f>
        <v>1501.726</v>
      </c>
      <c r="BR100" s="53" t="n">
        <f aca="false">BR98-BR99</f>
        <v>405.662</v>
      </c>
      <c r="BS100" s="53" t="n">
        <f aca="false">BS98-BS99</f>
        <v>437.804</v>
      </c>
      <c r="BT100" s="53" t="n">
        <f aca="false">BT98-BT99</f>
        <v>457.157</v>
      </c>
      <c r="BU100" s="53" t="n">
        <f aca="false">BU98-BU99</f>
        <v>485.841</v>
      </c>
      <c r="BV100" s="53" t="n">
        <f aca="false">BV98-BV99</f>
        <v>1786.464</v>
      </c>
      <c r="BW100" s="53" t="n">
        <f aca="false">BW98-BW99</f>
        <v>454.964</v>
      </c>
      <c r="BX100" s="53" t="n">
        <f aca="false">BX98-BX99</f>
        <v>569.525</v>
      </c>
      <c r="BY100" s="53" t="n">
        <f aca="false">BY98-BY99</f>
        <v>580.987</v>
      </c>
      <c r="BZ100" s="18" t="n">
        <f aca="false">BZ98-BZ99</f>
        <v>597.396474650968</v>
      </c>
      <c r="CA100" s="18" t="n">
        <f aca="false">CA98-CA99</f>
        <v>2202.87247465097</v>
      </c>
      <c r="CB100" s="18" t="n">
        <f aca="false">CB98-CB99</f>
        <v>2509.55837754074</v>
      </c>
      <c r="CC100" s="18" t="n">
        <f aca="false">CC98-CC99</f>
        <v>2785.43411310111</v>
      </c>
      <c r="CD100" s="18" t="n">
        <f aca="false">CD98-CD99</f>
        <v>3064.86137098424</v>
      </c>
      <c r="CE100" s="18" t="n">
        <f aca="false">CE98-CE99</f>
        <v>3368.97612096699</v>
      </c>
      <c r="CH100" s="20" t="n">
        <f aca="false">IFERROR((CE100/BV100)^(1/5)-1,"n/m")</f>
        <v>0.135274107154654</v>
      </c>
      <c r="CI100" s="20" t="n">
        <f aca="false">IFERROR((BV100/AW100)^(1/5)-1,"n/m")</f>
        <v>0.212343827803368</v>
      </c>
      <c r="CJ100" s="20" t="n">
        <f aca="false">IFERROR((BV100/X100)^(1/10)-1,"n/m")</f>
        <v>0.151947125787109</v>
      </c>
      <c r="CK100" s="20" t="n">
        <f aca="false">IFERROR((BV100/C100)^(1/19)-1,"n/m")</f>
        <v>0.142343805105676</v>
      </c>
    </row>
    <row r="101" customFormat="false" ht="15" hidden="false" customHeight="true" outlineLevel="0" collapsed="false">
      <c r="B101" s="29" t="s">
        <v>214</v>
      </c>
      <c r="C101" s="35" t="n">
        <v>75.646</v>
      </c>
      <c r="D101" s="35" t="n">
        <v>91.444</v>
      </c>
      <c r="E101" s="35" t="n">
        <v>104.707</v>
      </c>
      <c r="F101" s="35" t="n">
        <v>92.756</v>
      </c>
      <c r="G101" s="35" t="n">
        <v>113.174</v>
      </c>
      <c r="H101" s="35" t="n">
        <v>136.01</v>
      </c>
      <c r="I101" s="35" t="n">
        <v>164.142</v>
      </c>
      <c r="J101" s="35" t="n">
        <v>42.65</v>
      </c>
      <c r="K101" s="35" t="n">
        <v>44.76</v>
      </c>
      <c r="L101" s="35" t="n">
        <v>49.134</v>
      </c>
      <c r="M101" s="35" t="n">
        <v>51.047</v>
      </c>
      <c r="N101" s="35" t="n">
        <v>187.591</v>
      </c>
      <c r="O101" s="35" t="n">
        <v>41.732</v>
      </c>
      <c r="P101" s="35" t="n">
        <v>50.751</v>
      </c>
      <c r="Q101" s="35" t="n">
        <v>53.214</v>
      </c>
      <c r="R101" s="35" t="n">
        <v>49.227</v>
      </c>
      <c r="S101" s="35" t="n">
        <v>194.924</v>
      </c>
      <c r="T101" s="35" t="n">
        <v>47.391</v>
      </c>
      <c r="U101" s="35" t="n">
        <v>49.706</v>
      </c>
      <c r="V101" s="35" t="n">
        <v>49.582</v>
      </c>
      <c r="W101" s="35" t="n">
        <v>57.844</v>
      </c>
      <c r="X101" s="35" t="n">
        <v>204.523</v>
      </c>
      <c r="Y101" s="35" t="n">
        <v>59.575</v>
      </c>
      <c r="Z101" s="35" t="n">
        <v>67.235</v>
      </c>
      <c r="AA101" s="35" t="n">
        <v>63.729</v>
      </c>
      <c r="AB101" s="35" t="n">
        <v>59.608</v>
      </c>
      <c r="AC101" s="35" t="n">
        <v>250.147</v>
      </c>
      <c r="AD101" s="35" t="n">
        <v>60.867</v>
      </c>
      <c r="AE101" s="35" t="n">
        <v>63.84</v>
      </c>
      <c r="AF101" s="35" t="n">
        <v>72.775</v>
      </c>
      <c r="AG101" s="35" t="n">
        <v>70.585</v>
      </c>
      <c r="AH101" s="35" t="n">
        <v>268.067</v>
      </c>
      <c r="AI101" s="35" t="n">
        <v>75.231</v>
      </c>
      <c r="AJ101" s="35" t="n">
        <v>76.292</v>
      </c>
      <c r="AK101" s="35" t="n">
        <v>80.186</v>
      </c>
      <c r="AL101" s="35" t="n">
        <v>82.761</v>
      </c>
      <c r="AM101" s="35" t="n">
        <v>314.47</v>
      </c>
      <c r="AN101" s="35" t="n">
        <v>84.29</v>
      </c>
      <c r="AO101" s="35" t="n">
        <v>90.204</v>
      </c>
      <c r="AP101" s="35" t="n">
        <v>93.417</v>
      </c>
      <c r="AQ101" s="35" t="n">
        <v>88.832</v>
      </c>
      <c r="AR101" s="35" t="n">
        <v>356.743</v>
      </c>
      <c r="AS101" s="35" t="n">
        <v>87.057</v>
      </c>
      <c r="AT101" s="35" t="n">
        <v>70.729</v>
      </c>
      <c r="AU101" s="35" t="n">
        <v>75.049</v>
      </c>
      <c r="AV101" s="35" t="n">
        <v>72.644</v>
      </c>
      <c r="AW101" s="35" t="n">
        <v>305.479</v>
      </c>
      <c r="AX101" s="35" t="n">
        <v>78.149</v>
      </c>
      <c r="AY101" s="35" t="n">
        <v>83.025</v>
      </c>
      <c r="AZ101" s="35" t="n">
        <v>83.879</v>
      </c>
      <c r="BA101" s="35" t="n">
        <v>89.47</v>
      </c>
      <c r="BB101" s="35" t="n">
        <v>334.523</v>
      </c>
      <c r="BC101" s="35" t="n">
        <v>91.388</v>
      </c>
      <c r="BD101" s="35" t="n">
        <v>88.452</v>
      </c>
      <c r="BE101" s="35" t="n">
        <v>92.19</v>
      </c>
      <c r="BF101" s="35" t="n">
        <v>93.885</v>
      </c>
      <c r="BG101" s="35" t="n">
        <v>365.915</v>
      </c>
      <c r="BH101" s="35" t="n">
        <v>114.365</v>
      </c>
      <c r="BI101" s="35" t="n">
        <v>109.422</v>
      </c>
      <c r="BJ101" s="35" t="n">
        <v>129.367</v>
      </c>
      <c r="BK101" s="35" t="n">
        <v>174.995</v>
      </c>
      <c r="BL101" s="35" t="n">
        <v>528.149</v>
      </c>
      <c r="BM101" s="35" t="n">
        <v>166.559</v>
      </c>
      <c r="BN101" s="35" t="n">
        <v>162.642</v>
      </c>
      <c r="BO101" s="35" t="n">
        <v>172.824</v>
      </c>
      <c r="BP101" s="35" t="n">
        <v>175.246</v>
      </c>
      <c r="BQ101" s="35" t="n">
        <v>677.271</v>
      </c>
      <c r="BR101" s="35" t="n">
        <v>178.857</v>
      </c>
      <c r="BS101" s="35" t="n">
        <v>189.652</v>
      </c>
      <c r="BT101" s="35" t="n">
        <v>192.138</v>
      </c>
      <c r="BU101" s="35" t="n">
        <v>206.819</v>
      </c>
      <c r="BV101" s="35" t="n">
        <v>767.466</v>
      </c>
      <c r="BW101" s="35" t="n">
        <v>195.065</v>
      </c>
      <c r="BX101" s="35" t="n">
        <v>219.088</v>
      </c>
      <c r="BY101" s="35" t="n">
        <v>225.79</v>
      </c>
      <c r="BZ101" s="42" t="n">
        <f aca="false">BZ100-BZ73</f>
        <v>236.080365488387</v>
      </c>
      <c r="CA101" s="42" t="n">
        <f aca="false">SUM(BW101,BX101,BY101,BZ101)</f>
        <v>876.023365488387</v>
      </c>
      <c r="CB101" s="42" t="n">
        <f aca="false">CB100-CB73</f>
        <v>998.16689424645</v>
      </c>
      <c r="CC101" s="42" t="n">
        <f aca="false">CC100-CC73</f>
        <v>1087.83554587238</v>
      </c>
      <c r="CD101" s="42" t="n">
        <f aca="false">CD100-CD73</f>
        <v>1211.63155050423</v>
      </c>
      <c r="CE101" s="42" t="n">
        <f aca="false">CE100-CE73</f>
        <v>1346.98955152766</v>
      </c>
      <c r="CF101" s="19" t="s">
        <v>215</v>
      </c>
    </row>
    <row r="102" customFormat="false" ht="15" hidden="false" customHeight="true" outlineLevel="0" collapsed="false">
      <c r="B102" s="49" t="s">
        <v>216</v>
      </c>
      <c r="C102" s="50" t="n">
        <f aca="false">C100-C101</f>
        <v>66.867</v>
      </c>
      <c r="D102" s="50" t="n">
        <f aca="false">D100-D101</f>
        <v>86.014</v>
      </c>
      <c r="E102" s="50" t="n">
        <f aca="false">E100-E101</f>
        <v>105.788</v>
      </c>
      <c r="F102" s="50" t="n">
        <f aca="false">F100-F101</f>
        <v>88.255</v>
      </c>
      <c r="G102" s="50" t="n">
        <f aca="false">G100-G101</f>
        <v>109.173</v>
      </c>
      <c r="H102" s="50" t="n">
        <f aca="false">H100-H101</f>
        <v>138.431</v>
      </c>
      <c r="I102" s="50" t="n">
        <f aca="false">I100-I101</f>
        <v>163.294</v>
      </c>
      <c r="J102" s="50" t="n">
        <f aca="false">J100-J101</f>
        <v>34.939</v>
      </c>
      <c r="K102" s="50" t="n">
        <f aca="false">K100-K101</f>
        <v>44.688</v>
      </c>
      <c r="L102" s="50" t="n">
        <f aca="false">L100-L101</f>
        <v>48.406</v>
      </c>
      <c r="M102" s="50" t="n">
        <f aca="false">M100-M101</f>
        <v>55.557</v>
      </c>
      <c r="N102" s="50" t="n">
        <f aca="false">N100-N101</f>
        <v>183.59</v>
      </c>
      <c r="O102" s="50" t="n">
        <f aca="false">O100-O101</f>
        <v>50.385</v>
      </c>
      <c r="P102" s="50" t="n">
        <f aca="false">P100-P101</f>
        <v>49.171</v>
      </c>
      <c r="Q102" s="50" t="n">
        <f aca="false">Q100-Q101</f>
        <v>50.113</v>
      </c>
      <c r="R102" s="50" t="n">
        <f aca="false">R100-R101</f>
        <v>53.719</v>
      </c>
      <c r="S102" s="50" t="n">
        <f aca="false">S100-S101</f>
        <v>203.388</v>
      </c>
      <c r="T102" s="50" t="n">
        <f aca="false">T100-T101</f>
        <v>46.406</v>
      </c>
      <c r="U102" s="50" t="n">
        <f aca="false">U100-U101</f>
        <v>55.788</v>
      </c>
      <c r="V102" s="50" t="n">
        <f aca="false">V100-V101</f>
        <v>58.51</v>
      </c>
      <c r="W102" s="50" t="n">
        <f aca="false">W100-W101</f>
        <v>68.952</v>
      </c>
      <c r="X102" s="50" t="n">
        <f aca="false">X100-X101</f>
        <v>229.656</v>
      </c>
      <c r="Y102" s="50" t="n">
        <f aca="false">Y100-Y101</f>
        <v>52.621</v>
      </c>
      <c r="Z102" s="50" t="n">
        <f aca="false">Z100-Z101</f>
        <v>66.794</v>
      </c>
      <c r="AA102" s="50" t="n">
        <f aca="false">AA100-AA101</f>
        <v>69.854</v>
      </c>
      <c r="AB102" s="50" t="n">
        <f aca="false">AB100-AB101</f>
        <v>76.076</v>
      </c>
      <c r="AC102" s="50" t="n">
        <f aca="false">AC100-AC101</f>
        <v>265.345</v>
      </c>
      <c r="AD102" s="50" t="n">
        <f aca="false">AD100-AD101</f>
        <v>64.55</v>
      </c>
      <c r="AE102" s="50" t="n">
        <f aca="false">AE100-AE101</f>
        <v>76.542</v>
      </c>
      <c r="AF102" s="50" t="n">
        <f aca="false">AF100-AF101</f>
        <v>76.122</v>
      </c>
      <c r="AG102" s="50" t="n">
        <f aca="false">AG100-AG101</f>
        <v>89.444</v>
      </c>
      <c r="AH102" s="50" t="n">
        <f aca="false">AH100-AH101</f>
        <v>306.658</v>
      </c>
      <c r="AI102" s="50" t="n">
        <f aca="false">AI100-AI101</f>
        <v>79.56</v>
      </c>
      <c r="AJ102" s="50" t="n">
        <f aca="false">AJ100-AJ101</f>
        <v>91.565</v>
      </c>
      <c r="AK102" s="50" t="n">
        <f aca="false">AK100-AK101</f>
        <v>101.423</v>
      </c>
      <c r="AL102" s="50" t="n">
        <f aca="false">AL100-AL101</f>
        <v>103.697</v>
      </c>
      <c r="AM102" s="50" t="n">
        <f aca="false">AM100-AM101</f>
        <v>376.245</v>
      </c>
      <c r="AN102" s="50" t="n">
        <f aca="false">AN100-AN101</f>
        <v>97.947</v>
      </c>
      <c r="AO102" s="50" t="n">
        <f aca="false">AO100-AO101</f>
        <v>119.183</v>
      </c>
      <c r="AP102" s="50" t="n">
        <f aca="false">AP100-AP101</f>
        <v>119.414</v>
      </c>
      <c r="AQ102" s="50" t="n">
        <f aca="false">AQ100-AQ101</f>
        <v>120.553</v>
      </c>
      <c r="AR102" s="50" t="n">
        <f aca="false">AR100-AR101</f>
        <v>457.097</v>
      </c>
      <c r="AS102" s="50" t="n">
        <f aca="false">AS100-AS101</f>
        <v>110.99</v>
      </c>
      <c r="AT102" s="50" t="n">
        <f aca="false">AT100-AT101</f>
        <v>108.161</v>
      </c>
      <c r="AU102" s="50" t="n">
        <f aca="false">AU100-AU101</f>
        <v>68.434</v>
      </c>
      <c r="AV102" s="50" t="n">
        <f aca="false">AV100-AV101</f>
        <v>89.063</v>
      </c>
      <c r="AW102" s="50" t="n">
        <f aca="false">AW100-AW101</f>
        <v>376.648</v>
      </c>
      <c r="AX102" s="50" t="n">
        <f aca="false">AX100-AX101</f>
        <v>80.285</v>
      </c>
      <c r="AY102" s="50" t="n">
        <f aca="false">AY100-AY101</f>
        <v>96.748</v>
      </c>
      <c r="AZ102" s="50" t="n">
        <f aca="false">AZ100-AZ101</f>
        <v>100.838</v>
      </c>
      <c r="BA102" s="50" t="n">
        <f aca="false">BA100-BA101</f>
        <v>115.029</v>
      </c>
      <c r="BB102" s="50" t="n">
        <f aca="false">BB100-BB101</f>
        <v>392.9</v>
      </c>
      <c r="BC102" s="50" t="n">
        <f aca="false">BC100-BC101</f>
        <v>98.822</v>
      </c>
      <c r="BD102" s="50" t="n">
        <f aca="false">BD100-BD101</f>
        <v>122.777</v>
      </c>
      <c r="BE102" s="50" t="n">
        <f aca="false">BE100-BE101</f>
        <v>128.747</v>
      </c>
      <c r="BF102" s="50" t="n">
        <f aca="false">BF100-BF101</f>
        <v>146.498</v>
      </c>
      <c r="BG102" s="50" t="n">
        <f aca="false">BG100-BG101</f>
        <v>496.844</v>
      </c>
      <c r="BH102" s="50" t="n">
        <f aca="false">BH100-BH101</f>
        <v>129.434</v>
      </c>
      <c r="BI102" s="50" t="n">
        <f aca="false">BI100-BI101</f>
        <v>157.09</v>
      </c>
      <c r="BJ102" s="50" t="n">
        <f aca="false">BJ100-BJ101</f>
        <v>149.367</v>
      </c>
      <c r="BK102" s="50" t="n">
        <f aca="false">BK100-BK101</f>
        <v>189.448</v>
      </c>
      <c r="BL102" s="50" t="n">
        <f aca="false">BL100-BL101</f>
        <v>625.339</v>
      </c>
      <c r="BM102" s="50" t="n">
        <f aca="false">BM100-BM101</f>
        <v>180.21</v>
      </c>
      <c r="BN102" s="50" t="n">
        <f aca="false">BN100-BN101</f>
        <v>209.153</v>
      </c>
      <c r="BO102" s="50" t="n">
        <f aca="false">BO100-BO101</f>
        <v>216.446</v>
      </c>
      <c r="BP102" s="50" t="n">
        <f aca="false">BP100-BP101</f>
        <v>218.646</v>
      </c>
      <c r="BQ102" s="50" t="n">
        <f aca="false">BQ100-BQ101</f>
        <v>824.455</v>
      </c>
      <c r="BR102" s="50" t="n">
        <f aca="false">BR100-BR101</f>
        <v>226.805</v>
      </c>
      <c r="BS102" s="50" t="n">
        <f aca="false">BS100-BS101</f>
        <v>248.152</v>
      </c>
      <c r="BT102" s="50" t="n">
        <f aca="false">BT100-BT101</f>
        <v>265.019</v>
      </c>
      <c r="BU102" s="50" t="n">
        <f aca="false">BU100-BU101</f>
        <v>279.022</v>
      </c>
      <c r="BV102" s="50" t="n">
        <f aca="false">BV100-BV101</f>
        <v>1018.998</v>
      </c>
      <c r="BW102" s="50" t="n">
        <f aca="false">BW100-BW101</f>
        <v>259.899</v>
      </c>
      <c r="BX102" s="50" t="n">
        <f aca="false">BX100-BX101</f>
        <v>350.437</v>
      </c>
      <c r="BY102" s="50" t="n">
        <f aca="false">BY100-BY101</f>
        <v>355.197</v>
      </c>
      <c r="BZ102" s="50" t="n">
        <f aca="false">BZ100-BZ101</f>
        <v>361.316109162581</v>
      </c>
      <c r="CA102" s="50" t="n">
        <f aca="false">CA100-CA101</f>
        <v>1326.84910916258</v>
      </c>
      <c r="CB102" s="50" t="n">
        <f aca="false">CB100-CB101</f>
        <v>1511.39148329429</v>
      </c>
      <c r="CC102" s="50" t="n">
        <f aca="false">CC100-CC101</f>
        <v>1697.59856722873</v>
      </c>
      <c r="CD102" s="50" t="n">
        <f aca="false">CD100-CD101</f>
        <v>1853.22982048001</v>
      </c>
      <c r="CE102" s="50" t="n">
        <f aca="false">CE100-CE101</f>
        <v>2021.98656943932</v>
      </c>
      <c r="CH102" s="20" t="n">
        <f aca="false">IFERROR((CE102/BV102)^(1/5)-1,"n/m")</f>
        <v>0.146887942678089</v>
      </c>
      <c r="CI102" s="20" t="n">
        <f aca="false">IFERROR((BV102/AW102)^(1/5)-1,"n/m")</f>
        <v>0.220246394727531</v>
      </c>
      <c r="CJ102" s="20" t="n">
        <f aca="false">IFERROR((BV102/X102)^(1/10)-1,"n/m")</f>
        <v>0.160672122577507</v>
      </c>
      <c r="CK102" s="20" t="n">
        <f aca="false">IFERROR((BV102/C102)^(1/19)-1,"n/m")</f>
        <v>0.154147011045157</v>
      </c>
    </row>
    <row r="103" customFormat="false" ht="15" hidden="false" customHeight="true" outlineLevel="0" collapsed="false">
      <c r="B103" s="29" t="s">
        <v>217</v>
      </c>
      <c r="C103" s="35" t="n">
        <v>3.523</v>
      </c>
      <c r="D103" s="35" t="n">
        <v>3.293</v>
      </c>
      <c r="E103" s="35" t="n">
        <v>2.314</v>
      </c>
      <c r="F103" s="35" t="n">
        <v>0.615</v>
      </c>
      <c r="G103" s="35" t="n">
        <v>0.508</v>
      </c>
      <c r="H103" s="35" t="n">
        <v>0.142</v>
      </c>
      <c r="I103" s="35" t="n">
        <v>2.432</v>
      </c>
      <c r="J103" s="35" t="n">
        <v>0.64</v>
      </c>
      <c r="K103" s="35" t="n">
        <v>0.803</v>
      </c>
      <c r="L103" s="35" t="n">
        <v>1.097</v>
      </c>
      <c r="M103" s="35" t="n">
        <v>1.177</v>
      </c>
      <c r="N103" s="35" t="n">
        <v>3.717</v>
      </c>
      <c r="O103" s="35" t="n">
        <v>1.281</v>
      </c>
      <c r="P103" s="35" t="n">
        <v>1.441</v>
      </c>
      <c r="Q103" s="35" t="n">
        <v>1.444</v>
      </c>
      <c r="R103" s="35" t="n">
        <v>1.275</v>
      </c>
      <c r="S103" s="35" t="n">
        <v>5.441</v>
      </c>
      <c r="T103" s="35" t="n">
        <v>1.112</v>
      </c>
      <c r="U103" s="35" t="n">
        <v>1.146</v>
      </c>
      <c r="V103" s="35" t="n">
        <v>1.088</v>
      </c>
      <c r="W103" s="35" t="n">
        <v>1.28</v>
      </c>
      <c r="X103" s="35" t="n">
        <v>4.626</v>
      </c>
      <c r="Y103" s="35" t="n">
        <v>1.567</v>
      </c>
      <c r="Z103" s="35" t="n">
        <v>2.333</v>
      </c>
      <c r="AA103" s="35" t="n">
        <v>2.294</v>
      </c>
      <c r="AB103" s="35" t="n">
        <v>2.078</v>
      </c>
      <c r="AC103" s="35" t="n">
        <v>8.272</v>
      </c>
      <c r="AD103" s="35" t="n">
        <v>1.969</v>
      </c>
      <c r="AE103" s="35" t="n">
        <v>1.96</v>
      </c>
      <c r="AF103" s="35" t="n">
        <v>2.447</v>
      </c>
      <c r="AG103" s="35" t="n">
        <v>3.414</v>
      </c>
      <c r="AH103" s="35" t="n">
        <v>9.79</v>
      </c>
      <c r="AI103" s="35" t="n">
        <v>4.725</v>
      </c>
      <c r="AJ103" s="35" t="n">
        <v>4.904</v>
      </c>
      <c r="AK103" s="35" t="n">
        <v>5.212</v>
      </c>
      <c r="AL103" s="35" t="n">
        <v>5.06</v>
      </c>
      <c r="AM103" s="35" t="n">
        <v>19.901</v>
      </c>
      <c r="AN103" s="35" t="n">
        <v>5.489</v>
      </c>
      <c r="AO103" s="35" t="n">
        <v>5.484</v>
      </c>
      <c r="AP103" s="35" t="n">
        <v>5.523</v>
      </c>
      <c r="AQ103" s="35" t="n">
        <v>5.199</v>
      </c>
      <c r="AR103" s="35" t="n">
        <v>21.695</v>
      </c>
      <c r="AS103" s="35" t="n">
        <v>4.283</v>
      </c>
      <c r="AT103" s="35" t="n">
        <v>3.759</v>
      </c>
      <c r="AU103" s="35" t="n">
        <v>2.602</v>
      </c>
      <c r="AV103" s="35" t="n">
        <v>2.515</v>
      </c>
      <c r="AW103" s="35" t="n">
        <v>13.159</v>
      </c>
      <c r="AX103" s="35" t="n">
        <v>2.448</v>
      </c>
      <c r="AY103" s="35" t="n">
        <v>2.083</v>
      </c>
      <c r="AZ103" s="35" t="n">
        <v>1.717</v>
      </c>
      <c r="BA103" s="35" t="n">
        <v>1.037</v>
      </c>
      <c r="BB103" s="35" t="n">
        <v>7.285</v>
      </c>
      <c r="BC103" s="35" t="n">
        <v>0.796</v>
      </c>
      <c r="BD103" s="35" t="n">
        <v>0.979</v>
      </c>
      <c r="BE103" s="35" t="n">
        <v>1.406</v>
      </c>
      <c r="BF103" s="35" t="n">
        <v>3.205</v>
      </c>
      <c r="BG103" s="35" t="n">
        <v>6.386</v>
      </c>
      <c r="BH103" s="35" t="n">
        <v>6.068</v>
      </c>
      <c r="BI103" s="35" t="n">
        <v>11.373</v>
      </c>
      <c r="BJ103" s="35" t="n">
        <v>12.12</v>
      </c>
      <c r="BK103" s="35" t="n">
        <v>43.423</v>
      </c>
      <c r="BL103" s="35" t="n">
        <v>72.984</v>
      </c>
      <c r="BM103" s="35" t="n">
        <v>38.607</v>
      </c>
      <c r="BN103" s="35" t="n">
        <v>38.512</v>
      </c>
      <c r="BO103" s="35" t="n">
        <v>36.788</v>
      </c>
      <c r="BP103" s="35" t="n">
        <v>35.406</v>
      </c>
      <c r="BQ103" s="35" t="n">
        <v>149.313</v>
      </c>
      <c r="BR103" s="35" t="n">
        <v>32.458</v>
      </c>
      <c r="BS103" s="35" t="n">
        <v>32.865</v>
      </c>
      <c r="BT103" s="35" t="n">
        <v>31.701</v>
      </c>
      <c r="BU103" s="35" t="n">
        <v>32.853</v>
      </c>
      <c r="BV103" s="35" t="n">
        <v>129.877</v>
      </c>
      <c r="BW103" s="35" t="n">
        <v>29.486</v>
      </c>
      <c r="BX103" s="35" t="n">
        <v>34.161</v>
      </c>
      <c r="BY103" s="35" t="n">
        <v>35.904</v>
      </c>
      <c r="BZ103" s="42" t="n">
        <f aca="false">(BY291*CA292+BY293*CA294)/4</f>
        <v>34.3675</v>
      </c>
      <c r="CA103" s="42" t="n">
        <f aca="false">SUM(BW103,BX103,BY103,BZ103)</f>
        <v>133.9185</v>
      </c>
      <c r="CB103" s="42" t="n">
        <f aca="false">CA291*CB292+CA293*CB294</f>
        <v>130.8</v>
      </c>
      <c r="CC103" s="42" t="n">
        <f aca="false">CB291*CC292+CB293*CC294</f>
        <v>130.8</v>
      </c>
      <c r="CD103" s="42" t="n">
        <f aca="false">CC291*CD292+CC293*CD294</f>
        <v>130.8</v>
      </c>
      <c r="CE103" s="42" t="n">
        <f aca="false">CD291*CE292+CD293*CE294</f>
        <v>130.8</v>
      </c>
      <c r="CF103" s="19" t="s">
        <v>218</v>
      </c>
    </row>
    <row r="104" customFormat="false" ht="15" hidden="false" customHeight="true" outlineLevel="0" collapsed="false">
      <c r="B104" s="29" t="s">
        <v>219</v>
      </c>
      <c r="C104" s="35" t="n">
        <v>0.639</v>
      </c>
      <c r="D104" s="35" t="n">
        <v>0.095</v>
      </c>
      <c r="E104" s="35" t="n">
        <v>-0.637</v>
      </c>
      <c r="F104" s="35" t="n">
        <v>0.205</v>
      </c>
      <c r="G104" s="35" t="n">
        <v>0.39</v>
      </c>
      <c r="H104" s="35" t="n">
        <v>0.064</v>
      </c>
      <c r="I104" s="35" t="n">
        <v>0.313</v>
      </c>
      <c r="J104" s="35" t="n">
        <v>0.285</v>
      </c>
      <c r="K104" s="35" t="n">
        <v>0.161</v>
      </c>
      <c r="L104" s="35" t="n">
        <v>0.059</v>
      </c>
      <c r="M104" s="35" t="n">
        <v>0.383</v>
      </c>
      <c r="N104" s="35" t="n">
        <v>0.888</v>
      </c>
      <c r="O104" s="35" t="n">
        <v>0.158</v>
      </c>
      <c r="P104" s="35" t="n">
        <v>0.35</v>
      </c>
      <c r="Q104" s="35" t="n">
        <v>0.083</v>
      </c>
      <c r="R104" s="35" t="n">
        <v>0.034</v>
      </c>
      <c r="S104" s="35" t="n">
        <v>0.625</v>
      </c>
      <c r="T104" s="35" t="n">
        <v>0.197</v>
      </c>
      <c r="U104" s="35" t="n">
        <v>0.362</v>
      </c>
      <c r="V104" s="35" t="n">
        <v>-0.184</v>
      </c>
      <c r="W104" s="35" t="n">
        <v>-0.441</v>
      </c>
      <c r="X104" s="35" t="n">
        <v>-0.066</v>
      </c>
      <c r="Y104" s="35" t="n">
        <v>-0.43</v>
      </c>
      <c r="Z104" s="35" t="n">
        <v>0.568</v>
      </c>
      <c r="AA104" s="35" t="n">
        <v>0.016</v>
      </c>
      <c r="AB104" s="35" t="n">
        <v>-0.177</v>
      </c>
      <c r="AC104" s="35" t="n">
        <v>-0.023</v>
      </c>
      <c r="AD104" s="35" t="n">
        <v>0.484</v>
      </c>
      <c r="AE104" s="35" t="n">
        <v>0.151</v>
      </c>
      <c r="AF104" s="35" t="n">
        <v>0.2</v>
      </c>
      <c r="AG104" s="35" t="n">
        <v>0.257</v>
      </c>
      <c r="AH104" s="35" t="n">
        <v>1.092</v>
      </c>
      <c r="AI104" s="35" t="n">
        <v>0.36</v>
      </c>
      <c r="AJ104" s="35" t="n">
        <v>-0.25</v>
      </c>
      <c r="AK104" s="35" t="n">
        <v>-0.112</v>
      </c>
      <c r="AL104" s="35" t="n">
        <v>-0.056</v>
      </c>
      <c r="AM104" s="35" t="n">
        <v>-0.058</v>
      </c>
      <c r="AN104" s="35" t="n">
        <v>-0.332</v>
      </c>
      <c r="AO104" s="35" t="n">
        <v>2.484</v>
      </c>
      <c r="AP104" s="35" t="n">
        <v>0.268</v>
      </c>
      <c r="AQ104" s="35" t="n">
        <v>0.019</v>
      </c>
      <c r="AR104" s="35" t="n">
        <v>2.439</v>
      </c>
      <c r="AS104" s="35" t="n">
        <v>0.195</v>
      </c>
      <c r="AT104" s="35" t="n">
        <v>0.107</v>
      </c>
      <c r="AU104" s="35" t="n">
        <v>0.632</v>
      </c>
      <c r="AV104" s="35" t="n">
        <v>0.432</v>
      </c>
      <c r="AW104" s="35" t="n">
        <v>1.366</v>
      </c>
      <c r="AX104" s="35" t="n">
        <v>0.711</v>
      </c>
      <c r="AY104" s="35" t="n">
        <v>0.306</v>
      </c>
      <c r="AZ104" s="35" t="n">
        <v>0.162</v>
      </c>
      <c r="BA104" s="35" t="n">
        <v>0.264</v>
      </c>
      <c r="BB104" s="35" t="n">
        <v>1.443</v>
      </c>
      <c r="BC104" s="35" t="n">
        <v>0.226</v>
      </c>
      <c r="BD104" s="35" t="n">
        <v>0.314</v>
      </c>
      <c r="BE104" s="35" t="n">
        <v>0.145</v>
      </c>
      <c r="BF104" s="35" t="n">
        <v>-0.12</v>
      </c>
      <c r="BG104" s="35" t="n">
        <v>0.565</v>
      </c>
      <c r="BH104" s="35" t="n">
        <v>0.639</v>
      </c>
      <c r="BI104" s="35" t="n">
        <v>0.343</v>
      </c>
      <c r="BJ104" s="35" t="n">
        <v>0.906</v>
      </c>
      <c r="BK104" s="35" t="n">
        <v>1.04</v>
      </c>
      <c r="BL104" s="35" t="n">
        <v>2.928</v>
      </c>
      <c r="BM104" s="35" t="n">
        <v>0.679</v>
      </c>
      <c r="BN104" s="35" t="n">
        <v>0.46</v>
      </c>
      <c r="BO104" s="35" t="n">
        <v>0.659</v>
      </c>
      <c r="BP104" s="35" t="n">
        <v>0.646</v>
      </c>
      <c r="BQ104" s="35" t="n">
        <v>2.444</v>
      </c>
      <c r="BR104" s="35" t="n">
        <v>0.919</v>
      </c>
      <c r="BS104" s="35" t="n">
        <v>0.636</v>
      </c>
      <c r="BT104" s="35" t="n">
        <v>1.662</v>
      </c>
      <c r="BU104" s="35" t="n">
        <v>1.216</v>
      </c>
      <c r="BV104" s="35" t="n">
        <v>4.433</v>
      </c>
      <c r="BW104" s="35" t="n">
        <v>1.044</v>
      </c>
      <c r="BX104" s="35" t="n">
        <v>1.254</v>
      </c>
      <c r="BY104" s="35" t="n">
        <v>1.285</v>
      </c>
      <c r="BZ104" s="42" t="n">
        <f aca="false">AVERAGE(BW104,BX104,BY104)</f>
        <v>1.19433333333333</v>
      </c>
      <c r="CA104" s="42" t="n">
        <f aca="false">SUM(BW104,BX104,BY104,BZ104)</f>
        <v>4.77733333333333</v>
      </c>
      <c r="CB104" s="42" t="n">
        <f aca="false">CA104</f>
        <v>4.77733333333333</v>
      </c>
      <c r="CC104" s="42" t="n">
        <f aca="false">CB104</f>
        <v>4.77733333333333</v>
      </c>
      <c r="CD104" s="42" t="n">
        <f aca="false">CC104</f>
        <v>4.77733333333333</v>
      </c>
      <c r="CE104" s="42" t="n">
        <f aca="false">CD104</f>
        <v>4.77733333333333</v>
      </c>
      <c r="CF104" s="19" t="s">
        <v>220</v>
      </c>
    </row>
    <row r="105" customFormat="false" ht="15" hidden="false" customHeight="true" outlineLevel="0" collapsed="false">
      <c r="B105" s="16" t="s">
        <v>221</v>
      </c>
      <c r="C105" s="53" t="n">
        <f aca="false">C102-C103+C104</f>
        <v>63.983</v>
      </c>
      <c r="D105" s="53" t="n">
        <f aca="false">D102-D103+D104</f>
        <v>82.816</v>
      </c>
      <c r="E105" s="53" t="n">
        <f aca="false">E102-E103+E104</f>
        <v>102.837</v>
      </c>
      <c r="F105" s="53" t="n">
        <f aca="false">F102-F103+F104</f>
        <v>87.845</v>
      </c>
      <c r="G105" s="53" t="n">
        <f aca="false">G102-G103+G104</f>
        <v>109.055</v>
      </c>
      <c r="H105" s="53" t="n">
        <f aca="false">H102-H103+H104</f>
        <v>138.353</v>
      </c>
      <c r="I105" s="53" t="n">
        <f aca="false">I102-I103+I104</f>
        <v>161.175</v>
      </c>
      <c r="J105" s="53" t="n">
        <f aca="false">J102-J103+J104</f>
        <v>34.584</v>
      </c>
      <c r="K105" s="53" t="n">
        <f aca="false">K102-K103+K104</f>
        <v>44.046</v>
      </c>
      <c r="L105" s="53" t="n">
        <f aca="false">L102-L103+L104</f>
        <v>47.368</v>
      </c>
      <c r="M105" s="53" t="n">
        <f aca="false">M102-M103+M104</f>
        <v>54.763</v>
      </c>
      <c r="N105" s="53" t="n">
        <f aca="false">N102-N103+N104</f>
        <v>180.761</v>
      </c>
      <c r="O105" s="53" t="n">
        <f aca="false">O102-O103+O104</f>
        <v>49.262</v>
      </c>
      <c r="P105" s="53" t="n">
        <f aca="false">P102-P103+P104</f>
        <v>48.08</v>
      </c>
      <c r="Q105" s="53" t="n">
        <f aca="false">Q102-Q103+Q104</f>
        <v>48.752</v>
      </c>
      <c r="R105" s="53" t="n">
        <f aca="false">R102-R103+R104</f>
        <v>52.478</v>
      </c>
      <c r="S105" s="53" t="n">
        <f aca="false">S102-S103+S104</f>
        <v>198.572</v>
      </c>
      <c r="T105" s="53" t="n">
        <f aca="false">T102-T103+T104</f>
        <v>45.491</v>
      </c>
      <c r="U105" s="53" t="n">
        <f aca="false">U102-U103+U104</f>
        <v>55.004</v>
      </c>
      <c r="V105" s="53" t="n">
        <f aca="false">V102-V103+V104</f>
        <v>57.238</v>
      </c>
      <c r="W105" s="53" t="n">
        <f aca="false">W102-W103+W104</f>
        <v>67.231</v>
      </c>
      <c r="X105" s="53" t="n">
        <f aca="false">X102-X103+X104</f>
        <v>224.964</v>
      </c>
      <c r="Y105" s="53" t="n">
        <f aca="false">Y102-Y103+Y104</f>
        <v>50.624</v>
      </c>
      <c r="Z105" s="53" t="n">
        <f aca="false">Z102-Z103+Z104</f>
        <v>65.029</v>
      </c>
      <c r="AA105" s="53" t="n">
        <f aca="false">AA102-AA103+AA104</f>
        <v>67.576</v>
      </c>
      <c r="AB105" s="53" t="n">
        <f aca="false">AB102-AB103+AB104</f>
        <v>73.821</v>
      </c>
      <c r="AC105" s="53" t="n">
        <f aca="false">AC102-AC103+AC104</f>
        <v>257.05</v>
      </c>
      <c r="AD105" s="53" t="n">
        <f aca="false">AD102-AD103+AD104</f>
        <v>63.065</v>
      </c>
      <c r="AE105" s="53" t="n">
        <f aca="false">AE102-AE103+AE104</f>
        <v>74.733</v>
      </c>
      <c r="AF105" s="53" t="n">
        <f aca="false">AF102-AF103+AF104</f>
        <v>73.875</v>
      </c>
      <c r="AG105" s="53" t="n">
        <f aca="false">AG102-AG103+AG104</f>
        <v>86.287</v>
      </c>
      <c r="AH105" s="53" t="n">
        <f aca="false">AH102-AH103+AH104</f>
        <v>297.96</v>
      </c>
      <c r="AI105" s="53" t="n">
        <f aca="false">AI102-AI103+AI104</f>
        <v>75.195</v>
      </c>
      <c r="AJ105" s="53" t="n">
        <f aca="false">AJ102-AJ103+AJ104</f>
        <v>86.411</v>
      </c>
      <c r="AK105" s="53" t="n">
        <f aca="false">AK102-AK103+AK104</f>
        <v>96.099</v>
      </c>
      <c r="AL105" s="53" t="n">
        <f aca="false">AL102-AL103+AL104</f>
        <v>98.581</v>
      </c>
      <c r="AM105" s="53" t="n">
        <f aca="false">AM102-AM103+AM104</f>
        <v>356.286</v>
      </c>
      <c r="AN105" s="53" t="n">
        <f aca="false">AN102-AN103+AN104</f>
        <v>92.126</v>
      </c>
      <c r="AO105" s="53" t="n">
        <f aca="false">AO102-AO103+AO104</f>
        <v>116.183</v>
      </c>
      <c r="AP105" s="53" t="n">
        <f aca="false">AP102-AP103+AP104</f>
        <v>114.159</v>
      </c>
      <c r="AQ105" s="53" t="n">
        <f aca="false">AQ102-AQ103+AQ104</f>
        <v>115.373</v>
      </c>
      <c r="AR105" s="53" t="n">
        <f aca="false">AR102-AR103+AR104</f>
        <v>437.841</v>
      </c>
      <c r="AS105" s="53" t="n">
        <f aca="false">AS102-AS103+AS104</f>
        <v>106.902</v>
      </c>
      <c r="AT105" s="53" t="n">
        <f aca="false">AT102-AT103+AT104</f>
        <v>104.509</v>
      </c>
      <c r="AU105" s="53" t="n">
        <f aca="false">AU102-AU103+AU104</f>
        <v>66.464</v>
      </c>
      <c r="AV105" s="53" t="n">
        <f aca="false">AV102-AV103+AV104</f>
        <v>86.98</v>
      </c>
      <c r="AW105" s="53" t="n">
        <f aca="false">AW102-AW103+AW104</f>
        <v>364.855</v>
      </c>
      <c r="AX105" s="53" t="n">
        <f aca="false">AX102-AX103+AX104</f>
        <v>78.548</v>
      </c>
      <c r="AY105" s="53" t="n">
        <f aca="false">AY102-AY103+AY104</f>
        <v>94.971</v>
      </c>
      <c r="AZ105" s="53" t="n">
        <f aca="false">AZ102-AZ103+AZ104</f>
        <v>99.283</v>
      </c>
      <c r="BA105" s="53" t="n">
        <f aca="false">BA102-BA103+BA104</f>
        <v>114.256</v>
      </c>
      <c r="BB105" s="53" t="n">
        <f aca="false">BB102-BB103+BB104</f>
        <v>387.058</v>
      </c>
      <c r="BC105" s="53" t="n">
        <f aca="false">BC102-BC103+BC104</f>
        <v>98.252</v>
      </c>
      <c r="BD105" s="53" t="n">
        <f aca="false">BD102-BD103+BD104</f>
        <v>122.112</v>
      </c>
      <c r="BE105" s="53" t="n">
        <f aca="false">BE102-BE103+BE104</f>
        <v>127.486</v>
      </c>
      <c r="BF105" s="53" t="n">
        <f aca="false">BF102-BF103+BF104</f>
        <v>143.173</v>
      </c>
      <c r="BG105" s="53" t="n">
        <f aca="false">BG102-BG103+BG104</f>
        <v>491.023</v>
      </c>
      <c r="BH105" s="53" t="n">
        <f aca="false">BH102-BH103+BH104</f>
        <v>124.005</v>
      </c>
      <c r="BI105" s="53" t="n">
        <f aca="false">BI102-BI103+BI104</f>
        <v>146.06</v>
      </c>
      <c r="BJ105" s="53" t="n">
        <f aca="false">BJ102-BJ103+BJ104</f>
        <v>138.153</v>
      </c>
      <c r="BK105" s="53" t="n">
        <f aca="false">BK102-BK103+BK104</f>
        <v>147.065</v>
      </c>
      <c r="BL105" s="53" t="n">
        <f aca="false">BL102-BL103+BL104</f>
        <v>555.283</v>
      </c>
      <c r="BM105" s="53" t="n">
        <f aca="false">BM102-BM103+BM104</f>
        <v>142.282</v>
      </c>
      <c r="BN105" s="53" t="n">
        <f aca="false">BN102-BN103+BN104</f>
        <v>171.101</v>
      </c>
      <c r="BO105" s="53" t="n">
        <f aca="false">BO102-BO103+BO104</f>
        <v>180.317</v>
      </c>
      <c r="BP105" s="53" t="n">
        <f aca="false">BP102-BP103+BP104</f>
        <v>183.886</v>
      </c>
      <c r="BQ105" s="53" t="n">
        <f aca="false">BQ102-BQ103+BQ104</f>
        <v>677.586</v>
      </c>
      <c r="BR105" s="53" t="n">
        <f aca="false">BR102-BR103+BR104</f>
        <v>195.266</v>
      </c>
      <c r="BS105" s="53" t="n">
        <f aca="false">BS102-BS103+BS104</f>
        <v>215.923</v>
      </c>
      <c r="BT105" s="53" t="n">
        <f aca="false">BT102-BT103+BT104</f>
        <v>234.98</v>
      </c>
      <c r="BU105" s="53" t="n">
        <f aca="false">BU102-BU103+BU104</f>
        <v>247.385</v>
      </c>
      <c r="BV105" s="53" t="n">
        <f aca="false">BV102-BV103+BV104</f>
        <v>893.554</v>
      </c>
      <c r="BW105" s="53" t="n">
        <f aca="false">BW102-BW103+BW104</f>
        <v>231.457</v>
      </c>
      <c r="BX105" s="53" t="n">
        <f aca="false">BX102-BX103+BX104</f>
        <v>317.53</v>
      </c>
      <c r="BY105" s="53" t="n">
        <f aca="false">BY102-BY103+BY104</f>
        <v>320.578</v>
      </c>
      <c r="BZ105" s="18" t="n">
        <f aca="false">BZ102-BZ103+BZ104</f>
        <v>328.142942495915</v>
      </c>
      <c r="CA105" s="18" t="n">
        <f aca="false">CA102-CA103+CA104</f>
        <v>1197.70794249592</v>
      </c>
      <c r="CB105" s="18" t="n">
        <f aca="false">CB102-CB103+CB104</f>
        <v>1385.36881662762</v>
      </c>
      <c r="CC105" s="18" t="n">
        <f aca="false">CC102-CC103+CC104</f>
        <v>1571.57590056206</v>
      </c>
      <c r="CD105" s="18" t="n">
        <f aca="false">CD102-CD103+CD104</f>
        <v>1727.20715381334</v>
      </c>
      <c r="CE105" s="18" t="n">
        <f aca="false">CE102-CE103+CE104</f>
        <v>1895.96390277266</v>
      </c>
      <c r="CH105" s="20" t="n">
        <f aca="false">IFERROR((CE105/BV105)^(1/5)-1,"n/m")</f>
        <v>0.162363200947388</v>
      </c>
      <c r="CI105" s="20" t="n">
        <f aca="false">IFERROR((BV105/AW105)^(1/5)-1,"n/m")</f>
        <v>0.196189814816078</v>
      </c>
      <c r="CJ105" s="20" t="n">
        <f aca="false">IFERROR((BV105/X105)^(1/10)-1,"n/m")</f>
        <v>0.147891335564441</v>
      </c>
      <c r="CK105" s="20" t="n">
        <f aca="false">IFERROR((BV105/C105)^(1/19)-1,"n/m")</f>
        <v>0.148857373669114</v>
      </c>
    </row>
    <row r="106" customFormat="false" ht="15" hidden="false" customHeight="true" outlineLevel="0" collapsed="false">
      <c r="B106" s="29" t="s">
        <v>222</v>
      </c>
      <c r="C106" s="35" t="n">
        <v>20.9</v>
      </c>
      <c r="D106" s="35" t="n">
        <v>27.53</v>
      </c>
      <c r="E106" s="35" t="n">
        <v>35.45</v>
      </c>
      <c r="F106" s="35" t="n">
        <v>28</v>
      </c>
      <c r="G106" s="35" t="n">
        <v>36.7</v>
      </c>
      <c r="H106" s="35" t="n">
        <v>42.9</v>
      </c>
      <c r="I106" s="35" t="n">
        <v>54.5</v>
      </c>
      <c r="J106" s="35" t="n">
        <v>9.6</v>
      </c>
      <c r="K106" s="35" t="n">
        <v>15</v>
      </c>
      <c r="L106" s="35" t="n">
        <v>12.6</v>
      </c>
      <c r="M106" s="35" t="n">
        <v>19</v>
      </c>
      <c r="N106" s="35" t="n">
        <v>56.2</v>
      </c>
      <c r="O106" s="35" t="n">
        <v>16.7</v>
      </c>
      <c r="P106" s="35" t="n">
        <v>15.3</v>
      </c>
      <c r="Q106" s="35" t="n">
        <v>11.4</v>
      </c>
      <c r="R106" s="35" t="n">
        <v>16.4</v>
      </c>
      <c r="S106" s="35" t="n">
        <v>59.8</v>
      </c>
      <c r="T106" s="35" t="n">
        <v>13.4</v>
      </c>
      <c r="U106" s="35" t="n">
        <v>16.5</v>
      </c>
      <c r="V106" s="35" t="n">
        <v>18.3</v>
      </c>
      <c r="W106" s="35" t="n">
        <v>23.2</v>
      </c>
      <c r="X106" s="35" t="n">
        <v>71.4</v>
      </c>
      <c r="Y106" s="35" t="n">
        <v>14.7</v>
      </c>
      <c r="Z106" s="35" t="n">
        <v>21.3</v>
      </c>
      <c r="AA106" s="35" t="n">
        <v>20.6</v>
      </c>
      <c r="AB106" s="35" t="n">
        <v>24.3</v>
      </c>
      <c r="AC106" s="35" t="n">
        <v>80.9</v>
      </c>
      <c r="AD106" s="35" t="n">
        <v>16.8</v>
      </c>
      <c r="AE106" s="35" t="n">
        <v>23.9</v>
      </c>
      <c r="AF106" s="35" t="n">
        <v>22.4</v>
      </c>
      <c r="AG106" s="35" t="n">
        <v>27.2</v>
      </c>
      <c r="AH106" s="35" t="n">
        <v>90.3</v>
      </c>
      <c r="AI106" s="35" t="n">
        <v>3.5</v>
      </c>
      <c r="AJ106" s="35" t="n">
        <v>20.4</v>
      </c>
      <c r="AK106" s="35" t="n">
        <v>22.2</v>
      </c>
      <c r="AL106" s="35" t="n">
        <v>24.5</v>
      </c>
      <c r="AM106" s="35" t="n">
        <v>70.6</v>
      </c>
      <c r="AN106" s="35" t="n">
        <v>4.1</v>
      </c>
      <c r="AO106" s="35" t="n">
        <v>26.1</v>
      </c>
      <c r="AP106" s="35" t="n">
        <v>25.1</v>
      </c>
      <c r="AQ106" s="35" t="n">
        <v>22.8</v>
      </c>
      <c r="AR106" s="35" t="n">
        <v>78.1</v>
      </c>
      <c r="AS106" s="35" t="n">
        <v>-22.9</v>
      </c>
      <c r="AT106" s="35" t="n">
        <v>23.6</v>
      </c>
      <c r="AU106" s="35" t="n">
        <v>8.9</v>
      </c>
      <c r="AV106" s="35" t="n">
        <v>19.4</v>
      </c>
      <c r="AW106" s="35" t="n">
        <v>29</v>
      </c>
      <c r="AX106" s="35" t="n">
        <v>2.3</v>
      </c>
      <c r="AY106" s="35" t="n">
        <v>18.5</v>
      </c>
      <c r="AZ106" s="35" t="n">
        <v>15.6</v>
      </c>
      <c r="BA106" s="35" t="n">
        <v>20.9</v>
      </c>
      <c r="BB106" s="35" t="n">
        <v>57.3</v>
      </c>
      <c r="BC106" s="35" t="n">
        <v>4</v>
      </c>
      <c r="BD106" s="35" t="n">
        <v>29</v>
      </c>
      <c r="BE106" s="35" t="n">
        <v>34.4</v>
      </c>
      <c r="BF106" s="35" t="n">
        <v>33</v>
      </c>
      <c r="BG106" s="35" t="n">
        <v>100.4</v>
      </c>
      <c r="BH106" s="35" t="n">
        <v>21</v>
      </c>
      <c r="BI106" s="35" t="n">
        <v>31</v>
      </c>
      <c r="BJ106" s="35" t="n">
        <v>25.4</v>
      </c>
      <c r="BK106" s="35" t="n">
        <v>33.5</v>
      </c>
      <c r="BL106" s="35" t="n">
        <v>110.9</v>
      </c>
      <c r="BM106" s="35" t="n">
        <v>16.8</v>
      </c>
      <c r="BN106" s="35" t="n">
        <v>36.2</v>
      </c>
      <c r="BO106" s="35" t="n">
        <v>32.5</v>
      </c>
      <c r="BP106" s="35" t="n">
        <v>33</v>
      </c>
      <c r="BQ106" s="35" t="n">
        <v>118.5</v>
      </c>
      <c r="BR106" s="35" t="n">
        <v>13.7</v>
      </c>
      <c r="BS106" s="35" t="n">
        <v>45.4</v>
      </c>
      <c r="BT106" s="35" t="n">
        <v>44.3</v>
      </c>
      <c r="BU106" s="35" t="n">
        <v>44.6</v>
      </c>
      <c r="BV106" s="35" t="n">
        <v>148</v>
      </c>
      <c r="BW106" s="35" t="n">
        <v>26.7</v>
      </c>
      <c r="BX106" s="35" t="n">
        <v>67.2</v>
      </c>
      <c r="BY106" s="35" t="n">
        <v>66.1</v>
      </c>
      <c r="BZ106" s="42" t="n">
        <f aca="false">BZ105*BZ107</f>
        <v>68.9100179241421</v>
      </c>
      <c r="CA106" s="42" t="n">
        <f aca="false">SUM(BW106,BX106,BY106,BZ106)</f>
        <v>228.910017924142</v>
      </c>
      <c r="CB106" s="42" t="n">
        <f aca="false">CB105*CB107</f>
        <v>284.000607408662</v>
      </c>
      <c r="CC106" s="42" t="n">
        <f aca="false">CC105*CC107</f>
        <v>322.173059615222</v>
      </c>
      <c r="CD106" s="42" t="n">
        <f aca="false">CD105*CD107</f>
        <v>354.077466531735</v>
      </c>
      <c r="CE106" s="42" t="n">
        <f aca="false">CE105*CE107</f>
        <v>388.672600068395</v>
      </c>
    </row>
    <row r="107" customFormat="false" ht="15" hidden="false" customHeight="true" outlineLevel="0" collapsed="false">
      <c r="B107" s="29" t="s">
        <v>223</v>
      </c>
      <c r="C107" s="30" t="n">
        <f aca="false">IF(AND(ISNUMBER(C106),ISNUMBER(C105)),IFERROR(C106/C105,""),"")</f>
        <v>0.326649266211337</v>
      </c>
      <c r="D107" s="30" t="n">
        <f aca="false">IF(AND(ISNUMBER(D106),ISNUMBER(D105)),IFERROR(D106/D105,""),"")</f>
        <v>0.332423686244204</v>
      </c>
      <c r="E107" s="30" t="n">
        <f aca="false">IF(AND(ISNUMBER(E106),ISNUMBER(E105)),IFERROR(E106/E105,""),"")</f>
        <v>0.344720285500355</v>
      </c>
      <c r="F107" s="30" t="n">
        <f aca="false">IF(AND(ISNUMBER(F106),ISNUMBER(F105)),IFERROR(F106/F105,""),"")</f>
        <v>0.318743240935739</v>
      </c>
      <c r="G107" s="30" t="n">
        <f aca="false">IF(AND(ISNUMBER(G106),ISNUMBER(G105)),IFERROR(G106/G105,""),"")</f>
        <v>0.336527440282426</v>
      </c>
      <c r="H107" s="30" t="n">
        <f aca="false">IF(AND(ISNUMBER(H106),ISNUMBER(H105)),IFERROR(H106/H105,""),"")</f>
        <v>0.310076398777041</v>
      </c>
      <c r="I107" s="30" t="n">
        <f aca="false">IF(AND(ISNUMBER(I106),ISNUMBER(I105)),IFERROR(I106/I105,""),"")</f>
        <v>0.338141771366527</v>
      </c>
      <c r="J107" s="30" t="n">
        <f aca="false">IF(AND(ISNUMBER(J106),ISNUMBER(J105)),IFERROR(J106/J105,""),"")</f>
        <v>0.277585010409438</v>
      </c>
      <c r="K107" s="30" t="n">
        <f aca="false">IF(AND(ISNUMBER(K106),ISNUMBER(K105)),IFERROR(K106/K105,""),"")</f>
        <v>0.340553058166462</v>
      </c>
      <c r="L107" s="30" t="n">
        <f aca="false">IF(AND(ISNUMBER(L106),ISNUMBER(L105)),IFERROR(L106/L105,""),"")</f>
        <v>0.266002364465462</v>
      </c>
      <c r="M107" s="30" t="n">
        <f aca="false">IF(AND(ISNUMBER(M106),ISNUMBER(M105)),IFERROR(M106/M105,""),"")</f>
        <v>0.346949582747476</v>
      </c>
      <c r="N107" s="30" t="n">
        <f aca="false">IF(AND(ISNUMBER(N106),ISNUMBER(N105)),IFERROR(N106/N105,""),"")</f>
        <v>0.310907773247548</v>
      </c>
      <c r="O107" s="30" t="n">
        <f aca="false">IF(AND(ISNUMBER(O106),ISNUMBER(O105)),IFERROR(O106/O105,""),"")</f>
        <v>0.339003694531282</v>
      </c>
      <c r="P107" s="30" t="n">
        <f aca="false">IF(AND(ISNUMBER(P106),ISNUMBER(P105)),IFERROR(P106/P105,""),"")</f>
        <v>0.318219633943427</v>
      </c>
      <c r="Q107" s="30" t="n">
        <f aca="false">IF(AND(ISNUMBER(Q106),ISNUMBER(Q105)),IFERROR(Q106/Q105,""),"")</f>
        <v>0.233836560551362</v>
      </c>
      <c r="R107" s="30" t="n">
        <f aca="false">IF(AND(ISNUMBER(R106),ISNUMBER(R105)),IFERROR(R106/R105,""),"")</f>
        <v>0.312511909752658</v>
      </c>
      <c r="S107" s="30" t="n">
        <f aca="false">IF(AND(ISNUMBER(S106),ISNUMBER(S105)),IFERROR(S106/S105,""),"")</f>
        <v>0.301150212517374</v>
      </c>
      <c r="T107" s="30" t="n">
        <f aca="false">IF(AND(ISNUMBER(T106),ISNUMBER(T105)),IFERROR(T106/T105,""),"")</f>
        <v>0.294563759864589</v>
      </c>
      <c r="U107" s="30" t="n">
        <f aca="false">IF(AND(ISNUMBER(U106),ISNUMBER(U105)),IFERROR(U106/U105,""),"")</f>
        <v>0.299978183404843</v>
      </c>
      <c r="V107" s="30" t="n">
        <f aca="false">IF(AND(ISNUMBER(V106),ISNUMBER(V105)),IFERROR(V106/V105,""),"")</f>
        <v>0.319717670079318</v>
      </c>
      <c r="W107" s="30" t="n">
        <f aca="false">IF(AND(ISNUMBER(W106),ISNUMBER(W105)),IFERROR(W106/W105,""),"")</f>
        <v>0.345078907051806</v>
      </c>
      <c r="X107" s="30" t="n">
        <f aca="false">IF(AND(ISNUMBER(X106),ISNUMBER(X105)),IFERROR(X106/X105,""),"")</f>
        <v>0.3173841147917</v>
      </c>
      <c r="Y107" s="30" t="n">
        <f aca="false">IF(AND(ISNUMBER(Y106),ISNUMBER(Y105)),IFERROR(Y106/Y105,""),"")</f>
        <v>0.29037610619469</v>
      </c>
      <c r="Z107" s="30" t="n">
        <f aca="false">IF(AND(ISNUMBER(Z106),ISNUMBER(Z105)),IFERROR(Z106/Z105,""),"")</f>
        <v>0.327546171708007</v>
      </c>
      <c r="AA107" s="30" t="n">
        <f aca="false">IF(AND(ISNUMBER(AA106),ISNUMBER(AA105)),IFERROR(AA106/AA105,""),"")</f>
        <v>0.304841955723926</v>
      </c>
      <c r="AB107" s="30" t="n">
        <f aca="false">IF(AND(ISNUMBER(AB106),ISNUMBER(AB105)),IFERROR(AB106/AB105,""),"")</f>
        <v>0.329174625106677</v>
      </c>
      <c r="AC107" s="30" t="n">
        <f aca="false">IF(AND(ISNUMBER(AC106),ISNUMBER(AC105)),IFERROR(AC106/AC105,""),"")</f>
        <v>0.31472476171951</v>
      </c>
      <c r="AD107" s="30" t="n">
        <f aca="false">IF(AND(ISNUMBER(AD106),ISNUMBER(AD105)),IFERROR(AD106/AD105,""),"")</f>
        <v>0.266391817965591</v>
      </c>
      <c r="AE107" s="30" t="n">
        <f aca="false">IF(AND(ISNUMBER(AE106),ISNUMBER(AE105)),IFERROR(AE106/AE105,""),"")</f>
        <v>0.319805173082842</v>
      </c>
      <c r="AF107" s="30" t="n">
        <f aca="false">IF(AND(ISNUMBER(AF106),ISNUMBER(AF105)),IFERROR(AF106/AF105,""),"")</f>
        <v>0.303214890016921</v>
      </c>
      <c r="AG107" s="30" t="n">
        <f aca="false">IF(AND(ISNUMBER(AG106),ISNUMBER(AG105)),IFERROR(AG106/AG105,""),"")</f>
        <v>0.315227090987055</v>
      </c>
      <c r="AH107" s="30" t="n">
        <f aca="false">IF(AND(ISNUMBER(AH106),ISNUMBER(AH105)),IFERROR(AH106/AH105,""),"")</f>
        <v>0.303060813532018</v>
      </c>
      <c r="AI107" s="30" t="n">
        <f aca="false">IF(AND(ISNUMBER(AI106),ISNUMBER(AI105)),IFERROR(AI106/AI105,""),"")</f>
        <v>0.0465456479819137</v>
      </c>
      <c r="AJ107" s="30" t="n">
        <f aca="false">IF(AND(ISNUMBER(AJ106),ISNUMBER(AJ105)),IFERROR(AJ106/AJ105,""),"")</f>
        <v>0.236081054495377</v>
      </c>
      <c r="AK107" s="30" t="n">
        <f aca="false">IF(AND(ISNUMBER(AK106),ISNUMBER(AK105)),IFERROR(AK106/AK105,""),"")</f>
        <v>0.231011769113102</v>
      </c>
      <c r="AL107" s="30" t="n">
        <f aca="false">IF(AND(ISNUMBER(AL106),ISNUMBER(AL105)),IFERROR(AL106/AL105,""),"")</f>
        <v>0.248526592345381</v>
      </c>
      <c r="AM107" s="30" t="n">
        <f aca="false">IF(AND(ISNUMBER(AM106),ISNUMBER(AM105)),IFERROR(AM106/AM105,""),"")</f>
        <v>0.198155414470397</v>
      </c>
      <c r="AN107" s="30" t="n">
        <f aca="false">IF(AND(ISNUMBER(AN106),ISNUMBER(AN105)),IFERROR(AN106/AN105,""),"")</f>
        <v>0.0445042658967067</v>
      </c>
      <c r="AO107" s="30" t="n">
        <f aca="false">IF(AND(ISNUMBER(AO106),ISNUMBER(AO105)),IFERROR(AO106/AO105,""),"")</f>
        <v>0.224645602196535</v>
      </c>
      <c r="AP107" s="30" t="n">
        <f aca="false">IF(AND(ISNUMBER(AP106),ISNUMBER(AP105)),IFERROR(AP106/AP105,""),"")</f>
        <v>0.219868779509281</v>
      </c>
      <c r="AQ107" s="30" t="n">
        <f aca="false">IF(AND(ISNUMBER(AQ106),ISNUMBER(AQ105)),IFERROR(AQ106/AQ105,""),"")</f>
        <v>0.197619893735969</v>
      </c>
      <c r="AR107" s="30" t="n">
        <f aca="false">IF(AND(ISNUMBER(AR106),ISNUMBER(AR105)),IFERROR(AR106/AR105,""),"")</f>
        <v>0.178375254944146</v>
      </c>
      <c r="AS107" s="30" t="n">
        <f aca="false">IF(AND(ISNUMBER(AS106),ISNUMBER(AS105)),IFERROR(AS106/AS105,""),"")</f>
        <v>-0.214214888402462</v>
      </c>
      <c r="AT107" s="30" t="n">
        <f aca="false">IF(AND(ISNUMBER(AT106),ISNUMBER(AT105)),IFERROR(AT106/AT105,""),"")</f>
        <v>0.225817872144983</v>
      </c>
      <c r="AU107" s="30" t="n">
        <f aca="false">IF(AND(ISNUMBER(AU106),ISNUMBER(AU105)),IFERROR(AU106/AU105,""),"")</f>
        <v>0.133907077515648</v>
      </c>
      <c r="AV107" s="30" t="n">
        <f aca="false">IF(AND(ISNUMBER(AV106),ISNUMBER(AV105)),IFERROR(AV106/AV105,""),"")</f>
        <v>0.2230397792596</v>
      </c>
      <c r="AW107" s="30" t="n">
        <f aca="false">IF(AND(ISNUMBER(AW106),ISNUMBER(AW105)),IFERROR(AW106/AW105,""),"")</f>
        <v>0.0794836304833427</v>
      </c>
      <c r="AX107" s="30" t="n">
        <f aca="false">IF(AND(ISNUMBER(AX106),ISNUMBER(AX105)),IFERROR(AX106/AX105,""),"")</f>
        <v>0.0292814584712533</v>
      </c>
      <c r="AY107" s="30" t="n">
        <f aca="false">IF(AND(ISNUMBER(AY106),ISNUMBER(AY105)),IFERROR(AY106/AY105,""),"")</f>
        <v>0.194796306240852</v>
      </c>
      <c r="AZ107" s="30" t="n">
        <f aca="false">IF(AND(ISNUMBER(AZ106),ISNUMBER(AZ105)),IFERROR(AZ106/AZ105,""),"")</f>
        <v>0.157126597705549</v>
      </c>
      <c r="BA107" s="30" t="n">
        <f aca="false">IF(AND(ISNUMBER(BA106),ISNUMBER(BA105)),IFERROR(BA106/BA105,""),"")</f>
        <v>0.182922559865565</v>
      </c>
      <c r="BB107" s="30" t="n">
        <f aca="false">IF(AND(ISNUMBER(BB106),ISNUMBER(BB105)),IFERROR(BB106/BB105,""),"")</f>
        <v>0.14803982865617</v>
      </c>
      <c r="BC107" s="30" t="n">
        <f aca="false">IF(AND(ISNUMBER(BC106),ISNUMBER(BC105)),IFERROR(BC106/BC105,""),"")</f>
        <v>0.040711639457721</v>
      </c>
      <c r="BD107" s="30" t="n">
        <f aca="false">IF(AND(ISNUMBER(BD106),ISNUMBER(BD105)),IFERROR(BD106/BD105,""),"")</f>
        <v>0.237486897274633</v>
      </c>
      <c r="BE107" s="30" t="n">
        <f aca="false">IF(AND(ISNUMBER(BE106),ISNUMBER(BE105)),IFERROR(BE106/BE105,""),"")</f>
        <v>0.269833550350627</v>
      </c>
      <c r="BF107" s="30" t="n">
        <f aca="false">IF(AND(ISNUMBER(BF106),ISNUMBER(BF105)),IFERROR(BF106/BF105,""),"")</f>
        <v>0.230490385757091</v>
      </c>
      <c r="BG107" s="30" t="n">
        <f aca="false">IF(AND(ISNUMBER(BG106),ISNUMBER(BG105)),IFERROR(BG106/BG105,""),"")</f>
        <v>0.204471073656428</v>
      </c>
      <c r="BH107" s="30" t="n">
        <f aca="false">IF(AND(ISNUMBER(BH106),ISNUMBER(BH105)),IFERROR(BH106/BH105,""),"")</f>
        <v>0.169348010160881</v>
      </c>
      <c r="BI107" s="30" t="n">
        <f aca="false">IF(AND(ISNUMBER(BI106),ISNUMBER(BI105)),IFERROR(BI106/BI105,""),"")</f>
        <v>0.212241544570724</v>
      </c>
      <c r="BJ107" s="30" t="n">
        <f aca="false">IF(AND(ISNUMBER(BJ106),ISNUMBER(BJ105)),IFERROR(BJ106/BJ105,""),"")</f>
        <v>0.183854132736893</v>
      </c>
      <c r="BK107" s="30" t="n">
        <f aca="false">IF(AND(ISNUMBER(BK106),ISNUMBER(BK105)),IFERROR(BK106/BK105,""),"")</f>
        <v>0.227790432801822</v>
      </c>
      <c r="BL107" s="30" t="n">
        <f aca="false">IF(AND(ISNUMBER(BL106),ISNUMBER(BL105)),IFERROR(BL106/BL105,""),"")</f>
        <v>0.199717981641793</v>
      </c>
      <c r="BM107" s="30" t="n">
        <f aca="false">IF(AND(ISNUMBER(BM106),ISNUMBER(BM105)),IFERROR(BM106/BM105,""),"")</f>
        <v>0.118075371445439</v>
      </c>
      <c r="BN107" s="30" t="n">
        <f aca="false">IF(AND(ISNUMBER(BN106),ISNUMBER(BN105)),IFERROR(BN106/BN105,""),"")</f>
        <v>0.211570943477829</v>
      </c>
      <c r="BO107" s="30" t="n">
        <f aca="false">IF(AND(ISNUMBER(BO106),ISNUMBER(BO105)),IFERROR(BO106/BO105,""),"")</f>
        <v>0.180238136171298</v>
      </c>
      <c r="BP107" s="30" t="n">
        <f aca="false">IF(AND(ISNUMBER(BP106),ISNUMBER(BP105)),IFERROR(BP106/BP105,""),"")</f>
        <v>0.179459012649141</v>
      </c>
      <c r="BQ107" s="30" t="n">
        <f aca="false">IF(AND(ISNUMBER(BQ106),ISNUMBER(BQ105)),IFERROR(BQ106/BQ105,""),"")</f>
        <v>0.174885549583374</v>
      </c>
      <c r="BR107" s="30" t="n">
        <f aca="false">IF(AND(ISNUMBER(BR106),ISNUMBER(BR105)),IFERROR(BR106/BR105,""),"")</f>
        <v>0.0701607038603751</v>
      </c>
      <c r="BS107" s="30" t="n">
        <f aca="false">IF(AND(ISNUMBER(BS106),ISNUMBER(BS105)),IFERROR(BS106/BS105,""),"")</f>
        <v>0.210260139031043</v>
      </c>
      <c r="BT107" s="30" t="n">
        <f aca="false">IF(AND(ISNUMBER(BT106),ISNUMBER(BT105)),IFERROR(BT106/BT105,""),"")</f>
        <v>0.188526683121968</v>
      </c>
      <c r="BU107" s="30" t="n">
        <f aca="false">IF(AND(ISNUMBER(BU106),ISNUMBER(BU105)),IFERROR(BU106/BU105,""),"")</f>
        <v>0.180285789356671</v>
      </c>
      <c r="BV107" s="30" t="n">
        <f aca="false">IF(AND(ISNUMBER(BV106),ISNUMBER(BV105)),IFERROR(BV106/BV105,""),"")</f>
        <v>0.165630728528998</v>
      </c>
      <c r="BW107" s="30" t="n">
        <f aca="false">IF(AND(ISNUMBER(BW106),ISNUMBER(BW105)),IFERROR(BW106/BW105,""),"")</f>
        <v>0.11535620007172</v>
      </c>
      <c r="BX107" s="30" t="n">
        <f aca="false">IF(AND(ISNUMBER(BX106),ISNUMBER(BX105)),IFERROR(BX106/BX105,""),"")</f>
        <v>0.211633546436557</v>
      </c>
      <c r="BY107" s="30" t="n">
        <f aca="false">IF(AND(ISNUMBER(BY106),ISNUMBER(BY105)),IFERROR(BY106/BY105,""),"")</f>
        <v>0.20619006918753</v>
      </c>
      <c r="BZ107" s="31" t="n">
        <v>0.21</v>
      </c>
      <c r="CA107" s="23" t="n">
        <f aca="false">CA106/CA105</f>
        <v>0.191123403128741</v>
      </c>
      <c r="CB107" s="31" t="n">
        <v>0.205</v>
      </c>
      <c r="CC107" s="31" t="n">
        <v>0.205</v>
      </c>
      <c r="CD107" s="31" t="n">
        <v>0.205</v>
      </c>
      <c r="CE107" s="31" t="n">
        <v>0.205</v>
      </c>
      <c r="CF107" s="19" t="s">
        <v>224</v>
      </c>
      <c r="CH107" s="33" t="n">
        <f aca="false">IFERROR(AVERAGE(CA107,CB107,CC107,CD107,CE107),"n/m")</f>
        <v>0.202224680625748</v>
      </c>
      <c r="CI107" s="33" t="n">
        <f aca="false">IFERROR(AVERAGE(BB107,BG107,BL107,BQ107,BV107),"n/m")</f>
        <v>0.178549032413353</v>
      </c>
      <c r="CJ107" s="33" t="n">
        <f aca="false">IFERROR(AVERAGE(AC107,AH107,AM107,AR107,AW107,BB107,BG107,BL107,BQ107,BV107),"n/m")</f>
        <v>0.196654503721618</v>
      </c>
      <c r="CK107" s="33" t="n">
        <f aca="false">IFERROR(AVERAGE(C107,D107,E107,F107,G107,H107,I107,N107,S107,X107,AC107,AH107,AM107,AR107,AW107,BB107,BG107,BL107,BQ107,BV107),"n/m")</f>
        <v>0.260163461354522</v>
      </c>
    </row>
    <row r="108" customFormat="false" ht="15" hidden="false" customHeight="true" outlineLevel="0" collapsed="false">
      <c r="B108" s="16" t="s">
        <v>225</v>
      </c>
      <c r="C108" s="53" t="n">
        <f aca="false">C105-C106</f>
        <v>43.083</v>
      </c>
      <c r="D108" s="53" t="n">
        <f aca="false">D105-D106</f>
        <v>55.286</v>
      </c>
      <c r="E108" s="53" t="n">
        <f aca="false">E105-E106</f>
        <v>67.387</v>
      </c>
      <c r="F108" s="53" t="n">
        <f aca="false">F105-F106</f>
        <v>59.845</v>
      </c>
      <c r="G108" s="53" t="n">
        <f aca="false">G105-G106</f>
        <v>72.355</v>
      </c>
      <c r="H108" s="53" t="n">
        <f aca="false">H105-H106</f>
        <v>95.453</v>
      </c>
      <c r="I108" s="53" t="n">
        <f aca="false">I105-I106</f>
        <v>106.675</v>
      </c>
      <c r="J108" s="53" t="n">
        <f aca="false">J105-J106</f>
        <v>24.984</v>
      </c>
      <c r="K108" s="53" t="n">
        <f aca="false">K105-K106</f>
        <v>29.046</v>
      </c>
      <c r="L108" s="53" t="n">
        <f aca="false">L105-L106</f>
        <v>34.768</v>
      </c>
      <c r="M108" s="53" t="n">
        <f aca="false">M105-M106</f>
        <v>35.763</v>
      </c>
      <c r="N108" s="53" t="n">
        <f aca="false">N105-N106</f>
        <v>124.561</v>
      </c>
      <c r="O108" s="53" t="n">
        <f aca="false">O105-O106</f>
        <v>32.562</v>
      </c>
      <c r="P108" s="53" t="n">
        <f aca="false">P105-P106</f>
        <v>32.78</v>
      </c>
      <c r="Q108" s="53" t="n">
        <f aca="false">Q105-Q106</f>
        <v>37.352</v>
      </c>
      <c r="R108" s="53" t="n">
        <f aca="false">R105-R106</f>
        <v>36.078</v>
      </c>
      <c r="S108" s="53" t="n">
        <f aca="false">S105-S106</f>
        <v>138.772</v>
      </c>
      <c r="T108" s="53" t="n">
        <f aca="false">T105-T106</f>
        <v>32.091</v>
      </c>
      <c r="U108" s="53" t="n">
        <f aca="false">U105-U106</f>
        <v>38.504</v>
      </c>
      <c r="V108" s="53" t="n">
        <f aca="false">V105-V106</f>
        <v>38.938</v>
      </c>
      <c r="W108" s="53" t="n">
        <f aca="false">W105-W106</f>
        <v>44.031</v>
      </c>
      <c r="X108" s="53" t="n">
        <f aca="false">X105-X106</f>
        <v>153.564</v>
      </c>
      <c r="Y108" s="53" t="n">
        <f aca="false">Y105-Y106</f>
        <v>35.924</v>
      </c>
      <c r="Z108" s="53" t="n">
        <f aca="false">Z105-Z106</f>
        <v>43.729</v>
      </c>
      <c r="AA108" s="53" t="n">
        <f aca="false">AA105-AA106</f>
        <v>46.976</v>
      </c>
      <c r="AB108" s="53" t="n">
        <f aca="false">AB105-AB106</f>
        <v>49.521</v>
      </c>
      <c r="AC108" s="53" t="n">
        <f aca="false">AC105-AC106</f>
        <v>176.15</v>
      </c>
      <c r="AD108" s="53" t="n">
        <f aca="false">AD105-AD106</f>
        <v>46.265</v>
      </c>
      <c r="AE108" s="53" t="n">
        <f aca="false">AE105-AE106</f>
        <v>50.833</v>
      </c>
      <c r="AF108" s="53" t="n">
        <f aca="false">AF105-AF106</f>
        <v>51.475</v>
      </c>
      <c r="AG108" s="53" t="n">
        <f aca="false">AG105-AG106</f>
        <v>59.087</v>
      </c>
      <c r="AH108" s="53" t="n">
        <f aca="false">AH105-AH106</f>
        <v>207.66</v>
      </c>
      <c r="AI108" s="53" t="n">
        <f aca="false">AI105-AI106</f>
        <v>71.695</v>
      </c>
      <c r="AJ108" s="53" t="n">
        <f aca="false">AJ105-AJ106</f>
        <v>66.011</v>
      </c>
      <c r="AK108" s="53" t="n">
        <f aca="false">AK105-AK106</f>
        <v>73.899</v>
      </c>
      <c r="AL108" s="53" t="n">
        <f aca="false">AL105-AL106</f>
        <v>74.081</v>
      </c>
      <c r="AM108" s="53" t="n">
        <f aca="false">AM105-AM106</f>
        <v>285.686</v>
      </c>
      <c r="AN108" s="53" t="n">
        <f aca="false">AN105-AN106</f>
        <v>88.026</v>
      </c>
      <c r="AO108" s="53" t="n">
        <f aca="false">AO105-AO106</f>
        <v>90.083</v>
      </c>
      <c r="AP108" s="53" t="n">
        <f aca="false">AP105-AP106</f>
        <v>89.059</v>
      </c>
      <c r="AQ108" s="53" t="n">
        <f aca="false">AQ105-AQ106</f>
        <v>92.573</v>
      </c>
      <c r="AR108" s="53" t="n">
        <f aca="false">AR105-AR106</f>
        <v>359.741</v>
      </c>
      <c r="AS108" s="53" t="n">
        <f aca="false">AS105-AS106</f>
        <v>129.802</v>
      </c>
      <c r="AT108" s="53" t="n">
        <f aca="false">AT105-AT106</f>
        <v>80.9090000000001</v>
      </c>
      <c r="AU108" s="53" t="n">
        <f aca="false">AU105-AU106</f>
        <v>57.564</v>
      </c>
      <c r="AV108" s="53" t="n">
        <f aca="false">AV105-AV106</f>
        <v>67.58</v>
      </c>
      <c r="AW108" s="53" t="n">
        <f aca="false">AW105-AW106</f>
        <v>335.855</v>
      </c>
      <c r="AX108" s="53" t="n">
        <f aca="false">AX105-AX106</f>
        <v>76.248</v>
      </c>
      <c r="AY108" s="53" t="n">
        <f aca="false">AY105-AY106</f>
        <v>76.471</v>
      </c>
      <c r="AZ108" s="53" t="n">
        <f aca="false">AZ105-AZ106</f>
        <v>83.683</v>
      </c>
      <c r="BA108" s="53" t="n">
        <f aca="false">BA105-BA106</f>
        <v>93.356</v>
      </c>
      <c r="BB108" s="53" t="n">
        <f aca="false">BB105-BB106</f>
        <v>329.758</v>
      </c>
      <c r="BC108" s="53" t="n">
        <f aca="false">BC105-BC106</f>
        <v>94.252</v>
      </c>
      <c r="BD108" s="53" t="n">
        <f aca="false">BD105-BD106</f>
        <v>93.112</v>
      </c>
      <c r="BE108" s="53" t="n">
        <f aca="false">BE105-BE106</f>
        <v>93.086</v>
      </c>
      <c r="BF108" s="53" t="n">
        <f aca="false">BF105-BF106</f>
        <v>110.173</v>
      </c>
      <c r="BG108" s="53" t="n">
        <f aca="false">BG105-BG106</f>
        <v>390.623</v>
      </c>
      <c r="BH108" s="53" t="n">
        <f aca="false">BH105-BH106</f>
        <v>103.005</v>
      </c>
      <c r="BI108" s="53" t="n">
        <f aca="false">BI105-BI106</f>
        <v>115.06</v>
      </c>
      <c r="BJ108" s="53" t="n">
        <f aca="false">BJ105-BJ106</f>
        <v>112.753</v>
      </c>
      <c r="BK108" s="53" t="n">
        <f aca="false">BK105-BK106</f>
        <v>113.565</v>
      </c>
      <c r="BL108" s="53" t="n">
        <f aca="false">BL105-BL106</f>
        <v>444.383</v>
      </c>
      <c r="BM108" s="53" t="n">
        <f aca="false">BM105-BM106</f>
        <v>125.482</v>
      </c>
      <c r="BN108" s="53" t="n">
        <f aca="false">BN105-BN106</f>
        <v>134.901</v>
      </c>
      <c r="BO108" s="53" t="n">
        <f aca="false">BO105-BO106</f>
        <v>147.817</v>
      </c>
      <c r="BP108" s="53" t="n">
        <f aca="false">BP105-BP106</f>
        <v>150.886</v>
      </c>
      <c r="BQ108" s="53" t="n">
        <f aca="false">BQ105-BQ106</f>
        <v>559.086</v>
      </c>
      <c r="BR108" s="53" t="n">
        <f aca="false">BR105-BR106</f>
        <v>181.566</v>
      </c>
      <c r="BS108" s="53" t="n">
        <f aca="false">BS105-BS106</f>
        <v>170.523</v>
      </c>
      <c r="BT108" s="53" t="n">
        <f aca="false">BT105-BT106</f>
        <v>190.68</v>
      </c>
      <c r="BU108" s="53" t="n">
        <f aca="false">BU105-BU106</f>
        <v>202.785</v>
      </c>
      <c r="BV108" s="53" t="n">
        <f aca="false">BV105-BV106</f>
        <v>745.554</v>
      </c>
      <c r="BW108" s="53" t="n">
        <f aca="false">BW105-BW106</f>
        <v>204.757</v>
      </c>
      <c r="BX108" s="53" t="n">
        <f aca="false">BX105-BX106</f>
        <v>250.33</v>
      </c>
      <c r="BY108" s="53" t="n">
        <f aca="false">BY105-BY106</f>
        <v>254.478</v>
      </c>
      <c r="BZ108" s="18" t="n">
        <f aca="false">BZ105-BZ106</f>
        <v>259.232924571773</v>
      </c>
      <c r="CA108" s="18" t="n">
        <f aca="false">CA105-CA106</f>
        <v>968.797924571773</v>
      </c>
      <c r="CB108" s="18" t="n">
        <f aca="false">CB105-CB106</f>
        <v>1101.36820921896</v>
      </c>
      <c r="CC108" s="18" t="n">
        <f aca="false">CC105-CC106</f>
        <v>1249.40284094684</v>
      </c>
      <c r="CD108" s="18" t="n">
        <f aca="false">CD105-CD106</f>
        <v>1373.12968728161</v>
      </c>
      <c r="CE108" s="18" t="n">
        <f aca="false">CE105-CE106</f>
        <v>1507.29130270426</v>
      </c>
      <c r="CH108" s="20" t="n">
        <f aca="false">IFERROR((CE108/BV108)^(1/5)-1,"n/m")</f>
        <v>0.151181012388033</v>
      </c>
      <c r="CI108" s="20" t="n">
        <f aca="false">IFERROR((BV108/AW108)^(1/5)-1,"n/m")</f>
        <v>0.172912074894507</v>
      </c>
      <c r="CJ108" s="20" t="n">
        <f aca="false">IFERROR((BV108/X108)^(1/10)-1,"n/m")</f>
        <v>0.17116738320137</v>
      </c>
      <c r="CK108" s="20" t="n">
        <f aca="false">IFERROR((BV108/C108)^(1/19)-1,"n/m")</f>
        <v>0.161895337152734</v>
      </c>
    </row>
    <row r="109" customFormat="false" ht="15" hidden="false" customHeight="true" outlineLevel="0" collapsed="false">
      <c r="B109" s="29" t="s">
        <v>226</v>
      </c>
      <c r="C109" s="35" t="n">
        <v>11.195</v>
      </c>
      <c r="D109" s="35" t="n">
        <v>16.281</v>
      </c>
      <c r="E109" s="35" t="n">
        <v>18.876</v>
      </c>
      <c r="F109" s="35" t="n">
        <v>15.219</v>
      </c>
      <c r="G109" s="35" t="n">
        <v>17.417</v>
      </c>
      <c r="H109" s="35" t="n">
        <v>22.633</v>
      </c>
      <c r="I109" s="35" t="n">
        <v>21.528</v>
      </c>
      <c r="J109" s="35" t="n">
        <v>5.026</v>
      </c>
      <c r="K109" s="35" t="n">
        <v>5.346</v>
      </c>
      <c r="L109" s="35" t="n">
        <v>5.821</v>
      </c>
      <c r="M109" s="35" t="n">
        <v>5.972</v>
      </c>
      <c r="N109" s="35" t="n">
        <v>22.165</v>
      </c>
      <c r="O109" s="35" t="n">
        <v>5.107</v>
      </c>
      <c r="P109" s="35" t="n">
        <v>4.413</v>
      </c>
      <c r="Q109" s="35" t="n">
        <v>3.986</v>
      </c>
      <c r="R109" s="35" t="n">
        <v>3.973</v>
      </c>
      <c r="S109" s="35" t="n">
        <v>17.479</v>
      </c>
      <c r="T109" s="35" t="n">
        <v>4.451</v>
      </c>
      <c r="U109" s="35" t="n">
        <v>5.399</v>
      </c>
      <c r="V109" s="35" t="n">
        <v>4.569</v>
      </c>
      <c r="W109" s="35" t="n">
        <v>5.781</v>
      </c>
      <c r="X109" s="35" t="n">
        <v>20.2</v>
      </c>
      <c r="Y109" s="35" t="n">
        <v>4.653</v>
      </c>
      <c r="Z109" s="35" t="n">
        <v>5.072</v>
      </c>
      <c r="AA109" s="35" t="n">
        <v>4.974</v>
      </c>
      <c r="AB109" s="35" t="n">
        <v>5.259</v>
      </c>
      <c r="AC109" s="35" t="n">
        <v>19.958</v>
      </c>
      <c r="AD109" s="35" t="n">
        <v>5.338</v>
      </c>
      <c r="AE109" s="35" t="n">
        <v>5.147</v>
      </c>
      <c r="AF109" s="35" t="n">
        <v>5.777</v>
      </c>
      <c r="AG109" s="35" t="n">
        <v>5.413</v>
      </c>
      <c r="AH109" s="35" t="n">
        <v>21.675</v>
      </c>
      <c r="AI109" s="35" t="n">
        <v>6.543</v>
      </c>
      <c r="AJ109" s="35" t="n">
        <v>6.393</v>
      </c>
      <c r="AK109" s="35" t="n">
        <v>6.813</v>
      </c>
      <c r="AL109" s="35" t="n">
        <v>6.704</v>
      </c>
      <c r="AM109" s="35" t="n">
        <v>26.453</v>
      </c>
      <c r="AN109" s="35" t="n">
        <v>8.694</v>
      </c>
      <c r="AO109" s="35" t="n">
        <v>8.301</v>
      </c>
      <c r="AP109" s="35" t="n">
        <v>7.961</v>
      </c>
      <c r="AQ109" s="35" t="n">
        <v>6.889</v>
      </c>
      <c r="AR109" s="35" t="n">
        <v>31.845</v>
      </c>
      <c r="AS109" s="35" t="n">
        <v>7.914</v>
      </c>
      <c r="AT109" s="35" t="n">
        <v>5.456</v>
      </c>
      <c r="AU109" s="35" t="n">
        <v>3.248</v>
      </c>
      <c r="AV109" s="35" t="n">
        <v>5.253</v>
      </c>
      <c r="AW109" s="35" t="n">
        <v>21.871</v>
      </c>
      <c r="AX109" s="35" t="n">
        <v>5.652</v>
      </c>
      <c r="AY109" s="35" t="n">
        <v>5.798</v>
      </c>
      <c r="AZ109" s="35" t="n">
        <v>6.794</v>
      </c>
      <c r="BA109" s="35" t="n">
        <v>7.294</v>
      </c>
      <c r="BB109" s="35" t="n">
        <v>25.538</v>
      </c>
      <c r="BC109" s="35" t="n">
        <v>7.331</v>
      </c>
      <c r="BD109" s="35" t="n">
        <v>8.102</v>
      </c>
      <c r="BE109" s="35" t="n">
        <v>10.546</v>
      </c>
      <c r="BF109" s="35" t="n">
        <v>12.969</v>
      </c>
      <c r="BG109" s="35" t="n">
        <v>38.948</v>
      </c>
      <c r="BH109" s="35" t="n">
        <v>9.978</v>
      </c>
      <c r="BI109" s="35" t="n">
        <v>9.94</v>
      </c>
      <c r="BJ109" s="35" t="n">
        <v>10.73</v>
      </c>
      <c r="BK109" s="35" t="n">
        <v>10.139</v>
      </c>
      <c r="BL109" s="35" t="n">
        <v>40.787</v>
      </c>
      <c r="BM109" s="35" t="n">
        <v>10.784</v>
      </c>
      <c r="BN109" s="35" t="n">
        <v>11.755</v>
      </c>
      <c r="BO109" s="35" t="n">
        <v>11.24</v>
      </c>
      <c r="BP109" s="35" t="n">
        <v>11.198</v>
      </c>
      <c r="BQ109" s="35" t="n">
        <v>44.977</v>
      </c>
      <c r="BR109" s="35" t="n">
        <v>13.611</v>
      </c>
      <c r="BS109" s="35" t="n">
        <v>13.73</v>
      </c>
      <c r="BT109" s="35" t="n">
        <v>13.339</v>
      </c>
      <c r="BU109" s="35" t="n">
        <v>14.489</v>
      </c>
      <c r="BV109" s="35" t="n">
        <v>55.169</v>
      </c>
      <c r="BW109" s="35" t="n">
        <v>14.569</v>
      </c>
      <c r="BX109" s="35" t="n">
        <v>16.529</v>
      </c>
      <c r="BY109" s="35" t="n">
        <v>19.039</v>
      </c>
      <c r="BZ109" s="42" t="n">
        <f aca="false">BZ108*BZ110</f>
        <v>18.3170831978113</v>
      </c>
      <c r="CA109" s="42" t="n">
        <f aca="false">SUM(BW109,BX109,BY109,BZ109)</f>
        <v>68.4540831978113</v>
      </c>
      <c r="CB109" s="42" t="n">
        <f aca="false">CB108*CB110</f>
        <v>77.8213382926312</v>
      </c>
      <c r="CC109" s="42" t="n">
        <f aca="false">CC108*CC110</f>
        <v>88.2812853460241</v>
      </c>
      <c r="CD109" s="42" t="n">
        <f aca="false">CD108*CD110</f>
        <v>97.0236738441692</v>
      </c>
      <c r="CE109" s="42" t="n">
        <f aca="false">CE108*CE110</f>
        <v>106.503370436371</v>
      </c>
    </row>
    <row r="110" customFormat="false" ht="15" hidden="false" customHeight="true" outlineLevel="0" collapsed="false">
      <c r="B110" s="29" t="s">
        <v>227</v>
      </c>
      <c r="C110" s="30" t="n">
        <f aca="false">IF(AND(ISNUMBER(C109),ISNUMBER(C108)),IFERROR(C109/C108,""),"")</f>
        <v>0.259847271545621</v>
      </c>
      <c r="D110" s="30" t="n">
        <f aca="false">IF(AND(ISNUMBER(D109),ISNUMBER(D108)),IFERROR(D109/D108,""),"")</f>
        <v>0.294486850197157</v>
      </c>
      <c r="E110" s="30" t="n">
        <f aca="false">IF(AND(ISNUMBER(E109),ISNUMBER(E108)),IFERROR(E109/E108,""),"")</f>
        <v>0.280113374983305</v>
      </c>
      <c r="F110" s="30" t="n">
        <f aca="false">IF(AND(ISNUMBER(F109),ISNUMBER(F108)),IFERROR(F109/F108,""),"")</f>
        <v>0.254306959645751</v>
      </c>
      <c r="G110" s="30" t="n">
        <f aca="false">IF(AND(ISNUMBER(G109),ISNUMBER(G108)),IFERROR(G109/G108,""),"")</f>
        <v>0.240715914587796</v>
      </c>
      <c r="H110" s="30" t="n">
        <f aca="false">IF(AND(ISNUMBER(H109),ISNUMBER(H108)),IFERROR(H109/H108,""),"")</f>
        <v>0.237111457995034</v>
      </c>
      <c r="I110" s="30" t="n">
        <f aca="false">IF(AND(ISNUMBER(I109),ISNUMBER(I108)),IFERROR(I109/I108,""),"")</f>
        <v>0.201809233653621</v>
      </c>
      <c r="J110" s="30" t="n">
        <f aca="false">IF(AND(ISNUMBER(J109),ISNUMBER(J108)),IFERROR(J109/J108,""),"")</f>
        <v>0.201168747998719</v>
      </c>
      <c r="K110" s="30" t="n">
        <f aca="false">IF(AND(ISNUMBER(K109),ISNUMBER(K108)),IFERROR(K109/K108,""),"")</f>
        <v>0.184052881636026</v>
      </c>
      <c r="L110" s="30" t="n">
        <f aca="false">IF(AND(ISNUMBER(L109),ISNUMBER(L108)),IFERROR(L109/L108,""),"")</f>
        <v>0.167424068108606</v>
      </c>
      <c r="M110" s="30" t="n">
        <f aca="false">IF(AND(ISNUMBER(M109),ISNUMBER(M108)),IFERROR(M109/M108,""),"")</f>
        <v>0.16698822805693</v>
      </c>
      <c r="N110" s="30" t="n">
        <f aca="false">IF(AND(ISNUMBER(N109),ISNUMBER(N108)),IFERROR(N109/N108,""),"")</f>
        <v>0.177944942638547</v>
      </c>
      <c r="O110" s="30" t="n">
        <f aca="false">IF(AND(ISNUMBER(O109),ISNUMBER(O108)),IFERROR(O109/O108,""),"")</f>
        <v>0.156839260487685</v>
      </c>
      <c r="P110" s="30" t="n">
        <f aca="false">IF(AND(ISNUMBER(P109),ISNUMBER(P108)),IFERROR(P109/P108,""),"")</f>
        <v>0.134624771201952</v>
      </c>
      <c r="Q110" s="30" t="n">
        <f aca="false">IF(AND(ISNUMBER(Q109),ISNUMBER(Q108)),IFERROR(Q109/Q108,""),"")</f>
        <v>0.106714499892911</v>
      </c>
      <c r="R110" s="30" t="n">
        <f aca="false">IF(AND(ISNUMBER(R109),ISNUMBER(R108)),IFERROR(R109/R108,""),"")</f>
        <v>0.110122512334387</v>
      </c>
      <c r="S110" s="30" t="n">
        <f aca="false">IF(AND(ISNUMBER(S109),ISNUMBER(S108)),IFERROR(S109/S108,""),"")</f>
        <v>0.125954803562678</v>
      </c>
      <c r="T110" s="30" t="n">
        <f aca="false">IF(AND(ISNUMBER(T109),ISNUMBER(T108)),IFERROR(T109/T108,""),"")</f>
        <v>0.13869932379795</v>
      </c>
      <c r="U110" s="30" t="n">
        <f aca="false">IF(AND(ISNUMBER(U109),ISNUMBER(U108)),IFERROR(U109/U108,""),"")</f>
        <v>0.140219198005402</v>
      </c>
      <c r="V110" s="30" t="n">
        <f aca="false">IF(AND(ISNUMBER(V109),ISNUMBER(V108)),IFERROR(V109/V108,""),"")</f>
        <v>0.117340387282346</v>
      </c>
      <c r="W110" s="30" t="n">
        <f aca="false">IF(AND(ISNUMBER(W109),ISNUMBER(W108)),IFERROR(W109/W108,""),"")</f>
        <v>0.131293861143285</v>
      </c>
      <c r="X110" s="30" t="n">
        <f aca="false">IF(AND(ISNUMBER(X109),ISNUMBER(X108)),IFERROR(X109/X108,""),"")</f>
        <v>0.13154124664635</v>
      </c>
      <c r="Y110" s="30" t="n">
        <f aca="false">IF(AND(ISNUMBER(Y109),ISNUMBER(Y108)),IFERROR(Y109/Y108,""),"")</f>
        <v>0.129523438369892</v>
      </c>
      <c r="Z110" s="30" t="n">
        <f aca="false">IF(AND(ISNUMBER(Z109),ISNUMBER(Z108)),IFERROR(Z109/Z108,""),"")</f>
        <v>0.115987102380571</v>
      </c>
      <c r="AA110" s="30" t="n">
        <f aca="false">IF(AND(ISNUMBER(AA109),ISNUMBER(AA108)),IFERROR(AA109/AA108,""),"")</f>
        <v>0.105883855585831</v>
      </c>
      <c r="AB110" s="30" t="n">
        <f aca="false">IF(AND(ISNUMBER(AB109),ISNUMBER(AB108)),IFERROR(AB109/AB108,""),"")</f>
        <v>0.106197370812383</v>
      </c>
      <c r="AC110" s="30" t="n">
        <f aca="false">IF(AND(ISNUMBER(AC109),ISNUMBER(AC108)),IFERROR(AC109/AC108,""),"")</f>
        <v>0.113301163780869</v>
      </c>
      <c r="AD110" s="30" t="n">
        <f aca="false">IF(AND(ISNUMBER(AD109),ISNUMBER(AD108)),IFERROR(AD109/AD108,""),"")</f>
        <v>0.115378796066141</v>
      </c>
      <c r="AE110" s="30" t="n">
        <f aca="false">IF(AND(ISNUMBER(AE109),ISNUMBER(AE108)),IFERROR(AE109/AE108,""),"")</f>
        <v>0.101253122971298</v>
      </c>
      <c r="AF110" s="30" t="n">
        <f aca="false">IF(AND(ISNUMBER(AF109),ISNUMBER(AF108)),IFERROR(AF109/AF108,""),"")</f>
        <v>0.112229237493929</v>
      </c>
      <c r="AG110" s="30" t="n">
        <f aca="false">IF(AND(ISNUMBER(AG109),ISNUMBER(AG108)),IFERROR(AG109/AG108,""),"")</f>
        <v>0.0916106757831672</v>
      </c>
      <c r="AH110" s="30" t="n">
        <f aca="false">IF(AND(ISNUMBER(AH109),ISNUMBER(AH108)),IFERROR(AH109/AH108,""),"")</f>
        <v>0.104377347587402</v>
      </c>
      <c r="AI110" s="30" t="n">
        <f aca="false">IF(AND(ISNUMBER(AI109),ISNUMBER(AI108)),IFERROR(AI109/AI108,""),"")</f>
        <v>0.0912615942534347</v>
      </c>
      <c r="AJ110" s="30" t="n">
        <f aca="false">IF(AND(ISNUMBER(AJ109),ISNUMBER(AJ108)),IFERROR(AJ109/AJ108,""),"")</f>
        <v>0.0968474951144507</v>
      </c>
      <c r="AK110" s="30" t="n">
        <f aca="false">IF(AND(ISNUMBER(AK109),ISNUMBER(AK108)),IFERROR(AK109/AK108,""),"")</f>
        <v>0.09219339909877</v>
      </c>
      <c r="AL110" s="30" t="n">
        <f aca="false">IF(AND(ISNUMBER(AL109),ISNUMBER(AL108)),IFERROR(AL109/AL108,""),"")</f>
        <v>0.0904955386671346</v>
      </c>
      <c r="AM110" s="30" t="n">
        <f aca="false">IF(AND(ISNUMBER(AM109),ISNUMBER(AM108)),IFERROR(AM109/AM108,""),"")</f>
        <v>0.0925946668720204</v>
      </c>
      <c r="AN110" s="30" t="n">
        <f aca="false">IF(AND(ISNUMBER(AN109),ISNUMBER(AN108)),IFERROR(AN109/AN108,""),"")</f>
        <v>0.0987662736009815</v>
      </c>
      <c r="AO110" s="30" t="n">
        <f aca="false">IF(AND(ISNUMBER(AO109),ISNUMBER(AO108)),IFERROR(AO109/AO108,""),"")</f>
        <v>0.0921483520753083</v>
      </c>
      <c r="AP110" s="30" t="n">
        <f aca="false">IF(AND(ISNUMBER(AP109),ISNUMBER(AP108)),IFERROR(AP109/AP108,""),"")</f>
        <v>0.0893901795438979</v>
      </c>
      <c r="AQ110" s="30" t="n">
        <f aca="false">IF(AND(ISNUMBER(AQ109),ISNUMBER(AQ108)),IFERROR(AQ109/AQ108,""),"")</f>
        <v>0.074416946625906</v>
      </c>
      <c r="AR110" s="30" t="n">
        <f aca="false">IF(AND(ISNUMBER(AR109),ISNUMBER(AR108)),IFERROR(AR109/AR108,""),"")</f>
        <v>0.0885220200088397</v>
      </c>
      <c r="AS110" s="30" t="n">
        <f aca="false">IF(AND(ISNUMBER(AS109),ISNUMBER(AS108)),IFERROR(AS109/AS108,""),"")</f>
        <v>0.0609697847490794</v>
      </c>
      <c r="AT110" s="30" t="n">
        <f aca="false">IF(AND(ISNUMBER(AT109),ISNUMBER(AT108)),IFERROR(AT109/AT108,""),"")</f>
        <v>0.0674337836334647</v>
      </c>
      <c r="AU110" s="30" t="n">
        <f aca="false">IF(AND(ISNUMBER(AU109),ISNUMBER(AU108)),IFERROR(AU109/AU108,""),"")</f>
        <v>0.0564241539851296</v>
      </c>
      <c r="AV110" s="30" t="n">
        <f aca="false">IF(AND(ISNUMBER(AV109),ISNUMBER(AV108)),IFERROR(AV109/AV108,""),"")</f>
        <v>0.0777300976620302</v>
      </c>
      <c r="AW110" s="30" t="n">
        <f aca="false">IF(AND(ISNUMBER(AW109),ISNUMBER(AW108)),IFERROR(AW109/AW108,""),"")</f>
        <v>0.0651203644429888</v>
      </c>
      <c r="AX110" s="30" t="n">
        <f aca="false">IF(AND(ISNUMBER(AX109),ISNUMBER(AX108)),IFERROR(AX109/AX108,""),"")</f>
        <v>0.0741265344664778</v>
      </c>
      <c r="AY110" s="30" t="n">
        <f aca="false">IF(AND(ISNUMBER(AY109),ISNUMBER(AY108)),IFERROR(AY109/AY108,""),"")</f>
        <v>0.0758195917406598</v>
      </c>
      <c r="AZ110" s="30" t="n">
        <f aca="false">IF(AND(ISNUMBER(AZ109),ISNUMBER(AZ108)),IFERROR(AZ109/AZ108,""),"")</f>
        <v>0.0811873379300455</v>
      </c>
      <c r="BA110" s="30" t="n">
        <f aca="false">IF(AND(ISNUMBER(BA109),ISNUMBER(BA108)),IFERROR(BA109/BA108,""),"")</f>
        <v>0.0781310253224217</v>
      </c>
      <c r="BB110" s="30" t="n">
        <f aca="false">IF(AND(ISNUMBER(BB109),ISNUMBER(BB108)),IFERROR(BB109/BB108,""),"")</f>
        <v>0.0774446715470133</v>
      </c>
      <c r="BC110" s="30" t="n">
        <f aca="false">IF(AND(ISNUMBER(BC109),ISNUMBER(BC108)),IFERROR(BC109/BC108,""),"")</f>
        <v>0.0777808428468361</v>
      </c>
      <c r="BD110" s="30" t="n">
        <f aca="false">IF(AND(ISNUMBER(BD109),ISNUMBER(BD108)),IFERROR(BD109/BD108,""),"")</f>
        <v>0.0870134891313687</v>
      </c>
      <c r="BE110" s="30" t="n">
        <f aca="false">IF(AND(ISNUMBER(BE109),ISNUMBER(BE108)),IFERROR(BE109/BE108,""),"")</f>
        <v>0.113293083814967</v>
      </c>
      <c r="BF110" s="30" t="n">
        <f aca="false">IF(AND(ISNUMBER(BF109),ISNUMBER(BF108)),IFERROR(BF109/BF108,""),"")</f>
        <v>0.117714866618863</v>
      </c>
      <c r="BG110" s="30" t="n">
        <f aca="false">IF(AND(ISNUMBER(BG109),ISNUMBER(BG108)),IFERROR(BG109/BG108,""),"")</f>
        <v>0.0997073905018394</v>
      </c>
      <c r="BH110" s="30" t="n">
        <f aca="false">IF(AND(ISNUMBER(BH109),ISNUMBER(BH108)),IFERROR(BH109/BH108,""),"")</f>
        <v>0.0968690840250474</v>
      </c>
      <c r="BI110" s="30" t="n">
        <f aca="false">IF(AND(ISNUMBER(BI109),ISNUMBER(BI108)),IFERROR(BI109/BI108,""),"")</f>
        <v>0.0863897097166696</v>
      </c>
      <c r="BJ110" s="30" t="n">
        <f aca="false">IF(AND(ISNUMBER(BJ109),ISNUMBER(BJ108)),IFERROR(BJ109/BJ108,""),"")</f>
        <v>0.0951637650439456</v>
      </c>
      <c r="BK110" s="30" t="n">
        <f aca="false">IF(AND(ISNUMBER(BK109),ISNUMBER(BK108)),IFERROR(BK109/BK108,""),"")</f>
        <v>0.0892792673799146</v>
      </c>
      <c r="BL110" s="30" t="n">
        <f aca="false">IF(AND(ISNUMBER(BL109),ISNUMBER(BL108)),IFERROR(BL109/BL108,""),"")</f>
        <v>0.0917834390604501</v>
      </c>
      <c r="BM110" s="30" t="n">
        <f aca="false">IF(AND(ISNUMBER(BM109),ISNUMBER(BM108)),IFERROR(BM109/BM108,""),"")</f>
        <v>0.0859406129962863</v>
      </c>
      <c r="BN110" s="30" t="n">
        <f aca="false">IF(AND(ISNUMBER(BN109),ISNUMBER(BN108)),IFERROR(BN109/BN108,""),"")</f>
        <v>0.0871379752559285</v>
      </c>
      <c r="BO110" s="30" t="n">
        <f aca="false">IF(AND(ISNUMBER(BO109),ISNUMBER(BO108)),IFERROR(BO109/BO108,""),"")</f>
        <v>0.0760399683392303</v>
      </c>
      <c r="BP110" s="30" t="n">
        <f aca="false">IF(AND(ISNUMBER(BP109),ISNUMBER(BP108)),IFERROR(BP109/BP108,""),"")</f>
        <v>0.0742149702424347</v>
      </c>
      <c r="BQ110" s="30" t="n">
        <f aca="false">IF(AND(ISNUMBER(BQ109),ISNUMBER(BQ108)),IFERROR(BQ109/BQ108,""),"")</f>
        <v>0.0804473730338446</v>
      </c>
      <c r="BR110" s="30" t="n">
        <f aca="false">IF(AND(ISNUMBER(BR109),ISNUMBER(BR108)),IFERROR(BR109/BR108,""),"")</f>
        <v>0.0749644757278345</v>
      </c>
      <c r="BS110" s="30" t="n">
        <f aca="false">IF(AND(ISNUMBER(BS109),ISNUMBER(BS108)),IFERROR(BS109/BS108,""),"")</f>
        <v>0.0805169977070542</v>
      </c>
      <c r="BT110" s="30" t="n">
        <f aca="false">IF(AND(ISNUMBER(BT109),ISNUMBER(BT108)),IFERROR(BT109/BT108,""),"")</f>
        <v>0.0699548982588631</v>
      </c>
      <c r="BU110" s="30" t="n">
        <f aca="false">IF(AND(ISNUMBER(BU109),ISNUMBER(BU108)),IFERROR(BU109/BU108,""),"")</f>
        <v>0.0714500579431417</v>
      </c>
      <c r="BV110" s="30" t="n">
        <f aca="false">IF(AND(ISNUMBER(BV109),ISNUMBER(BV108)),IFERROR(BV109/BV108,""),"")</f>
        <v>0.0739973227962026</v>
      </c>
      <c r="BW110" s="30" t="n">
        <f aca="false">IF(AND(ISNUMBER(BW109),ISNUMBER(BW108)),IFERROR(BW109/BW108,""),"")</f>
        <v>0.0711526345863633</v>
      </c>
      <c r="BX110" s="30" t="n">
        <f aca="false">IF(AND(ISNUMBER(BX109),ISNUMBER(BX108)),IFERROR(BX109/BX108,""),"")</f>
        <v>0.0660288419286542</v>
      </c>
      <c r="BY110" s="30" t="n">
        <f aca="false">IF(AND(ISNUMBER(BY109),ISNUMBER(BY108)),IFERROR(BY109/BY108,""),"")</f>
        <v>0.0748158976414464</v>
      </c>
      <c r="BZ110" s="23" t="n">
        <f aca="false">SUM(BW109,BX109,BY109)/SUM(BW108,BX108,BY108)</f>
        <v>0.0706587839028137</v>
      </c>
      <c r="CA110" s="23" t="n">
        <f aca="false">CA109/CA108</f>
        <v>0.0706587839028137</v>
      </c>
      <c r="CB110" s="23" t="n">
        <f aca="false">$CA$110</f>
        <v>0.0706587839028137</v>
      </c>
      <c r="CC110" s="23" t="n">
        <f aca="false">$CA$110</f>
        <v>0.0706587839028137</v>
      </c>
      <c r="CD110" s="23" t="n">
        <f aca="false">$CA$110</f>
        <v>0.0706587839028137</v>
      </c>
      <c r="CE110" s="23" t="n">
        <f aca="false">$CA$110</f>
        <v>0.0706587839028137</v>
      </c>
      <c r="CF110" s="19" t="s">
        <v>228</v>
      </c>
      <c r="CH110" s="33" t="n">
        <f aca="false">IFERROR(AVERAGE(CA110,CB110,CC110,CD110,CE110),"n/m")</f>
        <v>0.0706587839028137</v>
      </c>
      <c r="CI110" s="33" t="n">
        <f aca="false">IFERROR(AVERAGE(BB110,BG110,BL110,BQ110,BV110),"n/m")</f>
        <v>0.08467603938787</v>
      </c>
      <c r="CJ110" s="33" t="n">
        <f aca="false">IFERROR(AVERAGE(AC110,AH110,AM110,AR110,AW110,BB110,BG110,BL110,BQ110,BV110),"n/m")</f>
        <v>0.088729575963147</v>
      </c>
      <c r="CK110" s="33" t="n">
        <f aca="false">IFERROR(AVERAGE(C110,D110,E110,F110,G110,H110,I110,N110,S110,X110,AC110,AH110,AM110,AR110,AW110,BB110,BG110,BL110,BQ110,BV110),"n/m")</f>
        <v>0.154556390754367</v>
      </c>
    </row>
    <row r="111" customFormat="false" ht="15" hidden="false" customHeight="true" outlineLevel="0" collapsed="false">
      <c r="B111" s="49" t="s">
        <v>229</v>
      </c>
      <c r="C111" s="50" t="n">
        <f aca="false">C108-C109</f>
        <v>31.888</v>
      </c>
      <c r="D111" s="50" t="n">
        <f aca="false">D108-D109</f>
        <v>39.005</v>
      </c>
      <c r="E111" s="50" t="n">
        <f aca="false">E108-E109</f>
        <v>48.511</v>
      </c>
      <c r="F111" s="50" t="n">
        <f aca="false">F108-F109</f>
        <v>44.626</v>
      </c>
      <c r="G111" s="50" t="n">
        <f aca="false">G108-G109</f>
        <v>54.938</v>
      </c>
      <c r="H111" s="50" t="n">
        <f aca="false">H108-H109</f>
        <v>72.82</v>
      </c>
      <c r="I111" s="50" t="n">
        <f aca="false">I108-I109</f>
        <v>85.1470000000001</v>
      </c>
      <c r="J111" s="50" t="n">
        <f aca="false">J108-J109</f>
        <v>19.958</v>
      </c>
      <c r="K111" s="50" t="n">
        <f aca="false">K108-K109</f>
        <v>23.7</v>
      </c>
      <c r="L111" s="50" t="n">
        <f aca="false">L108-L109</f>
        <v>28.947</v>
      </c>
      <c r="M111" s="50" t="n">
        <f aca="false">M108-M109</f>
        <v>29.791</v>
      </c>
      <c r="N111" s="50" t="n">
        <f aca="false">N108-N109</f>
        <v>102.396</v>
      </c>
      <c r="O111" s="50" t="n">
        <f aca="false">O108-O109</f>
        <v>27.455</v>
      </c>
      <c r="P111" s="50" t="n">
        <f aca="false">P108-P109</f>
        <v>28.367</v>
      </c>
      <c r="Q111" s="50" t="n">
        <f aca="false">Q108-Q109</f>
        <v>33.366</v>
      </c>
      <c r="R111" s="50" t="n">
        <f aca="false">R108-R109</f>
        <v>32.105</v>
      </c>
      <c r="S111" s="50" t="n">
        <f aca="false">S108-S109</f>
        <v>121.293</v>
      </c>
      <c r="T111" s="50" t="n">
        <f aca="false">T108-T109</f>
        <v>27.64</v>
      </c>
      <c r="U111" s="50" t="n">
        <f aca="false">U108-U109</f>
        <v>33.105</v>
      </c>
      <c r="V111" s="50" t="n">
        <f aca="false">V108-V109</f>
        <v>34.369</v>
      </c>
      <c r="W111" s="50" t="n">
        <f aca="false">W108-W109</f>
        <v>38.25</v>
      </c>
      <c r="X111" s="50" t="n">
        <f aca="false">X108-X109</f>
        <v>133.364</v>
      </c>
      <c r="Y111" s="50" t="n">
        <f aca="false">Y108-Y109</f>
        <v>31.271</v>
      </c>
      <c r="Z111" s="50" t="n">
        <f aca="false">Z108-Z109</f>
        <v>38.657</v>
      </c>
      <c r="AA111" s="50" t="n">
        <f aca="false">AA108-AA109</f>
        <v>42.002</v>
      </c>
      <c r="AB111" s="50" t="n">
        <f aca="false">AB108-AB109</f>
        <v>44.262</v>
      </c>
      <c r="AC111" s="50" t="n">
        <f aca="false">AC108-AC109</f>
        <v>156.192</v>
      </c>
      <c r="AD111" s="50" t="n">
        <f aca="false">AD108-AD109</f>
        <v>40.927</v>
      </c>
      <c r="AE111" s="50" t="n">
        <f aca="false">AE108-AE109</f>
        <v>45.686</v>
      </c>
      <c r="AF111" s="50" t="n">
        <f aca="false">AF108-AF109</f>
        <v>45.698</v>
      </c>
      <c r="AG111" s="50" t="n">
        <f aca="false">AG108-AG109</f>
        <v>53.674</v>
      </c>
      <c r="AH111" s="50" t="n">
        <f aca="false">AH108-AH109</f>
        <v>185.985</v>
      </c>
      <c r="AI111" s="50" t="n">
        <f aca="false">AI108-AI109</f>
        <v>65.152</v>
      </c>
      <c r="AJ111" s="50" t="n">
        <f aca="false">AJ108-AJ109</f>
        <v>59.618</v>
      </c>
      <c r="AK111" s="50" t="n">
        <f aca="false">AK108-AK109</f>
        <v>67.086</v>
      </c>
      <c r="AL111" s="50" t="n">
        <f aca="false">AL108-AL109</f>
        <v>67.377</v>
      </c>
      <c r="AM111" s="50" t="n">
        <f aca="false">AM108-AM109</f>
        <v>259.233</v>
      </c>
      <c r="AN111" s="50" t="n">
        <f aca="false">AN108-AN109</f>
        <v>79.332</v>
      </c>
      <c r="AO111" s="50" t="n">
        <f aca="false">AO108-AO109</f>
        <v>81.782</v>
      </c>
      <c r="AP111" s="50" t="n">
        <f aca="false">AP108-AP109</f>
        <v>81.098</v>
      </c>
      <c r="AQ111" s="50" t="n">
        <f aca="false">AQ108-AQ109</f>
        <v>85.684</v>
      </c>
      <c r="AR111" s="50" t="n">
        <f aca="false">AR108-AR109</f>
        <v>327.896</v>
      </c>
      <c r="AS111" s="50" t="n">
        <f aca="false">AS108-AS109</f>
        <v>121.888</v>
      </c>
      <c r="AT111" s="50" t="n">
        <f aca="false">AT108-AT109</f>
        <v>75.4530000000001</v>
      </c>
      <c r="AU111" s="50" t="n">
        <f aca="false">AU108-AU109</f>
        <v>54.316</v>
      </c>
      <c r="AV111" s="50" t="n">
        <f aca="false">AV108-AV109</f>
        <v>62.327</v>
      </c>
      <c r="AW111" s="50" t="n">
        <f aca="false">AW108-AW109</f>
        <v>313.984</v>
      </c>
      <c r="AX111" s="50" t="n">
        <f aca="false">AX108-AX109</f>
        <v>70.596</v>
      </c>
      <c r="AY111" s="50" t="n">
        <f aca="false">AY108-AY109</f>
        <v>70.673</v>
      </c>
      <c r="AZ111" s="50" t="n">
        <f aca="false">AZ108-AZ109</f>
        <v>76.889</v>
      </c>
      <c r="BA111" s="50" t="n">
        <f aca="false">BA108-BA109</f>
        <v>86.062</v>
      </c>
      <c r="BB111" s="50" t="n">
        <f aca="false">BB108-BB109</f>
        <v>304.22</v>
      </c>
      <c r="BC111" s="50" t="n">
        <f aca="false">BC108-BC109</f>
        <v>86.921</v>
      </c>
      <c r="BD111" s="50" t="n">
        <f aca="false">BD108-BD109</f>
        <v>85.01</v>
      </c>
      <c r="BE111" s="50" t="n">
        <f aca="false">BE108-BE109</f>
        <v>82.54</v>
      </c>
      <c r="BF111" s="50" t="n">
        <f aca="false">BF108-BF109</f>
        <v>97.204</v>
      </c>
      <c r="BG111" s="50" t="n">
        <f aca="false">BG108-BG109</f>
        <v>351.675</v>
      </c>
      <c r="BH111" s="50" t="n">
        <f aca="false">BH108-BH109</f>
        <v>93.027</v>
      </c>
      <c r="BI111" s="50" t="n">
        <f aca="false">BI108-BI109</f>
        <v>105.12</v>
      </c>
      <c r="BJ111" s="50" t="n">
        <f aca="false">BJ108-BJ109</f>
        <v>102.023</v>
      </c>
      <c r="BK111" s="50" t="n">
        <f aca="false">BK108-BK109</f>
        <v>103.426</v>
      </c>
      <c r="BL111" s="50" t="n">
        <f aca="false">BL108-BL109</f>
        <v>403.596</v>
      </c>
      <c r="BM111" s="50" t="n">
        <f aca="false">BM108-BM109</f>
        <v>114.698</v>
      </c>
      <c r="BN111" s="50" t="n">
        <f aca="false">BN108-BN109</f>
        <v>123.146</v>
      </c>
      <c r="BO111" s="50" t="n">
        <f aca="false">BO108-BO109</f>
        <v>136.577</v>
      </c>
      <c r="BP111" s="50" t="n">
        <f aca="false">BP108-BP109</f>
        <v>139.688</v>
      </c>
      <c r="BQ111" s="50" t="n">
        <f aca="false">BQ108-BQ109</f>
        <v>514.109</v>
      </c>
      <c r="BR111" s="50" t="n">
        <f aca="false">BR108-BR109</f>
        <v>167.955</v>
      </c>
      <c r="BS111" s="50" t="n">
        <f aca="false">BS108-BS109</f>
        <v>156.793</v>
      </c>
      <c r="BT111" s="50" t="n">
        <f aca="false">BT108-BT109</f>
        <v>177.341</v>
      </c>
      <c r="BU111" s="50" t="n">
        <f aca="false">BU108-BU109</f>
        <v>188.296</v>
      </c>
      <c r="BV111" s="50" t="n">
        <f aca="false">BV108-BV109</f>
        <v>690.385</v>
      </c>
      <c r="BW111" s="50" t="n">
        <f aca="false">BW108-BW109</f>
        <v>190.188</v>
      </c>
      <c r="BX111" s="50" t="n">
        <f aca="false">BX108-BX109</f>
        <v>233.801</v>
      </c>
      <c r="BY111" s="50" t="n">
        <f aca="false">BY108-BY109</f>
        <v>235.439</v>
      </c>
      <c r="BZ111" s="50" t="n">
        <f aca="false">BZ108-BZ109</f>
        <v>240.915841373961</v>
      </c>
      <c r="CA111" s="50" t="n">
        <f aca="false">CA108-CA109</f>
        <v>900.343841373962</v>
      </c>
      <c r="CB111" s="50" t="n">
        <f aca="false">CB108-CB109</f>
        <v>1023.54687092633</v>
      </c>
      <c r="CC111" s="50" t="n">
        <f aca="false">CC108-CC109</f>
        <v>1161.12155560081</v>
      </c>
      <c r="CD111" s="50" t="n">
        <f aca="false">CD108-CD109</f>
        <v>1276.10601343744</v>
      </c>
      <c r="CE111" s="50" t="n">
        <f aca="false">CE108-CE109</f>
        <v>1400.78793226789</v>
      </c>
      <c r="CH111" s="20" t="n">
        <f aca="false">IFERROR((CE111/BV111)^(1/5)-1,"n/m")</f>
        <v>0.152009893806094</v>
      </c>
      <c r="CI111" s="20" t="n">
        <f aca="false">IFERROR((BV111/AW111)^(1/5)-1,"n/m")</f>
        <v>0.170676136995147</v>
      </c>
      <c r="CJ111" s="20" t="n">
        <f aca="false">IFERROR((BV111/X111)^(1/10)-1,"n/m")</f>
        <v>0.178705400638974</v>
      </c>
      <c r="CK111" s="20" t="n">
        <f aca="false">IFERROR((BV111/C111)^(1/19)-1,"n/m")</f>
        <v>0.175675809700826</v>
      </c>
    </row>
    <row r="112" customFormat="false" ht="15" hidden="false" customHeight="true" outlineLevel="0" collapsed="false">
      <c r="B112" s="51" t="s">
        <v>230</v>
      </c>
      <c r="C112" s="36" t="n">
        <f aca="false">IF(ISNUMBER(C113),IF(ABS(C111-C113)&lt;=0.15,0,ROUND(C111-C113,1)),"")</f>
        <v>0</v>
      </c>
      <c r="D112" s="36" t="n">
        <f aca="false">IF(ISNUMBER(D113),IF(ABS(D111-D113)&lt;=0.15,0,ROUND(D111-D113,1)),"")</f>
        <v>0</v>
      </c>
      <c r="E112" s="36" t="n">
        <f aca="false">IF(ISNUMBER(E113),IF(ABS(E111-E113)&lt;=0.15,0,ROUND(E111-E113,1)),"")</f>
        <v>0</v>
      </c>
      <c r="F112" s="36" t="n">
        <f aca="false">IF(ISNUMBER(F113),IF(ABS(F111-F113)&lt;=0.15,0,ROUND(F111-F113,1)),"")</f>
        <v>0</v>
      </c>
      <c r="G112" s="36" t="n">
        <f aca="false">IF(ISNUMBER(G113),IF(ABS(G111-G113)&lt;=0.15,0,ROUND(G111-G113,1)),"")</f>
        <v>0</v>
      </c>
      <c r="H112" s="36" t="n">
        <f aca="false">IF(ISNUMBER(H113),IF(ABS(H111-H113)&lt;=0.15,0,ROUND(H111-H113,1)),"")</f>
        <v>0</v>
      </c>
      <c r="I112" s="36" t="n">
        <f aca="false">IF(ISNUMBER(I113),IF(ABS(I111-I113)&lt;=0.15,0,ROUND(I111-I113,1)),"")</f>
        <v>0</v>
      </c>
      <c r="J112" s="36" t="n">
        <f aca="false">IF(ISNUMBER(J113),IF(ABS(J111-J113)&lt;=0.15,0,ROUND(J111-J113,1)),"")</f>
        <v>0</v>
      </c>
      <c r="K112" s="36" t="n">
        <f aca="false">IF(ISNUMBER(K113),IF(ABS(K111-K113)&lt;=0.15,0,ROUND(K111-K113,1)),"")</f>
        <v>0</v>
      </c>
      <c r="L112" s="36" t="n">
        <f aca="false">IF(ISNUMBER(L113),IF(ABS(L111-L113)&lt;=0.15,0,ROUND(L111-L113,1)),"")</f>
        <v>0</v>
      </c>
      <c r="M112" s="36" t="n">
        <f aca="false">IF(ISNUMBER(M113),IF(ABS(M111-M113)&lt;=0.15,0,ROUND(M111-M113,1)),"")</f>
        <v>0</v>
      </c>
      <c r="N112" s="36" t="n">
        <f aca="false">IF(ISNUMBER(N113),IF(ABS(N111-N113)&lt;=0.15,0,ROUND(N111-N113,1)),"")</f>
        <v>0</v>
      </c>
      <c r="O112" s="36" t="n">
        <f aca="false">IF(ISNUMBER(O113),IF(ABS(O111-O113)&lt;=0.15,0,ROUND(O111-O113,1)),"")</f>
        <v>0</v>
      </c>
      <c r="P112" s="36" t="n">
        <f aca="false">IF(ISNUMBER(P113),IF(ABS(P111-P113)&lt;=0.15,0,ROUND(P111-P113,1)),"")</f>
        <v>0</v>
      </c>
      <c r="Q112" s="36" t="n">
        <f aca="false">IF(ISNUMBER(Q113),IF(ABS(Q111-Q113)&lt;=0.15,0,ROUND(Q111-Q113,1)),"")</f>
        <v>0</v>
      </c>
      <c r="R112" s="36" t="n">
        <f aca="false">IF(ISNUMBER(R113),IF(ABS(R111-R113)&lt;=0.15,0,ROUND(R111-R113,1)),"")</f>
        <v>0</v>
      </c>
      <c r="S112" s="36" t="n">
        <f aca="false">IF(ISNUMBER(S113),IF(ABS(S111-S113)&lt;=0.15,0,ROUND(S111-S113,1)),"")</f>
        <v>0</v>
      </c>
      <c r="T112" s="36" t="n">
        <f aca="false">IF(ISNUMBER(T113),IF(ABS(T111-T113)&lt;=0.15,0,ROUND(T111-T113,1)),"")</f>
        <v>0</v>
      </c>
      <c r="U112" s="36" t="n">
        <f aca="false">IF(ISNUMBER(U113),IF(ABS(U111-U113)&lt;=0.15,0,ROUND(U111-U113,1)),"")</f>
        <v>0</v>
      </c>
      <c r="V112" s="36" t="n">
        <f aca="false">IF(ISNUMBER(V113),IF(ABS(V111-V113)&lt;=0.15,0,ROUND(V111-V113,1)),"")</f>
        <v>0</v>
      </c>
      <c r="W112" s="36" t="n">
        <f aca="false">IF(ISNUMBER(W113),IF(ABS(W111-W113)&lt;=0.15,0,ROUND(W111-W113,1)),"")</f>
        <v>0</v>
      </c>
      <c r="X112" s="36" t="n">
        <f aca="false">IF(ISNUMBER(X113),IF(ABS(X111-X113)&lt;=0.15,0,ROUND(X111-X113,1)),"")</f>
        <v>0</v>
      </c>
      <c r="Y112" s="36" t="n">
        <f aca="false">IF(ISNUMBER(Y113),IF(ABS(Y111-Y113)&lt;=0.15,0,ROUND(Y111-Y113,1)),"")</f>
        <v>0</v>
      </c>
      <c r="Z112" s="36" t="n">
        <f aca="false">IF(ISNUMBER(Z113),IF(ABS(Z111-Z113)&lt;=0.15,0,ROUND(Z111-Z113,1)),"")</f>
        <v>0</v>
      </c>
      <c r="AA112" s="36" t="n">
        <f aca="false">IF(ISNUMBER(AA113),IF(ABS(AA111-AA113)&lt;=0.15,0,ROUND(AA111-AA113,1)),"")</f>
        <v>0</v>
      </c>
      <c r="AB112" s="36" t="n">
        <f aca="false">IF(ISNUMBER(AB113),IF(ABS(AB111-AB113)&lt;=0.15,0,ROUND(AB111-AB113,1)),"")</f>
        <v>0</v>
      </c>
      <c r="AC112" s="36" t="n">
        <f aca="false">IF(ISNUMBER(AC113),IF(ABS(AC111-AC113)&lt;=0.15,0,ROUND(AC111-AC113,1)),"")</f>
        <v>0</v>
      </c>
      <c r="AD112" s="36" t="n">
        <f aca="false">IF(ISNUMBER(AD113),IF(ABS(AD111-AD113)&lt;=0.15,0,ROUND(AD111-AD113,1)),"")</f>
        <v>0</v>
      </c>
      <c r="AE112" s="36" t="n">
        <f aca="false">IF(ISNUMBER(AE113),IF(ABS(AE111-AE113)&lt;=0.15,0,ROUND(AE111-AE113,1)),"")</f>
        <v>0</v>
      </c>
      <c r="AF112" s="36" t="n">
        <f aca="false">IF(ISNUMBER(AF113),IF(ABS(AF111-AF113)&lt;=0.15,0,ROUND(AF111-AF113,1)),"")</f>
        <v>0</v>
      </c>
      <c r="AG112" s="36" t="n">
        <f aca="false">IF(ISNUMBER(AG113),IF(ABS(AG111-AG113)&lt;=0.15,0,ROUND(AG111-AG113,1)),"")</f>
        <v>0</v>
      </c>
      <c r="AH112" s="36" t="n">
        <f aca="false">IF(ISNUMBER(AH113),IF(ABS(AH111-AH113)&lt;=0.15,0,ROUND(AH111-AH113,1)),"")</f>
        <v>0</v>
      </c>
      <c r="AI112" s="36" t="n">
        <f aca="false">IF(ISNUMBER(AI113),IF(ABS(AI111-AI113)&lt;=0.15,0,ROUND(AI111-AI113,1)),"")</f>
        <v>0</v>
      </c>
      <c r="AJ112" s="36" t="n">
        <f aca="false">IF(ISNUMBER(AJ113),IF(ABS(AJ111-AJ113)&lt;=0.15,0,ROUND(AJ111-AJ113,1)),"")</f>
        <v>0</v>
      </c>
      <c r="AK112" s="36" t="n">
        <f aca="false">IF(ISNUMBER(AK113),IF(ABS(AK111-AK113)&lt;=0.15,0,ROUND(AK111-AK113,1)),"")</f>
        <v>0</v>
      </c>
      <c r="AL112" s="36" t="n">
        <f aca="false">IF(ISNUMBER(AL113),IF(ABS(AL111-AL113)&lt;=0.15,0,ROUND(AL111-AL113,1)),"")</f>
        <v>0</v>
      </c>
      <c r="AM112" s="36" t="n">
        <f aca="false">IF(ISNUMBER(AM113),IF(ABS(AM111-AM113)&lt;=0.15,0,ROUND(AM111-AM113,1)),"")</f>
        <v>0</v>
      </c>
      <c r="AN112" s="36" t="n">
        <f aca="false">IF(ISNUMBER(AN113),IF(ABS(AN111-AN113)&lt;=0.15,0,ROUND(AN111-AN113,1)),"")</f>
        <v>0</v>
      </c>
      <c r="AO112" s="36" t="n">
        <f aca="false">IF(ISNUMBER(AO113),IF(ABS(AO111-AO113)&lt;=0.15,0,ROUND(AO111-AO113,1)),"")</f>
        <v>0</v>
      </c>
      <c r="AP112" s="36" t="n">
        <f aca="false">IF(ISNUMBER(AP113),IF(ABS(AP111-AP113)&lt;=0.15,0,ROUND(AP111-AP113,1)),"")</f>
        <v>0</v>
      </c>
      <c r="AQ112" s="36" t="n">
        <f aca="false">IF(ISNUMBER(AQ113),IF(ABS(AQ111-AQ113)&lt;=0.15,0,ROUND(AQ111-AQ113,1)),"")</f>
        <v>0</v>
      </c>
      <c r="AR112" s="36" t="n">
        <f aca="false">IF(ISNUMBER(AR113),IF(ABS(AR111-AR113)&lt;=0.15,0,ROUND(AR111-AR113,1)),"")</f>
        <v>0</v>
      </c>
      <c r="AS112" s="36" t="n">
        <f aca="false">IF(ISNUMBER(AS113),IF(ABS(AS111-AS113)&lt;=0.15,0,ROUND(AS111-AS113,1)),"")</f>
        <v>0</v>
      </c>
      <c r="AT112" s="36" t="n">
        <f aca="false">IF(ISNUMBER(AT113),IF(ABS(AT111-AT113)&lt;=0.15,0,ROUND(AT111-AT113,1)),"")</f>
        <v>0</v>
      </c>
      <c r="AU112" s="36" t="n">
        <f aca="false">IF(ISNUMBER(AU113),IF(ABS(AU111-AU113)&lt;=0.15,0,ROUND(AU111-AU113,1)),"")</f>
        <v>0</v>
      </c>
      <c r="AV112" s="36" t="n">
        <f aca="false">IF(ISNUMBER(AV113),IF(ABS(AV111-AV113)&lt;=0.15,0,ROUND(AV111-AV113,1)),"")</f>
        <v>0</v>
      </c>
      <c r="AW112" s="36" t="n">
        <f aca="false">IF(ISNUMBER(AW113),IF(ABS(AW111-AW113)&lt;=0.15,0,ROUND(AW111-AW113,1)),"")</f>
        <v>0</v>
      </c>
      <c r="AX112" s="36" t="n">
        <f aca="false">IF(ISNUMBER(AX113),IF(ABS(AX111-AX113)&lt;=0.15,0,ROUND(AX111-AX113,1)),"")</f>
        <v>0</v>
      </c>
      <c r="AY112" s="36" t="n">
        <f aca="false">IF(ISNUMBER(AY113),IF(ABS(AY111-AY113)&lt;=0.15,0,ROUND(AY111-AY113,1)),"")</f>
        <v>0</v>
      </c>
      <c r="AZ112" s="36" t="n">
        <f aca="false">IF(ISNUMBER(AZ113),IF(ABS(AZ111-AZ113)&lt;=0.15,0,ROUND(AZ111-AZ113,1)),"")</f>
        <v>0</v>
      </c>
      <c r="BA112" s="36" t="n">
        <f aca="false">IF(ISNUMBER(BA113),IF(ABS(BA111-BA113)&lt;=0.15,0,ROUND(BA111-BA113,1)),"")</f>
        <v>0</v>
      </c>
      <c r="BB112" s="36" t="n">
        <f aca="false">IF(ISNUMBER(BB113),IF(ABS(BB111-BB113)&lt;=0.15,0,ROUND(BB111-BB113,1)),"")</f>
        <v>0</v>
      </c>
      <c r="BC112" s="36" t="n">
        <f aca="false">IF(ISNUMBER(BC113),IF(ABS(BC111-BC113)&lt;=0.15,0,ROUND(BC111-BC113,1)),"")</f>
        <v>0</v>
      </c>
      <c r="BD112" s="36" t="n">
        <f aca="false">IF(ISNUMBER(BD113),IF(ABS(BD111-BD113)&lt;=0.15,0,ROUND(BD111-BD113,1)),"")</f>
        <v>0</v>
      </c>
      <c r="BE112" s="36" t="n">
        <f aca="false">IF(ISNUMBER(BE113),IF(ABS(BE111-BE113)&lt;=0.15,0,ROUND(BE111-BE113,1)),"")</f>
        <v>0</v>
      </c>
      <c r="BF112" s="36" t="n">
        <f aca="false">IF(ISNUMBER(BF113),IF(ABS(BF111-BF113)&lt;=0.15,0,ROUND(BF111-BF113,1)),"")</f>
        <v>0</v>
      </c>
      <c r="BG112" s="36" t="n">
        <f aca="false">IF(ISNUMBER(BG113),IF(ABS(BG111-BG113)&lt;=0.15,0,ROUND(BG111-BG113,1)),"")</f>
        <v>0</v>
      </c>
      <c r="BH112" s="36" t="n">
        <f aca="false">IF(ISNUMBER(BH113),IF(ABS(BH111-BH113)&lt;=0.15,0,ROUND(BH111-BH113,1)),"")</f>
        <v>0</v>
      </c>
      <c r="BI112" s="36" t="n">
        <f aca="false">IF(ISNUMBER(BI113),IF(ABS(BI111-BI113)&lt;=0.15,0,ROUND(BI111-BI113,1)),"")</f>
        <v>0</v>
      </c>
      <c r="BJ112" s="36" t="n">
        <f aca="false">IF(ISNUMBER(BJ113),IF(ABS(BJ111-BJ113)&lt;=0.15,0,ROUND(BJ111-BJ113,1)),"")</f>
        <v>0</v>
      </c>
      <c r="BK112" s="36" t="n">
        <f aca="false">IF(ISNUMBER(BK113),IF(ABS(BK111-BK113)&lt;=0.15,0,ROUND(BK111-BK113,1)),"")</f>
        <v>0</v>
      </c>
      <c r="BL112" s="36" t="n">
        <f aca="false">IF(ISNUMBER(BL113),IF(ABS(BL111-BL113)&lt;=0.15,0,ROUND(BL111-BL113,1)),"")</f>
        <v>0</v>
      </c>
      <c r="BM112" s="36" t="n">
        <f aca="false">IF(ISNUMBER(BM113),IF(ABS(BM111-BM113)&lt;=0.15,0,ROUND(BM111-BM113,1)),"")</f>
        <v>0</v>
      </c>
      <c r="BN112" s="36" t="n">
        <f aca="false">IF(ISNUMBER(BN113),IF(ABS(BN111-BN113)&lt;=0.15,0,ROUND(BN111-BN113,1)),"")</f>
        <v>0</v>
      </c>
      <c r="BO112" s="36" t="n">
        <f aca="false">IF(ISNUMBER(BO113),IF(ABS(BO111-BO113)&lt;=0.15,0,ROUND(BO111-BO113,1)),"")</f>
        <v>0</v>
      </c>
      <c r="BP112" s="36" t="n">
        <f aca="false">IF(ISNUMBER(BP113),IF(ABS(BP111-BP113)&lt;=0.15,0,ROUND(BP111-BP113,1)),"")</f>
        <v>0</v>
      </c>
      <c r="BQ112" s="36" t="n">
        <f aca="false">IF(ISNUMBER(BQ113),IF(ABS(BQ111-BQ113)&lt;=0.15,0,ROUND(BQ111-BQ113,1)),"")</f>
        <v>0</v>
      </c>
      <c r="BR112" s="36" t="n">
        <f aca="false">IF(ISNUMBER(BR113),IF(ABS(BR111-BR113)&lt;=0.15,0,ROUND(BR111-BR113,1)),"")</f>
        <v>0</v>
      </c>
      <c r="BS112" s="36" t="n">
        <f aca="false">IF(ISNUMBER(BS113),IF(ABS(BS111-BS113)&lt;=0.15,0,ROUND(BS111-BS113,1)),"")</f>
        <v>0</v>
      </c>
      <c r="BT112" s="36" t="n">
        <f aca="false">IF(ISNUMBER(BT113),IF(ABS(BT111-BT113)&lt;=0.15,0,ROUND(BT111-BT113,1)),"")</f>
        <v>0</v>
      </c>
      <c r="BU112" s="36" t="n">
        <f aca="false">IF(ISNUMBER(BU113),IF(ABS(BU111-BU113)&lt;=0.15,0,ROUND(BU111-BU113,1)),"")</f>
        <v>0</v>
      </c>
      <c r="BV112" s="36" t="n">
        <f aca="false">IF(ISNUMBER(BV113),IF(ABS(BV111-BV113)&lt;=0.15,0,ROUND(BV111-BV113,1)),"")</f>
        <v>0</v>
      </c>
      <c r="BW112" s="36" t="n">
        <f aca="false">IF(ISNUMBER(BW113),IF(ABS(BW111-BW113)&lt;=0.15,0,ROUND(BW111-BW113,1)),"")</f>
        <v>0</v>
      </c>
      <c r="BX112" s="36" t="n">
        <f aca="false">IF(ISNUMBER(BX113),IF(ABS(BX111-BX113)&lt;=0.15,0,ROUND(BX111-BX113,1)),"")</f>
        <v>0</v>
      </c>
      <c r="BY112" s="36" t="n">
        <f aca="false">IF(ISNUMBER(BY113),IF(ABS(BY111-BY113)&lt;=0.15,0,ROUND(BY111-BY113,1)),"")</f>
        <v>0</v>
      </c>
    </row>
    <row r="113" customFormat="false" ht="15" hidden="false" customHeight="true" outlineLevel="0" collapsed="false">
      <c r="B113" s="26" t="s">
        <v>231</v>
      </c>
      <c r="C113" s="35" t="n">
        <v>31.888</v>
      </c>
      <c r="D113" s="35" t="n">
        <v>39.005</v>
      </c>
      <c r="E113" s="35" t="n">
        <v>48.511</v>
      </c>
      <c r="F113" s="35" t="n">
        <v>44.626</v>
      </c>
      <c r="G113" s="35" t="n">
        <v>54.938</v>
      </c>
      <c r="H113" s="35" t="n">
        <v>72.82</v>
      </c>
      <c r="I113" s="35" t="n">
        <v>85.147</v>
      </c>
      <c r="J113" s="35" t="n">
        <v>19.958</v>
      </c>
      <c r="K113" s="35" t="n">
        <v>23.7</v>
      </c>
      <c r="L113" s="35" t="n">
        <v>28.947</v>
      </c>
      <c r="M113" s="35" t="n">
        <v>29.791</v>
      </c>
      <c r="N113" s="35" t="n">
        <v>102.396</v>
      </c>
      <c r="O113" s="35" t="n">
        <v>27.455</v>
      </c>
      <c r="P113" s="35" t="n">
        <v>28.367</v>
      </c>
      <c r="Q113" s="35" t="n">
        <v>33.366</v>
      </c>
      <c r="R113" s="35" t="n">
        <v>32.105</v>
      </c>
      <c r="S113" s="35" t="n">
        <v>121.293</v>
      </c>
      <c r="T113" s="35" t="n">
        <v>27.64</v>
      </c>
      <c r="U113" s="35" t="n">
        <v>33.105</v>
      </c>
      <c r="V113" s="35" t="n">
        <v>34.369</v>
      </c>
      <c r="W113" s="35" t="n">
        <v>38.25</v>
      </c>
      <c r="X113" s="35" t="n">
        <v>133.364</v>
      </c>
      <c r="Y113" s="35" t="n">
        <v>31.271</v>
      </c>
      <c r="Z113" s="35" t="n">
        <v>38.657</v>
      </c>
      <c r="AA113" s="35" t="n">
        <v>42.002</v>
      </c>
      <c r="AB113" s="35" t="n">
        <v>44.262</v>
      </c>
      <c r="AC113" s="35" t="n">
        <v>156.192</v>
      </c>
      <c r="AD113" s="35" t="n">
        <v>40.927</v>
      </c>
      <c r="AE113" s="35" t="n">
        <v>45.686</v>
      </c>
      <c r="AF113" s="35" t="n">
        <v>45.698</v>
      </c>
      <c r="AG113" s="35" t="n">
        <v>53.674</v>
      </c>
      <c r="AH113" s="35" t="n">
        <v>185.985</v>
      </c>
      <c r="AI113" s="35" t="n">
        <v>65.152</v>
      </c>
      <c r="AJ113" s="35" t="n">
        <v>59.618</v>
      </c>
      <c r="AK113" s="35" t="n">
        <v>67.086</v>
      </c>
      <c r="AL113" s="35" t="n">
        <v>67.377</v>
      </c>
      <c r="AM113" s="35" t="n">
        <v>259.233</v>
      </c>
      <c r="AN113" s="35" t="n">
        <v>79.332</v>
      </c>
      <c r="AO113" s="35" t="n">
        <v>81.782</v>
      </c>
      <c r="AP113" s="35" t="n">
        <v>81.098</v>
      </c>
      <c r="AQ113" s="35" t="n">
        <v>85.684</v>
      </c>
      <c r="AR113" s="35" t="n">
        <v>327.896</v>
      </c>
      <c r="AS113" s="35" t="n">
        <v>121.888</v>
      </c>
      <c r="AT113" s="35" t="n">
        <v>75.453</v>
      </c>
      <c r="AU113" s="35" t="n">
        <v>54.316</v>
      </c>
      <c r="AV113" s="35" t="n">
        <v>62.327</v>
      </c>
      <c r="AW113" s="35" t="n">
        <v>313.984</v>
      </c>
      <c r="AX113" s="35" t="n">
        <v>70.596</v>
      </c>
      <c r="AY113" s="35" t="n">
        <v>70.673</v>
      </c>
      <c r="AZ113" s="35" t="n">
        <v>76.889</v>
      </c>
      <c r="BA113" s="35" t="n">
        <v>86.062</v>
      </c>
      <c r="BB113" s="35" t="n">
        <v>304.22</v>
      </c>
      <c r="BC113" s="35" t="n">
        <v>86.921</v>
      </c>
      <c r="BD113" s="35" t="n">
        <v>85.01</v>
      </c>
      <c r="BE113" s="35" t="n">
        <v>82.54</v>
      </c>
      <c r="BF113" s="35" t="n">
        <v>97.204</v>
      </c>
      <c r="BG113" s="35" t="n">
        <v>351.675</v>
      </c>
      <c r="BH113" s="35" t="n">
        <v>93.027</v>
      </c>
      <c r="BI113" s="35" t="n">
        <v>105.12</v>
      </c>
      <c r="BJ113" s="35" t="n">
        <v>102.023</v>
      </c>
      <c r="BK113" s="35" t="n">
        <v>103.426</v>
      </c>
      <c r="BL113" s="35" t="n">
        <v>403.596</v>
      </c>
      <c r="BM113" s="35" t="n">
        <v>114.698</v>
      </c>
      <c r="BN113" s="35" t="n">
        <v>123.146</v>
      </c>
      <c r="BO113" s="35" t="n">
        <v>136.577</v>
      </c>
      <c r="BP113" s="35" t="n">
        <v>139.688</v>
      </c>
      <c r="BQ113" s="35" t="n">
        <v>514.109</v>
      </c>
      <c r="BR113" s="35" t="n">
        <v>167.955</v>
      </c>
      <c r="BS113" s="35" t="n">
        <v>156.793</v>
      </c>
      <c r="BT113" s="35" t="n">
        <v>177.341</v>
      </c>
      <c r="BU113" s="35" t="n">
        <v>188.296</v>
      </c>
      <c r="BV113" s="35" t="n">
        <v>690.385</v>
      </c>
      <c r="BW113" s="35" t="n">
        <v>190.188</v>
      </c>
      <c r="BX113" s="35" t="n">
        <v>233.801</v>
      </c>
      <c r="BY113" s="35" t="n">
        <v>235.439</v>
      </c>
    </row>
    <row r="114" customFormat="false" ht="15" hidden="false" customHeight="true" outlineLevel="0" collapsed="false">
      <c r="B114" s="26" t="s">
        <v>232</v>
      </c>
      <c r="C114" s="35" t="n">
        <v>10.565</v>
      </c>
      <c r="D114" s="35" t="n">
        <v>12.167</v>
      </c>
      <c r="E114" s="35" t="n">
        <v>15.052</v>
      </c>
      <c r="F114" s="35" t="n">
        <v>14.967</v>
      </c>
      <c r="G114" s="35" t="n">
        <v>17.597</v>
      </c>
      <c r="H114" s="35" t="n">
        <v>18.543</v>
      </c>
      <c r="I114" s="35" t="n">
        <v>30.656</v>
      </c>
      <c r="J114" s="35" t="n">
        <v>8.14</v>
      </c>
      <c r="K114" s="35" t="n">
        <v>8.265</v>
      </c>
      <c r="L114" s="35" t="n">
        <v>9.495</v>
      </c>
      <c r="M114" s="35" t="n">
        <v>10.89</v>
      </c>
      <c r="N114" s="35" t="n">
        <v>36.79</v>
      </c>
      <c r="O114" s="35" t="n">
        <v>12.05</v>
      </c>
      <c r="P114" s="35" t="n">
        <v>12.089</v>
      </c>
      <c r="Q114" s="35" t="n">
        <v>12.131</v>
      </c>
      <c r="R114" s="35" t="n">
        <v>11.487</v>
      </c>
      <c r="S114" s="35" t="n">
        <v>47.757</v>
      </c>
      <c r="T114" s="35" t="n">
        <v>10.904</v>
      </c>
      <c r="U114" s="35" t="n">
        <v>12.237</v>
      </c>
      <c r="V114" s="35" t="n">
        <v>11.925</v>
      </c>
      <c r="W114" s="35" t="n">
        <v>12.841</v>
      </c>
      <c r="X114" s="35" t="n">
        <v>47.907</v>
      </c>
      <c r="Y114" s="35" t="n">
        <v>13.921</v>
      </c>
      <c r="Z114" s="35" t="n">
        <v>15.262</v>
      </c>
      <c r="AA114" s="35" t="n">
        <v>15.42</v>
      </c>
      <c r="AB114" s="35" t="n">
        <v>15.674</v>
      </c>
      <c r="AC114" s="35" t="n">
        <v>60.277</v>
      </c>
      <c r="AD114" s="35" t="n">
        <v>15.248</v>
      </c>
      <c r="AE114" s="35" t="n">
        <v>15.253</v>
      </c>
      <c r="AF114" s="35" t="n">
        <v>16.411</v>
      </c>
      <c r="AG114" s="35" t="n">
        <v>17.911</v>
      </c>
      <c r="AH114" s="35" t="n">
        <v>64.823</v>
      </c>
      <c r="AI114" s="35" t="n">
        <v>19.024</v>
      </c>
      <c r="AJ114" s="35" t="n">
        <v>19.065</v>
      </c>
      <c r="AK114" s="35" t="n">
        <v>19.434</v>
      </c>
      <c r="AL114" s="35" t="n">
        <v>19.668</v>
      </c>
      <c r="AM114" s="35" t="n">
        <v>77.191</v>
      </c>
      <c r="AN114" s="35" t="n">
        <v>20.037</v>
      </c>
      <c r="AO114" s="35" t="n">
        <v>20.511</v>
      </c>
      <c r="AP114" s="35" t="n">
        <v>21.138</v>
      </c>
      <c r="AQ114" s="35" t="n">
        <v>21.811</v>
      </c>
      <c r="AR114" s="35" t="n">
        <v>83.497</v>
      </c>
      <c r="AS114" s="35" t="n">
        <v>21.583</v>
      </c>
      <c r="AT114" s="35" t="n">
        <v>21.693</v>
      </c>
      <c r="AU114" s="35" t="n">
        <v>21.942</v>
      </c>
      <c r="AV114" s="35" t="n">
        <v>23.343</v>
      </c>
      <c r="AW114" s="35" t="n">
        <v>88.561</v>
      </c>
      <c r="AX114" s="35" t="n">
        <v>23.003</v>
      </c>
      <c r="AY114" s="35" t="n">
        <v>22.916</v>
      </c>
      <c r="AZ114" s="35" t="n">
        <v>22.897</v>
      </c>
      <c r="BA114" s="35" t="n">
        <v>24.203</v>
      </c>
      <c r="BB114" s="35" t="n">
        <v>93.019</v>
      </c>
      <c r="BC114" s="35" t="n">
        <v>23.222</v>
      </c>
      <c r="BD114" s="35" t="n">
        <v>23.485</v>
      </c>
      <c r="BE114" s="35" t="n">
        <v>23.819</v>
      </c>
      <c r="BF114" s="35" t="n">
        <v>25.807</v>
      </c>
      <c r="BG114" s="35" t="n">
        <v>96.333</v>
      </c>
      <c r="BH114" s="35" t="n">
        <v>27.06</v>
      </c>
      <c r="BI114" s="35" t="n">
        <v>29.724</v>
      </c>
      <c r="BJ114" s="35" t="n">
        <v>29.531</v>
      </c>
      <c r="BK114" s="35" t="n">
        <v>43.728</v>
      </c>
      <c r="BL114" s="35" t="n">
        <v>130.043</v>
      </c>
      <c r="BM114" s="35" t="n">
        <v>43.505</v>
      </c>
      <c r="BN114" s="35" t="n">
        <v>42.831</v>
      </c>
      <c r="BO114" s="35" t="n">
        <v>44.31</v>
      </c>
      <c r="BP114" s="35" t="n">
        <v>44.685</v>
      </c>
      <c r="BQ114" s="35" t="n">
        <v>175.331</v>
      </c>
      <c r="BR114" s="35" t="n">
        <v>46.225</v>
      </c>
      <c r="BS114" s="35" t="n">
        <v>48.877</v>
      </c>
      <c r="BT114" s="35" t="n">
        <v>49.767</v>
      </c>
      <c r="BU114" s="35" t="n">
        <v>51.207</v>
      </c>
      <c r="BV114" s="35" t="n">
        <v>196.076</v>
      </c>
      <c r="BW114" s="35" t="n">
        <v>51.008</v>
      </c>
      <c r="BX114" s="35" t="n">
        <v>56.634</v>
      </c>
      <c r="BY114" s="35" t="n">
        <v>58.743</v>
      </c>
      <c r="BZ114" s="42" t="n">
        <f aca="false">BZ91+BZ93</f>
        <v>60.8598254204268</v>
      </c>
      <c r="CA114" s="42" t="n">
        <f aca="false">SUM(BW114,BX114,BY114,BZ114)</f>
        <v>227.244825420427</v>
      </c>
      <c r="CB114" s="42" t="n">
        <f aca="false">CB91+CB93+N(CB64)</f>
        <v>251.957285260466</v>
      </c>
      <c r="CC114" s="42" t="n">
        <f aca="false">CC91+CC93+N(CC64)</f>
        <v>267.583381128922</v>
      </c>
      <c r="CD114" s="42" t="n">
        <f aca="false">CD91+CD93+N(CD64)</f>
        <v>285.483347288422</v>
      </c>
      <c r="CE114" s="42" t="n">
        <f aca="false">CE91+CE93+N(CE64)</f>
        <v>305.073739495318</v>
      </c>
      <c r="CF114" s="19" t="s">
        <v>233</v>
      </c>
    </row>
    <row r="115" customFormat="false" ht="15" hidden="false" customHeight="true" outlineLevel="0" collapsed="false">
      <c r="B115" s="26" t="s">
        <v>234</v>
      </c>
      <c r="C115" s="35" t="n">
        <v>1.373</v>
      </c>
      <c r="D115" s="35" t="n">
        <v>0.658</v>
      </c>
      <c r="E115" s="35" t="n">
        <v>0.142</v>
      </c>
      <c r="F115" s="35" t="n">
        <v>0.181</v>
      </c>
      <c r="G115" s="35" t="n">
        <v>1.353</v>
      </c>
      <c r="H115" s="35" t="n">
        <v>2.647</v>
      </c>
      <c r="I115" s="35" t="n">
        <v>3.948</v>
      </c>
      <c r="J115" s="35" t="n">
        <v>1.094</v>
      </c>
      <c r="K115" s="35" t="n">
        <v>1.06</v>
      </c>
      <c r="L115" s="35" t="n">
        <v>1.301</v>
      </c>
      <c r="M115" s="35" t="n">
        <v>1.662</v>
      </c>
      <c r="N115" s="35" t="n">
        <v>5.117</v>
      </c>
      <c r="O115" s="35" t="n">
        <v>2.6</v>
      </c>
      <c r="P115" s="35" t="n">
        <v>1.589</v>
      </c>
      <c r="Q115" s="35" t="n">
        <v>1.685</v>
      </c>
      <c r="R115" s="35" t="n">
        <v>0.552</v>
      </c>
      <c r="S115" s="35" t="n">
        <v>6.426</v>
      </c>
      <c r="T115" s="35" t="n">
        <v>1.422</v>
      </c>
      <c r="U115" s="35" t="n">
        <v>1.356</v>
      </c>
      <c r="V115" s="35" t="n">
        <v>1.616</v>
      </c>
      <c r="W115" s="35" t="n">
        <v>1.654</v>
      </c>
      <c r="X115" s="35" t="n">
        <v>6.048</v>
      </c>
      <c r="Y115" s="35" t="n">
        <v>1.68</v>
      </c>
      <c r="Z115" s="35" t="n">
        <v>1.606</v>
      </c>
      <c r="AA115" s="35" t="n">
        <v>1.619</v>
      </c>
      <c r="AB115" s="35" t="n">
        <v>1.529</v>
      </c>
      <c r="AC115" s="35" t="n">
        <v>6.434</v>
      </c>
      <c r="AD115" s="35" t="n">
        <v>1.451</v>
      </c>
      <c r="AE115" s="35" t="n">
        <v>1.659</v>
      </c>
      <c r="AF115" s="35" t="n">
        <v>2.097</v>
      </c>
      <c r="AG115" s="35" t="n">
        <v>2.208</v>
      </c>
      <c r="AH115" s="35" t="n">
        <v>7.415</v>
      </c>
      <c r="AI115" s="35" t="n">
        <v>2.168</v>
      </c>
      <c r="AJ115" s="35" t="n">
        <v>2.291</v>
      </c>
      <c r="AK115" s="35" t="n">
        <v>2.474</v>
      </c>
      <c r="AL115" s="35" t="n">
        <v>2.35</v>
      </c>
      <c r="AM115" s="35" t="n">
        <v>9.283</v>
      </c>
      <c r="AN115" s="35" t="n">
        <v>2.439</v>
      </c>
      <c r="AO115" s="35" t="n">
        <v>2.548</v>
      </c>
      <c r="AP115" s="35" t="n">
        <v>2.687</v>
      </c>
      <c r="AQ115" s="35" t="n">
        <v>2.66</v>
      </c>
      <c r="AR115" s="35" t="n">
        <v>10.334</v>
      </c>
      <c r="AS115" s="35" t="n">
        <v>2.646</v>
      </c>
      <c r="AT115" s="35" t="n">
        <v>2.629</v>
      </c>
      <c r="AU115" s="35" t="n">
        <v>2.5</v>
      </c>
      <c r="AV115" s="35" t="n">
        <v>2.359</v>
      </c>
      <c r="AW115" s="35" t="n">
        <v>10.134</v>
      </c>
      <c r="AX115" s="35" t="n">
        <v>2.229</v>
      </c>
      <c r="AY115" s="35" t="n">
        <v>2.042</v>
      </c>
      <c r="AZ115" s="35" t="n">
        <v>2.083</v>
      </c>
      <c r="BA115" s="35" t="n">
        <v>2.704</v>
      </c>
      <c r="BB115" s="35" t="n">
        <v>9.058</v>
      </c>
      <c r="BC115" s="35" t="n">
        <v>3.614</v>
      </c>
      <c r="BD115" s="35" t="n">
        <v>3.241</v>
      </c>
      <c r="BE115" s="35" t="n">
        <v>2.96</v>
      </c>
      <c r="BF115" s="35" t="n">
        <v>2.831</v>
      </c>
      <c r="BG115" s="35" t="n">
        <v>12.646</v>
      </c>
      <c r="BH115" s="35" t="n">
        <v>2.812</v>
      </c>
      <c r="BI115" s="35" t="n">
        <v>3.243</v>
      </c>
      <c r="BJ115" s="35" t="n">
        <v>4.357</v>
      </c>
      <c r="BK115" s="35" t="n">
        <v>5.063</v>
      </c>
      <c r="BL115" s="35" t="n">
        <v>15.475</v>
      </c>
      <c r="BM115" s="35" t="n">
        <v>4.881</v>
      </c>
      <c r="BN115" s="35" t="n">
        <v>4.582</v>
      </c>
      <c r="BO115" s="35" t="n">
        <v>4.625</v>
      </c>
      <c r="BP115" s="35" t="n">
        <v>4.687</v>
      </c>
      <c r="BQ115" s="35" t="n">
        <v>18.775</v>
      </c>
      <c r="BR115" s="35" t="n">
        <v>4.671</v>
      </c>
      <c r="BS115" s="35" t="n">
        <v>6</v>
      </c>
      <c r="BT115" s="35" t="n">
        <v>7.675</v>
      </c>
      <c r="BU115" s="35" t="n">
        <v>16.035</v>
      </c>
      <c r="BV115" s="35" t="n">
        <v>34.381</v>
      </c>
      <c r="BW115" s="35" t="n">
        <v>11.296</v>
      </c>
      <c r="BX115" s="35" t="n">
        <v>11.221</v>
      </c>
      <c r="BY115" s="35" t="n">
        <v>11.922</v>
      </c>
      <c r="BZ115" s="42" t="n">
        <f aca="false">BZ98*BZ95</f>
        <v>12.8147273397452</v>
      </c>
      <c r="CA115" s="42" t="n">
        <f aca="false">SUM(BW115,BX115,BY115,BZ115)</f>
        <v>47.2537273397452</v>
      </c>
      <c r="CB115" s="42" t="n">
        <f aca="false">CB98*CB95</f>
        <v>49.5715235069775</v>
      </c>
      <c r="CC115" s="42" t="n">
        <f aca="false">CC98*CC95</f>
        <v>55.0209207526145</v>
      </c>
      <c r="CD115" s="42" t="n">
        <f aca="false">CD98*CD95</f>
        <v>60.5404715256146</v>
      </c>
      <c r="CE115" s="42" t="n">
        <f aca="false">CE98*CE95</f>
        <v>66.5476764635454</v>
      </c>
    </row>
    <row r="116" customFormat="false" ht="15" hidden="false" customHeight="true" outlineLevel="0" collapsed="false">
      <c r="B116" s="29" t="s">
        <v>235</v>
      </c>
    </row>
    <row r="117" customFormat="false" ht="15" hidden="false" customHeight="true" outlineLevel="0" collapsed="false">
      <c r="B117" s="29" t="s">
        <v>236</v>
      </c>
      <c r="C117" s="54" t="n">
        <v>119.61237</v>
      </c>
      <c r="D117" s="54" t="n">
        <v>122.622962</v>
      </c>
      <c r="E117" s="54" t="n">
        <v>125.451751</v>
      </c>
      <c r="F117" s="54" t="n">
        <v>124.95422</v>
      </c>
      <c r="G117" s="54" t="n">
        <v>125.246078</v>
      </c>
      <c r="H117" s="54" t="n">
        <v>127.051007</v>
      </c>
      <c r="I117" s="54" t="n">
        <v>128.635254</v>
      </c>
      <c r="J117" s="54" t="n">
        <v>129.274902</v>
      </c>
      <c r="K117" s="54" t="n">
        <v>129.47998</v>
      </c>
      <c r="L117" s="54" t="n">
        <v>129.575195</v>
      </c>
      <c r="M117" s="54" t="n">
        <v>129.623047</v>
      </c>
      <c r="N117" s="54" t="n">
        <v>129.488281</v>
      </c>
      <c r="O117" s="54" t="n">
        <v>129.673828</v>
      </c>
      <c r="P117" s="54" t="n">
        <v>129.759766</v>
      </c>
      <c r="Q117" s="54" t="n">
        <v>129.876953</v>
      </c>
      <c r="R117" s="54" t="n">
        <v>129.931641</v>
      </c>
      <c r="S117" s="54" t="n">
        <v>129.810547</v>
      </c>
      <c r="T117" s="54" t="n">
        <v>130.068359</v>
      </c>
      <c r="U117" s="54" t="n">
        <v>130.294922</v>
      </c>
      <c r="V117" s="54" t="n">
        <v>130.494141</v>
      </c>
      <c r="W117" s="54" t="n">
        <v>130.548828</v>
      </c>
      <c r="X117" s="54" t="n">
        <v>130.351562</v>
      </c>
      <c r="Y117" s="54" t="n">
        <v>130.615234</v>
      </c>
      <c r="Z117" s="54" t="n">
        <v>130.708984</v>
      </c>
      <c r="AA117" s="54" t="n">
        <v>131.105469</v>
      </c>
      <c r="AB117" s="54" t="n">
        <v>131.359375</v>
      </c>
      <c r="AC117" s="54" t="n">
        <v>130.947266</v>
      </c>
      <c r="AD117" s="54" t="n">
        <v>131.472656</v>
      </c>
      <c r="AE117" s="54" t="n">
        <v>131.595313</v>
      </c>
      <c r="AF117" s="54" t="n">
        <v>131.785937</v>
      </c>
      <c r="AG117" s="54" t="n">
        <v>131.958594</v>
      </c>
      <c r="AH117" s="54" t="n">
        <v>131.703125</v>
      </c>
      <c r="AI117" s="54" t="n">
        <v>132.04875</v>
      </c>
      <c r="AJ117" s="54" t="n">
        <v>132.425</v>
      </c>
      <c r="AK117" s="54" t="n">
        <v>132.794</v>
      </c>
      <c r="AL117" s="54" t="n">
        <v>132.90425</v>
      </c>
      <c r="AM117" s="54" t="n">
        <v>132.543</v>
      </c>
      <c r="AN117" s="54" t="n">
        <v>132.933</v>
      </c>
      <c r="AO117" s="54" t="n">
        <v>133.313</v>
      </c>
      <c r="AP117" s="54" t="n">
        <v>133.97</v>
      </c>
      <c r="AQ117" s="54" t="n">
        <v>134.344</v>
      </c>
      <c r="AR117" s="54" t="n">
        <v>133.64</v>
      </c>
      <c r="AS117" s="54" t="n">
        <v>134.523</v>
      </c>
      <c r="AT117" s="54" t="n">
        <v>134.669</v>
      </c>
      <c r="AU117" s="54" t="n">
        <v>134.837</v>
      </c>
      <c r="AV117" s="54" t="n">
        <v>134.987</v>
      </c>
      <c r="AW117" s="54" t="n">
        <v>134.754</v>
      </c>
      <c r="AX117" s="54" t="n">
        <v>135.21</v>
      </c>
      <c r="AY117" s="54" t="n">
        <v>135.294</v>
      </c>
      <c r="AZ117" s="54" t="n">
        <v>135.37</v>
      </c>
      <c r="BA117" s="54" t="n">
        <v>135.43</v>
      </c>
      <c r="BB117" s="54" t="n">
        <v>135.326</v>
      </c>
      <c r="BC117" s="54" t="n">
        <v>135.635</v>
      </c>
      <c r="BD117" s="54" t="n">
        <v>135.891</v>
      </c>
      <c r="BE117" s="54" t="n">
        <v>135.978</v>
      </c>
      <c r="BF117" s="54" t="n">
        <v>136.536</v>
      </c>
      <c r="BG117" s="54" t="n">
        <v>136.01</v>
      </c>
      <c r="BH117" s="54" t="n">
        <v>136.655</v>
      </c>
      <c r="BI117" s="54" t="n">
        <v>136.916</v>
      </c>
      <c r="BJ117" s="54" t="n">
        <v>137.006</v>
      </c>
      <c r="BK117" s="54" t="n">
        <v>138.163</v>
      </c>
      <c r="BL117" s="54" t="n">
        <v>137.185</v>
      </c>
      <c r="BM117" s="54" t="n">
        <v>138.265</v>
      </c>
      <c r="BN117" s="54" t="n">
        <v>138.386</v>
      </c>
      <c r="BO117" s="54" t="n">
        <v>138.516</v>
      </c>
      <c r="BP117" s="54" t="n">
        <v>138.653</v>
      </c>
      <c r="BQ117" s="54" t="n">
        <v>138.455</v>
      </c>
      <c r="BR117" s="54" t="n">
        <v>138.837</v>
      </c>
      <c r="BS117" s="54" t="n">
        <v>139.005</v>
      </c>
      <c r="BT117" s="54" t="n">
        <v>139.135</v>
      </c>
      <c r="BU117" s="54" t="n">
        <v>139.215</v>
      </c>
      <c r="BV117" s="54" t="n">
        <v>139.048</v>
      </c>
      <c r="BW117" s="54" t="n">
        <v>139.368</v>
      </c>
      <c r="BX117" s="54" t="n">
        <v>139.561</v>
      </c>
      <c r="BY117" s="54" t="n">
        <v>139.702</v>
      </c>
      <c r="BZ117" s="48" t="n">
        <f aca="false">BY117</f>
        <v>139.702</v>
      </c>
      <c r="CA117" s="48" t="n">
        <f aca="false">AVERAGE(BW117,BX117,BY117,BZ117)</f>
        <v>139.58325</v>
      </c>
      <c r="CB117" s="48" t="n">
        <f aca="false">AVERAGE(CB228,CB229)</f>
        <v>139.957405</v>
      </c>
      <c r="CC117" s="48" t="n">
        <f aca="false">AVERAGE(CC228,CC229)</f>
        <v>139.526376596364</v>
      </c>
      <c r="CD117" s="48" t="n">
        <f aca="false">AVERAGE(CD228,CD229)</f>
        <v>138.369189970024</v>
      </c>
      <c r="CE117" s="48" t="n">
        <f aca="false">AVERAGE(CE228,CE229)</f>
        <v>137.12782400056</v>
      </c>
      <c r="CF117" s="19" t="s">
        <v>237</v>
      </c>
    </row>
    <row r="118" customFormat="false" ht="15" hidden="false" customHeight="true" outlineLevel="0" collapsed="false">
      <c r="B118" s="29" t="s">
        <v>238</v>
      </c>
      <c r="C118" s="54" t="n">
        <v>126.827254</v>
      </c>
      <c r="D118" s="54" t="n">
        <v>128.417244</v>
      </c>
      <c r="E118" s="54" t="n">
        <v>129.906445</v>
      </c>
      <c r="F118" s="54" t="n">
        <v>128.860622</v>
      </c>
      <c r="G118" s="54" t="n">
        <v>128.825493</v>
      </c>
      <c r="H118" s="54" t="n">
        <v>129.703528</v>
      </c>
      <c r="I118" s="54" t="n">
        <v>130.124512</v>
      </c>
      <c r="J118" s="54" t="n">
        <v>130.466309</v>
      </c>
      <c r="K118" s="54" t="n">
        <v>130.610352</v>
      </c>
      <c r="L118" s="54" t="n">
        <v>130.888672</v>
      </c>
      <c r="M118" s="54" t="n">
        <v>131.331543</v>
      </c>
      <c r="N118" s="54" t="n">
        <v>130.824219</v>
      </c>
      <c r="O118" s="54" t="n">
        <v>131.546875</v>
      </c>
      <c r="P118" s="54" t="n">
        <v>131.748047</v>
      </c>
      <c r="Q118" s="54" t="n">
        <v>131.785156</v>
      </c>
      <c r="R118" s="54" t="n">
        <v>131.896484</v>
      </c>
      <c r="S118" s="54" t="n">
        <v>131.744141</v>
      </c>
      <c r="T118" s="54" t="n">
        <v>132.166016</v>
      </c>
      <c r="U118" s="54" t="n">
        <v>132.423828</v>
      </c>
      <c r="V118" s="54" t="n">
        <v>132.619141</v>
      </c>
      <c r="W118" s="54" t="n">
        <v>132.564453</v>
      </c>
      <c r="X118" s="54" t="n">
        <v>132.443359</v>
      </c>
      <c r="Y118" s="54" t="n">
        <v>132.695312</v>
      </c>
      <c r="Z118" s="54" t="n">
        <v>132.867188</v>
      </c>
      <c r="AA118" s="54" t="n">
        <v>133.355469</v>
      </c>
      <c r="AB118" s="54" t="n">
        <v>133.660156</v>
      </c>
      <c r="AC118" s="54" t="n">
        <v>133.144531</v>
      </c>
      <c r="AD118" s="54" t="n">
        <v>135.005859</v>
      </c>
      <c r="AE118" s="54" t="n">
        <v>135.370313</v>
      </c>
      <c r="AF118" s="54" t="n">
        <v>135.770312</v>
      </c>
      <c r="AG118" s="54" t="n">
        <v>136.203516</v>
      </c>
      <c r="AH118" s="54" t="n">
        <v>135.5875</v>
      </c>
      <c r="AI118" s="54" t="n">
        <v>136.39</v>
      </c>
      <c r="AJ118" s="54" t="n">
        <v>136.58875</v>
      </c>
      <c r="AK118" s="54" t="n">
        <v>136.733</v>
      </c>
      <c r="AL118" s="54" t="n">
        <v>137.07225</v>
      </c>
      <c r="AM118" s="54" t="n">
        <v>136.696</v>
      </c>
      <c r="AN118" s="54" t="n">
        <v>136.978</v>
      </c>
      <c r="AO118" s="54" t="n">
        <v>137.206</v>
      </c>
      <c r="AP118" s="54" t="n">
        <v>137.634</v>
      </c>
      <c r="AQ118" s="54" t="n">
        <v>137.582</v>
      </c>
      <c r="AR118" s="54" t="n">
        <v>137.35</v>
      </c>
      <c r="AS118" s="54" t="n">
        <v>137.421</v>
      </c>
      <c r="AT118" s="54" t="n">
        <v>137.117</v>
      </c>
      <c r="AU118" s="54" t="n">
        <v>137.234</v>
      </c>
      <c r="AV118" s="54" t="n">
        <v>137.436</v>
      </c>
      <c r="AW118" s="54" t="n">
        <v>137.302</v>
      </c>
      <c r="AX118" s="54" t="n">
        <v>137.742</v>
      </c>
      <c r="AY118" s="54" t="n">
        <v>137.814</v>
      </c>
      <c r="AZ118" s="54" t="n">
        <v>137.957</v>
      </c>
      <c r="BA118" s="54" t="n">
        <v>137.903</v>
      </c>
      <c r="BB118" s="54" t="n">
        <v>137.854</v>
      </c>
      <c r="BC118" s="54" t="n">
        <v>137.966</v>
      </c>
      <c r="BD118" s="54" t="n">
        <v>137.867</v>
      </c>
      <c r="BE118" s="54" t="n">
        <v>137.837</v>
      </c>
      <c r="BF118" s="54" t="n">
        <v>138.478</v>
      </c>
      <c r="BG118" s="54" t="n">
        <v>138.037</v>
      </c>
      <c r="BH118" s="54" t="n">
        <v>138.579</v>
      </c>
      <c r="BI118" s="54" t="n">
        <v>138.6</v>
      </c>
      <c r="BJ118" s="54" t="n">
        <v>138.668</v>
      </c>
      <c r="BK118" s="54" t="n">
        <v>139.773</v>
      </c>
      <c r="BL118" s="54" t="n">
        <v>138.905</v>
      </c>
      <c r="BM118" s="54" t="n">
        <v>139.893</v>
      </c>
      <c r="BN118" s="54" t="n">
        <v>140.059</v>
      </c>
      <c r="BO118" s="54" t="n">
        <v>140.305</v>
      </c>
      <c r="BP118" s="54" t="n">
        <v>140.535</v>
      </c>
      <c r="BQ118" s="54" t="n">
        <v>140.198</v>
      </c>
      <c r="BR118" s="54" t="n">
        <v>140.484</v>
      </c>
      <c r="BS118" s="54" t="n">
        <v>140.599</v>
      </c>
      <c r="BT118" s="54" t="n">
        <v>140.95</v>
      </c>
      <c r="BU118" s="54" t="n">
        <v>141.051</v>
      </c>
      <c r="BV118" s="54" t="n">
        <v>140.771</v>
      </c>
      <c r="BW118" s="54" t="n">
        <v>141.029</v>
      </c>
      <c r="BX118" s="54" t="n">
        <v>141.068</v>
      </c>
      <c r="BY118" s="54" t="n">
        <v>141.269</v>
      </c>
      <c r="BZ118" s="48" t="n">
        <f aca="false">BZ117+(BY118-BY117)</f>
        <v>141.269</v>
      </c>
      <c r="CA118" s="48" t="n">
        <f aca="false">AVERAGE(BW118,BX118,BY118,BZ118)</f>
        <v>141.15875</v>
      </c>
      <c r="CB118" s="48" t="n">
        <f aca="false">CB117+CB283</f>
        <v>141.524405</v>
      </c>
      <c r="CC118" s="48" t="n">
        <f aca="false">CC117+CC283</f>
        <v>141.093376596364</v>
      </c>
      <c r="CD118" s="48" t="n">
        <f aca="false">CD117+CD283</f>
        <v>139.936189970024</v>
      </c>
      <c r="CE118" s="48" t="n">
        <f aca="false">CE117+CE283</f>
        <v>138.69482400056</v>
      </c>
    </row>
    <row r="119" customFormat="false" ht="15" hidden="false" customHeight="true" outlineLevel="0" collapsed="false">
      <c r="B119" s="29" t="s">
        <v>239</v>
      </c>
      <c r="C119" s="55" t="n">
        <f aca="false">IF(AND(ISNUMBER(C111),ISNUMBER(C117)),IFERROR(C111/C117,""),"")</f>
        <v>0.266594500217661</v>
      </c>
      <c r="D119" s="55" t="n">
        <f aca="false">IF(AND(ISNUMBER(D111),ISNUMBER(D117)),IFERROR(D111/D117,""),"")</f>
        <v>0.318088874741094</v>
      </c>
      <c r="E119" s="55" t="n">
        <f aca="false">IF(AND(ISNUMBER(E111),ISNUMBER(E117)),IFERROR(E111/E117,""),"")</f>
        <v>0.386690497448697</v>
      </c>
      <c r="F119" s="55" t="n">
        <f aca="false">IF(AND(ISNUMBER(F111),ISNUMBER(F117)),IFERROR(F111/F117,""),"")</f>
        <v>0.357138798513568</v>
      </c>
      <c r="G119" s="55" t="n">
        <f aca="false">IF(AND(ISNUMBER(G111),ISNUMBER(G117)),IFERROR(G111/G117,""),"")</f>
        <v>0.438640481820117</v>
      </c>
      <c r="H119" s="55" t="n">
        <f aca="false">IF(AND(ISNUMBER(H111),ISNUMBER(H117)),IFERROR(H111/H117,""),"")</f>
        <v>0.573155630320978</v>
      </c>
      <c r="I119" s="55" t="n">
        <f aca="false">IF(AND(ISNUMBER(I111),ISNUMBER(I117)),IFERROR(I111/I117,""),"")</f>
        <v>0.661925851213385</v>
      </c>
      <c r="J119" s="55" t="n">
        <f aca="false">IF(AND(ISNUMBER(J111),ISNUMBER(J117)),IFERROR(J111/J117,""),"")</f>
        <v>0.154384182012375</v>
      </c>
      <c r="K119" s="55" t="n">
        <f aca="false">IF(AND(ISNUMBER(K111),ISNUMBER(K117)),IFERROR(K111/K117,""),"")</f>
        <v>0.183039879987624</v>
      </c>
      <c r="L119" s="55" t="n">
        <f aca="false">IF(AND(ISNUMBER(L111),ISNUMBER(L117)),IFERROR(L111/L117,""),"")</f>
        <v>0.223399239337436</v>
      </c>
      <c r="M119" s="55" t="n">
        <f aca="false">IF(AND(ISNUMBER(M111),ISNUMBER(M117)),IFERROR(M111/M117,""),"")</f>
        <v>0.229827956443579</v>
      </c>
      <c r="N119" s="55" t="n">
        <f aca="false">IF(AND(ISNUMBER(N111),ISNUMBER(N117)),IFERROR(N111/N117,""),"")</f>
        <v>0.790774263193747</v>
      </c>
      <c r="O119" s="55" t="n">
        <f aca="false">IF(AND(ISNUMBER(O111),ISNUMBER(O117)),IFERROR(O111/O117,""),"")</f>
        <v>0.211723525274507</v>
      </c>
      <c r="P119" s="55" t="n">
        <f aca="false">IF(AND(ISNUMBER(P111),ISNUMBER(P117)),IFERROR(P111/P117,""),"")</f>
        <v>0.218611676596273</v>
      </c>
      <c r="Q119" s="55" t="n">
        <f aca="false">IF(AND(ISNUMBER(Q111),ISNUMBER(Q117)),IFERROR(Q111/Q117,""),"")</f>
        <v>0.256904702715038</v>
      </c>
      <c r="R119" s="55" t="n">
        <f aca="false">IF(AND(ISNUMBER(R111),ISNUMBER(R117)),IFERROR(R111/R117,""),"")</f>
        <v>0.247091468659278</v>
      </c>
      <c r="S119" s="55" t="n">
        <f aca="false">IF(AND(ISNUMBER(S111),ISNUMBER(S117)),IFERROR(S111/S117,""),"")</f>
        <v>0.934384784620004</v>
      </c>
      <c r="T119" s="55" t="n">
        <f aca="false">IF(AND(ISNUMBER(T111),ISNUMBER(T117)),IFERROR(T111/T117,""),"")</f>
        <v>0.21250364202719</v>
      </c>
      <c r="U119" s="55" t="n">
        <f aca="false">IF(AND(ISNUMBER(U111),ISNUMBER(U117)),IFERROR(U111/U117,""),"")</f>
        <v>0.254077438259643</v>
      </c>
      <c r="V119" s="55" t="n">
        <f aca="false">IF(AND(ISNUMBER(V111),ISNUMBER(V117)),IFERROR(V111/V117,""),"")</f>
        <v>0.263375809339977</v>
      </c>
      <c r="W119" s="55" t="n">
        <f aca="false">IF(AND(ISNUMBER(W111),ISNUMBER(W117)),IFERROR(W111/W117,""),"")</f>
        <v>0.292993821438213</v>
      </c>
      <c r="X119" s="55" t="n">
        <f aca="false">IF(AND(ISNUMBER(X111),ISNUMBER(X117)),IFERROR(X111/X117,""),"")</f>
        <v>1.02311010281564</v>
      </c>
      <c r="Y119" s="55" t="n">
        <f aca="false">IF(AND(ISNUMBER(Y111),ISNUMBER(Y117)),IFERROR(Y111/Y117,""),"")</f>
        <v>0.239413114706053</v>
      </c>
      <c r="Z119" s="55" t="n">
        <f aca="false">IF(AND(ISNUMBER(Z111),ISNUMBER(Z117)),IFERROR(Z111/Z117,""),"")</f>
        <v>0.295748607456088</v>
      </c>
      <c r="AA119" s="55" t="n">
        <f aca="false">IF(AND(ISNUMBER(AA111),ISNUMBER(AA117)),IFERROR(AA111/AA117,""),"")</f>
        <v>0.32036802370159</v>
      </c>
      <c r="AB119" s="55" t="n">
        <f aca="false">IF(AND(ISNUMBER(AB111),ISNUMBER(AB117)),IFERROR(AB111/AB117,""),"")</f>
        <v>0.336953491138337</v>
      </c>
      <c r="AC119" s="55" t="n">
        <f aca="false">IF(AND(ISNUMBER(AC111),ISNUMBER(AC117)),IFERROR(AC111/AC117,""),"")</f>
        <v>1.19278549885875</v>
      </c>
      <c r="AD119" s="55" t="n">
        <f aca="false">IF(AND(ISNUMBER(AD111),ISNUMBER(AD117)),IFERROR(AD111/AD117,""),"")</f>
        <v>0.311296669932644</v>
      </c>
      <c r="AE119" s="55" t="n">
        <f aca="false">IF(AND(ISNUMBER(AE111),ISNUMBER(AE117)),IFERROR(AE111/AE117,""),"")</f>
        <v>0.347170419359844</v>
      </c>
      <c r="AF119" s="55" t="n">
        <f aca="false">IF(AND(ISNUMBER(AF111),ISNUMBER(AF117)),IFERROR(AF111/AF117,""),"")</f>
        <v>0.346759305585087</v>
      </c>
      <c r="AG119" s="55" t="n">
        <f aca="false">IF(AND(ISNUMBER(AG111),ISNUMBER(AG117)),IFERROR(AG111/AG117,""),"")</f>
        <v>0.406748801824912</v>
      </c>
      <c r="AH119" s="55" t="n">
        <f aca="false">IF(AND(ISNUMBER(AH111),ISNUMBER(AH117)),IFERROR(AH111/AH117,""),"")</f>
        <v>1.41215328034168</v>
      </c>
      <c r="AI119" s="55" t="n">
        <f aca="false">IF(AND(ISNUMBER(AI111),ISNUMBER(AI117)),IFERROR(AI111/AI117,""),"")</f>
        <v>0.493393538371246</v>
      </c>
      <c r="AJ119" s="55" t="n">
        <f aca="false">IF(AND(ISNUMBER(AJ111),ISNUMBER(AJ117)),IFERROR(AJ111/AJ117,""),"")</f>
        <v>0.450202001132716</v>
      </c>
      <c r="AK119" s="55" t="n">
        <f aca="false">IF(AND(ISNUMBER(AK111),ISNUMBER(AK117)),IFERROR(AK111/AK117,""),"")</f>
        <v>0.505188487431661</v>
      </c>
      <c r="AL119" s="55" t="n">
        <f aca="false">IF(AND(ISNUMBER(AL111),ISNUMBER(AL117)),IFERROR(AL111/AL117,""),"")</f>
        <v>0.506958957294444</v>
      </c>
      <c r="AM119" s="55" t="n">
        <f aca="false">IF(AND(ISNUMBER(AM111),ISNUMBER(AM117)),IFERROR(AM111/AM117,""),"")</f>
        <v>1.95584074602205</v>
      </c>
      <c r="AN119" s="55" t="n">
        <f aca="false">IF(AND(ISNUMBER(AN111),ISNUMBER(AN117)),IFERROR(AN111/AN117,""),"")</f>
        <v>0.596781837466995</v>
      </c>
      <c r="AO119" s="55" t="n">
        <f aca="false">IF(AND(ISNUMBER(AO111),ISNUMBER(AO117)),IFERROR(AO111/AO117,""),"")</f>
        <v>0.613458552429246</v>
      </c>
      <c r="AP119" s="55" t="n">
        <f aca="false">IF(AND(ISNUMBER(AP111),ISNUMBER(AP117)),IFERROR(AP111/AP117,""),"")</f>
        <v>0.605344480107487</v>
      </c>
      <c r="AQ119" s="55" t="n">
        <f aca="false">IF(AND(ISNUMBER(AQ111),ISNUMBER(AQ117)),IFERROR(AQ111/AQ117,""),"")</f>
        <v>0.637795510033943</v>
      </c>
      <c r="AR119" s="55" t="n">
        <f aca="false">IF(AND(ISNUMBER(AR111),ISNUMBER(AR117)),IFERROR(AR111/AR117,""),"")</f>
        <v>2.45357677342113</v>
      </c>
      <c r="AS119" s="55" t="n">
        <f aca="false">IF(AND(ISNUMBER(AS111),ISNUMBER(AS117)),IFERROR(AS111/AS117,""),"")</f>
        <v>0.906075540985556</v>
      </c>
      <c r="AT119" s="55" t="n">
        <f aca="false">IF(AND(ISNUMBER(AT111),ISNUMBER(AT117)),IFERROR(AT111/AT117,""),"")</f>
        <v>0.560284846549689</v>
      </c>
      <c r="AU119" s="55" t="n">
        <f aca="false">IF(AND(ISNUMBER(AU111),ISNUMBER(AU117)),IFERROR(AU111/AU117,""),"")</f>
        <v>0.402827117185936</v>
      </c>
      <c r="AV119" s="55" t="n">
        <f aca="false">IF(AND(ISNUMBER(AV111),ISNUMBER(AV117)),IFERROR(AV111/AV117,""),"")</f>
        <v>0.461725943979791</v>
      </c>
      <c r="AW119" s="55" t="n">
        <f aca="false">IF(AND(ISNUMBER(AW111),ISNUMBER(AW117)),IFERROR(AW111/AW117,""),"")</f>
        <v>2.33005328227734</v>
      </c>
      <c r="AX119" s="55" t="n">
        <f aca="false">IF(AND(ISNUMBER(AX111),ISNUMBER(AX117)),IFERROR(AX111/AX117,""),"")</f>
        <v>0.522121144885733</v>
      </c>
      <c r="AY119" s="55" t="n">
        <f aca="false">IF(AND(ISNUMBER(AY111),ISNUMBER(AY117)),IFERROR(AY111/AY117,""),"")</f>
        <v>0.52236610640531</v>
      </c>
      <c r="AZ119" s="55" t="n">
        <f aca="false">IF(AND(ISNUMBER(AZ111),ISNUMBER(AZ117)),IFERROR(AZ111/AZ117,""),"")</f>
        <v>0.567991430893108</v>
      </c>
      <c r="BA119" s="55" t="n">
        <f aca="false">IF(AND(ISNUMBER(BA111),ISNUMBER(BA117)),IFERROR(BA111/BA117,""),"")</f>
        <v>0.635472199660341</v>
      </c>
      <c r="BB119" s="55" t="n">
        <f aca="false">IF(AND(ISNUMBER(BB111),ISNUMBER(BB117)),IFERROR(BB111/BB117,""),"")</f>
        <v>2.24805285015444</v>
      </c>
      <c r="BC119" s="55" t="n">
        <f aca="false">IF(AND(ISNUMBER(BC111),ISNUMBER(BC117)),IFERROR(BC111/BC117,""),"")</f>
        <v>0.64084491466067</v>
      </c>
      <c r="BD119" s="55" t="n">
        <f aca="false">IF(AND(ISNUMBER(BD111),ISNUMBER(BD117)),IFERROR(BD111/BD117,""),"")</f>
        <v>0.625574909302308</v>
      </c>
      <c r="BE119" s="55" t="n">
        <f aca="false">IF(AND(ISNUMBER(BE111),ISNUMBER(BE117)),IFERROR(BE111/BE117,""),"")</f>
        <v>0.607009957493124</v>
      </c>
      <c r="BF119" s="55" t="n">
        <f aca="false">IF(AND(ISNUMBER(BF111),ISNUMBER(BF117)),IFERROR(BF111/BF117,""),"")</f>
        <v>0.711929454502842</v>
      </c>
      <c r="BG119" s="55" t="n">
        <f aca="false">IF(AND(ISNUMBER(BG111),ISNUMBER(BG117)),IFERROR(BG111/BG117,""),"")</f>
        <v>2.58565546650982</v>
      </c>
      <c r="BH119" s="55" t="n">
        <f aca="false">IF(AND(ISNUMBER(BH111),ISNUMBER(BH117)),IFERROR(BH111/BH117,""),"")</f>
        <v>0.680743478101789</v>
      </c>
      <c r="BI119" s="55" t="n">
        <f aca="false">IF(AND(ISNUMBER(BI111),ISNUMBER(BI117)),IFERROR(BI111/BI117,""),"")</f>
        <v>0.767770019574045</v>
      </c>
      <c r="BJ119" s="55" t="n">
        <f aca="false">IF(AND(ISNUMBER(BJ111),ISNUMBER(BJ117)),IFERROR(BJ111/BJ117,""),"")</f>
        <v>0.744660817774404</v>
      </c>
      <c r="BK119" s="55" t="n">
        <f aca="false">IF(AND(ISNUMBER(BK111),ISNUMBER(BK117)),IFERROR(BK111/BK117,""),"")</f>
        <v>0.748579576297561</v>
      </c>
      <c r="BL119" s="55" t="n">
        <f aca="false">IF(AND(ISNUMBER(BL111),ISNUMBER(BL117)),IFERROR(BL111/BL117,""),"")</f>
        <v>2.94198345300142</v>
      </c>
      <c r="BM119" s="55" t="n">
        <f aca="false">IF(AND(ISNUMBER(BM111),ISNUMBER(BM117)),IFERROR(BM111/BM117,""),"")</f>
        <v>0.829551947347485</v>
      </c>
      <c r="BN119" s="55" t="n">
        <f aca="false">IF(AND(ISNUMBER(BN111),ISNUMBER(BN117)),IFERROR(BN111/BN117,""),"")</f>
        <v>0.889873253074733</v>
      </c>
      <c r="BO119" s="55" t="n">
        <f aca="false">IF(AND(ISNUMBER(BO111),ISNUMBER(BO117)),IFERROR(BO111/BO117,""),"")</f>
        <v>0.986001617141702</v>
      </c>
      <c r="BP119" s="55" t="n">
        <f aca="false">IF(AND(ISNUMBER(BP111),ISNUMBER(BP117)),IFERROR(BP111/BP117,""),"")</f>
        <v>1.00746467800913</v>
      </c>
      <c r="BQ119" s="55" t="n">
        <f aca="false">IF(AND(ISNUMBER(BQ111),ISNUMBER(BQ117)),IFERROR(BQ111/BQ117,""),"")</f>
        <v>3.71318478928171</v>
      </c>
      <c r="BR119" s="55" t="n">
        <f aca="false">IF(AND(ISNUMBER(BR111),ISNUMBER(BR117)),IFERROR(BR111/BR117,""),"")</f>
        <v>1.20972795436375</v>
      </c>
      <c r="BS119" s="55" t="n">
        <f aca="false">IF(AND(ISNUMBER(BS111),ISNUMBER(BS117)),IFERROR(BS111/BS117,""),"")</f>
        <v>1.12796661990576</v>
      </c>
      <c r="BT119" s="55" t="n">
        <f aca="false">IF(AND(ISNUMBER(BT111),ISNUMBER(BT117)),IFERROR(BT111/BT117,""),"")</f>
        <v>1.27459661479858</v>
      </c>
      <c r="BU119" s="55" t="n">
        <f aca="false">IF(AND(ISNUMBER(BU111),ISNUMBER(BU117)),IFERROR(BU111/BU117,""),"")</f>
        <v>1.35255539992099</v>
      </c>
      <c r="BV119" s="55" t="n">
        <f aca="false">IF(AND(ISNUMBER(BV111),ISNUMBER(BV117)),IFERROR(BV111/BV117,""),"")</f>
        <v>4.96508399976986</v>
      </c>
      <c r="BW119" s="55" t="n">
        <f aca="false">IF(AND(ISNUMBER(BW111),ISNUMBER(BW117)),IFERROR(BW111/BW117,""),"")</f>
        <v>1.36464611675564</v>
      </c>
      <c r="BX119" s="55" t="n">
        <f aca="false">IF(AND(ISNUMBER(BX111),ISNUMBER(BX117)),IFERROR(BX111/BX117,""),"")</f>
        <v>1.67526028045084</v>
      </c>
      <c r="BY119" s="55" t="n">
        <f aca="false">IF(AND(ISNUMBER(BY111),ISNUMBER(BY117)),IFERROR(BY111/BY117,""),"")</f>
        <v>1.68529441239209</v>
      </c>
      <c r="BZ119" s="56" t="n">
        <f aca="false">IF(AND(ISNUMBER(BZ111),ISNUMBER(BZ117)),IFERROR(BZ111/BZ117,""),"")</f>
        <v>1.72449815588869</v>
      </c>
      <c r="CA119" s="56" t="n">
        <f aca="false">IF(AND(ISNUMBER(CA111),ISNUMBER(CA117)),IFERROR(CA111/CA117,""),"")</f>
        <v>6.45022838609906</v>
      </c>
      <c r="CB119" s="56" t="n">
        <f aca="false">IF(AND(ISNUMBER(CB111),ISNUMBER(CB117)),IFERROR(CB111/CB117,""),"")</f>
        <v>7.31327414170281</v>
      </c>
      <c r="CC119" s="56" t="n">
        <f aca="false">IF(AND(ISNUMBER(CC111),ISNUMBER(CC117)),IFERROR(CC111/CC117,""),"")</f>
        <v>8.32187851448207</v>
      </c>
      <c r="CD119" s="56" t="n">
        <f aca="false">IF(AND(ISNUMBER(CD111),ISNUMBER(CD117)),IFERROR(CD111/CD117,""),"")</f>
        <v>9.22247224048857</v>
      </c>
      <c r="CE119" s="56" t="n">
        <f aca="false">IF(AND(ISNUMBER(CE111),ISNUMBER(CE117)),IFERROR(CE111/CE117,""),"")</f>
        <v>10.2151984287461</v>
      </c>
    </row>
    <row r="120" customFormat="false" ht="15" hidden="false" customHeight="true" outlineLevel="0" collapsed="false">
      <c r="B120" s="49" t="s">
        <v>240</v>
      </c>
      <c r="C120" s="57" t="n">
        <f aca="false">IF(AND(ISNUMBER(C111),ISNUMBER(C118)),IFERROR(C111/C118,""),"")</f>
        <v>0.251428608554436</v>
      </c>
      <c r="D120" s="57" t="n">
        <f aca="false">IF(AND(ISNUMBER(D111),ISNUMBER(D118)),IFERROR(D111/D118,""),"")</f>
        <v>0.30373646704332</v>
      </c>
      <c r="E120" s="57" t="n">
        <f aca="false">IF(AND(ISNUMBER(E111),ISNUMBER(E118)),IFERROR(E111/E118,""),"")</f>
        <v>0.37343027899809</v>
      </c>
      <c r="F120" s="57" t="n">
        <f aca="false">IF(AND(ISNUMBER(F111),ISNUMBER(F118)),IFERROR(F111/F118,""),"")</f>
        <v>0.346312157332284</v>
      </c>
      <c r="G120" s="57" t="n">
        <f aca="false">IF(AND(ISNUMBER(G111),ISNUMBER(G118)),IFERROR(G111/G118,""),"")</f>
        <v>0.426452860537471</v>
      </c>
      <c r="H120" s="57" t="n">
        <f aca="false">IF(AND(ISNUMBER(H111),ISNUMBER(H118)),IFERROR(H111/H118,""),"")</f>
        <v>0.561434227139912</v>
      </c>
      <c r="I120" s="57" t="n">
        <f aca="false">IF(AND(ISNUMBER(I111),ISNUMBER(I118)),IFERROR(I111/I118,""),"")</f>
        <v>0.654350196525617</v>
      </c>
      <c r="J120" s="57" t="n">
        <f aca="false">IF(AND(ISNUMBER(J111),ISNUMBER(J118)),IFERROR(J111/J118,""),"")</f>
        <v>0.152974359073805</v>
      </c>
      <c r="K120" s="57" t="n">
        <f aca="false">IF(AND(ISNUMBER(K111),ISNUMBER(K118)),IFERROR(K111/K118,""),"")</f>
        <v>0.181455754747526</v>
      </c>
      <c r="L120" s="57" t="n">
        <f aca="false">IF(AND(ISNUMBER(L111),ISNUMBER(L118)),IFERROR(L111/L118,""),"")</f>
        <v>0.221157412308378</v>
      </c>
      <c r="M120" s="57" t="n">
        <f aca="false">IF(AND(ISNUMBER(M111),ISNUMBER(M118)),IFERROR(M111/M118,""),"")</f>
        <v>0.226838117633324</v>
      </c>
      <c r="N120" s="57" t="n">
        <f aca="false">IF(AND(ISNUMBER(N111),ISNUMBER(N118)),IFERROR(N111/N118,""),"")</f>
        <v>0.782699111698881</v>
      </c>
      <c r="O120" s="57" t="n">
        <f aca="false">IF(AND(ISNUMBER(O111),ISNUMBER(O118)),IFERROR(O111/O118,""),"")</f>
        <v>0.208708872787742</v>
      </c>
      <c r="P120" s="57" t="n">
        <f aca="false">IF(AND(ISNUMBER(P111),ISNUMBER(P118)),IFERROR(P111/P118,""),"")</f>
        <v>0.215312489603736</v>
      </c>
      <c r="Q120" s="57" t="n">
        <f aca="false">IF(AND(ISNUMBER(Q111),ISNUMBER(Q118)),IFERROR(Q111/Q118,""),"")</f>
        <v>0.253184812407856</v>
      </c>
      <c r="R120" s="57" t="n">
        <f aca="false">IF(AND(ISNUMBER(R111),ISNUMBER(R118)),IFERROR(R111/R118,""),"")</f>
        <v>0.243410582498924</v>
      </c>
      <c r="S120" s="57" t="n">
        <f aca="false">IF(AND(ISNUMBER(S111),ISNUMBER(S118)),IFERROR(S111/S118,""),"")</f>
        <v>0.92067092380222</v>
      </c>
      <c r="T120" s="57" t="n">
        <f aca="false">IF(AND(ISNUMBER(T111),ISNUMBER(T118)),IFERROR(T111/T118,""),"")</f>
        <v>0.209130916074523</v>
      </c>
      <c r="U120" s="57" t="n">
        <f aca="false">IF(AND(ISNUMBER(U111),ISNUMBER(U118)),IFERROR(U111/U118,""),"")</f>
        <v>0.249992773203928</v>
      </c>
      <c r="V120" s="57" t="n">
        <f aca="false">IF(AND(ISNUMBER(V111),ISNUMBER(V118)),IFERROR(V111/V118,""),"")</f>
        <v>0.259155652350365</v>
      </c>
      <c r="W120" s="57" t="n">
        <f aca="false">IF(AND(ISNUMBER(W111),ISNUMBER(W118)),IFERROR(W111/W118,""),"")</f>
        <v>0.288538889079111</v>
      </c>
      <c r="X120" s="57" t="n">
        <f aca="false">IF(AND(ISNUMBER(X111),ISNUMBER(X118)),IFERROR(X111/X118,""),"")</f>
        <v>1.00695120545833</v>
      </c>
      <c r="Y120" s="57" t="n">
        <f aca="false">IF(AND(ISNUMBER(Y111),ISNUMBER(Y118)),IFERROR(Y111/Y118,""),"")</f>
        <v>0.235660171626862</v>
      </c>
      <c r="Z120" s="57" t="n">
        <f aca="false">IF(AND(ISNUMBER(Z111),ISNUMBER(Z118)),IFERROR(Z111/Z118,""),"")</f>
        <v>0.29094466874696</v>
      </c>
      <c r="AA120" s="57" t="n">
        <f aca="false">IF(AND(ISNUMBER(AA111),ISNUMBER(AA118)),IFERROR(AA111/AA118,""),"")</f>
        <v>0.31496271067818</v>
      </c>
      <c r="AB120" s="57" t="n">
        <f aca="false">IF(AND(ISNUMBER(AB111),ISNUMBER(AB118)),IFERROR(AB111/AB118,""),"")</f>
        <v>0.33115328699751</v>
      </c>
      <c r="AC120" s="57" t="n">
        <f aca="false">IF(AND(ISNUMBER(AC111),ISNUMBER(AC118)),IFERROR(AC111/AC118,""),"")</f>
        <v>1.1731011317318</v>
      </c>
      <c r="AD120" s="57" t="n">
        <f aca="false">IF(AND(ISNUMBER(AD111),ISNUMBER(AD118)),IFERROR(AD111/AD118,""),"")</f>
        <v>0.303149806261372</v>
      </c>
      <c r="AE120" s="57" t="n">
        <f aca="false">IF(AND(ISNUMBER(AE111),ISNUMBER(AE118)),IFERROR(AE111/AE118,""),"")</f>
        <v>0.337489062317526</v>
      </c>
      <c r="AF120" s="57" t="n">
        <f aca="false">IF(AND(ISNUMBER(AF111),ISNUMBER(AF118)),IFERROR(AF111/AF118,""),"")</f>
        <v>0.336583155233524</v>
      </c>
      <c r="AG120" s="57" t="n">
        <f aca="false">IF(AND(ISNUMBER(AG111),ISNUMBER(AG118)),IFERROR(AG111/AG118,""),"")</f>
        <v>0.394072059050223</v>
      </c>
      <c r="AH120" s="57" t="n">
        <f aca="false">IF(AND(ISNUMBER(AH111),ISNUMBER(AH118)),IFERROR(AH111/AH118,""),"")</f>
        <v>1.37169724347746</v>
      </c>
      <c r="AI120" s="57" t="n">
        <f aca="false">IF(AND(ISNUMBER(AI111),ISNUMBER(AI118)),IFERROR(AI111/AI118,""),"")</f>
        <v>0.477688980130508</v>
      </c>
      <c r="AJ120" s="57" t="n">
        <f aca="false">IF(AND(ISNUMBER(AJ111),ISNUMBER(AJ118)),IFERROR(AJ111/AJ118,""),"")</f>
        <v>0.436478114046728</v>
      </c>
      <c r="AK120" s="57" t="n">
        <f aca="false">IF(AND(ISNUMBER(AK111),ISNUMBER(AK118)),IFERROR(AK111/AK118,""),"")</f>
        <v>0.490635033239964</v>
      </c>
      <c r="AL120" s="57" t="n">
        <f aca="false">IF(AND(ISNUMBER(AL111),ISNUMBER(AL118)),IFERROR(AL111/AL118,""),"")</f>
        <v>0.491543693198295</v>
      </c>
      <c r="AM120" s="57" t="n">
        <f aca="false">IF(AND(ISNUMBER(AM111),ISNUMBER(AM118)),IFERROR(AM111/AM118,""),"")</f>
        <v>1.89641979282495</v>
      </c>
      <c r="AN120" s="57" t="n">
        <f aca="false">IF(AND(ISNUMBER(AN111),ISNUMBER(AN118)),IFERROR(AN111/AN118,""),"")</f>
        <v>0.579158697017039</v>
      </c>
      <c r="AO120" s="57" t="n">
        <f aca="false">IF(AND(ISNUMBER(AO111),ISNUMBER(AO118)),IFERROR(AO111/AO118,""),"")</f>
        <v>0.596052650758713</v>
      </c>
      <c r="AP120" s="57" t="n">
        <f aca="false">IF(AND(ISNUMBER(AP111),ISNUMBER(AP118)),IFERROR(AP111/AP118,""),"")</f>
        <v>0.589229405524798</v>
      </c>
      <c r="AQ120" s="57" t="n">
        <f aca="false">IF(AND(ISNUMBER(AQ111),ISNUMBER(AQ118)),IFERROR(AQ111/AQ118,""),"")</f>
        <v>0.622784957334535</v>
      </c>
      <c r="AR120" s="57" t="n">
        <f aca="false">IF(AND(ISNUMBER(AR111),ISNUMBER(AR118)),IFERROR(AR111/AR118,""),"")</f>
        <v>2.38730251183109</v>
      </c>
      <c r="AS120" s="57" t="n">
        <f aca="false">IF(AND(ISNUMBER(AS111),ISNUMBER(AS118)),IFERROR(AS111/AS118,""),"")</f>
        <v>0.886967785127455</v>
      </c>
      <c r="AT120" s="57" t="n">
        <f aca="false">IF(AND(ISNUMBER(AT111),ISNUMBER(AT118)),IFERROR(AT111/AT118,""),"")</f>
        <v>0.55028187606205</v>
      </c>
      <c r="AU120" s="57" t="n">
        <f aca="false">IF(AND(ISNUMBER(AU111),ISNUMBER(AU118)),IFERROR(AU111/AU118,""),"")</f>
        <v>0.39579113047787</v>
      </c>
      <c r="AV120" s="57" t="n">
        <f aca="false">IF(AND(ISNUMBER(AV111),ISNUMBER(AV118)),IFERROR(AV111/AV118,""),"")</f>
        <v>0.453498355598242</v>
      </c>
      <c r="AW120" s="57" t="n">
        <f aca="false">IF(AND(ISNUMBER(AW111),ISNUMBER(AW118)),IFERROR(AW111/AW118,""),"")</f>
        <v>2.28681301073546</v>
      </c>
      <c r="AX120" s="57" t="n">
        <f aca="false">IF(AND(ISNUMBER(AX111),ISNUMBER(AX118)),IFERROR(AX111/AX118,""),"")</f>
        <v>0.51252341333798</v>
      </c>
      <c r="AY120" s="57" t="n">
        <f aca="false">IF(AND(ISNUMBER(AY111),ISNUMBER(AY118)),IFERROR(AY111/AY118,""),"")</f>
        <v>0.512814372995487</v>
      </c>
      <c r="AZ120" s="57" t="n">
        <f aca="false">IF(AND(ISNUMBER(AZ111),ISNUMBER(AZ118)),IFERROR(AZ111/AZ118,""),"")</f>
        <v>0.557340330682749</v>
      </c>
      <c r="BA120" s="57" t="n">
        <f aca="false">IF(AND(ISNUMBER(BA111),ISNUMBER(BA118)),IFERROR(BA111/BA118,""),"")</f>
        <v>0.62407634351682</v>
      </c>
      <c r="BB120" s="57" t="n">
        <f aca="false">IF(AND(ISNUMBER(BB111),ISNUMBER(BB118)),IFERROR(BB111/BB118,""),"")</f>
        <v>2.2068275131661</v>
      </c>
      <c r="BC120" s="57" t="n">
        <f aca="false">IF(AND(ISNUMBER(BC111),ISNUMBER(BC118)),IFERROR(BC111/BC118,""),"")</f>
        <v>0.63001754055347</v>
      </c>
      <c r="BD120" s="57" t="n">
        <f aca="false">IF(AND(ISNUMBER(BD111),ISNUMBER(BD118)),IFERROR(BD111/BD118,""),"")</f>
        <v>0.616608760617116</v>
      </c>
      <c r="BE120" s="57" t="n">
        <f aca="false">IF(AND(ISNUMBER(BE111),ISNUMBER(BE118)),IFERROR(BE111/BE118,""),"")</f>
        <v>0.598823247749153</v>
      </c>
      <c r="BF120" s="57" t="n">
        <f aca="false">IF(AND(ISNUMBER(BF111),ISNUMBER(BF118)),IFERROR(BF111/BF118,""),"")</f>
        <v>0.701945435376017</v>
      </c>
      <c r="BG120" s="57" t="n">
        <f aca="false">IF(AND(ISNUMBER(BG111),ISNUMBER(BG118)),IFERROR(BG111/BG118,""),"")</f>
        <v>2.54768648985417</v>
      </c>
      <c r="BH120" s="57" t="n">
        <f aca="false">IF(AND(ISNUMBER(BH111),ISNUMBER(BH118)),IFERROR(BH111/BH118,""),"")</f>
        <v>0.67129218712792</v>
      </c>
      <c r="BI120" s="57" t="n">
        <f aca="false">IF(AND(ISNUMBER(BI111),ISNUMBER(BI118)),IFERROR(BI111/BI118,""),"")</f>
        <v>0.758441558441559</v>
      </c>
      <c r="BJ120" s="57" t="n">
        <f aca="false">IF(AND(ISNUMBER(BJ111),ISNUMBER(BJ118)),IFERROR(BJ111/BJ118,""),"")</f>
        <v>0.735735714079673</v>
      </c>
      <c r="BK120" s="57" t="n">
        <f aca="false">IF(AND(ISNUMBER(BK111),ISNUMBER(BK118)),IFERROR(BK111/BK118,""),"")</f>
        <v>0.739956930165339</v>
      </c>
      <c r="BL120" s="57" t="n">
        <f aca="false">IF(AND(ISNUMBER(BL111),ISNUMBER(BL118)),IFERROR(BL111/BL118,""),"")</f>
        <v>2.90555415571794</v>
      </c>
      <c r="BM120" s="57" t="n">
        <f aca="false">IF(AND(ISNUMBER(BM111),ISNUMBER(BM118)),IFERROR(BM111/BM118,""),"")</f>
        <v>0.81989806494964</v>
      </c>
      <c r="BN120" s="57" t="n">
        <f aca="false">IF(AND(ISNUMBER(BN111),ISNUMBER(BN118)),IFERROR(BN111/BN118,""),"")</f>
        <v>0.879243747277933</v>
      </c>
      <c r="BO120" s="57" t="n">
        <f aca="false">IF(AND(ISNUMBER(BO111),ISNUMBER(BO118)),IFERROR(BO111/BO118,""),"")</f>
        <v>0.973429314707245</v>
      </c>
      <c r="BP120" s="57" t="n">
        <f aca="false">IF(AND(ISNUMBER(BP111),ISNUMBER(BP118)),IFERROR(BP111/BP118,""),"")</f>
        <v>0.993973031629131</v>
      </c>
      <c r="BQ120" s="57" t="n">
        <f aca="false">IF(AND(ISNUMBER(BQ111),ISNUMBER(BQ118)),IFERROR(BQ111/BQ118,""),"")</f>
        <v>3.66702092754533</v>
      </c>
      <c r="BR120" s="57" t="n">
        <f aca="false">IF(AND(ISNUMBER(BR111),ISNUMBER(BR118)),IFERROR(BR111/BR118,""),"")</f>
        <v>1.19554540018792</v>
      </c>
      <c r="BS120" s="57" t="n">
        <f aca="false">IF(AND(ISNUMBER(BS111),ISNUMBER(BS118)),IFERROR(BS111/BS118,""),"")</f>
        <v>1.115178628582</v>
      </c>
      <c r="BT120" s="57" t="n">
        <f aca="false">IF(AND(ISNUMBER(BT111),ISNUMBER(BT118)),IFERROR(BT111/BT118,""),"")</f>
        <v>1.25818375310394</v>
      </c>
      <c r="BU120" s="57" t="n">
        <f aca="false">IF(AND(ISNUMBER(BU111),ISNUMBER(BU118)),IFERROR(BU111/BU118,""),"")</f>
        <v>1.33494976994137</v>
      </c>
      <c r="BV120" s="57" t="n">
        <f aca="false">IF(AND(ISNUMBER(BV111),ISNUMBER(BV118)),IFERROR(BV111/BV118,""),"")</f>
        <v>4.90431267803738</v>
      </c>
      <c r="BW120" s="57" t="n">
        <f aca="false">IF(AND(ISNUMBER(BW111),ISNUMBER(BW118)),IFERROR(BW111/BW118,""),"")</f>
        <v>1.34857369760829</v>
      </c>
      <c r="BX120" s="57" t="n">
        <f aca="false">IF(AND(ISNUMBER(BX111),ISNUMBER(BX118)),IFERROR(BX111/BX118,""),"")</f>
        <v>1.65736382453852</v>
      </c>
      <c r="BY120" s="57" t="n">
        <f aca="false">IF(AND(ISNUMBER(BY111),ISNUMBER(BY118)),IFERROR(BY111/BY118,""),"")</f>
        <v>1.6666005988575</v>
      </c>
      <c r="BZ120" s="57" t="n">
        <f aca="false">IF(AND(ISNUMBER(BZ111),ISNUMBER(BZ118)),IFERROR(BZ111/BZ118,""),"")</f>
        <v>1.7053694821508</v>
      </c>
      <c r="CA120" s="57" t="n">
        <f aca="false">IF(AND(ISNUMBER(CA111),ISNUMBER(CA118)),IFERROR(CA111/CA118,""),"")</f>
        <v>6.37823614458163</v>
      </c>
      <c r="CB120" s="57" t="n">
        <f aca="false">IF(AND(ISNUMBER(CB111),ISNUMBER(CB118)),IFERROR(CB111/CB118,""),"")</f>
        <v>7.23229941101909</v>
      </c>
      <c r="CC120" s="57" t="n">
        <f aca="false">IF(AND(ISNUMBER(CC111),ISNUMBER(CC118)),IFERROR(CC111/CC118,""),"")</f>
        <v>8.22945473140471</v>
      </c>
      <c r="CD120" s="57" t="n">
        <f aca="false">IF(AND(ISNUMBER(CD111),ISNUMBER(CD118)),IFERROR(CD111/CD118,""),"")</f>
        <v>9.11919935586922</v>
      </c>
      <c r="CE120" s="57" t="n">
        <f aca="false">IF(AND(ISNUMBER(CE111),ISNUMBER(CE118)),IFERROR(CE111/CE118,""),"")</f>
        <v>10.0997852108904</v>
      </c>
      <c r="CF120" s="19" t="s">
        <v>241</v>
      </c>
      <c r="CH120" s="20" t="n">
        <f aca="false">IFERROR((CE120/BV120)^(1/5)-1,"n/m")</f>
        <v>0.15543840131626</v>
      </c>
      <c r="CI120" s="20" t="n">
        <f aca="false">IFERROR((BV120/AW120)^(1/5)-1,"n/m")</f>
        <v>0.164848646374095</v>
      </c>
      <c r="CJ120" s="20" t="n">
        <f aca="false">IFERROR((BV120/X120)^(1/10)-1,"n/m")</f>
        <v>0.171539598485848</v>
      </c>
      <c r="CK120" s="20" t="n">
        <f aca="false">IFERROR((BV120/C120)^(1/19)-1,"n/m")</f>
        <v>0.169239126880287</v>
      </c>
    </row>
    <row r="121" customFormat="false" ht="15" hidden="false" customHeight="true" outlineLevel="0" collapsed="false">
      <c r="B121" s="21" t="s">
        <v>242</v>
      </c>
      <c r="D121" s="22" t="n">
        <f aca="false">IF(AND(ISNUMBER(D120),ISNUMBER(C120)),IFERROR(D120/C120-1,""),"")</f>
        <v>0.208042588270376</v>
      </c>
      <c r="E121" s="22" t="n">
        <f aca="false">IF(AND(ISNUMBER(E120),ISNUMBER(D120)),IFERROR(E120/D120-1,""),"")</f>
        <v>0.229454871300752</v>
      </c>
      <c r="F121" s="22" t="n">
        <f aca="false">IF(AND(ISNUMBER(F120),ISNUMBER(E120)),IFERROR(F120/E120-1,""),"")</f>
        <v>-0.0726189684954395</v>
      </c>
      <c r="G121" s="22" t="n">
        <f aca="false">IF(AND(ISNUMBER(G120),ISNUMBER(F120)),IFERROR(G120/F120-1,""),"")</f>
        <v>0.231411752398552</v>
      </c>
      <c r="H121" s="22" t="n">
        <f aca="false">IF(AND(ISNUMBER(H120),ISNUMBER(G120)),IFERROR(H120/G120-1,""),"")</f>
        <v>0.3165211893111</v>
      </c>
      <c r="I121" s="22" t="n">
        <f aca="false">IF(AND(ISNUMBER(I120),ISNUMBER(H120)),IFERROR(I120/H120-1,""),"")</f>
        <v>0.165497514925377</v>
      </c>
      <c r="N121" s="22" t="n">
        <f aca="false">IF(AND(ISNUMBER(N120),ISNUMBER(I120)),IFERROR(N120/I120-1,""),"")</f>
        <v>0.196147133224311</v>
      </c>
      <c r="O121" s="22" t="n">
        <f aca="false">IF(AND(ISNUMBER(O120),ISNUMBER(J120)),IFERROR(O120/J120-1,""),"")</f>
        <v>0.364338926153286</v>
      </c>
      <c r="P121" s="22" t="n">
        <f aca="false">IF(AND(ISNUMBER(P120),ISNUMBER(K120)),IFERROR(P120/K120-1,""),"")</f>
        <v>0.186583968655708</v>
      </c>
      <c r="Q121" s="22" t="n">
        <f aca="false">IF(AND(ISNUMBER(Q120),ISNUMBER(L120)),IFERROR(Q120/L120-1,""),"")</f>
        <v>0.144817213066409</v>
      </c>
      <c r="R121" s="22" t="n">
        <f aca="false">IF(AND(ISNUMBER(R120),ISNUMBER(M120)),IFERROR(R120/M120-1,""),"")</f>
        <v>0.0730585539965938</v>
      </c>
      <c r="S121" s="22" t="n">
        <f aca="false">IF(AND(ISNUMBER(S120),ISNUMBER(N120)),IFERROR(S120/N120-1,""),"")</f>
        <v>0.176276949904625</v>
      </c>
      <c r="T121" s="22" t="n">
        <f aca="false">IF(AND(ISNUMBER(T120),ISNUMBER(O120)),IFERROR(T120/O120-1,""),"")</f>
        <v>0.00202216264762978</v>
      </c>
      <c r="U121" s="22" t="n">
        <f aca="false">IF(AND(ISNUMBER(U120),ISNUMBER(P120)),IFERROR(U120/P120-1,""),"")</f>
        <v>0.161069539737422</v>
      </c>
      <c r="V121" s="22" t="n">
        <f aca="false">IF(AND(ISNUMBER(V120),ISNUMBER(Q120)),IFERROR(V120/Q120-1,""),"")</f>
        <v>0.0235829309259312</v>
      </c>
      <c r="W121" s="22" t="n">
        <f aca="false">IF(AND(ISNUMBER(W120),ISNUMBER(R120)),IFERROR(W120/R120-1,""),"")</f>
        <v>0.185399936670322</v>
      </c>
      <c r="X121" s="22" t="n">
        <f aca="false">IF(AND(ISNUMBER(X120),ISNUMBER(S120)),IFERROR(X120/S120-1,""),"")</f>
        <v>0.093714572085956</v>
      </c>
      <c r="Y121" s="22" t="n">
        <f aca="false">IF(AND(ISNUMBER(Y120),ISNUMBER(T120)),IFERROR(Y120/T120-1,""),"")</f>
        <v>0.126854776186634</v>
      </c>
      <c r="Z121" s="22" t="n">
        <f aca="false">IF(AND(ISNUMBER(Z120),ISNUMBER(U120)),IFERROR(Z120/U120-1,""),"")</f>
        <v>0.163812317524977</v>
      </c>
      <c r="AA121" s="22" t="n">
        <f aca="false">IF(AND(ISNUMBER(AA120),ISNUMBER(V120)),IFERROR(AA120/V120-1,""),"")</f>
        <v>0.215341852750204</v>
      </c>
      <c r="AB121" s="22" t="n">
        <f aca="false">IF(AND(ISNUMBER(AB120),ISNUMBER(W120)),IFERROR(AB120/W120-1,""),"")</f>
        <v>0.147690309803318</v>
      </c>
      <c r="AC121" s="22" t="n">
        <f aca="false">IF(AND(ISNUMBER(AC120),ISNUMBER(X120)),IFERROR(AC120/X120-1,""),"")</f>
        <v>0.165002956819393</v>
      </c>
      <c r="AD121" s="22" t="n">
        <f aca="false">IF(AND(ISNUMBER(AD120),ISNUMBER(Y120)),IFERROR(AD120/Y120-1,""),"")</f>
        <v>0.286385408992111</v>
      </c>
      <c r="AE121" s="22" t="n">
        <f aca="false">IF(AND(ISNUMBER(AE120),ISNUMBER(Z120)),IFERROR(AE120/Z120-1,""),"")</f>
        <v>0.159976787926802</v>
      </c>
      <c r="AF121" s="22" t="n">
        <f aca="false">IF(AND(ISNUMBER(AF120),ISNUMBER(AA120)),IFERROR(AF120/AA120-1,""),"")</f>
        <v>0.0686444579702488</v>
      </c>
      <c r="AG121" s="22" t="n">
        <f aca="false">IF(AND(ISNUMBER(AG120),ISNUMBER(AB120)),IFERROR(AG120/AB120-1,""),"")</f>
        <v>0.189998935608289</v>
      </c>
      <c r="AH121" s="22" t="n">
        <f aca="false">IF(AND(ISNUMBER(AH120),ISNUMBER(AC120)),IFERROR(AH120/AC120-1,""),"")</f>
        <v>0.169291552427775</v>
      </c>
      <c r="AI121" s="22" t="n">
        <f aca="false">IF(AND(ISNUMBER(AI120),ISNUMBER(AD120)),IFERROR(AI120/AD120-1,""),"")</f>
        <v>0.575752219741323</v>
      </c>
      <c r="AJ121" s="22" t="n">
        <f aca="false">IF(AND(ISNUMBER(AJ120),ISNUMBER(AE120)),IFERROR(AJ120/AE120-1,""),"")</f>
        <v>0.293310399600649</v>
      </c>
      <c r="AK121" s="22" t="n">
        <f aca="false">IF(AND(ISNUMBER(AK120),ISNUMBER(AF120)),IFERROR(AK120/AF120-1,""),"")</f>
        <v>0.457693368224436</v>
      </c>
      <c r="AL121" s="22" t="n">
        <f aca="false">IF(AND(ISNUMBER(AL120),ISNUMBER(AG120)),IFERROR(AL120/AG120-1,""),"")</f>
        <v>0.247344697269313</v>
      </c>
      <c r="AM121" s="22" t="n">
        <f aca="false">IF(AND(ISNUMBER(AM120),ISNUMBER(AH120)),IFERROR(AM120/AH120-1,""),"")</f>
        <v>0.382535251013003</v>
      </c>
      <c r="AN121" s="22" t="n">
        <f aca="false">IF(AND(ISNUMBER(AN120),ISNUMBER(AI120)),IFERROR(AN120/AI120-1,""),"")</f>
        <v>0.212417956258502</v>
      </c>
      <c r="AO121" s="22" t="n">
        <f aca="false">IF(AND(ISNUMBER(AO120),ISNUMBER(AJ120)),IFERROR(AO120/AJ120-1,""),"")</f>
        <v>0.36559573453184</v>
      </c>
      <c r="AP121" s="22" t="n">
        <f aca="false">IF(AND(ISNUMBER(AP120),ISNUMBER(AK120)),IFERROR(AP120/AK120-1,""),"")</f>
        <v>0.200952572900787</v>
      </c>
      <c r="AQ121" s="22" t="n">
        <f aca="false">IF(AND(ISNUMBER(AQ120),ISNUMBER(AL120)),IFERROR(AQ120/AL120-1,""),"")</f>
        <v>0.266998165071147</v>
      </c>
      <c r="AR121" s="22" t="n">
        <f aca="false">IF(AND(ISNUMBER(AR120),ISNUMBER(AM120)),IFERROR(AR120/AM120-1,""),"")</f>
        <v>0.258847076403323</v>
      </c>
      <c r="AS121" s="22" t="n">
        <f aca="false">IF(AND(ISNUMBER(AS120),ISNUMBER(AN120)),IFERROR(AS120/AN120-1,""),"")</f>
        <v>0.531476242514855</v>
      </c>
      <c r="AT121" s="22" t="n">
        <f aca="false">IF(AND(ISNUMBER(AT120),ISNUMBER(AO120)),IFERROR(AT120/AO120-1,""),"")</f>
        <v>-0.0767898182122034</v>
      </c>
      <c r="AU121" s="22" t="n">
        <f aca="false">IF(AND(ISNUMBER(AU120),ISNUMBER(AP120)),IFERROR(AU120/AP120-1,""),"")</f>
        <v>-0.328290260521946</v>
      </c>
      <c r="AV121" s="22" t="n">
        <f aca="false">IF(AND(ISNUMBER(AV120),ISNUMBER(AQ120)),IFERROR(AV120/AQ120-1,""),"")</f>
        <v>-0.271821918212066</v>
      </c>
      <c r="AW121" s="22" t="n">
        <f aca="false">IF(AND(ISNUMBER(AW120),ISNUMBER(AR120)),IFERROR(AW120/AR120-1,""),"")</f>
        <v>-0.0420933252478977</v>
      </c>
      <c r="AX121" s="22" t="n">
        <f aca="false">IF(AND(ISNUMBER(AX120),ISNUMBER(AS120)),IFERROR(AX120/AS120-1,""),"")</f>
        <v>-0.422162313071685</v>
      </c>
      <c r="AY121" s="22" t="n">
        <f aca="false">IF(AND(ISNUMBER(AY120),ISNUMBER(AT120)),IFERROR(AY120/AT120-1,""),"")</f>
        <v>-0.0680878376999972</v>
      </c>
      <c r="AZ121" s="22" t="n">
        <f aca="false">IF(AND(ISNUMBER(AZ120),ISNUMBER(AU120)),IFERROR(AZ120/AU120-1,""),"")</f>
        <v>0.408167813184261</v>
      </c>
      <c r="BA121" s="22" t="n">
        <f aca="false">IF(AND(ISNUMBER(BA120),ISNUMBER(AV120)),IFERROR(BA120/AV120-1,""),"")</f>
        <v>0.376138051688317</v>
      </c>
      <c r="BB121" s="22" t="n">
        <f aca="false">IF(AND(ISNUMBER(BB120),ISNUMBER(AW120)),IFERROR(BB120/AW120-1,""),"")</f>
        <v>-0.0349768420915326</v>
      </c>
      <c r="BC121" s="22" t="n">
        <f aca="false">IF(AND(ISNUMBER(BC120),ISNUMBER(AX120)),IFERROR(BC120/AX120-1,""),"")</f>
        <v>0.229246360571648</v>
      </c>
      <c r="BD121" s="22" t="n">
        <f aca="false">IF(AND(ISNUMBER(BD120),ISNUMBER(AY120)),IFERROR(BD120/AY120-1,""),"")</f>
        <v>0.202401479146028</v>
      </c>
      <c r="BE121" s="22" t="n">
        <f aca="false">IF(AND(ISNUMBER(BE120),ISNUMBER(AZ120)),IFERROR(BE120/AZ120-1,""),"")</f>
        <v>0.074430136817099</v>
      </c>
      <c r="BF121" s="22" t="n">
        <f aca="false">IF(AND(ISNUMBER(BF120),ISNUMBER(BA120)),IFERROR(BF120/BA120-1,""),"")</f>
        <v>0.124774945674732</v>
      </c>
      <c r="BG121" s="22" t="n">
        <f aca="false">IF(AND(ISNUMBER(BG120),ISNUMBER(BB120)),IFERROR(BG120/BB120-1,""),"")</f>
        <v>0.154456555691134</v>
      </c>
      <c r="BH121" s="22" t="n">
        <f aca="false">IF(AND(ISNUMBER(BH120),ISNUMBER(BC120)),IFERROR(BH120/BC120-1,""),"")</f>
        <v>0.0655134879866837</v>
      </c>
      <c r="BI121" s="22" t="n">
        <f aca="false">IF(AND(ISNUMBER(BI120),ISNUMBER(BD120)),IFERROR(BI120/BD120-1,""),"")</f>
        <v>0.230020730945328</v>
      </c>
      <c r="BJ121" s="22" t="n">
        <f aca="false">IF(AND(ISNUMBER(BJ120),ISNUMBER(BE120)),IFERROR(BJ120/BE120-1,""),"")</f>
        <v>0.228635856816087</v>
      </c>
      <c r="BK121" s="22" t="n">
        <f aca="false">IF(AND(ISNUMBER(BK120),ISNUMBER(BF120)),IFERROR(BK120/BF120-1,""),"")</f>
        <v>0.054151637539976</v>
      </c>
      <c r="BL121" s="22" t="n">
        <f aca="false">IF(AND(ISNUMBER(BL120),ISNUMBER(BG120)),IFERROR(BL120/BG120-1,""),"")</f>
        <v>0.140467701692861</v>
      </c>
      <c r="BM121" s="22" t="n">
        <f aca="false">IF(AND(ISNUMBER(BM120),ISNUMBER(BH120)),IFERROR(BM120/BH120-1,""),"")</f>
        <v>0.221372869625552</v>
      </c>
      <c r="BN121" s="22" t="n">
        <f aca="false">IF(AND(ISNUMBER(BN120),ISNUMBER(BI120)),IFERROR(BN120/BI120-1,""),"")</f>
        <v>0.159276858568507</v>
      </c>
      <c r="BO121" s="22" t="n">
        <f aca="false">IF(AND(ISNUMBER(BO120),ISNUMBER(BJ120)),IFERROR(BO120/BJ120-1,""),"")</f>
        <v>0.323069270770553</v>
      </c>
      <c r="BP121" s="22" t="n">
        <f aca="false">IF(AND(ISNUMBER(BP120),ISNUMBER(BK120)),IFERROR(BP120/BK120-1,""),"")</f>
        <v>0.343284982015146</v>
      </c>
      <c r="BQ121" s="22" t="n">
        <f aca="false">IF(AND(ISNUMBER(BQ120),ISNUMBER(BL120)),IFERROR(BQ120/BL120-1,""),"")</f>
        <v>0.262072820198128</v>
      </c>
      <c r="BR121" s="22" t="n">
        <f aca="false">IF(AND(ISNUMBER(BR120),ISNUMBER(BM120)),IFERROR(BR120/BM120-1,""),"")</f>
        <v>0.458163461163133</v>
      </c>
      <c r="BS121" s="22" t="n">
        <f aca="false">IF(AND(ISNUMBER(BS120),ISNUMBER(BN120)),IFERROR(BS120/BN120-1,""),"")</f>
        <v>0.268338423826724</v>
      </c>
      <c r="BT121" s="22" t="n">
        <f aca="false">IF(AND(ISNUMBER(BT120),ISNUMBER(BO120)),IFERROR(BT120/BO120-1,""),"")</f>
        <v>0.292527083471214</v>
      </c>
      <c r="BU121" s="22" t="n">
        <f aca="false">IF(AND(ISNUMBER(BU120),ISNUMBER(BP120)),IFERROR(BU120/BP120-1,""),"")</f>
        <v>0.343044255188065</v>
      </c>
      <c r="BV121" s="22" t="n">
        <f aca="false">IF(AND(ISNUMBER(BV120),ISNUMBER(BQ120)),IFERROR(BV120/BQ120-1,""),"")</f>
        <v>0.337410605213068</v>
      </c>
      <c r="BW121" s="22" t="n">
        <f aca="false">IF(AND(ISNUMBER(BW120),ISNUMBER(BR120)),IFERROR(BW120/BR120-1,""),"")</f>
        <v>0.127998733796574</v>
      </c>
      <c r="BX121" s="22" t="n">
        <f aca="false">IF(AND(ISNUMBER(BX120),ISNUMBER(BS120)),IFERROR(BX120/BS120-1,""),"")</f>
        <v>0.48618686016781</v>
      </c>
      <c r="BY121" s="22" t="n">
        <f aca="false">IF(AND(ISNUMBER(BY120),ISNUMBER(BT120)),IFERROR(BY120/BT120-1,""),"")</f>
        <v>0.324608265482684</v>
      </c>
      <c r="BZ121" s="23" t="n">
        <f aca="false">IF(AND(ISNUMBER(BZ120),ISNUMBER(BU120)),IFERROR(BZ120/BU120-1,""),"")</f>
        <v>0.277478389487044</v>
      </c>
      <c r="CA121" s="23" t="n">
        <f aca="false">IF(AND(ISNUMBER(CA120),ISNUMBER(BV120)),IFERROR(CA120/BV120-1,""),"")</f>
        <v>0.300536194020584</v>
      </c>
      <c r="CB121" s="23" t="n">
        <f aca="false">IF(AND(ISNUMBER(CB120),ISNUMBER(CA120)),IFERROR(CB120/CA120-1,""),"")</f>
        <v>0.133902735345256</v>
      </c>
      <c r="CC121" s="23" t="n">
        <f aca="false">IF(AND(ISNUMBER(CC120),ISNUMBER(CB120)),IFERROR(CC120/CB120-1,""),"")</f>
        <v>0.137875281942333</v>
      </c>
      <c r="CD121" s="23" t="n">
        <f aca="false">IF(AND(ISNUMBER(CD120),ISNUMBER(CC120)),IFERROR(CD120/CC120-1,""),"")</f>
        <v>0.108117081083042</v>
      </c>
      <c r="CE121" s="23" t="n">
        <f aca="false">IF(AND(ISNUMBER(CE120),ISNUMBER(CD120)),IFERROR(CE120/CD120-1,""),"")</f>
        <v>0.107529818874945</v>
      </c>
    </row>
    <row r="122" customFormat="false" ht="15" hidden="false" customHeight="true" outlineLevel="0" collapsed="false">
      <c r="B122" s="26" t="s">
        <v>243</v>
      </c>
      <c r="C122" s="58" t="n">
        <v>1.2</v>
      </c>
      <c r="D122" s="58" t="n">
        <v>1.45</v>
      </c>
      <c r="E122" s="58" t="n">
        <v>1.78</v>
      </c>
      <c r="F122" s="58" t="n">
        <v>1.32</v>
      </c>
      <c r="G122" s="58" t="n">
        <v>1.62</v>
      </c>
      <c r="H122" s="58" t="n">
        <v>1.71</v>
      </c>
      <c r="I122" s="58" t="n">
        <v>1.6</v>
      </c>
      <c r="J122" s="58" t="n">
        <v>0.37</v>
      </c>
      <c r="K122" s="58" t="n">
        <v>0.44</v>
      </c>
      <c r="L122" s="58" t="n">
        <v>0.54</v>
      </c>
      <c r="N122" s="58" t="n">
        <v>1.53</v>
      </c>
      <c r="O122" s="58" t="n">
        <v>0.41</v>
      </c>
      <c r="P122" s="58" t="n">
        <v>0.42</v>
      </c>
      <c r="Q122" s="58" t="n">
        <v>0.49</v>
      </c>
      <c r="S122" s="58" t="n">
        <v>1.8</v>
      </c>
      <c r="T122" s="58" t="n">
        <v>0.41</v>
      </c>
      <c r="U122" s="58" t="n">
        <v>0.49</v>
      </c>
      <c r="V122" s="58" t="n">
        <v>0.51</v>
      </c>
      <c r="X122" s="58" t="n">
        <v>1.97</v>
      </c>
      <c r="Y122" s="58" t="n">
        <v>0.46</v>
      </c>
      <c r="Z122" s="58" t="n">
        <v>0.57</v>
      </c>
      <c r="AA122" s="58" t="n">
        <v>0.62</v>
      </c>
      <c r="AC122" s="58" t="n">
        <v>2.29</v>
      </c>
      <c r="AD122" s="58" t="n">
        <v>0.59</v>
      </c>
      <c r="AE122" s="58" t="n">
        <v>0.53</v>
      </c>
      <c r="AF122" s="58" t="n">
        <v>0.53</v>
      </c>
      <c r="AH122" s="58" t="n">
        <v>2.14</v>
      </c>
      <c r="AI122" s="58" t="n">
        <v>0.6</v>
      </c>
      <c r="AJ122" s="58" t="n">
        <v>0.55</v>
      </c>
      <c r="AK122" s="58" t="n">
        <v>0.49</v>
      </c>
      <c r="AM122" s="58" t="n">
        <v>1.9</v>
      </c>
      <c r="AN122" s="58" t="n">
        <v>0.58</v>
      </c>
      <c r="AO122" s="58" t="n">
        <v>0.6</v>
      </c>
      <c r="AP122" s="58" t="n">
        <v>0.59</v>
      </c>
      <c r="AR122" s="58" t="n">
        <v>2.39</v>
      </c>
      <c r="AS122" s="58" t="n">
        <v>0.89</v>
      </c>
      <c r="AT122" s="58" t="n">
        <v>0.55</v>
      </c>
      <c r="AU122" s="58" t="n">
        <v>0.4</v>
      </c>
      <c r="AW122" s="58" t="n">
        <v>2.29</v>
      </c>
      <c r="AX122" s="58" t="n">
        <v>0.51</v>
      </c>
      <c r="AY122" s="58" t="n">
        <v>0.51</v>
      </c>
      <c r="AZ122" s="58" t="n">
        <v>0.56</v>
      </c>
      <c r="BB122" s="58" t="n">
        <v>2.21</v>
      </c>
      <c r="BC122" s="58" t="n">
        <v>0.63</v>
      </c>
      <c r="BD122" s="58" t="n">
        <v>0.62</v>
      </c>
      <c r="BE122" s="58" t="n">
        <v>0.6</v>
      </c>
      <c r="BG122" s="58" t="n">
        <v>2.55</v>
      </c>
      <c r="BH122" s="58" t="n">
        <v>0.67</v>
      </c>
      <c r="BI122" s="58" t="n">
        <v>0.76</v>
      </c>
      <c r="BJ122" s="58" t="n">
        <v>0.74</v>
      </c>
      <c r="BL122" s="58" t="n">
        <v>2.91</v>
      </c>
      <c r="BM122" s="58" t="n">
        <v>0.82</v>
      </c>
      <c r="BN122" s="58" t="n">
        <v>0.88</v>
      </c>
      <c r="BO122" s="58" t="n">
        <v>0.97</v>
      </c>
      <c r="BQ122" s="58" t="n">
        <v>3.67</v>
      </c>
      <c r="BR122" s="58" t="n">
        <v>1.2</v>
      </c>
      <c r="BS122" s="58" t="n">
        <v>1.12</v>
      </c>
      <c r="BT122" s="58" t="n">
        <v>1.26</v>
      </c>
      <c r="BV122" s="58" t="n">
        <v>4.9</v>
      </c>
      <c r="BW122" s="58" t="n">
        <v>1.35</v>
      </c>
      <c r="BX122" s="58" t="n">
        <v>1.66</v>
      </c>
      <c r="BY122" s="58" t="n">
        <v>1.67</v>
      </c>
    </row>
    <row r="123" customFormat="false" ht="15" hidden="false" customHeight="true" outlineLevel="0" collapsed="false">
      <c r="B123" s="29" t="s">
        <v>244</v>
      </c>
      <c r="C123" s="58" t="n">
        <v>0.016754</v>
      </c>
      <c r="D123" s="58" t="n">
        <v>0.016767</v>
      </c>
      <c r="E123" s="58" t="n">
        <v>0.020972</v>
      </c>
      <c r="F123" s="58" t="n">
        <v>0.025166</v>
      </c>
      <c r="G123" s="58" t="n">
        <v>0.028312</v>
      </c>
      <c r="H123" s="58" t="n">
        <v>0.035389</v>
      </c>
      <c r="I123" s="58" t="n">
        <v>0.044237</v>
      </c>
      <c r="J123" s="58" t="n">
        <v>0.90112</v>
      </c>
      <c r="K123" s="58" t="n">
        <v>0</v>
      </c>
      <c r="L123" s="58" t="n">
        <v>0.028672</v>
      </c>
      <c r="M123" s="58" t="n">
        <v>0</v>
      </c>
      <c r="N123" s="58" t="n">
        <v>0.929792</v>
      </c>
      <c r="O123" s="58" t="n">
        <v>0.20992</v>
      </c>
      <c r="P123" s="58" t="n">
        <v>0</v>
      </c>
      <c r="Q123" s="58" t="n">
        <v>0.03072</v>
      </c>
      <c r="R123" s="58" t="n">
        <v>0</v>
      </c>
      <c r="S123" s="58" t="n">
        <v>0.24064</v>
      </c>
      <c r="T123" s="58" t="n">
        <v>0.03584</v>
      </c>
      <c r="U123" s="58" t="n">
        <v>0</v>
      </c>
      <c r="V123" s="58" t="n">
        <v>0.03584</v>
      </c>
      <c r="W123" s="58" t="n">
        <v>0</v>
      </c>
      <c r="X123" s="58" t="n">
        <v>0.07168</v>
      </c>
      <c r="Y123" s="58" t="n">
        <v>0.04096</v>
      </c>
      <c r="Z123" s="58" t="n">
        <v>0</v>
      </c>
      <c r="AA123" s="58" t="n">
        <v>0.04096</v>
      </c>
      <c r="AB123" s="58" t="n">
        <v>0</v>
      </c>
      <c r="AC123" s="58" t="n">
        <v>0.08192</v>
      </c>
      <c r="AD123" s="58" t="n">
        <v>0.04608</v>
      </c>
      <c r="AE123" s="58" t="n">
        <v>0</v>
      </c>
      <c r="AF123" s="58" t="n">
        <v>0.0512</v>
      </c>
      <c r="AG123" s="58" t="n">
        <v>0</v>
      </c>
      <c r="AH123" s="58" t="n">
        <v>0.09728</v>
      </c>
      <c r="AI123" s="58" t="n">
        <v>0.056</v>
      </c>
      <c r="AJ123" s="58" t="n">
        <v>0</v>
      </c>
      <c r="AK123" s="58" t="n">
        <v>0.06</v>
      </c>
      <c r="AL123" s="58" t="n">
        <v>0</v>
      </c>
      <c r="AM123" s="58" t="n">
        <v>0.116</v>
      </c>
      <c r="AN123" s="58" t="n">
        <v>0.07</v>
      </c>
      <c r="AO123" s="58" t="n">
        <v>0.07</v>
      </c>
      <c r="AP123" s="58" t="n">
        <v>0.07</v>
      </c>
      <c r="AQ123" s="58" t="n">
        <v>-0.07</v>
      </c>
      <c r="AR123" s="58" t="n">
        <v>0.14</v>
      </c>
      <c r="AS123" s="58" t="n">
        <v>0.08</v>
      </c>
      <c r="AT123" s="58" t="n">
        <v>0.08</v>
      </c>
      <c r="AU123" s="58" t="n">
        <v>0.08</v>
      </c>
      <c r="AV123" s="58" t="n">
        <v>-0.08</v>
      </c>
      <c r="AW123" s="58" t="n">
        <v>0.16</v>
      </c>
      <c r="AX123" s="58" t="n">
        <v>0.08</v>
      </c>
      <c r="AZ123" s="58" t="n">
        <v>0.09</v>
      </c>
      <c r="BA123" s="58" t="n">
        <v>0</v>
      </c>
      <c r="BB123" s="58" t="n">
        <v>0.17</v>
      </c>
      <c r="BC123" s="58" t="n">
        <v>0.09</v>
      </c>
      <c r="BE123" s="58" t="n">
        <v>0.09</v>
      </c>
      <c r="BF123" s="58" t="n">
        <v>0</v>
      </c>
      <c r="BG123" s="58" t="n">
        <v>0.18</v>
      </c>
      <c r="BH123" s="58" t="n">
        <v>0.1</v>
      </c>
      <c r="BJ123" s="58" t="n">
        <v>0.1</v>
      </c>
      <c r="BK123" s="58" t="n">
        <v>0</v>
      </c>
      <c r="BL123" s="58" t="n">
        <v>0.2</v>
      </c>
      <c r="BM123" s="58" t="n">
        <v>0.1</v>
      </c>
      <c r="BO123" s="58" t="n">
        <v>0.11</v>
      </c>
      <c r="BP123" s="58" t="n">
        <v>0</v>
      </c>
      <c r="BQ123" s="58" t="n">
        <v>0.21</v>
      </c>
      <c r="BR123" s="58" t="n">
        <v>0.11</v>
      </c>
      <c r="BT123" s="58" t="n">
        <v>0.12</v>
      </c>
      <c r="BU123" s="58" t="n">
        <v>0</v>
      </c>
      <c r="BV123" s="58" t="n">
        <v>0.23</v>
      </c>
      <c r="BW123" s="58" t="n">
        <v>0.12</v>
      </c>
      <c r="BY123" s="58" t="n">
        <v>0.13</v>
      </c>
      <c r="BZ123" s="59" t="n">
        <v>0</v>
      </c>
      <c r="CA123" s="56" t="n">
        <f aca="false">SUM(BW123,BX123,BY123,BZ123)</f>
        <v>0.25</v>
      </c>
      <c r="CB123" s="56" t="n">
        <f aca="false">CA123*(1+CB124)</f>
        <v>0.27</v>
      </c>
      <c r="CC123" s="56" t="n">
        <f aca="false">CB123*(1+CC124)</f>
        <v>0.2916</v>
      </c>
      <c r="CD123" s="56" t="n">
        <f aca="false">CC123*(1+CD124)</f>
        <v>0.314928</v>
      </c>
      <c r="CE123" s="56" t="n">
        <f aca="false">CD123*(1+CE124)</f>
        <v>0.34012224</v>
      </c>
      <c r="CF123" s="19" t="s">
        <v>245</v>
      </c>
    </row>
    <row r="124" customFormat="false" ht="15" hidden="false" customHeight="true" outlineLevel="0" collapsed="false">
      <c r="B124" s="21" t="s">
        <v>246</v>
      </c>
      <c r="D124" s="22" t="n">
        <f aca="false">IF(AND(ISNUMBER(D123),ISNUMBER(C123)),IFERROR(D123/C123-1,""),"")</f>
        <v>0.000775934105288201</v>
      </c>
      <c r="E124" s="22" t="n">
        <f aca="false">IF(AND(ISNUMBER(E123),ISNUMBER(D123)),IFERROR(E123/D123-1,""),"")</f>
        <v>0.250790242738713</v>
      </c>
      <c r="F124" s="22" t="n">
        <f aca="false">IF(AND(ISNUMBER(F123),ISNUMBER(E123)),IFERROR(F123/E123-1,""),"")</f>
        <v>0.199980926950219</v>
      </c>
      <c r="G124" s="22" t="n">
        <f aca="false">IF(AND(ISNUMBER(G123),ISNUMBER(F123)),IFERROR(G123/F123-1,""),"")</f>
        <v>0.125009934037988</v>
      </c>
      <c r="H124" s="22" t="n">
        <f aca="false">IF(AND(ISNUMBER(H123),ISNUMBER(G123)),IFERROR(H123/G123-1,""),"")</f>
        <v>0.249964679287934</v>
      </c>
      <c r="I124" s="22" t="n">
        <f aca="false">IF(AND(ISNUMBER(I123),ISNUMBER(H123)),IFERROR(I123/H123-1,""),"")</f>
        <v>0.250021193026082</v>
      </c>
      <c r="N124" s="22" t="n">
        <f aca="false">IF(AND(ISNUMBER(N123),ISNUMBER(I123)),IFERROR(N123/I123-1,""),"")</f>
        <v>20.0184234916473</v>
      </c>
      <c r="S124" s="22" t="n">
        <f aca="false">IF(AND(ISNUMBER(S123),ISNUMBER(N123)),IFERROR(S123/N123-1,""),"")</f>
        <v>-0.741189427312775</v>
      </c>
      <c r="X124" s="22" t="n">
        <f aca="false">IF(AND(ISNUMBER(X123),ISNUMBER(S123)),IFERROR(X123/S123-1,""),"")</f>
        <v>-0.702127659574468</v>
      </c>
      <c r="AC124" s="22" t="n">
        <f aca="false">IF(AND(ISNUMBER(AC123),ISNUMBER(X123)),IFERROR(AC123/X123-1,""),"")</f>
        <v>0.142857142857143</v>
      </c>
      <c r="AH124" s="22" t="n">
        <f aca="false">IF(AND(ISNUMBER(AH123),ISNUMBER(AC123)),IFERROR(AH123/AC123-1,""),"")</f>
        <v>0.1875</v>
      </c>
      <c r="AM124" s="22" t="n">
        <f aca="false">IF(AND(ISNUMBER(AM123),ISNUMBER(AH123)),IFERROR(AM123/AH123-1,""),"")</f>
        <v>0.192434210526316</v>
      </c>
      <c r="AR124" s="22" t="n">
        <f aca="false">IF(AND(ISNUMBER(AR123),ISNUMBER(AM123)),IFERROR(AR123/AM123-1,""),"")</f>
        <v>0.206896551724138</v>
      </c>
      <c r="AW124" s="22" t="n">
        <f aca="false">IF(AND(ISNUMBER(AW123),ISNUMBER(AR123)),IFERROR(AW123/AR123-1,""),"")</f>
        <v>0.142857142857143</v>
      </c>
      <c r="BB124" s="22" t="n">
        <f aca="false">IF(AND(ISNUMBER(BB123),ISNUMBER(AW123)),IFERROR(BB123/AW123-1,""),"")</f>
        <v>0.0625</v>
      </c>
      <c r="BG124" s="22" t="n">
        <f aca="false">IF(AND(ISNUMBER(BG123),ISNUMBER(BB123)),IFERROR(BG123/BB123-1,""),"")</f>
        <v>0.0588235294117645</v>
      </c>
      <c r="BL124" s="22" t="n">
        <f aca="false">IF(AND(ISNUMBER(BL123),ISNUMBER(BG123)),IFERROR(BL123/BG123-1,""),"")</f>
        <v>0.111111111111111</v>
      </c>
      <c r="BQ124" s="22" t="n">
        <f aca="false">IF(AND(ISNUMBER(BQ123),ISNUMBER(BL123)),IFERROR(BQ123/BL123-1,""),"")</f>
        <v>0.0499999999999998</v>
      </c>
      <c r="BV124" s="22" t="n">
        <f aca="false">IF(AND(ISNUMBER(BV123),ISNUMBER(BQ123)),IFERROR(BV123/BQ123-1,""),"")</f>
        <v>0.0952380952380953</v>
      </c>
      <c r="CA124" s="23" t="n">
        <f aca="false">IF(AND(ISNUMBER(CA123),ISNUMBER(BV123)),IFERROR(CA123/BV123-1,""),"")</f>
        <v>0.0869565217391304</v>
      </c>
      <c r="CB124" s="31" t="n">
        <v>0.08</v>
      </c>
      <c r="CC124" s="31" t="n">
        <v>0.08</v>
      </c>
      <c r="CD124" s="31" t="n">
        <v>0.08</v>
      </c>
      <c r="CE124" s="31" t="n">
        <v>0.08</v>
      </c>
    </row>
    <row r="125" customFormat="false" ht="15" hidden="false" customHeight="true" outlineLevel="0" collapsed="false"/>
    <row r="126" customFormat="false" ht="15" hidden="false" customHeight="true" outlineLevel="0" collapsed="false">
      <c r="B126" s="11" t="s">
        <v>247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 t="s">
        <v>248</v>
      </c>
    </row>
    <row r="127" customFormat="false" ht="15" hidden="false" customHeight="true" outlineLevel="0" collapsed="false">
      <c r="B127" s="16" t="s">
        <v>249</v>
      </c>
      <c r="C127" s="53" t="n">
        <f aca="false">C111</f>
        <v>31.888</v>
      </c>
      <c r="D127" s="53" t="n">
        <f aca="false">D111</f>
        <v>39.005</v>
      </c>
      <c r="E127" s="53" t="n">
        <f aca="false">E111</f>
        <v>48.511</v>
      </c>
      <c r="F127" s="53" t="n">
        <f aca="false">F111</f>
        <v>44.626</v>
      </c>
      <c r="G127" s="53" t="n">
        <f aca="false">G111</f>
        <v>54.938</v>
      </c>
      <c r="H127" s="53" t="n">
        <f aca="false">H111</f>
        <v>72.82</v>
      </c>
      <c r="I127" s="53" t="n">
        <f aca="false">I111</f>
        <v>85.1470000000001</v>
      </c>
      <c r="J127" s="53" t="n">
        <f aca="false">J111</f>
        <v>19.958</v>
      </c>
      <c r="K127" s="53" t="n">
        <f aca="false">K111</f>
        <v>23.7</v>
      </c>
      <c r="L127" s="53" t="n">
        <f aca="false">L111</f>
        <v>28.947</v>
      </c>
      <c r="M127" s="53" t="n">
        <f aca="false">M111</f>
        <v>29.791</v>
      </c>
      <c r="N127" s="53" t="n">
        <f aca="false">N111</f>
        <v>102.396</v>
      </c>
      <c r="O127" s="53" t="n">
        <f aca="false">O111</f>
        <v>27.455</v>
      </c>
      <c r="P127" s="53" t="n">
        <f aca="false">P111</f>
        <v>28.367</v>
      </c>
      <c r="Q127" s="53" t="n">
        <f aca="false">Q111</f>
        <v>33.366</v>
      </c>
      <c r="R127" s="53" t="n">
        <f aca="false">R111</f>
        <v>32.105</v>
      </c>
      <c r="S127" s="53" t="n">
        <f aca="false">S111</f>
        <v>121.293</v>
      </c>
      <c r="T127" s="53" t="n">
        <f aca="false">T111</f>
        <v>27.64</v>
      </c>
      <c r="U127" s="53" t="n">
        <f aca="false">U111</f>
        <v>33.105</v>
      </c>
      <c r="V127" s="53" t="n">
        <f aca="false">V111</f>
        <v>34.369</v>
      </c>
      <c r="W127" s="53" t="n">
        <f aca="false">W111</f>
        <v>38.25</v>
      </c>
      <c r="X127" s="53" t="n">
        <f aca="false">X111</f>
        <v>133.364</v>
      </c>
      <c r="Y127" s="53" t="n">
        <f aca="false">Y111</f>
        <v>31.271</v>
      </c>
      <c r="Z127" s="53" t="n">
        <f aca="false">Z111</f>
        <v>38.657</v>
      </c>
      <c r="AA127" s="53" t="n">
        <f aca="false">AA111</f>
        <v>42.002</v>
      </c>
      <c r="AB127" s="53" t="n">
        <f aca="false">AB111</f>
        <v>44.262</v>
      </c>
      <c r="AC127" s="53" t="n">
        <f aca="false">AC111</f>
        <v>156.192</v>
      </c>
      <c r="AD127" s="53" t="n">
        <f aca="false">AD111</f>
        <v>40.927</v>
      </c>
      <c r="AE127" s="53" t="n">
        <f aca="false">AE111</f>
        <v>45.686</v>
      </c>
      <c r="AF127" s="53" t="n">
        <f aca="false">AF111</f>
        <v>45.698</v>
      </c>
      <c r="AG127" s="53" t="n">
        <f aca="false">AG111</f>
        <v>53.674</v>
      </c>
      <c r="AH127" s="53" t="n">
        <f aca="false">AH111</f>
        <v>185.985</v>
      </c>
      <c r="AI127" s="53" t="n">
        <f aca="false">AI111</f>
        <v>65.152</v>
      </c>
      <c r="AJ127" s="53" t="n">
        <f aca="false">AJ111</f>
        <v>59.618</v>
      </c>
      <c r="AK127" s="53" t="n">
        <f aca="false">AK111</f>
        <v>67.086</v>
      </c>
      <c r="AL127" s="53" t="n">
        <f aca="false">AL111</f>
        <v>67.377</v>
      </c>
      <c r="AM127" s="53" t="n">
        <f aca="false">AM111</f>
        <v>259.233</v>
      </c>
      <c r="AN127" s="53" t="n">
        <f aca="false">AN111</f>
        <v>79.332</v>
      </c>
      <c r="AO127" s="53" t="n">
        <f aca="false">AO111</f>
        <v>81.782</v>
      </c>
      <c r="AP127" s="53" t="n">
        <f aca="false">AP111</f>
        <v>81.098</v>
      </c>
      <c r="AQ127" s="53" t="n">
        <f aca="false">AQ111</f>
        <v>85.684</v>
      </c>
      <c r="AR127" s="53" t="n">
        <f aca="false">AR111</f>
        <v>327.896</v>
      </c>
      <c r="AS127" s="53" t="n">
        <f aca="false">AS111</f>
        <v>121.888</v>
      </c>
      <c r="AT127" s="53" t="n">
        <f aca="false">AT111</f>
        <v>75.4530000000001</v>
      </c>
      <c r="AU127" s="53" t="n">
        <f aca="false">AU111</f>
        <v>54.316</v>
      </c>
      <c r="AV127" s="53" t="n">
        <f aca="false">AV111</f>
        <v>62.327</v>
      </c>
      <c r="AW127" s="53" t="n">
        <f aca="false">AW111</f>
        <v>313.984</v>
      </c>
      <c r="AX127" s="53" t="n">
        <f aca="false">AX111</f>
        <v>70.596</v>
      </c>
      <c r="AY127" s="53" t="n">
        <f aca="false">AY111</f>
        <v>70.673</v>
      </c>
      <c r="AZ127" s="53" t="n">
        <f aca="false">AZ111</f>
        <v>76.889</v>
      </c>
      <c r="BA127" s="53" t="n">
        <f aca="false">BA111</f>
        <v>86.062</v>
      </c>
      <c r="BB127" s="53" t="n">
        <f aca="false">BB111</f>
        <v>304.22</v>
      </c>
      <c r="BC127" s="53" t="n">
        <f aca="false">BC111</f>
        <v>86.921</v>
      </c>
      <c r="BD127" s="53" t="n">
        <f aca="false">BD111</f>
        <v>85.01</v>
      </c>
      <c r="BE127" s="53" t="n">
        <f aca="false">BE111</f>
        <v>82.54</v>
      </c>
      <c r="BF127" s="53" t="n">
        <f aca="false">BF111</f>
        <v>97.204</v>
      </c>
      <c r="BG127" s="53" t="n">
        <f aca="false">BG111</f>
        <v>351.675</v>
      </c>
      <c r="BH127" s="53" t="n">
        <f aca="false">BH111</f>
        <v>93.027</v>
      </c>
      <c r="BI127" s="53" t="n">
        <f aca="false">BI111</f>
        <v>105.12</v>
      </c>
      <c r="BJ127" s="53" t="n">
        <f aca="false">BJ111</f>
        <v>102.023</v>
      </c>
      <c r="BK127" s="53" t="n">
        <f aca="false">BK111</f>
        <v>103.426</v>
      </c>
      <c r="BL127" s="53" t="n">
        <f aca="false">BL111</f>
        <v>403.596</v>
      </c>
      <c r="BM127" s="53" t="n">
        <f aca="false">BM111</f>
        <v>114.698</v>
      </c>
      <c r="BN127" s="53" t="n">
        <f aca="false">BN111</f>
        <v>123.146</v>
      </c>
      <c r="BO127" s="53" t="n">
        <f aca="false">BO111</f>
        <v>136.577</v>
      </c>
      <c r="BP127" s="53" t="n">
        <f aca="false">BP111</f>
        <v>139.688</v>
      </c>
      <c r="BQ127" s="53" t="n">
        <f aca="false">BQ111</f>
        <v>514.109</v>
      </c>
      <c r="BR127" s="53" t="n">
        <f aca="false">BR111</f>
        <v>167.955</v>
      </c>
      <c r="BS127" s="53" t="n">
        <f aca="false">BS111</f>
        <v>156.793</v>
      </c>
      <c r="BT127" s="53" t="n">
        <f aca="false">BT111</f>
        <v>177.341</v>
      </c>
      <c r="BU127" s="53" t="n">
        <f aca="false">BU111</f>
        <v>188.296</v>
      </c>
      <c r="BV127" s="53" t="n">
        <f aca="false">BV111</f>
        <v>690.385</v>
      </c>
      <c r="BW127" s="53" t="n">
        <f aca="false">BW111</f>
        <v>190.188</v>
      </c>
      <c r="BX127" s="53" t="n">
        <f aca="false">BX111</f>
        <v>233.801</v>
      </c>
      <c r="BY127" s="53" t="n">
        <f aca="false">BY111</f>
        <v>235.439</v>
      </c>
      <c r="BZ127" s="18" t="n">
        <f aca="false">BZ111</f>
        <v>240.915841373961</v>
      </c>
      <c r="CA127" s="18" t="n">
        <f aca="false">CA111</f>
        <v>900.343841373962</v>
      </c>
      <c r="CB127" s="18" t="n">
        <f aca="false">CB111</f>
        <v>1023.54687092633</v>
      </c>
      <c r="CC127" s="18" t="n">
        <f aca="false">CC111</f>
        <v>1161.12155560081</v>
      </c>
      <c r="CD127" s="18" t="n">
        <f aca="false">CD111</f>
        <v>1276.10601343744</v>
      </c>
      <c r="CE127" s="18" t="n">
        <f aca="false">CE111</f>
        <v>1400.78793226789</v>
      </c>
    </row>
    <row r="128" customFormat="false" ht="15" hidden="false" customHeight="true" outlineLevel="0" collapsed="false">
      <c r="B128" s="29" t="s">
        <v>250</v>
      </c>
      <c r="C128" s="36" t="n">
        <f aca="false">C114</f>
        <v>10.565</v>
      </c>
      <c r="D128" s="36" t="n">
        <f aca="false">D114</f>
        <v>12.167</v>
      </c>
      <c r="E128" s="36" t="n">
        <f aca="false">E114</f>
        <v>15.052</v>
      </c>
      <c r="F128" s="36" t="n">
        <f aca="false">F114</f>
        <v>14.967</v>
      </c>
      <c r="G128" s="36" t="n">
        <f aca="false">G114</f>
        <v>17.597</v>
      </c>
      <c r="H128" s="36" t="n">
        <f aca="false">H114</f>
        <v>18.543</v>
      </c>
      <c r="I128" s="36" t="n">
        <f aca="false">I114</f>
        <v>30.656</v>
      </c>
      <c r="J128" s="36" t="n">
        <f aca="false">J114</f>
        <v>8.14</v>
      </c>
      <c r="K128" s="36" t="n">
        <f aca="false">K114</f>
        <v>8.265</v>
      </c>
      <c r="L128" s="36" t="n">
        <f aca="false">L114</f>
        <v>9.495</v>
      </c>
      <c r="M128" s="36" t="n">
        <f aca="false">M114</f>
        <v>10.89</v>
      </c>
      <c r="N128" s="36" t="n">
        <f aca="false">N114</f>
        <v>36.79</v>
      </c>
      <c r="O128" s="36" t="n">
        <f aca="false">O114</f>
        <v>12.05</v>
      </c>
      <c r="P128" s="36" t="n">
        <f aca="false">P114</f>
        <v>12.089</v>
      </c>
      <c r="Q128" s="36" t="n">
        <f aca="false">Q114</f>
        <v>12.131</v>
      </c>
      <c r="R128" s="36" t="n">
        <f aca="false">R114</f>
        <v>11.487</v>
      </c>
      <c r="S128" s="36" t="n">
        <f aca="false">S114</f>
        <v>47.757</v>
      </c>
      <c r="T128" s="36" t="n">
        <f aca="false">T114</f>
        <v>10.904</v>
      </c>
      <c r="U128" s="36" t="n">
        <f aca="false">U114</f>
        <v>12.237</v>
      </c>
      <c r="V128" s="36" t="n">
        <f aca="false">V114</f>
        <v>11.925</v>
      </c>
      <c r="W128" s="36" t="n">
        <f aca="false">W114</f>
        <v>12.841</v>
      </c>
      <c r="X128" s="36" t="n">
        <f aca="false">X114</f>
        <v>47.907</v>
      </c>
      <c r="Y128" s="36" t="n">
        <f aca="false">Y114</f>
        <v>13.921</v>
      </c>
      <c r="Z128" s="36" t="n">
        <f aca="false">Z114</f>
        <v>15.262</v>
      </c>
      <c r="AA128" s="36" t="n">
        <f aca="false">AA114</f>
        <v>15.42</v>
      </c>
      <c r="AB128" s="36" t="n">
        <f aca="false">AB114</f>
        <v>15.674</v>
      </c>
      <c r="AC128" s="36" t="n">
        <f aca="false">AC114</f>
        <v>60.277</v>
      </c>
      <c r="AD128" s="36" t="n">
        <f aca="false">AD114</f>
        <v>15.248</v>
      </c>
      <c r="AE128" s="36" t="n">
        <f aca="false">AE114</f>
        <v>15.253</v>
      </c>
      <c r="AF128" s="36" t="n">
        <f aca="false">AF114</f>
        <v>16.411</v>
      </c>
      <c r="AG128" s="36" t="n">
        <f aca="false">AG114</f>
        <v>17.911</v>
      </c>
      <c r="AH128" s="36" t="n">
        <f aca="false">AH114</f>
        <v>64.823</v>
      </c>
      <c r="AI128" s="36" t="n">
        <f aca="false">AI114</f>
        <v>19.024</v>
      </c>
      <c r="AJ128" s="36" t="n">
        <f aca="false">AJ114</f>
        <v>19.065</v>
      </c>
      <c r="AK128" s="36" t="n">
        <f aca="false">AK114</f>
        <v>19.434</v>
      </c>
      <c r="AL128" s="36" t="n">
        <f aca="false">AL114</f>
        <v>19.668</v>
      </c>
      <c r="AM128" s="36" t="n">
        <f aca="false">AM114</f>
        <v>77.191</v>
      </c>
      <c r="AN128" s="36" t="n">
        <f aca="false">AN114</f>
        <v>20.037</v>
      </c>
      <c r="AO128" s="36" t="n">
        <f aca="false">AO114</f>
        <v>20.511</v>
      </c>
      <c r="AP128" s="36" t="n">
        <f aca="false">AP114</f>
        <v>21.138</v>
      </c>
      <c r="AQ128" s="36" t="n">
        <f aca="false">AQ114</f>
        <v>21.811</v>
      </c>
      <c r="AR128" s="36" t="n">
        <f aca="false">AR114</f>
        <v>83.497</v>
      </c>
      <c r="AS128" s="36" t="n">
        <f aca="false">AS114</f>
        <v>21.583</v>
      </c>
      <c r="AT128" s="36" t="n">
        <f aca="false">AT114</f>
        <v>21.693</v>
      </c>
      <c r="AU128" s="36" t="n">
        <f aca="false">AU114</f>
        <v>21.942</v>
      </c>
      <c r="AV128" s="36" t="n">
        <f aca="false">AV114</f>
        <v>23.343</v>
      </c>
      <c r="AW128" s="36" t="n">
        <f aca="false">AW114</f>
        <v>88.561</v>
      </c>
      <c r="AX128" s="36" t="n">
        <f aca="false">AX114</f>
        <v>23.003</v>
      </c>
      <c r="AY128" s="36" t="n">
        <f aca="false">AY114</f>
        <v>22.916</v>
      </c>
      <c r="AZ128" s="36" t="n">
        <f aca="false">AZ114</f>
        <v>22.897</v>
      </c>
      <c r="BA128" s="36" t="n">
        <f aca="false">BA114</f>
        <v>24.203</v>
      </c>
      <c r="BB128" s="36" t="n">
        <f aca="false">BB114</f>
        <v>93.019</v>
      </c>
      <c r="BC128" s="36" t="n">
        <f aca="false">BC114</f>
        <v>23.222</v>
      </c>
      <c r="BD128" s="36" t="n">
        <f aca="false">BD114</f>
        <v>23.485</v>
      </c>
      <c r="BE128" s="36" t="n">
        <f aca="false">BE114</f>
        <v>23.819</v>
      </c>
      <c r="BF128" s="36" t="n">
        <f aca="false">BF114</f>
        <v>25.807</v>
      </c>
      <c r="BG128" s="36" t="n">
        <f aca="false">BG114</f>
        <v>96.333</v>
      </c>
      <c r="BH128" s="36" t="n">
        <f aca="false">BH114</f>
        <v>27.06</v>
      </c>
      <c r="BI128" s="36" t="n">
        <f aca="false">BI114</f>
        <v>29.724</v>
      </c>
      <c r="BJ128" s="36" t="n">
        <f aca="false">BJ114</f>
        <v>29.531</v>
      </c>
      <c r="BK128" s="36" t="n">
        <f aca="false">BK114</f>
        <v>43.728</v>
      </c>
      <c r="BL128" s="36" t="n">
        <f aca="false">BL114</f>
        <v>130.043</v>
      </c>
      <c r="BM128" s="36" t="n">
        <f aca="false">BM114</f>
        <v>43.505</v>
      </c>
      <c r="BN128" s="36" t="n">
        <f aca="false">BN114</f>
        <v>42.831</v>
      </c>
      <c r="BO128" s="36" t="n">
        <f aca="false">BO114</f>
        <v>44.31</v>
      </c>
      <c r="BP128" s="36" t="n">
        <f aca="false">BP114</f>
        <v>44.685</v>
      </c>
      <c r="BQ128" s="36" t="n">
        <f aca="false">BQ114</f>
        <v>175.331</v>
      </c>
      <c r="BR128" s="36" t="n">
        <f aca="false">BR114</f>
        <v>46.225</v>
      </c>
      <c r="BS128" s="36" t="n">
        <f aca="false">BS114</f>
        <v>48.877</v>
      </c>
      <c r="BT128" s="36" t="n">
        <f aca="false">BT114</f>
        <v>49.767</v>
      </c>
      <c r="BU128" s="36" t="n">
        <f aca="false">BU114</f>
        <v>51.207</v>
      </c>
      <c r="BV128" s="36" t="n">
        <f aca="false">BV114</f>
        <v>196.076</v>
      </c>
      <c r="BW128" s="36" t="n">
        <f aca="false">BW114</f>
        <v>51.008</v>
      </c>
      <c r="BX128" s="36" t="n">
        <f aca="false">BX114</f>
        <v>56.634</v>
      </c>
      <c r="BY128" s="36" t="n">
        <f aca="false">BY114</f>
        <v>58.743</v>
      </c>
      <c r="BZ128" s="42" t="n">
        <f aca="false">BZ114</f>
        <v>60.8598254204268</v>
      </c>
      <c r="CA128" s="42" t="n">
        <f aca="false">CA114</f>
        <v>227.244825420427</v>
      </c>
      <c r="CB128" s="42" t="n">
        <f aca="false">CB114</f>
        <v>251.957285260466</v>
      </c>
      <c r="CC128" s="42" t="n">
        <f aca="false">CC114</f>
        <v>267.583381128922</v>
      </c>
      <c r="CD128" s="42" t="n">
        <f aca="false">CD114</f>
        <v>285.483347288422</v>
      </c>
      <c r="CE128" s="42" t="n">
        <f aca="false">CE114</f>
        <v>305.073739495318</v>
      </c>
    </row>
    <row r="129" customFormat="false" ht="15" hidden="false" customHeight="true" outlineLevel="0" collapsed="false">
      <c r="B129" s="29" t="s">
        <v>251</v>
      </c>
      <c r="C129" s="36" t="n">
        <f aca="false">C109</f>
        <v>11.195</v>
      </c>
      <c r="D129" s="36" t="n">
        <f aca="false">D109</f>
        <v>16.281</v>
      </c>
      <c r="E129" s="36" t="n">
        <f aca="false">E109</f>
        <v>18.876</v>
      </c>
      <c r="F129" s="36" t="n">
        <f aca="false">F109</f>
        <v>15.219</v>
      </c>
      <c r="G129" s="36" t="n">
        <f aca="false">G109</f>
        <v>17.417</v>
      </c>
      <c r="H129" s="36" t="n">
        <f aca="false">H109</f>
        <v>22.633</v>
      </c>
      <c r="I129" s="36" t="n">
        <f aca="false">I109</f>
        <v>21.528</v>
      </c>
      <c r="J129" s="36" t="n">
        <f aca="false">J109</f>
        <v>5.026</v>
      </c>
      <c r="K129" s="36" t="n">
        <f aca="false">K109</f>
        <v>5.346</v>
      </c>
      <c r="L129" s="36" t="n">
        <f aca="false">L109</f>
        <v>5.821</v>
      </c>
      <c r="M129" s="36" t="n">
        <f aca="false">M109</f>
        <v>5.972</v>
      </c>
      <c r="N129" s="36" t="n">
        <f aca="false">N109</f>
        <v>22.165</v>
      </c>
      <c r="O129" s="36" t="n">
        <f aca="false">O109</f>
        <v>5.107</v>
      </c>
      <c r="P129" s="36" t="n">
        <f aca="false">P109</f>
        <v>4.413</v>
      </c>
      <c r="Q129" s="36" t="n">
        <f aca="false">Q109</f>
        <v>3.986</v>
      </c>
      <c r="R129" s="36" t="n">
        <f aca="false">R109</f>
        <v>3.973</v>
      </c>
      <c r="S129" s="36" t="n">
        <f aca="false">S109</f>
        <v>17.479</v>
      </c>
      <c r="T129" s="36" t="n">
        <f aca="false">T109</f>
        <v>4.451</v>
      </c>
      <c r="U129" s="36" t="n">
        <f aca="false">U109</f>
        <v>5.399</v>
      </c>
      <c r="V129" s="36" t="n">
        <f aca="false">V109</f>
        <v>4.569</v>
      </c>
      <c r="W129" s="36" t="n">
        <f aca="false">W109</f>
        <v>5.781</v>
      </c>
      <c r="X129" s="36" t="n">
        <f aca="false">X109</f>
        <v>20.2</v>
      </c>
      <c r="Y129" s="36" t="n">
        <f aca="false">Y109</f>
        <v>4.653</v>
      </c>
      <c r="Z129" s="36" t="n">
        <f aca="false">Z109</f>
        <v>5.072</v>
      </c>
      <c r="AA129" s="36" t="n">
        <f aca="false">AA109</f>
        <v>4.974</v>
      </c>
      <c r="AB129" s="36" t="n">
        <f aca="false">AB109</f>
        <v>5.259</v>
      </c>
      <c r="AC129" s="36" t="n">
        <f aca="false">AC109</f>
        <v>19.958</v>
      </c>
      <c r="AD129" s="36" t="n">
        <f aca="false">AD109</f>
        <v>5.338</v>
      </c>
      <c r="AE129" s="36" t="n">
        <f aca="false">AE109</f>
        <v>5.147</v>
      </c>
      <c r="AF129" s="36" t="n">
        <f aca="false">AF109</f>
        <v>5.777</v>
      </c>
      <c r="AG129" s="36" t="n">
        <f aca="false">AG109</f>
        <v>5.413</v>
      </c>
      <c r="AH129" s="36" t="n">
        <f aca="false">AH109</f>
        <v>21.675</v>
      </c>
      <c r="AI129" s="36" t="n">
        <f aca="false">AI109</f>
        <v>6.543</v>
      </c>
      <c r="AJ129" s="36" t="n">
        <f aca="false">AJ109</f>
        <v>6.393</v>
      </c>
      <c r="AK129" s="36" t="n">
        <f aca="false">AK109</f>
        <v>6.813</v>
      </c>
      <c r="AL129" s="36" t="n">
        <f aca="false">AL109</f>
        <v>6.704</v>
      </c>
      <c r="AM129" s="36" t="n">
        <f aca="false">AM109</f>
        <v>26.453</v>
      </c>
      <c r="AN129" s="36" t="n">
        <f aca="false">AN109</f>
        <v>8.694</v>
      </c>
      <c r="AO129" s="36" t="n">
        <f aca="false">AO109</f>
        <v>8.301</v>
      </c>
      <c r="AP129" s="36" t="n">
        <f aca="false">AP109</f>
        <v>7.961</v>
      </c>
      <c r="AQ129" s="36" t="n">
        <f aca="false">AQ109</f>
        <v>6.889</v>
      </c>
      <c r="AR129" s="36" t="n">
        <f aca="false">AR109</f>
        <v>31.845</v>
      </c>
      <c r="AS129" s="36" t="n">
        <f aca="false">AS109</f>
        <v>7.914</v>
      </c>
      <c r="AT129" s="36" t="n">
        <f aca="false">AT109</f>
        <v>5.456</v>
      </c>
      <c r="AU129" s="36" t="n">
        <f aca="false">AU109</f>
        <v>3.248</v>
      </c>
      <c r="AV129" s="36" t="n">
        <f aca="false">AV109</f>
        <v>5.253</v>
      </c>
      <c r="AW129" s="36" t="n">
        <f aca="false">AW109</f>
        <v>21.871</v>
      </c>
      <c r="AX129" s="36" t="n">
        <f aca="false">AX109</f>
        <v>5.652</v>
      </c>
      <c r="AY129" s="36" t="n">
        <f aca="false">AY109</f>
        <v>5.798</v>
      </c>
      <c r="AZ129" s="36" t="n">
        <f aca="false">AZ109</f>
        <v>6.794</v>
      </c>
      <c r="BA129" s="36" t="n">
        <f aca="false">BA109</f>
        <v>7.294</v>
      </c>
      <c r="BB129" s="36" t="n">
        <f aca="false">BB109</f>
        <v>25.538</v>
      </c>
      <c r="BC129" s="36" t="n">
        <f aca="false">BC109</f>
        <v>7.331</v>
      </c>
      <c r="BD129" s="36" t="n">
        <f aca="false">BD109</f>
        <v>8.102</v>
      </c>
      <c r="BE129" s="36" t="n">
        <f aca="false">BE109</f>
        <v>10.546</v>
      </c>
      <c r="BF129" s="36" t="n">
        <f aca="false">BF109</f>
        <v>12.969</v>
      </c>
      <c r="BG129" s="36" t="n">
        <f aca="false">BG109</f>
        <v>38.948</v>
      </c>
      <c r="BH129" s="36" t="n">
        <f aca="false">BH109</f>
        <v>9.978</v>
      </c>
      <c r="BI129" s="36" t="n">
        <f aca="false">BI109</f>
        <v>9.94</v>
      </c>
      <c r="BJ129" s="36" t="n">
        <f aca="false">BJ109</f>
        <v>10.73</v>
      </c>
      <c r="BK129" s="36" t="n">
        <f aca="false">BK109</f>
        <v>10.139</v>
      </c>
      <c r="BL129" s="36" t="n">
        <f aca="false">BL109</f>
        <v>40.787</v>
      </c>
      <c r="BM129" s="36" t="n">
        <f aca="false">BM109</f>
        <v>10.784</v>
      </c>
      <c r="BN129" s="36" t="n">
        <f aca="false">BN109</f>
        <v>11.755</v>
      </c>
      <c r="BO129" s="36" t="n">
        <f aca="false">BO109</f>
        <v>11.24</v>
      </c>
      <c r="BP129" s="36" t="n">
        <f aca="false">BP109</f>
        <v>11.198</v>
      </c>
      <c r="BQ129" s="36" t="n">
        <f aca="false">BQ109</f>
        <v>44.977</v>
      </c>
      <c r="BR129" s="36" t="n">
        <f aca="false">BR109</f>
        <v>13.611</v>
      </c>
      <c r="BS129" s="36" t="n">
        <f aca="false">BS109</f>
        <v>13.73</v>
      </c>
      <c r="BT129" s="36" t="n">
        <f aca="false">BT109</f>
        <v>13.339</v>
      </c>
      <c r="BU129" s="36" t="n">
        <f aca="false">BU109</f>
        <v>14.489</v>
      </c>
      <c r="BV129" s="36" t="n">
        <f aca="false">BV109</f>
        <v>55.169</v>
      </c>
      <c r="BW129" s="36" t="n">
        <f aca="false">BW109</f>
        <v>14.569</v>
      </c>
      <c r="BX129" s="36" t="n">
        <f aca="false">BX109</f>
        <v>16.529</v>
      </c>
      <c r="BY129" s="36" t="n">
        <f aca="false">BY109</f>
        <v>19.039</v>
      </c>
      <c r="BZ129" s="42" t="n">
        <f aca="false">BZ109</f>
        <v>18.3170831978113</v>
      </c>
      <c r="CA129" s="42" t="n">
        <f aca="false">CA109</f>
        <v>68.4540831978113</v>
      </c>
      <c r="CB129" s="42" t="n">
        <f aca="false">CB109</f>
        <v>77.8213382926312</v>
      </c>
      <c r="CC129" s="42" t="n">
        <f aca="false">CC109</f>
        <v>88.2812853460241</v>
      </c>
      <c r="CD129" s="42" t="n">
        <f aca="false">CD109</f>
        <v>97.0236738441692</v>
      </c>
      <c r="CE129" s="42" t="n">
        <f aca="false">CE109</f>
        <v>106.503370436371</v>
      </c>
    </row>
    <row r="130" customFormat="false" ht="15" hidden="false" customHeight="true" outlineLevel="0" collapsed="false">
      <c r="B130" s="29" t="s">
        <v>252</v>
      </c>
      <c r="C130" s="36" t="n">
        <f aca="false">C103</f>
        <v>3.523</v>
      </c>
      <c r="D130" s="36" t="n">
        <f aca="false">D103</f>
        <v>3.293</v>
      </c>
      <c r="E130" s="36" t="n">
        <f aca="false">E103</f>
        <v>2.314</v>
      </c>
      <c r="F130" s="36" t="n">
        <f aca="false">F103</f>
        <v>0.615</v>
      </c>
      <c r="G130" s="36" t="n">
        <f aca="false">G103</f>
        <v>0.508</v>
      </c>
      <c r="H130" s="36" t="n">
        <f aca="false">H103</f>
        <v>0.142</v>
      </c>
      <c r="I130" s="36" t="n">
        <f aca="false">I103</f>
        <v>2.432</v>
      </c>
      <c r="J130" s="36" t="n">
        <f aca="false">J103</f>
        <v>0.64</v>
      </c>
      <c r="K130" s="36" t="n">
        <f aca="false">K103</f>
        <v>0.803</v>
      </c>
      <c r="L130" s="36" t="n">
        <f aca="false">L103</f>
        <v>1.097</v>
      </c>
      <c r="M130" s="36" t="n">
        <f aca="false">M103</f>
        <v>1.177</v>
      </c>
      <c r="N130" s="36" t="n">
        <f aca="false">N103</f>
        <v>3.717</v>
      </c>
      <c r="O130" s="36" t="n">
        <f aca="false">O103</f>
        <v>1.281</v>
      </c>
      <c r="P130" s="36" t="n">
        <f aca="false">P103</f>
        <v>1.441</v>
      </c>
      <c r="Q130" s="36" t="n">
        <f aca="false">Q103</f>
        <v>1.444</v>
      </c>
      <c r="R130" s="36" t="n">
        <f aca="false">R103</f>
        <v>1.275</v>
      </c>
      <c r="S130" s="36" t="n">
        <f aca="false">S103</f>
        <v>5.441</v>
      </c>
      <c r="T130" s="36" t="n">
        <f aca="false">T103</f>
        <v>1.112</v>
      </c>
      <c r="U130" s="36" t="n">
        <f aca="false">U103</f>
        <v>1.146</v>
      </c>
      <c r="V130" s="36" t="n">
        <f aca="false">V103</f>
        <v>1.088</v>
      </c>
      <c r="W130" s="36" t="n">
        <f aca="false">W103</f>
        <v>1.28</v>
      </c>
      <c r="X130" s="36" t="n">
        <f aca="false">X103</f>
        <v>4.626</v>
      </c>
      <c r="Y130" s="36" t="n">
        <f aca="false">Y103</f>
        <v>1.567</v>
      </c>
      <c r="Z130" s="36" t="n">
        <f aca="false">Z103</f>
        <v>2.333</v>
      </c>
      <c r="AA130" s="36" t="n">
        <f aca="false">AA103</f>
        <v>2.294</v>
      </c>
      <c r="AB130" s="36" t="n">
        <f aca="false">AB103</f>
        <v>2.078</v>
      </c>
      <c r="AC130" s="36" t="n">
        <f aca="false">AC103</f>
        <v>8.272</v>
      </c>
      <c r="AD130" s="36" t="n">
        <f aca="false">AD103</f>
        <v>1.969</v>
      </c>
      <c r="AE130" s="36" t="n">
        <f aca="false">AE103</f>
        <v>1.96</v>
      </c>
      <c r="AF130" s="36" t="n">
        <f aca="false">AF103</f>
        <v>2.447</v>
      </c>
      <c r="AG130" s="36" t="n">
        <f aca="false">AG103</f>
        <v>3.414</v>
      </c>
      <c r="AH130" s="36" t="n">
        <f aca="false">AH103</f>
        <v>9.79</v>
      </c>
      <c r="AI130" s="36" t="n">
        <f aca="false">AI103</f>
        <v>4.725</v>
      </c>
      <c r="AJ130" s="36" t="n">
        <f aca="false">AJ103</f>
        <v>4.904</v>
      </c>
      <c r="AK130" s="36" t="n">
        <f aca="false">AK103</f>
        <v>5.212</v>
      </c>
      <c r="AL130" s="36" t="n">
        <f aca="false">AL103</f>
        <v>5.06</v>
      </c>
      <c r="AM130" s="36" t="n">
        <f aca="false">AM103</f>
        <v>19.901</v>
      </c>
      <c r="AN130" s="36" t="n">
        <f aca="false">AN103</f>
        <v>5.489</v>
      </c>
      <c r="AO130" s="36" t="n">
        <f aca="false">AO103</f>
        <v>5.484</v>
      </c>
      <c r="AP130" s="36" t="n">
        <f aca="false">AP103</f>
        <v>5.523</v>
      </c>
      <c r="AQ130" s="36" t="n">
        <f aca="false">AQ103</f>
        <v>5.199</v>
      </c>
      <c r="AR130" s="36" t="n">
        <f aca="false">AR103</f>
        <v>21.695</v>
      </c>
      <c r="AS130" s="36" t="n">
        <f aca="false">AS103</f>
        <v>4.283</v>
      </c>
      <c r="AT130" s="36" t="n">
        <f aca="false">AT103</f>
        <v>3.759</v>
      </c>
      <c r="AU130" s="36" t="n">
        <f aca="false">AU103</f>
        <v>2.602</v>
      </c>
      <c r="AV130" s="36" t="n">
        <f aca="false">AV103</f>
        <v>2.515</v>
      </c>
      <c r="AW130" s="36" t="n">
        <f aca="false">AW103</f>
        <v>13.159</v>
      </c>
      <c r="AX130" s="36" t="n">
        <f aca="false">AX103</f>
        <v>2.448</v>
      </c>
      <c r="AY130" s="36" t="n">
        <f aca="false">AY103</f>
        <v>2.083</v>
      </c>
      <c r="AZ130" s="36" t="n">
        <f aca="false">AZ103</f>
        <v>1.717</v>
      </c>
      <c r="BA130" s="36" t="n">
        <f aca="false">BA103</f>
        <v>1.037</v>
      </c>
      <c r="BB130" s="36" t="n">
        <f aca="false">BB103</f>
        <v>7.285</v>
      </c>
      <c r="BC130" s="36" t="n">
        <f aca="false">BC103</f>
        <v>0.796</v>
      </c>
      <c r="BD130" s="36" t="n">
        <f aca="false">BD103</f>
        <v>0.979</v>
      </c>
      <c r="BE130" s="36" t="n">
        <f aca="false">BE103</f>
        <v>1.406</v>
      </c>
      <c r="BF130" s="36" t="n">
        <f aca="false">BF103</f>
        <v>3.205</v>
      </c>
      <c r="BG130" s="36" t="n">
        <f aca="false">BG103</f>
        <v>6.386</v>
      </c>
      <c r="BH130" s="36" t="n">
        <f aca="false">BH103</f>
        <v>6.068</v>
      </c>
      <c r="BI130" s="36" t="n">
        <f aca="false">BI103</f>
        <v>11.373</v>
      </c>
      <c r="BJ130" s="36" t="n">
        <f aca="false">BJ103</f>
        <v>12.12</v>
      </c>
      <c r="BK130" s="36" t="n">
        <f aca="false">BK103</f>
        <v>43.423</v>
      </c>
      <c r="BL130" s="36" t="n">
        <f aca="false">BL103</f>
        <v>72.984</v>
      </c>
      <c r="BM130" s="36" t="n">
        <f aca="false">BM103</f>
        <v>38.607</v>
      </c>
      <c r="BN130" s="36" t="n">
        <f aca="false">BN103</f>
        <v>38.512</v>
      </c>
      <c r="BO130" s="36" t="n">
        <f aca="false">BO103</f>
        <v>36.788</v>
      </c>
      <c r="BP130" s="36" t="n">
        <f aca="false">BP103</f>
        <v>35.406</v>
      </c>
      <c r="BQ130" s="36" t="n">
        <f aca="false">BQ103</f>
        <v>149.313</v>
      </c>
      <c r="BR130" s="36" t="n">
        <f aca="false">BR103</f>
        <v>32.458</v>
      </c>
      <c r="BS130" s="36" t="n">
        <f aca="false">BS103</f>
        <v>32.865</v>
      </c>
      <c r="BT130" s="36" t="n">
        <f aca="false">BT103</f>
        <v>31.701</v>
      </c>
      <c r="BU130" s="36" t="n">
        <f aca="false">BU103</f>
        <v>32.853</v>
      </c>
      <c r="BV130" s="36" t="n">
        <f aca="false">BV103</f>
        <v>129.877</v>
      </c>
      <c r="BW130" s="36" t="n">
        <f aca="false">BW103</f>
        <v>29.486</v>
      </c>
      <c r="BX130" s="36" t="n">
        <f aca="false">BX103</f>
        <v>34.161</v>
      </c>
      <c r="BY130" s="36" t="n">
        <f aca="false">BY103</f>
        <v>35.904</v>
      </c>
      <c r="BZ130" s="42" t="n">
        <f aca="false">BZ103</f>
        <v>34.3675</v>
      </c>
      <c r="CA130" s="42" t="n">
        <f aca="false">CA103</f>
        <v>133.9185</v>
      </c>
      <c r="CB130" s="42" t="n">
        <f aca="false">CB103</f>
        <v>130.8</v>
      </c>
      <c r="CC130" s="42" t="n">
        <f aca="false">CC103</f>
        <v>130.8</v>
      </c>
      <c r="CD130" s="42" t="n">
        <f aca="false">CD103</f>
        <v>130.8</v>
      </c>
      <c r="CE130" s="42" t="n">
        <f aca="false">CE103</f>
        <v>130.8</v>
      </c>
    </row>
    <row r="131" customFormat="false" ht="15" hidden="false" customHeight="true" outlineLevel="0" collapsed="false">
      <c r="B131" s="29" t="s">
        <v>253</v>
      </c>
      <c r="C131" s="36" t="n">
        <f aca="false">C106</f>
        <v>20.9</v>
      </c>
      <c r="D131" s="36" t="n">
        <f aca="false">D106</f>
        <v>27.53</v>
      </c>
      <c r="E131" s="36" t="n">
        <f aca="false">E106</f>
        <v>35.45</v>
      </c>
      <c r="F131" s="36" t="n">
        <f aca="false">F106</f>
        <v>28</v>
      </c>
      <c r="G131" s="36" t="n">
        <f aca="false">G106</f>
        <v>36.7</v>
      </c>
      <c r="H131" s="36" t="n">
        <f aca="false">H106</f>
        <v>42.9</v>
      </c>
      <c r="I131" s="36" t="n">
        <f aca="false">I106</f>
        <v>54.5</v>
      </c>
      <c r="J131" s="36" t="n">
        <f aca="false">J106</f>
        <v>9.6</v>
      </c>
      <c r="K131" s="36" t="n">
        <f aca="false">K106</f>
        <v>15</v>
      </c>
      <c r="L131" s="36" t="n">
        <f aca="false">L106</f>
        <v>12.6</v>
      </c>
      <c r="M131" s="36" t="n">
        <f aca="false">M106</f>
        <v>19</v>
      </c>
      <c r="N131" s="36" t="n">
        <f aca="false">N106</f>
        <v>56.2</v>
      </c>
      <c r="O131" s="36" t="n">
        <f aca="false">O106</f>
        <v>16.7</v>
      </c>
      <c r="P131" s="36" t="n">
        <f aca="false">P106</f>
        <v>15.3</v>
      </c>
      <c r="Q131" s="36" t="n">
        <f aca="false">Q106</f>
        <v>11.4</v>
      </c>
      <c r="R131" s="36" t="n">
        <f aca="false">R106</f>
        <v>16.4</v>
      </c>
      <c r="S131" s="36" t="n">
        <f aca="false">S106</f>
        <v>59.8</v>
      </c>
      <c r="T131" s="36" t="n">
        <f aca="false">T106</f>
        <v>13.4</v>
      </c>
      <c r="U131" s="36" t="n">
        <f aca="false">U106</f>
        <v>16.5</v>
      </c>
      <c r="V131" s="36" t="n">
        <f aca="false">V106</f>
        <v>18.3</v>
      </c>
      <c r="W131" s="36" t="n">
        <f aca="false">W106</f>
        <v>23.2</v>
      </c>
      <c r="X131" s="36" t="n">
        <f aca="false">X106</f>
        <v>71.4</v>
      </c>
      <c r="Y131" s="36" t="n">
        <f aca="false">Y106</f>
        <v>14.7</v>
      </c>
      <c r="Z131" s="36" t="n">
        <f aca="false">Z106</f>
        <v>21.3</v>
      </c>
      <c r="AA131" s="36" t="n">
        <f aca="false">AA106</f>
        <v>20.6</v>
      </c>
      <c r="AB131" s="36" t="n">
        <f aca="false">AB106</f>
        <v>24.3</v>
      </c>
      <c r="AC131" s="36" t="n">
        <f aca="false">AC106</f>
        <v>80.9</v>
      </c>
      <c r="AD131" s="36" t="n">
        <f aca="false">AD106</f>
        <v>16.8</v>
      </c>
      <c r="AE131" s="36" t="n">
        <f aca="false">AE106</f>
        <v>23.9</v>
      </c>
      <c r="AF131" s="36" t="n">
        <f aca="false">AF106</f>
        <v>22.4</v>
      </c>
      <c r="AG131" s="36" t="n">
        <f aca="false">AG106</f>
        <v>27.2</v>
      </c>
      <c r="AH131" s="36" t="n">
        <f aca="false">AH106</f>
        <v>90.3</v>
      </c>
      <c r="AI131" s="36" t="n">
        <f aca="false">AI106</f>
        <v>3.5</v>
      </c>
      <c r="AJ131" s="36" t="n">
        <f aca="false">AJ106</f>
        <v>20.4</v>
      </c>
      <c r="AK131" s="36" t="n">
        <f aca="false">AK106</f>
        <v>22.2</v>
      </c>
      <c r="AL131" s="36" t="n">
        <f aca="false">AL106</f>
        <v>24.5</v>
      </c>
      <c r="AM131" s="36" t="n">
        <f aca="false">AM106</f>
        <v>70.6</v>
      </c>
      <c r="AN131" s="36" t="n">
        <f aca="false">AN106</f>
        <v>4.1</v>
      </c>
      <c r="AO131" s="36" t="n">
        <f aca="false">AO106</f>
        <v>26.1</v>
      </c>
      <c r="AP131" s="36" t="n">
        <f aca="false">AP106</f>
        <v>25.1</v>
      </c>
      <c r="AQ131" s="36" t="n">
        <f aca="false">AQ106</f>
        <v>22.8</v>
      </c>
      <c r="AR131" s="36" t="n">
        <f aca="false">AR106</f>
        <v>78.1</v>
      </c>
      <c r="AS131" s="36" t="n">
        <f aca="false">AS106</f>
        <v>-22.9</v>
      </c>
      <c r="AT131" s="36" t="n">
        <f aca="false">AT106</f>
        <v>23.6</v>
      </c>
      <c r="AU131" s="36" t="n">
        <f aca="false">AU106</f>
        <v>8.9</v>
      </c>
      <c r="AV131" s="36" t="n">
        <f aca="false">AV106</f>
        <v>19.4</v>
      </c>
      <c r="AW131" s="36" t="n">
        <f aca="false">AW106</f>
        <v>29</v>
      </c>
      <c r="AX131" s="36" t="n">
        <f aca="false">AX106</f>
        <v>2.3</v>
      </c>
      <c r="AY131" s="36" t="n">
        <f aca="false">AY106</f>
        <v>18.5</v>
      </c>
      <c r="AZ131" s="36" t="n">
        <f aca="false">AZ106</f>
        <v>15.6</v>
      </c>
      <c r="BA131" s="36" t="n">
        <f aca="false">BA106</f>
        <v>20.9</v>
      </c>
      <c r="BB131" s="36" t="n">
        <f aca="false">BB106</f>
        <v>57.3</v>
      </c>
      <c r="BC131" s="36" t="n">
        <f aca="false">BC106</f>
        <v>4</v>
      </c>
      <c r="BD131" s="36" t="n">
        <f aca="false">BD106</f>
        <v>29</v>
      </c>
      <c r="BE131" s="36" t="n">
        <f aca="false">BE106</f>
        <v>34.4</v>
      </c>
      <c r="BF131" s="36" t="n">
        <f aca="false">BF106</f>
        <v>33</v>
      </c>
      <c r="BG131" s="36" t="n">
        <f aca="false">BG106</f>
        <v>100.4</v>
      </c>
      <c r="BH131" s="36" t="n">
        <f aca="false">BH106</f>
        <v>21</v>
      </c>
      <c r="BI131" s="36" t="n">
        <f aca="false">BI106</f>
        <v>31</v>
      </c>
      <c r="BJ131" s="36" t="n">
        <f aca="false">BJ106</f>
        <v>25.4</v>
      </c>
      <c r="BK131" s="36" t="n">
        <f aca="false">BK106</f>
        <v>33.5</v>
      </c>
      <c r="BL131" s="36" t="n">
        <f aca="false">BL106</f>
        <v>110.9</v>
      </c>
      <c r="BM131" s="36" t="n">
        <f aca="false">BM106</f>
        <v>16.8</v>
      </c>
      <c r="BN131" s="36" t="n">
        <f aca="false">BN106</f>
        <v>36.2</v>
      </c>
      <c r="BO131" s="36" t="n">
        <f aca="false">BO106</f>
        <v>32.5</v>
      </c>
      <c r="BP131" s="36" t="n">
        <f aca="false">BP106</f>
        <v>33</v>
      </c>
      <c r="BQ131" s="36" t="n">
        <f aca="false">BQ106</f>
        <v>118.5</v>
      </c>
      <c r="BR131" s="36" t="n">
        <f aca="false">BR106</f>
        <v>13.7</v>
      </c>
      <c r="BS131" s="36" t="n">
        <f aca="false">BS106</f>
        <v>45.4</v>
      </c>
      <c r="BT131" s="36" t="n">
        <f aca="false">BT106</f>
        <v>44.3</v>
      </c>
      <c r="BU131" s="36" t="n">
        <f aca="false">BU106</f>
        <v>44.6</v>
      </c>
      <c r="BV131" s="36" t="n">
        <f aca="false">BV106</f>
        <v>148</v>
      </c>
      <c r="BW131" s="36" t="n">
        <f aca="false">BW106</f>
        <v>26.7</v>
      </c>
      <c r="BX131" s="36" t="n">
        <f aca="false">BX106</f>
        <v>67.2</v>
      </c>
      <c r="BY131" s="36" t="n">
        <f aca="false">BY106</f>
        <v>66.1</v>
      </c>
      <c r="BZ131" s="42" t="n">
        <f aca="false">BZ106</f>
        <v>68.9100179241421</v>
      </c>
      <c r="CA131" s="42" t="n">
        <f aca="false">CA106</f>
        <v>228.910017924142</v>
      </c>
      <c r="CB131" s="42" t="n">
        <f aca="false">CB106</f>
        <v>284.000607408662</v>
      </c>
      <c r="CC131" s="42" t="n">
        <f aca="false">CC106</f>
        <v>322.173059615222</v>
      </c>
      <c r="CD131" s="42" t="n">
        <f aca="false">CD106</f>
        <v>354.077466531735</v>
      </c>
      <c r="CE131" s="42" t="n">
        <f aca="false">CE106</f>
        <v>388.672600068395</v>
      </c>
    </row>
    <row r="132" customFormat="false" ht="15" hidden="false" customHeight="true" outlineLevel="0" collapsed="false">
      <c r="B132" s="49" t="s">
        <v>254</v>
      </c>
      <c r="C132" s="50" t="n">
        <f aca="false">C127+C128+C129+C130+C131</f>
        <v>78.071</v>
      </c>
      <c r="D132" s="50" t="n">
        <f aca="false">D127+D128+D129+D130+D131</f>
        <v>98.276</v>
      </c>
      <c r="E132" s="50" t="n">
        <f aca="false">E127+E128+E129+E130+E131</f>
        <v>120.203</v>
      </c>
      <c r="F132" s="50" t="n">
        <f aca="false">F127+F128+F129+F130+F131</f>
        <v>103.427</v>
      </c>
      <c r="G132" s="50" t="n">
        <f aca="false">G127+G128+G129+G130+G131</f>
        <v>127.16</v>
      </c>
      <c r="H132" s="50" t="n">
        <f aca="false">H127+H128+H129+H130+H131</f>
        <v>157.038</v>
      </c>
      <c r="I132" s="50" t="n">
        <f aca="false">I127+I128+I129+I130+I131</f>
        <v>194.263</v>
      </c>
      <c r="J132" s="50" t="n">
        <f aca="false">J127+J128+J129+J130+J131</f>
        <v>43.364</v>
      </c>
      <c r="K132" s="50" t="n">
        <f aca="false">K127+K128+K129+K130+K131</f>
        <v>53.114</v>
      </c>
      <c r="L132" s="50" t="n">
        <f aca="false">L127+L128+L129+L130+L131</f>
        <v>57.96</v>
      </c>
      <c r="M132" s="50" t="n">
        <f aca="false">M127+M128+M129+M130+M131</f>
        <v>66.83</v>
      </c>
      <c r="N132" s="50" t="n">
        <f aca="false">N127+N128+N129+N130+N131</f>
        <v>221.268</v>
      </c>
      <c r="O132" s="50" t="n">
        <f aca="false">O127+O128+O129+O130+O131</f>
        <v>62.593</v>
      </c>
      <c r="P132" s="50" t="n">
        <f aca="false">P127+P128+P129+P130+P131</f>
        <v>61.61</v>
      </c>
      <c r="Q132" s="50" t="n">
        <f aca="false">Q127+Q128+Q129+Q130+Q131</f>
        <v>62.327</v>
      </c>
      <c r="R132" s="50" t="n">
        <f aca="false">R127+R128+R129+R130+R131</f>
        <v>65.24</v>
      </c>
      <c r="S132" s="50" t="n">
        <f aca="false">S127+S128+S129+S130+S131</f>
        <v>251.77</v>
      </c>
      <c r="T132" s="50" t="n">
        <f aca="false">T127+T128+T129+T130+T131</f>
        <v>57.507</v>
      </c>
      <c r="U132" s="50" t="n">
        <f aca="false">U127+U128+U129+U130+U131</f>
        <v>68.387</v>
      </c>
      <c r="V132" s="50" t="n">
        <f aca="false">V127+V128+V129+V130+V131</f>
        <v>70.251</v>
      </c>
      <c r="W132" s="50" t="n">
        <f aca="false">W127+W128+W129+W130+W131</f>
        <v>81.352</v>
      </c>
      <c r="X132" s="50" t="n">
        <f aca="false">X127+X128+X129+X130+X131</f>
        <v>277.497</v>
      </c>
      <c r="Y132" s="50" t="n">
        <f aca="false">Y127+Y128+Y129+Y130+Y131</f>
        <v>66.112</v>
      </c>
      <c r="Z132" s="50" t="n">
        <f aca="false">Z127+Z128+Z129+Z130+Z131</f>
        <v>82.624</v>
      </c>
      <c r="AA132" s="50" t="n">
        <f aca="false">AA127+AA128+AA129+AA130+AA131</f>
        <v>85.29</v>
      </c>
      <c r="AB132" s="50" t="n">
        <f aca="false">AB127+AB128+AB129+AB130+AB131</f>
        <v>91.573</v>
      </c>
      <c r="AC132" s="50" t="n">
        <f aca="false">AC127+AC128+AC129+AC130+AC131</f>
        <v>325.599</v>
      </c>
      <c r="AD132" s="50" t="n">
        <f aca="false">AD127+AD128+AD129+AD130+AD131</f>
        <v>80.282</v>
      </c>
      <c r="AE132" s="50" t="n">
        <f aca="false">AE127+AE128+AE129+AE130+AE131</f>
        <v>91.946</v>
      </c>
      <c r="AF132" s="50" t="n">
        <f aca="false">AF127+AF128+AF129+AF130+AF131</f>
        <v>92.733</v>
      </c>
      <c r="AG132" s="50" t="n">
        <f aca="false">AG127+AG128+AG129+AG130+AG131</f>
        <v>107.612</v>
      </c>
      <c r="AH132" s="50" t="n">
        <f aca="false">AH127+AH128+AH129+AH130+AH131</f>
        <v>372.573</v>
      </c>
      <c r="AI132" s="50" t="n">
        <f aca="false">AI127+AI128+AI129+AI130+AI131</f>
        <v>98.944</v>
      </c>
      <c r="AJ132" s="50" t="n">
        <f aca="false">AJ127+AJ128+AJ129+AJ130+AJ131</f>
        <v>110.38</v>
      </c>
      <c r="AK132" s="50" t="n">
        <f aca="false">AK127+AK128+AK129+AK130+AK131</f>
        <v>120.745</v>
      </c>
      <c r="AL132" s="50" t="n">
        <f aca="false">AL127+AL128+AL129+AL130+AL131</f>
        <v>123.309</v>
      </c>
      <c r="AM132" s="50" t="n">
        <f aca="false">AM127+AM128+AM129+AM130+AM131</f>
        <v>453.378</v>
      </c>
      <c r="AN132" s="50" t="n">
        <f aca="false">AN127+AN128+AN129+AN130+AN131</f>
        <v>117.652</v>
      </c>
      <c r="AO132" s="50" t="n">
        <f aca="false">AO127+AO128+AO129+AO130+AO131</f>
        <v>142.178</v>
      </c>
      <c r="AP132" s="50" t="n">
        <f aca="false">AP127+AP128+AP129+AP130+AP131</f>
        <v>140.82</v>
      </c>
      <c r="AQ132" s="50" t="n">
        <f aca="false">AQ127+AQ128+AQ129+AQ130+AQ131</f>
        <v>142.383</v>
      </c>
      <c r="AR132" s="50" t="n">
        <f aca="false">AR127+AR128+AR129+AR130+AR131</f>
        <v>543.033</v>
      </c>
      <c r="AS132" s="50" t="n">
        <f aca="false">AS127+AS128+AS129+AS130+AS131</f>
        <v>132.768</v>
      </c>
      <c r="AT132" s="50" t="n">
        <f aca="false">AT127+AT128+AT129+AT130+AT131</f>
        <v>129.961</v>
      </c>
      <c r="AU132" s="50" t="n">
        <f aca="false">AU127+AU128+AU129+AU130+AU131</f>
        <v>91.0080000000001</v>
      </c>
      <c r="AV132" s="50" t="n">
        <f aca="false">AV127+AV128+AV129+AV130+AV131</f>
        <v>112.838</v>
      </c>
      <c r="AW132" s="50" t="n">
        <f aca="false">AW127+AW128+AW129+AW130+AW131</f>
        <v>466.575</v>
      </c>
      <c r="AX132" s="50" t="n">
        <f aca="false">AX127+AX128+AX129+AX130+AX131</f>
        <v>103.999</v>
      </c>
      <c r="AY132" s="50" t="n">
        <f aca="false">AY127+AY128+AY129+AY130+AY131</f>
        <v>119.97</v>
      </c>
      <c r="AZ132" s="50" t="n">
        <f aca="false">AZ127+AZ128+AZ129+AZ130+AZ131</f>
        <v>123.897</v>
      </c>
      <c r="BA132" s="50" t="n">
        <f aca="false">BA127+BA128+BA129+BA130+BA131</f>
        <v>139.496</v>
      </c>
      <c r="BB132" s="50" t="n">
        <f aca="false">BB127+BB128+BB129+BB130+BB131</f>
        <v>487.362</v>
      </c>
      <c r="BC132" s="50" t="n">
        <f aca="false">BC127+BC128+BC129+BC130+BC131</f>
        <v>122.27</v>
      </c>
      <c r="BD132" s="50" t="n">
        <f aca="false">BD127+BD128+BD129+BD130+BD131</f>
        <v>146.576</v>
      </c>
      <c r="BE132" s="50" t="n">
        <f aca="false">BE127+BE128+BE129+BE130+BE131</f>
        <v>152.711</v>
      </c>
      <c r="BF132" s="50" t="n">
        <f aca="false">BF127+BF128+BF129+BF130+BF131</f>
        <v>172.185</v>
      </c>
      <c r="BG132" s="50" t="n">
        <f aca="false">BG127+BG128+BG129+BG130+BG131</f>
        <v>593.742</v>
      </c>
      <c r="BH132" s="50" t="n">
        <f aca="false">BH127+BH128+BH129+BH130+BH131</f>
        <v>157.133</v>
      </c>
      <c r="BI132" s="50" t="n">
        <f aca="false">BI127+BI128+BI129+BI130+BI131</f>
        <v>187.157</v>
      </c>
      <c r="BJ132" s="50" t="n">
        <f aca="false">BJ127+BJ128+BJ129+BJ130+BJ131</f>
        <v>179.804</v>
      </c>
      <c r="BK132" s="50" t="n">
        <f aca="false">BK127+BK128+BK129+BK130+BK131</f>
        <v>234.216</v>
      </c>
      <c r="BL132" s="50" t="n">
        <f aca="false">BL127+BL128+BL129+BL130+BL131</f>
        <v>758.31</v>
      </c>
      <c r="BM132" s="50" t="n">
        <f aca="false">BM127+BM128+BM129+BM130+BM131</f>
        <v>224.394</v>
      </c>
      <c r="BN132" s="50" t="n">
        <f aca="false">BN127+BN128+BN129+BN130+BN131</f>
        <v>252.444</v>
      </c>
      <c r="BO132" s="50" t="n">
        <f aca="false">BO127+BO128+BO129+BO130+BO131</f>
        <v>261.415</v>
      </c>
      <c r="BP132" s="50" t="n">
        <f aca="false">BP127+BP128+BP129+BP130+BP131</f>
        <v>263.977</v>
      </c>
      <c r="BQ132" s="50" t="n">
        <f aca="false">BQ127+BQ128+BQ129+BQ130+BQ131</f>
        <v>1002.23</v>
      </c>
      <c r="BR132" s="50" t="n">
        <f aca="false">BR127+BR128+BR129+BR130+BR131</f>
        <v>273.949</v>
      </c>
      <c r="BS132" s="50" t="n">
        <f aca="false">BS127+BS128+BS129+BS130+BS131</f>
        <v>297.665</v>
      </c>
      <c r="BT132" s="50" t="n">
        <f aca="false">BT127+BT128+BT129+BT130+BT131</f>
        <v>316.448</v>
      </c>
      <c r="BU132" s="50" t="n">
        <f aca="false">BU127+BU128+BU129+BU130+BU131</f>
        <v>331.445</v>
      </c>
      <c r="BV132" s="50" t="n">
        <f aca="false">BV127+BV128+BV129+BV130+BV131</f>
        <v>1219.507</v>
      </c>
      <c r="BW132" s="50" t="n">
        <f aca="false">BW127+BW128+BW129+BW130+BW131</f>
        <v>311.951</v>
      </c>
      <c r="BX132" s="50" t="n">
        <f aca="false">BX127+BX128+BX129+BX130+BX131</f>
        <v>408.325</v>
      </c>
      <c r="BY132" s="50" t="n">
        <f aca="false">BY127+BY128+BY129+BY130+BY131</f>
        <v>415.225</v>
      </c>
      <c r="BZ132" s="50" t="n">
        <f aca="false">BZ127+BZ128+BZ129+BZ130+BZ131</f>
        <v>423.370267916342</v>
      </c>
      <c r="CA132" s="50" t="n">
        <f aca="false">CA127+CA128+CA129+CA130+CA131</f>
        <v>1558.87126791634</v>
      </c>
      <c r="CB132" s="50" t="n">
        <f aca="false">CB127+CB128+CB129+CB130+CB131</f>
        <v>1768.12610188809</v>
      </c>
      <c r="CC132" s="50" t="n">
        <f aca="false">CC127+CC128+CC129+CC130+CC131</f>
        <v>1969.95928169098</v>
      </c>
      <c r="CD132" s="50" t="n">
        <f aca="false">CD127+CD128+CD129+CD130+CD131</f>
        <v>2143.49050110176</v>
      </c>
      <c r="CE132" s="50" t="n">
        <f aca="false">CE127+CE128+CE129+CE130+CE131</f>
        <v>2331.83764226798</v>
      </c>
      <c r="CH132" s="20" t="n">
        <f aca="false">IFERROR((CE132/BV132)^(1/5)-1,"n/m")</f>
        <v>0.13842074791915</v>
      </c>
      <c r="CI132" s="20" t="n">
        <f aca="false">IFERROR((BV132/AW132)^(1/5)-1,"n/m")</f>
        <v>0.211860322720236</v>
      </c>
      <c r="CJ132" s="20" t="n">
        <f aca="false">IFERROR((BV132/X132)^(1/10)-1,"n/m")</f>
        <v>0.159558331070711</v>
      </c>
      <c r="CK132" s="20" t="n">
        <f aca="false">IFERROR((BV132/C132)^(1/19)-1,"n/m")</f>
        <v>0.155649216594773</v>
      </c>
    </row>
    <row r="133" customFormat="false" ht="15" hidden="false" customHeight="true" outlineLevel="0" collapsed="false">
      <c r="B133" s="26" t="s">
        <v>255</v>
      </c>
      <c r="AG133" s="35" t="n">
        <v>107.612</v>
      </c>
      <c r="AH133" s="35" t="n">
        <v>372.573</v>
      </c>
      <c r="AI133" s="35" t="n">
        <v>98.944</v>
      </c>
      <c r="AJ133" s="35" t="n">
        <v>110.38</v>
      </c>
      <c r="AK133" s="35" t="n">
        <v>120.745</v>
      </c>
      <c r="AL133" s="35" t="n">
        <v>123.309</v>
      </c>
      <c r="AM133" s="35" t="n">
        <v>453.378</v>
      </c>
      <c r="AN133" s="35" t="n">
        <v>117.652</v>
      </c>
      <c r="AO133" s="35" t="n">
        <v>142.178</v>
      </c>
      <c r="AP133" s="35" t="n">
        <v>140.82</v>
      </c>
      <c r="AQ133" s="35" t="n">
        <v>142.383</v>
      </c>
      <c r="AR133" s="35" t="n">
        <v>543.033</v>
      </c>
      <c r="AS133" s="35" t="n">
        <v>132.768</v>
      </c>
      <c r="AT133" s="35" t="n">
        <v>129.961</v>
      </c>
      <c r="AU133" s="35" t="n">
        <v>91.008</v>
      </c>
      <c r="AV133" s="35" t="n">
        <v>112.838</v>
      </c>
      <c r="AW133" s="35" t="n">
        <v>466.575</v>
      </c>
      <c r="AX133" s="35" t="n">
        <v>103.999</v>
      </c>
      <c r="AY133" s="35" t="n">
        <v>119.97</v>
      </c>
      <c r="AZ133" s="35" t="n">
        <v>123.897</v>
      </c>
      <c r="BA133" s="35" t="n">
        <v>139.496</v>
      </c>
      <c r="BB133" s="35" t="n">
        <v>487.362</v>
      </c>
      <c r="BC133" s="35" t="n">
        <v>122.27</v>
      </c>
      <c r="BD133" s="35" t="n">
        <v>146.576</v>
      </c>
      <c r="BE133" s="35" t="n">
        <v>152.711</v>
      </c>
      <c r="BF133" s="35" t="n">
        <v>172.185</v>
      </c>
      <c r="BG133" s="35" t="n">
        <v>593.742</v>
      </c>
      <c r="BH133" s="35" t="n">
        <v>157.133</v>
      </c>
      <c r="BI133" s="35" t="n">
        <v>187.157</v>
      </c>
      <c r="BJ133" s="35" t="n">
        <v>179.804</v>
      </c>
      <c r="BK133" s="35" t="n">
        <v>234.216</v>
      </c>
      <c r="BL133" s="35" t="n">
        <v>758.31</v>
      </c>
      <c r="BM133" s="35" t="n">
        <v>224.394</v>
      </c>
      <c r="BN133" s="35" t="n">
        <v>252.444</v>
      </c>
      <c r="BO133" s="35" t="n">
        <v>261.415</v>
      </c>
      <c r="BP133" s="35" t="n">
        <v>263.977</v>
      </c>
      <c r="BQ133" s="35" t="n">
        <v>1002.23</v>
      </c>
      <c r="BR133" s="35" t="n">
        <v>273.949</v>
      </c>
      <c r="BS133" s="35" t="n">
        <v>297.665</v>
      </c>
      <c r="BT133" s="35" t="n">
        <v>316.448</v>
      </c>
      <c r="BU133" s="35" t="n">
        <v>331.445</v>
      </c>
      <c r="BV133" s="35" t="n">
        <v>1219.507</v>
      </c>
      <c r="BW133" s="35" t="n">
        <v>311.951</v>
      </c>
      <c r="BX133" s="35" t="n">
        <v>408.325</v>
      </c>
      <c r="BY133" s="35" t="n">
        <v>415.225</v>
      </c>
    </row>
    <row r="134" customFormat="false" ht="15" hidden="false" customHeight="true" outlineLevel="0" collapsed="false">
      <c r="B134" s="51" t="s">
        <v>256</v>
      </c>
      <c r="C134" s="36" t="str">
        <f aca="false">IF(ISNUMBER(C133),ROUND(C132-C133,1),"n/p")</f>
        <v>n/p</v>
      </c>
      <c r="D134" s="36" t="str">
        <f aca="false">IF(ISNUMBER(D133),ROUND(D132-D133,1),"n/p")</f>
        <v>n/p</v>
      </c>
      <c r="E134" s="36" t="str">
        <f aca="false">IF(ISNUMBER(E133),ROUND(E132-E133,1),"n/p")</f>
        <v>n/p</v>
      </c>
      <c r="F134" s="36" t="str">
        <f aca="false">IF(ISNUMBER(F133),ROUND(F132-F133,1),"n/p")</f>
        <v>n/p</v>
      </c>
      <c r="G134" s="36" t="str">
        <f aca="false">IF(ISNUMBER(G133),ROUND(G132-G133,1),"n/p")</f>
        <v>n/p</v>
      </c>
      <c r="H134" s="36" t="str">
        <f aca="false">IF(ISNUMBER(H133),ROUND(H132-H133,1),"n/p")</f>
        <v>n/p</v>
      </c>
      <c r="I134" s="36" t="str">
        <f aca="false">IF(ISNUMBER(I133),ROUND(I132-I133,1),"n/p")</f>
        <v>n/p</v>
      </c>
      <c r="J134" s="36" t="str">
        <f aca="false">IF(ISNUMBER(J133),ROUND(J132-J133,1),"n/p")</f>
        <v>n/p</v>
      </c>
      <c r="K134" s="36" t="str">
        <f aca="false">IF(ISNUMBER(K133),ROUND(K132-K133,1),"n/p")</f>
        <v>n/p</v>
      </c>
      <c r="L134" s="36" t="str">
        <f aca="false">IF(ISNUMBER(L133),ROUND(L132-L133,1),"n/p")</f>
        <v>n/p</v>
      </c>
      <c r="M134" s="36" t="str">
        <f aca="false">IF(ISNUMBER(M133),ROUND(M132-M133,1),"n/p")</f>
        <v>n/p</v>
      </c>
      <c r="N134" s="36" t="str">
        <f aca="false">IF(ISNUMBER(N133),ROUND(N132-N133,1),"n/p")</f>
        <v>n/p</v>
      </c>
      <c r="O134" s="36" t="str">
        <f aca="false">IF(ISNUMBER(O133),ROUND(O132-O133,1),"n/p")</f>
        <v>n/p</v>
      </c>
      <c r="P134" s="36" t="str">
        <f aca="false">IF(ISNUMBER(P133),ROUND(P132-P133,1),"n/p")</f>
        <v>n/p</v>
      </c>
      <c r="Q134" s="36" t="str">
        <f aca="false">IF(ISNUMBER(Q133),ROUND(Q132-Q133,1),"n/p")</f>
        <v>n/p</v>
      </c>
      <c r="R134" s="36" t="str">
        <f aca="false">IF(ISNUMBER(R133),ROUND(R132-R133,1),"n/p")</f>
        <v>n/p</v>
      </c>
      <c r="S134" s="36" t="str">
        <f aca="false">IF(ISNUMBER(S133),ROUND(S132-S133,1),"n/p")</f>
        <v>n/p</v>
      </c>
      <c r="T134" s="36" t="str">
        <f aca="false">IF(ISNUMBER(T133),ROUND(T132-T133,1),"n/p")</f>
        <v>n/p</v>
      </c>
      <c r="U134" s="36" t="str">
        <f aca="false">IF(ISNUMBER(U133),ROUND(U132-U133,1),"n/p")</f>
        <v>n/p</v>
      </c>
      <c r="V134" s="36" t="str">
        <f aca="false">IF(ISNUMBER(V133),ROUND(V132-V133,1),"n/p")</f>
        <v>n/p</v>
      </c>
      <c r="W134" s="36" t="str">
        <f aca="false">IF(ISNUMBER(W133),ROUND(W132-W133,1),"n/p")</f>
        <v>n/p</v>
      </c>
      <c r="X134" s="36" t="str">
        <f aca="false">IF(ISNUMBER(X133),ROUND(X132-X133,1),"n/p")</f>
        <v>n/p</v>
      </c>
      <c r="Y134" s="36" t="str">
        <f aca="false">IF(ISNUMBER(Y133),ROUND(Y132-Y133,1),"n/p")</f>
        <v>n/p</v>
      </c>
      <c r="Z134" s="36" t="str">
        <f aca="false">IF(ISNUMBER(Z133),ROUND(Z132-Z133,1),"n/p")</f>
        <v>n/p</v>
      </c>
      <c r="AA134" s="36" t="str">
        <f aca="false">IF(ISNUMBER(AA133),ROUND(AA132-AA133,1),"n/p")</f>
        <v>n/p</v>
      </c>
      <c r="AB134" s="36" t="str">
        <f aca="false">IF(ISNUMBER(AB133),ROUND(AB132-AB133,1),"n/p")</f>
        <v>n/p</v>
      </c>
      <c r="AC134" s="36" t="str">
        <f aca="false">IF(ISNUMBER(AC133),ROUND(AC132-AC133,1),"n/p")</f>
        <v>n/p</v>
      </c>
      <c r="AD134" s="36" t="str">
        <f aca="false">IF(ISNUMBER(AD133),ROUND(AD132-AD133,1),"n/p")</f>
        <v>n/p</v>
      </c>
      <c r="AE134" s="36" t="str">
        <f aca="false">IF(ISNUMBER(AE133),ROUND(AE132-AE133,1),"n/p")</f>
        <v>n/p</v>
      </c>
      <c r="AF134" s="36" t="str">
        <f aca="false">IF(ISNUMBER(AF133),ROUND(AF132-AF133,1),"n/p")</f>
        <v>n/p</v>
      </c>
      <c r="AG134" s="36" t="n">
        <f aca="false">IF(ISNUMBER(AG133),ROUND(AG132-AG133,1),"n/p")</f>
        <v>0</v>
      </c>
      <c r="AH134" s="36" t="n">
        <f aca="false">IF(ISNUMBER(AH133),ROUND(AH132-AH133,1),"n/p")</f>
        <v>0</v>
      </c>
      <c r="AI134" s="36" t="n">
        <f aca="false">IF(ISNUMBER(AI133),ROUND(AI132-AI133,1),"n/p")</f>
        <v>0</v>
      </c>
      <c r="AJ134" s="36" t="n">
        <f aca="false">IF(ISNUMBER(AJ133),ROUND(AJ132-AJ133,1),"n/p")</f>
        <v>0</v>
      </c>
      <c r="AK134" s="36" t="n">
        <f aca="false">IF(ISNUMBER(AK133),ROUND(AK132-AK133,1),"n/p")</f>
        <v>0</v>
      </c>
      <c r="AL134" s="36" t="n">
        <f aca="false">IF(ISNUMBER(AL133),ROUND(AL132-AL133,1),"n/p")</f>
        <v>0</v>
      </c>
      <c r="AM134" s="36" t="n">
        <f aca="false">IF(ISNUMBER(AM133),ROUND(AM132-AM133,1),"n/p")</f>
        <v>0</v>
      </c>
      <c r="AN134" s="36" t="n">
        <f aca="false">IF(ISNUMBER(AN133),ROUND(AN132-AN133,1),"n/p")</f>
        <v>0</v>
      </c>
      <c r="AO134" s="36" t="n">
        <f aca="false">IF(ISNUMBER(AO133),ROUND(AO132-AO133,1),"n/p")</f>
        <v>0</v>
      </c>
      <c r="AP134" s="36" t="n">
        <f aca="false">IF(ISNUMBER(AP133),ROUND(AP132-AP133,1),"n/p")</f>
        <v>0</v>
      </c>
      <c r="AQ134" s="36" t="n">
        <f aca="false">IF(ISNUMBER(AQ133),ROUND(AQ132-AQ133,1),"n/p")</f>
        <v>0</v>
      </c>
      <c r="AR134" s="36" t="n">
        <f aca="false">IF(ISNUMBER(AR133),ROUND(AR132-AR133,1),"n/p")</f>
        <v>0</v>
      </c>
      <c r="AS134" s="36" t="n">
        <f aca="false">IF(ISNUMBER(AS133),ROUND(AS132-AS133,1),"n/p")</f>
        <v>0</v>
      </c>
      <c r="AT134" s="36" t="n">
        <f aca="false">IF(ISNUMBER(AT133),ROUND(AT132-AT133,1),"n/p")</f>
        <v>0</v>
      </c>
      <c r="AU134" s="36" t="n">
        <f aca="false">IF(ISNUMBER(AU133),ROUND(AU132-AU133,1),"n/p")</f>
        <v>0</v>
      </c>
      <c r="AV134" s="36" t="n">
        <f aca="false">IF(ISNUMBER(AV133),ROUND(AV132-AV133,1),"n/p")</f>
        <v>0</v>
      </c>
      <c r="AW134" s="36" t="n">
        <f aca="false">IF(ISNUMBER(AW133),ROUND(AW132-AW133,1),"n/p")</f>
        <v>0</v>
      </c>
      <c r="AX134" s="36" t="n">
        <f aca="false">IF(ISNUMBER(AX133),ROUND(AX132-AX133,1),"n/p")</f>
        <v>0</v>
      </c>
      <c r="AY134" s="36" t="n">
        <f aca="false">IF(ISNUMBER(AY133),ROUND(AY132-AY133,1),"n/p")</f>
        <v>0</v>
      </c>
      <c r="AZ134" s="36" t="n">
        <f aca="false">IF(ISNUMBER(AZ133),ROUND(AZ132-AZ133,1),"n/p")</f>
        <v>0</v>
      </c>
      <c r="BA134" s="36" t="n">
        <f aca="false">IF(ISNUMBER(BA133),ROUND(BA132-BA133,1),"n/p")</f>
        <v>0</v>
      </c>
      <c r="BB134" s="36" t="n">
        <f aca="false">IF(ISNUMBER(BB133),ROUND(BB132-BB133,1),"n/p")</f>
        <v>0</v>
      </c>
      <c r="BC134" s="36" t="n">
        <f aca="false">IF(ISNUMBER(BC133),ROUND(BC132-BC133,1),"n/p")</f>
        <v>0</v>
      </c>
      <c r="BD134" s="36" t="n">
        <f aca="false">IF(ISNUMBER(BD133),ROUND(BD132-BD133,1),"n/p")</f>
        <v>0</v>
      </c>
      <c r="BE134" s="36" t="n">
        <f aca="false">IF(ISNUMBER(BE133),ROUND(BE132-BE133,1),"n/p")</f>
        <v>0</v>
      </c>
      <c r="BF134" s="36" t="n">
        <f aca="false">IF(ISNUMBER(BF133),ROUND(BF132-BF133,1),"n/p")</f>
        <v>0</v>
      </c>
      <c r="BG134" s="36" t="n">
        <f aca="false">IF(ISNUMBER(BG133),ROUND(BG132-BG133,1),"n/p")</f>
        <v>0</v>
      </c>
      <c r="BH134" s="36" t="n">
        <f aca="false">IF(ISNUMBER(BH133),ROUND(BH132-BH133,1),"n/p")</f>
        <v>0</v>
      </c>
      <c r="BI134" s="36" t="n">
        <f aca="false">IF(ISNUMBER(BI133),ROUND(BI132-BI133,1),"n/p")</f>
        <v>0</v>
      </c>
      <c r="BJ134" s="36" t="n">
        <f aca="false">IF(ISNUMBER(BJ133),ROUND(BJ132-BJ133,1),"n/p")</f>
        <v>0</v>
      </c>
      <c r="BK134" s="36" t="n">
        <f aca="false">IF(ISNUMBER(BK133),ROUND(BK132-BK133,1),"n/p")</f>
        <v>0</v>
      </c>
      <c r="BL134" s="36" t="n">
        <f aca="false">IF(ISNUMBER(BL133),ROUND(BL132-BL133,1),"n/p")</f>
        <v>0</v>
      </c>
      <c r="BM134" s="36" t="n">
        <f aca="false">IF(ISNUMBER(BM133),ROUND(BM132-BM133,1),"n/p")</f>
        <v>0</v>
      </c>
      <c r="BN134" s="36" t="n">
        <f aca="false">IF(ISNUMBER(BN133),ROUND(BN132-BN133,1),"n/p")</f>
        <v>0</v>
      </c>
      <c r="BO134" s="36" t="n">
        <f aca="false">IF(ISNUMBER(BO133),ROUND(BO132-BO133,1),"n/p")</f>
        <v>0</v>
      </c>
      <c r="BP134" s="36" t="n">
        <f aca="false">IF(ISNUMBER(BP133),ROUND(BP132-BP133,1),"n/p")</f>
        <v>0</v>
      </c>
      <c r="BQ134" s="36" t="n">
        <f aca="false">IF(ISNUMBER(BQ133),ROUND(BQ132-BQ133,1),"n/p")</f>
        <v>0</v>
      </c>
      <c r="BR134" s="36" t="n">
        <f aca="false">IF(ISNUMBER(BR133),ROUND(BR132-BR133,1),"n/p")</f>
        <v>0</v>
      </c>
      <c r="BS134" s="36" t="n">
        <f aca="false">IF(ISNUMBER(BS133),ROUND(BS132-BS133,1),"n/p")</f>
        <v>0</v>
      </c>
      <c r="BT134" s="36" t="n">
        <f aca="false">IF(ISNUMBER(BT133),ROUND(BT132-BT133,1),"n/p")</f>
        <v>0</v>
      </c>
      <c r="BU134" s="36" t="n">
        <f aca="false">IF(ISNUMBER(BU133),ROUND(BU132-BU133,1),"n/p")</f>
        <v>0</v>
      </c>
      <c r="BV134" s="36" t="n">
        <f aca="false">IF(ISNUMBER(BV133),ROUND(BV132-BV133,1),"n/p")</f>
        <v>0</v>
      </c>
      <c r="BW134" s="36" t="n">
        <f aca="false">IF(ISNUMBER(BW133),ROUND(BW132-BW133,1),"n/p")</f>
        <v>0</v>
      </c>
      <c r="BX134" s="36" t="n">
        <f aca="false">IF(ISNUMBER(BX133),ROUND(BX132-BX133,1),"n/p")</f>
        <v>0</v>
      </c>
      <c r="BY134" s="36" t="n">
        <f aca="false">IF(ISNUMBER(BY133),ROUND(BY132-BY133,1),"n/p")</f>
        <v>0</v>
      </c>
    </row>
    <row r="135" customFormat="false" ht="15" hidden="false" customHeight="true" outlineLevel="0" collapsed="false">
      <c r="B135" s="29" t="s">
        <v>257</v>
      </c>
      <c r="Y135" s="35" t="n">
        <v>3.1</v>
      </c>
      <c r="AC135" s="35" t="n">
        <v>3.1</v>
      </c>
      <c r="BH135" s="35" t="n">
        <v>5.1</v>
      </c>
      <c r="BJ135" s="35" t="n">
        <v>3.5</v>
      </c>
      <c r="BK135" s="35" t="n">
        <v>13</v>
      </c>
      <c r="BL135" s="35" t="n">
        <v>21.6</v>
      </c>
      <c r="BZ135" s="46" t="n">
        <v>0</v>
      </c>
      <c r="CA135" s="42" t="n">
        <f aca="false">SUM(BW135,BX135,BY135,BZ135)</f>
        <v>0</v>
      </c>
      <c r="CB135" s="46" t="n">
        <v>0</v>
      </c>
      <c r="CC135" s="46" t="n">
        <v>0</v>
      </c>
      <c r="CD135" s="46" t="n">
        <v>0</v>
      </c>
      <c r="CE135" s="46" t="n">
        <v>0</v>
      </c>
    </row>
    <row r="136" customFormat="false" ht="15" hidden="false" customHeight="true" outlineLevel="0" collapsed="false">
      <c r="B136" s="29" t="s">
        <v>258</v>
      </c>
      <c r="F136" s="35" t="n">
        <v>0</v>
      </c>
      <c r="G136" s="35" t="n">
        <v>0</v>
      </c>
      <c r="H136" s="35" t="n">
        <v>-1.15</v>
      </c>
      <c r="I136" s="35" t="n">
        <v>0.119</v>
      </c>
      <c r="J136" s="35" t="n">
        <v>-0.159</v>
      </c>
      <c r="K136" s="35" t="n">
        <v>-1.044</v>
      </c>
      <c r="L136" s="35" t="n">
        <v>0.008</v>
      </c>
      <c r="M136" s="35" t="n">
        <v>-0.445</v>
      </c>
      <c r="N136" s="35" t="n">
        <v>-1.64</v>
      </c>
      <c r="O136" s="35" t="n">
        <v>-7.046</v>
      </c>
      <c r="P136" s="35" t="n">
        <v>-2.249</v>
      </c>
      <c r="Q136" s="35" t="n">
        <v>-10.221</v>
      </c>
      <c r="R136" s="35" t="n">
        <v>-8.61</v>
      </c>
      <c r="S136" s="35" t="n">
        <v>-28.126</v>
      </c>
      <c r="T136" s="35" t="n">
        <v>0.02</v>
      </c>
      <c r="U136" s="35" t="n">
        <v>-1.078</v>
      </c>
      <c r="V136" s="35" t="n">
        <v>0.646</v>
      </c>
      <c r="W136" s="35" t="n">
        <v>0.705</v>
      </c>
      <c r="X136" s="35" t="n">
        <v>0.293</v>
      </c>
      <c r="Y136" s="35" t="n">
        <v>0.847</v>
      </c>
      <c r="Z136" s="35" t="n">
        <v>0.832</v>
      </c>
      <c r="AA136" s="35" t="n">
        <v>0.956</v>
      </c>
      <c r="AB136" s="35" t="n">
        <v>0.428</v>
      </c>
      <c r="AC136" s="35" t="n">
        <v>3.063</v>
      </c>
      <c r="AD136" s="35" t="n">
        <v>0.537</v>
      </c>
      <c r="AE136" s="35" t="n">
        <v>0.611</v>
      </c>
      <c r="AF136" s="35" t="n">
        <v>0.079</v>
      </c>
      <c r="AG136" s="35" t="n">
        <v>-0.127</v>
      </c>
      <c r="AH136" s="35" t="n">
        <v>1.1</v>
      </c>
      <c r="AI136" s="35" t="n">
        <v>-3.195</v>
      </c>
      <c r="AJ136" s="35" t="n">
        <v>0</v>
      </c>
      <c r="AK136" s="35" t="n">
        <v>-5.425</v>
      </c>
      <c r="AL136" s="35" t="n">
        <v>0</v>
      </c>
      <c r="AM136" s="35" t="n">
        <v>0</v>
      </c>
      <c r="AN136" s="35" t="n">
        <v>1.862</v>
      </c>
      <c r="AO136" s="35" t="n">
        <v>1.242</v>
      </c>
      <c r="AP136" s="35" t="n">
        <v>0.63</v>
      </c>
      <c r="AQ136" s="35" t="n">
        <v>-1.104</v>
      </c>
      <c r="AR136" s="35" t="n">
        <v>2.63</v>
      </c>
      <c r="AS136" s="35" t="n">
        <v>0.408</v>
      </c>
      <c r="AT136" s="35" t="n">
        <v>0.759</v>
      </c>
      <c r="AU136" s="35" t="n">
        <v>-0.978</v>
      </c>
      <c r="AV136" s="35" t="n">
        <v>0.326</v>
      </c>
      <c r="AW136" s="35" t="n">
        <v>0.515</v>
      </c>
      <c r="AX136" s="35" t="n">
        <v>0.432</v>
      </c>
      <c r="AY136" s="35" t="n">
        <v>0.227</v>
      </c>
      <c r="AZ136" s="35" t="n">
        <v>0.646</v>
      </c>
      <c r="BA136" s="35" t="n">
        <v>-0.059</v>
      </c>
      <c r="BB136" s="35" t="n">
        <v>1.246</v>
      </c>
      <c r="BC136" s="35" t="n">
        <v>-0.114</v>
      </c>
      <c r="BD136" s="35" t="n">
        <v>-1.659</v>
      </c>
      <c r="BE136" s="35" t="n">
        <v>-2.48</v>
      </c>
      <c r="BF136" s="35" t="n">
        <v>-3.378</v>
      </c>
      <c r="BG136" s="35" t="n">
        <v>-7.631</v>
      </c>
      <c r="BH136" s="35" t="n">
        <v>1.336</v>
      </c>
      <c r="BI136" s="35" t="n">
        <v>0.506</v>
      </c>
      <c r="BJ136" s="35" t="n">
        <v>-0.624</v>
      </c>
      <c r="BK136" s="35" t="n">
        <v>-1.904</v>
      </c>
      <c r="BL136" s="35" t="n">
        <v>-0.686</v>
      </c>
      <c r="BM136" s="35" t="n">
        <v>1.095</v>
      </c>
      <c r="BN136" s="35" t="n">
        <v>-6.421</v>
      </c>
      <c r="BO136" s="35" t="n">
        <v>-5.566</v>
      </c>
      <c r="BP136" s="35" t="n">
        <v>1.008</v>
      </c>
      <c r="BQ136" s="35" t="n">
        <v>-9.884</v>
      </c>
      <c r="BR136" s="35" t="n">
        <v>3.288</v>
      </c>
      <c r="BS136" s="35" t="n">
        <v>3.478</v>
      </c>
      <c r="BT136" s="35" t="n">
        <v>2.208</v>
      </c>
      <c r="BU136" s="35" t="n">
        <v>3.946</v>
      </c>
      <c r="BV136" s="35" t="n">
        <v>12.92</v>
      </c>
      <c r="BW136" s="35" t="n">
        <v>2.225</v>
      </c>
      <c r="BX136" s="35" t="n">
        <v>2.277</v>
      </c>
      <c r="BY136" s="35" t="n">
        <v>3.471</v>
      </c>
      <c r="BZ136" s="46" t="n">
        <v>0</v>
      </c>
      <c r="CA136" s="42" t="n">
        <f aca="false">SUM(BW136,BX136,BY136,BZ136)</f>
        <v>7.973</v>
      </c>
      <c r="CB136" s="46" t="n">
        <v>0</v>
      </c>
      <c r="CC136" s="46" t="n">
        <v>0</v>
      </c>
      <c r="CD136" s="46" t="n">
        <v>0</v>
      </c>
      <c r="CE136" s="46" t="n">
        <v>0</v>
      </c>
    </row>
    <row r="137" customFormat="false" ht="15" hidden="false" customHeight="true" outlineLevel="0" collapsed="false">
      <c r="B137" s="29" t="s">
        <v>259</v>
      </c>
      <c r="BI137" s="35" t="n">
        <v>-9.057</v>
      </c>
      <c r="BL137" s="35" t="n">
        <v>-9.057</v>
      </c>
      <c r="BZ137" s="46" t="n">
        <v>0</v>
      </c>
      <c r="CA137" s="42" t="n">
        <f aca="false">SUM(BW137,BX137,BY137,BZ137)</f>
        <v>0</v>
      </c>
      <c r="CB137" s="46" t="n">
        <v>0</v>
      </c>
      <c r="CC137" s="46" t="n">
        <v>0</v>
      </c>
      <c r="CD137" s="46" t="n">
        <v>0</v>
      </c>
      <c r="CE137" s="46" t="n">
        <v>0</v>
      </c>
    </row>
    <row r="138" customFormat="false" ht="15" hidden="false" customHeight="true" outlineLevel="0" collapsed="false">
      <c r="B138" s="29" t="s">
        <v>260</v>
      </c>
      <c r="C138" s="35" t="n">
        <v>0</v>
      </c>
      <c r="D138" s="35" t="n">
        <v>0</v>
      </c>
      <c r="E138" s="35" t="n">
        <v>1.835</v>
      </c>
      <c r="F138" s="35" t="n">
        <v>0.3</v>
      </c>
      <c r="G138" s="35" t="n">
        <v>1.438</v>
      </c>
      <c r="H138" s="35" t="n">
        <v>4.987</v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9.2</v>
      </c>
      <c r="R138" s="35" t="n">
        <v>5.8</v>
      </c>
      <c r="S138" s="35" t="n">
        <v>15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  <c r="AL138" s="35" t="n">
        <v>0</v>
      </c>
      <c r="AM138" s="35" t="n">
        <v>0</v>
      </c>
      <c r="AN138" s="35" t="n">
        <v>0</v>
      </c>
      <c r="AO138" s="35" t="n">
        <v>0</v>
      </c>
      <c r="AP138" s="35" t="n">
        <v>0</v>
      </c>
      <c r="AQ138" s="35" t="n">
        <v>0</v>
      </c>
      <c r="AR138" s="35" t="n">
        <v>0</v>
      </c>
      <c r="AS138" s="35" t="n">
        <v>0</v>
      </c>
      <c r="AT138" s="35" t="n">
        <v>0</v>
      </c>
      <c r="AU138" s="35" t="n">
        <v>0</v>
      </c>
      <c r="AV138" s="35" t="n">
        <v>0</v>
      </c>
      <c r="AW138" s="35" t="n">
        <v>0</v>
      </c>
      <c r="AX138" s="35" t="n">
        <v>0</v>
      </c>
      <c r="AY138" s="35" t="n">
        <v>0</v>
      </c>
      <c r="AZ138" s="35" t="n">
        <v>0</v>
      </c>
      <c r="BA138" s="35" t="n">
        <v>0</v>
      </c>
      <c r="BB138" s="35" t="n">
        <v>0</v>
      </c>
      <c r="BC138" s="35" t="n">
        <v>0</v>
      </c>
      <c r="BD138" s="35" t="n">
        <v>0</v>
      </c>
      <c r="BE138" s="35" t="n">
        <v>0</v>
      </c>
      <c r="BF138" s="35" t="n">
        <v>0</v>
      </c>
      <c r="BG138" s="35" t="n">
        <v>0</v>
      </c>
      <c r="BH138" s="35" t="n">
        <v>0</v>
      </c>
      <c r="BI138" s="35" t="n">
        <v>0</v>
      </c>
      <c r="BJ138" s="35" t="n">
        <v>0</v>
      </c>
      <c r="BK138" s="35" t="n">
        <v>0</v>
      </c>
      <c r="BL138" s="35" t="n">
        <v>0</v>
      </c>
      <c r="BM138" s="35" t="n">
        <v>0</v>
      </c>
      <c r="BN138" s="35" t="n">
        <v>0</v>
      </c>
      <c r="BO138" s="35" t="n">
        <v>6</v>
      </c>
      <c r="BP138" s="35" t="n">
        <v>1.5</v>
      </c>
      <c r="BQ138" s="35" t="n">
        <v>7.5</v>
      </c>
      <c r="BR138" s="35" t="n">
        <v>0</v>
      </c>
      <c r="BS138" s="35" t="n">
        <v>0</v>
      </c>
      <c r="BT138" s="35" t="n">
        <v>0</v>
      </c>
      <c r="BU138" s="35" t="n">
        <v>0</v>
      </c>
      <c r="BV138" s="35" t="n">
        <v>0</v>
      </c>
      <c r="BW138" s="35" t="n">
        <v>0</v>
      </c>
      <c r="BX138" s="35" t="n">
        <v>0</v>
      </c>
      <c r="BY138" s="35" t="n">
        <v>0</v>
      </c>
      <c r="BZ138" s="46" t="n">
        <v>0</v>
      </c>
      <c r="CA138" s="42" t="n">
        <f aca="false">SUM(BW138,BX138,BY138,BZ138)</f>
        <v>0</v>
      </c>
      <c r="CB138" s="46" t="n">
        <v>0</v>
      </c>
      <c r="CC138" s="46" t="n">
        <v>0</v>
      </c>
      <c r="CD138" s="46" t="n">
        <v>0</v>
      </c>
      <c r="CE138" s="46" t="n">
        <v>0</v>
      </c>
    </row>
    <row r="139" customFormat="false" ht="15" hidden="false" customHeight="true" outlineLevel="0" collapsed="false">
      <c r="B139" s="29" t="s">
        <v>261</v>
      </c>
      <c r="C139" s="36" t="n">
        <f aca="false">N(C135)+N(C136)+N(C137)+N(C138)</f>
        <v>0</v>
      </c>
      <c r="D139" s="36" t="n">
        <f aca="false">N(D135)+N(D136)+N(D137)+N(D138)</f>
        <v>0</v>
      </c>
      <c r="E139" s="36" t="n">
        <f aca="false">N(E135)+N(E136)+N(E137)+N(E138)</f>
        <v>1.835</v>
      </c>
      <c r="F139" s="36" t="n">
        <f aca="false">N(F135)+N(F136)+N(F137)+N(F138)</f>
        <v>0.3</v>
      </c>
      <c r="G139" s="36" t="n">
        <f aca="false">N(G135)+N(G136)+N(G137)+N(G138)</f>
        <v>1.438</v>
      </c>
      <c r="H139" s="36" t="n">
        <f aca="false">N(H135)+N(H136)+N(H137)+N(H138)</f>
        <v>3.837</v>
      </c>
      <c r="I139" s="36" t="n">
        <f aca="false">N(I135)+N(I136)+N(I137)+N(I138)</f>
        <v>0.119</v>
      </c>
      <c r="J139" s="36" t="n">
        <f aca="false">N(J135)+N(J136)+N(J137)+N(J138)</f>
        <v>-0.159</v>
      </c>
      <c r="K139" s="36" t="n">
        <f aca="false">N(K135)+N(K136)+N(K137)+N(K138)</f>
        <v>-1.044</v>
      </c>
      <c r="L139" s="36" t="n">
        <f aca="false">N(L135)+N(L136)+N(L137)+N(L138)</f>
        <v>0.008</v>
      </c>
      <c r="M139" s="36" t="n">
        <f aca="false">N(M135)+N(M136)+N(M137)+N(M138)</f>
        <v>-0.445</v>
      </c>
      <c r="N139" s="36" t="n">
        <f aca="false">N(N135)+N(N136)+N(N137)+N(N138)</f>
        <v>-1.64</v>
      </c>
      <c r="O139" s="36" t="n">
        <f aca="false">N(O135)+N(O136)+N(O137)+N(O138)</f>
        <v>-7.046</v>
      </c>
      <c r="P139" s="36" t="n">
        <f aca="false">N(P135)+N(P136)+N(P137)+N(P138)</f>
        <v>-2.249</v>
      </c>
      <c r="Q139" s="36" t="n">
        <f aca="false">N(Q135)+N(Q136)+N(Q137)+N(Q138)</f>
        <v>-1.021</v>
      </c>
      <c r="R139" s="36" t="n">
        <f aca="false">N(R135)+N(R136)+N(R137)+N(R138)</f>
        <v>-2.81</v>
      </c>
      <c r="S139" s="36" t="n">
        <f aca="false">N(S135)+N(S136)+N(S137)+N(S138)</f>
        <v>-13.126</v>
      </c>
      <c r="T139" s="36" t="n">
        <f aca="false">N(T135)+N(T136)+N(T137)+N(T138)</f>
        <v>0.02</v>
      </c>
      <c r="U139" s="36" t="n">
        <f aca="false">N(U135)+N(U136)+N(U137)+N(U138)</f>
        <v>-1.078</v>
      </c>
      <c r="V139" s="36" t="n">
        <f aca="false">N(V135)+N(V136)+N(V137)+N(V138)</f>
        <v>0.646</v>
      </c>
      <c r="W139" s="36" t="n">
        <f aca="false">N(W135)+N(W136)+N(W137)+N(W138)</f>
        <v>0.705</v>
      </c>
      <c r="X139" s="36" t="n">
        <f aca="false">N(X135)+N(X136)+N(X137)+N(X138)</f>
        <v>0.293</v>
      </c>
      <c r="Y139" s="36" t="n">
        <f aca="false">N(Y135)+N(Y136)+N(Y137)+N(Y138)</f>
        <v>3.947</v>
      </c>
      <c r="Z139" s="36" t="n">
        <f aca="false">N(Z135)+N(Z136)+N(Z137)+N(Z138)</f>
        <v>0.832</v>
      </c>
      <c r="AA139" s="36" t="n">
        <f aca="false">N(AA135)+N(AA136)+N(AA137)+N(AA138)</f>
        <v>0.956</v>
      </c>
      <c r="AB139" s="36" t="n">
        <f aca="false">N(AB135)+N(AB136)+N(AB137)+N(AB138)</f>
        <v>0.428</v>
      </c>
      <c r="AC139" s="36" t="n">
        <f aca="false">N(AC135)+N(AC136)+N(AC137)+N(AC138)</f>
        <v>6.163</v>
      </c>
      <c r="AD139" s="36" t="n">
        <f aca="false">N(AD135)+N(AD136)+N(AD137)+N(AD138)</f>
        <v>0.537</v>
      </c>
      <c r="AE139" s="36" t="n">
        <f aca="false">N(AE135)+N(AE136)+N(AE137)+N(AE138)</f>
        <v>0.611</v>
      </c>
      <c r="AF139" s="36" t="n">
        <f aca="false">N(AF135)+N(AF136)+N(AF137)+N(AF138)</f>
        <v>0.079</v>
      </c>
      <c r="AG139" s="36" t="n">
        <f aca="false">N(AG135)+N(AG136)+N(AG137)+N(AG138)</f>
        <v>-0.127</v>
      </c>
      <c r="AH139" s="36" t="n">
        <f aca="false">N(AH135)+N(AH136)+N(AH137)+N(AH138)</f>
        <v>1.1</v>
      </c>
      <c r="AI139" s="36" t="n">
        <f aca="false">N(AI135)+N(AI136)+N(AI137)+N(AI138)</f>
        <v>-3.195</v>
      </c>
      <c r="AJ139" s="36" t="n">
        <f aca="false">N(AJ135)+N(AJ136)+N(AJ137)+N(AJ138)</f>
        <v>0</v>
      </c>
      <c r="AK139" s="36" t="n">
        <f aca="false">N(AK135)+N(AK136)+N(AK137)+N(AK138)</f>
        <v>-5.425</v>
      </c>
      <c r="AL139" s="36" t="n">
        <f aca="false">N(AL135)+N(AL136)+N(AL137)+N(AL138)</f>
        <v>0</v>
      </c>
      <c r="AM139" s="36" t="n">
        <f aca="false">N(AM135)+N(AM136)+N(AM137)+N(AM138)</f>
        <v>0</v>
      </c>
      <c r="AN139" s="36" t="n">
        <f aca="false">N(AN135)+N(AN136)+N(AN137)+N(AN138)</f>
        <v>1.862</v>
      </c>
      <c r="AO139" s="36" t="n">
        <f aca="false">N(AO135)+N(AO136)+N(AO137)+N(AO138)</f>
        <v>1.242</v>
      </c>
      <c r="AP139" s="36" t="n">
        <f aca="false">N(AP135)+N(AP136)+N(AP137)+N(AP138)</f>
        <v>0.63</v>
      </c>
      <c r="AQ139" s="36" t="n">
        <f aca="false">N(AQ135)+N(AQ136)+N(AQ137)+N(AQ138)</f>
        <v>-1.104</v>
      </c>
      <c r="AR139" s="36" t="n">
        <f aca="false">N(AR135)+N(AR136)+N(AR137)+N(AR138)</f>
        <v>2.63</v>
      </c>
      <c r="AS139" s="36" t="n">
        <f aca="false">N(AS135)+N(AS136)+N(AS137)+N(AS138)</f>
        <v>0.408</v>
      </c>
      <c r="AT139" s="36" t="n">
        <f aca="false">N(AT135)+N(AT136)+N(AT137)+N(AT138)</f>
        <v>0.759</v>
      </c>
      <c r="AU139" s="36" t="n">
        <f aca="false">N(AU135)+N(AU136)+N(AU137)+N(AU138)</f>
        <v>-0.978</v>
      </c>
      <c r="AV139" s="36" t="n">
        <f aca="false">N(AV135)+N(AV136)+N(AV137)+N(AV138)</f>
        <v>0.326</v>
      </c>
      <c r="AW139" s="36" t="n">
        <f aca="false">N(AW135)+N(AW136)+N(AW137)+N(AW138)</f>
        <v>0.515</v>
      </c>
      <c r="AX139" s="36" t="n">
        <f aca="false">N(AX135)+N(AX136)+N(AX137)+N(AX138)</f>
        <v>0.432</v>
      </c>
      <c r="AY139" s="36" t="n">
        <f aca="false">N(AY135)+N(AY136)+N(AY137)+N(AY138)</f>
        <v>0.227</v>
      </c>
      <c r="AZ139" s="36" t="n">
        <f aca="false">N(AZ135)+N(AZ136)+N(AZ137)+N(AZ138)</f>
        <v>0.646</v>
      </c>
      <c r="BA139" s="36" t="n">
        <f aca="false">N(BA135)+N(BA136)+N(BA137)+N(BA138)</f>
        <v>-0.059</v>
      </c>
      <c r="BB139" s="36" t="n">
        <f aca="false">N(BB135)+N(BB136)+N(BB137)+N(BB138)</f>
        <v>1.246</v>
      </c>
      <c r="BC139" s="36" t="n">
        <f aca="false">N(BC135)+N(BC136)+N(BC137)+N(BC138)</f>
        <v>-0.114</v>
      </c>
      <c r="BD139" s="36" t="n">
        <f aca="false">N(BD135)+N(BD136)+N(BD137)+N(BD138)</f>
        <v>-1.659</v>
      </c>
      <c r="BE139" s="36" t="n">
        <f aca="false">N(BE135)+N(BE136)+N(BE137)+N(BE138)</f>
        <v>-2.48</v>
      </c>
      <c r="BF139" s="36" t="n">
        <f aca="false">N(BF135)+N(BF136)+N(BF137)+N(BF138)</f>
        <v>-3.378</v>
      </c>
      <c r="BG139" s="36" t="n">
        <f aca="false">N(BG135)+N(BG136)+N(BG137)+N(BG138)</f>
        <v>-7.631</v>
      </c>
      <c r="BH139" s="36" t="n">
        <f aca="false">N(BH135)+N(BH136)+N(BH137)+N(BH138)</f>
        <v>6.436</v>
      </c>
      <c r="BI139" s="36" t="n">
        <f aca="false">N(BI135)+N(BI136)+N(BI137)+N(BI138)</f>
        <v>-8.551</v>
      </c>
      <c r="BJ139" s="36" t="n">
        <f aca="false">N(BJ135)+N(BJ136)+N(BJ137)+N(BJ138)</f>
        <v>2.876</v>
      </c>
      <c r="BK139" s="36" t="n">
        <f aca="false">N(BK135)+N(BK136)+N(BK137)+N(BK138)</f>
        <v>11.096</v>
      </c>
      <c r="BL139" s="36" t="n">
        <f aca="false">N(BL135)+N(BL136)+N(BL137)+N(BL138)</f>
        <v>11.857</v>
      </c>
      <c r="BM139" s="36" t="n">
        <f aca="false">N(BM135)+N(BM136)+N(BM137)+N(BM138)</f>
        <v>1.095</v>
      </c>
      <c r="BN139" s="36" t="n">
        <f aca="false">N(BN135)+N(BN136)+N(BN137)+N(BN138)</f>
        <v>-6.421</v>
      </c>
      <c r="BO139" s="36" t="n">
        <f aca="false">N(BO135)+N(BO136)+N(BO137)+N(BO138)</f>
        <v>0.434</v>
      </c>
      <c r="BP139" s="36" t="n">
        <f aca="false">N(BP135)+N(BP136)+N(BP137)+N(BP138)</f>
        <v>2.508</v>
      </c>
      <c r="BQ139" s="36" t="n">
        <f aca="false">N(BQ135)+N(BQ136)+N(BQ137)+N(BQ138)</f>
        <v>-2.384</v>
      </c>
      <c r="BR139" s="36" t="n">
        <f aca="false">N(BR135)+N(BR136)+N(BR137)+N(BR138)</f>
        <v>3.288</v>
      </c>
      <c r="BS139" s="36" t="n">
        <f aca="false">N(BS135)+N(BS136)+N(BS137)+N(BS138)</f>
        <v>3.478</v>
      </c>
      <c r="BT139" s="36" t="n">
        <f aca="false">N(BT135)+N(BT136)+N(BT137)+N(BT138)</f>
        <v>2.208</v>
      </c>
      <c r="BU139" s="36" t="n">
        <f aca="false">N(BU135)+N(BU136)+N(BU137)+N(BU138)</f>
        <v>3.946</v>
      </c>
      <c r="BV139" s="36" t="n">
        <f aca="false">N(BV135)+N(BV136)+N(BV137)+N(BV138)</f>
        <v>12.92</v>
      </c>
      <c r="BW139" s="36" t="n">
        <f aca="false">N(BW135)+N(BW136)+N(BW137)+N(BW138)</f>
        <v>2.225</v>
      </c>
      <c r="BX139" s="36" t="n">
        <f aca="false">N(BX135)+N(BX136)+N(BX137)+N(BX138)</f>
        <v>2.277</v>
      </c>
      <c r="BY139" s="36" t="n">
        <f aca="false">N(BY135)+N(BY136)+N(BY137)+N(BY138)</f>
        <v>3.471</v>
      </c>
      <c r="BZ139" s="42" t="n">
        <f aca="false">N(BZ135)+N(BZ136)+N(BZ137)+N(BZ138)</f>
        <v>0</v>
      </c>
      <c r="CA139" s="42" t="n">
        <f aca="false">N(CA135)+N(CA136)+N(CA137)+N(CA138)</f>
        <v>7.973</v>
      </c>
      <c r="CB139" s="42" t="n">
        <f aca="false">N(CB135)+N(CB136)+N(CB137)+N(CB138)</f>
        <v>0</v>
      </c>
      <c r="CC139" s="42" t="n">
        <f aca="false">N(CC135)+N(CC136)+N(CC137)+N(CC138)</f>
        <v>0</v>
      </c>
      <c r="CD139" s="42" t="n">
        <f aca="false">N(CD135)+N(CD136)+N(CD137)+N(CD138)</f>
        <v>0</v>
      </c>
      <c r="CE139" s="42" t="n">
        <f aca="false">N(CE135)+N(CE136)+N(CE137)+N(CE138)</f>
        <v>0</v>
      </c>
    </row>
    <row r="140" customFormat="false" ht="15" hidden="false" customHeight="true" outlineLevel="0" collapsed="false">
      <c r="B140" s="49" t="s">
        <v>262</v>
      </c>
      <c r="C140" s="50" t="n">
        <f aca="false">C132+C139</f>
        <v>78.071</v>
      </c>
      <c r="D140" s="50" t="n">
        <f aca="false">D132+D139</f>
        <v>98.276</v>
      </c>
      <c r="E140" s="50" t="n">
        <f aca="false">E132+E139</f>
        <v>122.038</v>
      </c>
      <c r="F140" s="50" t="n">
        <f aca="false">F132+F139</f>
        <v>103.727</v>
      </c>
      <c r="G140" s="50" t="n">
        <f aca="false">G132+G139</f>
        <v>128.598</v>
      </c>
      <c r="H140" s="50" t="n">
        <f aca="false">H132+H139</f>
        <v>160.875</v>
      </c>
      <c r="I140" s="50" t="n">
        <f aca="false">I132+I139</f>
        <v>194.382</v>
      </c>
      <c r="J140" s="50" t="n">
        <f aca="false">J132+J139</f>
        <v>43.205</v>
      </c>
      <c r="K140" s="50" t="n">
        <f aca="false">K132+K139</f>
        <v>52.07</v>
      </c>
      <c r="L140" s="50" t="n">
        <f aca="false">L132+L139</f>
        <v>57.968</v>
      </c>
      <c r="M140" s="50" t="n">
        <f aca="false">M132+M139</f>
        <v>66.385</v>
      </c>
      <c r="N140" s="50" t="n">
        <f aca="false">N132+N139</f>
        <v>219.628</v>
      </c>
      <c r="O140" s="50" t="n">
        <f aca="false">O132+O139</f>
        <v>55.547</v>
      </c>
      <c r="P140" s="50" t="n">
        <f aca="false">P132+P139</f>
        <v>59.361</v>
      </c>
      <c r="Q140" s="50" t="n">
        <f aca="false">Q132+Q139</f>
        <v>61.306</v>
      </c>
      <c r="R140" s="50" t="n">
        <f aca="false">R132+R139</f>
        <v>62.43</v>
      </c>
      <c r="S140" s="50" t="n">
        <f aca="false">S132+S139</f>
        <v>238.644</v>
      </c>
      <c r="T140" s="50" t="n">
        <f aca="false">T132+T139</f>
        <v>57.527</v>
      </c>
      <c r="U140" s="50" t="n">
        <f aca="false">U132+U139</f>
        <v>67.309</v>
      </c>
      <c r="V140" s="50" t="n">
        <f aca="false">V132+V139</f>
        <v>70.897</v>
      </c>
      <c r="W140" s="50" t="n">
        <f aca="false">W132+W139</f>
        <v>82.057</v>
      </c>
      <c r="X140" s="50" t="n">
        <f aca="false">X132+X139</f>
        <v>277.79</v>
      </c>
      <c r="Y140" s="50" t="n">
        <f aca="false">Y132+Y139</f>
        <v>70.059</v>
      </c>
      <c r="Z140" s="50" t="n">
        <f aca="false">Z132+Z139</f>
        <v>83.456</v>
      </c>
      <c r="AA140" s="50" t="n">
        <f aca="false">AA132+AA139</f>
        <v>86.246</v>
      </c>
      <c r="AB140" s="50" t="n">
        <f aca="false">AB132+AB139</f>
        <v>92.001</v>
      </c>
      <c r="AC140" s="50" t="n">
        <f aca="false">AC132+AC139</f>
        <v>331.762</v>
      </c>
      <c r="AD140" s="50" t="n">
        <f aca="false">AD132+AD139</f>
        <v>80.8190000000001</v>
      </c>
      <c r="AE140" s="50" t="n">
        <f aca="false">AE132+AE139</f>
        <v>92.557</v>
      </c>
      <c r="AF140" s="50" t="n">
        <f aca="false">AF132+AF139</f>
        <v>92.812</v>
      </c>
      <c r="AG140" s="50" t="n">
        <f aca="false">AG132+AG139</f>
        <v>107.485</v>
      </c>
      <c r="AH140" s="50" t="n">
        <f aca="false">AH132+AH139</f>
        <v>373.673</v>
      </c>
      <c r="AI140" s="50" t="n">
        <f aca="false">AI132+AI139</f>
        <v>95.749</v>
      </c>
      <c r="AJ140" s="50" t="n">
        <f aca="false">AJ132+AJ139</f>
        <v>110.38</v>
      </c>
      <c r="AK140" s="50" t="n">
        <f aca="false">AK132+AK139</f>
        <v>115.32</v>
      </c>
      <c r="AL140" s="50" t="n">
        <f aca="false">AL132+AL139</f>
        <v>123.309</v>
      </c>
      <c r="AM140" s="50" t="n">
        <f aca="false">AM132+AM139</f>
        <v>453.378</v>
      </c>
      <c r="AN140" s="50" t="n">
        <f aca="false">AN132+AN139</f>
        <v>119.514</v>
      </c>
      <c r="AO140" s="50" t="n">
        <f aca="false">AO132+AO139</f>
        <v>143.42</v>
      </c>
      <c r="AP140" s="50" t="n">
        <f aca="false">AP132+AP139</f>
        <v>141.45</v>
      </c>
      <c r="AQ140" s="50" t="n">
        <f aca="false">AQ132+AQ139</f>
        <v>141.279</v>
      </c>
      <c r="AR140" s="50" t="n">
        <f aca="false">AR132+AR139</f>
        <v>545.663</v>
      </c>
      <c r="AS140" s="50" t="n">
        <f aca="false">AS132+AS139</f>
        <v>133.176</v>
      </c>
      <c r="AT140" s="50" t="n">
        <f aca="false">AT132+AT139</f>
        <v>130.72</v>
      </c>
      <c r="AU140" s="50" t="n">
        <f aca="false">AU132+AU139</f>
        <v>90.0300000000001</v>
      </c>
      <c r="AV140" s="50" t="n">
        <f aca="false">AV132+AV139</f>
        <v>113.164</v>
      </c>
      <c r="AW140" s="50" t="n">
        <f aca="false">AW132+AW139</f>
        <v>467.09</v>
      </c>
      <c r="AX140" s="50" t="n">
        <f aca="false">AX132+AX139</f>
        <v>104.431</v>
      </c>
      <c r="AY140" s="50" t="n">
        <f aca="false">AY132+AY139</f>
        <v>120.197</v>
      </c>
      <c r="AZ140" s="50" t="n">
        <f aca="false">AZ132+AZ139</f>
        <v>124.543</v>
      </c>
      <c r="BA140" s="50" t="n">
        <f aca="false">BA132+BA139</f>
        <v>139.437</v>
      </c>
      <c r="BB140" s="50" t="n">
        <f aca="false">BB132+BB139</f>
        <v>488.608</v>
      </c>
      <c r="BC140" s="50" t="n">
        <f aca="false">BC132+BC139</f>
        <v>122.156</v>
      </c>
      <c r="BD140" s="50" t="n">
        <f aca="false">BD132+BD139</f>
        <v>144.917</v>
      </c>
      <c r="BE140" s="50" t="n">
        <f aca="false">BE132+BE139</f>
        <v>150.231</v>
      </c>
      <c r="BF140" s="50" t="n">
        <f aca="false">BF132+BF139</f>
        <v>168.807</v>
      </c>
      <c r="BG140" s="50" t="n">
        <f aca="false">BG132+BG139</f>
        <v>586.111</v>
      </c>
      <c r="BH140" s="50" t="n">
        <f aca="false">BH132+BH139</f>
        <v>163.569</v>
      </c>
      <c r="BI140" s="50" t="n">
        <f aca="false">BI132+BI139</f>
        <v>178.606</v>
      </c>
      <c r="BJ140" s="50" t="n">
        <f aca="false">BJ132+BJ139</f>
        <v>182.68</v>
      </c>
      <c r="BK140" s="50" t="n">
        <f aca="false">BK132+BK139</f>
        <v>245.312</v>
      </c>
      <c r="BL140" s="50" t="n">
        <f aca="false">BL132+BL139</f>
        <v>770.167</v>
      </c>
      <c r="BM140" s="50" t="n">
        <f aca="false">BM132+BM139</f>
        <v>225.489</v>
      </c>
      <c r="BN140" s="50" t="n">
        <f aca="false">BN132+BN139</f>
        <v>246.023</v>
      </c>
      <c r="BO140" s="50" t="n">
        <f aca="false">BO132+BO139</f>
        <v>261.849</v>
      </c>
      <c r="BP140" s="50" t="n">
        <f aca="false">BP132+BP139</f>
        <v>266.485</v>
      </c>
      <c r="BQ140" s="50" t="n">
        <f aca="false">BQ132+BQ139</f>
        <v>999.846</v>
      </c>
      <c r="BR140" s="50" t="n">
        <f aca="false">BR132+BR139</f>
        <v>277.237</v>
      </c>
      <c r="BS140" s="50" t="n">
        <f aca="false">BS132+BS139</f>
        <v>301.143</v>
      </c>
      <c r="BT140" s="50" t="n">
        <f aca="false">BT132+BT139</f>
        <v>318.656</v>
      </c>
      <c r="BU140" s="50" t="n">
        <f aca="false">BU132+BU139</f>
        <v>335.391</v>
      </c>
      <c r="BV140" s="50" t="n">
        <f aca="false">BV132+BV139</f>
        <v>1232.427</v>
      </c>
      <c r="BW140" s="50" t="n">
        <f aca="false">BW132+BW139</f>
        <v>314.176</v>
      </c>
      <c r="BX140" s="50" t="n">
        <f aca="false">BX132+BX139</f>
        <v>410.602</v>
      </c>
      <c r="BY140" s="50" t="n">
        <f aca="false">BY132+BY139</f>
        <v>418.696</v>
      </c>
      <c r="BZ140" s="50" t="n">
        <f aca="false">BZ132+BZ139</f>
        <v>423.370267916342</v>
      </c>
      <c r="CA140" s="50" t="n">
        <f aca="false">CA132+CA139</f>
        <v>1566.84426791634</v>
      </c>
      <c r="CB140" s="50" t="n">
        <f aca="false">CB132+CB139</f>
        <v>1768.12610188809</v>
      </c>
      <c r="CC140" s="50" t="n">
        <f aca="false">CC132+CC139</f>
        <v>1969.95928169098</v>
      </c>
      <c r="CD140" s="50" t="n">
        <f aca="false">CD132+CD139</f>
        <v>2143.49050110176</v>
      </c>
      <c r="CE140" s="50" t="n">
        <f aca="false">CE132+CE139</f>
        <v>2331.83764226798</v>
      </c>
      <c r="CF140" s="19" t="s">
        <v>263</v>
      </c>
      <c r="CH140" s="20" t="n">
        <f aca="false">IFERROR((CE140/BV140)^(1/5)-1,"n/m")</f>
        <v>0.136023776031104</v>
      </c>
      <c r="CI140" s="20" t="n">
        <f aca="false">IFERROR((BV140/AW140)^(1/5)-1,"n/m")</f>
        <v>0.214149392663421</v>
      </c>
      <c r="CJ140" s="20" t="n">
        <f aca="false">IFERROR((BV140/X140)^(1/10)-1,"n/m")</f>
        <v>0.160658509021957</v>
      </c>
      <c r="CK140" s="20" t="n">
        <f aca="false">IFERROR((BV140/C140)^(1/19)-1,"n/m")</f>
        <v>0.156290397575933</v>
      </c>
    </row>
    <row r="141" customFormat="false" ht="15" hidden="false" customHeight="true" outlineLevel="0" collapsed="false">
      <c r="B141" s="29" t="s">
        <v>264</v>
      </c>
      <c r="C141" s="30" t="n">
        <f aca="false">IF(AND(ISNUMBER(C140),ISNUMBER(C98)),IFERROR(C140/C98,""),"")</f>
        <v>0.199064229072643</v>
      </c>
      <c r="D141" s="30" t="n">
        <f aca="false">IF(AND(ISNUMBER(D140),ISNUMBER(D98)),IFERROR(D140/D98,""),"")</f>
        <v>0.193485639583875</v>
      </c>
      <c r="E141" s="30" t="n">
        <f aca="false">IF(AND(ISNUMBER(E140),ISNUMBER(E98)),IFERROR(E140/E98,""),"")</f>
        <v>0.209562339979428</v>
      </c>
      <c r="F141" s="30" t="n">
        <f aca="false">IF(AND(ISNUMBER(F140),ISNUMBER(F98)),IFERROR(F140/F98,""),"")</f>
        <v>0.192695097121286</v>
      </c>
      <c r="G141" s="30" t="n">
        <f aca="false">IF(AND(ISNUMBER(G140),ISNUMBER(G98)),IFERROR(G140/G98,""),"")</f>
        <v>0.208417879485268</v>
      </c>
      <c r="H141" s="30" t="n">
        <f aca="false">IF(AND(ISNUMBER(H140),ISNUMBER(H98)),IFERROR(H140/H98,""),"")</f>
        <v>0.210324085392559</v>
      </c>
      <c r="I141" s="30" t="n">
        <f aca="false">IF(AND(ISNUMBER(I140),ISNUMBER(I98)),IFERROR(I140/I98,""),"")</f>
        <v>0.216618543328278</v>
      </c>
      <c r="J141" s="30" t="n">
        <f aca="false">IF(AND(ISNUMBER(J140),ISNUMBER(J98)),IFERROR(J140/J98,""),"")</f>
        <v>0.199570418956996</v>
      </c>
      <c r="K141" s="30" t="n">
        <f aca="false">IF(AND(ISNUMBER(K140),ISNUMBER(K98)),IFERROR(K140/K98,""),"")</f>
        <v>0.21905026334831</v>
      </c>
      <c r="L141" s="30" t="n">
        <f aca="false">IF(AND(ISNUMBER(L140),ISNUMBER(L98)),IFERROR(L140/L98,""),"")</f>
        <v>0.217000520340055</v>
      </c>
      <c r="M141" s="30" t="n">
        <f aca="false">IF(AND(ISNUMBER(M140),ISNUMBER(M98)),IFERROR(M140/M98,""),"")</f>
        <v>0.23096379589877</v>
      </c>
      <c r="N141" s="30" t="n">
        <f aca="false">IF(AND(ISNUMBER(N140),ISNUMBER(N98)),IFERROR(N140/N98,""),"")</f>
        <v>0.217721413581269</v>
      </c>
      <c r="O141" s="30" t="n">
        <f aca="false">IF(AND(ISNUMBER(O140),ISNUMBER(O98)),IFERROR(O140/O98,""),"")</f>
        <v>0.208176864323567</v>
      </c>
      <c r="P141" s="30" t="n">
        <f aca="false">IF(AND(ISNUMBER(P140),ISNUMBER(P98)),IFERROR(P140/P98,""),"")</f>
        <v>0.21032696505003</v>
      </c>
      <c r="Q141" s="30" t="n">
        <f aca="false">IF(AND(ISNUMBER(Q140),ISNUMBER(Q98)),IFERROR(Q140/Q98,""),"")</f>
        <v>0.210651822836134</v>
      </c>
      <c r="R141" s="30" t="n">
        <f aca="false">IF(AND(ISNUMBER(R140),ISNUMBER(R98)),IFERROR(R140/R98,""),"")</f>
        <v>0.21363821465114</v>
      </c>
      <c r="S141" s="30" t="n">
        <f aca="false">IF(AND(ISNUMBER(S140),ISNUMBER(S98)),IFERROR(S140/S98,""),"")</f>
        <v>0.210758351724924</v>
      </c>
      <c r="T141" s="30" t="n">
        <f aca="false">IF(AND(ISNUMBER(T140),ISNUMBER(T98)),IFERROR(T140/T98,""),"")</f>
        <v>0.214504912653579</v>
      </c>
      <c r="U141" s="30" t="n">
        <f aca="false">IF(AND(ISNUMBER(U140),ISNUMBER(U98)),IFERROR(U140/U98,""),"")</f>
        <v>0.230968255547816</v>
      </c>
      <c r="V141" s="30" t="n">
        <f aca="false">IF(AND(ISNUMBER(V140),ISNUMBER(V98)),IFERROR(V140/V98,""),"")</f>
        <v>0.236032226920132</v>
      </c>
      <c r="W141" s="30" t="n">
        <f aca="false">IF(AND(ISNUMBER(W140),ISNUMBER(W98)),IFERROR(W140/W98,""),"")</f>
        <v>0.249662277285561</v>
      </c>
      <c r="X141" s="30" t="n">
        <f aca="false">IF(AND(ISNUMBER(X140),ISNUMBER(X98)),IFERROR(X140/X98,""),"")</f>
        <v>0.233702492243288</v>
      </c>
      <c r="Y141" s="30" t="n">
        <f aca="false">IF(AND(ISNUMBER(Y140),ISNUMBER(Y98)),IFERROR(Y140/Y98,""),"")</f>
        <v>0.228781263572448</v>
      </c>
      <c r="Z141" s="30" t="n">
        <f aca="false">IF(AND(ISNUMBER(Z140),ISNUMBER(Z98)),IFERROR(Z140/Z98,""),"")</f>
        <v>0.238005064908398</v>
      </c>
      <c r="AA141" s="30" t="n">
        <f aca="false">IF(AND(ISNUMBER(AA140),ISNUMBER(AA98)),IFERROR(AA140/AA98,""),"")</f>
        <v>0.242206895002303</v>
      </c>
      <c r="AB141" s="30" t="n">
        <f aca="false">IF(AND(ISNUMBER(AB140),ISNUMBER(AB98)),IFERROR(AB140/AB98,""),"")</f>
        <v>0.253237691268074</v>
      </c>
      <c r="AC141" s="30" t="n">
        <f aca="false">IF(AND(ISNUMBER(AC140),ISNUMBER(AC98)),IFERROR(AC140/AC98,""),"")</f>
        <v>0.241060905731338</v>
      </c>
      <c r="AD141" s="30" t="n">
        <f aca="false">IF(AND(ISNUMBER(AD140),ISNUMBER(AD98)),IFERROR(AD140/AD98,""),"")</f>
        <v>0.235327517528943</v>
      </c>
      <c r="AE141" s="30" t="n">
        <f aca="false">IF(AND(ISNUMBER(AE140),ISNUMBER(AE98)),IFERROR(AE140/AE98,""),"")</f>
        <v>0.251065353431509</v>
      </c>
      <c r="AF141" s="30" t="n">
        <f aca="false">IF(AND(ISNUMBER(AF140),ISNUMBER(AF98)),IFERROR(AF140/AF98,""),"")</f>
        <v>0.237067688378033</v>
      </c>
      <c r="AG141" s="30" t="n">
        <f aca="false">IF(AND(ISNUMBER(AG140),ISNUMBER(AG98)),IFERROR(AG140/AG98,""),"")</f>
        <v>0.255173019581031</v>
      </c>
      <c r="AH141" s="30" t="n">
        <f aca="false">IF(AND(ISNUMBER(AH140),ISNUMBER(AH98)),IFERROR(AH140/AH98,""),"")</f>
        <v>0.245061525577235</v>
      </c>
      <c r="AI141" s="30" t="n">
        <f aca="false">IF(AND(ISNUMBER(AI140),ISNUMBER(AI98)),IFERROR(AI140/AI98,""),"")</f>
        <v>0.236762196780495</v>
      </c>
      <c r="AJ141" s="30" t="n">
        <f aca="false">IF(AND(ISNUMBER(AJ140),ISNUMBER(AJ98)),IFERROR(AJ140/AJ98,""),"")</f>
        <v>0.256338800098467</v>
      </c>
      <c r="AK141" s="30" t="n">
        <f aca="false">IF(AND(ISNUMBER(AK140),ISNUMBER(AK98)),IFERROR(AK140/AK98,""),"")</f>
        <v>0.247560779262599</v>
      </c>
      <c r="AL141" s="30" t="n">
        <f aca="false">IF(AND(ISNUMBER(AL140),ISNUMBER(AL98)),IFERROR(AL140/AL98,""),"")</f>
        <v>0.258572315280026</v>
      </c>
      <c r="AM141" s="30" t="n">
        <f aca="false">IF(AND(ISNUMBER(AM140),ISNUMBER(AM98)),IFERROR(AM140/AM98,""),"")</f>
        <v>0.255033270125065</v>
      </c>
      <c r="AN141" s="30" t="n">
        <f aca="false">IF(AND(ISNUMBER(AN140),ISNUMBER(AN98)),IFERROR(AN140/AN98,""),"")</f>
        <v>0.256387483749727</v>
      </c>
      <c r="AO141" s="30" t="n">
        <f aca="false">IF(AND(ISNUMBER(AO140),ISNUMBER(AO98)),IFERROR(AO140/AO98,""),"")</f>
        <v>0.278135472260146</v>
      </c>
      <c r="AP141" s="30" t="n">
        <f aca="false">IF(AND(ISNUMBER(AP140),ISNUMBER(AP98)),IFERROR(AP140/AP98,""),"")</f>
        <v>0.265721628181333</v>
      </c>
      <c r="AQ141" s="30" t="n">
        <f aca="false">IF(AND(ISNUMBER(AQ140),ISNUMBER(AQ98)),IFERROR(AQ140/AQ98,""),"")</f>
        <v>0.260889075192649</v>
      </c>
      <c r="AR141" s="30" t="n">
        <f aca="false">IF(AND(ISNUMBER(AR140),ISNUMBER(AR98)),IFERROR(AR140/AR98,""),"")</f>
        <v>0.265445866921704</v>
      </c>
      <c r="AS141" s="30" t="n">
        <f aca="false">IF(AND(ISNUMBER(AS140),ISNUMBER(AS98)),IFERROR(AS140/AS98,""),"")</f>
        <v>0.26305071354501</v>
      </c>
      <c r="AT141" s="30" t="n">
        <f aca="false">IF(AND(ISNUMBER(AT140),ISNUMBER(AT98)),IFERROR(AT140/AT98,""),"")</f>
        <v>0.27922912937417</v>
      </c>
      <c r="AU141" s="30" t="n">
        <f aca="false">IF(AND(ISNUMBER(AU140),ISNUMBER(AU98)),IFERROR(AU140/AU98,""),"")</f>
        <v>0.232990864625657</v>
      </c>
      <c r="AV141" s="30" t="n">
        <f aca="false">IF(AND(ISNUMBER(AV140),ISNUMBER(AV98)),IFERROR(AV140/AV98,""),"")</f>
        <v>0.26553224239637</v>
      </c>
      <c r="AW141" s="30" t="n">
        <f aca="false">IF(AND(ISNUMBER(AW140),ISNUMBER(AW98)),IFERROR(AW140/AW98,""),"")</f>
        <v>0.261380888400674</v>
      </c>
      <c r="AX141" s="30" t="n">
        <f aca="false">IF(AND(ISNUMBER(AX140),ISNUMBER(AX98)),IFERROR(AX140/AX98,""),"")</f>
        <v>0.249893515704639</v>
      </c>
      <c r="AY141" s="30" t="n">
        <f aca="false">IF(AND(ISNUMBER(AY140),ISNUMBER(AY98)),IFERROR(AY140/AY98,""),"")</f>
        <v>0.257573647115296</v>
      </c>
      <c r="AZ141" s="30" t="n">
        <f aca="false">IF(AND(ISNUMBER(AZ140),ISNUMBER(AZ98)),IFERROR(AZ140/AZ98,""),"")</f>
        <v>0.264026185746661</v>
      </c>
      <c r="BA141" s="30" t="n">
        <f aca="false">IF(AND(ISNUMBER(BA140),ISNUMBER(BA98)),IFERROR(BA140/BA98,""),"")</f>
        <v>0.273716093926057</v>
      </c>
      <c r="BB141" s="30" t="n">
        <f aca="false">IF(AND(ISNUMBER(BB140),ISNUMBER(BB98)),IFERROR(BB140/BB98,""),"")</f>
        <v>0.261892433973207</v>
      </c>
      <c r="BC141" s="30" t="n">
        <f aca="false">IF(AND(ISNUMBER(BC140),ISNUMBER(BC98)),IFERROR(BC140/BC98,""),"")</f>
        <v>0.249123572682796</v>
      </c>
      <c r="BD141" s="30" t="n">
        <f aca="false">IF(AND(ISNUMBER(BD140),ISNUMBER(BD98)),IFERROR(BD140/BD98,""),"")</f>
        <v>0.268956019992094</v>
      </c>
      <c r="BE141" s="30" t="n">
        <f aca="false">IF(AND(ISNUMBER(BE140),ISNUMBER(BE98)),IFERROR(BE140/BE98,""),"")</f>
        <v>0.263781587560225</v>
      </c>
      <c r="BF141" s="30" t="n">
        <f aca="false">IF(AND(ISNUMBER(BF140),ISNUMBER(BF98)),IFERROR(BF140/BF98,""),"")</f>
        <v>0.276897109432155</v>
      </c>
      <c r="BG141" s="30" t="n">
        <f aca="false">IF(AND(ISNUMBER(BG140),ISNUMBER(BG98)),IFERROR(BG140/BG98,""),"")</f>
        <v>0.265410116821732</v>
      </c>
      <c r="BH141" s="30" t="n">
        <f aca="false">IF(AND(ISNUMBER(BH140),ISNUMBER(BH98)),IFERROR(BH140/BH98,""),"")</f>
        <v>0.263432192812221</v>
      </c>
      <c r="BI141" s="30" t="n">
        <f aca="false">IF(AND(ISNUMBER(BI140),ISNUMBER(BI98)),IFERROR(BI140/BI98,""),"")</f>
        <v>0.259661753224946</v>
      </c>
      <c r="BJ141" s="30" t="n">
        <f aca="false">IF(AND(ISNUMBER(BJ140),ISNUMBER(BJ98)),IFERROR(BJ140/BJ98,""),"")</f>
        <v>0.252703685976799</v>
      </c>
      <c r="BK141" s="30" t="n">
        <f aca="false">IF(AND(ISNUMBER(BK140),ISNUMBER(BK98)),IFERROR(BK140/BK98,""),"")</f>
        <v>0.261960367217792</v>
      </c>
      <c r="BL141" s="30" t="n">
        <f aca="false">IF(AND(ISNUMBER(BL140),ISNUMBER(BL98)),IFERROR(BL140/BL98,""),"")</f>
        <v>0.259481049356408</v>
      </c>
      <c r="BM141" s="30" t="n">
        <f aca="false">IF(AND(ISNUMBER(BM140),ISNUMBER(BM98)),IFERROR(BM140/BM98,""),"")</f>
        <v>0.251559914900548</v>
      </c>
      <c r="BN141" s="30" t="n">
        <f aca="false">IF(AND(ISNUMBER(BN140),ISNUMBER(BN98)),IFERROR(BN140/BN98,""),"")</f>
        <v>0.257509197766369</v>
      </c>
      <c r="BO141" s="30" t="n">
        <f aca="false">IF(AND(ISNUMBER(BO140),ISNUMBER(BO98)),IFERROR(BO140/BO98,""),"")</f>
        <v>0.263895243719803</v>
      </c>
      <c r="BP141" s="30" t="n">
        <f aca="false">IF(AND(ISNUMBER(BP140),ISNUMBER(BP98)),IFERROR(BP140/BP98,""),"")</f>
        <v>0.26289257299009</v>
      </c>
      <c r="BQ141" s="30" t="n">
        <f aca="false">IF(AND(ISNUMBER(BQ140),ISNUMBER(BQ98)),IFERROR(BQ140/BQ98,""),"")</f>
        <v>0.259183978718755</v>
      </c>
      <c r="BR141" s="30" t="n">
        <f aca="false">IF(AND(ISNUMBER(BR140),ISNUMBER(BR98)),IFERROR(BR140/BR98,""),"")</f>
        <v>0.269104134836958</v>
      </c>
      <c r="BS141" s="30" t="n">
        <f aca="false">IF(AND(ISNUMBER(BS140),ISNUMBER(BS98)),IFERROR(BS140/BS98,""),"")</f>
        <v>0.274309996174236</v>
      </c>
      <c r="BT141" s="30" t="n">
        <f aca="false">IF(AND(ISNUMBER(BT140),ISNUMBER(BT98)),IFERROR(BT140/BT98,""),"")</f>
        <v>0.277673840244477</v>
      </c>
      <c r="BU141" s="30" t="n">
        <f aca="false">IF(AND(ISNUMBER(BU140),ISNUMBER(BU98)),IFERROR(BU140/BU98,""),"")</f>
        <v>0.277317636436249</v>
      </c>
      <c r="BV141" s="30" t="n">
        <f aca="false">IF(AND(ISNUMBER(BV140),ISNUMBER(BV98)),IFERROR(BV140/BV98,""),"")</f>
        <v>0.274785932980814</v>
      </c>
      <c r="BW141" s="30" t="n">
        <f aca="false">IF(AND(ISNUMBER(BW140),ISNUMBER(BW98)),IFERROR(BW140/BW98,""),"")</f>
        <v>0.266571184694828</v>
      </c>
      <c r="BX141" s="30" t="n">
        <f aca="false">IF(AND(ISNUMBER(BX140),ISNUMBER(BX98)),IFERROR(BX140/BX98,""),"")</f>
        <v>0.298464868762598</v>
      </c>
      <c r="BY141" s="30" t="n">
        <f aca="false">IF(AND(ISNUMBER(BY140),ISNUMBER(BY98)),IFERROR(BY140/BY98,""),"")</f>
        <v>0.29630657089275</v>
      </c>
      <c r="BZ141" s="23" t="n">
        <f aca="false">IF(AND(ISNUMBER(BZ140),ISNUMBER(BZ98)),IFERROR(BZ140/BZ98,""),"")</f>
        <v>0.286788379173936</v>
      </c>
      <c r="CA141" s="23" t="n">
        <f aca="false">IF(AND(ISNUMBER(CA140),ISNUMBER(CA98)),IFERROR(CA140/CA98,""),"")</f>
        <v>0.287832828981077</v>
      </c>
      <c r="CB141" s="23" t="n">
        <f aca="false">IF(AND(ISNUMBER(CB140),ISNUMBER(CB98)),IFERROR(CB140/CB98,""),"")</f>
        <v>0.285345452679373</v>
      </c>
      <c r="CC141" s="23" t="n">
        <f aca="false">IF(AND(ISNUMBER(CC140),ISNUMBER(CC98)),IFERROR(CC140/CC98,""),"")</f>
        <v>0.286430580185792</v>
      </c>
      <c r="CD141" s="23" t="n">
        <f aca="false">IF(AND(ISNUMBER(CD140),ISNUMBER(CD98)),IFERROR(CD140/CD98,""),"")</f>
        <v>0.283247281970026</v>
      </c>
      <c r="CE141" s="23" t="n">
        <f aca="false">IF(AND(ISNUMBER(CE140),ISNUMBER(CE98)),IFERROR(CE140/CE98,""),"")</f>
        <v>0.280320848592855</v>
      </c>
      <c r="CH141" s="33" t="n">
        <f aca="false">IFERROR(AVERAGE(CA141,CB141,CC141,CD141,CE141),"n/m")</f>
        <v>0.284635398481825</v>
      </c>
      <c r="CI141" s="33" t="n">
        <f aca="false">IFERROR(AVERAGE(BB141,BG141,BL141,BQ141,BV141),"n/m")</f>
        <v>0.264150702370183</v>
      </c>
      <c r="CJ141" s="33" t="n">
        <f aca="false">IFERROR(AVERAGE(AC141,AH141,AM141,AR141,AW141,BB141,BG141,BL141,BQ141,BV141),"n/m")</f>
        <v>0.258873596860693</v>
      </c>
      <c r="CK141" s="33" t="n">
        <f aca="false">IFERROR(AVERAGE(C141,D141,E141,F141,G141,H141,I141,N141,S141,X141,AC141,AH141,AM141,AR141,AW141,BB141,BG141,BL141,BQ141,BV141),"n/m")</f>
        <v>0.234054302005987</v>
      </c>
    </row>
    <row r="142" customFormat="false" ht="15" hidden="false" customHeight="true" outlineLevel="0" collapsed="false">
      <c r="B142" s="60" t="s">
        <v>265</v>
      </c>
      <c r="AH142" s="61" t="s">
        <v>266</v>
      </c>
      <c r="AM142" s="61" t="s">
        <v>267</v>
      </c>
      <c r="CF142" s="19" t="s">
        <v>268</v>
      </c>
    </row>
    <row r="143" customFormat="false" ht="15" hidden="false" customHeight="true" outlineLevel="0" collapsed="false">
      <c r="B143" s="29" t="s">
        <v>269</v>
      </c>
    </row>
    <row r="144" customFormat="false" ht="15" hidden="false" customHeight="true" outlineLevel="0" collapsed="false">
      <c r="B144" s="29" t="s">
        <v>270</v>
      </c>
      <c r="C144" s="36" t="n">
        <f aca="false">-C114</f>
        <v>-10.565</v>
      </c>
      <c r="D144" s="36" t="n">
        <f aca="false">-D114</f>
        <v>-12.167</v>
      </c>
      <c r="E144" s="36" t="n">
        <f aca="false">-E114</f>
        <v>-15.052</v>
      </c>
      <c r="F144" s="36" t="n">
        <f aca="false">-F114</f>
        <v>-14.967</v>
      </c>
      <c r="G144" s="36" t="n">
        <f aca="false">-G114</f>
        <v>-17.597</v>
      </c>
      <c r="H144" s="36" t="n">
        <f aca="false">-H114</f>
        <v>-18.543</v>
      </c>
      <c r="I144" s="36" t="n">
        <f aca="false">-I114</f>
        <v>-30.656</v>
      </c>
      <c r="J144" s="36" t="n">
        <f aca="false">-J114</f>
        <v>-8.14</v>
      </c>
      <c r="K144" s="36" t="n">
        <f aca="false">-K114</f>
        <v>-8.265</v>
      </c>
      <c r="L144" s="36" t="n">
        <f aca="false">-L114</f>
        <v>-9.495</v>
      </c>
      <c r="M144" s="36" t="n">
        <f aca="false">-M114</f>
        <v>-10.89</v>
      </c>
      <c r="N144" s="36" t="n">
        <f aca="false">-N114</f>
        <v>-36.79</v>
      </c>
      <c r="O144" s="36" t="n">
        <f aca="false">-O114</f>
        <v>-12.05</v>
      </c>
      <c r="P144" s="36" t="n">
        <f aca="false">-P114</f>
        <v>-12.089</v>
      </c>
      <c r="Q144" s="36" t="n">
        <f aca="false">-Q114</f>
        <v>-12.131</v>
      </c>
      <c r="R144" s="36" t="n">
        <f aca="false">-R114</f>
        <v>-11.487</v>
      </c>
      <c r="S144" s="36" t="n">
        <f aca="false">-S114</f>
        <v>-47.757</v>
      </c>
      <c r="T144" s="36" t="n">
        <f aca="false">-T114</f>
        <v>-10.904</v>
      </c>
      <c r="U144" s="36" t="n">
        <f aca="false">-U114</f>
        <v>-12.237</v>
      </c>
      <c r="V144" s="36" t="n">
        <f aca="false">-V114</f>
        <v>-11.925</v>
      </c>
      <c r="W144" s="36" t="n">
        <f aca="false">-W114</f>
        <v>-12.841</v>
      </c>
      <c r="X144" s="36" t="n">
        <f aca="false">-X114</f>
        <v>-47.907</v>
      </c>
      <c r="Y144" s="36" t="n">
        <f aca="false">-Y114</f>
        <v>-13.921</v>
      </c>
      <c r="Z144" s="36" t="n">
        <f aca="false">-Z114</f>
        <v>-15.262</v>
      </c>
      <c r="AA144" s="36" t="n">
        <f aca="false">-AA114</f>
        <v>-15.42</v>
      </c>
      <c r="AB144" s="36" t="n">
        <f aca="false">-AB114</f>
        <v>-15.674</v>
      </c>
      <c r="AC144" s="36" t="n">
        <f aca="false">-AC114</f>
        <v>-60.277</v>
      </c>
      <c r="AD144" s="36" t="n">
        <f aca="false">-AD114</f>
        <v>-15.248</v>
      </c>
      <c r="AE144" s="36" t="n">
        <f aca="false">-AE114</f>
        <v>-15.253</v>
      </c>
      <c r="AF144" s="36" t="n">
        <f aca="false">-AF114</f>
        <v>-16.411</v>
      </c>
      <c r="AG144" s="36" t="n">
        <f aca="false">-AG114</f>
        <v>-17.911</v>
      </c>
      <c r="AH144" s="36" t="n">
        <f aca="false">-AH114</f>
        <v>-64.823</v>
      </c>
      <c r="AI144" s="36" t="n">
        <f aca="false">-AI114</f>
        <v>-19.024</v>
      </c>
      <c r="AJ144" s="36" t="n">
        <f aca="false">-AJ114</f>
        <v>-19.065</v>
      </c>
      <c r="AK144" s="36" t="n">
        <f aca="false">-AK114</f>
        <v>-19.434</v>
      </c>
      <c r="AL144" s="36" t="n">
        <f aca="false">-AL114</f>
        <v>-19.668</v>
      </c>
      <c r="AM144" s="36" t="n">
        <f aca="false">-AM114</f>
        <v>-77.191</v>
      </c>
      <c r="AN144" s="36" t="n">
        <f aca="false">-AN114</f>
        <v>-20.037</v>
      </c>
      <c r="AO144" s="36" t="n">
        <f aca="false">-AO114</f>
        <v>-20.511</v>
      </c>
      <c r="AP144" s="36" t="n">
        <f aca="false">-AP114</f>
        <v>-21.138</v>
      </c>
      <c r="AQ144" s="36" t="n">
        <f aca="false">-AQ114</f>
        <v>-21.811</v>
      </c>
      <c r="AR144" s="36" t="n">
        <f aca="false">-AR114</f>
        <v>-83.497</v>
      </c>
      <c r="AS144" s="36" t="n">
        <f aca="false">-AS114</f>
        <v>-21.583</v>
      </c>
      <c r="AT144" s="36" t="n">
        <f aca="false">-AT114</f>
        <v>-21.693</v>
      </c>
      <c r="AU144" s="36" t="n">
        <f aca="false">-AU114</f>
        <v>-21.942</v>
      </c>
      <c r="AV144" s="36" t="n">
        <f aca="false">-AV114</f>
        <v>-23.343</v>
      </c>
      <c r="AW144" s="36" t="n">
        <f aca="false">-AW114</f>
        <v>-88.561</v>
      </c>
      <c r="AX144" s="36" t="n">
        <f aca="false">-AX114</f>
        <v>-23.003</v>
      </c>
      <c r="AY144" s="36" t="n">
        <f aca="false">-AY114</f>
        <v>-22.916</v>
      </c>
      <c r="AZ144" s="36" t="n">
        <f aca="false">-AZ114</f>
        <v>-22.897</v>
      </c>
      <c r="BA144" s="36" t="n">
        <f aca="false">-BA114</f>
        <v>-24.203</v>
      </c>
      <c r="BB144" s="36" t="n">
        <f aca="false">-BB114</f>
        <v>-93.019</v>
      </c>
      <c r="BC144" s="36" t="n">
        <f aca="false">-BC114</f>
        <v>-23.222</v>
      </c>
      <c r="BD144" s="36" t="n">
        <f aca="false">-BD114</f>
        <v>-23.485</v>
      </c>
      <c r="BE144" s="36" t="n">
        <f aca="false">-BE114</f>
        <v>-23.819</v>
      </c>
      <c r="BF144" s="36" t="n">
        <f aca="false">-BF114</f>
        <v>-25.807</v>
      </c>
      <c r="BG144" s="36" t="n">
        <f aca="false">-BG114</f>
        <v>-96.333</v>
      </c>
      <c r="BH144" s="36" t="n">
        <f aca="false">-BH114</f>
        <v>-27.06</v>
      </c>
      <c r="BI144" s="36" t="n">
        <f aca="false">-BI114</f>
        <v>-29.724</v>
      </c>
      <c r="BJ144" s="36" t="n">
        <f aca="false">-BJ114</f>
        <v>-29.531</v>
      </c>
      <c r="BK144" s="36" t="n">
        <f aca="false">-BK114</f>
        <v>-43.728</v>
      </c>
      <c r="BL144" s="36" t="n">
        <f aca="false">-BL114</f>
        <v>-130.043</v>
      </c>
      <c r="BM144" s="36" t="n">
        <f aca="false">-BM114</f>
        <v>-43.505</v>
      </c>
      <c r="BN144" s="36" t="n">
        <f aca="false">-BN114</f>
        <v>-42.831</v>
      </c>
      <c r="BO144" s="36" t="n">
        <f aca="false">-BO114</f>
        <v>-44.31</v>
      </c>
      <c r="BP144" s="36" t="n">
        <f aca="false">-BP114</f>
        <v>-44.685</v>
      </c>
      <c r="BQ144" s="36" t="n">
        <f aca="false">-BQ114</f>
        <v>-175.331</v>
      </c>
      <c r="BR144" s="36" t="n">
        <f aca="false">-BR114</f>
        <v>-46.225</v>
      </c>
      <c r="BS144" s="36" t="n">
        <f aca="false">-BS114</f>
        <v>-48.877</v>
      </c>
      <c r="BT144" s="36" t="n">
        <f aca="false">-BT114</f>
        <v>-49.767</v>
      </c>
      <c r="BU144" s="36" t="n">
        <f aca="false">-BU114</f>
        <v>-51.207</v>
      </c>
      <c r="BV144" s="36" t="n">
        <f aca="false">-BV114</f>
        <v>-196.076</v>
      </c>
      <c r="BW144" s="36" t="n">
        <f aca="false">-BW114</f>
        <v>-51.008</v>
      </c>
      <c r="BX144" s="36" t="n">
        <f aca="false">-BX114</f>
        <v>-56.634</v>
      </c>
      <c r="BY144" s="36" t="n">
        <f aca="false">-BY114</f>
        <v>-58.743</v>
      </c>
      <c r="BZ144" s="42" t="n">
        <f aca="false">-BZ114</f>
        <v>-60.8598254204268</v>
      </c>
      <c r="CA144" s="42" t="n">
        <f aca="false">-CA114</f>
        <v>-227.244825420427</v>
      </c>
      <c r="CB144" s="42" t="n">
        <f aca="false">-CB114</f>
        <v>-251.957285260466</v>
      </c>
      <c r="CC144" s="42" t="n">
        <f aca="false">-CC114</f>
        <v>-267.583381128922</v>
      </c>
      <c r="CD144" s="42" t="n">
        <f aca="false">-CD114</f>
        <v>-285.483347288422</v>
      </c>
      <c r="CE144" s="42" t="n">
        <f aca="false">-CE114</f>
        <v>-305.073739495318</v>
      </c>
    </row>
    <row r="145" customFormat="false" ht="15" hidden="false" customHeight="true" outlineLevel="0" collapsed="false">
      <c r="B145" s="16" t="s">
        <v>271</v>
      </c>
      <c r="C145" s="53" t="n">
        <f aca="false">C140+C144</f>
        <v>67.506</v>
      </c>
      <c r="D145" s="53" t="n">
        <f aca="false">D140+D144</f>
        <v>86.109</v>
      </c>
      <c r="E145" s="53" t="n">
        <f aca="false">E140+E144</f>
        <v>106.986</v>
      </c>
      <c r="F145" s="53" t="n">
        <f aca="false">F140+F144</f>
        <v>88.76</v>
      </c>
      <c r="G145" s="53" t="n">
        <f aca="false">G140+G144</f>
        <v>111.001</v>
      </c>
      <c r="H145" s="53" t="n">
        <f aca="false">H140+H144</f>
        <v>142.332</v>
      </c>
      <c r="I145" s="53" t="n">
        <f aca="false">I140+I144</f>
        <v>163.726</v>
      </c>
      <c r="J145" s="53" t="n">
        <f aca="false">J140+J144</f>
        <v>35.065</v>
      </c>
      <c r="K145" s="53" t="n">
        <f aca="false">K140+K144</f>
        <v>43.805</v>
      </c>
      <c r="L145" s="53" t="n">
        <f aca="false">L140+L144</f>
        <v>48.473</v>
      </c>
      <c r="M145" s="53" t="n">
        <f aca="false">M140+M144</f>
        <v>55.495</v>
      </c>
      <c r="N145" s="53" t="n">
        <f aca="false">N140+N144</f>
        <v>182.838</v>
      </c>
      <c r="O145" s="53" t="n">
        <f aca="false">O140+O144</f>
        <v>43.497</v>
      </c>
      <c r="P145" s="53" t="n">
        <f aca="false">P140+P144</f>
        <v>47.272</v>
      </c>
      <c r="Q145" s="53" t="n">
        <f aca="false">Q140+Q144</f>
        <v>49.175</v>
      </c>
      <c r="R145" s="53" t="n">
        <f aca="false">R140+R144</f>
        <v>50.943</v>
      </c>
      <c r="S145" s="53" t="n">
        <f aca="false">S140+S144</f>
        <v>190.887</v>
      </c>
      <c r="T145" s="53" t="n">
        <f aca="false">T140+T144</f>
        <v>46.623</v>
      </c>
      <c r="U145" s="53" t="n">
        <f aca="false">U140+U144</f>
        <v>55.072</v>
      </c>
      <c r="V145" s="53" t="n">
        <f aca="false">V140+V144</f>
        <v>58.972</v>
      </c>
      <c r="W145" s="53" t="n">
        <f aca="false">W140+W144</f>
        <v>69.216</v>
      </c>
      <c r="X145" s="53" t="n">
        <f aca="false">X140+X144</f>
        <v>229.883</v>
      </c>
      <c r="Y145" s="53" t="n">
        <f aca="false">Y140+Y144</f>
        <v>56.138</v>
      </c>
      <c r="Z145" s="53" t="n">
        <f aca="false">Z140+Z144</f>
        <v>68.194</v>
      </c>
      <c r="AA145" s="53" t="n">
        <f aca="false">AA140+AA144</f>
        <v>70.826</v>
      </c>
      <c r="AB145" s="53" t="n">
        <f aca="false">AB140+AB144</f>
        <v>76.327</v>
      </c>
      <c r="AC145" s="53" t="n">
        <f aca="false">AC140+AC144</f>
        <v>271.485</v>
      </c>
      <c r="AD145" s="53" t="n">
        <f aca="false">AD140+AD144</f>
        <v>65.571</v>
      </c>
      <c r="AE145" s="53" t="n">
        <f aca="false">AE140+AE144</f>
        <v>77.304</v>
      </c>
      <c r="AF145" s="53" t="n">
        <f aca="false">AF140+AF144</f>
        <v>76.401</v>
      </c>
      <c r="AG145" s="53" t="n">
        <f aca="false">AG140+AG144</f>
        <v>89.574</v>
      </c>
      <c r="AH145" s="53" t="n">
        <f aca="false">AH140+AH144</f>
        <v>308.85</v>
      </c>
      <c r="AI145" s="53" t="n">
        <f aca="false">AI140+AI144</f>
        <v>76.725</v>
      </c>
      <c r="AJ145" s="53" t="n">
        <f aca="false">AJ140+AJ144</f>
        <v>91.315</v>
      </c>
      <c r="AK145" s="53" t="n">
        <f aca="false">AK140+AK144</f>
        <v>95.886</v>
      </c>
      <c r="AL145" s="53" t="n">
        <f aca="false">AL140+AL144</f>
        <v>103.641</v>
      </c>
      <c r="AM145" s="53" t="n">
        <f aca="false">AM140+AM144</f>
        <v>376.187</v>
      </c>
      <c r="AN145" s="53" t="n">
        <f aca="false">AN140+AN144</f>
        <v>99.477</v>
      </c>
      <c r="AO145" s="53" t="n">
        <f aca="false">AO140+AO144</f>
        <v>122.909</v>
      </c>
      <c r="AP145" s="53" t="n">
        <f aca="false">AP140+AP144</f>
        <v>120.312</v>
      </c>
      <c r="AQ145" s="53" t="n">
        <f aca="false">AQ140+AQ144</f>
        <v>119.468</v>
      </c>
      <c r="AR145" s="53" t="n">
        <f aca="false">AR140+AR144</f>
        <v>462.166</v>
      </c>
      <c r="AS145" s="53" t="n">
        <f aca="false">AS140+AS144</f>
        <v>111.593</v>
      </c>
      <c r="AT145" s="53" t="n">
        <f aca="false">AT140+AT144</f>
        <v>109.027</v>
      </c>
      <c r="AU145" s="53" t="n">
        <f aca="false">AU140+AU144</f>
        <v>68.0880000000001</v>
      </c>
      <c r="AV145" s="53" t="n">
        <f aca="false">AV140+AV144</f>
        <v>89.821</v>
      </c>
      <c r="AW145" s="53" t="n">
        <f aca="false">AW140+AW144</f>
        <v>378.529</v>
      </c>
      <c r="AX145" s="53" t="n">
        <f aca="false">AX140+AX144</f>
        <v>81.428</v>
      </c>
      <c r="AY145" s="53" t="n">
        <f aca="false">AY140+AY144</f>
        <v>97.281</v>
      </c>
      <c r="AZ145" s="53" t="n">
        <f aca="false">AZ140+AZ144</f>
        <v>101.646</v>
      </c>
      <c r="BA145" s="53" t="n">
        <f aca="false">BA140+BA144</f>
        <v>115.234</v>
      </c>
      <c r="BB145" s="53" t="n">
        <f aca="false">BB140+BB144</f>
        <v>395.589</v>
      </c>
      <c r="BC145" s="53" t="n">
        <f aca="false">BC140+BC144</f>
        <v>98.934</v>
      </c>
      <c r="BD145" s="53" t="n">
        <f aca="false">BD140+BD144</f>
        <v>121.432</v>
      </c>
      <c r="BE145" s="53" t="n">
        <f aca="false">BE140+BE144</f>
        <v>126.412</v>
      </c>
      <c r="BF145" s="53" t="n">
        <f aca="false">BF140+BF144</f>
        <v>143</v>
      </c>
      <c r="BG145" s="53" t="n">
        <f aca="false">BG140+BG144</f>
        <v>489.778</v>
      </c>
      <c r="BH145" s="53" t="n">
        <f aca="false">BH140+BH144</f>
        <v>136.509</v>
      </c>
      <c r="BI145" s="53" t="n">
        <f aca="false">BI140+BI144</f>
        <v>148.882</v>
      </c>
      <c r="BJ145" s="53" t="n">
        <f aca="false">BJ140+BJ144</f>
        <v>153.149</v>
      </c>
      <c r="BK145" s="53" t="n">
        <f aca="false">BK140+BK144</f>
        <v>201.584</v>
      </c>
      <c r="BL145" s="53" t="n">
        <f aca="false">BL140+BL144</f>
        <v>640.124</v>
      </c>
      <c r="BM145" s="53" t="n">
        <f aca="false">BM140+BM144</f>
        <v>181.984</v>
      </c>
      <c r="BN145" s="53" t="n">
        <f aca="false">BN140+BN144</f>
        <v>203.192</v>
      </c>
      <c r="BO145" s="53" t="n">
        <f aca="false">BO140+BO144</f>
        <v>217.539</v>
      </c>
      <c r="BP145" s="53" t="n">
        <f aca="false">BP140+BP144</f>
        <v>221.8</v>
      </c>
      <c r="BQ145" s="53" t="n">
        <f aca="false">BQ140+BQ144</f>
        <v>824.515</v>
      </c>
      <c r="BR145" s="53" t="n">
        <f aca="false">BR140+BR144</f>
        <v>231.012</v>
      </c>
      <c r="BS145" s="53" t="n">
        <f aca="false">BS140+BS144</f>
        <v>252.266</v>
      </c>
      <c r="BT145" s="53" t="n">
        <f aca="false">BT140+BT144</f>
        <v>268.889</v>
      </c>
      <c r="BU145" s="53" t="n">
        <f aca="false">BU140+BU144</f>
        <v>284.184</v>
      </c>
      <c r="BV145" s="53" t="n">
        <f aca="false">BV140+BV144</f>
        <v>1036.351</v>
      </c>
      <c r="BW145" s="53" t="n">
        <f aca="false">BW140+BW144</f>
        <v>263.168</v>
      </c>
      <c r="BX145" s="53" t="n">
        <f aca="false">BX140+BX144</f>
        <v>353.968</v>
      </c>
      <c r="BY145" s="53" t="n">
        <f aca="false">BY140+BY144</f>
        <v>359.953</v>
      </c>
      <c r="BZ145" s="18" t="n">
        <f aca="false">BZ140+BZ144</f>
        <v>362.510442495915</v>
      </c>
      <c r="CA145" s="18" t="n">
        <f aca="false">CA140+CA144</f>
        <v>1339.59944249592</v>
      </c>
      <c r="CB145" s="18" t="n">
        <f aca="false">CB140+CB144</f>
        <v>1516.16881662762</v>
      </c>
      <c r="CC145" s="18" t="n">
        <f aca="false">CC140+CC144</f>
        <v>1702.37590056206</v>
      </c>
      <c r="CD145" s="18" t="n">
        <f aca="false">CD140+CD144</f>
        <v>1858.00715381334</v>
      </c>
      <c r="CE145" s="18" t="n">
        <f aca="false">CE140+CE144</f>
        <v>2026.76390277266</v>
      </c>
      <c r="CH145" s="20" t="n">
        <f aca="false">IFERROR((CE145/BV145)^(1/5)-1,"n/m")</f>
        <v>0.14356079523371</v>
      </c>
      <c r="CI145" s="20" t="n">
        <f aca="false">IFERROR((BV145/AW145)^(1/5)-1,"n/m")</f>
        <v>0.223155134382963</v>
      </c>
      <c r="CJ145" s="20" t="n">
        <f aca="false">IFERROR((BV145/X145)^(1/10)-1,"n/m")</f>
        <v>0.162518844265199</v>
      </c>
      <c r="CK145" s="20" t="n">
        <f aca="false">IFERROR((BV145/C145)^(1/19)-1,"n/m")</f>
        <v>0.154595100645243</v>
      </c>
    </row>
    <row r="146" customFormat="false" ht="15" hidden="false" customHeight="true" outlineLevel="0" collapsed="false">
      <c r="B146" s="29" t="s">
        <v>272</v>
      </c>
      <c r="C146" s="30" t="n">
        <f aca="false">IF(AND(ISNUMBER(C145),ISNUMBER(C98)),IFERROR(C145/C98,""),"")</f>
        <v>0.172125755373671</v>
      </c>
      <c r="D146" s="30" t="n">
        <f aca="false">IF(AND(ISNUMBER(D145),ISNUMBER(D98)),IFERROR(D145/D98,""),"")</f>
        <v>0.169531268457486</v>
      </c>
      <c r="E146" s="30" t="n">
        <f aca="false">IF(AND(ISNUMBER(E145),ISNUMBER(E98)),IFERROR(E145/E98,""),"")</f>
        <v>0.183715207599593</v>
      </c>
      <c r="F146" s="30" t="n">
        <f aca="false">IF(AND(ISNUMBER(F145),ISNUMBER(F98)),IFERROR(F145/F98,""),"")</f>
        <v>0.164890692109917</v>
      </c>
      <c r="G146" s="30" t="n">
        <f aca="false">IF(AND(ISNUMBER(G145),ISNUMBER(G98)),IFERROR(G145/G98,""),"")</f>
        <v>0.179898544617678</v>
      </c>
      <c r="H146" s="30" t="n">
        <f aca="false">IF(AND(ISNUMBER(H145),ISNUMBER(H98)),IFERROR(H145/H98,""),"")</f>
        <v>0.18608141552195</v>
      </c>
      <c r="I146" s="30" t="n">
        <f aca="false">IF(AND(ISNUMBER(I145),ISNUMBER(I98)),IFERROR(I145/I98,""),"")</f>
        <v>0.182455616389201</v>
      </c>
      <c r="J146" s="30" t="n">
        <f aca="false">IF(AND(ISNUMBER(J145),ISNUMBER(J98)),IFERROR(J145/J98,""),"")</f>
        <v>0.16197052981662</v>
      </c>
      <c r="K146" s="30" t="n">
        <f aca="false">IF(AND(ISNUMBER(K145),ISNUMBER(K98)),IFERROR(K145/K98,""),"")</f>
        <v>0.184280714153499</v>
      </c>
      <c r="L146" s="30" t="n">
        <f aca="false">IF(AND(ISNUMBER(L145),ISNUMBER(L98)),IFERROR(L145/L98,""),"")</f>
        <v>0.18145642807141</v>
      </c>
      <c r="M146" s="30" t="n">
        <f aca="false">IF(AND(ISNUMBER(M145),ISNUMBER(M98)),IFERROR(M145/M98,""),"")</f>
        <v>0.193075782984142</v>
      </c>
      <c r="N146" s="30" t="n">
        <f aca="false">IF(AND(ISNUMBER(N145),ISNUMBER(N98)),IFERROR(N145/N98,""),"")</f>
        <v>0.181250786859472</v>
      </c>
      <c r="O146" s="30" t="n">
        <f aca="false">IF(AND(ISNUMBER(O145),ISNUMBER(O98)),IFERROR(O145/O98,""),"")</f>
        <v>0.16301634773223</v>
      </c>
      <c r="P146" s="30" t="n">
        <f aca="false">IF(AND(ISNUMBER(P145),ISNUMBER(P98)),IFERROR(P145/P98,""),"")</f>
        <v>0.167493409677145</v>
      </c>
      <c r="Q146" s="30" t="n">
        <f aca="false">IF(AND(ISNUMBER(Q145),ISNUMBER(Q98)),IFERROR(Q145/Q98,""),"")</f>
        <v>0.168968834828025</v>
      </c>
      <c r="R146" s="30" t="n">
        <f aca="false">IF(AND(ISNUMBER(R145),ISNUMBER(R98)),IFERROR(R145/R98,""),"")</f>
        <v>0.174329193800625</v>
      </c>
      <c r="S146" s="30" t="n">
        <f aca="false">IF(AND(ISNUMBER(S145),ISNUMBER(S98)),IFERROR(S145/S98,""),"")</f>
        <v>0.168581776561386</v>
      </c>
      <c r="T146" s="30" t="n">
        <f aca="false">IF(AND(ISNUMBER(T145),ISNUMBER(T98)),IFERROR(T145/T98,""),"")</f>
        <v>0.173846411991722</v>
      </c>
      <c r="U146" s="30" t="n">
        <f aca="false">IF(AND(ISNUMBER(U145),ISNUMBER(U98)),IFERROR(U145/U98,""),"")</f>
        <v>0.188977458728094</v>
      </c>
      <c r="V146" s="30" t="n">
        <f aca="false">IF(AND(ISNUMBER(V145),ISNUMBER(V98)),IFERROR(V145/V98,""),"")</f>
        <v>0.196331191530446</v>
      </c>
      <c r="W146" s="30" t="n">
        <f aca="false">IF(AND(ISNUMBER(W145),ISNUMBER(W98)),IFERROR(W145/W98,""),"")</f>
        <v>0.210592931554863</v>
      </c>
      <c r="X146" s="30" t="n">
        <f aca="false">IF(AND(ISNUMBER(X145),ISNUMBER(X98)),IFERROR(X145/X98,""),"")</f>
        <v>0.193398718544094</v>
      </c>
      <c r="Y146" s="30" t="n">
        <f aca="false">IF(AND(ISNUMBER(Y145),ISNUMBER(Y98)),IFERROR(Y145/Y98,""),"")</f>
        <v>0.183321522922538</v>
      </c>
      <c r="Z146" s="30" t="n">
        <f aca="false">IF(AND(ISNUMBER(Z145),ISNUMBER(Z98)),IFERROR(Z145/Z98,""),"")</f>
        <v>0.19447993429308</v>
      </c>
      <c r="AA146" s="30" t="n">
        <f aca="false">IF(AND(ISNUMBER(AA145),ISNUMBER(AA98)),IFERROR(AA145/AA98,""),"")</f>
        <v>0.198902506150234</v>
      </c>
      <c r="AB146" s="30" t="n">
        <f aca="false">IF(AND(ISNUMBER(AB145),ISNUMBER(AB98)),IFERROR(AB145/AB98,""),"")</f>
        <v>0.21009416486145</v>
      </c>
      <c r="AC146" s="30" t="n">
        <f aca="false">IF(AND(ISNUMBER(AC145),ISNUMBER(AC98)),IFERROR(AC145/AC98,""),"")</f>
        <v>0.197263158506617</v>
      </c>
      <c r="AD146" s="30" t="n">
        <f aca="false">IF(AND(ISNUMBER(AD145),ISNUMBER(AD98)),IFERROR(AD145/AD98,""),"")</f>
        <v>0.190928626336509</v>
      </c>
      <c r="AE146" s="30" t="n">
        <f aca="false">IF(AND(ISNUMBER(AE145),ISNUMBER(AE98)),IFERROR(AE145/AE98,""),"")</f>
        <v>0.209690850845094</v>
      </c>
      <c r="AF146" s="30" t="n">
        <f aca="false">IF(AND(ISNUMBER(AF145),ISNUMBER(AF98)),IFERROR(AF145/AF98,""),"")</f>
        <v>0.195149425287356</v>
      </c>
      <c r="AG146" s="30" t="n">
        <f aca="false">IF(AND(ISNUMBER(AG145),ISNUMBER(AG98)),IFERROR(AG145/AG98,""),"")</f>
        <v>0.212651700757792</v>
      </c>
      <c r="AH146" s="30" t="n">
        <f aca="false">IF(AND(ISNUMBER(AH145),ISNUMBER(AH98)),IFERROR(AH145/AH98,""),"")</f>
        <v>0.202549427372406</v>
      </c>
      <c r="AI146" s="30" t="n">
        <f aca="false">IF(AND(ISNUMBER(AI145),ISNUMBER(AI98)),IFERROR(AI145/AI98,""),"")</f>
        <v>0.189720827872704</v>
      </c>
      <c r="AJ146" s="30" t="n">
        <f aca="false">IF(AND(ISNUMBER(AJ145),ISNUMBER(AJ98)),IFERROR(AJ145/AJ98,""),"")</f>
        <v>0.212063576109725</v>
      </c>
      <c r="AK146" s="30" t="n">
        <f aca="false">IF(AND(ISNUMBER(AK145),ISNUMBER(AK98)),IFERROR(AK145/AK98,""),"")</f>
        <v>0.205841249396232</v>
      </c>
      <c r="AL146" s="30" t="n">
        <f aca="false">IF(AND(ISNUMBER(AL145),ISNUMBER(AL98)),IFERROR(AL145/AL98,""),"")</f>
        <v>0.217329581197943</v>
      </c>
      <c r="AM146" s="30" t="n">
        <f aca="false">IF(AND(ISNUMBER(AM145),ISNUMBER(AM98)),IFERROR(AM145/AM98,""),"")</f>
        <v>0.211611945856521</v>
      </c>
      <c r="AN146" s="30" t="n">
        <f aca="false">IF(AND(ISNUMBER(AN145),ISNUMBER(AN98)),IFERROR(AN145/AN98,""),"")</f>
        <v>0.213403096883809</v>
      </c>
      <c r="AO146" s="30" t="n">
        <f aca="false">IF(AND(ISNUMBER(AO145),ISNUMBER(AO98)),IFERROR(AO145/AO98,""),"")</f>
        <v>0.238358337470523</v>
      </c>
      <c r="AP146" s="30" t="n">
        <f aca="false">IF(AND(ISNUMBER(AP145),ISNUMBER(AP98)),IFERROR(AP145/AP98,""),"")</f>
        <v>0.226012729089802</v>
      </c>
      <c r="AQ146" s="30" t="n">
        <f aca="false">IF(AND(ISNUMBER(AQ145),ISNUMBER(AQ98)),IFERROR(AQ145/AQ98,""),"")</f>
        <v>0.220612377176476</v>
      </c>
      <c r="AR146" s="30" t="n">
        <f aca="false">IF(AND(ISNUMBER(AR145),ISNUMBER(AR98)),IFERROR(AR145/AR98,""),"")</f>
        <v>0.224827511727451</v>
      </c>
      <c r="AS146" s="30" t="n">
        <f aca="false">IF(AND(ISNUMBER(AS145),ISNUMBER(AS98)),IFERROR(AS145/AS98,""),"")</f>
        <v>0.220419732358896</v>
      </c>
      <c r="AT146" s="30" t="n">
        <f aca="false">IF(AND(ISNUMBER(AT145),ISNUMBER(AT98)),IFERROR(AT145/AT98,""),"")</f>
        <v>0.232891021177154</v>
      </c>
      <c r="AU146" s="30" t="n">
        <f aca="false">IF(AND(ISNUMBER(AU145),ISNUMBER(AU98)),IFERROR(AU145/AU98,""),"")</f>
        <v>0.176206619911493</v>
      </c>
      <c r="AV146" s="30" t="n">
        <f aca="false">IF(AND(ISNUMBER(AV145),ISNUMBER(AV98)),IFERROR(AV145/AV98,""),"")</f>
        <v>0.210759354072711</v>
      </c>
      <c r="AW146" s="30" t="n">
        <f aca="false">IF(AND(ISNUMBER(AW145),ISNUMBER(AW98)),IFERROR(AW145/AW98,""),"")</f>
        <v>0.211822660098522</v>
      </c>
      <c r="AX146" s="30" t="n">
        <f aca="false">IF(AND(ISNUMBER(AX145),ISNUMBER(AX98)),IFERROR(AX145/AX98,""),"")</f>
        <v>0.194849510172241</v>
      </c>
      <c r="AY146" s="30" t="n">
        <f aca="false">IF(AND(ISNUMBER(AY145),ISNUMBER(AY98)),IFERROR(AY145/AY98,""),"")</f>
        <v>0.208466284225256</v>
      </c>
      <c r="AZ146" s="30" t="n">
        <f aca="false">IF(AND(ISNUMBER(AZ145),ISNUMBER(AZ98)),IFERROR(AZ145/AZ98,""),"")</f>
        <v>0.215485460253929</v>
      </c>
      <c r="BA146" s="30" t="n">
        <f aca="false">IF(AND(ISNUMBER(BA145),ISNUMBER(BA98)),IFERROR(BA145/BA98,""),"")</f>
        <v>0.22620538571165</v>
      </c>
      <c r="BB146" s="30" t="n">
        <f aca="false">IF(AND(ISNUMBER(BB145),ISNUMBER(BB98)),IFERROR(BB145/BB98,""),"")</f>
        <v>0.212034526784307</v>
      </c>
      <c r="BC146" s="30" t="n">
        <f aca="false">IF(AND(ISNUMBER(BC145),ISNUMBER(BC98)),IFERROR(BC145/BC98,""),"")</f>
        <v>0.20176488702806</v>
      </c>
      <c r="BD146" s="30" t="n">
        <f aca="false">IF(AND(ISNUMBER(BD145),ISNUMBER(BD98)),IFERROR(BD145/BD98,""),"")</f>
        <v>0.225369469556228</v>
      </c>
      <c r="BE146" s="30" t="n">
        <f aca="false">IF(AND(ISNUMBER(BE145),ISNUMBER(BE98)),IFERROR(BE145/BE98,""),"")</f>
        <v>0.221959236420334</v>
      </c>
      <c r="BF146" s="30" t="n">
        <f aca="false">IF(AND(ISNUMBER(BF145),ISNUMBER(BF98)),IFERROR(BF145/BF98,""),"")</f>
        <v>0.234565430632605</v>
      </c>
      <c r="BG146" s="30" t="n">
        <f aca="false">IF(AND(ISNUMBER(BG145),ISNUMBER(BG98)),IFERROR(BG145/BG98,""),"")</f>
        <v>0.221787402380631</v>
      </c>
      <c r="BH146" s="30" t="n">
        <f aca="false">IF(AND(ISNUMBER(BH145),ISNUMBER(BH98)),IFERROR(BH145/BH98,""),"")</f>
        <v>0.219851348413229</v>
      </c>
      <c r="BI146" s="30" t="n">
        <f aca="false">IF(AND(ISNUMBER(BI145),ISNUMBER(BI98)),IFERROR(BI145/BI98,""),"")</f>
        <v>0.21644827801774</v>
      </c>
      <c r="BJ146" s="30" t="n">
        <f aca="false">IF(AND(ISNUMBER(BJ145),ISNUMBER(BJ98)),IFERROR(BJ145/BJ98,""),"")</f>
        <v>0.21185305892085</v>
      </c>
      <c r="BK146" s="30" t="n">
        <f aca="false">IF(AND(ISNUMBER(BK145),ISNUMBER(BK98)),IFERROR(BK145/BK98,""),"")</f>
        <v>0.215264718665338</v>
      </c>
      <c r="BL146" s="30" t="n">
        <f aca="false">IF(AND(ISNUMBER(BL145),ISNUMBER(BL98)),IFERROR(BL145/BL98,""),"")</f>
        <v>0.21566757240731</v>
      </c>
      <c r="BM146" s="30" t="n">
        <f aca="false">IF(AND(ISNUMBER(BM145),ISNUMBER(BM98)),IFERROR(BM145/BM98,""),"")</f>
        <v>0.203024890585622</v>
      </c>
      <c r="BN146" s="30" t="n">
        <f aca="false">IF(AND(ISNUMBER(BN145),ISNUMBER(BN98)),IFERROR(BN145/BN98,""),"")</f>
        <v>0.212678525635993</v>
      </c>
      <c r="BO146" s="30" t="n">
        <f aca="false">IF(AND(ISNUMBER(BO145),ISNUMBER(BO98)),IFERROR(BO145/BO98,""),"")</f>
        <v>0.219238979043503</v>
      </c>
      <c r="BP146" s="30" t="n">
        <f aca="false">IF(AND(ISNUMBER(BP145),ISNUMBER(BP98)),IFERROR(BP145/BP98,""),"")</f>
        <v>0.218809961871032</v>
      </c>
      <c r="BQ146" s="30" t="n">
        <f aca="false">IF(AND(ISNUMBER(BQ145),ISNUMBER(BQ98)),IFERROR(BQ145/BQ98,""),"")</f>
        <v>0.213733993248254</v>
      </c>
      <c r="BR146" s="30" t="n">
        <f aca="false">IF(AND(ISNUMBER(BR145),ISNUMBER(BR98)),IFERROR(BR145/BR98,""),"")</f>
        <v>0.224235164847965</v>
      </c>
      <c r="BS146" s="30" t="n">
        <f aca="false">IF(AND(ISNUMBER(BS145),ISNUMBER(BS98)),IFERROR(BS145/BS98,""),"")</f>
        <v>0.229788125557924</v>
      </c>
      <c r="BT146" s="30" t="n">
        <f aca="false">IF(AND(ISNUMBER(BT145),ISNUMBER(BT98)),IFERROR(BT145/BT98,""),"")</f>
        <v>0.234307344689876</v>
      </c>
      <c r="BU146" s="30" t="n">
        <f aca="false">IF(AND(ISNUMBER(BU145),ISNUMBER(BU98)),IFERROR(BU145/BU98,""),"")</f>
        <v>0.234977191376629</v>
      </c>
      <c r="BV146" s="30" t="n">
        <f aca="false">IF(AND(ISNUMBER(BV145),ISNUMBER(BV98)),IFERROR(BV145/BV98,""),"")</f>
        <v>0.231068190189438</v>
      </c>
      <c r="BW146" s="30" t="n">
        <f aca="false">IF(AND(ISNUMBER(BW145),ISNUMBER(BW98)),IFERROR(BW145/BW98,""),"")</f>
        <v>0.223292057743967</v>
      </c>
      <c r="BX146" s="30" t="n">
        <f aca="false">IF(AND(ISNUMBER(BX145),ISNUMBER(BX98)),IFERROR(BX145/BX98,""),"")</f>
        <v>0.257297852095604</v>
      </c>
      <c r="BY146" s="30" t="n">
        <f aca="false">IF(AND(ISNUMBER(BY145),ISNUMBER(BY98)),IFERROR(BY145/BY98,""),"")</f>
        <v>0.254734793531722</v>
      </c>
      <c r="BZ146" s="23" t="n">
        <f aca="false">IF(AND(ISNUMBER(BZ145),ISNUMBER(BZ98)),IFERROR(BZ145/BZ98,""),"")</f>
        <v>0.245562312981253</v>
      </c>
      <c r="CA146" s="23" t="n">
        <f aca="false">IF(AND(ISNUMBER(CA145),ISNUMBER(CA98)),IFERROR(CA145/CA98,""),"")</f>
        <v>0.246087441573141</v>
      </c>
      <c r="CB146" s="23" t="n">
        <f aca="false">IF(AND(ISNUMBER(CB145),ISNUMBER(CB98)),IFERROR(CB145/CB98,""),"")</f>
        <v>0.24468383610025</v>
      </c>
      <c r="CC146" s="23" t="n">
        <f aca="false">IF(AND(ISNUMBER(CC145),ISNUMBER(CC98)),IFERROR(CC145/CC98,""),"")</f>
        <v>0.247524160232257</v>
      </c>
      <c r="CD146" s="23" t="n">
        <f aca="false">IF(AND(ISNUMBER(CD145),ISNUMBER(CD98)),IFERROR(CD145/CD98,""),"")</f>
        <v>0.245522653787356</v>
      </c>
      <c r="CE146" s="23" t="n">
        <f aca="false">IF(AND(ISNUMBER(CE145),ISNUMBER(CE98)),IFERROR(CE145/CE98,""),"")</f>
        <v>0.243646541604849</v>
      </c>
      <c r="CH146" s="33" t="n">
        <f aca="false">IFERROR(AVERAGE(CA146,CB146,CC146,CD146,CE146),"n/m")</f>
        <v>0.24549292665957</v>
      </c>
      <c r="CI146" s="33" t="n">
        <f aca="false">IFERROR(AVERAGE(BB146,BG146,BL146,BQ146,BV146),"n/m")</f>
        <v>0.218858337001988</v>
      </c>
      <c r="CJ146" s="33" t="n">
        <f aca="false">IFERROR(AVERAGE(AC146,AH146,AM146,AR146,AW146,BB146,BG146,BL146,BQ146,BV146),"n/m")</f>
        <v>0.214236638857146</v>
      </c>
      <c r="CK146" s="33" t="n">
        <f aca="false">IFERROR(AVERAGE(C146,D146,E146,F146,G146,H146,I146,N146,S146,X146,AC146,AH146,AM146,AR146,AW146,BB146,BG146,BL146,BQ146,BV146),"n/m")</f>
        <v>0.196214808530295</v>
      </c>
    </row>
    <row r="147" customFormat="false" ht="15" hidden="false" customHeight="true" outlineLevel="0" collapsed="false">
      <c r="B147" s="26" t="s">
        <v>273</v>
      </c>
      <c r="C147" s="36" t="n">
        <f aca="false">C140</f>
        <v>78.071</v>
      </c>
      <c r="D147" s="36" t="n">
        <f aca="false">D140</f>
        <v>98.276</v>
      </c>
      <c r="E147" s="36" t="n">
        <f aca="false">E140</f>
        <v>122.038</v>
      </c>
      <c r="F147" s="36" t="n">
        <f aca="false">F140</f>
        <v>103.727</v>
      </c>
      <c r="G147" s="36" t="n">
        <f aca="false">G140</f>
        <v>128.598</v>
      </c>
      <c r="H147" s="36" t="n">
        <f aca="false">H140</f>
        <v>160.875</v>
      </c>
      <c r="I147" s="36" t="n">
        <f aca="false">I140</f>
        <v>194.382</v>
      </c>
      <c r="M147" s="36" t="n">
        <f aca="false">J140+K140+L140+M140</f>
        <v>219.628</v>
      </c>
      <c r="N147" s="36" t="n">
        <f aca="false">N140</f>
        <v>219.628</v>
      </c>
      <c r="O147" s="36" t="n">
        <f aca="false">K140+L140+M140+O140</f>
        <v>231.97</v>
      </c>
      <c r="P147" s="36" t="n">
        <f aca="false">L140+M140+O140+P140</f>
        <v>239.261</v>
      </c>
      <c r="Q147" s="36" t="n">
        <f aca="false">M140+O140+P140+Q140</f>
        <v>242.599</v>
      </c>
      <c r="R147" s="36" t="n">
        <f aca="false">O140+P140+Q140+R140</f>
        <v>238.644</v>
      </c>
      <c r="S147" s="36" t="n">
        <f aca="false">S140</f>
        <v>238.644</v>
      </c>
      <c r="T147" s="36" t="n">
        <f aca="false">P140+Q140+R140+T140</f>
        <v>240.624</v>
      </c>
      <c r="U147" s="36" t="n">
        <f aca="false">Q140+R140+T140+U140</f>
        <v>248.572</v>
      </c>
      <c r="V147" s="36" t="n">
        <f aca="false">R140+T140+U140+V140</f>
        <v>258.163</v>
      </c>
      <c r="W147" s="36" t="n">
        <f aca="false">T140+U140+V140+W140</f>
        <v>277.79</v>
      </c>
      <c r="X147" s="36" t="n">
        <f aca="false">X140</f>
        <v>277.79</v>
      </c>
      <c r="Y147" s="36" t="n">
        <f aca="false">U140+V140+W140+Y140</f>
        <v>290.322</v>
      </c>
      <c r="Z147" s="36" t="n">
        <f aca="false">V140+W140+Y140+Z140</f>
        <v>306.469</v>
      </c>
      <c r="AA147" s="36" t="n">
        <f aca="false">W140+Y140+Z140+AA140</f>
        <v>321.818</v>
      </c>
      <c r="AB147" s="36" t="n">
        <f aca="false">Y140+Z140+AA140+AB140</f>
        <v>331.762</v>
      </c>
      <c r="AC147" s="36" t="n">
        <f aca="false">AC140</f>
        <v>331.762</v>
      </c>
      <c r="AD147" s="36" t="n">
        <f aca="false">Z140+AA140+AB140+AD140</f>
        <v>342.522</v>
      </c>
      <c r="AE147" s="36" t="n">
        <f aca="false">AA140+AB140+AD140+AE140</f>
        <v>351.623</v>
      </c>
      <c r="AF147" s="36" t="n">
        <f aca="false">AB140+AD140+AE140+AF140</f>
        <v>358.189</v>
      </c>
      <c r="AG147" s="36" t="n">
        <f aca="false">AD140+AE140+AF140+AG140</f>
        <v>373.673</v>
      </c>
      <c r="AH147" s="36" t="n">
        <f aca="false">AH140</f>
        <v>373.673</v>
      </c>
      <c r="AI147" s="36" t="n">
        <f aca="false">AE140+AF140+AG140+AI140</f>
        <v>388.603</v>
      </c>
      <c r="AJ147" s="36" t="n">
        <f aca="false">AF140+AG140+AI140+AJ140</f>
        <v>406.426</v>
      </c>
      <c r="AK147" s="36" t="n">
        <f aca="false">AG140+AI140+AJ140+AK140</f>
        <v>428.934</v>
      </c>
      <c r="AL147" s="36" t="n">
        <f aca="false">AI140+AJ140+AK140+AL140</f>
        <v>444.758</v>
      </c>
      <c r="AM147" s="36" t="n">
        <f aca="false">AM140</f>
        <v>453.378</v>
      </c>
      <c r="AN147" s="36" t="n">
        <f aca="false">AJ140+AK140+AL140+AN140</f>
        <v>468.523</v>
      </c>
      <c r="AO147" s="36" t="n">
        <f aca="false">AK140+AL140+AN140+AO140</f>
        <v>501.563</v>
      </c>
      <c r="AP147" s="36" t="n">
        <f aca="false">AL140+AN140+AO140+AP140</f>
        <v>527.693</v>
      </c>
      <c r="AQ147" s="36" t="n">
        <f aca="false">AN140+AO140+AP140+AQ140</f>
        <v>545.663</v>
      </c>
      <c r="AR147" s="36" t="n">
        <f aca="false">AR140</f>
        <v>545.663</v>
      </c>
      <c r="AS147" s="36" t="n">
        <f aca="false">AO140+AP140+AQ140+AS140</f>
        <v>559.325</v>
      </c>
      <c r="AT147" s="36" t="n">
        <f aca="false">AP140+AQ140+AS140+AT140</f>
        <v>546.625</v>
      </c>
      <c r="AU147" s="36" t="n">
        <f aca="false">AQ140+AS140+AT140+AU140</f>
        <v>495.205</v>
      </c>
      <c r="AV147" s="36" t="n">
        <f aca="false">AS140+AT140+AU140+AV140</f>
        <v>467.09</v>
      </c>
      <c r="AW147" s="36" t="n">
        <f aca="false">AW140</f>
        <v>467.09</v>
      </c>
      <c r="AX147" s="36" t="n">
        <f aca="false">AT140+AU140+AV140+AX140</f>
        <v>438.345</v>
      </c>
      <c r="AY147" s="36" t="n">
        <f aca="false">AU140+AV140+AX140+AY140</f>
        <v>427.822</v>
      </c>
      <c r="AZ147" s="36" t="n">
        <f aca="false">AV140+AX140+AY140+AZ140</f>
        <v>462.335</v>
      </c>
      <c r="BA147" s="36" t="n">
        <f aca="false">AX140+AY140+AZ140+BA140</f>
        <v>488.608</v>
      </c>
      <c r="BB147" s="36" t="n">
        <f aca="false">BB140</f>
        <v>488.608</v>
      </c>
      <c r="BC147" s="36" t="n">
        <f aca="false">AY140+AZ140+BA140+BC140</f>
        <v>506.333</v>
      </c>
      <c r="BD147" s="36" t="n">
        <f aca="false">AZ140+BA140+BC140+BD140</f>
        <v>531.053</v>
      </c>
      <c r="BE147" s="36" t="n">
        <f aca="false">BA140+BC140+BD140+BE140</f>
        <v>556.741</v>
      </c>
      <c r="BF147" s="36" t="n">
        <f aca="false">BC140+BD140+BE140+BF140</f>
        <v>586.111</v>
      </c>
      <c r="BG147" s="36" t="n">
        <f aca="false">BG140</f>
        <v>586.111</v>
      </c>
      <c r="BH147" s="36" t="n">
        <f aca="false">BD140+BE140+BF140+BH140</f>
        <v>627.524</v>
      </c>
      <c r="BI147" s="36" t="n">
        <f aca="false">BE140+BF140+BH140+BI140</f>
        <v>661.213</v>
      </c>
      <c r="BJ147" s="36" t="n">
        <f aca="false">BF140+BH140+BI140+BJ140</f>
        <v>693.662</v>
      </c>
      <c r="BK147" s="36" t="n">
        <f aca="false">BH140+BI140+BJ140+BK140</f>
        <v>770.167</v>
      </c>
      <c r="BL147" s="36" t="n">
        <f aca="false">BL140</f>
        <v>770.167</v>
      </c>
      <c r="BM147" s="36" t="n">
        <f aca="false">BI140+BJ140+BK140+BM140</f>
        <v>832.087</v>
      </c>
      <c r="BN147" s="36" t="n">
        <f aca="false">BJ140+BK140+BM140+BN140</f>
        <v>899.504</v>
      </c>
      <c r="BO147" s="36" t="n">
        <f aca="false">BK140+BM140+BN140+BO140</f>
        <v>978.673</v>
      </c>
      <c r="BP147" s="36" t="n">
        <f aca="false">BM140+BN140+BO140+BP140</f>
        <v>999.846</v>
      </c>
      <c r="BQ147" s="36" t="n">
        <f aca="false">BQ140</f>
        <v>999.846</v>
      </c>
      <c r="BR147" s="36" t="n">
        <f aca="false">BN140+BO140+BP140+BR140</f>
        <v>1051.594</v>
      </c>
      <c r="BS147" s="36" t="n">
        <f aca="false">BO140+BP140+BR140+BS140</f>
        <v>1106.714</v>
      </c>
      <c r="BT147" s="36" t="n">
        <f aca="false">BP140+BR140+BS140+BT140</f>
        <v>1163.521</v>
      </c>
      <c r="BU147" s="36" t="n">
        <f aca="false">BR140+BS140+BT140+BU140</f>
        <v>1232.427</v>
      </c>
      <c r="BV147" s="36" t="n">
        <f aca="false">BV140</f>
        <v>1232.427</v>
      </c>
      <c r="BW147" s="36" t="n">
        <f aca="false">BS140+BT140+BU140+BW140</f>
        <v>1269.366</v>
      </c>
      <c r="BX147" s="36" t="n">
        <f aca="false">BT140+BU140+BW140+BX140</f>
        <v>1378.825</v>
      </c>
      <c r="BY147" s="36" t="n">
        <f aca="false">BU140+BW140+BX140+BY140</f>
        <v>1478.865</v>
      </c>
      <c r="BZ147" s="42" t="n">
        <f aca="false">BW140+BX140+BY140+BZ140</f>
        <v>1566.84426791634</v>
      </c>
      <c r="CA147" s="42" t="n">
        <f aca="false">CA140</f>
        <v>1566.84426791634</v>
      </c>
      <c r="CB147" s="42" t="n">
        <f aca="false">CB140</f>
        <v>1768.12610188809</v>
      </c>
      <c r="CC147" s="42" t="n">
        <f aca="false">CC140</f>
        <v>1969.95928169098</v>
      </c>
      <c r="CD147" s="42" t="n">
        <f aca="false">CD140</f>
        <v>2143.49050110176</v>
      </c>
      <c r="CE147" s="42" t="n">
        <f aca="false">CE140</f>
        <v>2331.83764226798</v>
      </c>
      <c r="CF147" s="19" t="s">
        <v>274</v>
      </c>
    </row>
    <row r="148" customFormat="false" ht="15" hidden="false" customHeight="true" outlineLevel="0" collapsed="false"/>
    <row r="149" customFormat="false" ht="15" hidden="false" customHeight="true" outlineLevel="0" collapsed="false">
      <c r="B149" s="11" t="s">
        <v>275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 t="s">
        <v>276</v>
      </c>
    </row>
    <row r="150" customFormat="false" ht="15" hidden="false" customHeight="true" outlineLevel="0" collapsed="false">
      <c r="B150" s="16" t="s">
        <v>249</v>
      </c>
      <c r="C150" s="53" t="n">
        <f aca="false">C111</f>
        <v>31.888</v>
      </c>
      <c r="D150" s="53" t="n">
        <f aca="false">D111</f>
        <v>39.005</v>
      </c>
      <c r="E150" s="53" t="n">
        <f aca="false">E111</f>
        <v>48.511</v>
      </c>
      <c r="F150" s="53" t="n">
        <f aca="false">F111</f>
        <v>44.626</v>
      </c>
      <c r="G150" s="53" t="n">
        <f aca="false">G111</f>
        <v>54.938</v>
      </c>
      <c r="H150" s="53" t="n">
        <f aca="false">H111</f>
        <v>72.82</v>
      </c>
      <c r="I150" s="53" t="n">
        <f aca="false">I111</f>
        <v>85.1470000000001</v>
      </c>
      <c r="J150" s="53" t="n">
        <f aca="false">J111</f>
        <v>19.958</v>
      </c>
      <c r="K150" s="53" t="n">
        <f aca="false">K111</f>
        <v>23.7</v>
      </c>
      <c r="L150" s="53" t="n">
        <f aca="false">L111</f>
        <v>28.947</v>
      </c>
      <c r="M150" s="53" t="n">
        <f aca="false">M111</f>
        <v>29.791</v>
      </c>
      <c r="N150" s="53" t="n">
        <f aca="false">N111</f>
        <v>102.396</v>
      </c>
      <c r="O150" s="53" t="n">
        <f aca="false">O111</f>
        <v>27.455</v>
      </c>
      <c r="P150" s="53" t="n">
        <f aca="false">P111</f>
        <v>28.367</v>
      </c>
      <c r="Q150" s="53" t="n">
        <f aca="false">Q111</f>
        <v>33.366</v>
      </c>
      <c r="R150" s="53" t="n">
        <f aca="false">R111</f>
        <v>32.105</v>
      </c>
      <c r="S150" s="53" t="n">
        <f aca="false">S111</f>
        <v>121.293</v>
      </c>
      <c r="T150" s="53" t="n">
        <f aca="false">T111</f>
        <v>27.64</v>
      </c>
      <c r="U150" s="53" t="n">
        <f aca="false">U111</f>
        <v>33.105</v>
      </c>
      <c r="V150" s="53" t="n">
        <f aca="false">V111</f>
        <v>34.369</v>
      </c>
      <c r="W150" s="53" t="n">
        <f aca="false">W111</f>
        <v>38.25</v>
      </c>
      <c r="X150" s="53" t="n">
        <f aca="false">X111</f>
        <v>133.364</v>
      </c>
      <c r="Y150" s="53" t="n">
        <f aca="false">Y111</f>
        <v>31.271</v>
      </c>
      <c r="Z150" s="53" t="n">
        <f aca="false">Z111</f>
        <v>38.657</v>
      </c>
      <c r="AA150" s="53" t="n">
        <f aca="false">AA111</f>
        <v>42.002</v>
      </c>
      <c r="AB150" s="53" t="n">
        <f aca="false">AB111</f>
        <v>44.262</v>
      </c>
      <c r="AC150" s="53" t="n">
        <f aca="false">AC111</f>
        <v>156.192</v>
      </c>
      <c r="AD150" s="53" t="n">
        <f aca="false">AD111</f>
        <v>40.927</v>
      </c>
      <c r="AE150" s="53" t="n">
        <f aca="false">AE111</f>
        <v>45.686</v>
      </c>
      <c r="AF150" s="53" t="n">
        <f aca="false">AF111</f>
        <v>45.698</v>
      </c>
      <c r="AG150" s="53" t="n">
        <f aca="false">AG111</f>
        <v>53.674</v>
      </c>
      <c r="AH150" s="53" t="n">
        <f aca="false">AH111</f>
        <v>185.985</v>
      </c>
      <c r="AI150" s="53" t="n">
        <f aca="false">AI111</f>
        <v>65.152</v>
      </c>
      <c r="AJ150" s="53" t="n">
        <f aca="false">AJ111</f>
        <v>59.618</v>
      </c>
      <c r="AK150" s="53" t="n">
        <f aca="false">AK111</f>
        <v>67.086</v>
      </c>
      <c r="AL150" s="53" t="n">
        <f aca="false">AL111</f>
        <v>67.377</v>
      </c>
      <c r="AM150" s="53" t="n">
        <f aca="false">AM111</f>
        <v>259.233</v>
      </c>
      <c r="AN150" s="53" t="n">
        <f aca="false">AN111</f>
        <v>79.332</v>
      </c>
      <c r="AO150" s="53" t="n">
        <f aca="false">AO111</f>
        <v>81.782</v>
      </c>
      <c r="AP150" s="53" t="n">
        <f aca="false">AP111</f>
        <v>81.098</v>
      </c>
      <c r="AQ150" s="53" t="n">
        <f aca="false">AQ111</f>
        <v>85.684</v>
      </c>
      <c r="AR150" s="53" t="n">
        <f aca="false">AR111</f>
        <v>327.896</v>
      </c>
      <c r="AS150" s="53" t="n">
        <f aca="false">AS111</f>
        <v>121.888</v>
      </c>
      <c r="AT150" s="53" t="n">
        <f aca="false">AT111</f>
        <v>75.4530000000001</v>
      </c>
      <c r="AU150" s="53" t="n">
        <f aca="false">AU111</f>
        <v>54.316</v>
      </c>
      <c r="AV150" s="53" t="n">
        <f aca="false">AV111</f>
        <v>62.327</v>
      </c>
      <c r="AW150" s="53" t="n">
        <f aca="false">AW111</f>
        <v>313.984</v>
      </c>
      <c r="AX150" s="53" t="n">
        <f aca="false">AX111</f>
        <v>70.596</v>
      </c>
      <c r="AY150" s="53" t="n">
        <f aca="false">AY111</f>
        <v>70.673</v>
      </c>
      <c r="AZ150" s="53" t="n">
        <f aca="false">AZ111</f>
        <v>76.889</v>
      </c>
      <c r="BA150" s="53" t="n">
        <f aca="false">BA111</f>
        <v>86.062</v>
      </c>
      <c r="BB150" s="53" t="n">
        <f aca="false">BB111</f>
        <v>304.22</v>
      </c>
      <c r="BC150" s="53" t="n">
        <f aca="false">BC111</f>
        <v>86.921</v>
      </c>
      <c r="BD150" s="53" t="n">
        <f aca="false">BD111</f>
        <v>85.01</v>
      </c>
      <c r="BE150" s="53" t="n">
        <f aca="false">BE111</f>
        <v>82.54</v>
      </c>
      <c r="BF150" s="53" t="n">
        <f aca="false">BF111</f>
        <v>97.204</v>
      </c>
      <c r="BG150" s="53" t="n">
        <f aca="false">BG111</f>
        <v>351.675</v>
      </c>
      <c r="BH150" s="53" t="n">
        <f aca="false">BH111</f>
        <v>93.027</v>
      </c>
      <c r="BI150" s="53" t="n">
        <f aca="false">BI111</f>
        <v>105.12</v>
      </c>
      <c r="BJ150" s="53" t="n">
        <f aca="false">BJ111</f>
        <v>102.023</v>
      </c>
      <c r="BK150" s="53" t="n">
        <f aca="false">BK111</f>
        <v>103.426</v>
      </c>
      <c r="BL150" s="53" t="n">
        <f aca="false">BL111</f>
        <v>403.596</v>
      </c>
      <c r="BM150" s="53" t="n">
        <f aca="false">BM111</f>
        <v>114.698</v>
      </c>
      <c r="BN150" s="53" t="n">
        <f aca="false">BN111</f>
        <v>123.146</v>
      </c>
      <c r="BO150" s="53" t="n">
        <f aca="false">BO111</f>
        <v>136.577</v>
      </c>
      <c r="BP150" s="53" t="n">
        <f aca="false">BP111</f>
        <v>139.688</v>
      </c>
      <c r="BQ150" s="53" t="n">
        <f aca="false">BQ111</f>
        <v>514.109</v>
      </c>
      <c r="BR150" s="53" t="n">
        <f aca="false">BR111</f>
        <v>167.955</v>
      </c>
      <c r="BS150" s="53" t="n">
        <f aca="false">BS111</f>
        <v>156.793</v>
      </c>
      <c r="BT150" s="53" t="n">
        <f aca="false">BT111</f>
        <v>177.341</v>
      </c>
      <c r="BU150" s="53" t="n">
        <f aca="false">BU111</f>
        <v>188.296</v>
      </c>
      <c r="BV150" s="53" t="n">
        <f aca="false">BV111</f>
        <v>690.385</v>
      </c>
      <c r="BW150" s="53" t="n">
        <f aca="false">BW111</f>
        <v>190.188</v>
      </c>
      <c r="BX150" s="53" t="n">
        <f aca="false">BX111</f>
        <v>233.801</v>
      </c>
      <c r="BY150" s="53" t="n">
        <f aca="false">BY111</f>
        <v>235.439</v>
      </c>
      <c r="BZ150" s="18" t="n">
        <f aca="false">BZ111</f>
        <v>240.915841373961</v>
      </c>
      <c r="CA150" s="18" t="n">
        <f aca="false">CA111</f>
        <v>900.343841373962</v>
      </c>
      <c r="CB150" s="18" t="n">
        <f aca="false">CB111</f>
        <v>1023.54687092633</v>
      </c>
      <c r="CC150" s="18" t="n">
        <f aca="false">CC111</f>
        <v>1161.12155560081</v>
      </c>
      <c r="CD150" s="18" t="n">
        <f aca="false">CD111</f>
        <v>1276.10601343744</v>
      </c>
      <c r="CE150" s="18" t="n">
        <f aca="false">CE111</f>
        <v>1400.78793226789</v>
      </c>
    </row>
    <row r="151" customFormat="false" ht="15" hidden="false" customHeight="true" outlineLevel="0" collapsed="false">
      <c r="B151" s="29" t="s">
        <v>277</v>
      </c>
      <c r="C151" s="36" t="n">
        <f aca="false">C139</f>
        <v>0</v>
      </c>
      <c r="D151" s="36" t="n">
        <f aca="false">D139</f>
        <v>0</v>
      </c>
      <c r="E151" s="36" t="n">
        <f aca="false">E139</f>
        <v>1.835</v>
      </c>
      <c r="F151" s="36" t="n">
        <f aca="false">F139</f>
        <v>0.3</v>
      </c>
      <c r="G151" s="36" t="n">
        <f aca="false">G139</f>
        <v>1.438</v>
      </c>
      <c r="H151" s="36" t="n">
        <f aca="false">H139</f>
        <v>3.837</v>
      </c>
      <c r="I151" s="36" t="n">
        <f aca="false">I139</f>
        <v>0.119</v>
      </c>
      <c r="J151" s="36" t="n">
        <f aca="false">J139</f>
        <v>-0.159</v>
      </c>
      <c r="K151" s="36" t="n">
        <f aca="false">K139</f>
        <v>-1.044</v>
      </c>
      <c r="L151" s="36" t="n">
        <f aca="false">L139</f>
        <v>0.008</v>
      </c>
      <c r="M151" s="36" t="n">
        <f aca="false">M139</f>
        <v>-0.445</v>
      </c>
      <c r="N151" s="36" t="n">
        <f aca="false">N139</f>
        <v>-1.64</v>
      </c>
      <c r="O151" s="36" t="n">
        <f aca="false">O139</f>
        <v>-7.046</v>
      </c>
      <c r="P151" s="36" t="n">
        <f aca="false">P139</f>
        <v>-2.249</v>
      </c>
      <c r="Q151" s="36" t="n">
        <f aca="false">Q139</f>
        <v>-1.021</v>
      </c>
      <c r="R151" s="36" t="n">
        <f aca="false">R139</f>
        <v>-2.81</v>
      </c>
      <c r="S151" s="36" t="n">
        <f aca="false">S139</f>
        <v>-13.126</v>
      </c>
      <c r="T151" s="36" t="n">
        <f aca="false">T139</f>
        <v>0.02</v>
      </c>
      <c r="U151" s="36" t="n">
        <f aca="false">U139</f>
        <v>-1.078</v>
      </c>
      <c r="V151" s="36" t="n">
        <f aca="false">V139</f>
        <v>0.646</v>
      </c>
      <c r="W151" s="36" t="n">
        <f aca="false">W139</f>
        <v>0.705</v>
      </c>
      <c r="X151" s="36" t="n">
        <f aca="false">X139</f>
        <v>0.293</v>
      </c>
      <c r="Y151" s="36" t="n">
        <f aca="false">Y139</f>
        <v>3.947</v>
      </c>
      <c r="Z151" s="36" t="n">
        <f aca="false">Z139</f>
        <v>0.832</v>
      </c>
      <c r="AA151" s="36" t="n">
        <f aca="false">AA139</f>
        <v>0.956</v>
      </c>
      <c r="AB151" s="36" t="n">
        <f aca="false">AB139</f>
        <v>0.428</v>
      </c>
      <c r="AC151" s="36" t="n">
        <f aca="false">AC139</f>
        <v>6.163</v>
      </c>
      <c r="AD151" s="36" t="n">
        <f aca="false">AD139</f>
        <v>0.537</v>
      </c>
      <c r="AE151" s="36" t="n">
        <f aca="false">AE139</f>
        <v>0.611</v>
      </c>
      <c r="AF151" s="36" t="n">
        <f aca="false">AF139</f>
        <v>0.079</v>
      </c>
      <c r="AG151" s="36" t="n">
        <f aca="false">AG139</f>
        <v>-0.127</v>
      </c>
      <c r="AH151" s="36" t="n">
        <f aca="false">AH139</f>
        <v>1.1</v>
      </c>
      <c r="AI151" s="36" t="n">
        <f aca="false">AI139</f>
        <v>-3.195</v>
      </c>
      <c r="AJ151" s="36" t="n">
        <f aca="false">AJ139</f>
        <v>0</v>
      </c>
      <c r="AK151" s="36" t="n">
        <f aca="false">AK139</f>
        <v>-5.425</v>
      </c>
      <c r="AL151" s="36" t="n">
        <f aca="false">AL139</f>
        <v>0</v>
      </c>
      <c r="AM151" s="36" t="n">
        <f aca="false">AM139</f>
        <v>0</v>
      </c>
      <c r="AN151" s="36" t="n">
        <f aca="false">AN139</f>
        <v>1.862</v>
      </c>
      <c r="AO151" s="36" t="n">
        <f aca="false">AO139</f>
        <v>1.242</v>
      </c>
      <c r="AP151" s="36" t="n">
        <f aca="false">AP139</f>
        <v>0.63</v>
      </c>
      <c r="AQ151" s="36" t="n">
        <f aca="false">AQ139</f>
        <v>-1.104</v>
      </c>
      <c r="AR151" s="36" t="n">
        <f aca="false">AR139</f>
        <v>2.63</v>
      </c>
      <c r="AS151" s="36" t="n">
        <f aca="false">AS139</f>
        <v>0.408</v>
      </c>
      <c r="AT151" s="36" t="n">
        <f aca="false">AT139</f>
        <v>0.759</v>
      </c>
      <c r="AU151" s="36" t="n">
        <f aca="false">AU139</f>
        <v>-0.978</v>
      </c>
      <c r="AV151" s="36" t="n">
        <f aca="false">AV139</f>
        <v>0.326</v>
      </c>
      <c r="AW151" s="36" t="n">
        <f aca="false">AW139</f>
        <v>0.515</v>
      </c>
      <c r="AX151" s="36" t="n">
        <f aca="false">AX139</f>
        <v>0.432</v>
      </c>
      <c r="AY151" s="36" t="n">
        <f aca="false">AY139</f>
        <v>0.227</v>
      </c>
      <c r="AZ151" s="36" t="n">
        <f aca="false">AZ139</f>
        <v>0.646</v>
      </c>
      <c r="BA151" s="36" t="n">
        <f aca="false">BA139</f>
        <v>-0.059</v>
      </c>
      <c r="BB151" s="36" t="n">
        <f aca="false">BB139</f>
        <v>1.246</v>
      </c>
      <c r="BC151" s="36" t="n">
        <f aca="false">BC139</f>
        <v>-0.114</v>
      </c>
      <c r="BD151" s="36" t="n">
        <f aca="false">BD139</f>
        <v>-1.659</v>
      </c>
      <c r="BE151" s="36" t="n">
        <f aca="false">BE139</f>
        <v>-2.48</v>
      </c>
      <c r="BF151" s="36" t="n">
        <f aca="false">BF139</f>
        <v>-3.378</v>
      </c>
      <c r="BG151" s="36" t="n">
        <f aca="false">BG139</f>
        <v>-7.631</v>
      </c>
      <c r="BH151" s="36" t="n">
        <f aca="false">BH139</f>
        <v>6.436</v>
      </c>
      <c r="BI151" s="36" t="n">
        <f aca="false">BI139</f>
        <v>-8.551</v>
      </c>
      <c r="BJ151" s="36" t="n">
        <f aca="false">BJ139</f>
        <v>2.876</v>
      </c>
      <c r="BK151" s="36" t="n">
        <f aca="false">BK139</f>
        <v>11.096</v>
      </c>
      <c r="BL151" s="36" t="n">
        <f aca="false">BL139</f>
        <v>11.857</v>
      </c>
      <c r="BM151" s="36" t="n">
        <f aca="false">BM139</f>
        <v>1.095</v>
      </c>
      <c r="BN151" s="36" t="n">
        <f aca="false">BN139</f>
        <v>-6.421</v>
      </c>
      <c r="BO151" s="36" t="n">
        <f aca="false">BO139</f>
        <v>0.434</v>
      </c>
      <c r="BP151" s="36" t="n">
        <f aca="false">BP139</f>
        <v>2.508</v>
      </c>
      <c r="BQ151" s="36" t="n">
        <f aca="false">BQ139</f>
        <v>-2.384</v>
      </c>
      <c r="BR151" s="36" t="n">
        <f aca="false">BR139</f>
        <v>3.288</v>
      </c>
      <c r="BS151" s="36" t="n">
        <f aca="false">BS139</f>
        <v>3.478</v>
      </c>
      <c r="BT151" s="36" t="n">
        <f aca="false">BT139</f>
        <v>2.208</v>
      </c>
      <c r="BU151" s="36" t="n">
        <f aca="false">BU139</f>
        <v>3.946</v>
      </c>
      <c r="BV151" s="36" t="n">
        <f aca="false">BV139</f>
        <v>12.92</v>
      </c>
      <c r="BW151" s="36" t="n">
        <f aca="false">BW139</f>
        <v>2.225</v>
      </c>
      <c r="BX151" s="36" t="n">
        <f aca="false">BX139</f>
        <v>2.277</v>
      </c>
      <c r="BY151" s="36" t="n">
        <f aca="false">BY139</f>
        <v>3.471</v>
      </c>
      <c r="BZ151" s="42" t="n">
        <f aca="false">BZ139</f>
        <v>0</v>
      </c>
      <c r="CA151" s="42" t="n">
        <f aca="false">CA139</f>
        <v>7.973</v>
      </c>
      <c r="CB151" s="42" t="n">
        <f aca="false">CB139</f>
        <v>0</v>
      </c>
      <c r="CC151" s="42" t="n">
        <f aca="false">CC139</f>
        <v>0</v>
      </c>
      <c r="CD151" s="42" t="n">
        <f aca="false">CD139</f>
        <v>0</v>
      </c>
      <c r="CE151" s="42" t="n">
        <f aca="false">CE139</f>
        <v>0</v>
      </c>
    </row>
    <row r="152" customFormat="false" ht="15" hidden="false" customHeight="true" outlineLevel="0" collapsed="false">
      <c r="B152" s="29" t="s">
        <v>278</v>
      </c>
      <c r="C152" s="30" t="n">
        <f aca="false">IFERROR(MIN(MAX(C107,0.15),0.4),0.25)</f>
        <v>0.326649266211337</v>
      </c>
      <c r="D152" s="30" t="n">
        <f aca="false">IFERROR(MIN(MAX(D107,0.15),0.4),0.25)</f>
        <v>0.332423686244204</v>
      </c>
      <c r="E152" s="30" t="n">
        <f aca="false">IFERROR(MIN(MAX(E107,0.15),0.4),0.25)</f>
        <v>0.344720285500355</v>
      </c>
      <c r="F152" s="30" t="n">
        <f aca="false">IFERROR(MIN(MAX(F107,0.15),0.4),0.25)</f>
        <v>0.318743240935739</v>
      </c>
      <c r="G152" s="30" t="n">
        <f aca="false">IFERROR(MIN(MAX(G107,0.15),0.4),0.25)</f>
        <v>0.336527440282426</v>
      </c>
      <c r="H152" s="30" t="n">
        <f aca="false">IFERROR(MIN(MAX(H107,0.15),0.4),0.25)</f>
        <v>0.310076398777041</v>
      </c>
      <c r="I152" s="30" t="n">
        <f aca="false">IFERROR(MIN(MAX(I107,0.15),0.4),0.25)</f>
        <v>0.338141771366527</v>
      </c>
      <c r="J152" s="30" t="n">
        <f aca="false">IFERROR(MIN(MAX(J107,0.15),0.4),0.25)</f>
        <v>0.277585010409438</v>
      </c>
      <c r="K152" s="30" t="n">
        <f aca="false">IFERROR(MIN(MAX(K107,0.15),0.4),0.25)</f>
        <v>0.340553058166462</v>
      </c>
      <c r="L152" s="30" t="n">
        <f aca="false">IFERROR(MIN(MAX(L107,0.15),0.4),0.25)</f>
        <v>0.266002364465462</v>
      </c>
      <c r="M152" s="30" t="n">
        <f aca="false">IFERROR(MIN(MAX(M107,0.15),0.4),0.25)</f>
        <v>0.346949582747476</v>
      </c>
      <c r="N152" s="30" t="n">
        <f aca="false">IFERROR(MIN(MAX(N107,0.15),0.4),0.25)</f>
        <v>0.310907773247548</v>
      </c>
      <c r="O152" s="30" t="n">
        <f aca="false">IFERROR(MIN(MAX(O107,0.15),0.4),0.25)</f>
        <v>0.339003694531282</v>
      </c>
      <c r="P152" s="30" t="n">
        <f aca="false">IFERROR(MIN(MAX(P107,0.15),0.4),0.25)</f>
        <v>0.318219633943427</v>
      </c>
      <c r="Q152" s="30" t="n">
        <f aca="false">IFERROR(MIN(MAX(Q107,0.15),0.4),0.25)</f>
        <v>0.233836560551362</v>
      </c>
      <c r="R152" s="30" t="n">
        <f aca="false">IFERROR(MIN(MAX(R107,0.15),0.4),0.25)</f>
        <v>0.312511909752658</v>
      </c>
      <c r="S152" s="30" t="n">
        <f aca="false">IFERROR(MIN(MAX(S107,0.15),0.4),0.25)</f>
        <v>0.301150212517374</v>
      </c>
      <c r="T152" s="30" t="n">
        <f aca="false">IFERROR(MIN(MAX(T107,0.15),0.4),0.25)</f>
        <v>0.294563759864589</v>
      </c>
      <c r="U152" s="30" t="n">
        <f aca="false">IFERROR(MIN(MAX(U107,0.15),0.4),0.25)</f>
        <v>0.299978183404843</v>
      </c>
      <c r="V152" s="30" t="n">
        <f aca="false">IFERROR(MIN(MAX(V107,0.15),0.4),0.25)</f>
        <v>0.319717670079318</v>
      </c>
      <c r="W152" s="30" t="n">
        <f aca="false">IFERROR(MIN(MAX(W107,0.15),0.4),0.25)</f>
        <v>0.345078907051806</v>
      </c>
      <c r="X152" s="30" t="n">
        <f aca="false">IFERROR(MIN(MAX(X107,0.15),0.4),0.25)</f>
        <v>0.3173841147917</v>
      </c>
      <c r="Y152" s="30" t="n">
        <f aca="false">IFERROR(MIN(MAX(Y107,0.15),0.4),0.25)</f>
        <v>0.29037610619469</v>
      </c>
      <c r="Z152" s="30" t="n">
        <f aca="false">IFERROR(MIN(MAX(Z107,0.15),0.4),0.25)</f>
        <v>0.327546171708007</v>
      </c>
      <c r="AA152" s="30" t="n">
        <f aca="false">IFERROR(MIN(MAX(AA107,0.15),0.4),0.25)</f>
        <v>0.304841955723926</v>
      </c>
      <c r="AB152" s="30" t="n">
        <f aca="false">IFERROR(MIN(MAX(AB107,0.15),0.4),0.25)</f>
        <v>0.329174625106677</v>
      </c>
      <c r="AC152" s="30" t="n">
        <f aca="false">IFERROR(MIN(MAX(AC107,0.15),0.4),0.25)</f>
        <v>0.31472476171951</v>
      </c>
      <c r="AD152" s="30" t="n">
        <f aca="false">IFERROR(MIN(MAX(AD107,0.15),0.4),0.25)</f>
        <v>0.266391817965591</v>
      </c>
      <c r="AE152" s="30" t="n">
        <f aca="false">IFERROR(MIN(MAX(AE107,0.15),0.4),0.25)</f>
        <v>0.319805173082842</v>
      </c>
      <c r="AF152" s="30" t="n">
        <f aca="false">IFERROR(MIN(MAX(AF107,0.15),0.4),0.25)</f>
        <v>0.303214890016921</v>
      </c>
      <c r="AG152" s="30" t="n">
        <f aca="false">IFERROR(MIN(MAX(AG107,0.15),0.4),0.25)</f>
        <v>0.315227090987055</v>
      </c>
      <c r="AH152" s="30" t="n">
        <f aca="false">IFERROR(MIN(MAX(AH107,0.15),0.4),0.25)</f>
        <v>0.303060813532018</v>
      </c>
      <c r="AI152" s="30" t="n">
        <f aca="false">IFERROR(MIN(MAX(AI107,0.15),0.4),0.25)</f>
        <v>0.15</v>
      </c>
      <c r="AJ152" s="30" t="n">
        <f aca="false">IFERROR(MIN(MAX(AJ107,0.15),0.4),0.25)</f>
        <v>0.236081054495377</v>
      </c>
      <c r="AK152" s="30" t="n">
        <f aca="false">IFERROR(MIN(MAX(AK107,0.15),0.4),0.25)</f>
        <v>0.231011769113102</v>
      </c>
      <c r="AL152" s="30" t="n">
        <f aca="false">IFERROR(MIN(MAX(AL107,0.15),0.4),0.25)</f>
        <v>0.248526592345381</v>
      </c>
      <c r="AM152" s="30" t="n">
        <f aca="false">IFERROR(MIN(MAX(AM107,0.15),0.4),0.25)</f>
        <v>0.198155414470397</v>
      </c>
      <c r="AN152" s="30" t="n">
        <f aca="false">IFERROR(MIN(MAX(AN107,0.15),0.4),0.25)</f>
        <v>0.15</v>
      </c>
      <c r="AO152" s="30" t="n">
        <f aca="false">IFERROR(MIN(MAX(AO107,0.15),0.4),0.25)</f>
        <v>0.224645602196535</v>
      </c>
      <c r="AP152" s="30" t="n">
        <f aca="false">IFERROR(MIN(MAX(AP107,0.15),0.4),0.25)</f>
        <v>0.219868779509281</v>
      </c>
      <c r="AQ152" s="30" t="n">
        <f aca="false">IFERROR(MIN(MAX(AQ107,0.15),0.4),0.25)</f>
        <v>0.197619893735969</v>
      </c>
      <c r="AR152" s="30" t="n">
        <f aca="false">IFERROR(MIN(MAX(AR107,0.15),0.4),0.25)</f>
        <v>0.178375254944146</v>
      </c>
      <c r="AS152" s="30" t="n">
        <f aca="false">IFERROR(MIN(MAX(AS107,0.15),0.4),0.25)</f>
        <v>0.15</v>
      </c>
      <c r="AT152" s="30" t="n">
        <f aca="false">IFERROR(MIN(MAX(AT107,0.15),0.4),0.25)</f>
        <v>0.225817872144983</v>
      </c>
      <c r="AU152" s="30" t="n">
        <f aca="false">IFERROR(MIN(MAX(AU107,0.15),0.4),0.25)</f>
        <v>0.15</v>
      </c>
      <c r="AV152" s="30" t="n">
        <f aca="false">IFERROR(MIN(MAX(AV107,0.15),0.4),0.25)</f>
        <v>0.2230397792596</v>
      </c>
      <c r="AW152" s="30" t="n">
        <f aca="false">IFERROR(MIN(MAX(AW107,0.15),0.4),0.25)</f>
        <v>0.15</v>
      </c>
      <c r="AX152" s="30" t="n">
        <f aca="false">IFERROR(MIN(MAX(AX107,0.15),0.4),0.25)</f>
        <v>0.15</v>
      </c>
      <c r="AY152" s="30" t="n">
        <f aca="false">IFERROR(MIN(MAX(AY107,0.15),0.4),0.25)</f>
        <v>0.194796306240852</v>
      </c>
      <c r="AZ152" s="30" t="n">
        <f aca="false">IFERROR(MIN(MAX(AZ107,0.15),0.4),0.25)</f>
        <v>0.157126597705549</v>
      </c>
      <c r="BA152" s="30" t="n">
        <f aca="false">IFERROR(MIN(MAX(BA107,0.15),0.4),0.25)</f>
        <v>0.182922559865565</v>
      </c>
      <c r="BB152" s="30" t="n">
        <f aca="false">IFERROR(MIN(MAX(BB107,0.15),0.4),0.25)</f>
        <v>0.15</v>
      </c>
      <c r="BC152" s="30" t="n">
        <f aca="false">IFERROR(MIN(MAX(BC107,0.15),0.4),0.25)</f>
        <v>0.15</v>
      </c>
      <c r="BD152" s="30" t="n">
        <f aca="false">IFERROR(MIN(MAX(BD107,0.15),0.4),0.25)</f>
        <v>0.237486897274633</v>
      </c>
      <c r="BE152" s="30" t="n">
        <f aca="false">IFERROR(MIN(MAX(BE107,0.15),0.4),0.25)</f>
        <v>0.269833550350627</v>
      </c>
      <c r="BF152" s="30" t="n">
        <f aca="false">IFERROR(MIN(MAX(BF107,0.15),0.4),0.25)</f>
        <v>0.230490385757091</v>
      </c>
      <c r="BG152" s="30" t="n">
        <f aca="false">IFERROR(MIN(MAX(BG107,0.15),0.4),0.25)</f>
        <v>0.204471073656428</v>
      </c>
      <c r="BH152" s="30" t="n">
        <f aca="false">IFERROR(MIN(MAX(BH107,0.15),0.4),0.25)</f>
        <v>0.169348010160881</v>
      </c>
      <c r="BI152" s="30" t="n">
        <f aca="false">IFERROR(MIN(MAX(BI107,0.15),0.4),0.25)</f>
        <v>0.212241544570724</v>
      </c>
      <c r="BJ152" s="30" t="n">
        <f aca="false">IFERROR(MIN(MAX(BJ107,0.15),0.4),0.25)</f>
        <v>0.183854132736893</v>
      </c>
      <c r="BK152" s="30" t="n">
        <f aca="false">IFERROR(MIN(MAX(BK107,0.15),0.4),0.25)</f>
        <v>0.227790432801822</v>
      </c>
      <c r="BL152" s="30" t="n">
        <f aca="false">IFERROR(MIN(MAX(BL107,0.15),0.4),0.25)</f>
        <v>0.199717981641793</v>
      </c>
      <c r="BM152" s="30" t="n">
        <f aca="false">IFERROR(MIN(MAX(BM107,0.15),0.4),0.25)</f>
        <v>0.15</v>
      </c>
      <c r="BN152" s="30" t="n">
        <f aca="false">IFERROR(MIN(MAX(BN107,0.15),0.4),0.25)</f>
        <v>0.211570943477829</v>
      </c>
      <c r="BO152" s="30" t="n">
        <f aca="false">IFERROR(MIN(MAX(BO107,0.15),0.4),0.25)</f>
        <v>0.180238136171298</v>
      </c>
      <c r="BP152" s="30" t="n">
        <f aca="false">IFERROR(MIN(MAX(BP107,0.15),0.4),0.25)</f>
        <v>0.179459012649141</v>
      </c>
      <c r="BQ152" s="30" t="n">
        <f aca="false">IFERROR(MIN(MAX(BQ107,0.15),0.4),0.25)</f>
        <v>0.174885549583374</v>
      </c>
      <c r="BR152" s="30" t="n">
        <f aca="false">IFERROR(MIN(MAX(BR107,0.15),0.4),0.25)</f>
        <v>0.15</v>
      </c>
      <c r="BS152" s="30" t="n">
        <f aca="false">IFERROR(MIN(MAX(BS107,0.15),0.4),0.25)</f>
        <v>0.210260139031043</v>
      </c>
      <c r="BT152" s="30" t="n">
        <f aca="false">IFERROR(MIN(MAX(BT107,0.15),0.4),0.25)</f>
        <v>0.188526683121968</v>
      </c>
      <c r="BU152" s="30" t="n">
        <f aca="false">IFERROR(MIN(MAX(BU107,0.15),0.4),0.25)</f>
        <v>0.180285789356671</v>
      </c>
      <c r="BV152" s="30" t="n">
        <f aca="false">IFERROR(MIN(MAX(BV107,0.15),0.4),0.25)</f>
        <v>0.165630728528998</v>
      </c>
      <c r="BW152" s="30" t="n">
        <f aca="false">IFERROR(MIN(MAX(BW107,0.15),0.4),0.25)</f>
        <v>0.15</v>
      </c>
      <c r="BX152" s="30" t="n">
        <f aca="false">IFERROR(MIN(MAX(BX107,0.15),0.4),0.25)</f>
        <v>0.211633546436557</v>
      </c>
      <c r="BY152" s="30" t="n">
        <f aca="false">IFERROR(MIN(MAX(BY107,0.15),0.4),0.25)</f>
        <v>0.20619006918753</v>
      </c>
      <c r="BZ152" s="23" t="n">
        <f aca="false">IFERROR(MIN(MAX(BZ107,0.15),0.4),0.25)</f>
        <v>0.21</v>
      </c>
      <c r="CA152" s="23" t="n">
        <f aca="false">IFERROR(MIN(MAX(CA107,0.15),0.4),0.25)</f>
        <v>0.191123403128741</v>
      </c>
      <c r="CB152" s="23" t="n">
        <f aca="false">IFERROR(MIN(MAX(CB107,0.15),0.4),0.25)</f>
        <v>0.205</v>
      </c>
      <c r="CC152" s="23" t="n">
        <f aca="false">IFERROR(MIN(MAX(CC107,0.15),0.4),0.25)</f>
        <v>0.205</v>
      </c>
      <c r="CD152" s="23" t="n">
        <f aca="false">IFERROR(MIN(MAX(CD107,0.15),0.4),0.25)</f>
        <v>0.205</v>
      </c>
      <c r="CE152" s="23" t="n">
        <f aca="false">IFERROR(MIN(MAX(CE107,0.15),0.4),0.25)</f>
        <v>0.205</v>
      </c>
      <c r="CF152" s="19" t="s">
        <v>279</v>
      </c>
    </row>
    <row r="153" customFormat="false" ht="15" hidden="false" customHeight="true" outlineLevel="0" collapsed="false">
      <c r="B153" s="29" t="s">
        <v>280</v>
      </c>
      <c r="C153" s="36" t="n">
        <f aca="false">-C151*C152</f>
        <v>-0</v>
      </c>
      <c r="D153" s="36" t="n">
        <f aca="false">-D151*D152</f>
        <v>-0</v>
      </c>
      <c r="E153" s="36" t="n">
        <f aca="false">-E151*E152</f>
        <v>-0.632561723893151</v>
      </c>
      <c r="F153" s="36" t="n">
        <f aca="false">-F151*F152</f>
        <v>-0.0956229722807217</v>
      </c>
      <c r="G153" s="36" t="n">
        <f aca="false">-G151*G152</f>
        <v>-0.483926459126129</v>
      </c>
      <c r="H153" s="36" t="n">
        <f aca="false">-H151*H152</f>
        <v>-1.18976314210751</v>
      </c>
      <c r="I153" s="36" t="n">
        <f aca="false">-I151*I152</f>
        <v>-0.0402388707926167</v>
      </c>
      <c r="J153" s="36" t="n">
        <f aca="false">-J151*J152</f>
        <v>0.0441360166551006</v>
      </c>
      <c r="K153" s="36" t="n">
        <f aca="false">-K151*K152</f>
        <v>0.355537392725787</v>
      </c>
      <c r="L153" s="36" t="n">
        <f aca="false">-L151*L152</f>
        <v>-0.0021280189157237</v>
      </c>
      <c r="M153" s="36" t="n">
        <f aca="false">-M151*M152</f>
        <v>0.154392564322627</v>
      </c>
      <c r="N153" s="36" t="n">
        <f aca="false">-N151*N152</f>
        <v>0.509888748125979</v>
      </c>
      <c r="O153" s="36" t="n">
        <f aca="false">-O151*O152</f>
        <v>2.38862003166741</v>
      </c>
      <c r="P153" s="36" t="n">
        <f aca="false">-P151*P152</f>
        <v>0.715675956738768</v>
      </c>
      <c r="Q153" s="36" t="n">
        <f aca="false">-Q151*Q152</f>
        <v>0.238747128322941</v>
      </c>
      <c r="R153" s="36" t="n">
        <f aca="false">-R151*R152</f>
        <v>0.878158466404969</v>
      </c>
      <c r="S153" s="36" t="n">
        <f aca="false">-S151*S152</f>
        <v>3.95289768950305</v>
      </c>
      <c r="T153" s="36" t="n">
        <f aca="false">-T151*T152</f>
        <v>-0.00589127519729177</v>
      </c>
      <c r="U153" s="36" t="n">
        <f aca="false">-U151*U152</f>
        <v>0.323376481710421</v>
      </c>
      <c r="V153" s="36" t="n">
        <f aca="false">-V151*V152</f>
        <v>-0.206537614871239</v>
      </c>
      <c r="W153" s="36" t="n">
        <f aca="false">-W151*W152</f>
        <v>-0.243280629471523</v>
      </c>
      <c r="X153" s="36" t="n">
        <f aca="false">-X151*X152</f>
        <v>-0.0929935456339682</v>
      </c>
      <c r="Y153" s="36" t="n">
        <f aca="false">-Y151*Y152</f>
        <v>-1.14611449115044</v>
      </c>
      <c r="Z153" s="36" t="n">
        <f aca="false">-Z151*Z152</f>
        <v>-0.272518414861062</v>
      </c>
      <c r="AA153" s="36" t="n">
        <f aca="false">-AA151*AA152</f>
        <v>-0.291428909672073</v>
      </c>
      <c r="AB153" s="36" t="n">
        <f aca="false">-AB151*AB152</f>
        <v>-0.140886739545658</v>
      </c>
      <c r="AC153" s="36" t="n">
        <f aca="false">-AC151*AC152</f>
        <v>-1.93964870647734</v>
      </c>
      <c r="AD153" s="36" t="n">
        <f aca="false">-AD151*AD152</f>
        <v>-0.143052406247522</v>
      </c>
      <c r="AE153" s="36" t="n">
        <f aca="false">-AE151*AE152</f>
        <v>-0.195400960753616</v>
      </c>
      <c r="AF153" s="36" t="n">
        <f aca="false">-AF151*AF152</f>
        <v>-0.0239539763113367</v>
      </c>
      <c r="AG153" s="36" t="n">
        <f aca="false">-AG151*AG152</f>
        <v>0.040033840555356</v>
      </c>
      <c r="AH153" s="36" t="n">
        <f aca="false">-AH151*AH152</f>
        <v>-0.333366894885219</v>
      </c>
      <c r="AI153" s="36" t="n">
        <f aca="false">-AI151*AI152</f>
        <v>0.47925</v>
      </c>
      <c r="AJ153" s="36" t="n">
        <f aca="false">-AJ151*AJ152</f>
        <v>-0</v>
      </c>
      <c r="AK153" s="36" t="n">
        <f aca="false">-AK151*AK152</f>
        <v>1.25323884743858</v>
      </c>
      <c r="AL153" s="36" t="n">
        <f aca="false">-AL151*AL152</f>
        <v>-0</v>
      </c>
      <c r="AM153" s="36" t="n">
        <f aca="false">-AM151*AM152</f>
        <v>-0</v>
      </c>
      <c r="AN153" s="36" t="n">
        <f aca="false">-AN151*AN152</f>
        <v>-0.2793</v>
      </c>
      <c r="AO153" s="36" t="n">
        <f aca="false">-AO151*AO152</f>
        <v>-0.279009837928096</v>
      </c>
      <c r="AP153" s="36" t="n">
        <f aca="false">-AP151*AP152</f>
        <v>-0.138517331090847</v>
      </c>
      <c r="AQ153" s="36" t="n">
        <f aca="false">-AQ151*AQ152</f>
        <v>0.21817236268451</v>
      </c>
      <c r="AR153" s="36" t="n">
        <f aca="false">-AR151*AR152</f>
        <v>-0.469126920503105</v>
      </c>
      <c r="AS153" s="36" t="n">
        <f aca="false">-AS151*AS152</f>
        <v>-0.0612</v>
      </c>
      <c r="AT153" s="36" t="n">
        <f aca="false">-AT151*AT152</f>
        <v>-0.171395764958042</v>
      </c>
      <c r="AU153" s="36" t="n">
        <f aca="false">-AU151*AU152</f>
        <v>0.1467</v>
      </c>
      <c r="AV153" s="36" t="n">
        <f aca="false">-AV151*AV152</f>
        <v>-0.0727109680386296</v>
      </c>
      <c r="AW153" s="36" t="n">
        <f aca="false">-AW151*AW152</f>
        <v>-0.07725</v>
      </c>
      <c r="AX153" s="36" t="n">
        <f aca="false">-AX151*AX152</f>
        <v>-0.0648</v>
      </c>
      <c r="AY153" s="36" t="n">
        <f aca="false">-AY151*AY152</f>
        <v>-0.0442187615166735</v>
      </c>
      <c r="AZ153" s="36" t="n">
        <f aca="false">-AZ151*AZ152</f>
        <v>-0.101503782117785</v>
      </c>
      <c r="BA153" s="36" t="n">
        <f aca="false">-BA151*BA152</f>
        <v>0.0107924310320683</v>
      </c>
      <c r="BB153" s="36" t="n">
        <f aca="false">-BB151*BB152</f>
        <v>-0.1869</v>
      </c>
      <c r="BC153" s="36" t="n">
        <f aca="false">-BC151*BC152</f>
        <v>0.0171</v>
      </c>
      <c r="BD153" s="36" t="n">
        <f aca="false">-BD151*BD152</f>
        <v>0.393990762578616</v>
      </c>
      <c r="BE153" s="36" t="n">
        <f aca="false">-BE151*BE152</f>
        <v>0.669187204869554</v>
      </c>
      <c r="BF153" s="36" t="n">
        <f aca="false">-BF151*BF152</f>
        <v>0.778596523087454</v>
      </c>
      <c r="BG153" s="36" t="n">
        <f aca="false">-BG151*BG152</f>
        <v>1.5603187630722</v>
      </c>
      <c r="BH153" s="36" t="n">
        <f aca="false">-BH151*BH152</f>
        <v>-1.08992379339543</v>
      </c>
      <c r="BI153" s="36" t="n">
        <f aca="false">-BI151*BI152</f>
        <v>1.81487744762426</v>
      </c>
      <c r="BJ153" s="36" t="n">
        <f aca="false">-BJ151*BJ152</f>
        <v>-0.528764485751305</v>
      </c>
      <c r="BK153" s="36" t="n">
        <f aca="false">-BK151*BK152</f>
        <v>-2.52756264236902</v>
      </c>
      <c r="BL153" s="36" t="n">
        <f aca="false">-BL151*BL152</f>
        <v>-2.36805610832675</v>
      </c>
      <c r="BM153" s="36" t="n">
        <f aca="false">-BM151*BM152</f>
        <v>-0.16425</v>
      </c>
      <c r="BN153" s="36" t="n">
        <f aca="false">-BN151*BN152</f>
        <v>1.35849702807114</v>
      </c>
      <c r="BO153" s="36" t="n">
        <f aca="false">-BO151*BO152</f>
        <v>-0.0782233510983435</v>
      </c>
      <c r="BP153" s="36" t="n">
        <f aca="false">-BP151*BP152</f>
        <v>-0.450083203724047</v>
      </c>
      <c r="BQ153" s="36" t="n">
        <f aca="false">-BQ151*BQ152</f>
        <v>0.416927150206764</v>
      </c>
      <c r="BR153" s="36" t="n">
        <f aca="false">-BR151*BR152</f>
        <v>-0.4932</v>
      </c>
      <c r="BS153" s="36" t="n">
        <f aca="false">-BS151*BS152</f>
        <v>-0.731284763549969</v>
      </c>
      <c r="BT153" s="36" t="n">
        <f aca="false">-BT151*BT152</f>
        <v>-0.416266916333305</v>
      </c>
      <c r="BU153" s="36" t="n">
        <f aca="false">-BU151*BU152</f>
        <v>-0.711407724801423</v>
      </c>
      <c r="BV153" s="36" t="n">
        <f aca="false">-BV151*BV152</f>
        <v>-2.13994901259465</v>
      </c>
      <c r="BW153" s="36" t="n">
        <f aca="false">-BW151*BW152</f>
        <v>-0.33375</v>
      </c>
      <c r="BX153" s="36" t="n">
        <f aca="false">-BX151*BX152</f>
        <v>-0.481889585236041</v>
      </c>
      <c r="BY153" s="36" t="n">
        <f aca="false">-BY151*BY152</f>
        <v>-0.715685730149917</v>
      </c>
      <c r="BZ153" s="42" t="n">
        <f aca="false">-BZ151*BZ152</f>
        <v>-0</v>
      </c>
      <c r="CA153" s="42" t="n">
        <f aca="false">-CA151*CA152</f>
        <v>-1.52382689314545</v>
      </c>
      <c r="CB153" s="42" t="n">
        <f aca="false">-CB151*CB152</f>
        <v>-0</v>
      </c>
      <c r="CC153" s="42" t="n">
        <f aca="false">-CC151*CC152</f>
        <v>-0</v>
      </c>
      <c r="CD153" s="42" t="n">
        <f aca="false">-CD151*CD152</f>
        <v>-0</v>
      </c>
      <c r="CE153" s="42" t="n">
        <f aca="false">-CE151*CE152</f>
        <v>-0</v>
      </c>
    </row>
    <row r="154" customFormat="false" ht="15" hidden="false" customHeight="true" outlineLevel="0" collapsed="false">
      <c r="B154" s="26" t="s">
        <v>281</v>
      </c>
      <c r="Y154" s="54" t="n">
        <v>2</v>
      </c>
      <c r="AC154" s="54" t="n">
        <v>2</v>
      </c>
      <c r="BH154" s="54" t="n">
        <v>4.3</v>
      </c>
      <c r="BJ154" s="54" t="n">
        <v>3.5</v>
      </c>
      <c r="BK154" s="54" t="n">
        <v>13.7</v>
      </c>
      <c r="BL154" s="54" t="n">
        <v>21.5</v>
      </c>
    </row>
    <row r="155" customFormat="false" ht="15" hidden="false" customHeight="true" outlineLevel="0" collapsed="false">
      <c r="B155" s="29" t="s">
        <v>282</v>
      </c>
      <c r="C155" s="62" t="n">
        <f aca="false">IF(ISNUMBER(C154),C154-C135*(1-C152),0)</f>
        <v>0</v>
      </c>
      <c r="D155" s="62" t="n">
        <f aca="false">IF(ISNUMBER(D154),D154-D135*(1-D152),0)</f>
        <v>0</v>
      </c>
      <c r="E155" s="62" t="n">
        <f aca="false">IF(ISNUMBER(E154),E154-E135*(1-E152),0)</f>
        <v>0</v>
      </c>
      <c r="F155" s="62" t="n">
        <f aca="false">IF(ISNUMBER(F154),F154-F135*(1-F152),0)</f>
        <v>0</v>
      </c>
      <c r="G155" s="62" t="n">
        <f aca="false">IF(ISNUMBER(G154),G154-G135*(1-G152),0)</f>
        <v>0</v>
      </c>
      <c r="H155" s="62" t="n">
        <f aca="false">IF(ISNUMBER(H154),H154-H135*(1-H152),0)</f>
        <v>0</v>
      </c>
      <c r="I155" s="62" t="n">
        <f aca="false">IF(ISNUMBER(I154),I154-I135*(1-I152),0)</f>
        <v>0</v>
      </c>
      <c r="J155" s="62" t="n">
        <f aca="false">IF(ISNUMBER(J154),J154-J135*(1-J152),0)</f>
        <v>0</v>
      </c>
      <c r="K155" s="62" t="n">
        <f aca="false">IF(ISNUMBER(K154),K154-K135*(1-K152),0)</f>
        <v>0</v>
      </c>
      <c r="L155" s="62" t="n">
        <f aca="false">IF(ISNUMBER(L154),L154-L135*(1-L152),0)</f>
        <v>0</v>
      </c>
      <c r="M155" s="62" t="n">
        <f aca="false">IF(ISNUMBER(M154),M154-M135*(1-M152),0)</f>
        <v>0</v>
      </c>
      <c r="N155" s="62" t="n">
        <f aca="false">IF(ISNUMBER(N154),N154-N135*(1-N152),0)</f>
        <v>0</v>
      </c>
      <c r="O155" s="62" t="n">
        <f aca="false">IF(ISNUMBER(O154),O154-O135*(1-O152),0)</f>
        <v>0</v>
      </c>
      <c r="P155" s="62" t="n">
        <f aca="false">IF(ISNUMBER(P154),P154-P135*(1-P152),0)</f>
        <v>0</v>
      </c>
      <c r="Q155" s="62" t="n">
        <f aca="false">IF(ISNUMBER(Q154),Q154-Q135*(1-Q152),0)</f>
        <v>0</v>
      </c>
      <c r="R155" s="62" t="n">
        <f aca="false">IF(ISNUMBER(R154),R154-R135*(1-R152),0)</f>
        <v>0</v>
      </c>
      <c r="S155" s="62" t="n">
        <f aca="false">IF(ISNUMBER(S154),S154-S135*(1-S152),0)</f>
        <v>0</v>
      </c>
      <c r="T155" s="62" t="n">
        <f aca="false">IF(ISNUMBER(T154),T154-T135*(1-T152),0)</f>
        <v>0</v>
      </c>
      <c r="U155" s="62" t="n">
        <f aca="false">IF(ISNUMBER(U154),U154-U135*(1-U152),0)</f>
        <v>0</v>
      </c>
      <c r="V155" s="62" t="n">
        <f aca="false">IF(ISNUMBER(V154),V154-V135*(1-V152),0)</f>
        <v>0</v>
      </c>
      <c r="W155" s="62" t="n">
        <f aca="false">IF(ISNUMBER(W154),W154-W135*(1-W152),0)</f>
        <v>0</v>
      </c>
      <c r="X155" s="62" t="n">
        <f aca="false">IF(ISNUMBER(X154),X154-X135*(1-X152),0)</f>
        <v>0</v>
      </c>
      <c r="Y155" s="62" t="n">
        <f aca="false">IF(ISNUMBER(Y154),Y154-Y135*(1-Y152),0)</f>
        <v>-0.19983407079646</v>
      </c>
      <c r="Z155" s="62" t="n">
        <f aca="false">IF(ISNUMBER(Z154),Z154-Z135*(1-Z152),0)</f>
        <v>0</v>
      </c>
      <c r="AA155" s="62" t="n">
        <f aca="false">IF(ISNUMBER(AA154),AA154-AA135*(1-AA152),0)</f>
        <v>0</v>
      </c>
      <c r="AB155" s="62" t="n">
        <f aca="false">IF(ISNUMBER(AB154),AB154-AB135*(1-AB152),0)</f>
        <v>0</v>
      </c>
      <c r="AC155" s="62" t="n">
        <f aca="false">IF(ISNUMBER(AC154),AC154-AC135*(1-AC152),0)</f>
        <v>-0.12435323866952</v>
      </c>
      <c r="AD155" s="62" t="n">
        <f aca="false">IF(ISNUMBER(AD154),AD154-AD135*(1-AD152),0)</f>
        <v>0</v>
      </c>
      <c r="AE155" s="62" t="n">
        <f aca="false">IF(ISNUMBER(AE154),AE154-AE135*(1-AE152),0)</f>
        <v>0</v>
      </c>
      <c r="AF155" s="62" t="n">
        <f aca="false">IF(ISNUMBER(AF154),AF154-AF135*(1-AF152),0)</f>
        <v>0</v>
      </c>
      <c r="AG155" s="62" t="n">
        <f aca="false">IF(ISNUMBER(AG154),AG154-AG135*(1-AG152),0)</f>
        <v>0</v>
      </c>
      <c r="AH155" s="62" t="n">
        <f aca="false">IF(ISNUMBER(AH154),AH154-AH135*(1-AH152),0)</f>
        <v>0</v>
      </c>
      <c r="AI155" s="62" t="n">
        <f aca="false">IF(ISNUMBER(AI154),AI154-AI135*(1-AI152),0)</f>
        <v>0</v>
      </c>
      <c r="AJ155" s="62" t="n">
        <f aca="false">IF(ISNUMBER(AJ154),AJ154-AJ135*(1-AJ152),0)</f>
        <v>0</v>
      </c>
      <c r="AK155" s="62" t="n">
        <f aca="false">IF(ISNUMBER(AK154),AK154-AK135*(1-AK152),0)</f>
        <v>0</v>
      </c>
      <c r="AL155" s="62" t="n">
        <f aca="false">IF(ISNUMBER(AL154),AL154-AL135*(1-AL152),0)</f>
        <v>0</v>
      </c>
      <c r="AM155" s="62" t="n">
        <f aca="false">IF(ISNUMBER(AM154),AM154-AM135*(1-AM152),0)</f>
        <v>0</v>
      </c>
      <c r="AN155" s="62" t="n">
        <f aca="false">IF(ISNUMBER(AN154),AN154-AN135*(1-AN152),0)</f>
        <v>0</v>
      </c>
      <c r="AO155" s="62" t="n">
        <f aca="false">IF(ISNUMBER(AO154),AO154-AO135*(1-AO152),0)</f>
        <v>0</v>
      </c>
      <c r="AP155" s="62" t="n">
        <f aca="false">IF(ISNUMBER(AP154),AP154-AP135*(1-AP152),0)</f>
        <v>0</v>
      </c>
      <c r="AQ155" s="62" t="n">
        <f aca="false">IF(ISNUMBER(AQ154),AQ154-AQ135*(1-AQ152),0)</f>
        <v>0</v>
      </c>
      <c r="AR155" s="62" t="n">
        <f aca="false">IF(ISNUMBER(AR154),AR154-AR135*(1-AR152),0)</f>
        <v>0</v>
      </c>
      <c r="AS155" s="62" t="n">
        <f aca="false">IF(ISNUMBER(AS154),AS154-AS135*(1-AS152),0)</f>
        <v>0</v>
      </c>
      <c r="AT155" s="62" t="n">
        <f aca="false">IF(ISNUMBER(AT154),AT154-AT135*(1-AT152),0)</f>
        <v>0</v>
      </c>
      <c r="AU155" s="62" t="n">
        <f aca="false">IF(ISNUMBER(AU154),AU154-AU135*(1-AU152),0)</f>
        <v>0</v>
      </c>
      <c r="AV155" s="62" t="n">
        <f aca="false">IF(ISNUMBER(AV154),AV154-AV135*(1-AV152),0)</f>
        <v>0</v>
      </c>
      <c r="AW155" s="62" t="n">
        <f aca="false">IF(ISNUMBER(AW154),AW154-AW135*(1-AW152),0)</f>
        <v>0</v>
      </c>
      <c r="AX155" s="62" t="n">
        <f aca="false">IF(ISNUMBER(AX154),AX154-AX135*(1-AX152),0)</f>
        <v>0</v>
      </c>
      <c r="AY155" s="62" t="n">
        <f aca="false">IF(ISNUMBER(AY154),AY154-AY135*(1-AY152),0)</f>
        <v>0</v>
      </c>
      <c r="AZ155" s="62" t="n">
        <f aca="false">IF(ISNUMBER(AZ154),AZ154-AZ135*(1-AZ152),0)</f>
        <v>0</v>
      </c>
      <c r="BA155" s="62" t="n">
        <f aca="false">IF(ISNUMBER(BA154),BA154-BA135*(1-BA152),0)</f>
        <v>0</v>
      </c>
      <c r="BB155" s="62" t="n">
        <f aca="false">IF(ISNUMBER(BB154),BB154-BB135*(1-BB152),0)</f>
        <v>0</v>
      </c>
      <c r="BC155" s="62" t="n">
        <f aca="false">IF(ISNUMBER(BC154),BC154-BC135*(1-BC152),0)</f>
        <v>0</v>
      </c>
      <c r="BD155" s="62" t="n">
        <f aca="false">IF(ISNUMBER(BD154),BD154-BD135*(1-BD152),0)</f>
        <v>0</v>
      </c>
      <c r="BE155" s="62" t="n">
        <f aca="false">IF(ISNUMBER(BE154),BE154-BE135*(1-BE152),0)</f>
        <v>0</v>
      </c>
      <c r="BF155" s="62" t="n">
        <f aca="false">IF(ISNUMBER(BF154),BF154-BF135*(1-BF152),0)</f>
        <v>0</v>
      </c>
      <c r="BG155" s="62" t="n">
        <f aca="false">IF(ISNUMBER(BG154),BG154-BG135*(1-BG152),0)</f>
        <v>0</v>
      </c>
      <c r="BH155" s="62" t="n">
        <f aca="false">IF(ISNUMBER(BH154),BH154-BH135*(1-BH152),0)</f>
        <v>0.0636748518204913</v>
      </c>
      <c r="BI155" s="62" t="n">
        <f aca="false">IF(ISNUMBER(BI154),BI154-BI135*(1-BI152),0)</f>
        <v>0</v>
      </c>
      <c r="BJ155" s="62" t="n">
        <f aca="false">IF(ISNUMBER(BJ154),BJ154-BJ135*(1-BJ152),0)</f>
        <v>0.643489464579126</v>
      </c>
      <c r="BK155" s="62" t="n">
        <f aca="false">IF(ISNUMBER(BK154),BK154-BK135*(1-BK152),0)</f>
        <v>3.66127562642369</v>
      </c>
      <c r="BL155" s="62" t="n">
        <f aca="false">IF(ISNUMBER(BL154),BL154-BL135*(1-BL152),0)</f>
        <v>4.21390840346274</v>
      </c>
      <c r="BM155" s="62" t="n">
        <f aca="false">IF(ISNUMBER(BM154),BM154-BM135*(1-BM152),0)</f>
        <v>0</v>
      </c>
      <c r="BN155" s="62" t="n">
        <f aca="false">IF(ISNUMBER(BN154),BN154-BN135*(1-BN152),0)</f>
        <v>0</v>
      </c>
      <c r="BO155" s="62" t="n">
        <f aca="false">IF(ISNUMBER(BO154),BO154-BO135*(1-BO152),0)</f>
        <v>0</v>
      </c>
      <c r="BP155" s="62" t="n">
        <f aca="false">IF(ISNUMBER(BP154),BP154-BP135*(1-BP152),0)</f>
        <v>0</v>
      </c>
      <c r="BQ155" s="62" t="n">
        <f aca="false">IF(ISNUMBER(BQ154),BQ154-BQ135*(1-BQ152),0)</f>
        <v>0</v>
      </c>
      <c r="BR155" s="62" t="n">
        <f aca="false">IF(ISNUMBER(BR154),BR154-BR135*(1-BR152),0)</f>
        <v>0</v>
      </c>
      <c r="BS155" s="62" t="n">
        <f aca="false">IF(ISNUMBER(BS154),BS154-BS135*(1-BS152),0)</f>
        <v>0</v>
      </c>
      <c r="BT155" s="62" t="n">
        <f aca="false">IF(ISNUMBER(BT154),BT154-BT135*(1-BT152),0)</f>
        <v>0</v>
      </c>
      <c r="BU155" s="62" t="n">
        <f aca="false">IF(ISNUMBER(BU154),BU154-BU135*(1-BU152),0)</f>
        <v>0</v>
      </c>
      <c r="BV155" s="62" t="n">
        <f aca="false">IF(ISNUMBER(BV154),BV154-BV135*(1-BV152),0)</f>
        <v>0</v>
      </c>
      <c r="BW155" s="62" t="n">
        <f aca="false">IF(ISNUMBER(BW154),BW154-BW135*(1-BW152),0)</f>
        <v>0</v>
      </c>
      <c r="BX155" s="62" t="n">
        <f aca="false">IF(ISNUMBER(BX154),BX154-BX135*(1-BX152),0)</f>
        <v>0</v>
      </c>
      <c r="BY155" s="62" t="n">
        <f aca="false">IF(ISNUMBER(BY154),BY154-BY135*(1-BY152),0)</f>
        <v>0</v>
      </c>
      <c r="BZ155" s="47" t="n">
        <v>0</v>
      </c>
      <c r="CB155" s="47" t="n">
        <v>0</v>
      </c>
      <c r="CC155" s="47" t="n">
        <v>0</v>
      </c>
      <c r="CD155" s="47" t="n">
        <v>0</v>
      </c>
      <c r="CE155" s="47" t="n">
        <v>0</v>
      </c>
      <c r="CF155" s="19" t="s">
        <v>283</v>
      </c>
    </row>
    <row r="156" customFormat="false" ht="15" hidden="false" customHeight="true" outlineLevel="0" collapsed="false">
      <c r="B156" s="29" t="s">
        <v>284</v>
      </c>
      <c r="C156" s="62" t="n">
        <f aca="false">IF(ISNUMBER(C157),-C157,0)</f>
        <v>0</v>
      </c>
      <c r="D156" s="62" t="n">
        <f aca="false">IF(ISNUMBER(D157),-D157,0)</f>
        <v>0</v>
      </c>
      <c r="E156" s="62" t="n">
        <f aca="false">IF(ISNUMBER(E157),-E157,0)</f>
        <v>0</v>
      </c>
      <c r="F156" s="62" t="n">
        <f aca="false">IF(ISNUMBER(F157),-F157,0)</f>
        <v>0</v>
      </c>
      <c r="G156" s="62" t="n">
        <f aca="false">IF(ISNUMBER(G157),-G157,0)</f>
        <v>0</v>
      </c>
      <c r="H156" s="62" t="n">
        <f aca="false">IF(ISNUMBER(H157),-H157,0)</f>
        <v>0</v>
      </c>
      <c r="I156" s="62" t="n">
        <f aca="false">IF(ISNUMBER(I157),-I157,0)</f>
        <v>0</v>
      </c>
      <c r="J156" s="62" t="n">
        <f aca="false">IF(ISNUMBER(J157),-J157,0)</f>
        <v>0</v>
      </c>
      <c r="K156" s="62" t="n">
        <f aca="false">IF(ISNUMBER(K157),-K157,0)</f>
        <v>0</v>
      </c>
      <c r="L156" s="62" t="n">
        <f aca="false">IF(ISNUMBER(L157),-L157,0)</f>
        <v>0</v>
      </c>
      <c r="M156" s="62" t="n">
        <f aca="false">IF(ISNUMBER(M157),-M157,0)</f>
        <v>0</v>
      </c>
      <c r="N156" s="62" t="n">
        <f aca="false">IF(ISNUMBER(N157),-N157,0)</f>
        <v>0</v>
      </c>
      <c r="O156" s="62" t="n">
        <f aca="false">IF(ISNUMBER(O157),-O157,0)</f>
        <v>0</v>
      </c>
      <c r="P156" s="62" t="n">
        <f aca="false">IF(ISNUMBER(P157),-P157,0)</f>
        <v>0</v>
      </c>
      <c r="Q156" s="62" t="n">
        <f aca="false">IF(ISNUMBER(Q157),-Q157,0)</f>
        <v>0</v>
      </c>
      <c r="R156" s="62" t="n">
        <f aca="false">IF(ISNUMBER(R157),-R157,0)</f>
        <v>0</v>
      </c>
      <c r="S156" s="62" t="n">
        <f aca="false">IF(ISNUMBER(S157),-S157,0)</f>
        <v>0</v>
      </c>
      <c r="T156" s="62" t="n">
        <f aca="false">IF(ISNUMBER(T157),-T157,0)</f>
        <v>0</v>
      </c>
      <c r="U156" s="62" t="n">
        <f aca="false">IF(ISNUMBER(U157),-U157,0)</f>
        <v>0</v>
      </c>
      <c r="V156" s="62" t="n">
        <f aca="false">IF(ISNUMBER(V157),-V157,0)</f>
        <v>0</v>
      </c>
      <c r="W156" s="62" t="n">
        <f aca="false">IF(ISNUMBER(W157),-W157,0)</f>
        <v>0</v>
      </c>
      <c r="X156" s="62" t="n">
        <f aca="false">IF(ISNUMBER(X157),-X157,0)</f>
        <v>0</v>
      </c>
      <c r="Y156" s="62" t="n">
        <f aca="false">IF(ISNUMBER(Y157),-Y157,0)</f>
        <v>0</v>
      </c>
      <c r="Z156" s="62" t="n">
        <f aca="false">IF(ISNUMBER(Z157),-Z157,0)</f>
        <v>0</v>
      </c>
      <c r="AA156" s="62" t="n">
        <f aca="false">IF(ISNUMBER(AA157),-AA157,0)</f>
        <v>0</v>
      </c>
      <c r="AB156" s="62" t="n">
        <f aca="false">IF(ISNUMBER(AB157),-AB157,0)</f>
        <v>0</v>
      </c>
      <c r="AC156" s="62" t="n">
        <f aca="false">IF(ISNUMBER(AC157),-AC157,0)</f>
        <v>0</v>
      </c>
      <c r="AD156" s="62" t="n">
        <f aca="false">IF(ISNUMBER(AD157),-AD157,0)</f>
        <v>-2.6</v>
      </c>
      <c r="AE156" s="62" t="n">
        <f aca="false">IF(ISNUMBER(AE157),-AE157,0)</f>
        <v>-0</v>
      </c>
      <c r="AF156" s="62" t="n">
        <f aca="false">IF(ISNUMBER(AF157),-AF157,0)</f>
        <v>-0</v>
      </c>
      <c r="AG156" s="62" t="n">
        <f aca="false">IF(ISNUMBER(AG157),-AG157,0)</f>
        <v>0.01</v>
      </c>
      <c r="AH156" s="62" t="n">
        <f aca="false">IF(ISNUMBER(AH157),-AH157,0)</f>
        <v>-2.59</v>
      </c>
      <c r="AI156" s="62" t="n">
        <f aca="false">IF(ISNUMBER(AI157),-AI157,0)</f>
        <v>-2.1</v>
      </c>
      <c r="AJ156" s="62" t="n">
        <f aca="false">IF(ISNUMBER(AJ157),-AJ157,0)</f>
        <v>-0</v>
      </c>
      <c r="AK156" s="62" t="n">
        <f aca="false">IF(ISNUMBER(AK157),-AK157,0)</f>
        <v>-0</v>
      </c>
      <c r="AL156" s="62" t="n">
        <f aca="false">IF(ISNUMBER(AL157),-AL157,0)</f>
        <v>-0</v>
      </c>
      <c r="AM156" s="62" t="n">
        <f aca="false">IF(ISNUMBER(AM157),-AM157,0)</f>
        <v>-2.1</v>
      </c>
      <c r="AN156" s="62" t="n">
        <f aca="false">IF(ISNUMBER(AN157),-AN157,0)</f>
        <v>-15.1</v>
      </c>
      <c r="AO156" s="62" t="n">
        <f aca="false">IF(ISNUMBER(AO157),-AO157,0)</f>
        <v>-0</v>
      </c>
      <c r="AP156" s="62" t="n">
        <f aca="false">IF(ISNUMBER(AP157),-AP157,0)</f>
        <v>-0</v>
      </c>
      <c r="AQ156" s="62" t="n">
        <f aca="false">IF(ISNUMBER(AQ157),-AQ157,0)</f>
        <v>0.1</v>
      </c>
      <c r="AR156" s="62" t="n">
        <f aca="false">IF(ISNUMBER(AR157),-AR157,0)</f>
        <v>-15</v>
      </c>
      <c r="AS156" s="62" t="n">
        <f aca="false">IF(ISNUMBER(AS157),-AS157,0)</f>
        <v>-46.3</v>
      </c>
      <c r="AT156" s="62" t="n">
        <f aca="false">IF(ISNUMBER(AT157),-AT157,0)</f>
        <v>-0</v>
      </c>
      <c r="AU156" s="62" t="n">
        <f aca="false">IF(ISNUMBER(AU157),-AU157,0)</f>
        <v>-0</v>
      </c>
      <c r="AV156" s="62" t="n">
        <f aca="false">IF(ISNUMBER(AV157),-AV157,0)</f>
        <v>-0.7</v>
      </c>
      <c r="AW156" s="62" t="n">
        <f aca="false">IF(ISNUMBER(AW157),-AW157,0)</f>
        <v>-47</v>
      </c>
      <c r="AX156" s="62" t="n">
        <f aca="false">IF(ISNUMBER(AX157),-AX157,0)</f>
        <v>-13.4</v>
      </c>
      <c r="AY156" s="62" t="n">
        <f aca="false">IF(ISNUMBER(AY157),-AY157,0)</f>
        <v>-0</v>
      </c>
      <c r="AZ156" s="62" t="n">
        <f aca="false">IF(ISNUMBER(AZ157),-AZ157,0)</f>
        <v>-0</v>
      </c>
      <c r="BA156" s="62" t="n">
        <f aca="false">IF(ISNUMBER(BA157),-BA157,0)</f>
        <v>-0.68</v>
      </c>
      <c r="BB156" s="62" t="n">
        <f aca="false">IF(ISNUMBER(BB157),-BB157,0)</f>
        <v>-14.08</v>
      </c>
      <c r="BC156" s="62" t="n">
        <f aca="false">IF(ISNUMBER(BC157),-BC157,0)</f>
        <v>-17.5</v>
      </c>
      <c r="BD156" s="62" t="n">
        <f aca="false">IF(ISNUMBER(BD157),-BD157,0)</f>
        <v>-0</v>
      </c>
      <c r="BE156" s="62" t="n">
        <f aca="false">IF(ISNUMBER(BE157),-BE157,0)</f>
        <v>-0</v>
      </c>
      <c r="BF156" s="62" t="n">
        <f aca="false">IF(ISNUMBER(BF157),-BF157,0)</f>
        <v>0.05</v>
      </c>
      <c r="BG156" s="62" t="n">
        <f aca="false">IF(ISNUMBER(BG157),-BG157,0)</f>
        <v>-17.45</v>
      </c>
      <c r="BH156" s="62" t="n">
        <f aca="false">IF(ISNUMBER(BH157),-BH157,0)</f>
        <v>-6.1</v>
      </c>
      <c r="BI156" s="62" t="n">
        <f aca="false">IF(ISNUMBER(BI157),-BI157,0)</f>
        <v>-0</v>
      </c>
      <c r="BJ156" s="62" t="n">
        <f aca="false">IF(ISNUMBER(BJ157),-BJ157,0)</f>
        <v>-0</v>
      </c>
      <c r="BK156" s="62" t="n">
        <f aca="false">IF(ISNUMBER(BK157),-BK157,0)</f>
        <v>0.1</v>
      </c>
      <c r="BL156" s="62" t="n">
        <f aca="false">IF(ISNUMBER(BL157),-BL157,0)</f>
        <v>-6</v>
      </c>
      <c r="BM156" s="62" t="n">
        <f aca="false">IF(ISNUMBER(BM157),-BM157,0)</f>
        <v>-13.3</v>
      </c>
      <c r="BN156" s="62" t="n">
        <f aca="false">IF(ISNUMBER(BN157),-BN157,0)</f>
        <v>-0</v>
      </c>
      <c r="BO156" s="62" t="n">
        <f aca="false">IF(ISNUMBER(BO157),-BO157,0)</f>
        <v>-0</v>
      </c>
      <c r="BP156" s="62" t="n">
        <f aca="false">IF(ISNUMBER(BP157),-BP157,0)</f>
        <v>0.04</v>
      </c>
      <c r="BQ156" s="62" t="n">
        <f aca="false">IF(ISNUMBER(BQ157),-BQ157,0)</f>
        <v>-13.26</v>
      </c>
      <c r="BR156" s="62" t="n">
        <f aca="false">IF(ISNUMBER(BR157),-BR157,0)</f>
        <v>-26.5</v>
      </c>
      <c r="BS156" s="62" t="n">
        <f aca="false">IF(ISNUMBER(BS157),-BS157,0)</f>
        <v>-0</v>
      </c>
      <c r="BT156" s="62" t="n">
        <f aca="false">IF(ISNUMBER(BT157),-BT157,0)</f>
        <v>-0</v>
      </c>
      <c r="BU156" s="62" t="n">
        <f aca="false">IF(ISNUMBER(BU157),-BU157,0)</f>
        <v>0.21</v>
      </c>
      <c r="BV156" s="62" t="n">
        <f aca="false">IF(ISNUMBER(BV157),-BV157,0)</f>
        <v>-26.29</v>
      </c>
      <c r="BW156" s="62" t="n">
        <f aca="false">IF(ISNUMBER(BW157),-BW157,0)</f>
        <v>-21.8</v>
      </c>
      <c r="BX156" s="62" t="n">
        <f aca="false">IF(ISNUMBER(BX157),-BX157,0)</f>
        <v>-0</v>
      </c>
      <c r="BY156" s="62" t="n">
        <f aca="false">IF(ISNUMBER(BY157),-BY157,0)</f>
        <v>-0</v>
      </c>
      <c r="BZ156" s="47" t="n">
        <v>0</v>
      </c>
      <c r="CB156" s="47" t="n">
        <v>0</v>
      </c>
      <c r="CC156" s="47" t="n">
        <v>0</v>
      </c>
      <c r="CD156" s="47" t="n">
        <v>0</v>
      </c>
      <c r="CE156" s="47" t="n">
        <v>0</v>
      </c>
      <c r="CF156" s="19" t="s">
        <v>285</v>
      </c>
    </row>
    <row r="157" customFormat="false" ht="15" hidden="false" customHeight="true" outlineLevel="0" collapsed="false">
      <c r="B157" s="26" t="s">
        <v>286</v>
      </c>
      <c r="AD157" s="54" t="n">
        <v>2.6</v>
      </c>
      <c r="AE157" s="54" t="n">
        <v>0</v>
      </c>
      <c r="AF157" s="54" t="n">
        <v>0</v>
      </c>
      <c r="AG157" s="54" t="n">
        <v>-0.01</v>
      </c>
      <c r="AH157" s="54" t="n">
        <v>2.59</v>
      </c>
      <c r="AI157" s="54" t="n">
        <v>2.1</v>
      </c>
      <c r="AJ157" s="54" t="n">
        <v>0</v>
      </c>
      <c r="AK157" s="54" t="n">
        <v>0</v>
      </c>
      <c r="AL157" s="54" t="n">
        <v>0</v>
      </c>
      <c r="AM157" s="54" t="n">
        <v>2.1</v>
      </c>
      <c r="AN157" s="54" t="n">
        <v>15.1</v>
      </c>
      <c r="AO157" s="54" t="n">
        <v>0</v>
      </c>
      <c r="AP157" s="54" t="n">
        <v>0</v>
      </c>
      <c r="AQ157" s="54" t="n">
        <v>-0.1</v>
      </c>
      <c r="AR157" s="54" t="n">
        <v>15</v>
      </c>
      <c r="AS157" s="54" t="n">
        <v>46.3</v>
      </c>
      <c r="AT157" s="54" t="n">
        <v>0</v>
      </c>
      <c r="AU157" s="54" t="n">
        <v>0</v>
      </c>
      <c r="AV157" s="54" t="n">
        <v>0.7</v>
      </c>
      <c r="AW157" s="54" t="n">
        <v>47</v>
      </c>
      <c r="AX157" s="54" t="n">
        <v>13.4</v>
      </c>
      <c r="AY157" s="54" t="n">
        <v>0</v>
      </c>
      <c r="AZ157" s="54" t="n">
        <v>0</v>
      </c>
      <c r="BA157" s="54" t="n">
        <v>0.68</v>
      </c>
      <c r="BB157" s="54" t="n">
        <v>14.08</v>
      </c>
      <c r="BC157" s="54" t="n">
        <v>17.5</v>
      </c>
      <c r="BD157" s="54" t="n">
        <v>0</v>
      </c>
      <c r="BE157" s="54" t="n">
        <v>0</v>
      </c>
      <c r="BF157" s="54" t="n">
        <v>-0.05</v>
      </c>
      <c r="BG157" s="54" t="n">
        <v>17.45</v>
      </c>
      <c r="BH157" s="54" t="n">
        <v>6.1</v>
      </c>
      <c r="BI157" s="54" t="n">
        <v>0</v>
      </c>
      <c r="BJ157" s="54" t="n">
        <v>0</v>
      </c>
      <c r="BK157" s="54" t="n">
        <v>-0.1</v>
      </c>
      <c r="BL157" s="54" t="n">
        <v>6</v>
      </c>
      <c r="BM157" s="54" t="n">
        <v>13.3</v>
      </c>
      <c r="BN157" s="54" t="n">
        <v>0</v>
      </c>
      <c r="BO157" s="54" t="n">
        <v>0</v>
      </c>
      <c r="BP157" s="54" t="n">
        <v>-0.04</v>
      </c>
      <c r="BQ157" s="54" t="n">
        <v>13.26</v>
      </c>
      <c r="BR157" s="54" t="n">
        <v>26.5</v>
      </c>
      <c r="BS157" s="54" t="n">
        <v>0</v>
      </c>
      <c r="BT157" s="54" t="n">
        <v>0</v>
      </c>
      <c r="BU157" s="54" t="n">
        <v>-0.21</v>
      </c>
      <c r="BV157" s="54" t="n">
        <v>26.29</v>
      </c>
      <c r="BW157" s="54" t="n">
        <v>21.8</v>
      </c>
      <c r="BX157" s="54" t="n">
        <v>0</v>
      </c>
      <c r="BY157" s="54" t="n">
        <v>0</v>
      </c>
    </row>
    <row r="158" customFormat="false" ht="15" hidden="false" customHeight="true" outlineLevel="0" collapsed="false">
      <c r="B158" s="29" t="s">
        <v>287</v>
      </c>
      <c r="C158" s="62" t="n">
        <f aca="false">IF(ISNUMBER(C159),-C159,0)</f>
        <v>0</v>
      </c>
      <c r="D158" s="62" t="n">
        <f aca="false">IF(ISNUMBER(D159),-D159,0)</f>
        <v>0</v>
      </c>
      <c r="E158" s="62" t="n">
        <f aca="false">IF(ISNUMBER(E159),-E159,0)</f>
        <v>0</v>
      </c>
      <c r="F158" s="62" t="n">
        <f aca="false">IF(ISNUMBER(F159),-F159,0)</f>
        <v>0</v>
      </c>
      <c r="G158" s="62" t="n">
        <f aca="false">IF(ISNUMBER(G159),-G159,0)</f>
        <v>0</v>
      </c>
      <c r="H158" s="62" t="n">
        <f aca="false">IF(ISNUMBER(H159),-H159,0)</f>
        <v>0</v>
      </c>
      <c r="I158" s="62" t="n">
        <f aca="false">IF(ISNUMBER(I159),-I159,0)</f>
        <v>0</v>
      </c>
      <c r="J158" s="62" t="n">
        <f aca="false">IF(ISNUMBER(J159),-J159,0)</f>
        <v>0</v>
      </c>
      <c r="K158" s="62" t="n">
        <f aca="false">IF(ISNUMBER(K159),-K159,0)</f>
        <v>0</v>
      </c>
      <c r="L158" s="62" t="n">
        <f aca="false">IF(ISNUMBER(L159),-L159,0)</f>
        <v>0</v>
      </c>
      <c r="M158" s="62" t="n">
        <f aca="false">IF(ISNUMBER(M159),-M159,0)</f>
        <v>0</v>
      </c>
      <c r="N158" s="62" t="n">
        <f aca="false">IF(ISNUMBER(N159),-N159,0)</f>
        <v>0</v>
      </c>
      <c r="O158" s="62" t="n">
        <f aca="false">IF(ISNUMBER(O159),-O159,0)</f>
        <v>0</v>
      </c>
      <c r="P158" s="62" t="n">
        <f aca="false">IF(ISNUMBER(P159),-P159,0)</f>
        <v>0</v>
      </c>
      <c r="Q158" s="62" t="n">
        <f aca="false">IF(ISNUMBER(Q159),-Q159,0)</f>
        <v>0</v>
      </c>
      <c r="R158" s="62" t="n">
        <f aca="false">IF(ISNUMBER(R159),-R159,0)</f>
        <v>0</v>
      </c>
      <c r="S158" s="62" t="n">
        <f aca="false">IF(ISNUMBER(S159),-S159,0)</f>
        <v>0</v>
      </c>
      <c r="T158" s="62" t="n">
        <f aca="false">IF(ISNUMBER(T159),-T159,0)</f>
        <v>0</v>
      </c>
      <c r="U158" s="62" t="n">
        <f aca="false">IF(ISNUMBER(U159),-U159,0)</f>
        <v>0</v>
      </c>
      <c r="V158" s="62" t="n">
        <f aca="false">IF(ISNUMBER(V159),-V159,0)</f>
        <v>0</v>
      </c>
      <c r="W158" s="62" t="n">
        <f aca="false">IF(ISNUMBER(W159),-W159,0)</f>
        <v>0</v>
      </c>
      <c r="X158" s="62" t="n">
        <f aca="false">IF(ISNUMBER(X159),-X159,0)</f>
        <v>0</v>
      </c>
      <c r="Y158" s="62" t="n">
        <f aca="false">IF(ISNUMBER(Y159),-Y159,0)</f>
        <v>0</v>
      </c>
      <c r="Z158" s="62" t="n">
        <f aca="false">IF(ISNUMBER(Z159),-Z159,0)</f>
        <v>0</v>
      </c>
      <c r="AA158" s="62" t="n">
        <f aca="false">IF(ISNUMBER(AA159),-AA159,0)</f>
        <v>0</v>
      </c>
      <c r="AB158" s="62" t="n">
        <f aca="false">IF(ISNUMBER(AB159),-AB159,0)</f>
        <v>0</v>
      </c>
      <c r="AC158" s="62" t="n">
        <f aca="false">IF(ISNUMBER(AC159),-AC159,0)</f>
        <v>0</v>
      </c>
      <c r="AD158" s="62" t="n">
        <f aca="false">IF(ISNUMBER(AD159),-AD159,0)</f>
        <v>0</v>
      </c>
      <c r="AE158" s="62" t="n">
        <f aca="false">IF(ISNUMBER(AE159),-AE159,0)</f>
        <v>0</v>
      </c>
      <c r="AF158" s="62" t="n">
        <f aca="false">IF(ISNUMBER(AF159),-AF159,0)</f>
        <v>0</v>
      </c>
      <c r="AG158" s="62" t="n">
        <f aca="false">IF(ISNUMBER(AG159),-AG159,0)</f>
        <v>0</v>
      </c>
      <c r="AH158" s="62" t="n">
        <f aca="false">IF(ISNUMBER(AH159),-AH159,0)</f>
        <v>0</v>
      </c>
      <c r="AI158" s="62" t="n">
        <f aca="false">IF(ISNUMBER(AI159),-AI159,0)</f>
        <v>-11.9</v>
      </c>
      <c r="AJ158" s="62" t="n">
        <f aca="false">IF(ISNUMBER(AJ159),-AJ159,0)</f>
        <v>-0</v>
      </c>
      <c r="AK158" s="62" t="n">
        <f aca="false">IF(ISNUMBER(AK159),-AK159,0)</f>
        <v>-0</v>
      </c>
      <c r="AL158" s="62" t="n">
        <f aca="false">IF(ISNUMBER(AL159),-AL159,0)</f>
        <v>-0.2</v>
      </c>
      <c r="AM158" s="62" t="n">
        <f aca="false">IF(ISNUMBER(AM159),-AM159,0)</f>
        <v>-12.1</v>
      </c>
      <c r="AN158" s="62" t="n">
        <f aca="false">IF(ISNUMBER(AN159),-AN159,0)</f>
        <v>0</v>
      </c>
      <c r="AO158" s="62" t="n">
        <f aca="false">IF(ISNUMBER(AO159),-AO159,0)</f>
        <v>0</v>
      </c>
      <c r="AP158" s="62" t="n">
        <f aca="false">IF(ISNUMBER(AP159),-AP159,0)</f>
        <v>0</v>
      </c>
      <c r="AQ158" s="62" t="n">
        <f aca="false">IF(ISNUMBER(AQ159),-AQ159,0)</f>
        <v>0</v>
      </c>
      <c r="AR158" s="62" t="n">
        <f aca="false">IF(ISNUMBER(AR159),-AR159,0)</f>
        <v>0</v>
      </c>
      <c r="AS158" s="62" t="n">
        <f aca="false">IF(ISNUMBER(AS159),-AS159,0)</f>
        <v>0</v>
      </c>
      <c r="AT158" s="62" t="n">
        <f aca="false">IF(ISNUMBER(AT159),-AT159,0)</f>
        <v>0</v>
      </c>
      <c r="AU158" s="62" t="n">
        <f aca="false">IF(ISNUMBER(AU159),-AU159,0)</f>
        <v>0</v>
      </c>
      <c r="AV158" s="62" t="n">
        <f aca="false">IF(ISNUMBER(AV159),-AV159,0)</f>
        <v>0</v>
      </c>
      <c r="AW158" s="62" t="n">
        <f aca="false">IF(ISNUMBER(AW159),-AW159,0)</f>
        <v>0</v>
      </c>
      <c r="AX158" s="62" t="n">
        <f aca="false">IF(ISNUMBER(AX159),-AX159,0)</f>
        <v>0</v>
      </c>
      <c r="AY158" s="62" t="n">
        <f aca="false">IF(ISNUMBER(AY159),-AY159,0)</f>
        <v>0</v>
      </c>
      <c r="AZ158" s="62" t="n">
        <f aca="false">IF(ISNUMBER(AZ159),-AZ159,0)</f>
        <v>0</v>
      </c>
      <c r="BA158" s="62" t="n">
        <f aca="false">IF(ISNUMBER(BA159),-BA159,0)</f>
        <v>0</v>
      </c>
      <c r="BB158" s="62" t="n">
        <f aca="false">IF(ISNUMBER(BB159),-BB159,0)</f>
        <v>0</v>
      </c>
      <c r="BC158" s="62" t="n">
        <f aca="false">IF(ISNUMBER(BC159),-BC159,0)</f>
        <v>0</v>
      </c>
      <c r="BD158" s="62" t="n">
        <f aca="false">IF(ISNUMBER(BD159),-BD159,0)</f>
        <v>0</v>
      </c>
      <c r="BE158" s="62" t="n">
        <f aca="false">IF(ISNUMBER(BE159),-BE159,0)</f>
        <v>0</v>
      </c>
      <c r="BF158" s="62" t="n">
        <f aca="false">IF(ISNUMBER(BF159),-BF159,0)</f>
        <v>0</v>
      </c>
      <c r="BG158" s="62" t="n">
        <f aca="false">IF(ISNUMBER(BG159),-BG159,0)</f>
        <v>0</v>
      </c>
      <c r="BH158" s="62" t="n">
        <f aca="false">IF(ISNUMBER(BH159),-BH159,0)</f>
        <v>0</v>
      </c>
      <c r="BI158" s="62" t="n">
        <f aca="false">IF(ISNUMBER(BI159),-BI159,0)</f>
        <v>0</v>
      </c>
      <c r="BJ158" s="62" t="n">
        <f aca="false">IF(ISNUMBER(BJ159),-BJ159,0)</f>
        <v>0</v>
      </c>
      <c r="BK158" s="62" t="n">
        <f aca="false">IF(ISNUMBER(BK159),-BK159,0)</f>
        <v>0</v>
      </c>
      <c r="BL158" s="62" t="n">
        <f aca="false">IF(ISNUMBER(BL159),-BL159,0)</f>
        <v>0</v>
      </c>
      <c r="BM158" s="62" t="n">
        <f aca="false">IF(ISNUMBER(BM159),-BM159,0)</f>
        <v>0</v>
      </c>
      <c r="BN158" s="62" t="n">
        <f aca="false">IF(ISNUMBER(BN159),-BN159,0)</f>
        <v>0</v>
      </c>
      <c r="BO158" s="62" t="n">
        <f aca="false">IF(ISNUMBER(BO159),-BO159,0)</f>
        <v>0</v>
      </c>
      <c r="BP158" s="62" t="n">
        <f aca="false">IF(ISNUMBER(BP159),-BP159,0)</f>
        <v>0</v>
      </c>
      <c r="BQ158" s="62" t="n">
        <f aca="false">IF(ISNUMBER(BQ159),-BQ159,0)</f>
        <v>0</v>
      </c>
      <c r="BR158" s="62" t="n">
        <f aca="false">IF(ISNUMBER(BR159),-BR159,0)</f>
        <v>0</v>
      </c>
      <c r="BS158" s="62" t="n">
        <f aca="false">IF(ISNUMBER(BS159),-BS159,0)</f>
        <v>0</v>
      </c>
      <c r="BT158" s="62" t="n">
        <f aca="false">IF(ISNUMBER(BT159),-BT159,0)</f>
        <v>0</v>
      </c>
      <c r="BU158" s="62" t="n">
        <f aca="false">IF(ISNUMBER(BU159),-BU159,0)</f>
        <v>0</v>
      </c>
      <c r="BV158" s="62" t="n">
        <f aca="false">IF(ISNUMBER(BV159),-BV159,0)</f>
        <v>0</v>
      </c>
      <c r="BW158" s="62" t="n">
        <f aca="false">IF(ISNUMBER(BW159),-BW159,0)</f>
        <v>0</v>
      </c>
      <c r="BX158" s="62" t="n">
        <f aca="false">IF(ISNUMBER(BX159),-BX159,0)</f>
        <v>0</v>
      </c>
      <c r="BY158" s="62" t="n">
        <f aca="false">IF(ISNUMBER(BY159),-BY159,0)</f>
        <v>0</v>
      </c>
      <c r="BZ158" s="47" t="n">
        <v>0</v>
      </c>
      <c r="CB158" s="47" t="n">
        <v>0</v>
      </c>
      <c r="CC158" s="47" t="n">
        <v>0</v>
      </c>
      <c r="CD158" s="47" t="n">
        <v>0</v>
      </c>
      <c r="CE158" s="47" t="n">
        <v>0</v>
      </c>
    </row>
    <row r="159" customFormat="false" ht="15" hidden="false" customHeight="true" outlineLevel="0" collapsed="false">
      <c r="B159" s="26" t="s">
        <v>288</v>
      </c>
      <c r="AI159" s="54" t="n">
        <v>11.9</v>
      </c>
      <c r="AJ159" s="54" t="n">
        <v>0</v>
      </c>
      <c r="AK159" s="54" t="n">
        <v>0</v>
      </c>
      <c r="AL159" s="54" t="n">
        <v>0.2</v>
      </c>
      <c r="AM159" s="54" t="n">
        <v>12.1</v>
      </c>
    </row>
    <row r="160" customFormat="false" ht="15" hidden="false" customHeight="true" outlineLevel="0" collapsed="false">
      <c r="B160" s="29" t="s">
        <v>289</v>
      </c>
      <c r="BZ160" s="47" t="n">
        <v>0</v>
      </c>
      <c r="CB160" s="47" t="n">
        <v>0</v>
      </c>
      <c r="CC160" s="47" t="n">
        <v>0</v>
      </c>
      <c r="CD160" s="47" t="n">
        <v>0</v>
      </c>
      <c r="CE160" s="47" t="n">
        <v>0</v>
      </c>
    </row>
    <row r="161" customFormat="false" ht="15" hidden="false" customHeight="true" outlineLevel="0" collapsed="false">
      <c r="B161" s="16" t="s">
        <v>290</v>
      </c>
      <c r="C161" s="53" t="n">
        <f aca="false">C150+C151+C153+N(C155)+N(C156)+N(C158)+N(C160)</f>
        <v>31.888</v>
      </c>
      <c r="D161" s="53" t="n">
        <f aca="false">D150+D151+D153+N(D155)+N(D156)+N(D158)+N(D160)</f>
        <v>39.005</v>
      </c>
      <c r="E161" s="53" t="n">
        <f aca="false">E150+E151+E153+N(E155)+N(E156)+N(E158)+N(E160)</f>
        <v>49.7134382761069</v>
      </c>
      <c r="F161" s="53" t="n">
        <f aca="false">F150+F151+F153+N(F155)+N(F156)+N(F158)+N(F160)</f>
        <v>44.8303770277193</v>
      </c>
      <c r="G161" s="53" t="n">
        <f aca="false">G150+G151+G153+N(G155)+N(G156)+N(G158)+N(G160)</f>
        <v>55.8920735408738</v>
      </c>
      <c r="H161" s="53" t="n">
        <f aca="false">H150+H151+H153+N(H155)+N(H156)+N(H158)+N(H160)</f>
        <v>75.4672368578925</v>
      </c>
      <c r="I161" s="53" t="n">
        <f aca="false">I150+I151+I153+N(I155)+N(I156)+N(I158)+N(I160)</f>
        <v>85.2257611292074</v>
      </c>
      <c r="J161" s="53" t="n">
        <f aca="false">J150+J151+J153+N(J155)+N(J156)+N(J158)+N(J160)</f>
        <v>19.8431360166551</v>
      </c>
      <c r="K161" s="53" t="n">
        <f aca="false">K150+K151+K153+N(K155)+N(K156)+N(K158)+N(K160)</f>
        <v>23.0115373927258</v>
      </c>
      <c r="L161" s="53" t="n">
        <f aca="false">L150+L151+L153+N(L155)+N(L156)+N(L158)+N(L160)</f>
        <v>28.9528719810843</v>
      </c>
      <c r="M161" s="53" t="n">
        <f aca="false">M150+M151+M153+N(M155)+N(M156)+N(M158)+N(M160)</f>
        <v>29.5003925643226</v>
      </c>
      <c r="N161" s="53" t="n">
        <f aca="false">N150+N151+N153+N(N155)+N(N156)+N(N158)+N(N160)</f>
        <v>101.265888748126</v>
      </c>
      <c r="O161" s="53" t="n">
        <f aca="false">O150+O151+O153+N(O155)+N(O156)+N(O158)+N(O160)</f>
        <v>22.7976200316674</v>
      </c>
      <c r="P161" s="53" t="n">
        <f aca="false">P150+P151+P153+N(P155)+N(P156)+N(P158)+N(P160)</f>
        <v>26.8336759567388</v>
      </c>
      <c r="Q161" s="53" t="n">
        <f aca="false">Q150+Q151+Q153+N(Q155)+N(Q156)+N(Q158)+N(Q160)</f>
        <v>32.5837471283229</v>
      </c>
      <c r="R161" s="53" t="n">
        <f aca="false">R150+R151+R153+N(R155)+N(R156)+N(R158)+N(R160)</f>
        <v>30.173158466405</v>
      </c>
      <c r="S161" s="53" t="n">
        <f aca="false">S150+S151+S153+N(S155)+N(S156)+N(S158)+N(S160)</f>
        <v>112.119897689503</v>
      </c>
      <c r="T161" s="53" t="n">
        <f aca="false">T150+T151+T153+N(T155)+N(T156)+N(T158)+N(T160)</f>
        <v>27.6541087248027</v>
      </c>
      <c r="U161" s="53" t="n">
        <f aca="false">U150+U151+U153+N(U155)+N(U156)+N(U158)+N(U160)</f>
        <v>32.3503764817104</v>
      </c>
      <c r="V161" s="53" t="n">
        <f aca="false">V150+V151+V153+N(V155)+N(V156)+N(V158)+N(V160)</f>
        <v>34.8084623851288</v>
      </c>
      <c r="W161" s="53" t="n">
        <f aca="false">W150+W151+W153+N(W155)+N(W156)+N(W158)+N(W160)</f>
        <v>38.7117193705285</v>
      </c>
      <c r="X161" s="53" t="n">
        <f aca="false">X150+X151+X153+N(X155)+N(X156)+N(X158)+N(X160)</f>
        <v>133.564006454366</v>
      </c>
      <c r="Y161" s="53" t="n">
        <f aca="false">Y150+Y151+Y153+N(Y155)+N(Y156)+N(Y158)+N(Y160)</f>
        <v>33.8720514380531</v>
      </c>
      <c r="Z161" s="53" t="n">
        <f aca="false">Z150+Z151+Z153+N(Z155)+N(Z156)+N(Z158)+N(Z160)</f>
        <v>39.216481585139</v>
      </c>
      <c r="AA161" s="53" t="n">
        <f aca="false">AA150+AA151+AA153+N(AA155)+N(AA156)+N(AA158)+N(AA160)</f>
        <v>42.6665710903279</v>
      </c>
      <c r="AB161" s="53" t="n">
        <f aca="false">AB150+AB151+AB153+N(AB155)+N(AB156)+N(AB158)+N(AB160)</f>
        <v>44.5491132604543</v>
      </c>
      <c r="AC161" s="53" t="n">
        <f aca="false">AC150+AC151+AC153+N(AC155)+N(AC156)+N(AC158)+N(AC160)</f>
        <v>160.290998054853</v>
      </c>
      <c r="AD161" s="53" t="n">
        <f aca="false">AD150+AD151+AD153+N(AD155)+N(AD156)+N(AD158)+N(AD160)</f>
        <v>38.7209475937525</v>
      </c>
      <c r="AE161" s="53" t="n">
        <f aca="false">AE150+AE151+AE153+N(AE155)+N(AE156)+N(AE158)+N(AE160)</f>
        <v>46.1015990392464</v>
      </c>
      <c r="AF161" s="53" t="n">
        <f aca="false">AF150+AF151+AF153+N(AF155)+N(AF156)+N(AF158)+N(AF160)</f>
        <v>45.7530460236887</v>
      </c>
      <c r="AG161" s="53" t="n">
        <f aca="false">AG150+AG151+AG153+N(AG155)+N(AG156)+N(AG158)+N(AG160)</f>
        <v>53.5970338405554</v>
      </c>
      <c r="AH161" s="53" t="n">
        <f aca="false">AH150+AH151+AH153+N(AH155)+N(AH156)+N(AH158)+N(AH160)</f>
        <v>184.161633105115</v>
      </c>
      <c r="AI161" s="53" t="n">
        <f aca="false">AI150+AI151+AI153+N(AI155)+N(AI156)+N(AI158)+N(AI160)</f>
        <v>48.43625</v>
      </c>
      <c r="AJ161" s="53" t="n">
        <f aca="false">AJ150+AJ151+AJ153+N(AJ155)+N(AJ156)+N(AJ158)+N(AJ160)</f>
        <v>59.618</v>
      </c>
      <c r="AK161" s="53" t="n">
        <f aca="false">AK150+AK151+AK153+N(AK155)+N(AK156)+N(AK158)+N(AK160)</f>
        <v>62.9142388474386</v>
      </c>
      <c r="AL161" s="53" t="n">
        <f aca="false">AL150+AL151+AL153+N(AL155)+N(AL156)+N(AL158)+N(AL160)</f>
        <v>67.177</v>
      </c>
      <c r="AM161" s="53" t="n">
        <f aca="false">AM150+AM151+AM153+N(AM155)+N(AM156)+N(AM158)+N(AM160)</f>
        <v>245.033</v>
      </c>
      <c r="AN161" s="53" t="n">
        <f aca="false">AN150+AN151+AN153+N(AN155)+N(AN156)+N(AN158)+N(AN160)</f>
        <v>65.8147</v>
      </c>
      <c r="AO161" s="53" t="n">
        <f aca="false">AO150+AO151+AO153+N(AO155)+N(AO156)+N(AO158)+N(AO160)</f>
        <v>82.7449901620719</v>
      </c>
      <c r="AP161" s="53" t="n">
        <f aca="false">AP150+AP151+AP153+N(AP155)+N(AP156)+N(AP158)+N(AP160)</f>
        <v>81.5894826689091</v>
      </c>
      <c r="AQ161" s="53" t="n">
        <f aca="false">AQ150+AQ151+AQ153+N(AQ155)+N(AQ156)+N(AQ158)+N(AQ160)</f>
        <v>84.8981723626845</v>
      </c>
      <c r="AR161" s="53" t="n">
        <f aca="false">AR150+AR151+AR153+N(AR155)+N(AR156)+N(AR158)+N(AR160)</f>
        <v>315.056873079497</v>
      </c>
      <c r="AS161" s="53" t="n">
        <f aca="false">AS150+AS151+AS153+N(AS155)+N(AS156)+N(AS158)+N(AS160)</f>
        <v>75.9348</v>
      </c>
      <c r="AT161" s="53" t="n">
        <f aca="false">AT150+AT151+AT153+N(AT155)+N(AT156)+N(AT158)+N(AT160)</f>
        <v>76.040604235042</v>
      </c>
      <c r="AU161" s="53" t="n">
        <f aca="false">AU150+AU151+AU153+N(AU155)+N(AU156)+N(AU158)+N(AU160)</f>
        <v>53.4847</v>
      </c>
      <c r="AV161" s="53" t="n">
        <f aca="false">AV150+AV151+AV153+N(AV155)+N(AV156)+N(AV158)+N(AV160)</f>
        <v>61.8802890319614</v>
      </c>
      <c r="AW161" s="53" t="n">
        <f aca="false">AW150+AW151+AW153+N(AW155)+N(AW156)+N(AW158)+N(AW160)</f>
        <v>267.42175</v>
      </c>
      <c r="AX161" s="53" t="n">
        <f aca="false">AX150+AX151+AX153+N(AX155)+N(AX156)+N(AX158)+N(AX160)</f>
        <v>57.5632</v>
      </c>
      <c r="AY161" s="53" t="n">
        <f aca="false">AY150+AY151+AY153+N(AY155)+N(AY156)+N(AY158)+N(AY160)</f>
        <v>70.8557812384834</v>
      </c>
      <c r="AZ161" s="53" t="n">
        <f aca="false">AZ150+AZ151+AZ153+N(AZ155)+N(AZ156)+N(AZ158)+N(AZ160)</f>
        <v>77.4334962178822</v>
      </c>
      <c r="BA161" s="53" t="n">
        <f aca="false">BA150+BA151+BA153+N(BA155)+N(BA156)+N(BA158)+N(BA160)</f>
        <v>85.3337924310321</v>
      </c>
      <c r="BB161" s="53" t="n">
        <f aca="false">BB150+BB151+BB153+N(BB155)+N(BB156)+N(BB158)+N(BB160)</f>
        <v>291.1991</v>
      </c>
      <c r="BC161" s="53" t="n">
        <f aca="false">BC150+BC151+BC153+N(BC155)+N(BC156)+N(BC158)+N(BC160)</f>
        <v>69.3241</v>
      </c>
      <c r="BD161" s="53" t="n">
        <f aca="false">BD150+BD151+BD153+N(BD155)+N(BD156)+N(BD158)+N(BD160)</f>
        <v>83.7449907625786</v>
      </c>
      <c r="BE161" s="53" t="n">
        <f aca="false">BE150+BE151+BE153+N(BE155)+N(BE156)+N(BE158)+N(BE160)</f>
        <v>80.7291872048696</v>
      </c>
      <c r="BF161" s="53" t="n">
        <f aca="false">BF150+BF151+BF153+N(BF155)+N(BF156)+N(BF158)+N(BF160)</f>
        <v>94.6545965230875</v>
      </c>
      <c r="BG161" s="53" t="n">
        <f aca="false">BG150+BG151+BG153+N(BG155)+N(BG156)+N(BG158)+N(BG160)</f>
        <v>328.154318763072</v>
      </c>
      <c r="BH161" s="53" t="n">
        <f aca="false">BH150+BH151+BH153+N(BH155)+N(BH156)+N(BH158)+N(BH160)</f>
        <v>92.336751058425</v>
      </c>
      <c r="BI161" s="53" t="n">
        <f aca="false">BI150+BI151+BI153+N(BI155)+N(BI156)+N(BI158)+N(BI160)</f>
        <v>98.3838774476243</v>
      </c>
      <c r="BJ161" s="53" t="n">
        <f aca="false">BJ150+BJ151+BJ153+N(BJ155)+N(BJ156)+N(BJ158)+N(BJ160)</f>
        <v>105.013724978828</v>
      </c>
      <c r="BK161" s="53" t="n">
        <f aca="false">BK150+BK151+BK153+N(BK155)+N(BK156)+N(BK158)+N(BK160)</f>
        <v>115.755712984055</v>
      </c>
      <c r="BL161" s="53" t="n">
        <f aca="false">BL150+BL151+BL153+N(BL155)+N(BL156)+N(BL158)+N(BL160)</f>
        <v>411.298852295136</v>
      </c>
      <c r="BM161" s="53" t="n">
        <f aca="false">BM150+BM151+BM153+N(BM155)+N(BM156)+N(BM158)+N(BM160)</f>
        <v>102.32875</v>
      </c>
      <c r="BN161" s="53" t="n">
        <f aca="false">BN150+BN151+BN153+N(BN155)+N(BN156)+N(BN158)+N(BN160)</f>
        <v>118.083497028071</v>
      </c>
      <c r="BO161" s="53" t="n">
        <f aca="false">BO150+BO151+BO153+N(BO155)+N(BO156)+N(BO158)+N(BO160)</f>
        <v>136.932776648902</v>
      </c>
      <c r="BP161" s="53" t="n">
        <f aca="false">BP150+BP151+BP153+N(BP155)+N(BP156)+N(BP158)+N(BP160)</f>
        <v>141.785916796276</v>
      </c>
      <c r="BQ161" s="53" t="n">
        <f aca="false">BQ150+BQ151+BQ153+N(BQ155)+N(BQ156)+N(BQ158)+N(BQ160)</f>
        <v>498.881927150207</v>
      </c>
      <c r="BR161" s="53" t="n">
        <f aca="false">BR150+BR151+BR153+N(BR155)+N(BR156)+N(BR158)+N(BR160)</f>
        <v>144.2498</v>
      </c>
      <c r="BS161" s="53" t="n">
        <f aca="false">BS150+BS151+BS153+N(BS155)+N(BS156)+N(BS158)+N(BS160)</f>
        <v>159.53971523645</v>
      </c>
      <c r="BT161" s="53" t="n">
        <f aca="false">BT150+BT151+BT153+N(BT155)+N(BT156)+N(BT158)+N(BT160)</f>
        <v>179.132733083667</v>
      </c>
      <c r="BU161" s="53" t="n">
        <f aca="false">BU150+BU151+BU153+N(BU155)+N(BU156)+N(BU158)+N(BU160)</f>
        <v>191.740592275199</v>
      </c>
      <c r="BV161" s="53" t="n">
        <f aca="false">BV150+BV151+BV153+N(BV155)+N(BV156)+N(BV158)+N(BV160)</f>
        <v>674.875050987405</v>
      </c>
      <c r="BW161" s="53" t="n">
        <f aca="false">BW150+BW151+BW153+N(BW155)+N(BW156)+N(BW158)+N(BW160)</f>
        <v>170.27925</v>
      </c>
      <c r="BX161" s="53" t="n">
        <f aca="false">BX150+BX151+BX153+N(BX155)+N(BX156)+N(BX158)+N(BX160)</f>
        <v>235.596110414764</v>
      </c>
      <c r="BY161" s="53" t="n">
        <f aca="false">BY150+BY151+BY153+N(BY155)+N(BY156)+N(BY158)+N(BY160)</f>
        <v>238.19431426985</v>
      </c>
      <c r="BZ161" s="18" t="n">
        <f aca="false">BZ150+BZ151+BZ153+N(BZ155)+N(BZ156)+N(BZ158)+N(BZ160)</f>
        <v>240.915841373961</v>
      </c>
      <c r="CA161" s="18" t="n">
        <f aca="false">CA150+CA151+CA153+N(CA155)+N(CA156)+N(CA158)+N(CA160)</f>
        <v>906.793014480817</v>
      </c>
      <c r="CB161" s="18" t="n">
        <f aca="false">CB150+CB151+CB153+N(CB155)+N(CB156)+N(CB158)+N(CB160)</f>
        <v>1023.54687092633</v>
      </c>
      <c r="CC161" s="18" t="n">
        <f aca="false">CC150+CC151+CC153+N(CC155)+N(CC156)+N(CC158)+N(CC160)</f>
        <v>1161.12155560081</v>
      </c>
      <c r="CD161" s="18" t="n">
        <f aca="false">CD150+CD151+CD153+N(CD155)+N(CD156)+N(CD158)+N(CD160)</f>
        <v>1276.10601343744</v>
      </c>
      <c r="CE161" s="18" t="n">
        <f aca="false">CE150+CE151+CE153+N(CE155)+N(CE156)+N(CE158)+N(CE160)</f>
        <v>1400.78793226789</v>
      </c>
      <c r="CH161" s="20" t="n">
        <f aca="false">IFERROR((CE161/BV161)^(1/5)-1,"n/m")</f>
        <v>0.157256966044089</v>
      </c>
      <c r="CI161" s="20" t="n">
        <f aca="false">IFERROR((BV161/AW161)^(1/5)-1,"n/m")</f>
        <v>0.20338703822205</v>
      </c>
      <c r="CJ161" s="20" t="n">
        <f aca="false">IFERROR((BV161/X161)^(1/10)-1,"n/m")</f>
        <v>0.17585398012313</v>
      </c>
      <c r="CK161" s="20" t="n">
        <f aca="false">IFERROR((BV161/C161)^(1/19)-1,"n/m")</f>
        <v>0.174270674895496</v>
      </c>
    </row>
    <row r="162" customFormat="false" ht="15" hidden="false" customHeight="true" outlineLevel="0" collapsed="false">
      <c r="B162" s="29" t="s">
        <v>238</v>
      </c>
      <c r="C162" s="62" t="n">
        <f aca="false">C118</f>
        <v>126.827254</v>
      </c>
      <c r="D162" s="62" t="n">
        <f aca="false">D118</f>
        <v>128.417244</v>
      </c>
      <c r="E162" s="62" t="n">
        <f aca="false">E118</f>
        <v>129.906445</v>
      </c>
      <c r="F162" s="62" t="n">
        <f aca="false">F118</f>
        <v>128.860622</v>
      </c>
      <c r="G162" s="62" t="n">
        <f aca="false">G118</f>
        <v>128.825493</v>
      </c>
      <c r="H162" s="62" t="n">
        <f aca="false">H118</f>
        <v>129.703528</v>
      </c>
      <c r="I162" s="62" t="n">
        <f aca="false">I118</f>
        <v>130.124512</v>
      </c>
      <c r="J162" s="62" t="n">
        <f aca="false">J118</f>
        <v>130.466309</v>
      </c>
      <c r="K162" s="62" t="n">
        <f aca="false">K118</f>
        <v>130.610352</v>
      </c>
      <c r="L162" s="62" t="n">
        <f aca="false">L118</f>
        <v>130.888672</v>
      </c>
      <c r="M162" s="62" t="n">
        <f aca="false">M118</f>
        <v>131.331543</v>
      </c>
      <c r="N162" s="62" t="n">
        <f aca="false">N118</f>
        <v>130.824219</v>
      </c>
      <c r="O162" s="62" t="n">
        <f aca="false">O118</f>
        <v>131.546875</v>
      </c>
      <c r="P162" s="62" t="n">
        <f aca="false">P118</f>
        <v>131.748047</v>
      </c>
      <c r="Q162" s="62" t="n">
        <f aca="false">Q118</f>
        <v>131.785156</v>
      </c>
      <c r="R162" s="62" t="n">
        <f aca="false">R118</f>
        <v>131.896484</v>
      </c>
      <c r="S162" s="62" t="n">
        <f aca="false">S118</f>
        <v>131.744141</v>
      </c>
      <c r="T162" s="62" t="n">
        <f aca="false">T118</f>
        <v>132.166016</v>
      </c>
      <c r="U162" s="62" t="n">
        <f aca="false">U118</f>
        <v>132.423828</v>
      </c>
      <c r="V162" s="62" t="n">
        <f aca="false">V118</f>
        <v>132.619141</v>
      </c>
      <c r="W162" s="62" t="n">
        <f aca="false">W118</f>
        <v>132.564453</v>
      </c>
      <c r="X162" s="62" t="n">
        <f aca="false">X118</f>
        <v>132.443359</v>
      </c>
      <c r="Y162" s="62" t="n">
        <f aca="false">Y118</f>
        <v>132.695312</v>
      </c>
      <c r="Z162" s="62" t="n">
        <f aca="false">Z118</f>
        <v>132.867188</v>
      </c>
      <c r="AA162" s="62" t="n">
        <f aca="false">AA118</f>
        <v>133.355469</v>
      </c>
      <c r="AB162" s="62" t="n">
        <f aca="false">AB118</f>
        <v>133.660156</v>
      </c>
      <c r="AC162" s="62" t="n">
        <f aca="false">AC118</f>
        <v>133.144531</v>
      </c>
      <c r="AD162" s="62" t="n">
        <f aca="false">AD118</f>
        <v>135.005859</v>
      </c>
      <c r="AE162" s="62" t="n">
        <f aca="false">AE118</f>
        <v>135.370313</v>
      </c>
      <c r="AF162" s="62" t="n">
        <f aca="false">AF118</f>
        <v>135.770312</v>
      </c>
      <c r="AG162" s="62" t="n">
        <f aca="false">AG118</f>
        <v>136.203516</v>
      </c>
      <c r="AH162" s="62" t="n">
        <f aca="false">AH118</f>
        <v>135.5875</v>
      </c>
      <c r="AI162" s="62" t="n">
        <f aca="false">AI118</f>
        <v>136.39</v>
      </c>
      <c r="AJ162" s="62" t="n">
        <f aca="false">AJ118</f>
        <v>136.58875</v>
      </c>
      <c r="AK162" s="62" t="n">
        <f aca="false">AK118</f>
        <v>136.733</v>
      </c>
      <c r="AL162" s="62" t="n">
        <f aca="false">AL118</f>
        <v>137.07225</v>
      </c>
      <c r="AM162" s="62" t="n">
        <f aca="false">AM118</f>
        <v>136.696</v>
      </c>
      <c r="AN162" s="62" t="n">
        <f aca="false">AN118</f>
        <v>136.978</v>
      </c>
      <c r="AO162" s="62" t="n">
        <f aca="false">AO118</f>
        <v>137.206</v>
      </c>
      <c r="AP162" s="62" t="n">
        <f aca="false">AP118</f>
        <v>137.634</v>
      </c>
      <c r="AQ162" s="62" t="n">
        <f aca="false">AQ118</f>
        <v>137.582</v>
      </c>
      <c r="AR162" s="62" t="n">
        <f aca="false">AR118</f>
        <v>137.35</v>
      </c>
      <c r="AS162" s="62" t="n">
        <f aca="false">AS118</f>
        <v>137.421</v>
      </c>
      <c r="AT162" s="62" t="n">
        <f aca="false">AT118</f>
        <v>137.117</v>
      </c>
      <c r="AU162" s="62" t="n">
        <f aca="false">AU118</f>
        <v>137.234</v>
      </c>
      <c r="AV162" s="62" t="n">
        <f aca="false">AV118</f>
        <v>137.436</v>
      </c>
      <c r="AW162" s="62" t="n">
        <f aca="false">AW118</f>
        <v>137.302</v>
      </c>
      <c r="AX162" s="62" t="n">
        <f aca="false">AX118</f>
        <v>137.742</v>
      </c>
      <c r="AY162" s="62" t="n">
        <f aca="false">AY118</f>
        <v>137.814</v>
      </c>
      <c r="AZ162" s="62" t="n">
        <f aca="false">AZ118</f>
        <v>137.957</v>
      </c>
      <c r="BA162" s="62" t="n">
        <f aca="false">BA118</f>
        <v>137.903</v>
      </c>
      <c r="BB162" s="62" t="n">
        <f aca="false">BB118</f>
        <v>137.854</v>
      </c>
      <c r="BC162" s="62" t="n">
        <f aca="false">BC118</f>
        <v>137.966</v>
      </c>
      <c r="BD162" s="62" t="n">
        <f aca="false">BD118</f>
        <v>137.867</v>
      </c>
      <c r="BE162" s="62" t="n">
        <f aca="false">BE118</f>
        <v>137.837</v>
      </c>
      <c r="BF162" s="62" t="n">
        <f aca="false">BF118</f>
        <v>138.478</v>
      </c>
      <c r="BG162" s="62" t="n">
        <f aca="false">BG118</f>
        <v>138.037</v>
      </c>
      <c r="BH162" s="62" t="n">
        <f aca="false">BH118</f>
        <v>138.579</v>
      </c>
      <c r="BI162" s="62" t="n">
        <f aca="false">BI118</f>
        <v>138.6</v>
      </c>
      <c r="BJ162" s="62" t="n">
        <f aca="false">BJ118</f>
        <v>138.668</v>
      </c>
      <c r="BK162" s="62" t="n">
        <f aca="false">BK118</f>
        <v>139.773</v>
      </c>
      <c r="BL162" s="62" t="n">
        <f aca="false">BL118</f>
        <v>138.905</v>
      </c>
      <c r="BM162" s="62" t="n">
        <f aca="false">BM118</f>
        <v>139.893</v>
      </c>
      <c r="BN162" s="62" t="n">
        <f aca="false">BN118</f>
        <v>140.059</v>
      </c>
      <c r="BO162" s="62" t="n">
        <f aca="false">BO118</f>
        <v>140.305</v>
      </c>
      <c r="BP162" s="62" t="n">
        <f aca="false">BP118</f>
        <v>140.535</v>
      </c>
      <c r="BQ162" s="62" t="n">
        <f aca="false">BQ118</f>
        <v>140.198</v>
      </c>
      <c r="BR162" s="62" t="n">
        <f aca="false">BR118</f>
        <v>140.484</v>
      </c>
      <c r="BS162" s="62" t="n">
        <f aca="false">BS118</f>
        <v>140.599</v>
      </c>
      <c r="BT162" s="62" t="n">
        <f aca="false">BT118</f>
        <v>140.95</v>
      </c>
      <c r="BU162" s="62" t="n">
        <f aca="false">BU118</f>
        <v>141.051</v>
      </c>
      <c r="BV162" s="62" t="n">
        <f aca="false">BV118</f>
        <v>140.771</v>
      </c>
      <c r="BW162" s="62" t="n">
        <f aca="false">BW118</f>
        <v>141.029</v>
      </c>
      <c r="BX162" s="62" t="n">
        <f aca="false">BX118</f>
        <v>141.068</v>
      </c>
      <c r="BY162" s="62" t="n">
        <f aca="false">BY118</f>
        <v>141.269</v>
      </c>
      <c r="BZ162" s="48" t="n">
        <f aca="false">BZ118</f>
        <v>141.269</v>
      </c>
      <c r="CA162" s="48" t="n">
        <f aca="false">CA118</f>
        <v>141.15875</v>
      </c>
      <c r="CB162" s="48" t="n">
        <f aca="false">CB118</f>
        <v>141.524405</v>
      </c>
      <c r="CC162" s="48" t="n">
        <f aca="false">CC118</f>
        <v>141.093376596364</v>
      </c>
      <c r="CD162" s="48" t="n">
        <f aca="false">CD118</f>
        <v>139.936189970024</v>
      </c>
      <c r="CE162" s="48" t="n">
        <f aca="false">CE118</f>
        <v>138.69482400056</v>
      </c>
    </row>
    <row r="163" customFormat="false" ht="15" hidden="false" customHeight="true" outlineLevel="0" collapsed="false">
      <c r="B163" s="49" t="s">
        <v>291</v>
      </c>
      <c r="C163" s="57" t="n">
        <f aca="false">IF(AND(ISNUMBER(C161),ISNUMBER(C162)),IFERROR(C161/C162,""),"")</f>
        <v>0.251428608554436</v>
      </c>
      <c r="D163" s="57" t="n">
        <f aca="false">IF(AND(ISNUMBER(D161),ISNUMBER(D162)),IFERROR(D161/D162,""),"")</f>
        <v>0.30373646704332</v>
      </c>
      <c r="E163" s="57" t="n">
        <f aca="false">IF(AND(ISNUMBER(E161),ISNUMBER(E162)),IFERROR(E161/E162,""),"")</f>
        <v>0.382686465449092</v>
      </c>
      <c r="F163" s="57" t="n">
        <f aca="false">IF(AND(ISNUMBER(F161),ISNUMBER(F162)),IFERROR(F161/F162,""),"")</f>
        <v>0.347898189003925</v>
      </c>
      <c r="G163" s="57" t="n">
        <f aca="false">IF(AND(ISNUMBER(G161),ISNUMBER(G162)),IFERROR(G161/G162,""),"")</f>
        <v>0.433858797970009</v>
      </c>
      <c r="H163" s="57" t="n">
        <f aca="false">IF(AND(ISNUMBER(H161),ISNUMBER(H162)),IFERROR(H161/H162,""),"")</f>
        <v>0.581844133475633</v>
      </c>
      <c r="I163" s="57" t="n">
        <f aca="false">IF(AND(ISNUMBER(I161),ISNUMBER(I162)),IFERROR(I161/I162,""),"")</f>
        <v>0.654955471642479</v>
      </c>
      <c r="J163" s="57" t="n">
        <f aca="false">IF(AND(ISNUMBER(J161),ISNUMBER(J162)),IFERROR(J161/J162,""),"")</f>
        <v>0.152093947998905</v>
      </c>
      <c r="K163" s="57" t="n">
        <f aca="false">IF(AND(ISNUMBER(K161),ISNUMBER(K162)),IFERROR(K161/K162,""),"")</f>
        <v>0.176184636518902</v>
      </c>
      <c r="L163" s="57" t="n">
        <f aca="false">IF(AND(ISNUMBER(L161),ISNUMBER(L162)),IFERROR(L161/L162,""),"")</f>
        <v>0.221202274716977</v>
      </c>
      <c r="M163" s="57" t="n">
        <f aca="false">IF(AND(ISNUMBER(M161),ISNUMBER(M162)),IFERROR(M161/M162,""),"")</f>
        <v>0.224625340496629</v>
      </c>
      <c r="N163" s="57" t="n">
        <f aca="false">IF(AND(ISNUMBER(N161),ISNUMBER(N162)),IFERROR(N161/N162,""),"")</f>
        <v>0.774060716908433</v>
      </c>
      <c r="O163" s="57" t="n">
        <f aca="false">IF(AND(ISNUMBER(O161),ISNUMBER(O162)),IFERROR(O161/O162,""),"")</f>
        <v>0.173304155128485</v>
      </c>
      <c r="P163" s="57" t="n">
        <f aca="false">IF(AND(ISNUMBER(P161),ISNUMBER(P162)),IFERROR(P161/P162,""),"")</f>
        <v>0.203674183927287</v>
      </c>
      <c r="Q163" s="57" t="n">
        <f aca="false">IF(AND(ISNUMBER(Q161),ISNUMBER(Q162)),IFERROR(Q161/Q162,""),"")</f>
        <v>0.247248993113632</v>
      </c>
      <c r="R163" s="57" t="n">
        <f aca="false">IF(AND(ISNUMBER(R161),ISNUMBER(R162)),IFERROR(R161/R162,""),"")</f>
        <v>0.22876393328578</v>
      </c>
      <c r="S163" s="57" t="n">
        <f aca="false">IF(AND(ISNUMBER(S161),ISNUMBER(S162)),IFERROR(S161/S162,""),"")</f>
        <v>0.851042762421616</v>
      </c>
      <c r="T163" s="57" t="n">
        <f aca="false">IF(AND(ISNUMBER(T161),ISNUMBER(T162)),IFERROR(T161/T162,""),"")</f>
        <v>0.209237666094155</v>
      </c>
      <c r="U163" s="57" t="n">
        <f aca="false">IF(AND(ISNUMBER(U161),ISNUMBER(U162)),IFERROR(U161/U162,""),"")</f>
        <v>0.244294225369398</v>
      </c>
      <c r="V163" s="57" t="n">
        <f aca="false">IF(AND(ISNUMBER(V161),ISNUMBER(V162)),IFERROR(V161/V162,""),"")</f>
        <v>0.262469369976758</v>
      </c>
      <c r="W163" s="57" t="n">
        <f aca="false">IF(AND(ISNUMBER(W161),ISNUMBER(W162)),IFERROR(W161/W162,""),"")</f>
        <v>0.292021869320643</v>
      </c>
      <c r="X163" s="57" t="n">
        <f aca="false">IF(AND(ISNUMBER(X161),ISNUMBER(X162)),IFERROR(X161/X162,""),"")</f>
        <v>1.00846133368126</v>
      </c>
      <c r="Y163" s="57" t="n">
        <f aca="false">IF(AND(ISNUMBER(Y161),ISNUMBER(Y162)),IFERROR(Y161/Y162,""),"")</f>
        <v>0.255261854601563</v>
      </c>
      <c r="Z163" s="57" t="n">
        <f aca="false">IF(AND(ISNUMBER(Z161),ISNUMBER(Z162)),IFERROR(Z161/Z162,""),"")</f>
        <v>0.295155502087837</v>
      </c>
      <c r="AA163" s="57" t="n">
        <f aca="false">IF(AND(ISNUMBER(AA161),ISNUMBER(AA162)),IFERROR(AA161/AA162,""),"")</f>
        <v>0.31994616651476</v>
      </c>
      <c r="AB163" s="57" t="n">
        <f aca="false">IF(AND(ISNUMBER(AB161),ISNUMBER(AB162)),IFERROR(AB161/AB162,""),"")</f>
        <v>0.333301371131531</v>
      </c>
      <c r="AC163" s="57" t="n">
        <f aca="false">IF(AND(ISNUMBER(AC161),ISNUMBER(AC162)),IFERROR(AC161/AC162,""),"")</f>
        <v>1.20388721076988</v>
      </c>
      <c r="AD163" s="57" t="n">
        <f aca="false">IF(AND(ISNUMBER(AD161),ISNUMBER(AD162)),IFERROR(AD161/AD162,""),"")</f>
        <v>0.286809386500422</v>
      </c>
      <c r="AE163" s="57" t="n">
        <f aca="false">IF(AND(ISNUMBER(AE161),ISNUMBER(AE162)),IFERROR(AE161/AE162,""),"")</f>
        <v>0.340559152280651</v>
      </c>
      <c r="AF163" s="57" t="n">
        <f aca="false">IF(AND(ISNUMBER(AF161),ISNUMBER(AF162)),IFERROR(AF161/AF162,""),"")</f>
        <v>0.336988590139563</v>
      </c>
      <c r="AG163" s="57" t="n">
        <f aca="false">IF(AND(ISNUMBER(AG161),ISNUMBER(AG162)),IFERROR(AG161/AG162,""),"")</f>
        <v>0.393506977019267</v>
      </c>
      <c r="AH163" s="57" t="n">
        <f aca="false">IF(AND(ISNUMBER(AH161),ISNUMBER(AH162)),IFERROR(AH161/AH162,""),"")</f>
        <v>1.35824934529448</v>
      </c>
      <c r="AI163" s="57" t="n">
        <f aca="false">IF(AND(ISNUMBER(AI161),ISNUMBER(AI162)),IFERROR(AI161/AI162,""),"")</f>
        <v>0.355130508101767</v>
      </c>
      <c r="AJ163" s="57" t="n">
        <f aca="false">IF(AND(ISNUMBER(AJ161),ISNUMBER(AJ162)),IFERROR(AJ161/AJ162,""),"")</f>
        <v>0.436478114046728</v>
      </c>
      <c r="AK163" s="57" t="n">
        <f aca="false">IF(AND(ISNUMBER(AK161),ISNUMBER(AK162)),IFERROR(AK161/AK162,""),"")</f>
        <v>0.460124760280536</v>
      </c>
      <c r="AL163" s="57" t="n">
        <f aca="false">IF(AND(ISNUMBER(AL161),ISNUMBER(AL162)),IFERROR(AL161/AL162,""),"")</f>
        <v>0.490084608664409</v>
      </c>
      <c r="AM163" s="57" t="n">
        <f aca="false">IF(AND(ISNUMBER(AM161),ISNUMBER(AM162)),IFERROR(AM161/AM162,""),"")</f>
        <v>1.79253965002634</v>
      </c>
      <c r="AN163" s="57" t="n">
        <f aca="false">IF(AND(ISNUMBER(AN161),ISNUMBER(AN162)),IFERROR(AN161/AN162,""),"")</f>
        <v>0.480476426871469</v>
      </c>
      <c r="AO163" s="57" t="n">
        <f aca="false">IF(AND(ISNUMBER(AO161),ISNUMBER(AO162)),IFERROR(AO161/AO162,""),"")</f>
        <v>0.603071222556389</v>
      </c>
      <c r="AP163" s="57" t="n">
        <f aca="false">IF(AND(ISNUMBER(AP161),ISNUMBER(AP162)),IFERROR(AP161/AP162,""),"")</f>
        <v>0.592800344892317</v>
      </c>
      <c r="AQ163" s="57" t="n">
        <f aca="false">IF(AND(ISNUMBER(AQ161),ISNUMBER(AQ162)),IFERROR(AQ161/AQ162,""),"")</f>
        <v>0.617073253497438</v>
      </c>
      <c r="AR163" s="57" t="n">
        <f aca="false">IF(AND(ISNUMBER(AR161),ISNUMBER(AR162)),IFERROR(AR161/AR162,""),"")</f>
        <v>2.29382506792499</v>
      </c>
      <c r="AS163" s="57" t="n">
        <f aca="false">IF(AND(ISNUMBER(AS161),ISNUMBER(AS162)),IFERROR(AS161/AS162,""),"")</f>
        <v>0.552570567817146</v>
      </c>
      <c r="AT163" s="57" t="n">
        <f aca="false">IF(AND(ISNUMBER(AT161),ISNUMBER(AT162)),IFERROR(AT161/AT162,""),"")</f>
        <v>0.55456729825654</v>
      </c>
      <c r="AU163" s="57" t="n">
        <f aca="false">IF(AND(ISNUMBER(AU161),ISNUMBER(AU162)),IFERROR(AU161/AU162,""),"")</f>
        <v>0.389733593715843</v>
      </c>
      <c r="AV163" s="57" t="n">
        <f aca="false">IF(AND(ISNUMBER(AV161),ISNUMBER(AV162)),IFERROR(AV161/AV162,""),"")</f>
        <v>0.450248035681782</v>
      </c>
      <c r="AW163" s="57" t="n">
        <f aca="false">IF(AND(ISNUMBER(AW161),ISNUMBER(AW162)),IFERROR(AW161/AW162,""),"")</f>
        <v>1.94769012833025</v>
      </c>
      <c r="AX163" s="57" t="n">
        <f aca="false">IF(AND(ISNUMBER(AX161),ISNUMBER(AX162)),IFERROR(AX161/AX162,""),"")</f>
        <v>0.417905940090894</v>
      </c>
      <c r="AY163" s="57" t="n">
        <f aca="false">IF(AND(ISNUMBER(AY161),ISNUMBER(AY162)),IFERROR(AY161/AY162,""),"")</f>
        <v>0.514140662330992</v>
      </c>
      <c r="AZ163" s="57" t="n">
        <f aca="false">IF(AND(ISNUMBER(AZ161),ISNUMBER(AZ162)),IFERROR(AZ161/AZ162,""),"")</f>
        <v>0.56128718526702</v>
      </c>
      <c r="BA163" s="57" t="n">
        <f aca="false">IF(AND(ISNUMBER(BA161),ISNUMBER(BA162)),IFERROR(BA161/BA162,""),"")</f>
        <v>0.618795765364293</v>
      </c>
      <c r="BB163" s="57" t="n">
        <f aca="false">IF(AND(ISNUMBER(BB161),ISNUMBER(BB162)),IFERROR(BB161/BB162,""),"")</f>
        <v>2.112373235452</v>
      </c>
      <c r="BC163" s="57" t="n">
        <f aca="false">IF(AND(ISNUMBER(BC161),ISNUMBER(BC162)),IFERROR(BC161/BC162,""),"")</f>
        <v>0.502472348259716</v>
      </c>
      <c r="BD163" s="57" t="n">
        <f aca="false">IF(AND(ISNUMBER(BD161),ISNUMBER(BD162)),IFERROR(BD161/BD162,""),"")</f>
        <v>0.607433183884313</v>
      </c>
      <c r="BE163" s="57" t="n">
        <f aca="false">IF(AND(ISNUMBER(BE161),ISNUMBER(BE162)),IFERROR(BE161/BE162,""),"")</f>
        <v>0.585685898596673</v>
      </c>
      <c r="BF163" s="57" t="n">
        <f aca="false">IF(AND(ISNUMBER(BF161),ISNUMBER(BF162)),IFERROR(BF161/BF162,""),"")</f>
        <v>0.683535265696266</v>
      </c>
      <c r="BG163" s="57" t="n">
        <f aca="false">IF(AND(ISNUMBER(BG161),ISNUMBER(BG162)),IFERROR(BG161/BG162,""),"")</f>
        <v>2.37729245610287</v>
      </c>
      <c r="BH163" s="57" t="n">
        <f aca="false">IF(AND(ISNUMBER(BH161),ISNUMBER(BH162)),IFERROR(BH161/BH162,""),"")</f>
        <v>0.666311281351612</v>
      </c>
      <c r="BI163" s="57" t="n">
        <f aca="false">IF(AND(ISNUMBER(BI161),ISNUMBER(BI162)),IFERROR(BI161/BI162,""),"")</f>
        <v>0.709840385624995</v>
      </c>
      <c r="BJ163" s="57" t="n">
        <f aca="false">IF(AND(ISNUMBER(BJ161),ISNUMBER(BJ162)),IFERROR(BJ161/BJ162,""),"")</f>
        <v>0.757303234912365</v>
      </c>
      <c r="BK163" s="57" t="n">
        <f aca="false">IF(AND(ISNUMBER(BK161),ISNUMBER(BK162)),IFERROR(BK161/BK162,""),"")</f>
        <v>0.828169338742494</v>
      </c>
      <c r="BL163" s="57" t="n">
        <f aca="false">IF(AND(ISNUMBER(BL161),ISNUMBER(BL162)),IFERROR(BL161/BL162,""),"")</f>
        <v>2.96100825956687</v>
      </c>
      <c r="BM163" s="57" t="n">
        <f aca="false">IF(AND(ISNUMBER(BM161),ISNUMBER(BM162)),IFERROR(BM161/BM162,""),"")</f>
        <v>0.731478701579064</v>
      </c>
      <c r="BN163" s="57" t="n">
        <f aca="false">IF(AND(ISNUMBER(BN161),ISNUMBER(BN162)),IFERROR(BN161/BN162,""),"")</f>
        <v>0.843098244511749</v>
      </c>
      <c r="BO163" s="57" t="n">
        <f aca="false">IF(AND(ISNUMBER(BO161),ISNUMBER(BO162)),IFERROR(BO161/BO162,""),"")</f>
        <v>0.975965052199862</v>
      </c>
      <c r="BP163" s="57" t="n">
        <f aca="false">IF(AND(ISNUMBER(BP161),ISNUMBER(BP162)),IFERROR(BP161/BP162,""),"")</f>
        <v>1.0089011050363</v>
      </c>
      <c r="BQ163" s="57" t="n">
        <f aca="false">IF(AND(ISNUMBER(BQ161),ISNUMBER(BQ162)),IFERROR(BQ161/BQ162,""),"")</f>
        <v>3.55840972874225</v>
      </c>
      <c r="BR163" s="57" t="n">
        <f aca="false">IF(AND(ISNUMBER(BR161),ISNUMBER(BR162)),IFERROR(BR161/BR162,""),"")</f>
        <v>1.02680589960423</v>
      </c>
      <c r="BS163" s="57" t="n">
        <f aca="false">IF(AND(ISNUMBER(BS161),ISNUMBER(BS162)),IFERROR(BS161/BS162,""),"")</f>
        <v>1.13471443777303</v>
      </c>
      <c r="BT163" s="57" t="n">
        <f aca="false">IF(AND(ISNUMBER(BT161),ISNUMBER(BT162)),IFERROR(BT161/BT162,""),"")</f>
        <v>1.27089558768121</v>
      </c>
      <c r="BU163" s="57" t="n">
        <f aca="false">IF(AND(ISNUMBER(BU161),ISNUMBER(BU162)),IFERROR(BU161/BU162,""),"")</f>
        <v>1.35937066929833</v>
      </c>
      <c r="BV163" s="57" t="n">
        <f aca="false">IF(AND(ISNUMBER(BV161),ISNUMBER(BV162)),IFERROR(BV161/BV162,""),"")</f>
        <v>4.79413409713226</v>
      </c>
      <c r="BW163" s="57" t="n">
        <f aca="false">IF(AND(ISNUMBER(BW161),ISNUMBER(BW162)),IFERROR(BW161/BW162,""),"")</f>
        <v>1.20740592360437</v>
      </c>
      <c r="BX163" s="57" t="n">
        <f aca="false">IF(AND(ISNUMBER(BX161),ISNUMBER(BX162)),IFERROR(BX161/BX162,""),"")</f>
        <v>1.67008896712765</v>
      </c>
      <c r="BY163" s="57" t="n">
        <f aca="false">IF(AND(ISNUMBER(BY161),ISNUMBER(BY162)),IFERROR(BY161/BY162,""),"")</f>
        <v>1.68610462500513</v>
      </c>
      <c r="BZ163" s="57" t="n">
        <f aca="false">IF(AND(ISNUMBER(BZ161),ISNUMBER(BZ162)),IFERROR(BZ161/BZ162,""),"")</f>
        <v>1.7053694821508</v>
      </c>
      <c r="CA163" s="57" t="n">
        <f aca="false">IF(AND(ISNUMBER(CA161),ISNUMBER(CA162)),IFERROR(CA161/CA162,""),"")</f>
        <v>6.42392352213955</v>
      </c>
      <c r="CB163" s="57" t="n">
        <f aca="false">IF(AND(ISNUMBER(CB161),ISNUMBER(CB162)),IFERROR(CB161/CB162,""),"")</f>
        <v>7.23229941101909</v>
      </c>
      <c r="CC163" s="57" t="n">
        <f aca="false">IF(AND(ISNUMBER(CC161),ISNUMBER(CC162)),IFERROR(CC161/CC162,""),"")</f>
        <v>8.22945473140471</v>
      </c>
      <c r="CD163" s="57" t="n">
        <f aca="false">IF(AND(ISNUMBER(CD161),ISNUMBER(CD162)),IFERROR(CD161/CD162,""),"")</f>
        <v>9.11919935586922</v>
      </c>
      <c r="CE163" s="57" t="n">
        <f aca="false">IF(AND(ISNUMBER(CE161),ISNUMBER(CE162)),IFERROR(CE161/CE162,""),"")</f>
        <v>10.0997852108904</v>
      </c>
      <c r="CH163" s="20" t="n">
        <f aca="false">IFERROR((CE163/BV163)^(1/5)-1,"n/m")</f>
        <v>0.160701089415431</v>
      </c>
      <c r="CI163" s="20" t="n">
        <f aca="false">IFERROR((BV163/AW163)^(1/5)-1,"n/m")</f>
        <v>0.197396716512124</v>
      </c>
      <c r="CJ163" s="20" t="n">
        <f aca="false">IFERROR((BV163/X163)^(1/10)-1,"n/m")</f>
        <v>0.168705512848813</v>
      </c>
      <c r="CK163" s="20" t="n">
        <f aca="false">IFERROR((BV163/C163)^(1/19)-1,"n/m")</f>
        <v>0.167841685018018</v>
      </c>
    </row>
    <row r="164" customFormat="false" ht="15" hidden="false" customHeight="true" outlineLevel="0" collapsed="false">
      <c r="B164" s="26" t="s">
        <v>292</v>
      </c>
      <c r="Y164" s="58" t="n">
        <v>0.25088</v>
      </c>
    </row>
    <row r="165" customFormat="false" ht="15" hidden="false" customHeight="true" outlineLevel="0" collapsed="false">
      <c r="B165" s="51" t="s">
        <v>293</v>
      </c>
      <c r="C165" s="55" t="str">
        <f aca="false">IF(ISNUMBER(C164),ROUND(C163-C164,2),"n/p")</f>
        <v>n/p</v>
      </c>
      <c r="D165" s="55" t="str">
        <f aca="false">IF(ISNUMBER(D164),ROUND(D163-D164,2),"n/p")</f>
        <v>n/p</v>
      </c>
      <c r="E165" s="55" t="str">
        <f aca="false">IF(ISNUMBER(E164),ROUND(E163-E164,2),"n/p")</f>
        <v>n/p</v>
      </c>
      <c r="F165" s="55" t="str">
        <f aca="false">IF(ISNUMBER(F164),ROUND(F163-F164,2),"n/p")</f>
        <v>n/p</v>
      </c>
      <c r="G165" s="55" t="str">
        <f aca="false">IF(ISNUMBER(G164),ROUND(G163-G164,2),"n/p")</f>
        <v>n/p</v>
      </c>
      <c r="H165" s="55" t="str">
        <f aca="false">IF(ISNUMBER(H164),ROUND(H163-H164,2),"n/p")</f>
        <v>n/p</v>
      </c>
      <c r="I165" s="55" t="str">
        <f aca="false">IF(ISNUMBER(I164),ROUND(I163-I164,2),"n/p")</f>
        <v>n/p</v>
      </c>
      <c r="J165" s="55" t="str">
        <f aca="false">IF(ISNUMBER(J164),ROUND(J163-J164,2),"n/p")</f>
        <v>n/p</v>
      </c>
      <c r="K165" s="55" t="str">
        <f aca="false">IF(ISNUMBER(K164),ROUND(K163-K164,2),"n/p")</f>
        <v>n/p</v>
      </c>
      <c r="L165" s="55" t="str">
        <f aca="false">IF(ISNUMBER(L164),ROUND(L163-L164,2),"n/p")</f>
        <v>n/p</v>
      </c>
      <c r="M165" s="55" t="str">
        <f aca="false">IF(ISNUMBER(M164),ROUND(M163-M164,2),"n/p")</f>
        <v>n/p</v>
      </c>
      <c r="N165" s="55" t="str">
        <f aca="false">IF(ISNUMBER(N164),ROUND(N163-N164,2),"n/p")</f>
        <v>n/p</v>
      </c>
      <c r="O165" s="55" t="str">
        <f aca="false">IF(ISNUMBER(O164),ROUND(O163-O164,2),"n/p")</f>
        <v>n/p</v>
      </c>
      <c r="P165" s="55" t="str">
        <f aca="false">IF(ISNUMBER(P164),ROUND(P163-P164,2),"n/p")</f>
        <v>n/p</v>
      </c>
      <c r="Q165" s="55" t="str">
        <f aca="false">IF(ISNUMBER(Q164),ROUND(Q163-Q164,2),"n/p")</f>
        <v>n/p</v>
      </c>
      <c r="R165" s="55" t="str">
        <f aca="false">IF(ISNUMBER(R164),ROUND(R163-R164,2),"n/p")</f>
        <v>n/p</v>
      </c>
      <c r="S165" s="55" t="str">
        <f aca="false">IF(ISNUMBER(S164),ROUND(S163-S164,2),"n/p")</f>
        <v>n/p</v>
      </c>
      <c r="T165" s="55" t="str">
        <f aca="false">IF(ISNUMBER(T164),ROUND(T163-T164,2),"n/p")</f>
        <v>n/p</v>
      </c>
      <c r="U165" s="55" t="str">
        <f aca="false">IF(ISNUMBER(U164),ROUND(U163-U164,2),"n/p")</f>
        <v>n/p</v>
      </c>
      <c r="V165" s="55" t="str">
        <f aca="false">IF(ISNUMBER(V164),ROUND(V163-V164,2),"n/p")</f>
        <v>n/p</v>
      </c>
      <c r="W165" s="55" t="str">
        <f aca="false">IF(ISNUMBER(W164),ROUND(W163-W164,2),"n/p")</f>
        <v>n/p</v>
      </c>
      <c r="X165" s="55" t="str">
        <f aca="false">IF(ISNUMBER(X164),ROUND(X163-X164,2),"n/p")</f>
        <v>n/p</v>
      </c>
      <c r="Y165" s="55" t="n">
        <f aca="false">IF(ISNUMBER(Y164),ROUND(Y163-Y164,2),"n/p")</f>
        <v>0</v>
      </c>
      <c r="Z165" s="55" t="str">
        <f aca="false">IF(ISNUMBER(Z164),ROUND(Z163-Z164,2),"n/p")</f>
        <v>n/p</v>
      </c>
      <c r="AA165" s="55" t="str">
        <f aca="false">IF(ISNUMBER(AA164),ROUND(AA163-AA164,2),"n/p")</f>
        <v>n/p</v>
      </c>
      <c r="AB165" s="55" t="str">
        <f aca="false">IF(ISNUMBER(AB164),ROUND(AB163-AB164,2),"n/p")</f>
        <v>n/p</v>
      </c>
      <c r="AC165" s="55" t="str">
        <f aca="false">IF(ISNUMBER(AC164),ROUND(AC163-AC164,2),"n/p")</f>
        <v>n/p</v>
      </c>
      <c r="AD165" s="55" t="str">
        <f aca="false">IF(ISNUMBER(AD164),ROUND(AD163-AD164,2),"n/p")</f>
        <v>n/p</v>
      </c>
      <c r="AE165" s="55" t="str">
        <f aca="false">IF(ISNUMBER(AE164),ROUND(AE163-AE164,2),"n/p")</f>
        <v>n/p</v>
      </c>
      <c r="AF165" s="55" t="str">
        <f aca="false">IF(ISNUMBER(AF164),ROUND(AF163-AF164,2),"n/p")</f>
        <v>n/p</v>
      </c>
      <c r="AG165" s="55" t="str">
        <f aca="false">IF(ISNUMBER(AG164),ROUND(AG163-AG164,2),"n/p")</f>
        <v>n/p</v>
      </c>
      <c r="AH165" s="55" t="str">
        <f aca="false">IF(ISNUMBER(AH164),ROUND(AH163-AH164,2),"n/p")</f>
        <v>n/p</v>
      </c>
      <c r="AI165" s="55" t="str">
        <f aca="false">IF(ISNUMBER(AI164),ROUND(AI163-AI164,2),"n/p")</f>
        <v>n/p</v>
      </c>
      <c r="AJ165" s="55" t="str">
        <f aca="false">IF(ISNUMBER(AJ164),ROUND(AJ163-AJ164,2),"n/p")</f>
        <v>n/p</v>
      </c>
      <c r="AK165" s="55" t="str">
        <f aca="false">IF(ISNUMBER(AK164),ROUND(AK163-AK164,2),"n/p")</f>
        <v>n/p</v>
      </c>
      <c r="AL165" s="55" t="str">
        <f aca="false">IF(ISNUMBER(AL164),ROUND(AL163-AL164,2),"n/p")</f>
        <v>n/p</v>
      </c>
      <c r="AM165" s="55" t="str">
        <f aca="false">IF(ISNUMBER(AM164),ROUND(AM163-AM164,2),"n/p")</f>
        <v>n/p</v>
      </c>
      <c r="AN165" s="55" t="str">
        <f aca="false">IF(ISNUMBER(AN164),ROUND(AN163-AN164,2),"n/p")</f>
        <v>n/p</v>
      </c>
      <c r="AO165" s="55" t="str">
        <f aca="false">IF(ISNUMBER(AO164),ROUND(AO163-AO164,2),"n/p")</f>
        <v>n/p</v>
      </c>
      <c r="AP165" s="55" t="str">
        <f aca="false">IF(ISNUMBER(AP164),ROUND(AP163-AP164,2),"n/p")</f>
        <v>n/p</v>
      </c>
      <c r="AQ165" s="55" t="str">
        <f aca="false">IF(ISNUMBER(AQ164),ROUND(AQ163-AQ164,2),"n/p")</f>
        <v>n/p</v>
      </c>
      <c r="AR165" s="55" t="str">
        <f aca="false">IF(ISNUMBER(AR164),ROUND(AR163-AR164,2),"n/p")</f>
        <v>n/p</v>
      </c>
      <c r="AS165" s="55" t="str">
        <f aca="false">IF(ISNUMBER(AS164),ROUND(AS163-AS164,2),"n/p")</f>
        <v>n/p</v>
      </c>
      <c r="AT165" s="55" t="str">
        <f aca="false">IF(ISNUMBER(AT164),ROUND(AT163-AT164,2),"n/p")</f>
        <v>n/p</v>
      </c>
      <c r="AU165" s="55" t="str">
        <f aca="false">IF(ISNUMBER(AU164),ROUND(AU163-AU164,2),"n/p")</f>
        <v>n/p</v>
      </c>
      <c r="AV165" s="55" t="str">
        <f aca="false">IF(ISNUMBER(AV164),ROUND(AV163-AV164,2),"n/p")</f>
        <v>n/p</v>
      </c>
      <c r="AW165" s="55" t="str">
        <f aca="false">IF(ISNUMBER(AW164),ROUND(AW163-AW164,2),"n/p")</f>
        <v>n/p</v>
      </c>
      <c r="AX165" s="55" t="str">
        <f aca="false">IF(ISNUMBER(AX164),ROUND(AX163-AX164,2),"n/p")</f>
        <v>n/p</v>
      </c>
      <c r="AY165" s="55" t="str">
        <f aca="false">IF(ISNUMBER(AY164),ROUND(AY163-AY164,2),"n/p")</f>
        <v>n/p</v>
      </c>
      <c r="AZ165" s="55" t="str">
        <f aca="false">IF(ISNUMBER(AZ164),ROUND(AZ163-AZ164,2),"n/p")</f>
        <v>n/p</v>
      </c>
      <c r="BA165" s="55" t="str">
        <f aca="false">IF(ISNUMBER(BA164),ROUND(BA163-BA164,2),"n/p")</f>
        <v>n/p</v>
      </c>
      <c r="BB165" s="55" t="str">
        <f aca="false">IF(ISNUMBER(BB164),ROUND(BB163-BB164,2),"n/p")</f>
        <v>n/p</v>
      </c>
      <c r="BC165" s="55" t="str">
        <f aca="false">IF(ISNUMBER(BC164),ROUND(BC163-BC164,2),"n/p")</f>
        <v>n/p</v>
      </c>
      <c r="BD165" s="55" t="str">
        <f aca="false">IF(ISNUMBER(BD164),ROUND(BD163-BD164,2),"n/p")</f>
        <v>n/p</v>
      </c>
      <c r="BE165" s="55" t="str">
        <f aca="false">IF(ISNUMBER(BE164),ROUND(BE163-BE164,2),"n/p")</f>
        <v>n/p</v>
      </c>
      <c r="BF165" s="55" t="str">
        <f aca="false">IF(ISNUMBER(BF164),ROUND(BF163-BF164,2),"n/p")</f>
        <v>n/p</v>
      </c>
      <c r="BG165" s="55" t="str">
        <f aca="false">IF(ISNUMBER(BG164),ROUND(BG163-BG164,2),"n/p")</f>
        <v>n/p</v>
      </c>
      <c r="BH165" s="55" t="str">
        <f aca="false">IF(ISNUMBER(BH164),ROUND(BH163-BH164,2),"n/p")</f>
        <v>n/p</v>
      </c>
      <c r="BI165" s="55" t="str">
        <f aca="false">IF(ISNUMBER(BI164),ROUND(BI163-BI164,2),"n/p")</f>
        <v>n/p</v>
      </c>
      <c r="BJ165" s="55" t="str">
        <f aca="false">IF(ISNUMBER(BJ164),ROUND(BJ163-BJ164,2),"n/p")</f>
        <v>n/p</v>
      </c>
      <c r="BK165" s="55" t="str">
        <f aca="false">IF(ISNUMBER(BK164),ROUND(BK163-BK164,2),"n/p")</f>
        <v>n/p</v>
      </c>
      <c r="BL165" s="55" t="str">
        <f aca="false">IF(ISNUMBER(BL164),ROUND(BL163-BL164,2),"n/p")</f>
        <v>n/p</v>
      </c>
      <c r="BM165" s="55" t="str">
        <f aca="false">IF(ISNUMBER(BM164),ROUND(BM163-BM164,2),"n/p")</f>
        <v>n/p</v>
      </c>
      <c r="BN165" s="55" t="str">
        <f aca="false">IF(ISNUMBER(BN164),ROUND(BN163-BN164,2),"n/p")</f>
        <v>n/p</v>
      </c>
      <c r="BO165" s="55" t="str">
        <f aca="false">IF(ISNUMBER(BO164),ROUND(BO163-BO164,2),"n/p")</f>
        <v>n/p</v>
      </c>
      <c r="BP165" s="55" t="str">
        <f aca="false">IF(ISNUMBER(BP164),ROUND(BP163-BP164,2),"n/p")</f>
        <v>n/p</v>
      </c>
      <c r="BQ165" s="55" t="str">
        <f aca="false">IF(ISNUMBER(BQ164),ROUND(BQ163-BQ164,2),"n/p")</f>
        <v>n/p</v>
      </c>
      <c r="BR165" s="55" t="str">
        <f aca="false">IF(ISNUMBER(BR164),ROUND(BR163-BR164,2),"n/p")</f>
        <v>n/p</v>
      </c>
      <c r="BS165" s="55" t="str">
        <f aca="false">IF(ISNUMBER(BS164),ROUND(BS163-BS164,2),"n/p")</f>
        <v>n/p</v>
      </c>
      <c r="BT165" s="55" t="str">
        <f aca="false">IF(ISNUMBER(BT164),ROUND(BT163-BT164,2),"n/p")</f>
        <v>n/p</v>
      </c>
      <c r="BU165" s="55" t="str">
        <f aca="false">IF(ISNUMBER(BU164),ROUND(BU163-BU164,2),"n/p")</f>
        <v>n/p</v>
      </c>
      <c r="BV165" s="55" t="str">
        <f aca="false">IF(ISNUMBER(BV164),ROUND(BV163-BV164,2),"n/p")</f>
        <v>n/p</v>
      </c>
      <c r="BW165" s="55" t="str">
        <f aca="false">IF(ISNUMBER(BW164),ROUND(BW163-BW164,2),"n/p")</f>
        <v>n/p</v>
      </c>
      <c r="BX165" s="55" t="str">
        <f aca="false">IF(ISNUMBER(BX164),ROUND(BX163-BX164,2),"n/p")</f>
        <v>n/p</v>
      </c>
      <c r="BY165" s="55" t="str">
        <f aca="false">IF(ISNUMBER(BY164),ROUND(BY163-BY164,2),"n/p")</f>
        <v>n/p</v>
      </c>
    </row>
    <row r="166" customFormat="false" ht="15" hidden="false" customHeight="true" outlineLevel="0" collapsed="false">
      <c r="B166" s="60" t="s">
        <v>294</v>
      </c>
      <c r="Y166" s="61" t="s">
        <v>295</v>
      </c>
      <c r="AH166" s="61" t="s">
        <v>296</v>
      </c>
    </row>
    <row r="167" customFormat="false" ht="15" hidden="false" customHeight="true" outlineLevel="0" collapsed="false"/>
    <row r="168" customFormat="false" ht="15" hidden="false" customHeight="true" outlineLevel="0" collapsed="false">
      <c r="B168" s="11" t="s">
        <v>297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 t="s">
        <v>298</v>
      </c>
    </row>
    <row r="169" customFormat="false" ht="15" hidden="false" customHeight="true" outlineLevel="0" collapsed="false">
      <c r="B169" s="21" t="s">
        <v>92</v>
      </c>
      <c r="D169" s="22" t="n">
        <f aca="false">IF(AND(ISNUMBER(D98),ISNUMBER(C98)),IFERROR(D98/C98-1,""),"")</f>
        <v>0.295096764323415</v>
      </c>
      <c r="E169" s="22" t="n">
        <f aca="false">IF(AND(ISNUMBER(E98),ISNUMBER(D98)),IFERROR(E98/D98-1,""),"")</f>
        <v>0.146523889400777</v>
      </c>
      <c r="F169" s="22" t="n">
        <f aca="false">IF(AND(ISNUMBER(F98),ISNUMBER(E98)),IFERROR(F98/E98-1,""),"")</f>
        <v>-0.0756439030337581</v>
      </c>
      <c r="G169" s="22" t="n">
        <f aca="false">IF(AND(ISNUMBER(G98),ISNUMBER(F98)),IFERROR(G98/F98-1,""),"")</f>
        <v>0.146246674691991</v>
      </c>
      <c r="H169" s="22" t="n">
        <f aca="false">IF(AND(ISNUMBER(H98),ISNUMBER(G98)),IFERROR(H98/G98-1,""),"")</f>
        <v>0.239653495834819</v>
      </c>
      <c r="I169" s="22" t="n">
        <f aca="false">IF(AND(ISNUMBER(I98),ISNUMBER(H98)),IFERROR(I98/H98-1,""),"")</f>
        <v>0.17316977190214</v>
      </c>
      <c r="N169" s="22" t="n">
        <f aca="false">IF(AND(ISNUMBER(N98),ISNUMBER(I98)),IFERROR(N98/I98-1,""),"")</f>
        <v>0.124154869855251</v>
      </c>
      <c r="O169" s="22" t="n">
        <f aca="false">IF(AND(ISNUMBER(O98),ISNUMBER(J98)),IFERROR(O98/J98-1,""),"")</f>
        <v>0.232509584738325</v>
      </c>
      <c r="P169" s="22" t="n">
        <f aca="false">IF(AND(ISNUMBER(P98),ISNUMBER(K98)),IFERROR(P98/K98-1,""),"")</f>
        <v>0.187305433557137</v>
      </c>
      <c r="Q169" s="22" t="n">
        <f aca="false">IF(AND(ISNUMBER(Q98),ISNUMBER(L98)),IFERROR(Q98/L98-1,""),"")</f>
        <v>0.0894573115264681</v>
      </c>
      <c r="R169" s="22" t="n">
        <f aca="false">IF(AND(ISNUMBER(R98),ISNUMBER(M98)),IFERROR(R98/M98-1,""),"")</f>
        <v>0.0166895131268572</v>
      </c>
      <c r="S169" s="22" t="n">
        <f aca="false">IF(AND(ISNUMBER(S98),ISNUMBER(N98)),IFERROR(S98/N98-1,""),"")</f>
        <v>0.12248143011647</v>
      </c>
      <c r="T169" s="22" t="n">
        <f aca="false">IF(AND(ISNUMBER(T98),ISNUMBER(O98)),IFERROR(T98/O98-1,""),"")</f>
        <v>0.00509320680893155</v>
      </c>
      <c r="U169" s="22" t="n">
        <f aca="false">IF(AND(ISNUMBER(U98),ISNUMBER(P98)),IFERROR(U98/P98-1,""),"")</f>
        <v>0.0325583208140818</v>
      </c>
      <c r="V169" s="22" t="n">
        <f aca="false">IF(AND(ISNUMBER(V98),ISNUMBER(Q98)),IFERROR(V98/Q98-1,""),"")</f>
        <v>0.0320929113837063</v>
      </c>
      <c r="W169" s="22" t="n">
        <f aca="false">IF(AND(ISNUMBER(W98),ISNUMBER(R98)),IFERROR(W98/R98-1,""),"")</f>
        <v>0.124730086269732</v>
      </c>
      <c r="X169" s="22" t="n">
        <f aca="false">IF(AND(ISNUMBER(X98),ISNUMBER(S98)),IFERROR(X98/S98-1,""),"")</f>
        <v>0.0497539986805744</v>
      </c>
      <c r="Y169" s="22" t="n">
        <f aca="false">IF(AND(ISNUMBER(Y98),ISNUMBER(T98)),IFERROR(Y98/T98-1,""),"")</f>
        <v>0.141849842459496</v>
      </c>
      <c r="Z169" s="22" t="n">
        <f aca="false">IF(AND(ISNUMBER(Z98),ISNUMBER(U98)),IFERROR(Z98/U98-1,""),"")</f>
        <v>0.203235182090515</v>
      </c>
      <c r="AA169" s="22" t="n">
        <f aca="false">IF(AND(ISNUMBER(AA98),ISNUMBER(V98)),IFERROR(AA98/V98-1,""),"")</f>
        <v>0.185484569031528</v>
      </c>
      <c r="AB169" s="22" t="n">
        <f aca="false">IF(AND(ISNUMBER(AB98),ISNUMBER(W98)),IFERROR(AB98/W98-1,""),"")</f>
        <v>0.105354274169993</v>
      </c>
      <c r="AC169" s="22" t="n">
        <f aca="false">IF(AND(ISNUMBER(AC98),ISNUMBER(X98)),IFERROR(AC98/X98-1,""),"")</f>
        <v>0.157834783720664</v>
      </c>
      <c r="AD169" s="22" t="n">
        <f aca="false">IF(AND(ISNUMBER(AD98),ISNUMBER(Y98)),IFERROR(AD98/Y98-1,""),"")</f>
        <v>0.121494838796057</v>
      </c>
      <c r="AE169" s="22" t="n">
        <f aca="false">IF(AND(ISNUMBER(AE98),ISNUMBER(Z98)),IFERROR(AE98/Z98-1,""),"")</f>
        <v>0.0513591978280212</v>
      </c>
      <c r="AF169" s="22" t="n">
        <f aca="false">IF(AND(ISNUMBER(AF98),ISNUMBER(AA98)),IFERROR(AF98/AA98-1,""),"")</f>
        <v>0.0994596780534931</v>
      </c>
      <c r="AG169" s="22" t="n">
        <f aca="false">IF(AND(ISNUMBER(AG98),ISNUMBER(AB98)),IFERROR(AG98/AB98-1,""),"")</f>
        <v>0.159441672011208</v>
      </c>
      <c r="AH169" s="22" t="n">
        <f aca="false">IF(AND(ISNUMBER(AH98),ISNUMBER(AC98)),IFERROR(AH98/AC98-1,""),"")</f>
        <v>0.107941243574969</v>
      </c>
      <c r="AI169" s="22" t="n">
        <f aca="false">IF(AND(ISNUMBER(AI98),ISNUMBER(AD98)),IFERROR(AI98/AD98-1,""),"")</f>
        <v>0.177554799785693</v>
      </c>
      <c r="AJ169" s="22" t="n">
        <f aca="false">IF(AND(ISNUMBER(AJ98),ISNUMBER(AE98)),IFERROR(AJ98/AE98-1,""),"")</f>
        <v>0.168028818115484</v>
      </c>
      <c r="AK169" s="22" t="n">
        <f aca="false">IF(AND(ISNUMBER(AK98),ISNUMBER(AF98)),IFERROR(AK98/AF98-1,""),"")</f>
        <v>0.189846743295019</v>
      </c>
      <c r="AL169" s="22" t="n">
        <f aca="false">IF(AND(ISNUMBER(AL98),ISNUMBER(AG98)),IFERROR(AL98/AG98-1,""),"")</f>
        <v>0.132138719541147</v>
      </c>
      <c r="AM169" s="22" t="n">
        <f aca="false">IF(AND(ISNUMBER(AM98),ISNUMBER(AH98)),IFERROR(AM98/AH98-1,""),"")</f>
        <v>0.165861649920351</v>
      </c>
      <c r="AN169" s="22" t="n">
        <f aca="false">IF(AND(ISNUMBER(AN98),ISNUMBER(AI98)),IFERROR(AN98/AI98-1,""),"")</f>
        <v>0.15265695704854</v>
      </c>
      <c r="AO169" s="22" t="n">
        <f aca="false">IF(AND(ISNUMBER(AO98),ISNUMBER(AJ98)),IFERROR(AO98/AJ98-1,""),"")</f>
        <v>0.19750488850493</v>
      </c>
      <c r="AP169" s="22" t="n">
        <f aca="false">IF(AND(ISNUMBER(AP98),ISNUMBER(AK98)),IFERROR(AP98/AK98-1,""),"")</f>
        <v>0.142755326571137</v>
      </c>
      <c r="AQ169" s="22" t="n">
        <f aca="false">IF(AND(ISNUMBER(AQ98),ISNUMBER(AL98)),IFERROR(AQ98/AL98-1,""),"")</f>
        <v>0.135557074676441</v>
      </c>
      <c r="AR169" s="22" t="n">
        <f aca="false">IF(AND(ISNUMBER(AR98),ISNUMBER(AM98)),IFERROR(AR98/AM98-1,""),"")</f>
        <v>0.15633836805663</v>
      </c>
      <c r="AS169" s="22" t="n">
        <f aca="false">IF(AND(ISNUMBER(AS98),ISNUMBER(AN98)),IFERROR(AS98/AN98-1,""),"")</f>
        <v>0.0860867625164647</v>
      </c>
      <c r="AT169" s="22" t="n">
        <f aca="false">IF(AND(ISNUMBER(AT98),ISNUMBER(AO98)),IFERROR(AT98/AO98-1,""),"")</f>
        <v>-0.0921209817549957</v>
      </c>
      <c r="AU169" s="22" t="n">
        <f aca="false">IF(AND(ISNUMBER(AU98),ISNUMBER(AP98)),IFERROR(AU98/AP98-1,""),"")</f>
        <v>-0.274107498440799</v>
      </c>
      <c r="AV169" s="22" t="n">
        <f aca="false">IF(AND(ISNUMBER(AV98),ISNUMBER(AQ98)),IFERROR(AV98/AQ98-1,""),"")</f>
        <v>-0.213009829575147</v>
      </c>
      <c r="AW169" s="22" t="n">
        <f aca="false">IF(AND(ISNUMBER(AW98),ISNUMBER(AR98)),IFERROR(AW98/AR98-1,""),"")</f>
        <v>-0.130682943131773</v>
      </c>
      <c r="AX169" s="22" t="n">
        <f aca="false">IF(AND(ISNUMBER(AX98),ISNUMBER(AS98)),IFERROR(AX98/AS98-1,""),"")</f>
        <v>-0.174555330600958</v>
      </c>
      <c r="AY169" s="22" t="n">
        <f aca="false">IF(AND(ISNUMBER(AY98),ISNUMBER(AT98)),IFERROR(AY98/AT98-1,""),"")</f>
        <v>-0.00319344819778444</v>
      </c>
      <c r="AZ169" s="22" t="n">
        <f aca="false">IF(AND(ISNUMBER(AZ98),ISNUMBER(AU98)),IFERROR(AZ98/AU98-1,""),"")</f>
        <v>0.220742216816335</v>
      </c>
      <c r="BA169" s="22" t="n">
        <f aca="false">IF(AND(ISNUMBER(BA98),ISNUMBER(AV98)),IFERROR(BA98/AV98-1,""),"")</f>
        <v>0.195326835266016</v>
      </c>
      <c r="BB169" s="22" t="n">
        <f aca="false">IF(AND(ISNUMBER(BB98),ISNUMBER(AW98)),IFERROR(BB98/AW98-1,""),"")</f>
        <v>0.0440249601428979</v>
      </c>
      <c r="BC169" s="22" t="n">
        <f aca="false">IF(AND(ISNUMBER(BC98),ISNUMBER(AX98)),IFERROR(BC98/AX98-1,""),"")</f>
        <v>0.173344468320324</v>
      </c>
      <c r="BD169" s="22" t="n">
        <f aca="false">IF(AND(ISNUMBER(BD98),ISNUMBER(AY98)),IFERROR(BD98/AY98-1,""),"")</f>
        <v>0.154638048563059</v>
      </c>
      <c r="BE169" s="22" t="n">
        <f aca="false">IF(AND(ISNUMBER(BE98),ISNUMBER(AZ98)),IFERROR(BE98/AZ98-1,""),"")</f>
        <v>0.207376613024611</v>
      </c>
      <c r="BF169" s="22" t="n">
        <f aca="false">IF(AND(ISNUMBER(BF98),ISNUMBER(BA98)),IFERROR(BF98/BA98-1,""),"")</f>
        <v>0.196724915688761</v>
      </c>
      <c r="BG169" s="22" t="n">
        <f aca="false">IF(AND(ISNUMBER(BG98),ISNUMBER(BB98)),IFERROR(BG98/BB98-1,""),"")</f>
        <v>0.183654020352879</v>
      </c>
      <c r="BH169" s="22" t="n">
        <f aca="false">IF(AND(ISNUMBER(BH98),ISNUMBER(BC98)),IFERROR(BH98/BC98-1,""),"")</f>
        <v>0.266287068439847</v>
      </c>
      <c r="BI169" s="22" t="n">
        <f aca="false">IF(AND(ISNUMBER(BI98),ISNUMBER(BD98)),IFERROR(BI98/BD98-1,""),"")</f>
        <v>0.276585754241268</v>
      </c>
      <c r="BJ169" s="22" t="n">
        <f aca="false">IF(AND(ISNUMBER(BJ98),ISNUMBER(BE98)),IFERROR(BJ98/BE98-1,""),"")</f>
        <v>0.269300192440056</v>
      </c>
      <c r="BK169" s="22" t="n">
        <f aca="false">IF(AND(ISNUMBER(BK98),ISNUMBER(BF98)),IFERROR(BK98/BF98-1,""),"")</f>
        <v>0.536070586151126</v>
      </c>
      <c r="BL169" s="22" t="n">
        <f aca="false">IF(AND(ISNUMBER(BL98),ISNUMBER(BG98)),IFERROR(BL98/BG98-1,""),"")</f>
        <v>0.344054444958661</v>
      </c>
      <c r="BM169" s="22" t="n">
        <f aca="false">IF(AND(ISNUMBER(BM98),ISNUMBER(BH98)),IFERROR(BM98/BH98-1,""),"")</f>
        <v>0.443616275979804</v>
      </c>
      <c r="BN169" s="22" t="n">
        <f aca="false">IF(AND(ISNUMBER(BN98),ISNUMBER(BI98)),IFERROR(BN98/BI98-1,""),"")</f>
        <v>0.388976522190448</v>
      </c>
      <c r="BO169" s="22" t="n">
        <f aca="false">IF(AND(ISNUMBER(BO98),ISNUMBER(BJ98)),IFERROR(BO98/BJ98-1,""),"")</f>
        <v>0.37258715565872</v>
      </c>
      <c r="BP169" s="22" t="n">
        <f aca="false">IF(AND(ISNUMBER(BP98),ISNUMBER(BK98)),IFERROR(BP98/BK98-1,""),"")</f>
        <v>0.0824584840359357</v>
      </c>
      <c r="BQ169" s="22" t="n">
        <f aca="false">IF(AND(ISNUMBER(BQ98),ISNUMBER(BL98)),IFERROR(BQ98/BL98-1,""),"")</f>
        <v>0.299707725973306</v>
      </c>
      <c r="BR169" s="22" t="n">
        <f aca="false">IF(AND(ISNUMBER(BR98),ISNUMBER(BM98)),IFERROR(BR98/BM98-1,""),"")</f>
        <v>0.149335704396545</v>
      </c>
      <c r="BS169" s="22" t="n">
        <f aca="false">IF(AND(ISNUMBER(BS98),ISNUMBER(BN98)),IFERROR(BS98/BN98-1,""),"")</f>
        <v>0.149074466581885</v>
      </c>
      <c r="BT169" s="22" t="n">
        <f aca="false">IF(AND(ISNUMBER(BT98),ISNUMBER(BO98)),IFERROR(BT98/BO98-1,""),"")</f>
        <v>0.156558958161585</v>
      </c>
      <c r="BU169" s="22" t="n">
        <f aca="false">IF(AND(ISNUMBER(BU98),ISNUMBER(BP98)),IFERROR(BU98/BP98-1,""),"")</f>
        <v>0.193107190245298</v>
      </c>
      <c r="BV169" s="22" t="n">
        <f aca="false">IF(AND(ISNUMBER(BV98),ISNUMBER(BQ98)),IFERROR(BV98/BQ98-1,""),"")</f>
        <v>0.162630593760118</v>
      </c>
      <c r="BW169" s="22" t="n">
        <f aca="false">IF(AND(ISNUMBER(BW98),ISNUMBER(BR98)),IFERROR(BW98/BR98-1,""),"")</f>
        <v>0.144007796377868</v>
      </c>
      <c r="BX169" s="22" t="n">
        <f aca="false">IF(AND(ISNUMBER(BX98),ISNUMBER(BS98)),IFERROR(BX98/BS98-1,""),"")</f>
        <v>0.253131660928021</v>
      </c>
      <c r="BY169" s="22" t="n">
        <f aca="false">IF(AND(ISNUMBER(BY98),ISNUMBER(BT98)),IFERROR(BY98/BT98-1,""),"")</f>
        <v>0.231318474961899</v>
      </c>
      <c r="BZ169" s="23" t="n">
        <f aca="false">IF(AND(ISNUMBER(BZ98),ISNUMBER(BU98)),IFERROR(BZ98/BU98-1,""),"")</f>
        <v>0.220632394759488</v>
      </c>
      <c r="CA169" s="23" t="n">
        <f aca="false">IF(AND(ISNUMBER(CA98),ISNUMBER(BV98)),IFERROR(CA98/BV98-1,""),"")</f>
        <v>0.213720811920344</v>
      </c>
      <c r="CB169" s="23" t="n">
        <f aca="false">IF(AND(ISNUMBER(CB98),ISNUMBER(CA98)),IFERROR(CB98/CA98-1,""),"")</f>
        <v>0.138300096257326</v>
      </c>
      <c r="CC169" s="23" t="n">
        <f aca="false">IF(AND(ISNUMBER(CC98),ISNUMBER(CB98)),IFERROR(CC98/CB98-1,""),"")</f>
        <v>0.109929993272648</v>
      </c>
      <c r="CD169" s="23" t="n">
        <f aca="false">IF(AND(ISNUMBER(CD98),ISNUMBER(CC98)),IFERROR(CD98/CC98-1,""),"")</f>
        <v>0.100317310170384</v>
      </c>
      <c r="CE169" s="23" t="n">
        <f aca="false">IF(AND(ISNUMBER(CE98),ISNUMBER(CD98)),IFERROR(CE98/CD98-1,""),"")</f>
        <v>0.0992262661084356</v>
      </c>
    </row>
    <row r="170" customFormat="false" ht="15" hidden="false" customHeight="true" outlineLevel="0" collapsed="false">
      <c r="B170" s="21" t="s">
        <v>299</v>
      </c>
      <c r="C170" s="22" t="n">
        <f aca="false">C12</f>
        <v>0</v>
      </c>
      <c r="D170" s="22" t="n">
        <f aca="false">D12</f>
        <v>0.384685578258282</v>
      </c>
      <c r="E170" s="22" t="n">
        <f aca="false">E12</f>
        <v>0.137789748144752</v>
      </c>
      <c r="F170" s="22" t="n">
        <f aca="false">F12</f>
        <v>-0.0947482887296536</v>
      </c>
      <c r="G170" s="22" t="n">
        <f aca="false">G12</f>
        <v>0.0427744466052809</v>
      </c>
      <c r="H170" s="22" t="n">
        <f aca="false">H12</f>
        <v>0.308548590109546</v>
      </c>
      <c r="I170" s="22" t="n">
        <f aca="false">I12</f>
        <v>0.057012804806853</v>
      </c>
      <c r="J170" s="22" t="n">
        <f aca="false">J12</f>
        <v>0</v>
      </c>
      <c r="K170" s="22" t="n">
        <f aca="false">K12</f>
        <v>0</v>
      </c>
      <c r="L170" s="22" t="n">
        <f aca="false">L12</f>
        <v>0</v>
      </c>
      <c r="M170" s="22" t="n">
        <f aca="false">M12</f>
        <v>0</v>
      </c>
      <c r="N170" s="22" t="n">
        <f aca="false">N12</f>
        <v>0.166261342217157</v>
      </c>
      <c r="O170" s="22" t="n">
        <f aca="false">O12</f>
        <v>0.306385703391416</v>
      </c>
      <c r="P170" s="22" t="n">
        <f aca="false">P12</f>
        <v>0.255496646932636</v>
      </c>
      <c r="Q170" s="22" t="n">
        <f aca="false">Q12</f>
        <v>0.0564161671197976</v>
      </c>
      <c r="R170" s="22" t="n">
        <f aca="false">R12</f>
        <v>0.0272960313943922</v>
      </c>
      <c r="S170" s="22" t="n">
        <f aca="false">S12</f>
        <v>0.146813942160241</v>
      </c>
      <c r="T170" s="22" t="n">
        <f aca="false">T12</f>
        <v>0.00259933364540021</v>
      </c>
      <c r="U170" s="22" t="n">
        <f aca="false">U12</f>
        <v>0.0404480430186975</v>
      </c>
      <c r="V170" s="22" t="n">
        <f aca="false">V12</f>
        <v>0.0785024091542641</v>
      </c>
      <c r="W170" s="22" t="n">
        <f aca="false">W12</f>
        <v>0.120690274846865</v>
      </c>
      <c r="X170" s="22" t="n">
        <f aca="false">X12</f>
        <v>0.0614826147317584</v>
      </c>
      <c r="Y170" s="22" t="n">
        <f aca="false">Y12</f>
        <v>0.123692030517915</v>
      </c>
      <c r="Z170" s="22" t="n">
        <f aca="false">Z12</f>
        <v>0.0863765257058315</v>
      </c>
      <c r="AA170" s="22" t="n">
        <f aca="false">AA12</f>
        <v>0.0772220581900203</v>
      </c>
      <c r="AB170" s="22" t="n">
        <f aca="false">AB12</f>
        <v>0.0466488598930677</v>
      </c>
      <c r="AC170" s="22" t="n">
        <f aca="false">AC12</f>
        <v>0.0817216252933184</v>
      </c>
      <c r="AD170" s="22" t="n">
        <f aca="false">AD12</f>
        <v>0.0797991944314094</v>
      </c>
      <c r="AE170" s="22" t="n">
        <f aca="false">AE12</f>
        <v>0.0522901629669981</v>
      </c>
      <c r="AF170" s="22" t="n">
        <f aca="false">AF12</f>
        <v>0.159121647427804</v>
      </c>
      <c r="AG170" s="22" t="n">
        <f aca="false">AG12</f>
        <v>0.124372403710205</v>
      </c>
      <c r="AH170" s="22" t="n">
        <f aca="false">AH12</f>
        <v>0.104661650701588</v>
      </c>
      <c r="AI170" s="22" t="n">
        <f aca="false">AI12</f>
        <v>0.15310025758145</v>
      </c>
      <c r="AJ170" s="22" t="n">
        <f aca="false">AJ12</f>
        <v>0.15541674395731</v>
      </c>
      <c r="AK170" s="22" t="n">
        <f aca="false">AK12</f>
        <v>0.105285192622284</v>
      </c>
      <c r="AL170" s="22" t="n">
        <f aca="false">AL12</f>
        <v>0.129990967983057</v>
      </c>
      <c r="AM170" s="22" t="n">
        <f aca="false">AM12</f>
        <v>0.134771689025777</v>
      </c>
      <c r="AN170" s="22" t="n">
        <f aca="false">AN12</f>
        <v>0.127559172584907</v>
      </c>
      <c r="AO170" s="22" t="n">
        <f aca="false">AO12</f>
        <v>0.150894577278633</v>
      </c>
      <c r="AP170" s="22" t="n">
        <f aca="false">AP12</f>
        <v>0.122366953557375</v>
      </c>
      <c r="AQ170" s="22" t="n">
        <f aca="false">AQ12</f>
        <v>0.118685702867144</v>
      </c>
      <c r="AR170" s="22" t="n">
        <f aca="false">AR12</f>
        <v>0.129557524703148</v>
      </c>
      <c r="AS170" s="22" t="n">
        <f aca="false">AS12</f>
        <v>0.0482359781764752</v>
      </c>
      <c r="AT170" s="22" t="n">
        <f aca="false">AT12</f>
        <v>-0.182601191885833</v>
      </c>
      <c r="AU170" s="22" t="n">
        <f aca="false">AU12</f>
        <v>-0.44328408579571</v>
      </c>
      <c r="AV170" s="22" t="n">
        <f aca="false">AV12</f>
        <v>-0.403691989294833</v>
      </c>
      <c r="AW170" s="22" t="n">
        <f aca="false">AW12</f>
        <v>-0.254293922751723</v>
      </c>
      <c r="AX170" s="22" t="n">
        <f aca="false">AX12</f>
        <v>-0.337908173263759</v>
      </c>
      <c r="AY170" s="22" t="n">
        <f aca="false">AY12</f>
        <v>-0.0860599133209506</v>
      </c>
      <c r="AZ170" s="22" t="n">
        <f aca="false">AZ12</f>
        <v>0.330942197375363</v>
      </c>
      <c r="BA170" s="22" t="n">
        <f aca="false">BA12</f>
        <v>0.344659467108763</v>
      </c>
      <c r="BB170" s="22" t="n">
        <f aca="false">BB12</f>
        <v>0.00246212203128859</v>
      </c>
      <c r="BC170" s="22" t="n">
        <f aca="false">BC12</f>
        <v>0.367960307825057</v>
      </c>
      <c r="BD170" s="22" t="n">
        <f aca="false">BD12</f>
        <v>0.330176307104395</v>
      </c>
      <c r="BE170" s="22" t="n">
        <f aca="false">BE12</f>
        <v>0.392804426488078</v>
      </c>
      <c r="BF170" s="22" t="n">
        <f aca="false">BF12</f>
        <v>0.328787011680116</v>
      </c>
      <c r="BG170" s="22" t="n">
        <f aca="false">BG12</f>
        <v>0.35392826362949</v>
      </c>
      <c r="BH170" s="22" t="n">
        <f aca="false">BH12</f>
        <v>0.361583682031385</v>
      </c>
      <c r="BI170" s="22" t="n">
        <f aca="false">BI12</f>
        <v>0.280396196047833</v>
      </c>
      <c r="BJ170" s="22" t="n">
        <f aca="false">BJ12</f>
        <v>0.226431376586255</v>
      </c>
      <c r="BK170" s="22" t="n">
        <f aca="false">BK12</f>
        <v>0.739122265933246</v>
      </c>
      <c r="BL170" s="22" t="n">
        <f aca="false">BL12</f>
        <v>0.410267747599609</v>
      </c>
      <c r="BM170" s="22" t="n">
        <f aca="false">BM12</f>
        <v>0.666449399102559</v>
      </c>
      <c r="BN170" s="22" t="n">
        <f aca="false">BN12</f>
        <v>0.65025165603439</v>
      </c>
      <c r="BO170" s="22" t="n">
        <f aca="false">BO12</f>
        <v>0.68286095200474</v>
      </c>
      <c r="BP170" s="22" t="n">
        <f aca="false">BP12</f>
        <v>0.14977603816077</v>
      </c>
      <c r="BQ170" s="22" t="n">
        <f aca="false">BQ12</f>
        <v>0.491004612512252</v>
      </c>
      <c r="BR170" s="22" t="n">
        <f aca="false">BR12</f>
        <v>0.152667782956962</v>
      </c>
      <c r="BS170" s="22" t="n">
        <f aca="false">BS12</f>
        <v>0.185154627706912</v>
      </c>
      <c r="BT170" s="22" t="n">
        <f aca="false">BT12</f>
        <v>0.177568050514505</v>
      </c>
      <c r="BU170" s="22" t="n">
        <f aca="false">BU12</f>
        <v>0.206123334007922</v>
      </c>
      <c r="BV170" s="22" t="n">
        <f aca="false">BV12</f>
        <v>0.181075748080781</v>
      </c>
      <c r="BW170" s="22" t="n">
        <f aca="false">BW12</f>
        <v>0.149789532428271</v>
      </c>
      <c r="BX170" s="22" t="n">
        <f aca="false">BX12</f>
        <v>0.21165864914545</v>
      </c>
      <c r="BY170" s="22" t="n">
        <f aca="false">BY12</f>
        <v>0.180826027426273</v>
      </c>
      <c r="BZ170" s="23" t="n">
        <f aca="false">BZ12</f>
        <v>0.18</v>
      </c>
      <c r="CA170" s="23" t="n">
        <f aca="false">CA12</f>
        <v>0.181091369166102</v>
      </c>
      <c r="CB170" s="23" t="n">
        <f aca="false">CB12</f>
        <v>0.11</v>
      </c>
      <c r="CC170" s="23" t="n">
        <f aca="false">CC12</f>
        <v>0.08</v>
      </c>
      <c r="CD170" s="23" t="n">
        <f aca="false">CD12</f>
        <v>0.07</v>
      </c>
      <c r="CE170" s="23" t="n">
        <f aca="false">CE12</f>
        <v>0.07</v>
      </c>
    </row>
    <row r="171" customFormat="false" ht="15" hidden="false" customHeight="true" outlineLevel="0" collapsed="false">
      <c r="B171" s="21" t="s">
        <v>300</v>
      </c>
      <c r="C171" s="22" t="n">
        <f aca="false">C31</f>
        <v>0</v>
      </c>
      <c r="D171" s="22" t="n">
        <f aca="false">D31</f>
        <v>0.0783682979629807</v>
      </c>
      <c r="E171" s="22" t="n">
        <f aca="false">E31</f>
        <v>0.177441851090418</v>
      </c>
      <c r="F171" s="22" t="n">
        <f aca="false">F31</f>
        <v>-0.0182958560433841</v>
      </c>
      <c r="G171" s="22" t="n">
        <f aca="false">G31</f>
        <v>0.434366542979103</v>
      </c>
      <c r="H171" s="22" t="n">
        <f aca="false">H31</f>
        <v>0.107577024819108</v>
      </c>
      <c r="I171" s="22" t="n">
        <f aca="false">I31</f>
        <v>0.455839417660721</v>
      </c>
      <c r="J171" s="22" t="n">
        <f aca="false">J31</f>
        <v>0</v>
      </c>
      <c r="K171" s="22" t="n">
        <f aca="false">K31</f>
        <v>0</v>
      </c>
      <c r="L171" s="22" t="n">
        <f aca="false">L31</f>
        <v>0</v>
      </c>
      <c r="M171" s="22" t="n">
        <f aca="false">M31</f>
        <v>0</v>
      </c>
      <c r="N171" s="22" t="n">
        <f aca="false">N31</f>
        <v>0.0555944245743341</v>
      </c>
      <c r="O171" s="22" t="n">
        <f aca="false">O31</f>
        <v>0.109727172410294</v>
      </c>
      <c r="P171" s="22" t="n">
        <f aca="false">P31</f>
        <v>0.0691470984190523</v>
      </c>
      <c r="Q171" s="22" t="n">
        <f aca="false">Q31</f>
        <v>0.167778400704798</v>
      </c>
      <c r="R171" s="22" t="n">
        <f aca="false">R31</f>
        <v>0.00252368457948604</v>
      </c>
      <c r="S171" s="22" t="n">
        <f aca="false">S31</f>
        <v>0.0839092314153236</v>
      </c>
      <c r="T171" s="22" t="n">
        <f aca="false">T31</f>
        <v>0.0197618067937639</v>
      </c>
      <c r="U171" s="22" t="n">
        <f aca="false">U31</f>
        <v>0.0139735460937587</v>
      </c>
      <c r="V171" s="22" t="n">
        <f aca="false">V31</f>
        <v>-0.0474403566354774</v>
      </c>
      <c r="W171" s="22" t="n">
        <f aca="false">W31</f>
        <v>0.134227718618265</v>
      </c>
      <c r="X171" s="22" t="n">
        <f aca="false">X31</f>
        <v>0.0305162834340176</v>
      </c>
      <c r="Y171" s="22" t="n">
        <f aca="false">Y31</f>
        <v>0.167348494188588</v>
      </c>
      <c r="Z171" s="22" t="n">
        <f aca="false">Z31</f>
        <v>0.456849277432826</v>
      </c>
      <c r="AA171" s="22" t="n">
        <f aca="false">AA31</f>
        <v>0.401057362969668</v>
      </c>
      <c r="AB171" s="22" t="n">
        <f aca="false">AB31</f>
        <v>0.218384224478832</v>
      </c>
      <c r="AC171" s="22" t="n">
        <f aca="false">AC31</f>
        <v>0.307661222255756</v>
      </c>
      <c r="AD171" s="22" t="n">
        <f aca="false">AD31</f>
        <v>0.211354558721868</v>
      </c>
      <c r="AE171" s="22" t="n">
        <f aca="false">AE31</f>
        <v>0.064895976343859</v>
      </c>
      <c r="AF171" s="22" t="n">
        <f aca="false">AF31</f>
        <v>0.0120764967147524</v>
      </c>
      <c r="AG171" s="22" t="n">
        <f aca="false">AG31</f>
        <v>0.222121021548515</v>
      </c>
      <c r="AH171" s="22" t="n">
        <f aca="false">AH31</f>
        <v>0.123200566430393</v>
      </c>
      <c r="AI171" s="22" t="n">
        <f aca="false">AI31</f>
        <v>0.233765307335632</v>
      </c>
      <c r="AJ171" s="22" t="n">
        <f aca="false">AJ31</f>
        <v>0.195177411471357</v>
      </c>
      <c r="AK171" s="22" t="n">
        <f aca="false">AK31</f>
        <v>0.351878717539533</v>
      </c>
      <c r="AL171" s="22" t="n">
        <f aca="false">AL31</f>
        <v>0.130185074556241</v>
      </c>
      <c r="AM171" s="22" t="n">
        <f aca="false">AM31</f>
        <v>0.222139410477118</v>
      </c>
      <c r="AN171" s="22" t="n">
        <f aca="false">AN31</f>
        <v>0.184834701717869</v>
      </c>
      <c r="AO171" s="22" t="n">
        <f aca="false">AO31</f>
        <v>0.271031637842131</v>
      </c>
      <c r="AP171" s="22" t="n">
        <f aca="false">AP31</f>
        <v>0.159676986639481</v>
      </c>
      <c r="AQ171" s="22" t="n">
        <f aca="false">AQ31</f>
        <v>0.148819585821423</v>
      </c>
      <c r="AR171" s="22" t="n">
        <f aca="false">AR31</f>
        <v>0.189070810897843</v>
      </c>
      <c r="AS171" s="22" t="n">
        <f aca="false">AS31</f>
        <v>0.130033779936995</v>
      </c>
      <c r="AT171" s="22" t="n">
        <f aca="false">AT31</f>
        <v>0.0210024667639694</v>
      </c>
      <c r="AU171" s="22" t="n">
        <f aca="false">AU31</f>
        <v>-0.0241059737471602</v>
      </c>
      <c r="AV171" s="22" t="n">
        <f aca="false">AV31</f>
        <v>0.0783051573255342</v>
      </c>
      <c r="AW171" s="22" t="n">
        <f aca="false">AW31</f>
        <v>0.048488835525007</v>
      </c>
      <c r="AX171" s="22" t="n">
        <f aca="false">AX31</f>
        <v>0.0726401197633522</v>
      </c>
      <c r="AY171" s="22" t="n">
        <f aca="false">AY31</f>
        <v>0.110223561919116</v>
      </c>
      <c r="AZ171" s="22" t="n">
        <f aca="false">AZ31</f>
        <v>0.135710865308483</v>
      </c>
      <c r="BA171" s="22" t="n">
        <f aca="false">BA31</f>
        <v>0.068803812388573</v>
      </c>
      <c r="BB171" s="22" t="n">
        <f aca="false">BB31</f>
        <v>0.0962105722713595</v>
      </c>
      <c r="BC171" s="22" t="n">
        <f aca="false">BC31</f>
        <v>-0.0054305524491165</v>
      </c>
      <c r="BD171" s="22" t="n">
        <f aca="false">BD31</f>
        <v>-0.023431747220154</v>
      </c>
      <c r="BE171" s="22" t="n">
        <f aca="false">BE31</f>
        <v>0.0194537097723582</v>
      </c>
      <c r="BF171" s="22" t="n">
        <f aca="false">BF31</f>
        <v>0.0614851297294734</v>
      </c>
      <c r="BG171" s="22" t="n">
        <f aca="false">BG31</f>
        <v>0.0138713679535432</v>
      </c>
      <c r="BH171" s="22" t="n">
        <f aca="false">BH31</f>
        <v>0.147178144789867</v>
      </c>
      <c r="BI171" s="22" t="n">
        <f aca="false">BI31</f>
        <v>0.271136891146748</v>
      </c>
      <c r="BJ171" s="22" t="n">
        <f aca="false">BJ31</f>
        <v>0.334410306179695</v>
      </c>
      <c r="BK171" s="22" t="n">
        <f aca="false">BK31</f>
        <v>0.275538740536897</v>
      </c>
      <c r="BL171" s="22" t="n">
        <f aca="false">BL31</f>
        <v>0.259900768657292</v>
      </c>
      <c r="BM171" s="22" t="n">
        <f aca="false">BM31</f>
        <v>0.121081788919426</v>
      </c>
      <c r="BN171" s="22" t="n">
        <f aca="false">BN31</f>
        <v>0.0582020751659436</v>
      </c>
      <c r="BO171" s="22" t="n">
        <f aca="false">BO31</f>
        <v>-0.0114709375297284</v>
      </c>
      <c r="BP171" s="22" t="n">
        <f aca="false">BP31</f>
        <v>-0.0184038512627832</v>
      </c>
      <c r="BQ171" s="22" t="n">
        <f aca="false">BQ31</f>
        <v>0.0313445236863197</v>
      </c>
      <c r="BR171" s="22" t="n">
        <f aca="false">BR31</f>
        <v>0.155181820089389</v>
      </c>
      <c r="BS171" s="22" t="n">
        <f aca="false">BS31</f>
        <v>0.0715422050469432</v>
      </c>
      <c r="BT171" s="22" t="n">
        <f aca="false">BT31</f>
        <v>0.104722021302025</v>
      </c>
      <c r="BU171" s="22" t="n">
        <f aca="false">BU31</f>
        <v>0.144370124288812</v>
      </c>
      <c r="BV171" s="22" t="n">
        <f aca="false">BV31</f>
        <v>0.118305574592482</v>
      </c>
      <c r="BW171" s="22" t="n">
        <f aca="false">BW31</f>
        <v>0.122186397832372</v>
      </c>
      <c r="BX171" s="22" t="n">
        <f aca="false">BX31</f>
        <v>0.343005023862617</v>
      </c>
      <c r="BY171" s="22" t="n">
        <f aca="false">BY31</f>
        <v>0.358632395050905</v>
      </c>
      <c r="BZ171" s="23" t="n">
        <f aca="false">BZ31</f>
        <v>0.32</v>
      </c>
      <c r="CA171" s="23" t="n">
        <f aca="false">CA31</f>
        <v>0.289060377038044</v>
      </c>
      <c r="CB171" s="23" t="n">
        <f aca="false">CB31</f>
        <v>0.14</v>
      </c>
      <c r="CC171" s="23" t="n">
        <f aca="false">CC31</f>
        <v>0.07</v>
      </c>
      <c r="CD171" s="23" t="n">
        <f aca="false">CD31</f>
        <v>0.065</v>
      </c>
      <c r="CE171" s="23" t="n">
        <f aca="false">CE31</f>
        <v>0.065</v>
      </c>
    </row>
    <row r="172" customFormat="false" ht="15" hidden="false" customHeight="true" outlineLevel="0" collapsed="false">
      <c r="B172" s="21" t="s">
        <v>301</v>
      </c>
      <c r="D172" s="22" t="n">
        <f aca="false">IF(AND(ISNUMBER(D140),ISNUMBER(C140)),IFERROR(D140/C140-1,""),"")</f>
        <v>0.258802884553803</v>
      </c>
      <c r="E172" s="22" t="n">
        <f aca="false">IF(AND(ISNUMBER(E140),ISNUMBER(D140)),IFERROR(E140/D140-1,""),"")</f>
        <v>0.241788432577639</v>
      </c>
      <c r="F172" s="22" t="n">
        <f aca="false">IF(AND(ISNUMBER(F140),ISNUMBER(E140)),IFERROR(F140/E140-1,""),"")</f>
        <v>-0.150043429095855</v>
      </c>
      <c r="G172" s="22" t="n">
        <f aca="false">IF(AND(ISNUMBER(G140),ISNUMBER(F140)),IFERROR(G140/F140-1,""),"")</f>
        <v>0.239773636565214</v>
      </c>
      <c r="H172" s="22" t="n">
        <f aca="false">IF(AND(ISNUMBER(H140),ISNUMBER(G140)),IFERROR(H140/G140-1,""),"")</f>
        <v>0.250991461764569</v>
      </c>
      <c r="I172" s="22" t="n">
        <f aca="false">IF(AND(ISNUMBER(I140),ISNUMBER(H140)),IFERROR(I140/H140-1,""),"")</f>
        <v>0.208279720279721</v>
      </c>
      <c r="N172" s="22" t="n">
        <f aca="false">IF(AND(ISNUMBER(N140),ISNUMBER(I140)),IFERROR(N140/I140-1,""),"")</f>
        <v>0.129878280910783</v>
      </c>
      <c r="O172" s="22" t="n">
        <f aca="false">IF(AND(ISNUMBER(O140),ISNUMBER(J140)),IFERROR(O140/J140-1,""),"")</f>
        <v>0.285661381784516</v>
      </c>
      <c r="P172" s="22" t="n">
        <f aca="false">IF(AND(ISNUMBER(P140),ISNUMBER(K140)),IFERROR(P140/K140-1,""),"")</f>
        <v>0.14002304589975</v>
      </c>
      <c r="Q172" s="22" t="n">
        <f aca="false">IF(AND(ISNUMBER(Q140),ISNUMBER(L140)),IFERROR(Q140/L140-1,""),"")</f>
        <v>0.0575834943417055</v>
      </c>
      <c r="R172" s="22" t="n">
        <f aca="false">IF(AND(ISNUMBER(R140),ISNUMBER(M140)),IFERROR(R140/M140-1,""),"")</f>
        <v>-0.059576711606537</v>
      </c>
      <c r="S172" s="22" t="n">
        <f aca="false">IF(AND(ISNUMBER(S140),ISNUMBER(N140)),IFERROR(S140/N140-1,""),"")</f>
        <v>0.0865827672245796</v>
      </c>
      <c r="T172" s="22" t="n">
        <f aca="false">IF(AND(ISNUMBER(T140),ISNUMBER(O140)),IFERROR(T140/O140-1,""),"")</f>
        <v>0.0356454894053682</v>
      </c>
      <c r="U172" s="22" t="n">
        <f aca="false">IF(AND(ISNUMBER(U140),ISNUMBER(P140)),IFERROR(U140/P140-1,""),"")</f>
        <v>0.13389262310271</v>
      </c>
      <c r="V172" s="22" t="n">
        <f aca="false">IF(AND(ISNUMBER(V140),ISNUMBER(Q140)),IFERROR(V140/Q140-1,""),"")</f>
        <v>0.156444719929535</v>
      </c>
      <c r="W172" s="22" t="n">
        <f aca="false">IF(AND(ISNUMBER(W140),ISNUMBER(R140)),IFERROR(W140/R140-1,""),"")</f>
        <v>0.314384110203427</v>
      </c>
      <c r="X172" s="22" t="n">
        <f aca="false">IF(AND(ISNUMBER(X140),ISNUMBER(S140)),IFERROR(X140/S140-1,""),"")</f>
        <v>0.164035131828163</v>
      </c>
      <c r="Y172" s="22" t="n">
        <f aca="false">IF(AND(ISNUMBER(Y140),ISNUMBER(T140)),IFERROR(Y140/T140-1,""),"")</f>
        <v>0.217845533401706</v>
      </c>
      <c r="Z172" s="22" t="n">
        <f aca="false">IF(AND(ISNUMBER(Z140),ISNUMBER(U140)),IFERROR(Z140/U140-1,""),"")</f>
        <v>0.239893624923859</v>
      </c>
      <c r="AA172" s="22" t="n">
        <f aca="false">IF(AND(ISNUMBER(AA140),ISNUMBER(V140)),IFERROR(AA140/V140-1,""),"")</f>
        <v>0.216497171953679</v>
      </c>
      <c r="AB172" s="22" t="n">
        <f aca="false">IF(AND(ISNUMBER(AB140),ISNUMBER(W140)),IFERROR(AB140/W140-1,""),"")</f>
        <v>0.121184054986167</v>
      </c>
      <c r="AC172" s="22" t="n">
        <f aca="false">IF(AND(ISNUMBER(AC140),ISNUMBER(X140)),IFERROR(AC140/X140-1,""),"")</f>
        <v>0.194290651211348</v>
      </c>
      <c r="AD172" s="22" t="n">
        <f aca="false">IF(AND(ISNUMBER(AD140),ISNUMBER(Y140)),IFERROR(AD140/Y140-1,""),"")</f>
        <v>0.153584835638534</v>
      </c>
      <c r="AE172" s="22" t="n">
        <f aca="false">IF(AND(ISNUMBER(AE140),ISNUMBER(Z140)),IFERROR(AE140/Z140-1,""),"")</f>
        <v>0.109051476226993</v>
      </c>
      <c r="AF172" s="22" t="n">
        <f aca="false">IF(AND(ISNUMBER(AF140),ISNUMBER(AA140)),IFERROR(AF140/AA140-1,""),"")</f>
        <v>0.0761310669480317</v>
      </c>
      <c r="AG172" s="22" t="n">
        <f aca="false">IF(AND(ISNUMBER(AG140),ISNUMBER(AB140)),IFERROR(AG140/AB140-1,""),"")</f>
        <v>0.168302518450887</v>
      </c>
      <c r="AH172" s="22" t="n">
        <f aca="false">IF(AND(ISNUMBER(AH140),ISNUMBER(AC140)),IFERROR(AH140/AC140-1,""),"")</f>
        <v>0.126328512608436</v>
      </c>
      <c r="AI172" s="22" t="n">
        <f aca="false">IF(AND(ISNUMBER(AI140),ISNUMBER(AD140)),IFERROR(AI140/AD140-1,""),"")</f>
        <v>0.184733787846917</v>
      </c>
      <c r="AJ172" s="22" t="n">
        <f aca="false">IF(AND(ISNUMBER(AJ140),ISNUMBER(AE140)),IFERROR(AJ140/AE140-1,""),"")</f>
        <v>0.19256242099463</v>
      </c>
      <c r="AK172" s="22" t="n">
        <f aca="false">IF(AND(ISNUMBER(AK140),ISNUMBER(AF140)),IFERROR(AK140/AF140-1,""),"")</f>
        <v>0.242511744171013</v>
      </c>
      <c r="AL172" s="22" t="n">
        <f aca="false">IF(AND(ISNUMBER(AL140),ISNUMBER(AG140)),IFERROR(AL140/AG140-1,""),"")</f>
        <v>0.147220542401266</v>
      </c>
      <c r="AM172" s="22" t="n">
        <f aca="false">IF(AND(ISNUMBER(AM140),ISNUMBER(AH140)),IFERROR(AM140/AH140-1,""),"")</f>
        <v>0.213301469466619</v>
      </c>
      <c r="AN172" s="22" t="n">
        <f aca="false">IF(AND(ISNUMBER(AN140),ISNUMBER(AI140)),IFERROR(AN140/AI140-1,""),"")</f>
        <v>0.248201025598178</v>
      </c>
      <c r="AO172" s="22" t="n">
        <f aca="false">IF(AND(ISNUMBER(AO140),ISNUMBER(AJ140)),IFERROR(AO140/AJ140-1,""),"")</f>
        <v>0.299329588693604</v>
      </c>
      <c r="AP172" s="22" t="n">
        <f aca="false">IF(AND(ISNUMBER(AP140),ISNUMBER(AK140)),IFERROR(AP140/AK140-1,""),"")</f>
        <v>0.226586888657648</v>
      </c>
      <c r="AQ172" s="22" t="n">
        <f aca="false">IF(AND(ISNUMBER(AQ140),ISNUMBER(AL140)),IFERROR(AQ140/AL140-1,""),"")</f>
        <v>0.14573145512493</v>
      </c>
      <c r="AR172" s="22" t="n">
        <f aca="false">IF(AND(ISNUMBER(AR140),ISNUMBER(AM140)),IFERROR(AR140/AM140-1,""),"")</f>
        <v>0.203549797299384</v>
      </c>
      <c r="AS172" s="22" t="n">
        <f aca="false">IF(AND(ISNUMBER(AS140),ISNUMBER(AN140)),IFERROR(AS140/AN140-1,""),"")</f>
        <v>0.114312967518449</v>
      </c>
      <c r="AT172" s="22" t="n">
        <f aca="false">IF(AND(ISNUMBER(AT140),ISNUMBER(AO140)),IFERROR(AT140/AO140-1,""),"")</f>
        <v>-0.0885511086319897</v>
      </c>
      <c r="AU172" s="22" t="n">
        <f aca="false">IF(AND(ISNUMBER(AU140),ISNUMBER(AP140)),IFERROR(AU140/AP140-1,""),"")</f>
        <v>-0.363520678685047</v>
      </c>
      <c r="AV172" s="22" t="n">
        <f aca="false">IF(AND(ISNUMBER(AV140),ISNUMBER(AQ140)),IFERROR(AV140/AQ140-1,""),"")</f>
        <v>-0.199003390454349</v>
      </c>
      <c r="AW172" s="22" t="n">
        <f aca="false">IF(AND(ISNUMBER(AW140),ISNUMBER(AR140)),IFERROR(AW140/AR140-1,""),"")</f>
        <v>-0.143995469731318</v>
      </c>
      <c r="AX172" s="22" t="n">
        <f aca="false">IF(AND(ISNUMBER(AX140),ISNUMBER(AS140)),IFERROR(AX140/AS140-1,""),"")</f>
        <v>-0.21584219378867</v>
      </c>
      <c r="AY172" s="22" t="n">
        <f aca="false">IF(AND(ISNUMBER(AY140),ISNUMBER(AT140)),IFERROR(AY140/AT140-1,""),"")</f>
        <v>-0.0805003059975521</v>
      </c>
      <c r="AZ172" s="22" t="n">
        <f aca="false">IF(AND(ISNUMBER(AZ140),ISNUMBER(AU140)),IFERROR(AZ140/AU140-1,""),"")</f>
        <v>0.383349994446295</v>
      </c>
      <c r="BA172" s="22" t="n">
        <f aca="false">IF(AND(ISNUMBER(BA140),ISNUMBER(AV140)),IFERROR(BA140/AV140-1,""),"")</f>
        <v>0.232167473754905</v>
      </c>
      <c r="BB172" s="22" t="n">
        <f aca="false">IF(AND(ISNUMBER(BB140),ISNUMBER(AW140)),IFERROR(BB140/AW140-1,""),"")</f>
        <v>0.0460682095527629</v>
      </c>
      <c r="BC172" s="22" t="n">
        <f aca="false">IF(AND(ISNUMBER(BC140),ISNUMBER(AX140)),IFERROR(BC140/AX140-1,""),"")</f>
        <v>0.169729294941158</v>
      </c>
      <c r="BD172" s="22" t="n">
        <f aca="false">IF(AND(ISNUMBER(BD140),ISNUMBER(AY140)),IFERROR(BD140/AY140-1,""),"")</f>
        <v>0.205662370941038</v>
      </c>
      <c r="BE172" s="22" t="n">
        <f aca="false">IF(AND(ISNUMBER(BE140),ISNUMBER(AZ140)),IFERROR(BE140/AZ140-1,""),"")</f>
        <v>0.206258079538794</v>
      </c>
      <c r="BF172" s="22" t="n">
        <f aca="false">IF(AND(ISNUMBER(BF140),ISNUMBER(BA140)),IFERROR(BF140/BA140-1,""),"")</f>
        <v>0.210632758880355</v>
      </c>
      <c r="BG172" s="22" t="n">
        <f aca="false">IF(AND(ISNUMBER(BG140),ISNUMBER(BB140)),IFERROR(BG140/BB140-1,""),"")</f>
        <v>0.199552606588513</v>
      </c>
      <c r="BH172" s="22" t="n">
        <f aca="false">IF(AND(ISNUMBER(BH140),ISNUMBER(BC140)),IFERROR(BH140/BC140-1,""),"")</f>
        <v>0.339017322112708</v>
      </c>
      <c r="BI172" s="22" t="n">
        <f aca="false">IF(AND(ISNUMBER(BI140),ISNUMBER(BD140)),IFERROR(BI140/BD140-1,""),"")</f>
        <v>0.232471000641747</v>
      </c>
      <c r="BJ172" s="22" t="n">
        <f aca="false">IF(AND(ISNUMBER(BJ140),ISNUMBER(BE140)),IFERROR(BJ140/BE140-1,""),"")</f>
        <v>0.215994035851455</v>
      </c>
      <c r="BK172" s="22" t="n">
        <f aca="false">IF(AND(ISNUMBER(BK140),ISNUMBER(BF140)),IFERROR(BK140/BF140-1,""),"")</f>
        <v>0.453209878737255</v>
      </c>
      <c r="BL172" s="22" t="n">
        <f aca="false">IF(AND(ISNUMBER(BL140),ISNUMBER(BG140)),IFERROR(BL140/BG140-1,""),"")</f>
        <v>0.314029253844409</v>
      </c>
      <c r="BM172" s="22" t="n">
        <f aca="false">IF(AND(ISNUMBER(BM140),ISNUMBER(BH140)),IFERROR(BM140/BH140-1,""),"")</f>
        <v>0.378555838820315</v>
      </c>
      <c r="BN172" s="22" t="n">
        <f aca="false">IF(AND(ISNUMBER(BN140),ISNUMBER(BI140)),IFERROR(BN140/BI140-1,""),"")</f>
        <v>0.377462123332923</v>
      </c>
      <c r="BO172" s="22" t="n">
        <f aca="false">IF(AND(ISNUMBER(BO140),ISNUMBER(BJ140)),IFERROR(BO140/BJ140-1,""),"")</f>
        <v>0.433375301072914</v>
      </c>
      <c r="BP172" s="22" t="n">
        <f aca="false">IF(AND(ISNUMBER(BP140),ISNUMBER(BK140)),IFERROR(BP140/BK140-1,""),"")</f>
        <v>0.0863104943908162</v>
      </c>
      <c r="BQ172" s="22" t="n">
        <f aca="false">IF(AND(ISNUMBER(BQ140),ISNUMBER(BL140)),IFERROR(BQ140/BL140-1,""),"")</f>
        <v>0.298219736758391</v>
      </c>
      <c r="BR172" s="22" t="n">
        <f aca="false">IF(AND(ISNUMBER(BR140),ISNUMBER(BM140)),IFERROR(BR140/BM140-1,""),"")</f>
        <v>0.229492347742019</v>
      </c>
      <c r="BS172" s="22" t="n">
        <f aca="false">IF(AND(ISNUMBER(BS140),ISNUMBER(BN140)),IFERROR(BS140/BN140-1,""),"")</f>
        <v>0.224044093438418</v>
      </c>
      <c r="BT172" s="22" t="n">
        <f aca="false">IF(AND(ISNUMBER(BT140),ISNUMBER(BO140)),IFERROR(BT140/BO140-1,""),"")</f>
        <v>0.216945644245347</v>
      </c>
      <c r="BU172" s="22" t="n">
        <f aca="false">IF(AND(ISNUMBER(BU140),ISNUMBER(BP140)),IFERROR(BU140/BP140-1,""),"")</f>
        <v>0.258573653301312</v>
      </c>
      <c r="BV172" s="22" t="n">
        <f aca="false">IF(AND(ISNUMBER(BV140),ISNUMBER(BQ140)),IFERROR(BV140/BQ140-1,""),"")</f>
        <v>0.232616822990741</v>
      </c>
      <c r="BW172" s="22" t="n">
        <f aca="false">IF(AND(ISNUMBER(BW140),ISNUMBER(BR140)),IFERROR(BW140/BR140-1,""),"")</f>
        <v>0.133239791225558</v>
      </c>
      <c r="BX172" s="22" t="n">
        <f aca="false">IF(AND(ISNUMBER(BX140),ISNUMBER(BS140)),IFERROR(BX140/BS140-1,""),"")</f>
        <v>0.363478480323302</v>
      </c>
      <c r="BY172" s="22" t="n">
        <f aca="false">IF(AND(ISNUMBER(BY140),ISNUMBER(BT140)),IFERROR(BY140/BT140-1,""),"")</f>
        <v>0.313943562964451</v>
      </c>
      <c r="BZ172" s="23" t="n">
        <f aca="false">IF(AND(ISNUMBER(BZ140),ISNUMBER(BU140)),IFERROR(BZ140/BU140-1,""),"")</f>
        <v>0.262318511577059</v>
      </c>
      <c r="CA172" s="23" t="n">
        <f aca="false">IF(AND(ISNUMBER(CA140),ISNUMBER(BV140)),IFERROR(CA140/BV140-1,""),"")</f>
        <v>0.271348540657047</v>
      </c>
      <c r="CB172" s="23" t="n">
        <f aca="false">IF(AND(ISNUMBER(CB140),ISNUMBER(CA140)),IFERROR(CB140/CA140-1,""),"")</f>
        <v>0.128463203455068</v>
      </c>
      <c r="CC172" s="23" t="n">
        <f aca="false">IF(AND(ISNUMBER(CC140),ISNUMBER(CB140)),IFERROR(CC140/CB140-1,""),"")</f>
        <v>0.114150896583319</v>
      </c>
      <c r="CD172" s="23" t="n">
        <f aca="false">IF(AND(ISNUMBER(CD140),ISNUMBER(CC140)),IFERROR(CD140/CC140-1,""),"")</f>
        <v>0.0880887341294825</v>
      </c>
      <c r="CE172" s="23" t="n">
        <f aca="false">IF(AND(ISNUMBER(CE140),ISNUMBER(CD140)),IFERROR(CE140/CD140-1,""),"")</f>
        <v>0.0878693612448476</v>
      </c>
    </row>
    <row r="173" customFormat="false" ht="15" hidden="false" customHeight="true" outlineLevel="0" collapsed="false">
      <c r="B173" s="21" t="s">
        <v>302</v>
      </c>
      <c r="D173" s="22" t="n">
        <f aca="false">IF(AND(ISNUMBER(D102),ISNUMBER(C102)),IFERROR(D102/C102-1,""),"")</f>
        <v>0.286344534673306</v>
      </c>
      <c r="E173" s="22" t="n">
        <f aca="false">IF(AND(ISNUMBER(E102),ISNUMBER(D102)),IFERROR(E102/D102-1,""),"")</f>
        <v>0.229892808147512</v>
      </c>
      <c r="F173" s="22" t="n">
        <f aca="false">IF(AND(ISNUMBER(F102),ISNUMBER(E102)),IFERROR(F102/E102-1,""),"")</f>
        <v>-0.165737134646652</v>
      </c>
      <c r="G173" s="22" t="n">
        <f aca="false">IF(AND(ISNUMBER(G102),ISNUMBER(F102)),IFERROR(G102/F102-1,""),"")</f>
        <v>0.237017732706362</v>
      </c>
      <c r="H173" s="22" t="n">
        <f aca="false">IF(AND(ISNUMBER(H102),ISNUMBER(G102)),IFERROR(H102/G102-1,""),"")</f>
        <v>0.267996665842287</v>
      </c>
      <c r="I173" s="22" t="n">
        <f aca="false">IF(AND(ISNUMBER(I102),ISNUMBER(H102)),IFERROR(I102/H102-1,""),"")</f>
        <v>0.179605724151383</v>
      </c>
      <c r="N173" s="22" t="n">
        <f aca="false">IF(AND(ISNUMBER(N102),ISNUMBER(I102)),IFERROR(N102/I102-1,""),"")</f>
        <v>0.124291155829362</v>
      </c>
      <c r="O173" s="22" t="n">
        <f aca="false">IF(AND(ISNUMBER(O102),ISNUMBER(J102)),IFERROR(O102/J102-1,""),"")</f>
        <v>0.442084776324452</v>
      </c>
      <c r="P173" s="22" t="n">
        <f aca="false">IF(AND(ISNUMBER(P102),ISNUMBER(K102)),IFERROR(P102/K102-1,""),"")</f>
        <v>0.100317758682421</v>
      </c>
      <c r="Q173" s="22" t="n">
        <f aca="false">IF(AND(ISNUMBER(Q102),ISNUMBER(L102)),IFERROR(Q102/L102-1,""),"")</f>
        <v>0.0352642234433744</v>
      </c>
      <c r="R173" s="22" t="n">
        <f aca="false">IF(AND(ISNUMBER(R102),ISNUMBER(M102)),IFERROR(R102/M102-1,""),"")</f>
        <v>-0.0330831398383634</v>
      </c>
      <c r="S173" s="22" t="n">
        <f aca="false">IF(AND(ISNUMBER(S102),ISNUMBER(N102)),IFERROR(S102/N102-1,""),"")</f>
        <v>0.107838117544528</v>
      </c>
      <c r="T173" s="22" t="n">
        <f aca="false">IF(AND(ISNUMBER(T102),ISNUMBER(O102)),IFERROR(T102/O102-1,""),"")</f>
        <v>-0.0789719162449145</v>
      </c>
      <c r="U173" s="22" t="n">
        <f aca="false">IF(AND(ISNUMBER(U102),ISNUMBER(P102)),IFERROR(U102/P102-1,""),"")</f>
        <v>0.134571190335766</v>
      </c>
      <c r="V173" s="22" t="n">
        <f aca="false">IF(AND(ISNUMBER(V102),ISNUMBER(Q102)),IFERROR(V102/Q102-1,""),"")</f>
        <v>0.167561311436155</v>
      </c>
      <c r="W173" s="22" t="n">
        <f aca="false">IF(AND(ISNUMBER(W102),ISNUMBER(R102)),IFERROR(W102/R102-1,""),"")</f>
        <v>0.28356819747203</v>
      </c>
      <c r="X173" s="22" t="n">
        <f aca="false">IF(AND(ISNUMBER(X102),ISNUMBER(S102)),IFERROR(X102/S102-1,""),"")</f>
        <v>0.129152162369461</v>
      </c>
      <c r="Y173" s="22" t="n">
        <f aca="false">IF(AND(ISNUMBER(Y102),ISNUMBER(T102)),IFERROR(Y102/T102-1,""),"")</f>
        <v>0.133926647416282</v>
      </c>
      <c r="Z173" s="22" t="n">
        <f aca="false">IF(AND(ISNUMBER(Z102),ISNUMBER(U102)),IFERROR(Z102/U102-1,""),"")</f>
        <v>0.197282569728257</v>
      </c>
      <c r="AA173" s="22" t="n">
        <f aca="false">IF(AND(ISNUMBER(AA102),ISNUMBER(V102)),IFERROR(AA102/V102-1,""),"")</f>
        <v>0.193881387796958</v>
      </c>
      <c r="AB173" s="22" t="n">
        <f aca="false">IF(AND(ISNUMBER(AB102),ISNUMBER(W102)),IFERROR(AB102/W102-1,""),"")</f>
        <v>0.103318250377073</v>
      </c>
      <c r="AC173" s="22" t="n">
        <f aca="false">IF(AND(ISNUMBER(AC102),ISNUMBER(X102)),IFERROR(AC102/X102-1,""),"")</f>
        <v>0.155401992545373</v>
      </c>
      <c r="AD173" s="22" t="n">
        <f aca="false">IF(AND(ISNUMBER(AD102),ISNUMBER(Y102)),IFERROR(AD102/Y102-1,""),"")</f>
        <v>0.22669656600977</v>
      </c>
      <c r="AE173" s="22" t="n">
        <f aca="false">IF(AND(ISNUMBER(AE102),ISNUMBER(Z102)),IFERROR(AE102/Z102-1,""),"")</f>
        <v>0.145941252208281</v>
      </c>
      <c r="AF173" s="22" t="n">
        <f aca="false">IF(AND(ISNUMBER(AF102),ISNUMBER(AA102)),IFERROR(AF102/AA102-1,""),"")</f>
        <v>0.0897300083030319</v>
      </c>
      <c r="AG173" s="22" t="n">
        <f aca="false">IF(AND(ISNUMBER(AG102),ISNUMBER(AB102)),IFERROR(AG102/AB102-1,""),"")</f>
        <v>0.175719017824282</v>
      </c>
      <c r="AH173" s="22" t="n">
        <f aca="false">IF(AND(ISNUMBER(AH102),ISNUMBER(AC102)),IFERROR(AH102/AC102-1,""),"")</f>
        <v>0.155695415402589</v>
      </c>
      <c r="AI173" s="22" t="n">
        <f aca="false">IF(AND(ISNUMBER(AI102),ISNUMBER(AD102)),IFERROR(AI102/AD102-1,""),"")</f>
        <v>0.232532920216886</v>
      </c>
      <c r="AJ173" s="22" t="n">
        <f aca="false">IF(AND(ISNUMBER(AJ102),ISNUMBER(AE102)),IFERROR(AJ102/AE102-1,""),"")</f>
        <v>0.196271328159703</v>
      </c>
      <c r="AK173" s="22" t="n">
        <f aca="false">IF(AND(ISNUMBER(AK102),ISNUMBER(AF102)),IFERROR(AK102/AF102-1,""),"")</f>
        <v>0.332374346443866</v>
      </c>
      <c r="AL173" s="22" t="n">
        <f aca="false">IF(AND(ISNUMBER(AL102),ISNUMBER(AG102)),IFERROR(AL102/AG102-1,""),"")</f>
        <v>0.159351102365726</v>
      </c>
      <c r="AM173" s="22" t="n">
        <f aca="false">IF(AND(ISNUMBER(AM102),ISNUMBER(AH102)),IFERROR(AM102/AH102-1,""),"")</f>
        <v>0.226920543406661</v>
      </c>
      <c r="AN173" s="22" t="n">
        <f aca="false">IF(AND(ISNUMBER(AN102),ISNUMBER(AI102)),IFERROR(AN102/AI102-1,""),"")</f>
        <v>0.231108597285068</v>
      </c>
      <c r="AO173" s="22" t="n">
        <f aca="false">IF(AND(ISNUMBER(AO102),ISNUMBER(AJ102)),IFERROR(AO102/AJ102-1,""),"")</f>
        <v>0.30162179872222</v>
      </c>
      <c r="AP173" s="22" t="n">
        <f aca="false">IF(AND(ISNUMBER(AP102),ISNUMBER(AK102)),IFERROR(AP102/AK102-1,""),"")</f>
        <v>0.177385800065074</v>
      </c>
      <c r="AQ173" s="22" t="n">
        <f aca="false">IF(AND(ISNUMBER(AQ102),ISNUMBER(AL102)),IFERROR(AQ102/AL102-1,""),"")</f>
        <v>0.162550507729249</v>
      </c>
      <c r="AR173" s="22" t="n">
        <f aca="false">IF(AND(ISNUMBER(AR102),ISNUMBER(AM102)),IFERROR(AR102/AM102-1,""),"")</f>
        <v>0.21489189225106</v>
      </c>
      <c r="AS173" s="22" t="n">
        <f aca="false">IF(AND(ISNUMBER(AS102),ISNUMBER(AN102)),IFERROR(AS102/AN102-1,""),"")</f>
        <v>0.133163853920998</v>
      </c>
      <c r="AT173" s="22" t="n">
        <f aca="false">IF(AND(ISNUMBER(AT102),ISNUMBER(AO102)),IFERROR(AT102/AO102-1,""),"")</f>
        <v>-0.0924796321623047</v>
      </c>
      <c r="AU173" s="22" t="n">
        <f aca="false">IF(AND(ISNUMBER(AU102),ISNUMBER(AP102)),IFERROR(AU102/AP102-1,""),"")</f>
        <v>-0.426918116803725</v>
      </c>
      <c r="AV173" s="22" t="n">
        <f aca="false">IF(AND(ISNUMBER(AV102),ISNUMBER(AQ102)),IFERROR(AV102/AQ102-1,""),"")</f>
        <v>-0.261212910504094</v>
      </c>
      <c r="AW173" s="22" t="n">
        <f aca="false">IF(AND(ISNUMBER(AW102),ISNUMBER(AR102)),IFERROR(AW102/AR102-1,""),"")</f>
        <v>-0.175999842484199</v>
      </c>
      <c r="AX173" s="22" t="n">
        <f aca="false">IF(AND(ISNUMBER(AX102),ISNUMBER(AS102)),IFERROR(AX102/AS102-1,""),"")</f>
        <v>-0.27664654473376</v>
      </c>
      <c r="AY173" s="22" t="n">
        <f aca="false">IF(AND(ISNUMBER(AY102),ISNUMBER(AT102)),IFERROR(AY102/AT102-1,""),"")</f>
        <v>-0.105518625012713</v>
      </c>
      <c r="AZ173" s="22" t="n">
        <f aca="false">IF(AND(ISNUMBER(AZ102),ISNUMBER(AU102)),IFERROR(AZ102/AU102-1,""),"")</f>
        <v>0.473507320922348</v>
      </c>
      <c r="BA173" s="22" t="n">
        <f aca="false">IF(AND(ISNUMBER(BA102),ISNUMBER(AV102)),IFERROR(BA102/AV102-1,""),"")</f>
        <v>0.291546433423532</v>
      </c>
      <c r="BB173" s="22" t="n">
        <f aca="false">IF(AND(ISNUMBER(BB102),ISNUMBER(AW102)),IFERROR(BB102/AW102-1,""),"")</f>
        <v>0.043149041014422</v>
      </c>
      <c r="BC173" s="22" t="n">
        <f aca="false">IF(AND(ISNUMBER(BC102),ISNUMBER(AX102)),IFERROR(BC102/AX102-1,""),"")</f>
        <v>0.230889954536963</v>
      </c>
      <c r="BD173" s="22" t="n">
        <f aca="false">IF(AND(ISNUMBER(BD102),ISNUMBER(AY102)),IFERROR(BD102/AY102-1,""),"")</f>
        <v>0.26903915326415</v>
      </c>
      <c r="BE173" s="22" t="n">
        <f aca="false">IF(AND(ISNUMBER(BE102),ISNUMBER(AZ102)),IFERROR(BE102/AZ102-1,""),"")</f>
        <v>0.276770661853667</v>
      </c>
      <c r="BF173" s="22" t="n">
        <f aca="false">IF(AND(ISNUMBER(BF102),ISNUMBER(BA102)),IFERROR(BF102/BA102-1,""),"")</f>
        <v>0.27357448991124</v>
      </c>
      <c r="BG173" s="22" t="n">
        <f aca="false">IF(AND(ISNUMBER(BG102),ISNUMBER(BB102)),IFERROR(BG102/BB102-1,""),"")</f>
        <v>0.264555866632731</v>
      </c>
      <c r="BH173" s="22" t="n">
        <f aca="false">IF(AND(ISNUMBER(BH102),ISNUMBER(BC102)),IFERROR(BH102/BC102-1,""),"")</f>
        <v>0.309769079759567</v>
      </c>
      <c r="BI173" s="22" t="n">
        <f aca="false">IF(AND(ISNUMBER(BI102),ISNUMBER(BD102)),IFERROR(BI102/BD102-1,""),"")</f>
        <v>0.279474168614643</v>
      </c>
      <c r="BJ173" s="22" t="n">
        <f aca="false">IF(AND(ISNUMBER(BJ102),ISNUMBER(BE102)),IFERROR(BJ102/BE102-1,""),"")</f>
        <v>0.16015907166769</v>
      </c>
      <c r="BK173" s="22" t="n">
        <f aca="false">IF(AND(ISNUMBER(BK102),ISNUMBER(BF102)),IFERROR(BK102/BF102-1,""),"")</f>
        <v>0.293178063864353</v>
      </c>
      <c r="BL173" s="22" t="n">
        <f aca="false">IF(AND(ISNUMBER(BL102),ISNUMBER(BG102)),IFERROR(BL102/BG102-1,""),"")</f>
        <v>0.25862242474499</v>
      </c>
      <c r="BM173" s="22" t="n">
        <f aca="false">IF(AND(ISNUMBER(BM102),ISNUMBER(BH102)),IFERROR(BM102/BH102-1,""),"")</f>
        <v>0.392292596999243</v>
      </c>
      <c r="BN173" s="22" t="n">
        <f aca="false">IF(AND(ISNUMBER(BN102),ISNUMBER(BI102)),IFERROR(BN102/BI102-1,""),"")</f>
        <v>0.331421478133554</v>
      </c>
      <c r="BO173" s="22" t="n">
        <f aca="false">IF(AND(ISNUMBER(BO102),ISNUMBER(BJ102)),IFERROR(BO102/BJ102-1,""),"")</f>
        <v>0.449088486747407</v>
      </c>
      <c r="BP173" s="22" t="n">
        <f aca="false">IF(AND(ISNUMBER(BP102),ISNUMBER(BK102)),IFERROR(BP102/BK102-1,""),"")</f>
        <v>0.154121447574004</v>
      </c>
      <c r="BQ173" s="22" t="n">
        <f aca="false">IF(AND(ISNUMBER(BQ102),ISNUMBER(BL102)),IFERROR(BQ102/BL102-1,""),"")</f>
        <v>0.318412892846919</v>
      </c>
      <c r="BR173" s="22" t="n">
        <f aca="false">IF(AND(ISNUMBER(BR102),ISNUMBER(BM102)),IFERROR(BR102/BM102-1,""),"")</f>
        <v>0.258559458409633</v>
      </c>
      <c r="BS173" s="22" t="n">
        <f aca="false">IF(AND(ISNUMBER(BS102),ISNUMBER(BN102)),IFERROR(BS102/BN102-1,""),"")</f>
        <v>0.18646158553786</v>
      </c>
      <c r="BT173" s="22" t="n">
        <f aca="false">IF(AND(ISNUMBER(BT102),ISNUMBER(BO102)),IFERROR(BT102/BO102-1,""),"")</f>
        <v>0.224411631538582</v>
      </c>
      <c r="BU173" s="22" t="n">
        <f aca="false">IF(AND(ISNUMBER(BU102),ISNUMBER(BP102)),IFERROR(BU102/BP102-1,""),"")</f>
        <v>0.276135854303304</v>
      </c>
      <c r="BV173" s="22" t="n">
        <f aca="false">IF(AND(ISNUMBER(BV102),ISNUMBER(BQ102)),IFERROR(BV102/BQ102-1,""),"")</f>
        <v>0.23596557726013</v>
      </c>
      <c r="BW173" s="22" t="n">
        <f aca="false">IF(AND(ISNUMBER(BW102),ISNUMBER(BR102)),IFERROR(BW102/BR102-1,""),"")</f>
        <v>0.14591389078724</v>
      </c>
      <c r="BX173" s="22" t="n">
        <f aca="false">IF(AND(ISNUMBER(BX102),ISNUMBER(BS102)),IFERROR(BX102/BS102-1,""),"")</f>
        <v>0.412186885457301</v>
      </c>
      <c r="BY173" s="22" t="n">
        <f aca="false">IF(AND(ISNUMBER(BY102),ISNUMBER(BT102)),IFERROR(BY102/BT102-1,""),"")</f>
        <v>0.340269942909754</v>
      </c>
      <c r="BZ173" s="23" t="n">
        <f aca="false">IF(AND(ISNUMBER(BZ102),ISNUMBER(BU102)),IFERROR(BZ102/BU102-1,""),"")</f>
        <v>0.294937708003603</v>
      </c>
      <c r="CA173" s="23" t="n">
        <f aca="false">IF(AND(ISNUMBER(CA102),ISNUMBER(BV102)),IFERROR(CA102/BV102-1,""),"")</f>
        <v>0.302111593116554</v>
      </c>
      <c r="CB173" s="23" t="n">
        <f aca="false">IF(AND(ISNUMBER(CB102),ISNUMBER(CA102)),IFERROR(CB102/CA102-1,""),"")</f>
        <v>0.13908316541598</v>
      </c>
      <c r="CC173" s="23" t="n">
        <f aca="false">IF(AND(ISNUMBER(CC102),ISNUMBER(CB102)),IFERROR(CC102/CB102-1,""),"")</f>
        <v>0.123202417105445</v>
      </c>
      <c r="CD173" s="23" t="n">
        <f aca="false">IF(AND(ISNUMBER(CD102),ISNUMBER(CC102)),IFERROR(CD102/CC102-1,""),"")</f>
        <v>0.0916773000729763</v>
      </c>
      <c r="CE173" s="23" t="n">
        <f aca="false">IF(AND(ISNUMBER(CE102),ISNUMBER(CD102)),IFERROR(CE102/CD102-1,""),"")</f>
        <v>0.091060885754366</v>
      </c>
    </row>
    <row r="174" customFormat="false" ht="15" hidden="false" customHeight="true" outlineLevel="0" collapsed="false">
      <c r="B174" s="21" t="s">
        <v>303</v>
      </c>
      <c r="D174" s="22" t="n">
        <f aca="false">IF(AND(ISNUMBER(D111),ISNUMBER(C111)),IFERROR(D111/C111-1,""),"")</f>
        <v>0.223187405920721</v>
      </c>
      <c r="E174" s="22" t="n">
        <f aca="false">IF(AND(ISNUMBER(E111),ISNUMBER(D111)),IFERROR(E111/D111-1,""),"")</f>
        <v>0.24371234457121</v>
      </c>
      <c r="F174" s="22" t="n">
        <f aca="false">IF(AND(ISNUMBER(F111),ISNUMBER(E111)),IFERROR(F111/E111-1,""),"")</f>
        <v>-0.080084929191317</v>
      </c>
      <c r="G174" s="22" t="n">
        <f aca="false">IF(AND(ISNUMBER(G111),ISNUMBER(F111)),IFERROR(G111/F111-1,""),"")</f>
        <v>0.231076054318109</v>
      </c>
      <c r="H174" s="22" t="n">
        <f aca="false">IF(AND(ISNUMBER(H111),ISNUMBER(G111)),IFERROR(H111/G111-1,""),"")</f>
        <v>0.32549419345444</v>
      </c>
      <c r="I174" s="22" t="n">
        <f aca="false">IF(AND(ISNUMBER(I111),ISNUMBER(H111)),IFERROR(I111/H111-1,""),"")</f>
        <v>0.16928041746773</v>
      </c>
      <c r="N174" s="22" t="n">
        <f aca="false">IF(AND(ISNUMBER(N111),ISNUMBER(I111)),IFERROR(N111/I111-1,""),"")</f>
        <v>0.202579069139252</v>
      </c>
      <c r="O174" s="22" t="n">
        <f aca="false">IF(AND(ISNUMBER(O111),ISNUMBER(J111)),IFERROR(O111/J111-1,""),"")</f>
        <v>0.375638841567293</v>
      </c>
      <c r="P174" s="22" t="n">
        <f aca="false">IF(AND(ISNUMBER(P111),ISNUMBER(K111)),IFERROR(P111/K111-1,""),"")</f>
        <v>0.196919831223629</v>
      </c>
      <c r="Q174" s="22" t="n">
        <f aca="false">IF(AND(ISNUMBER(Q111),ISNUMBER(L111)),IFERROR(Q111/L111-1,""),"")</f>
        <v>0.152658306560265</v>
      </c>
      <c r="R174" s="22" t="n">
        <f aca="false">IF(AND(ISNUMBER(R111),ISNUMBER(M111)),IFERROR(R111/M111-1,""),"")</f>
        <v>0.0776744654425847</v>
      </c>
      <c r="S174" s="22" t="n">
        <f aca="false">IF(AND(ISNUMBER(S111),ISNUMBER(N111)),IFERROR(S111/N111-1,""),"")</f>
        <v>0.184548224540021</v>
      </c>
      <c r="T174" s="22" t="n">
        <f aca="false">IF(AND(ISNUMBER(T111),ISNUMBER(O111)),IFERROR(T111/O111-1,""),"")</f>
        <v>0.00673829903478329</v>
      </c>
      <c r="U174" s="22" t="n">
        <f aca="false">IF(AND(ISNUMBER(U111),ISNUMBER(P111)),IFERROR(U111/P111-1,""),"")</f>
        <v>0.167025064335318</v>
      </c>
      <c r="V174" s="22" t="n">
        <f aca="false">IF(AND(ISNUMBER(V111),ISNUMBER(Q111)),IFERROR(V111/Q111-1,""),"")</f>
        <v>0.0300605406701446</v>
      </c>
      <c r="W174" s="22" t="n">
        <f aca="false">IF(AND(ISNUMBER(W111),ISNUMBER(R111)),IFERROR(W111/R111-1,""),"")</f>
        <v>0.191403208223018</v>
      </c>
      <c r="X174" s="22" t="n">
        <f aca="false">IF(AND(ISNUMBER(X111),ISNUMBER(S111)),IFERROR(X111/S111-1,""),"")</f>
        <v>0.0995193457165706</v>
      </c>
      <c r="Y174" s="22" t="n">
        <f aca="false">IF(AND(ISNUMBER(Y111),ISNUMBER(T111)),IFERROR(Y111/T111-1,""),"")</f>
        <v>0.131367583212734</v>
      </c>
      <c r="Z174" s="22" t="n">
        <f aca="false">IF(AND(ISNUMBER(Z111),ISNUMBER(U111)),IFERROR(Z111/U111-1,""),"")</f>
        <v>0.167708805316418</v>
      </c>
      <c r="AA174" s="22" t="n">
        <f aca="false">IF(AND(ISNUMBER(AA111),ISNUMBER(V111)),IFERROR(AA111/V111-1,""),"")</f>
        <v>0.222089673833978</v>
      </c>
      <c r="AB174" s="22" t="n">
        <f aca="false">IF(AND(ISNUMBER(AB111),ISNUMBER(W111)),IFERROR(AB111/W111-1,""),"")</f>
        <v>0.157176470588233</v>
      </c>
      <c r="AC174" s="22" t="n">
        <f aca="false">IF(AND(ISNUMBER(AC111),ISNUMBER(X111)),IFERROR(AC111/X111-1,""),"")</f>
        <v>0.171170630754928</v>
      </c>
      <c r="AD174" s="22" t="n">
        <f aca="false">IF(AND(ISNUMBER(AD111),ISNUMBER(Y111)),IFERROR(AD111/Y111-1,""),"")</f>
        <v>0.308784496818141</v>
      </c>
      <c r="AE174" s="22" t="n">
        <f aca="false">IF(AND(ISNUMBER(AE111),ISNUMBER(Z111)),IFERROR(AE111/Z111-1,""),"")</f>
        <v>0.18182994024368</v>
      </c>
      <c r="AF174" s="22" t="n">
        <f aca="false">IF(AND(ISNUMBER(AF111),ISNUMBER(AA111)),IFERROR(AF111/AA111-1,""),"")</f>
        <v>0.087995809723346</v>
      </c>
      <c r="AG174" s="22" t="n">
        <f aca="false">IF(AND(ISNUMBER(AG111),ISNUMBER(AB111)),IFERROR(AG111/AB111-1,""),"")</f>
        <v>0.21264289910081</v>
      </c>
      <c r="AH174" s="22" t="n">
        <f aca="false">IF(AND(ISNUMBER(AH111),ISNUMBER(AC111)),IFERROR(AH111/AC111-1,""),"")</f>
        <v>0.190746004917025</v>
      </c>
      <c r="AI174" s="22" t="n">
        <f aca="false">IF(AND(ISNUMBER(AI111),ISNUMBER(AD111)),IFERROR(AI111/AD111-1,""),"")</f>
        <v>0.591907542697973</v>
      </c>
      <c r="AJ174" s="22" t="n">
        <f aca="false">IF(AND(ISNUMBER(AJ111),ISNUMBER(AE111)),IFERROR(AJ111/AE111-1,""),"")</f>
        <v>0.304951188547914</v>
      </c>
      <c r="AK174" s="22" t="n">
        <f aca="false">IF(AND(ISNUMBER(AK111),ISNUMBER(AF111)),IFERROR(AK111/AF111-1,""),"")</f>
        <v>0.468029235415116</v>
      </c>
      <c r="AL174" s="22" t="n">
        <f aca="false">IF(AND(ISNUMBER(AL111),ISNUMBER(AG111)),IFERROR(AL111/AG111-1,""),"")</f>
        <v>0.255300517941648</v>
      </c>
      <c r="AM174" s="22" t="n">
        <f aca="false">IF(AND(ISNUMBER(AM111),ISNUMBER(AH111)),IFERROR(AM111/AH111-1,""),"")</f>
        <v>0.393838212759093</v>
      </c>
      <c r="AN174" s="22" t="n">
        <f aca="false">IF(AND(ISNUMBER(AN111),ISNUMBER(AI111)),IFERROR(AN111/AI111-1,""),"")</f>
        <v>0.21764489194499</v>
      </c>
      <c r="AO174" s="22" t="n">
        <f aca="false">IF(AND(ISNUMBER(AO111),ISNUMBER(AJ111)),IFERROR(AO111/AJ111-1,""),"")</f>
        <v>0.371766916032072</v>
      </c>
      <c r="AP174" s="22" t="n">
        <f aca="false">IF(AND(ISNUMBER(AP111),ISNUMBER(AK111)),IFERROR(AP111/AK111-1,""),"")</f>
        <v>0.208866231404466</v>
      </c>
      <c r="AQ174" s="22" t="n">
        <f aca="false">IF(AND(ISNUMBER(AQ111),ISNUMBER(AL111)),IFERROR(AQ111/AL111-1,""),"")</f>
        <v>0.271709930688513</v>
      </c>
      <c r="AR174" s="22" t="n">
        <f aca="false">IF(AND(ISNUMBER(AR111),ISNUMBER(AM111)),IFERROR(AR111/AM111-1,""),"")</f>
        <v>0.264869827529674</v>
      </c>
      <c r="AS174" s="22" t="n">
        <f aca="false">IF(AND(ISNUMBER(AS111),ISNUMBER(AN111)),IFERROR(AS111/AN111-1,""),"")</f>
        <v>0.536429183683759</v>
      </c>
      <c r="AT174" s="22" t="n">
        <f aca="false">IF(AND(ISNUMBER(AT111),ISNUMBER(AO111)),IFERROR(AT111/AO111-1,""),"")</f>
        <v>-0.0773886674329308</v>
      </c>
      <c r="AU174" s="22" t="n">
        <f aca="false">IF(AND(ISNUMBER(AU111),ISNUMBER(AP111)),IFERROR(AU111/AP111-1,""),"")</f>
        <v>-0.330242422747786</v>
      </c>
      <c r="AV174" s="22" t="n">
        <f aca="false">IF(AND(ISNUMBER(AV111),ISNUMBER(AQ111)),IFERROR(AV111/AQ111-1,""),"")</f>
        <v>-0.272594650109706</v>
      </c>
      <c r="AW174" s="22" t="n">
        <f aca="false">IF(AND(ISNUMBER(AW111),ISNUMBER(AR111)),IFERROR(AW111/AR111-1,""),"")</f>
        <v>-0.0424280869544001</v>
      </c>
      <c r="AX174" s="22" t="n">
        <f aca="false">IF(AND(ISNUMBER(AX111),ISNUMBER(AS111)),IFERROR(AX111/AS111-1,""),"")</f>
        <v>-0.420812549225519</v>
      </c>
      <c r="AY174" s="22" t="n">
        <f aca="false">IF(AND(ISNUMBER(AY111),ISNUMBER(AT111)),IFERROR(AY111/AT111-1,""),"")</f>
        <v>-0.06335069513472</v>
      </c>
      <c r="AZ174" s="22" t="n">
        <f aca="false">IF(AND(ISNUMBER(AZ111),ISNUMBER(AU111)),IFERROR(AZ111/AU111-1,""),"")</f>
        <v>0.415586567493924</v>
      </c>
      <c r="BA174" s="22" t="n">
        <f aca="false">IF(AND(ISNUMBER(BA111),ISNUMBER(AV111)),IFERROR(BA111/AV111-1,""),"")</f>
        <v>0.380814093410561</v>
      </c>
      <c r="BB174" s="22" t="n">
        <f aca="false">IF(AND(ISNUMBER(BB111),ISNUMBER(AW111)),IFERROR(BB111/AW111-1,""),"")</f>
        <v>-0.0310971259682025</v>
      </c>
      <c r="BC174" s="22" t="n">
        <f aca="false">IF(AND(ISNUMBER(BC111),ISNUMBER(AX111)),IFERROR(BC111/AX111-1,""),"")</f>
        <v>0.231245396339737</v>
      </c>
      <c r="BD174" s="22" t="n">
        <f aca="false">IF(AND(ISNUMBER(BD111),ISNUMBER(AY111)),IFERROR(BD111/AY111-1,""),"")</f>
        <v>0.202863894273626</v>
      </c>
      <c r="BE174" s="22" t="n">
        <f aca="false">IF(AND(ISNUMBER(BE111),ISNUMBER(AZ111)),IFERROR(BE111/AZ111-1,""),"")</f>
        <v>0.0734955585324302</v>
      </c>
      <c r="BF174" s="22" t="n">
        <f aca="false">IF(AND(ISNUMBER(BF111),ISNUMBER(BA111)),IFERROR(BF111/BA111-1,""),"")</f>
        <v>0.129464804443308</v>
      </c>
      <c r="BG174" s="22" t="n">
        <f aca="false">IF(AND(ISNUMBER(BG111),ISNUMBER(BB111)),IFERROR(BG111/BB111-1,""),"")</f>
        <v>0.155989086845046</v>
      </c>
      <c r="BH174" s="22" t="n">
        <f aca="false">IF(AND(ISNUMBER(BH111),ISNUMBER(BC111)),IFERROR(BH111/BC111-1,""),"")</f>
        <v>0.0702476961838905</v>
      </c>
      <c r="BI174" s="22" t="n">
        <f aca="false">IF(AND(ISNUMBER(BI111),ISNUMBER(BD111)),IFERROR(BI111/BD111-1,""),"")</f>
        <v>0.236560404658276</v>
      </c>
      <c r="BJ174" s="22" t="n">
        <f aca="false">IF(AND(ISNUMBER(BJ111),ISNUMBER(BE111)),IFERROR(BJ111/BE111-1,""),"")</f>
        <v>0.236043130603344</v>
      </c>
      <c r="BK174" s="22" t="n">
        <f aca="false">IF(AND(ISNUMBER(BK111),ISNUMBER(BF111)),IFERROR(BK111/BF111-1,""),"")</f>
        <v>0.0640097115345042</v>
      </c>
      <c r="BL174" s="22" t="n">
        <f aca="false">IF(AND(ISNUMBER(BL111),ISNUMBER(BG111)),IFERROR(BL111/BG111-1,""),"")</f>
        <v>0.14763915547025</v>
      </c>
      <c r="BM174" s="22" t="n">
        <f aca="false">IF(AND(ISNUMBER(BM111),ISNUMBER(BH111)),IFERROR(BM111/BH111-1,""),"")</f>
        <v>0.232953873606588</v>
      </c>
      <c r="BN174" s="22" t="n">
        <f aca="false">IF(AND(ISNUMBER(BN111),ISNUMBER(BI111)),IFERROR(BN111/BI111-1,""),"")</f>
        <v>0.171480213089802</v>
      </c>
      <c r="BO174" s="22" t="n">
        <f aca="false">IF(AND(ISNUMBER(BO111),ISNUMBER(BJ111)),IFERROR(BO111/BJ111-1,""),"")</f>
        <v>0.338688334983287</v>
      </c>
      <c r="BP174" s="22" t="n">
        <f aca="false">IF(AND(ISNUMBER(BP111),ISNUMBER(BK111)),IFERROR(BP111/BK111-1,""),"")</f>
        <v>0.350608164291377</v>
      </c>
      <c r="BQ174" s="22" t="n">
        <f aca="false">IF(AND(ISNUMBER(BQ111),ISNUMBER(BL111)),IFERROR(BQ111/BL111-1,""),"")</f>
        <v>0.273820850553523</v>
      </c>
      <c r="BR174" s="22" t="n">
        <f aca="false">IF(AND(ISNUMBER(BR111),ISNUMBER(BM111)),IFERROR(BR111/BM111-1,""),"")</f>
        <v>0.464323702244155</v>
      </c>
      <c r="BS174" s="22" t="n">
        <f aca="false">IF(AND(ISNUMBER(BS111),ISNUMBER(BN111)),IFERROR(BS111/BN111-1,""),"")</f>
        <v>0.273228525490069</v>
      </c>
      <c r="BT174" s="22" t="n">
        <f aca="false">IF(AND(ISNUMBER(BT111),ISNUMBER(BO111)),IFERROR(BT111/BO111-1,""),"")</f>
        <v>0.298468995511689</v>
      </c>
      <c r="BU174" s="22" t="n">
        <f aca="false">IF(AND(ISNUMBER(BU111),ISNUMBER(BP111)),IFERROR(BU111/BP111-1,""),"")</f>
        <v>0.347975488230916</v>
      </c>
      <c r="BV174" s="22" t="n">
        <f aca="false">IF(AND(ISNUMBER(BV111),ISNUMBER(BQ111)),IFERROR(BV111/BQ111-1,""),"")</f>
        <v>0.342876705134515</v>
      </c>
      <c r="BW174" s="22" t="n">
        <f aca="false">IF(AND(ISNUMBER(BW111),ISNUMBER(BR111)),IFERROR(BW111/BR111-1,""),"")</f>
        <v>0.132374743234795</v>
      </c>
      <c r="BX174" s="22" t="n">
        <f aca="false">IF(AND(ISNUMBER(BX111),ISNUMBER(BS111)),IFERROR(BX111/BS111-1,""),"")</f>
        <v>0.491144375067765</v>
      </c>
      <c r="BY174" s="22" t="n">
        <f aca="false">IF(AND(ISNUMBER(BY111),ISNUMBER(BT111)),IFERROR(BY111/BT111-1,""),"")</f>
        <v>0.32760613732865</v>
      </c>
      <c r="BZ174" s="23" t="n">
        <f aca="false">IF(AND(ISNUMBER(BZ111),ISNUMBER(BU111)),IFERROR(BZ111/BU111-1,""),"")</f>
        <v>0.279452783776401</v>
      </c>
      <c r="CA174" s="23" t="n">
        <f aca="false">IF(AND(ISNUMBER(CA111),ISNUMBER(BV111)),IFERROR(CA111/BV111-1,""),"")</f>
        <v>0.304118486603797</v>
      </c>
      <c r="CB174" s="23" t="n">
        <f aca="false">IF(AND(ISNUMBER(CB111),ISNUMBER(CA111)),IFERROR(CB111/CA111-1,""),"")</f>
        <v>0.136839975896711</v>
      </c>
      <c r="CC174" s="23" t="n">
        <f aca="false">IF(AND(ISNUMBER(CC111),ISNUMBER(CB111)),IFERROR(CC111/CB111-1,""),"")</f>
        <v>0.134409755510247</v>
      </c>
      <c r="CD174" s="23" t="n">
        <f aca="false">IF(AND(ISNUMBER(CD111),ISNUMBER(CC111)),IFERROR(CD111/CC111-1,""),"")</f>
        <v>0.0990287858165948</v>
      </c>
      <c r="CE174" s="23" t="n">
        <f aca="false">IF(AND(ISNUMBER(CE111),ISNUMBER(CD111)),IFERROR(CE111/CD111-1,""),"")</f>
        <v>0.0977049849444707</v>
      </c>
    </row>
    <row r="175" customFormat="false" ht="15" hidden="false" customHeight="true" outlineLevel="0" collapsed="false">
      <c r="B175" s="21" t="s">
        <v>304</v>
      </c>
      <c r="D175" s="22" t="n">
        <f aca="false">IF(AND(ISNUMBER(D163),ISNUMBER(C163)),IFERROR(D163/C163-1,""),"")</f>
        <v>0.208042588270376</v>
      </c>
      <c r="E175" s="22" t="n">
        <f aca="false">IF(AND(ISNUMBER(E163),ISNUMBER(D163)),IFERROR(E163/D163-1,""),"")</f>
        <v>0.259929270838961</v>
      </c>
      <c r="F175" s="22" t="n">
        <f aca="false">IF(AND(ISNUMBER(F163),ISNUMBER(E163)),IFERROR(F163/E163-1,""),"")</f>
        <v>-0.0909054267292738</v>
      </c>
      <c r="G175" s="22" t="n">
        <f aca="false">IF(AND(ISNUMBER(G163),ISNUMBER(F163)),IFERROR(G163/F163-1,""),"")</f>
        <v>0.24708553158095</v>
      </c>
      <c r="H175" s="22" t="n">
        <f aca="false">IF(AND(ISNUMBER(H163),ISNUMBER(G163)),IFERROR(H163/G163-1,""),"")</f>
        <v>0.341091009789441</v>
      </c>
      <c r="I175" s="22" t="n">
        <f aca="false">IF(AND(ISNUMBER(I163),ISNUMBER(H163)),IFERROR(I163/H163-1,""),"")</f>
        <v>0.12565450772893</v>
      </c>
      <c r="N175" s="22" t="n">
        <f aca="false">IF(AND(ISNUMBER(N163),ISNUMBER(I163)),IFERROR(N163/I163-1,""),"")</f>
        <v>0.181852431841306</v>
      </c>
      <c r="O175" s="22" t="n">
        <f aca="false">IF(AND(ISNUMBER(O163),ISNUMBER(J163)),IFERROR(O163/J163-1,""),"")</f>
        <v>0.139454642401238</v>
      </c>
      <c r="P175" s="22" t="n">
        <f aca="false">IF(AND(ISNUMBER(P163),ISNUMBER(K163)),IFERROR(P163/K163-1,""),"")</f>
        <v>0.15602692693035</v>
      </c>
      <c r="Q175" s="22" t="n">
        <f aca="false">IF(AND(ISNUMBER(Q163),ISNUMBER(L163)),IFERROR(Q163/L163-1,""),"")</f>
        <v>0.117750680593052</v>
      </c>
      <c r="R175" s="22" t="n">
        <f aca="false">IF(AND(ISNUMBER(R163),ISNUMBER(M163)),IFERROR(R163/M163-1,""),"")</f>
        <v>0.0184244252229147</v>
      </c>
      <c r="S175" s="22" t="n">
        <f aca="false">IF(AND(ISNUMBER(S163),ISNUMBER(N163)),IFERROR(S163/N163-1,""),"")</f>
        <v>0.0994522055332381</v>
      </c>
      <c r="T175" s="22" t="n">
        <f aca="false">IF(AND(ISNUMBER(T163),ISNUMBER(O163)),IFERROR(T163/O163-1,""),"")</f>
        <v>0.207343620463277</v>
      </c>
      <c r="U175" s="22" t="n">
        <f aca="false">IF(AND(ISNUMBER(U163),ISNUMBER(P163)),IFERROR(U163/P163-1,""),"")</f>
        <v>0.199436377546078</v>
      </c>
      <c r="V175" s="22" t="n">
        <f aca="false">IF(AND(ISNUMBER(V163),ISNUMBER(Q163)),IFERROR(V163/Q163-1,""),"")</f>
        <v>0.0615589033203081</v>
      </c>
      <c r="W175" s="22" t="n">
        <f aca="false">IF(AND(ISNUMBER(W163),ISNUMBER(R163)),IFERROR(W163/R163-1,""),"")</f>
        <v>0.276520582271325</v>
      </c>
      <c r="X175" s="22" t="n">
        <f aca="false">IF(AND(ISNUMBER(X163),ISNUMBER(S163)),IFERROR(X163/S163-1,""),"")</f>
        <v>0.184971400040715</v>
      </c>
      <c r="Y175" s="22" t="n">
        <f aca="false">IF(AND(ISNUMBER(Y163),ISNUMBER(T163)),IFERROR(Y163/T163-1,""),"")</f>
        <v>0.219961297440099</v>
      </c>
      <c r="Z175" s="22" t="n">
        <f aca="false">IF(AND(ISNUMBER(Z163),ISNUMBER(U163)),IFERROR(Z163/U163-1,""),"")</f>
        <v>0.208196803021156</v>
      </c>
      <c r="AA175" s="22" t="n">
        <f aca="false">IF(AND(ISNUMBER(AA163),ISNUMBER(V163)),IFERROR(AA163/V163-1,""),"")</f>
        <v>0.218984777321226</v>
      </c>
      <c r="AB175" s="22" t="n">
        <f aca="false">IF(AND(ISNUMBER(AB163),ISNUMBER(W163)),IFERROR(AB163/W163-1,""),"")</f>
        <v>0.141357569920774</v>
      </c>
      <c r="AC175" s="22" t="n">
        <f aca="false">IF(AND(ISNUMBER(AC163),ISNUMBER(X163)),IFERROR(AC163/X163-1,""),"")</f>
        <v>0.193786187493415</v>
      </c>
      <c r="AD175" s="22" t="n">
        <f aca="false">IF(AND(ISNUMBER(AD163),ISNUMBER(Y163)),IFERROR(AD163/Y163-1,""),"")</f>
        <v>0.123588900300445</v>
      </c>
      <c r="AE175" s="22" t="n">
        <f aca="false">IF(AND(ISNUMBER(AE163),ISNUMBER(Z163)),IFERROR(AE163/Z163-1,""),"")</f>
        <v>0.153829591085523</v>
      </c>
      <c r="AF175" s="22" t="n">
        <f aca="false">IF(AND(ISNUMBER(AF163),ISNUMBER(AA163)),IFERROR(AF163/AA163-1,""),"")</f>
        <v>0.0532665348375632</v>
      </c>
      <c r="AG175" s="22" t="n">
        <f aca="false">IF(AND(ISNUMBER(AG163),ISNUMBER(AB163)),IFERROR(AG163/AB163-1,""),"")</f>
        <v>0.180634138057528</v>
      </c>
      <c r="AH175" s="22" t="n">
        <f aca="false">IF(AND(ISNUMBER(AH163),ISNUMBER(AC163)),IFERROR(AH163/AC163-1,""),"")</f>
        <v>0.128219764396274</v>
      </c>
      <c r="AI175" s="22" t="n">
        <f aca="false">IF(AND(ISNUMBER(AI163),ISNUMBER(AD163)),IFERROR(AI163/AD163-1,""),"")</f>
        <v>0.238210898307696</v>
      </c>
      <c r="AJ175" s="22" t="n">
        <f aca="false">IF(AND(ISNUMBER(AJ163),ISNUMBER(AE163)),IFERROR(AJ163/AE163-1,""),"")</f>
        <v>0.281651399246587</v>
      </c>
      <c r="AK175" s="22" t="n">
        <f aca="false">IF(AND(ISNUMBER(AK163),ISNUMBER(AF163)),IFERROR(AK163/AF163-1,""),"")</f>
        <v>0.365401600362719</v>
      </c>
      <c r="AL175" s="22" t="n">
        <f aca="false">IF(AND(ISNUMBER(AL163),ISNUMBER(AG163)),IFERROR(AL163/AG163-1,""),"")</f>
        <v>0.245428003276327</v>
      </c>
      <c r="AM175" s="22" t="n">
        <f aca="false">IF(AND(ISNUMBER(AM163),ISNUMBER(AH163)),IFERROR(AM163/AH163-1,""),"")</f>
        <v>0.319742693958525</v>
      </c>
      <c r="AN175" s="22" t="n">
        <f aca="false">IF(AND(ISNUMBER(AN163),ISNUMBER(AI163)),IFERROR(AN163/AI163-1,""),"")</f>
        <v>0.352957337964841</v>
      </c>
      <c r="AO175" s="22" t="n">
        <f aca="false">IF(AND(ISNUMBER(AO163),ISNUMBER(AJ163)),IFERROR(AO163/AJ163-1,""),"")</f>
        <v>0.38167574306332</v>
      </c>
      <c r="AP175" s="22" t="n">
        <f aca="false">IF(AND(ISNUMBER(AP163),ISNUMBER(AK163)),IFERROR(AP163/AK163-1,""),"")</f>
        <v>0.288346979047354</v>
      </c>
      <c r="AQ175" s="22" t="n">
        <f aca="false">IF(AND(ISNUMBER(AQ163),ISNUMBER(AL163)),IFERROR(AQ163/AL163-1,""),"")</f>
        <v>0.259115757948616</v>
      </c>
      <c r="AR175" s="22" t="n">
        <f aca="false">IF(AND(ISNUMBER(AR163),ISNUMBER(AM163)),IFERROR(AR163/AM163-1,""),"")</f>
        <v>0.279650951035469</v>
      </c>
      <c r="AS175" s="22" t="n">
        <f aca="false">IF(AND(ISNUMBER(AS163),ISNUMBER(AN163)),IFERROR(AS163/AN163-1,""),"")</f>
        <v>0.150047196727433</v>
      </c>
      <c r="AT175" s="22" t="n">
        <f aca="false">IF(AND(ISNUMBER(AT163),ISNUMBER(AO163)),IFERROR(AT163/AO163-1,""),"")</f>
        <v>-0.0804281857360779</v>
      </c>
      <c r="AU175" s="22" t="n">
        <f aca="false">IF(AND(ISNUMBER(AU163),ISNUMBER(AP163)),IFERROR(AU163/AP163-1,""),"")</f>
        <v>-0.342555048974138</v>
      </c>
      <c r="AV175" s="22" t="n">
        <f aca="false">IF(AND(ISNUMBER(AV163),ISNUMBER(AQ163)),IFERROR(AV163/AQ163-1,""),"")</f>
        <v>-0.270349130950219</v>
      </c>
      <c r="AW175" s="22" t="n">
        <f aca="false">IF(AND(ISNUMBER(AW163),ISNUMBER(AR163)),IFERROR(AW163/AR163-1,""),"")</f>
        <v>-0.150898577417611</v>
      </c>
      <c r="AX175" s="22" t="n">
        <f aca="false">IF(AND(ISNUMBER(AX163),ISNUMBER(AS163)),IFERROR(AX163/AS163-1,""),"")</f>
        <v>-0.243705755553043</v>
      </c>
      <c r="AY175" s="22" t="n">
        <f aca="false">IF(AND(ISNUMBER(AY163),ISNUMBER(AT163)),IFERROR(AY163/AT163-1,""),"")</f>
        <v>-0.0728976195542762</v>
      </c>
      <c r="AZ175" s="22" t="n">
        <f aca="false">IF(AND(ISNUMBER(AZ163),ISNUMBER(AU163)),IFERROR(AZ163/AU163-1,""),"")</f>
        <v>0.440181689023854</v>
      </c>
      <c r="BA175" s="22" t="n">
        <f aca="false">IF(AND(ISNUMBER(BA163),ISNUMBER(AV163)),IFERROR(BA163/AV163-1,""),"")</f>
        <v>0.374344175488274</v>
      </c>
      <c r="BB175" s="22" t="n">
        <f aca="false">IF(AND(ISNUMBER(BB163),ISNUMBER(AW163)),IFERROR(BB163/AW163-1,""),"")</f>
        <v>0.0845530327059425</v>
      </c>
      <c r="BC175" s="22" t="n">
        <f aca="false">IF(AND(ISNUMBER(BC163),ISNUMBER(AX163)),IFERROR(BC163/AX163-1,""),"")</f>
        <v>0.202357516503423</v>
      </c>
      <c r="BD175" s="22" t="n">
        <f aca="false">IF(AND(ISNUMBER(BD163),ISNUMBER(AY163)),IFERROR(BD163/AY163-1,""),"")</f>
        <v>0.181453303324337</v>
      </c>
      <c r="BE175" s="22" t="n">
        <f aca="false">IF(AND(ISNUMBER(BE163),ISNUMBER(AZ163)),IFERROR(BE163/AZ163-1,""),"")</f>
        <v>0.0434692149938292</v>
      </c>
      <c r="BF175" s="22" t="n">
        <f aca="false">IF(AND(ISNUMBER(BF163),ISNUMBER(BA163)),IFERROR(BF163/BA163-1,""),"")</f>
        <v>0.104621757218813</v>
      </c>
      <c r="BG175" s="22" t="n">
        <f aca="false">IF(AND(ISNUMBER(BG163),ISNUMBER(BB163)),IFERROR(BG163/BB163-1,""),"")</f>
        <v>0.125413073885206</v>
      </c>
      <c r="BH175" s="22" t="n">
        <f aca="false">IF(AND(ISNUMBER(BH163),ISNUMBER(BC163)),IFERROR(BH163/BC163-1,""),"")</f>
        <v>0.326065570890304</v>
      </c>
      <c r="BI175" s="22" t="n">
        <f aca="false">IF(AND(ISNUMBER(BI163),ISNUMBER(BD163)),IFERROR(BI163/BD163-1,""),"")</f>
        <v>0.168590067941012</v>
      </c>
      <c r="BJ175" s="22" t="n">
        <f aca="false">IF(AND(ISNUMBER(BJ163),ISNUMBER(BE163)),IFERROR(BJ163/BE163-1,""),"")</f>
        <v>0.293019409767069</v>
      </c>
      <c r="BK175" s="22" t="n">
        <f aca="false">IF(AND(ISNUMBER(BK163),ISNUMBER(BF163)),IFERROR(BK163/BF163-1,""),"")</f>
        <v>0.211597089872021</v>
      </c>
      <c r="BL175" s="22" t="n">
        <f aca="false">IF(AND(ISNUMBER(BL163),ISNUMBER(BG163)),IFERROR(BL163/BG163-1,""),"")</f>
        <v>0.245538070827386</v>
      </c>
      <c r="BM175" s="22" t="n">
        <f aca="false">IF(AND(ISNUMBER(BM163),ISNUMBER(BH163)),IFERROR(BM163/BH163-1,""),"")</f>
        <v>0.0978032671085203</v>
      </c>
      <c r="BN175" s="22" t="n">
        <f aca="false">IF(AND(ISNUMBER(BN163),ISNUMBER(BI163)),IFERROR(BN163/BI163-1,""),"")</f>
        <v>0.187729328431243</v>
      </c>
      <c r="BO175" s="22" t="n">
        <f aca="false">IF(AND(ISNUMBER(BO163),ISNUMBER(BJ163)),IFERROR(BO163/BJ163-1,""),"")</f>
        <v>0.288737466323909</v>
      </c>
      <c r="BP175" s="22" t="n">
        <f aca="false">IF(AND(ISNUMBER(BP163),ISNUMBER(BK163)),IFERROR(BP163/BK163-1,""),"")</f>
        <v>0.218230448579789</v>
      </c>
      <c r="BQ175" s="22" t="n">
        <f aca="false">IF(AND(ISNUMBER(BQ163),ISNUMBER(BL163)),IFERROR(BQ163/BL163-1,""),"")</f>
        <v>0.201756096844786</v>
      </c>
      <c r="BR175" s="22" t="n">
        <f aca="false">IF(AND(ISNUMBER(BR163),ISNUMBER(BM163)),IFERROR(BR163/BM163-1,""),"")</f>
        <v>0.40373998229563</v>
      </c>
      <c r="BS175" s="22" t="n">
        <f aca="false">IF(AND(ISNUMBER(BS163),ISNUMBER(BN163)),IFERROR(BS163/BN163-1,""),"")</f>
        <v>0.345886372269887</v>
      </c>
      <c r="BT175" s="22" t="n">
        <f aca="false">IF(AND(ISNUMBER(BT163),ISNUMBER(BO163)),IFERROR(BT163/BO163-1,""),"")</f>
        <v>0.30219374640164</v>
      </c>
      <c r="BU175" s="22" t="n">
        <f aca="false">IF(AND(ISNUMBER(BU163),ISNUMBER(BP163)),IFERROR(BU163/BP163-1,""),"")</f>
        <v>0.347377520465125</v>
      </c>
      <c r="BV175" s="22" t="n">
        <f aca="false">IF(AND(ISNUMBER(BV163),ISNUMBER(BQ163)),IFERROR(BV163/BQ163-1,""),"")</f>
        <v>0.347268713439243</v>
      </c>
      <c r="BW175" s="22" t="n">
        <f aca="false">IF(AND(ISNUMBER(BW163),ISNUMBER(BR163)),IFERROR(BW163/BR163-1,""),"")</f>
        <v>0.175885261342724</v>
      </c>
      <c r="BX175" s="22" t="n">
        <f aca="false">IF(AND(ISNUMBER(BX163),ISNUMBER(BS163)),IFERROR(BX163/BS163-1,""),"")</f>
        <v>0.471814327493129</v>
      </c>
      <c r="BY175" s="22" t="n">
        <f aca="false">IF(AND(ISNUMBER(BY163),ISNUMBER(BT163)),IFERROR(BY163/BT163-1,""),"")</f>
        <v>0.326705861086106</v>
      </c>
      <c r="BZ175" s="23" t="n">
        <f aca="false">IF(AND(ISNUMBER(BZ163),ISNUMBER(BU163)),IFERROR(BZ163/BU163-1,""),"")</f>
        <v>0.254528673206599</v>
      </c>
      <c r="CA175" s="23" t="n">
        <f aca="false">IF(AND(ISNUMBER(CA163),ISNUMBER(BV163)),IFERROR(CA163/BV163-1,""),"")</f>
        <v>0.339954909893362</v>
      </c>
      <c r="CB175" s="23" t="n">
        <f aca="false">IF(AND(ISNUMBER(CB163),ISNUMBER(CA163)),IFERROR(CB163/CA163-1,""),"")</f>
        <v>0.125838342578882</v>
      </c>
      <c r="CC175" s="23" t="n">
        <f aca="false">IF(AND(ISNUMBER(CC163),ISNUMBER(CB163)),IFERROR(CC163/CB163-1,""),"")</f>
        <v>0.137875281942333</v>
      </c>
      <c r="CD175" s="23" t="n">
        <f aca="false">IF(AND(ISNUMBER(CD163),ISNUMBER(CC163)),IFERROR(CD163/CC163-1,""),"")</f>
        <v>0.108117081083042</v>
      </c>
      <c r="CE175" s="23" t="n">
        <f aca="false">IF(AND(ISNUMBER(CE163),ISNUMBER(CD163)),IFERROR(CE163/CD163-1,""),"")</f>
        <v>0.107529818874945</v>
      </c>
    </row>
    <row r="176" customFormat="false" ht="15" hidden="false" customHeight="true" outlineLevel="0" collapsed="false">
      <c r="B176" s="29" t="s">
        <v>305</v>
      </c>
      <c r="C176" s="30" t="n">
        <f aca="false">IF(AND(ISNUMBER(C100),ISNUMBER(C98)),IFERROR(C100/C98,""),"")</f>
        <v>0.363377444605931</v>
      </c>
      <c r="D176" s="30" t="n">
        <f aca="false">IF(AND(ISNUMBER(D100),ISNUMBER(D98)),IFERROR(D100/D98,""),"")</f>
        <v>0.349379040958884</v>
      </c>
      <c r="E176" s="30" t="n">
        <f aca="false">IF(AND(ISNUMBER(E100),ISNUMBER(E98)),IFERROR(E100/E98,""),"")</f>
        <v>0.361459748225714</v>
      </c>
      <c r="F176" s="30" t="n">
        <f aca="false">IF(AND(ISNUMBER(F100),ISNUMBER(F98)),IFERROR(F100/F98,""),"")</f>
        <v>0.336266663694324</v>
      </c>
      <c r="G176" s="30" t="n">
        <f aca="false">IF(AND(ISNUMBER(G100),ISNUMBER(G98)),IFERROR(G100/G98,""),"")</f>
        <v>0.360356228323231</v>
      </c>
      <c r="H176" s="30" t="n">
        <f aca="false">IF(AND(ISNUMBER(H100),ISNUMBER(H98)),IFERROR(H100/H98,""),"")</f>
        <v>0.358797528013795</v>
      </c>
      <c r="I176" s="30" t="n">
        <f aca="false">IF(AND(ISNUMBER(I100),ISNUMBER(I98)),IFERROR(I100/I98,""),"")</f>
        <v>0.36489340244075</v>
      </c>
      <c r="J176" s="30" t="n">
        <f aca="false">IF(AND(ISNUMBER(J100),ISNUMBER(J98)),IFERROR(J100/J98,""),"")</f>
        <v>0.358395306942584</v>
      </c>
      <c r="K176" s="30" t="n">
        <f aca="false">IF(AND(ISNUMBER(K100),ISNUMBER(K98)),IFERROR(K100/K98,""),"")</f>
        <v>0.376293603917411</v>
      </c>
      <c r="L176" s="30" t="n">
        <f aca="false">IF(AND(ISNUMBER(L100),ISNUMBER(L98)),IFERROR(L100/L98,""),"")</f>
        <v>0.365136467602281</v>
      </c>
      <c r="M176" s="30" t="n">
        <f aca="false">IF(AND(ISNUMBER(M100),ISNUMBER(M98)),IFERROR(M100/M98,""),"")</f>
        <v>0.370891986111208</v>
      </c>
      <c r="N176" s="30" t="n">
        <f aca="false">IF(AND(ISNUMBER(N100),ISNUMBER(N98)),IFERROR(N100/N98,""),"")</f>
        <v>0.367958784920452</v>
      </c>
      <c r="O176" s="30" t="n">
        <f aca="false">IF(AND(ISNUMBER(O100),ISNUMBER(O98)),IFERROR(O100/O98,""),"")</f>
        <v>0.345232473597026</v>
      </c>
      <c r="P176" s="30" t="n">
        <f aca="false">IF(AND(ISNUMBER(P100),ISNUMBER(P98)),IFERROR(P100/P98,""),"")</f>
        <v>0.354042064684373</v>
      </c>
      <c r="Q176" s="30" t="n">
        <f aca="false">IF(AND(ISNUMBER(Q100),ISNUMBER(Q98)),IFERROR(Q100/Q98,""),"")</f>
        <v>0.355038999415868</v>
      </c>
      <c r="R176" s="30" t="n">
        <f aca="false">IF(AND(ISNUMBER(R100),ISNUMBER(R98)),IFERROR(R100/R98,""),"")</f>
        <v>0.352285754372517</v>
      </c>
      <c r="S176" s="30" t="n">
        <f aca="false">IF(AND(ISNUMBER(S100),ISNUMBER(S98)),IFERROR(S100/S98,""),"")</f>
        <v>0.351769081109342</v>
      </c>
      <c r="T176" s="30" t="n">
        <f aca="false">IF(AND(ISNUMBER(T100),ISNUMBER(T98)),IFERROR(T100/T98,""),"")</f>
        <v>0.349747375878591</v>
      </c>
      <c r="U176" s="30" t="n">
        <f aca="false">IF(AND(ISNUMBER(U100),ISNUMBER(U98)),IFERROR(U100/U98,""),"")</f>
        <v>0.361998620552397</v>
      </c>
      <c r="V176" s="30" t="n">
        <f aca="false">IF(AND(ISNUMBER(V100),ISNUMBER(V98)),IFERROR(V100/V98,""),"")</f>
        <v>0.359862835835803</v>
      </c>
      <c r="W176" s="30" t="n">
        <f aca="false">IF(AND(ISNUMBER(W100),ISNUMBER(W98)),IFERROR(W100/W98,""),"")</f>
        <v>0.385782786486223</v>
      </c>
      <c r="X176" s="30" t="n">
        <f aca="false">IF(AND(ISNUMBER(X100),ISNUMBER(X98)),IFERROR(X100/X98,""),"")</f>
        <v>0.365271299829722</v>
      </c>
      <c r="Y176" s="30" t="n">
        <f aca="false">IF(AND(ISNUMBER(Y100),ISNUMBER(Y98)),IFERROR(Y100/Y98,""),"")</f>
        <v>0.366381801735314</v>
      </c>
      <c r="Z176" s="30" t="n">
        <f aca="false">IF(AND(ISNUMBER(Z100),ISNUMBER(Z98)),IFERROR(Z100/Z98,""),"")</f>
        <v>0.382232324154138</v>
      </c>
      <c r="AA176" s="30" t="n">
        <f aca="false">IF(AND(ISNUMBER(AA100),ISNUMBER(AA98)),IFERROR(AA100/AA98,""),"")</f>
        <v>0.375144628795453</v>
      </c>
      <c r="AB176" s="30" t="n">
        <f aca="false">IF(AND(ISNUMBER(AB100),ISNUMBER(AB98)),IFERROR(AB100/AB98,""),"")</f>
        <v>0.373477493744822</v>
      </c>
      <c r="AC176" s="30" t="n">
        <f aca="false">IF(AND(ISNUMBER(AC100),ISNUMBER(AC98)),IFERROR(AC100/AC98,""),"")</f>
        <v>0.374560583844018</v>
      </c>
      <c r="AD176" s="30" t="n">
        <f aca="false">IF(AND(ISNUMBER(AD100),ISNUMBER(AD98)),IFERROR(AD100/AD98,""),"")</f>
        <v>0.365187285983834</v>
      </c>
      <c r="AE176" s="30" t="n">
        <f aca="false">IF(AND(ISNUMBER(AE100),ISNUMBER(AE98)),IFERROR(AE100/AE98,""),"")</f>
        <v>0.380792986434545</v>
      </c>
      <c r="AF176" s="30" t="n">
        <f aca="false">IF(AND(ISNUMBER(AF100),ISNUMBER(AF98)),IFERROR(AF100/AF98,""),"")</f>
        <v>0.380324393358876</v>
      </c>
      <c r="AG176" s="30" t="n">
        <f aca="false">IF(AND(ISNUMBER(AG100),ISNUMBER(AG98)),IFERROR(AG100/AG98,""),"")</f>
        <v>0.379914249900291</v>
      </c>
      <c r="AH176" s="30" t="n">
        <f aca="false">IF(AND(ISNUMBER(AH100),ISNUMBER(AH98)),IFERROR(AH100/AH98,""),"")</f>
        <v>0.376915070897218</v>
      </c>
      <c r="AI176" s="30" t="n">
        <f aca="false">IF(AND(ISNUMBER(AI100),ISNUMBER(AI98)),IFERROR(AI100/AI98,""),"")</f>
        <v>0.382757597487698</v>
      </c>
      <c r="AJ176" s="30" t="n">
        <f aca="false">IF(AND(ISNUMBER(AJ100),ISNUMBER(AJ98)),IFERROR(AJ100/AJ98,""),"")</f>
        <v>0.389819369162243</v>
      </c>
      <c r="AK176" s="30" t="n">
        <f aca="false">IF(AND(ISNUMBER(AK100),ISNUMBER(AK98)),IFERROR(AK100/AK98,""),"")</f>
        <v>0.389865292760157</v>
      </c>
      <c r="AL176" s="30" t="n">
        <f aca="false">IF(AND(ISNUMBER(AL100),ISNUMBER(AL98)),IFERROR(AL100/AL98,""),"")</f>
        <v>0.390992358728748</v>
      </c>
      <c r="AM176" s="30" t="n">
        <f aca="false">IF(AND(ISNUMBER(AM100),ISNUMBER(AM98)),IFERROR(AM100/AM98,""),"")</f>
        <v>0.388539596483363</v>
      </c>
      <c r="AN176" s="30" t="n">
        <f aca="false">IF(AND(ISNUMBER(AN100),ISNUMBER(AN98)),IFERROR(AN100/AN98,""),"")</f>
        <v>0.390944038992075</v>
      </c>
      <c r="AO176" s="30" t="n">
        <f aca="false">IF(AND(ISNUMBER(AO100),ISNUMBER(AO98)),IFERROR(AO100/AO98,""),"")</f>
        <v>0.40606576579372</v>
      </c>
      <c r="AP176" s="30" t="n">
        <f aca="false">IF(AND(ISNUMBER(AP100),ISNUMBER(AP98)),IFERROR(AP100/AP98,""),"")</f>
        <v>0.399814774460667</v>
      </c>
      <c r="AQ176" s="30" t="n">
        <f aca="false">IF(AND(ISNUMBER(AQ100),ISNUMBER(AQ98)),IFERROR(AQ100/AQ98,""),"")</f>
        <v>0.386655192981355</v>
      </c>
      <c r="AR176" s="30" t="n">
        <f aca="false">IF(AND(ISNUMBER(AR100),ISNUMBER(AR98)),IFERROR(AR100/AR98,""),"")</f>
        <v>0.395904549759759</v>
      </c>
      <c r="AS176" s="30" t="n">
        <f aca="false">IF(AND(ISNUMBER(AS100),ISNUMBER(AS98)),IFERROR(AS100/AS98,""),"")</f>
        <v>0.391184632857637</v>
      </c>
      <c r="AT176" s="30" t="n">
        <f aca="false">IF(AND(ISNUMBER(AT100),ISNUMBER(AT98)),IFERROR(AT100/AT98,""),"")</f>
        <v>0.382124380001111</v>
      </c>
      <c r="AU176" s="30" t="n">
        <f aca="false">IF(AND(ISNUMBER(AU100),ISNUMBER(AU98)),IFERROR(AU100/AU98,""),"")</f>
        <v>0.371323205921172</v>
      </c>
      <c r="AV176" s="30" t="n">
        <f aca="false">IF(AND(ISNUMBER(AV100),ISNUMBER(AV98)),IFERROR(AV100/AV98,""),"")</f>
        <v>0.37943535330308</v>
      </c>
      <c r="AW176" s="30" t="n">
        <f aca="false">IF(AND(ISNUMBER(AW100),ISNUMBER(AW98)),IFERROR(AW100/AW98,""),"")</f>
        <v>0.381714361819107</v>
      </c>
      <c r="AX176" s="30" t="n">
        <f aca="false">IF(AND(ISNUMBER(AX100),ISNUMBER(AX98)),IFERROR(AX100/AX98,""),"")</f>
        <v>0.379117592162756</v>
      </c>
      <c r="AY176" s="30" t="n">
        <f aca="false">IF(AND(ISNUMBER(AY100),ISNUMBER(AY98)),IFERROR(AY100/AY98,""),"")</f>
        <v>0.385240790226529</v>
      </c>
      <c r="AZ176" s="30" t="n">
        <f aca="false">IF(AND(ISNUMBER(AZ100),ISNUMBER(AZ98)),IFERROR(AZ100/AZ98,""),"")</f>
        <v>0.39159266239424</v>
      </c>
      <c r="BA176" s="30" t="n">
        <f aca="false">IF(AND(ISNUMBER(BA100),ISNUMBER(BA98)),IFERROR(BA100/BA98,""),"")</f>
        <v>0.401433389213658</v>
      </c>
      <c r="BB176" s="30" t="n">
        <f aca="false">IF(AND(ISNUMBER(BB100),ISNUMBER(BB98)),IFERROR(BB100/BB98,""),"")</f>
        <v>0.389896563294281</v>
      </c>
      <c r="BC176" s="30" t="n">
        <f aca="false">IF(AND(ISNUMBER(BC100),ISNUMBER(BC98)),IFERROR(BC100/BC98,""),"")</f>
        <v>0.387912134974905</v>
      </c>
      <c r="BD176" s="30" t="n">
        <f aca="false">IF(AND(ISNUMBER(BD100),ISNUMBER(BD98)),IFERROR(BD100/BD98,""),"")</f>
        <v>0.392026547243663</v>
      </c>
      <c r="BE176" s="30" t="n">
        <f aca="false">IF(AND(ISNUMBER(BE100),ISNUMBER(BE98)),IFERROR(BE100/BE98,""),"")</f>
        <v>0.387930005197286</v>
      </c>
      <c r="BF176" s="30" t="n">
        <f aca="false">IF(AND(ISNUMBER(BF100),ISNUMBER(BF98)),IFERROR(BF100/BF98,""),"")</f>
        <v>0.394304488893409</v>
      </c>
      <c r="BG176" s="30" t="n">
        <f aca="false">IF(AND(ISNUMBER(BG100),ISNUMBER(BG98)),IFERROR(BG100/BG98,""),"")</f>
        <v>0.390685325781295</v>
      </c>
      <c r="BH176" s="30" t="n">
        <f aca="false">IF(AND(ISNUMBER(BH100),ISNUMBER(BH98)),IFERROR(BH100/BH98,""),"")</f>
        <v>0.39264472592867</v>
      </c>
      <c r="BI176" s="30" t="n">
        <f aca="false">IF(AND(ISNUMBER(BI100),ISNUMBER(BI98)),IFERROR(BI100/BI98,""),"")</f>
        <v>0.387461637209762</v>
      </c>
      <c r="BJ176" s="30" t="n">
        <f aca="false">IF(AND(ISNUMBER(BJ100),ISNUMBER(BJ98)),IFERROR(BJ100/BJ98,""),"")</f>
        <v>0.385576468179643</v>
      </c>
      <c r="BK176" s="30" t="n">
        <f aca="false">IF(AND(ISNUMBER(BK100),ISNUMBER(BK98)),IFERROR(BK100/BK98,""),"")</f>
        <v>0.38917632284582</v>
      </c>
      <c r="BL176" s="30" t="n">
        <f aca="false">IF(AND(ISNUMBER(BL100),ISNUMBER(BL98)),IFERROR(BL100/BL98,""),"")</f>
        <v>0.388627760810349</v>
      </c>
      <c r="BM176" s="30" t="n">
        <f aca="false">IF(AND(ISNUMBER(BM100),ISNUMBER(BM98)),IFERROR(BM100/BM98,""),"")</f>
        <v>0.38686224219429</v>
      </c>
      <c r="BN176" s="30" t="n">
        <f aca="false">IF(AND(ISNUMBER(BN100),ISNUMBER(BN98)),IFERROR(BN100/BN98,""),"")</f>
        <v>0.389153177481565</v>
      </c>
      <c r="BO176" s="30" t="n">
        <f aca="false">IF(AND(ISNUMBER(BO100),ISNUMBER(BO98)),IFERROR(BO100/BO98,""),"")</f>
        <v>0.392311987148348</v>
      </c>
      <c r="BP176" s="30" t="n">
        <f aca="false">IF(AND(ISNUMBER(BP100),ISNUMBER(BP98)),IFERROR(BP100/BP98,""),"")</f>
        <v>0.388582026606423</v>
      </c>
      <c r="BQ176" s="30" t="n">
        <f aca="false">IF(AND(ISNUMBER(BQ100),ISNUMBER(BQ98)),IFERROR(BQ100/BQ98,""),"")</f>
        <v>0.389283269248865</v>
      </c>
      <c r="BR176" s="30" t="n">
        <f aca="false">IF(AND(ISNUMBER(BR100),ISNUMBER(BR98)),IFERROR(BR100/BR98,""),"")</f>
        <v>0.393761732908053</v>
      </c>
      <c r="BS176" s="30" t="n">
        <f aca="false">IF(AND(ISNUMBER(BS100),ISNUMBER(BS98)),IFERROR(BS100/BS98,""),"")</f>
        <v>0.39879397351114</v>
      </c>
      <c r="BT176" s="30" t="n">
        <f aca="false">IF(AND(ISNUMBER(BT100),ISNUMBER(BT98)),IFERROR(BT100/BT98,""),"")</f>
        <v>0.39836230852281</v>
      </c>
      <c r="BU176" s="30" t="n">
        <f aca="false">IF(AND(ISNUMBER(BU100),ISNUMBER(BU98)),IFERROR(BU100/BU98,""),"")</f>
        <v>0.401717034159603</v>
      </c>
      <c r="BV176" s="30" t="n">
        <f aca="false">IF(AND(ISNUMBER(BV100),ISNUMBER(BV98)),IFERROR(BV100/BV98,""),"")</f>
        <v>0.398315824772288</v>
      </c>
      <c r="BW176" s="30" t="n">
        <f aca="false">IF(AND(ISNUMBER(BW100),ISNUMBER(BW98)),IFERROR(BW100/BW98,""),"")</f>
        <v>0.386026598064454</v>
      </c>
      <c r="BX176" s="30" t="n">
        <f aca="false">IF(AND(ISNUMBER(BX100),ISNUMBER(BX98)),IFERROR(BX100/BX98,""),"")</f>
        <v>0.413985329788989</v>
      </c>
      <c r="BY176" s="30" t="n">
        <f aca="false">IF(AND(ISNUMBER(BY100),ISNUMBER(BY98)),IFERROR(BY100/BY98,""),"")</f>
        <v>0.411158133116309</v>
      </c>
      <c r="BZ176" s="23" t="n">
        <f aca="false">IF(AND(ISNUMBER(BZ100),ISNUMBER(BZ98)),IFERROR(BZ100/BZ98,""),"")</f>
        <v>0.404672646316365</v>
      </c>
      <c r="CA176" s="23" t="n">
        <f aca="false">IF(AND(ISNUMBER(CA100),ISNUMBER(CA98)),IFERROR(CA100/CA98,""),"")</f>
        <v>0.404672646316365</v>
      </c>
      <c r="CB176" s="23" t="n">
        <f aca="false">IF(AND(ISNUMBER(CB100),ISNUMBER(CB98)),IFERROR(CB100/CB98,""),"")</f>
        <v>0.405</v>
      </c>
      <c r="CC176" s="23" t="n">
        <f aca="false">IF(AND(ISNUMBER(CC100),ISNUMBER(CC98)),IFERROR(CC100/CC98,""),"")</f>
        <v>0.405</v>
      </c>
      <c r="CD176" s="23" t="n">
        <f aca="false">IF(AND(ISNUMBER(CD100),ISNUMBER(CD98)),IFERROR(CD100/CD98,""),"")</f>
        <v>0.405</v>
      </c>
      <c r="CE176" s="23" t="n">
        <f aca="false">IF(AND(ISNUMBER(CE100),ISNUMBER(CE98)),IFERROR(CE100/CE98,""),"")</f>
        <v>0.405</v>
      </c>
      <c r="CH176" s="33" t="n">
        <f aca="false">IFERROR(AVERAGE(CA176,CB176,CC176,CD176,CE176),"n/m")</f>
        <v>0.404934529263273</v>
      </c>
      <c r="CI176" s="33" t="n">
        <f aca="false">IFERROR(AVERAGE(BB176,BG176,BL176,BQ176,BV176),"n/m")</f>
        <v>0.391361748781415</v>
      </c>
      <c r="CJ176" s="33" t="n">
        <f aca="false">IFERROR(AVERAGE(AC176,AH176,AM176,AR176,AW176,BB176,BG176,BL176,BQ176,BV176),"n/m")</f>
        <v>0.387444290671054</v>
      </c>
      <c r="CK176" s="33" t="n">
        <f aca="false">IFERROR(AVERAGE(C176,D176,E176,F176,G176,H176,I176,N176,S176,X176,AC176,AH176,AM176,AR176,AW176,BB176,BG176,BL176,BQ176,BV176),"n/m")</f>
        <v>0.372698606441634</v>
      </c>
    </row>
    <row r="177" customFormat="false" ht="15" hidden="false" customHeight="true" outlineLevel="0" collapsed="false">
      <c r="B177" s="29" t="s">
        <v>264</v>
      </c>
      <c r="C177" s="30" t="n">
        <f aca="false">IF(AND(ISNUMBER(C140),ISNUMBER(C98)),IFERROR(C140/C98,""),"")</f>
        <v>0.199064229072643</v>
      </c>
      <c r="D177" s="30" t="n">
        <f aca="false">IF(AND(ISNUMBER(D140),ISNUMBER(D98)),IFERROR(D140/D98,""),"")</f>
        <v>0.193485639583875</v>
      </c>
      <c r="E177" s="30" t="n">
        <f aca="false">IF(AND(ISNUMBER(E140),ISNUMBER(E98)),IFERROR(E140/E98,""),"")</f>
        <v>0.209562339979428</v>
      </c>
      <c r="F177" s="30" t="n">
        <f aca="false">IF(AND(ISNUMBER(F140),ISNUMBER(F98)),IFERROR(F140/F98,""),"")</f>
        <v>0.192695097121286</v>
      </c>
      <c r="G177" s="30" t="n">
        <f aca="false">IF(AND(ISNUMBER(G140),ISNUMBER(G98)),IFERROR(G140/G98,""),"")</f>
        <v>0.208417879485268</v>
      </c>
      <c r="H177" s="30" t="n">
        <f aca="false">IF(AND(ISNUMBER(H140),ISNUMBER(H98)),IFERROR(H140/H98,""),"")</f>
        <v>0.210324085392559</v>
      </c>
      <c r="I177" s="30" t="n">
        <f aca="false">IF(AND(ISNUMBER(I140),ISNUMBER(I98)),IFERROR(I140/I98,""),"")</f>
        <v>0.216618543328278</v>
      </c>
      <c r="J177" s="30" t="n">
        <f aca="false">IF(AND(ISNUMBER(J140),ISNUMBER(J98)),IFERROR(J140/J98,""),"")</f>
        <v>0.199570418956996</v>
      </c>
      <c r="K177" s="30" t="n">
        <f aca="false">IF(AND(ISNUMBER(K140),ISNUMBER(K98)),IFERROR(K140/K98,""),"")</f>
        <v>0.21905026334831</v>
      </c>
      <c r="L177" s="30" t="n">
        <f aca="false">IF(AND(ISNUMBER(L140),ISNUMBER(L98)),IFERROR(L140/L98,""),"")</f>
        <v>0.217000520340055</v>
      </c>
      <c r="M177" s="30" t="n">
        <f aca="false">IF(AND(ISNUMBER(M140),ISNUMBER(M98)),IFERROR(M140/M98,""),"")</f>
        <v>0.23096379589877</v>
      </c>
      <c r="N177" s="30" t="n">
        <f aca="false">IF(AND(ISNUMBER(N140),ISNUMBER(N98)),IFERROR(N140/N98,""),"")</f>
        <v>0.217721413581269</v>
      </c>
      <c r="O177" s="30" t="n">
        <f aca="false">IF(AND(ISNUMBER(O140),ISNUMBER(O98)),IFERROR(O140/O98,""),"")</f>
        <v>0.208176864323567</v>
      </c>
      <c r="P177" s="30" t="n">
        <f aca="false">IF(AND(ISNUMBER(P140),ISNUMBER(P98)),IFERROR(P140/P98,""),"")</f>
        <v>0.21032696505003</v>
      </c>
      <c r="Q177" s="30" t="n">
        <f aca="false">IF(AND(ISNUMBER(Q140),ISNUMBER(Q98)),IFERROR(Q140/Q98,""),"")</f>
        <v>0.210651822836134</v>
      </c>
      <c r="R177" s="30" t="n">
        <f aca="false">IF(AND(ISNUMBER(R140),ISNUMBER(R98)),IFERROR(R140/R98,""),"")</f>
        <v>0.21363821465114</v>
      </c>
      <c r="S177" s="30" t="n">
        <f aca="false">IF(AND(ISNUMBER(S140),ISNUMBER(S98)),IFERROR(S140/S98,""),"")</f>
        <v>0.210758351724924</v>
      </c>
      <c r="T177" s="30" t="n">
        <f aca="false">IF(AND(ISNUMBER(T140),ISNUMBER(T98)),IFERROR(T140/T98,""),"")</f>
        <v>0.214504912653579</v>
      </c>
      <c r="U177" s="30" t="n">
        <f aca="false">IF(AND(ISNUMBER(U140),ISNUMBER(U98)),IFERROR(U140/U98,""),"")</f>
        <v>0.230968255547816</v>
      </c>
      <c r="V177" s="30" t="n">
        <f aca="false">IF(AND(ISNUMBER(V140),ISNUMBER(V98)),IFERROR(V140/V98,""),"")</f>
        <v>0.236032226920132</v>
      </c>
      <c r="W177" s="30" t="n">
        <f aca="false">IF(AND(ISNUMBER(W140),ISNUMBER(W98)),IFERROR(W140/W98,""),"")</f>
        <v>0.249662277285561</v>
      </c>
      <c r="X177" s="30" t="n">
        <f aca="false">IF(AND(ISNUMBER(X140),ISNUMBER(X98)),IFERROR(X140/X98,""),"")</f>
        <v>0.233702492243288</v>
      </c>
      <c r="Y177" s="30" t="n">
        <f aca="false">IF(AND(ISNUMBER(Y140),ISNUMBER(Y98)),IFERROR(Y140/Y98,""),"")</f>
        <v>0.228781263572448</v>
      </c>
      <c r="Z177" s="30" t="n">
        <f aca="false">IF(AND(ISNUMBER(Z140),ISNUMBER(Z98)),IFERROR(Z140/Z98,""),"")</f>
        <v>0.238005064908398</v>
      </c>
      <c r="AA177" s="30" t="n">
        <f aca="false">IF(AND(ISNUMBER(AA140),ISNUMBER(AA98)),IFERROR(AA140/AA98,""),"")</f>
        <v>0.242206895002303</v>
      </c>
      <c r="AB177" s="30" t="n">
        <f aca="false">IF(AND(ISNUMBER(AB140),ISNUMBER(AB98)),IFERROR(AB140/AB98,""),"")</f>
        <v>0.253237691268074</v>
      </c>
      <c r="AC177" s="30" t="n">
        <f aca="false">IF(AND(ISNUMBER(AC140),ISNUMBER(AC98)),IFERROR(AC140/AC98,""),"")</f>
        <v>0.241060905731338</v>
      </c>
      <c r="AD177" s="30" t="n">
        <f aca="false">IF(AND(ISNUMBER(AD140),ISNUMBER(AD98)),IFERROR(AD140/AD98,""),"")</f>
        <v>0.235327517528943</v>
      </c>
      <c r="AE177" s="30" t="n">
        <f aca="false">IF(AND(ISNUMBER(AE140),ISNUMBER(AE98)),IFERROR(AE140/AE98,""),"")</f>
        <v>0.251065353431509</v>
      </c>
      <c r="AF177" s="30" t="n">
        <f aca="false">IF(AND(ISNUMBER(AF140),ISNUMBER(AF98)),IFERROR(AF140/AF98,""),"")</f>
        <v>0.237067688378033</v>
      </c>
      <c r="AG177" s="30" t="n">
        <f aca="false">IF(AND(ISNUMBER(AG140),ISNUMBER(AG98)),IFERROR(AG140/AG98,""),"")</f>
        <v>0.255173019581031</v>
      </c>
      <c r="AH177" s="30" t="n">
        <f aca="false">IF(AND(ISNUMBER(AH140),ISNUMBER(AH98)),IFERROR(AH140/AH98,""),"")</f>
        <v>0.245061525577235</v>
      </c>
      <c r="AI177" s="30" t="n">
        <f aca="false">IF(AND(ISNUMBER(AI140),ISNUMBER(AI98)),IFERROR(AI140/AI98,""),"")</f>
        <v>0.236762196780495</v>
      </c>
      <c r="AJ177" s="30" t="n">
        <f aca="false">IF(AND(ISNUMBER(AJ140),ISNUMBER(AJ98)),IFERROR(AJ140/AJ98,""),"")</f>
        <v>0.256338800098467</v>
      </c>
      <c r="AK177" s="30" t="n">
        <f aca="false">IF(AND(ISNUMBER(AK140),ISNUMBER(AK98)),IFERROR(AK140/AK98,""),"")</f>
        <v>0.247560779262599</v>
      </c>
      <c r="AL177" s="30" t="n">
        <f aca="false">IF(AND(ISNUMBER(AL140),ISNUMBER(AL98)),IFERROR(AL140/AL98,""),"")</f>
        <v>0.258572315280026</v>
      </c>
      <c r="AM177" s="30" t="n">
        <f aca="false">IF(AND(ISNUMBER(AM140),ISNUMBER(AM98)),IFERROR(AM140/AM98,""),"")</f>
        <v>0.255033270125065</v>
      </c>
      <c r="AN177" s="30" t="n">
        <f aca="false">IF(AND(ISNUMBER(AN140),ISNUMBER(AN98)),IFERROR(AN140/AN98,""),"")</f>
        <v>0.256387483749727</v>
      </c>
      <c r="AO177" s="30" t="n">
        <f aca="false">IF(AND(ISNUMBER(AO140),ISNUMBER(AO98)),IFERROR(AO140/AO98,""),"")</f>
        <v>0.278135472260146</v>
      </c>
      <c r="AP177" s="30" t="n">
        <f aca="false">IF(AND(ISNUMBER(AP140),ISNUMBER(AP98)),IFERROR(AP140/AP98,""),"")</f>
        <v>0.265721628181333</v>
      </c>
      <c r="AQ177" s="30" t="n">
        <f aca="false">IF(AND(ISNUMBER(AQ140),ISNUMBER(AQ98)),IFERROR(AQ140/AQ98,""),"")</f>
        <v>0.260889075192649</v>
      </c>
      <c r="AR177" s="30" t="n">
        <f aca="false">IF(AND(ISNUMBER(AR140),ISNUMBER(AR98)),IFERROR(AR140/AR98,""),"")</f>
        <v>0.265445866921704</v>
      </c>
      <c r="AS177" s="30" t="n">
        <f aca="false">IF(AND(ISNUMBER(AS140),ISNUMBER(AS98)),IFERROR(AS140/AS98,""),"")</f>
        <v>0.26305071354501</v>
      </c>
      <c r="AT177" s="30" t="n">
        <f aca="false">IF(AND(ISNUMBER(AT140),ISNUMBER(AT98)),IFERROR(AT140/AT98,""),"")</f>
        <v>0.27922912937417</v>
      </c>
      <c r="AU177" s="30" t="n">
        <f aca="false">IF(AND(ISNUMBER(AU140),ISNUMBER(AU98)),IFERROR(AU140/AU98,""),"")</f>
        <v>0.232990864625657</v>
      </c>
      <c r="AV177" s="30" t="n">
        <f aca="false">IF(AND(ISNUMBER(AV140),ISNUMBER(AV98)),IFERROR(AV140/AV98,""),"")</f>
        <v>0.26553224239637</v>
      </c>
      <c r="AW177" s="30" t="n">
        <f aca="false">IF(AND(ISNUMBER(AW140),ISNUMBER(AW98)),IFERROR(AW140/AW98,""),"")</f>
        <v>0.261380888400674</v>
      </c>
      <c r="AX177" s="30" t="n">
        <f aca="false">IF(AND(ISNUMBER(AX140),ISNUMBER(AX98)),IFERROR(AX140/AX98,""),"")</f>
        <v>0.249893515704639</v>
      </c>
      <c r="AY177" s="30" t="n">
        <f aca="false">IF(AND(ISNUMBER(AY140),ISNUMBER(AY98)),IFERROR(AY140/AY98,""),"")</f>
        <v>0.257573647115296</v>
      </c>
      <c r="AZ177" s="30" t="n">
        <f aca="false">IF(AND(ISNUMBER(AZ140),ISNUMBER(AZ98)),IFERROR(AZ140/AZ98,""),"")</f>
        <v>0.264026185746661</v>
      </c>
      <c r="BA177" s="30" t="n">
        <f aca="false">IF(AND(ISNUMBER(BA140),ISNUMBER(BA98)),IFERROR(BA140/BA98,""),"")</f>
        <v>0.273716093926057</v>
      </c>
      <c r="BB177" s="30" t="n">
        <f aca="false">IF(AND(ISNUMBER(BB140),ISNUMBER(BB98)),IFERROR(BB140/BB98,""),"")</f>
        <v>0.261892433973207</v>
      </c>
      <c r="BC177" s="30" t="n">
        <f aca="false">IF(AND(ISNUMBER(BC140),ISNUMBER(BC98)),IFERROR(BC140/BC98,""),"")</f>
        <v>0.249123572682796</v>
      </c>
      <c r="BD177" s="30" t="n">
        <f aca="false">IF(AND(ISNUMBER(BD140),ISNUMBER(BD98)),IFERROR(BD140/BD98,""),"")</f>
        <v>0.268956019992094</v>
      </c>
      <c r="BE177" s="30" t="n">
        <f aca="false">IF(AND(ISNUMBER(BE140),ISNUMBER(BE98)),IFERROR(BE140/BE98,""),"")</f>
        <v>0.263781587560225</v>
      </c>
      <c r="BF177" s="30" t="n">
        <f aca="false">IF(AND(ISNUMBER(BF140),ISNUMBER(BF98)),IFERROR(BF140/BF98,""),"")</f>
        <v>0.276897109432155</v>
      </c>
      <c r="BG177" s="30" t="n">
        <f aca="false">IF(AND(ISNUMBER(BG140),ISNUMBER(BG98)),IFERROR(BG140/BG98,""),"")</f>
        <v>0.265410116821732</v>
      </c>
      <c r="BH177" s="30" t="n">
        <f aca="false">IF(AND(ISNUMBER(BH140),ISNUMBER(BH98)),IFERROR(BH140/BH98,""),"")</f>
        <v>0.263432192812221</v>
      </c>
      <c r="BI177" s="30" t="n">
        <f aca="false">IF(AND(ISNUMBER(BI140),ISNUMBER(BI98)),IFERROR(BI140/BI98,""),"")</f>
        <v>0.259661753224946</v>
      </c>
      <c r="BJ177" s="30" t="n">
        <f aca="false">IF(AND(ISNUMBER(BJ140),ISNUMBER(BJ98)),IFERROR(BJ140/BJ98,""),"")</f>
        <v>0.252703685976799</v>
      </c>
      <c r="BK177" s="30" t="n">
        <f aca="false">IF(AND(ISNUMBER(BK140),ISNUMBER(BK98)),IFERROR(BK140/BK98,""),"")</f>
        <v>0.261960367217792</v>
      </c>
      <c r="BL177" s="30" t="n">
        <f aca="false">IF(AND(ISNUMBER(BL140),ISNUMBER(BL98)),IFERROR(BL140/BL98,""),"")</f>
        <v>0.259481049356408</v>
      </c>
      <c r="BM177" s="30" t="n">
        <f aca="false">IF(AND(ISNUMBER(BM140),ISNUMBER(BM98)),IFERROR(BM140/BM98,""),"")</f>
        <v>0.251559914900548</v>
      </c>
      <c r="BN177" s="30" t="n">
        <f aca="false">IF(AND(ISNUMBER(BN140),ISNUMBER(BN98)),IFERROR(BN140/BN98,""),"")</f>
        <v>0.257509197766369</v>
      </c>
      <c r="BO177" s="30" t="n">
        <f aca="false">IF(AND(ISNUMBER(BO140),ISNUMBER(BO98)),IFERROR(BO140/BO98,""),"")</f>
        <v>0.263895243719803</v>
      </c>
      <c r="BP177" s="30" t="n">
        <f aca="false">IF(AND(ISNUMBER(BP140),ISNUMBER(BP98)),IFERROR(BP140/BP98,""),"")</f>
        <v>0.26289257299009</v>
      </c>
      <c r="BQ177" s="30" t="n">
        <f aca="false">IF(AND(ISNUMBER(BQ140),ISNUMBER(BQ98)),IFERROR(BQ140/BQ98,""),"")</f>
        <v>0.259183978718755</v>
      </c>
      <c r="BR177" s="30" t="n">
        <f aca="false">IF(AND(ISNUMBER(BR140),ISNUMBER(BR98)),IFERROR(BR140/BR98,""),"")</f>
        <v>0.269104134836958</v>
      </c>
      <c r="BS177" s="30" t="n">
        <f aca="false">IF(AND(ISNUMBER(BS140),ISNUMBER(BS98)),IFERROR(BS140/BS98,""),"")</f>
        <v>0.274309996174236</v>
      </c>
      <c r="BT177" s="30" t="n">
        <f aca="false">IF(AND(ISNUMBER(BT140),ISNUMBER(BT98)),IFERROR(BT140/BT98,""),"")</f>
        <v>0.277673840244477</v>
      </c>
      <c r="BU177" s="30" t="n">
        <f aca="false">IF(AND(ISNUMBER(BU140),ISNUMBER(BU98)),IFERROR(BU140/BU98,""),"")</f>
        <v>0.277317636436249</v>
      </c>
      <c r="BV177" s="30" t="n">
        <f aca="false">IF(AND(ISNUMBER(BV140),ISNUMBER(BV98)),IFERROR(BV140/BV98,""),"")</f>
        <v>0.274785932980814</v>
      </c>
      <c r="BW177" s="30" t="n">
        <f aca="false">IF(AND(ISNUMBER(BW140),ISNUMBER(BW98)),IFERROR(BW140/BW98,""),"")</f>
        <v>0.266571184694828</v>
      </c>
      <c r="BX177" s="30" t="n">
        <f aca="false">IF(AND(ISNUMBER(BX140),ISNUMBER(BX98)),IFERROR(BX140/BX98,""),"")</f>
        <v>0.298464868762598</v>
      </c>
      <c r="BY177" s="30" t="n">
        <f aca="false">IF(AND(ISNUMBER(BY140),ISNUMBER(BY98)),IFERROR(BY140/BY98,""),"")</f>
        <v>0.29630657089275</v>
      </c>
      <c r="BZ177" s="23" t="n">
        <f aca="false">IF(AND(ISNUMBER(BZ140),ISNUMBER(BZ98)),IFERROR(BZ140/BZ98,""),"")</f>
        <v>0.286788379173936</v>
      </c>
      <c r="CA177" s="23" t="n">
        <f aca="false">IF(AND(ISNUMBER(CA140),ISNUMBER(CA98)),IFERROR(CA140/CA98,""),"")</f>
        <v>0.287832828981077</v>
      </c>
      <c r="CB177" s="23" t="n">
        <f aca="false">IF(AND(ISNUMBER(CB140),ISNUMBER(CB98)),IFERROR(CB140/CB98,""),"")</f>
        <v>0.285345452679373</v>
      </c>
      <c r="CC177" s="23" t="n">
        <f aca="false">IF(AND(ISNUMBER(CC140),ISNUMBER(CC98)),IFERROR(CC140/CC98,""),"")</f>
        <v>0.286430580185792</v>
      </c>
      <c r="CD177" s="23" t="n">
        <f aca="false">IF(AND(ISNUMBER(CD140),ISNUMBER(CD98)),IFERROR(CD140/CD98,""),"")</f>
        <v>0.283247281970026</v>
      </c>
      <c r="CE177" s="23" t="n">
        <f aca="false">IF(AND(ISNUMBER(CE140),ISNUMBER(CE98)),IFERROR(CE140/CE98,""),"")</f>
        <v>0.280320848592855</v>
      </c>
      <c r="CH177" s="33" t="n">
        <f aca="false">IFERROR(AVERAGE(CA177,CB177,CC177,CD177,CE177),"n/m")</f>
        <v>0.284635398481825</v>
      </c>
      <c r="CI177" s="33" t="n">
        <f aca="false">IFERROR(AVERAGE(BB177,BG177,BL177,BQ177,BV177),"n/m")</f>
        <v>0.264150702370183</v>
      </c>
      <c r="CJ177" s="33" t="n">
        <f aca="false">IFERROR(AVERAGE(AC177,AH177,AM177,AR177,AW177,BB177,BG177,BL177,BQ177,BV177),"n/m")</f>
        <v>0.258873596860693</v>
      </c>
      <c r="CK177" s="33" t="n">
        <f aca="false">IFERROR(AVERAGE(C177,D177,E177,F177,G177,H177,I177,N177,S177,X177,AC177,AH177,AM177,AR177,AW177,BB177,BG177,BL177,BQ177,BV177),"n/m")</f>
        <v>0.234054302005987</v>
      </c>
    </row>
    <row r="178" customFormat="false" ht="15" hidden="false" customHeight="true" outlineLevel="0" collapsed="false">
      <c r="B178" s="29" t="s">
        <v>306</v>
      </c>
      <c r="D178" s="30" t="n">
        <f aca="false">IFERROR((D140-C140)/(D98-C98),"")</f>
        <v>0.17458136761885</v>
      </c>
      <c r="E178" s="30" t="n">
        <f aca="false">IFERROR((E140-D140)/(E98-D98),"")</f>
        <v>0.319283017346789</v>
      </c>
      <c r="F178" s="30" t="n">
        <f aca="false">IFERROR((F140-E140)/(F98-E98),"")</f>
        <v>0.415677283149078</v>
      </c>
      <c r="G178" s="30" t="n">
        <f aca="false">IFERROR((G140-F140)/(G98-F98),"")</f>
        <v>0.31592652812357</v>
      </c>
      <c r="H178" s="30" t="n">
        <f aca="false">IFERROR((H140-G140)/(H98-G98),"")</f>
        <v>0.218278093743871</v>
      </c>
      <c r="I178" s="30" t="n">
        <f aca="false">IFERROR((I140-H140)/(I98-H98),"")</f>
        <v>0.252967023011416</v>
      </c>
      <c r="N178" s="30" t="n">
        <f aca="false">IFERROR((N140-I140)/(N98-I98),"")</f>
        <v>0.226604434072345</v>
      </c>
      <c r="O178" s="30" t="n">
        <f aca="false">IFERROR((O140-J140)/(O98-J98),"")</f>
        <v>0.245192307692308</v>
      </c>
      <c r="P178" s="30" t="n">
        <f aca="false">IFERROR((P140-K140)/(P98-K98),"")</f>
        <v>0.163754379660408</v>
      </c>
      <c r="Q178" s="30" t="n">
        <f aca="false">IFERROR((Q140-L140)/(Q98-L98),"")</f>
        <v>0.139682805373059</v>
      </c>
      <c r="R178" s="30" t="n">
        <f aca="false">IFERROR((R140-M140)/(R98-M98),"")</f>
        <v>-0.824473629351665</v>
      </c>
      <c r="S178" s="30" t="n">
        <f aca="false">IFERROR((S140-N140)/(S98-N98),"")</f>
        <v>0.153908412515984</v>
      </c>
      <c r="T178" s="30" t="n">
        <f aca="false">IFERROR((T140-O140)/(T98-O98),"")</f>
        <v>1.45695364238411</v>
      </c>
      <c r="U178" s="30" t="n">
        <f aca="false">IFERROR((U140-P140)/(U98-P98),"")</f>
        <v>0.864947219501578</v>
      </c>
      <c r="V178" s="30" t="n">
        <f aca="false">IFERROR((V140-Q140)/(V98-Q98),"")</f>
        <v>1.02687366167024</v>
      </c>
      <c r="W178" s="30" t="n">
        <f aca="false">IFERROR((W140-R140)/(W98-R98),"")</f>
        <v>0.538478421904578</v>
      </c>
      <c r="X178" s="30" t="n">
        <f aca="false">IFERROR((X140-S140)/(X98-S98),"")</f>
        <v>0.694854181088805</v>
      </c>
      <c r="Y178" s="30" t="n">
        <f aca="false">IFERROR((Y140-T140)/(Y98-T98),"")</f>
        <v>0.32942537195731</v>
      </c>
      <c r="Z178" s="30" t="n">
        <f aca="false">IFERROR((Z140-U140)/(Z98-U98),"")</f>
        <v>0.272629037432252</v>
      </c>
      <c r="AA178" s="30" t="n">
        <f aca="false">IFERROR((AA140-V140)/(AA98-V98),"")</f>
        <v>0.275496284596331</v>
      </c>
      <c r="AB178" s="30" t="n">
        <f aca="false">IFERROR((AB140-W140)/(AB98-W98),"")</f>
        <v>0.287174748028994</v>
      </c>
      <c r="AC178" s="30" t="n">
        <f aca="false">IFERROR((AC140-X140)/(AC98-X98),"")</f>
        <v>0.287681893289271</v>
      </c>
      <c r="AD178" s="30" t="n">
        <f aca="false">IFERROR((AD140-Y140)/(AD98-Y98),"")</f>
        <v>0.289208439725845</v>
      </c>
      <c r="AE178" s="30" t="n">
        <f aca="false">IFERROR((AE140-Z140)/(AE98-Z98),"")</f>
        <v>0.505358431895162</v>
      </c>
      <c r="AF178" s="30" t="n">
        <f aca="false">IFERROR((AF140-AA140)/(AF98-AA98),"")</f>
        <v>0.185396430991641</v>
      </c>
      <c r="AG178" s="30" t="n">
        <f aca="false">IFERROR((AG140-AB140)/(AG98-AB98),"")</f>
        <v>0.267311178247735</v>
      </c>
      <c r="AH178" s="30" t="n">
        <f aca="false">IFERROR((AH140-AC140)/(AH98-AC98),"")</f>
        <v>0.28212446568611</v>
      </c>
      <c r="AI178" s="30" t="n">
        <f aca="false">IFERROR((AI140-AD140)/(AI98-AD98),"")</f>
        <v>0.244842402177834</v>
      </c>
      <c r="AJ178" s="30" t="n">
        <f aca="false">IFERROR((AJ140-AE140)/(AJ98-AE98),"")</f>
        <v>0.287722980062959</v>
      </c>
      <c r="AK178" s="30" t="n">
        <f aca="false">IFERROR((AK140-AF140)/(AK98-AF98),"")</f>
        <v>0.302832156071309</v>
      </c>
      <c r="AL178" s="30" t="n">
        <f aca="false">IFERROR((AL140-AG140)/(AL98-AG98),"")</f>
        <v>0.284297520661157</v>
      </c>
      <c r="AM178" s="30" t="n">
        <f aca="false">IFERROR((AM140-AH140)/(AM98-AH98),"")</f>
        <v>0.315154127192496</v>
      </c>
      <c r="AN178" s="30" t="n">
        <f aca="false">IFERROR((AN140-AI140)/(AN98-AI98),"")</f>
        <v>0.384945574705196</v>
      </c>
      <c r="AO178" s="30" t="n">
        <f aca="false">IFERROR((AO140-AJ140)/(AO98-AJ98),"")</f>
        <v>0.388495637654916</v>
      </c>
      <c r="AP178" s="30" t="n">
        <f aca="false">IFERROR((AP140-AK140)/(AP98-AK98),"")</f>
        <v>0.392938239672777</v>
      </c>
      <c r="AQ178" s="30" t="n">
        <f aca="false">IFERROR((AQ140-AL140)/(AQ98-AL98),"")</f>
        <v>0.277979735478381</v>
      </c>
      <c r="AR178" s="30" t="n">
        <f aca="false">IFERROR((AR140-AM140)/(AR98-AM98),"")</f>
        <v>0.332048818750315</v>
      </c>
      <c r="AS178" s="30" t="n">
        <f aca="false">IFERROR((AS140-AN140)/(AS98-AN98),"")</f>
        <v>0.340452042164018</v>
      </c>
      <c r="AT178" s="30" t="n">
        <f aca="false">IFERROR((AT140-AO140)/(AT98-AO98),"")</f>
        <v>0.267357163908887</v>
      </c>
      <c r="AU178" s="30" t="n">
        <f aca="false">IFERROR((AU140-AP140)/(AU98-AP98),"")</f>
        <v>0.352399358526255</v>
      </c>
      <c r="AV178" s="30" t="n">
        <f aca="false">IFERROR((AV140-AQ140)/(AV98-AQ98),"")</f>
        <v>0.243734341271424</v>
      </c>
      <c r="AW178" s="30" t="n">
        <f aca="false">IFERROR((AW140-AR140)/(AW98-AR98),"")</f>
        <v>0.292486543229178</v>
      </c>
      <c r="AX178" s="30" t="n">
        <f aca="false">IFERROR((AX140-AS140)/(AX98-AS98),"")</f>
        <v>0.325269030133637</v>
      </c>
      <c r="AY178" s="30" t="n">
        <f aca="false">IFERROR((AY140-AT140)/(AY98-AT98),"")</f>
        <v>7.03879598662206</v>
      </c>
      <c r="AZ178" s="30" t="n">
        <f aca="false">IFERROR((AZ140-AU140)/(AZ98-AU98),"")</f>
        <v>0.404621498997619</v>
      </c>
      <c r="BA178" s="30" t="n">
        <f aca="false">IFERROR((BA140-AV140)/(BA98-AV98),"")</f>
        <v>0.315614338570949</v>
      </c>
      <c r="BB178" s="30" t="n">
        <f aca="false">IFERROR((BB140-AW140)/(BB98-AW98),"")</f>
        <v>0.273511878280986</v>
      </c>
      <c r="BC178" s="30" t="n">
        <f aca="false">IFERROR((BC140-AX140)/(BC98-AX98),"")</f>
        <v>0.244681879046397</v>
      </c>
      <c r="BD178" s="30" t="n">
        <f aca="false">IFERROR((BD140-AY140)/(BD98-AY98),"")</f>
        <v>0.342562567556331</v>
      </c>
      <c r="BE178" s="30" t="n">
        <f aca="false">IFERROR((BE140-AZ140)/(BE98-AZ98),"")</f>
        <v>0.262602099753632</v>
      </c>
      <c r="BF178" s="30" t="n">
        <f aca="false">IFERROR((BF140-BA140)/(BF98-BA98),"")</f>
        <v>0.29306697533328</v>
      </c>
      <c r="BG178" s="30" t="n">
        <f aca="false">IFERROR((BG140-BB140)/(BG98-BB98),"")</f>
        <v>0.284563973850105</v>
      </c>
      <c r="BH178" s="30" t="n">
        <f aca="false">IFERROR((BH140-BC140)/(BH98-BC98),"")</f>
        <v>0.317166008026223</v>
      </c>
      <c r="BI178" s="30" t="n">
        <f aca="false">IFERROR((BI140-BD140)/(BI98-BD98),"")</f>
        <v>0.226058190407172</v>
      </c>
      <c r="BJ178" s="30" t="n">
        <f aca="false">IFERROR((BJ140-BE140)/(BJ98-BE98),"")</f>
        <v>0.211567801583058</v>
      </c>
      <c r="BK178" s="30" t="n">
        <f aca="false">IFERROR((BK140-BF140)/(BK98-BF98),"")</f>
        <v>0.234096980193324</v>
      </c>
      <c r="BL178" s="30" t="n">
        <f aca="false">IFERROR((BL140-BG140)/(BL98-BG98),"")</f>
        <v>0.24224811558037</v>
      </c>
      <c r="BM178" s="30" t="n">
        <f aca="false">IFERROR((BM140-BH140)/(BM98-BH98),"")</f>
        <v>0.224797420928814</v>
      </c>
      <c r="BN178" s="30" t="n">
        <f aca="false">IFERROR((BN140-BI140)/(BN98-BI98),"")</f>
        <v>0.251975302181989</v>
      </c>
      <c r="BO178" s="30" t="n">
        <f aca="false">IFERROR((BO140-BJ140)/(BO98-BJ98),"")</f>
        <v>0.293932666033028</v>
      </c>
      <c r="BP178" s="30" t="n">
        <f aca="false">IFERROR((BP140-BK140)/(BP98-BK98),"")</f>
        <v>0.274197725918826</v>
      </c>
      <c r="BQ178" s="30" t="n">
        <f aca="false">IFERROR((BQ140-BL140)/(BQ98-BL98),"")</f>
        <v>0.258192777585423</v>
      </c>
      <c r="BR178" s="30" t="n">
        <f aca="false">IFERROR((BR140-BM140)/(BR98-BM98),"")</f>
        <v>0.386585885147805</v>
      </c>
      <c r="BS178" s="30" t="n">
        <f aca="false">IFERROR((BS140-BN140)/(BS98-BN98),"")</f>
        <v>0.387010707389855</v>
      </c>
      <c r="BT178" s="30" t="n">
        <f aca="false">IFERROR((BT140-BO140)/(BT98-BO98),"")</f>
        <v>0.365682834980205</v>
      </c>
      <c r="BU178" s="30" t="n">
        <f aca="false">IFERROR((BU140-BP140)/(BU98-BP98),"")</f>
        <v>0.352017410317453</v>
      </c>
      <c r="BV178" s="30" t="n">
        <f aca="false">IFERROR((BV140-BQ140)/(BV98-BQ98),"")</f>
        <v>0.370720860729229</v>
      </c>
      <c r="BW178" s="30" t="n">
        <f aca="false">IFERROR((BW140-BR140)/(BW98-BR98),"")</f>
        <v>0.248982205446212</v>
      </c>
      <c r="BX178" s="30" t="n">
        <f aca="false">IFERROR((BX140-BS140)/(BX98-BS98),"")</f>
        <v>0.393889014836646</v>
      </c>
      <c r="BY178" s="30" t="n">
        <f aca="false">IFERROR((BY140-BT140)/(BY98-BT98),"")</f>
        <v>0.376856689733631</v>
      </c>
      <c r="BZ178" s="23" t="n">
        <f aca="false">IFERROR((BZ140-BU140)/(BZ98-BU98),"")</f>
        <v>0.329713819692366</v>
      </c>
      <c r="CA178" s="23" t="n">
        <f aca="false">IFERROR((CA140-BV140)/(CA98-BV98),"")</f>
        <v>0.348879274963728</v>
      </c>
      <c r="CB178" s="23" t="n">
        <f aca="false">IFERROR((CB140-CA140)/(CB98-CA98),"")</f>
        <v>0.267360097867504</v>
      </c>
      <c r="CC178" s="23" t="n">
        <f aca="false">IFERROR((CC140-CB140)/(CC98-CB98),"")</f>
        <v>0.29630165789729</v>
      </c>
      <c r="CD178" s="23" t="n">
        <f aca="false">IFERROR((CD140-CC140)/(CD98-CC98),"")</f>
        <v>0.251514989603344</v>
      </c>
      <c r="CE178" s="23" t="n">
        <f aca="false">IFERROR((CE140-CD140)/(CE98-CD98),"")</f>
        <v>0.250828321140763</v>
      </c>
    </row>
    <row r="179" customFormat="false" ht="15" hidden="false" customHeight="true" outlineLevel="0" collapsed="false">
      <c r="B179" s="29" t="s">
        <v>106</v>
      </c>
      <c r="C179" s="30" t="n">
        <f aca="false">IF(AND(ISNUMBER(C102),ISNUMBER(C98)),IFERROR(C102/C98,""),"")</f>
        <v>0.170496443050562</v>
      </c>
      <c r="D179" s="30" t="n">
        <f aca="false">IF(AND(ISNUMBER(D102),ISNUMBER(D98)),IFERROR(D102/D98,""),"")</f>
        <v>0.169344232601728</v>
      </c>
      <c r="E179" s="30" t="n">
        <f aca="false">IF(AND(ISNUMBER(E102),ISNUMBER(E98)),IFERROR(E102/E98,""),"")</f>
        <v>0.181658014894899</v>
      </c>
      <c r="F179" s="30" t="n">
        <f aca="false">IF(AND(ISNUMBER(F102),ISNUMBER(F98)),IFERROR(F102/F98,""),"")</f>
        <v>0.163952546554312</v>
      </c>
      <c r="G179" s="30" t="n">
        <f aca="false">IF(AND(ISNUMBER(G102),ISNUMBER(G98)),IFERROR(G102/G98,""),"")</f>
        <v>0.176935917798451</v>
      </c>
      <c r="H179" s="30" t="n">
        <f aca="false">IF(AND(ISNUMBER(H102),ISNUMBER(H98)),IFERROR(H102/H98,""),"")</f>
        <v>0.180981342439642</v>
      </c>
      <c r="I179" s="30" t="n">
        <f aca="false">IF(AND(ISNUMBER(I102),ISNUMBER(I98)),IFERROR(I102/I98,""),"")</f>
        <v>0.181974197272627</v>
      </c>
      <c r="J179" s="30" t="n">
        <f aca="false">IF(AND(ISNUMBER(J102),ISNUMBER(J98)),IFERROR(J102/J98,""),"")</f>
        <v>0.161388516790614</v>
      </c>
      <c r="K179" s="30" t="n">
        <f aca="false">IF(AND(ISNUMBER(K102),ISNUMBER(K98)),IFERROR(K102/K98,""),"")</f>
        <v>0.187995355646423</v>
      </c>
      <c r="L179" s="30" t="n">
        <f aca="false">IF(AND(ISNUMBER(L102),ISNUMBER(L98)),IFERROR(L102/L98,""),"")</f>
        <v>0.181205616677835</v>
      </c>
      <c r="M179" s="30" t="n">
        <f aca="false">IF(AND(ISNUMBER(M102),ISNUMBER(M98)),IFERROR(M102/M98,""),"")</f>
        <v>0.19329149067934</v>
      </c>
      <c r="N179" s="30" t="n">
        <f aca="false">IF(AND(ISNUMBER(N102),ISNUMBER(N98)),IFERROR(N102/N98,""),"")</f>
        <v>0.181996258762021</v>
      </c>
      <c r="O179" s="30" t="n">
        <f aca="false">IF(AND(ISNUMBER(O102),ISNUMBER(O98)),IFERROR(O102/O98,""),"")</f>
        <v>0.188830923523195</v>
      </c>
      <c r="P179" s="30" t="n">
        <f aca="false">IF(AND(ISNUMBER(P102),ISNUMBER(P98)),IFERROR(P102/P98,""),"")</f>
        <v>0.174221916720996</v>
      </c>
      <c r="Q179" s="30" t="n">
        <f aca="false">IF(AND(ISNUMBER(Q102),ISNUMBER(Q98)),IFERROR(Q102/Q98,""),"")</f>
        <v>0.172191870253926</v>
      </c>
      <c r="R179" s="30" t="n">
        <f aca="false">IF(AND(ISNUMBER(R102),ISNUMBER(R98)),IFERROR(R102/R98,""),"")</f>
        <v>0.183828788288396</v>
      </c>
      <c r="S179" s="30" t="n">
        <f aca="false">IF(AND(ISNUMBER(S102),ISNUMBER(S98)),IFERROR(S102/S98,""),"")</f>
        <v>0.179622029636734</v>
      </c>
      <c r="T179" s="30" t="n">
        <f aca="false">IF(AND(ISNUMBER(T102),ISNUMBER(T98)),IFERROR(T102/T98,""),"")</f>
        <v>0.17303726904935</v>
      </c>
      <c r="U179" s="30" t="n">
        <f aca="false">IF(AND(ISNUMBER(U102),ISNUMBER(U98)),IFERROR(U102/U98,""),"")</f>
        <v>0.191434385305108</v>
      </c>
      <c r="V179" s="30" t="n">
        <f aca="false">IF(AND(ISNUMBER(V102),ISNUMBER(V98)),IFERROR(V102/V98,""),"")</f>
        <v>0.194793088524154</v>
      </c>
      <c r="W179" s="30" t="n">
        <f aca="false">IF(AND(ISNUMBER(W102),ISNUMBER(W98)),IFERROR(W102/W98,""),"")</f>
        <v>0.209789699152955</v>
      </c>
      <c r="X179" s="30" t="n">
        <f aca="false">IF(AND(ISNUMBER(X102),ISNUMBER(X98)),IFERROR(X102/X98,""),"")</f>
        <v>0.193207745270257</v>
      </c>
      <c r="Y179" s="30" t="n">
        <f aca="false">IF(AND(ISNUMBER(Y102),ISNUMBER(Y98)),IFERROR(Y102/Y98,""),"")</f>
        <v>0.171836578747138</v>
      </c>
      <c r="Z179" s="30" t="n">
        <f aca="false">IF(AND(ISNUMBER(Z102),ISNUMBER(Z98)),IFERROR(Z102/Z98,""),"")</f>
        <v>0.190487326321553</v>
      </c>
      <c r="AA179" s="30" t="n">
        <f aca="false">IF(AND(ISNUMBER(AA102),ISNUMBER(AA98)),IFERROR(AA102/AA98,""),"")</f>
        <v>0.196172813156446</v>
      </c>
      <c r="AB179" s="30" t="n">
        <f aca="false">IF(AND(ISNUMBER(AB102),ISNUMBER(AB98)),IFERROR(AB102/AB98,""),"")</f>
        <v>0.209403273887349</v>
      </c>
      <c r="AC179" s="30" t="n">
        <f aca="false">IF(AND(ISNUMBER(AC102),ISNUMBER(AC98)),IFERROR(AC102/AC98,""),"")</f>
        <v>0.192801785711691</v>
      </c>
      <c r="AD179" s="30" t="n">
        <f aca="false">IF(AND(ISNUMBER(AD102),ISNUMBER(AD98)),IFERROR(AD102/AD98,""),"")</f>
        <v>0.187955694285914</v>
      </c>
      <c r="AE179" s="30" t="n">
        <f aca="false">IF(AND(ISNUMBER(AE102),ISNUMBER(AE98)),IFERROR(AE102/AE98,""),"")</f>
        <v>0.207623888872312</v>
      </c>
      <c r="AF179" s="30" t="n">
        <f aca="false">IF(AND(ISNUMBER(AF102),ISNUMBER(AF98)),IFERROR(AF102/AF98,""),"")</f>
        <v>0.194436781609195</v>
      </c>
      <c r="AG179" s="30" t="n">
        <f aca="false">IF(AND(ISNUMBER(AG102),ISNUMBER(AG98)),IFERROR(AG102/AG98,""),"")</f>
        <v>0.212343076367918</v>
      </c>
      <c r="AH179" s="30" t="n">
        <f aca="false">IF(AND(ISNUMBER(AH102),ISNUMBER(AH98)),IFERROR(AH102/AH98,""),"")</f>
        <v>0.201111874046195</v>
      </c>
      <c r="AI179" s="30" t="n">
        <f aca="false">IF(AND(ISNUMBER(AI102),ISNUMBER(AI98)),IFERROR(AI102/AI98,""),"")</f>
        <v>0.196731040280903</v>
      </c>
      <c r="AJ179" s="30" t="n">
        <f aca="false">IF(AND(ISNUMBER(AJ102),ISNUMBER(AJ98)),IFERROR(AJ102/AJ98,""),"")</f>
        <v>0.212644158643016</v>
      </c>
      <c r="AK179" s="30" t="n">
        <f aca="false">IF(AND(ISNUMBER(AK102),ISNUMBER(AK98)),IFERROR(AK102/AK98,""),"")</f>
        <v>0.217727687436269</v>
      </c>
      <c r="AL179" s="30" t="n">
        <f aca="false">IF(AND(ISNUMBER(AL102),ISNUMBER(AL98)),IFERROR(AL102/AL98,""),"")</f>
        <v>0.217447010174382</v>
      </c>
      <c r="AM179" s="30" t="n">
        <f aca="false">IF(AND(ISNUMBER(AM102),ISNUMBER(AM98)),IFERROR(AM102/AM98,""),"")</f>
        <v>0.211644571898515</v>
      </c>
      <c r="AN179" s="30" t="n">
        <f aca="false">IF(AND(ISNUMBER(AN102),ISNUMBER(AN98)),IFERROR(AN102/AN98,""),"")</f>
        <v>0.210120863420473</v>
      </c>
      <c r="AO179" s="30" t="n">
        <f aca="false">IF(AND(ISNUMBER(AO102),ISNUMBER(AO98)),IFERROR(AO102/AO98,""),"")</f>
        <v>0.231132477969468</v>
      </c>
      <c r="AP179" s="30" t="n">
        <f aca="false">IF(AND(ISNUMBER(AP102),ISNUMBER(AP98)),IFERROR(AP102/AP98,""),"")</f>
        <v>0.224325786551048</v>
      </c>
      <c r="AQ179" s="30" t="n">
        <f aca="false">IF(AND(ISNUMBER(AQ102),ISNUMBER(AQ98)),IFERROR(AQ102/AQ98,""),"")</f>
        <v>0.222615963318677</v>
      </c>
      <c r="AR179" s="30" t="n">
        <f aca="false">IF(AND(ISNUMBER(AR102),ISNUMBER(AR98)),IFERROR(AR102/AR98,""),"")</f>
        <v>0.222361621426247</v>
      </c>
      <c r="AS179" s="30" t="n">
        <f aca="false">IF(AND(ISNUMBER(AS102),ISNUMBER(AS98)),IFERROR(AS102/AS98,""),"")</f>
        <v>0.219228680065182</v>
      </c>
      <c r="AT179" s="30" t="n">
        <f aca="false">IF(AND(ISNUMBER(AT102),ISNUMBER(AT98)),IFERROR(AT102/AT98,""),"")</f>
        <v>0.231041170916765</v>
      </c>
      <c r="AU179" s="30" t="n">
        <f aca="false">IF(AND(ISNUMBER(AU102),ISNUMBER(AU98)),IFERROR(AU102/AU98,""),"")</f>
        <v>0.177102041872622</v>
      </c>
      <c r="AV179" s="30" t="n">
        <f aca="false">IF(AND(ISNUMBER(AV102),ISNUMBER(AV98)),IFERROR(AV102/AV98,""),"")</f>
        <v>0.208980754520412</v>
      </c>
      <c r="AW179" s="30" t="n">
        <f aca="false">IF(AND(ISNUMBER(AW102),ISNUMBER(AW98)),IFERROR(AW102/AW98,""),"")</f>
        <v>0.210770063273324</v>
      </c>
      <c r="AX179" s="30" t="n">
        <f aca="false">IF(AND(ISNUMBER(AX102),ISNUMBER(AX98)),IFERROR(AX102/AX98,""),"")</f>
        <v>0.192114419170045</v>
      </c>
      <c r="AY179" s="30" t="n">
        <f aca="false">IF(AND(ISNUMBER(AY102),ISNUMBER(AY98)),IFERROR(AY102/AY98,""),"")</f>
        <v>0.207324103023459</v>
      </c>
      <c r="AZ179" s="30" t="n">
        <f aca="false">IF(AND(ISNUMBER(AZ102),ISNUMBER(AZ98)),IFERROR(AZ102/AZ98,""),"")</f>
        <v>0.213772532525487</v>
      </c>
      <c r="BA179" s="30" t="n">
        <f aca="false">IF(AND(ISNUMBER(BA102),ISNUMBER(BA98)),IFERROR(BA102/BA98,""),"")</f>
        <v>0.225802968854898</v>
      </c>
      <c r="BB179" s="30" t="n">
        <f aca="false">IF(AND(ISNUMBER(BB102),ISNUMBER(BB98)),IFERROR(BB102/BB98,""),"")</f>
        <v>0.210593230786383</v>
      </c>
      <c r="BC179" s="30" t="n">
        <f aca="false">IF(AND(ISNUMBER(BC102),ISNUMBER(BC98)),IFERROR(BC102/BC98,""),"")</f>
        <v>0.201536475487567</v>
      </c>
      <c r="BD179" s="30" t="n">
        <f aca="false">IF(AND(ISNUMBER(BD102),ISNUMBER(BD98)),IFERROR(BD102/BD98,""),"")</f>
        <v>0.227865697375527</v>
      </c>
      <c r="BE179" s="30" t="n">
        <f aca="false">IF(AND(ISNUMBER(BE102),ISNUMBER(BE98)),IFERROR(BE102/BE98,""),"")</f>
        <v>0.226059122641907</v>
      </c>
      <c r="BF179" s="30" t="n">
        <f aca="false">IF(AND(ISNUMBER(BF102),ISNUMBER(BF98)),IFERROR(BF102/BF98,""),"")</f>
        <v>0.240303261935772</v>
      </c>
      <c r="BG179" s="30" t="n">
        <f aca="false">IF(AND(ISNUMBER(BG102),ISNUMBER(BG98)),IFERROR(BG102/BG98,""),"")</f>
        <v>0.224987116915015</v>
      </c>
      <c r="BH179" s="30" t="n">
        <f aca="false">IF(AND(ISNUMBER(BH102),ISNUMBER(BH98)),IFERROR(BH102/BH98,""),"")</f>
        <v>0.208456874129309</v>
      </c>
      <c r="BI179" s="30" t="n">
        <f aca="false">IF(AND(ISNUMBER(BI102),ISNUMBER(BI98)),IFERROR(BI102/BI98,""),"")</f>
        <v>0.228381268345446</v>
      </c>
      <c r="BJ179" s="30" t="n">
        <f aca="false">IF(AND(ISNUMBER(BJ102),ISNUMBER(BJ98)),IFERROR(BJ102/BJ98,""),"")</f>
        <v>0.206621367764925</v>
      </c>
      <c r="BK179" s="30" t="n">
        <f aca="false">IF(AND(ISNUMBER(BK102),ISNUMBER(BK98)),IFERROR(BK102/BK98,""),"")</f>
        <v>0.202305095750213</v>
      </c>
      <c r="BL179" s="30" t="n">
        <f aca="false">IF(AND(ISNUMBER(BL102),ISNUMBER(BL98)),IFERROR(BL102/BL98,""),"")</f>
        <v>0.210686279629595</v>
      </c>
      <c r="BM179" s="30" t="n">
        <f aca="false">IF(AND(ISNUMBER(BM102),ISNUMBER(BM98)),IFERROR(BM102/BM98,""),"")</f>
        <v>0.201045781675504</v>
      </c>
      <c r="BN179" s="30" t="n">
        <f aca="false">IF(AND(ISNUMBER(BN102),ISNUMBER(BN98)),IFERROR(BN102/BN98,""),"")</f>
        <v>0.218917829798146</v>
      </c>
      <c r="BO179" s="30" t="n">
        <f aca="false">IF(AND(ISNUMBER(BO102),ISNUMBER(BO98)),IFERROR(BO102/BO98,""),"")</f>
        <v>0.218137437691863</v>
      </c>
      <c r="BP179" s="30" t="n">
        <f aca="false">IF(AND(ISNUMBER(BP102),ISNUMBER(BP98)),IFERROR(BP102/BP98,""),"")</f>
        <v>0.215698480267149</v>
      </c>
      <c r="BQ179" s="30" t="n">
        <f aca="false">IF(AND(ISNUMBER(BQ102),ISNUMBER(BQ98)),IFERROR(BQ102/BQ98,""),"")</f>
        <v>0.213718439814302</v>
      </c>
      <c r="BR179" s="30" t="n">
        <f aca="false">IF(AND(ISNUMBER(BR102),ISNUMBER(BR98)),IFERROR(BR102/BR98,""),"")</f>
        <v>0.220151578980065</v>
      </c>
      <c r="BS179" s="30" t="n">
        <f aca="false">IF(AND(ISNUMBER(BS102),ISNUMBER(BS98)),IFERROR(BS102/BS98,""),"")</f>
        <v>0.226040698839518</v>
      </c>
      <c r="BT179" s="30" t="n">
        <f aca="false">IF(AND(ISNUMBER(BT102),ISNUMBER(BT98)),IFERROR(BT102/BT98,""),"")</f>
        <v>0.23093506310175</v>
      </c>
      <c r="BU179" s="30" t="n">
        <f aca="false">IF(AND(ISNUMBER(BU102),ISNUMBER(BU98)),IFERROR(BU102/BU98,""),"")</f>
        <v>0.23070899801639</v>
      </c>
      <c r="BV179" s="30" t="n">
        <f aca="false">IF(AND(ISNUMBER(BV102),ISNUMBER(BV98)),IFERROR(BV102/BV98,""),"")</f>
        <v>0.22719910886047</v>
      </c>
      <c r="BW179" s="30" t="n">
        <f aca="false">IF(AND(ISNUMBER(BW102),ISNUMBER(BW98)),IFERROR(BW102/BW98,""),"")</f>
        <v>0.220518385653268</v>
      </c>
      <c r="BX179" s="30" t="n">
        <f aca="false">IF(AND(ISNUMBER(BX102),ISNUMBER(BX98)),IFERROR(BX102/BX98,""),"")</f>
        <v>0.254731183030181</v>
      </c>
      <c r="BY179" s="30" t="n">
        <f aca="false">IF(AND(ISNUMBER(BY102),ISNUMBER(BY98)),IFERROR(BY102/BY98,""),"")</f>
        <v>0.251369024450656</v>
      </c>
      <c r="BZ179" s="23" t="n">
        <f aca="false">IF(AND(ISNUMBER(BZ102),ISNUMBER(BZ98)),IFERROR(BZ102/BZ98,""),"")</f>
        <v>0.244753279029611</v>
      </c>
      <c r="CA179" s="23" t="n">
        <f aca="false">IF(AND(ISNUMBER(CA102),ISNUMBER(CA98)),IFERROR(CA102/CA98,""),"")</f>
        <v>0.243745176557444</v>
      </c>
      <c r="CB179" s="23" t="n">
        <f aca="false">IF(AND(ISNUMBER(CB102),ISNUMBER(CB98)),IFERROR(CB102/CB98,""),"")</f>
        <v>0.243912855828455</v>
      </c>
      <c r="CC179" s="23" t="n">
        <f aca="false">IF(AND(ISNUMBER(CC102),ISNUMBER(CC98)),IFERROR(CC102/CC98,""),"")</f>
        <v>0.246829539601706</v>
      </c>
      <c r="CD179" s="23" t="n">
        <f aca="false">IF(AND(ISNUMBER(CD102),ISNUMBER(CD98)),IFERROR(CD102/CD98,""),"")</f>
        <v>0.244891362591507</v>
      </c>
      <c r="CE179" s="23" t="n">
        <f aca="false">IF(AND(ISNUMBER(CE102),ISNUMBER(CE98)),IFERROR(CE102/CE98,""),"")</f>
        <v>0.24307223655473</v>
      </c>
      <c r="CH179" s="33" t="n">
        <f aca="false">IFERROR(AVERAGE(CA179,CB179,CC179,CD179,CE179),"n/m")</f>
        <v>0.244490234226769</v>
      </c>
      <c r="CI179" s="33" t="n">
        <f aca="false">IFERROR(AVERAGE(BB179,BG179,BL179,BQ179,BV179),"n/m")</f>
        <v>0.217436835201153</v>
      </c>
      <c r="CJ179" s="33" t="n">
        <f aca="false">IFERROR(AVERAGE(AC179,AH179,AM179,AR179,AW179,BB179,BG179,BL179,BQ179,BV179),"n/m")</f>
        <v>0.212587409236174</v>
      </c>
      <c r="CK179" s="33" t="n">
        <f aca="false">IFERROR(AVERAGE(C179,D179,E179,F179,G179,H179,I179,N179,S179,X179,AC179,AH179,AM179,AR179,AW179,BB179,BG179,BL179,BQ179,BV179),"n/m")</f>
        <v>0.195302141032149</v>
      </c>
    </row>
    <row r="180" customFormat="false" ht="15" hidden="false" customHeight="true" outlineLevel="0" collapsed="false">
      <c r="B180" s="29" t="s">
        <v>307</v>
      </c>
      <c r="C180" s="30" t="n">
        <f aca="false">IF(AND(ISNUMBER(C111),ISNUMBER(C98)),IFERROR(C111/C98,""),"")</f>
        <v>0.0813075295137561</v>
      </c>
      <c r="D180" s="30" t="n">
        <f aca="false">IF(AND(ISNUMBER(D111),ISNUMBER(D98)),IFERROR(D111/D98,""),"")</f>
        <v>0.0767929847772501</v>
      </c>
      <c r="E180" s="30" t="n">
        <f aca="false">IF(AND(ISNUMBER(E111),ISNUMBER(E98)),IFERROR(E111/E98,""),"")</f>
        <v>0.0833025670261889</v>
      </c>
      <c r="F180" s="30" t="n">
        <f aca="false">IF(AND(ISNUMBER(F111),ISNUMBER(F98)),IFERROR(F111/F98,""),"")</f>
        <v>0.0829023436919465</v>
      </c>
      <c r="G180" s="30" t="n">
        <f aca="false">IF(AND(ISNUMBER(G111),ISNUMBER(G98)),IFERROR(G111/G98,""),"")</f>
        <v>0.0890376324916534</v>
      </c>
      <c r="H180" s="30" t="n">
        <f aca="false">IF(AND(ISNUMBER(H111),ISNUMBER(H98)),IFERROR(H111/H98,""),"")</f>
        <v>0.0952031073708541</v>
      </c>
      <c r="I180" s="30" t="n">
        <f aca="false">IF(AND(ISNUMBER(I111),ISNUMBER(I98)),IFERROR(I111/I98,""),"")</f>
        <v>0.0948874849974425</v>
      </c>
      <c r="J180" s="30" t="n">
        <f aca="false">IF(AND(ISNUMBER(J111),ISNUMBER(J98)),IFERROR(J111/J98,""),"")</f>
        <v>0.0921890156589219</v>
      </c>
      <c r="K180" s="30" t="n">
        <f aca="false">IF(AND(ISNUMBER(K111),ISNUMBER(K98)),IFERROR(K111/K98,""),"")</f>
        <v>0.0997021555858449</v>
      </c>
      <c r="L180" s="30" t="n">
        <f aca="false">IF(AND(ISNUMBER(L111),ISNUMBER(L98)),IFERROR(L111/L98,""),"")</f>
        <v>0.108361752385516</v>
      </c>
      <c r="M180" s="30" t="n">
        <f aca="false">IF(AND(ISNUMBER(M111),ISNUMBER(M98)),IFERROR(M111/M98,""),"")</f>
        <v>0.103647547542672</v>
      </c>
      <c r="N180" s="30" t="n">
        <f aca="false">IF(AND(ISNUMBER(N111),ISNUMBER(N98)),IFERROR(N111/N98,""),"")</f>
        <v>0.101507102305114</v>
      </c>
      <c r="O180" s="30" t="n">
        <f aca="false">IF(AND(ISNUMBER(O111),ISNUMBER(O98)),IFERROR(O111/O98,""),"")</f>
        <v>0.102894770374701</v>
      </c>
      <c r="P180" s="30" t="n">
        <f aca="false">IF(AND(ISNUMBER(P111),ISNUMBER(P98)),IFERROR(P111/P98,""),"")</f>
        <v>0.100509509906743</v>
      </c>
      <c r="Q180" s="30" t="n">
        <f aca="false">IF(AND(ISNUMBER(Q111),ISNUMBER(Q98)),IFERROR(Q111/Q98,""),"")</f>
        <v>0.114647974435625</v>
      </c>
      <c r="R180" s="30" t="n">
        <f aca="false">IF(AND(ISNUMBER(R111),ISNUMBER(R98)),IFERROR(R111/R98,""),"")</f>
        <v>0.109864726595785</v>
      </c>
      <c r="S180" s="30" t="n">
        <f aca="false">IF(AND(ISNUMBER(S111),ISNUMBER(S98)),IFERROR(S111/S98,""),"")</f>
        <v>0.107119863712355</v>
      </c>
      <c r="T180" s="30" t="n">
        <f aca="false">IF(AND(ISNUMBER(T111),ISNUMBER(T98)),IFERROR(T111/T98,""),"")</f>
        <v>0.103063183996122</v>
      </c>
      <c r="U180" s="30" t="n">
        <f aca="false">IF(AND(ISNUMBER(U111),ISNUMBER(U98)),IFERROR(U111/U98,""),"")</f>
        <v>0.113598539569901</v>
      </c>
      <c r="V180" s="30" t="n">
        <f aca="false">IF(AND(ISNUMBER(V111),ISNUMBER(V98)),IFERROR(V111/V98,""),"")</f>
        <v>0.114422212604455</v>
      </c>
      <c r="W180" s="30" t="n">
        <f aca="false">IF(AND(ISNUMBER(W111),ISNUMBER(W98)),IFERROR(W111/W98,""),"")</f>
        <v>0.116377421867394</v>
      </c>
      <c r="X180" s="30" t="n">
        <f aca="false">IF(AND(ISNUMBER(X111),ISNUMBER(X98)),IFERROR(X111/X98,""),"")</f>
        <v>0.112198060317268</v>
      </c>
      <c r="Y180" s="30" t="n">
        <f aca="false">IF(AND(ISNUMBER(Y111),ISNUMBER(Y98)),IFERROR(Y111/Y98,""),"")</f>
        <v>0.102117056954481</v>
      </c>
      <c r="Z180" s="30" t="n">
        <f aca="false">IF(AND(ISNUMBER(Z111),ISNUMBER(Z98)),IFERROR(Z111/Z98,""),"")</f>
        <v>0.110244461682371</v>
      </c>
      <c r="AA180" s="30" t="n">
        <f aca="false">IF(AND(ISNUMBER(AA111),ISNUMBER(AA98)),IFERROR(AA111/AA98,""),"")</f>
        <v>0.117955313914694</v>
      </c>
      <c r="AB180" s="30" t="n">
        <f aca="false">IF(AND(ISNUMBER(AB111),ISNUMBER(AB98)),IFERROR(AB111/AB98,""),"")</f>
        <v>0.121833531058439</v>
      </c>
      <c r="AC180" s="30" t="n">
        <f aca="false">IF(AND(ISNUMBER(AC111),ISNUMBER(AC98)),IFERROR(AC111/AC98,""),"")</f>
        <v>0.113490348466639</v>
      </c>
      <c r="AD180" s="30" t="n">
        <f aca="false">IF(AND(ISNUMBER(AD111),ISNUMBER(AD98)),IFERROR(AD111/AD98,""),"")</f>
        <v>0.119170607281791</v>
      </c>
      <c r="AE180" s="30" t="n">
        <f aca="false">IF(AND(ISNUMBER(AE111),ISNUMBER(AE98)),IFERROR(AE111/AE98,""),"")</f>
        <v>0.123925491717233</v>
      </c>
      <c r="AF180" s="30" t="n">
        <f aca="false">IF(AND(ISNUMBER(AF111),ISNUMBER(AF98)),IFERROR(AF111/AF98,""),"")</f>
        <v>0.116725415070243</v>
      </c>
      <c r="AG180" s="30" t="n">
        <f aca="false">IF(AND(ISNUMBER(AG111),ISNUMBER(AG98)),IFERROR(AG111/AG98,""),"")</f>
        <v>0.12742388847739</v>
      </c>
      <c r="AH180" s="30" t="n">
        <f aca="false">IF(AND(ISNUMBER(AH111),ISNUMBER(AH98)),IFERROR(AH111/AH98,""),"")</f>
        <v>0.121972333656652</v>
      </c>
      <c r="AI180" s="30" t="n">
        <f aca="false">IF(AND(ISNUMBER(AI111),ISNUMBER(AI98)),IFERROR(AI111/AI98,""),"")</f>
        <v>0.161103830271259</v>
      </c>
      <c r="AJ180" s="30" t="n">
        <f aca="false">IF(AND(ISNUMBER(AJ111),ISNUMBER(AJ98)),IFERROR(AJ111/AJ98,""),"")</f>
        <v>0.138452677878876</v>
      </c>
      <c r="AK180" s="30" t="n">
        <f aca="false">IF(AND(ISNUMBER(AK111),ISNUMBER(AK98)),IFERROR(AK111/AK98,""),"")</f>
        <v>0.144015456448237</v>
      </c>
      <c r="AL180" s="30" t="n">
        <f aca="false">IF(AND(ISNUMBER(AL111),ISNUMBER(AL98)),IFERROR(AL111/AL98,""),"")</f>
        <v>0.141285931169844</v>
      </c>
      <c r="AM180" s="30" t="n">
        <f aca="false">IF(AND(ISNUMBER(AM111),ISNUMBER(AM98)),IFERROR(AM111/AM98,""),"")</f>
        <v>0.14582321972908</v>
      </c>
      <c r="AN180" s="30" t="n">
        <f aca="false">IF(AND(ISNUMBER(AN111),ISNUMBER(AN98)),IFERROR(AN111/AN98,""),"")</f>
        <v>0.170187022949891</v>
      </c>
      <c r="AO180" s="30" t="n">
        <f aca="false">IF(AND(ISNUMBER(AO111),ISNUMBER(AO98)),IFERROR(AO111/AO98,""),"")</f>
        <v>0.158600440610649</v>
      </c>
      <c r="AP180" s="30" t="n">
        <f aca="false">IF(AND(ISNUMBER(AP111),ISNUMBER(AP98)),IFERROR(AP111/AP98,""),"")</f>
        <v>0.152347066823964</v>
      </c>
      <c r="AQ180" s="30" t="n">
        <f aca="false">IF(AND(ISNUMBER(AQ111),ISNUMBER(AQ98)),IFERROR(AQ111/AQ98,""),"")</f>
        <v>0.158226059915535</v>
      </c>
      <c r="AR180" s="30" t="n">
        <f aca="false">IF(AND(ISNUMBER(AR111),ISNUMBER(AR98)),IFERROR(AR111/AR98,""),"")</f>
        <v>0.159509876938988</v>
      </c>
      <c r="AS180" s="30" t="n">
        <f aca="false">IF(AND(ISNUMBER(AS111),ISNUMBER(AS98)),IFERROR(AS111/AS98,""),"")</f>
        <v>0.240754530640462</v>
      </c>
      <c r="AT180" s="30" t="n">
        <f aca="false">IF(AND(ISNUMBER(AT111),ISNUMBER(AT98)),IFERROR(AT111/AT98,""),"")</f>
        <v>0.161174078172194</v>
      </c>
      <c r="AU180" s="30" t="n">
        <f aca="false">IF(AND(ISNUMBER(AU111),ISNUMBER(AU98)),IFERROR(AU111/AU98,""),"")</f>
        <v>0.140565720348852</v>
      </c>
      <c r="AV180" s="30" t="n">
        <f aca="false">IF(AND(ISNUMBER(AV111),ISNUMBER(AV98)),IFERROR(AV111/AV98,""),"")</f>
        <v>0.146246404084678</v>
      </c>
      <c r="AW180" s="30" t="n">
        <f aca="false">IF(AND(ISNUMBER(AW111),ISNUMBER(AW98)),IFERROR(AW111/AW98,""),"")</f>
        <v>0.175703647827179</v>
      </c>
      <c r="AX180" s="30" t="n">
        <f aca="false">IF(AND(ISNUMBER(AX111),ISNUMBER(AX98)),IFERROR(AX111/AX98,""),"")</f>
        <v>0.168929557647487</v>
      </c>
      <c r="AY180" s="30" t="n">
        <f aca="false">IF(AND(ISNUMBER(AY111),ISNUMBER(AY98)),IFERROR(AY111/AY98,""),"")</f>
        <v>0.151447227156912</v>
      </c>
      <c r="AZ180" s="30" t="n">
        <f aca="false">IF(AND(ISNUMBER(AZ111),ISNUMBER(AZ98)),IFERROR(AZ111/AZ98,""),"")</f>
        <v>0.163001609049686</v>
      </c>
      <c r="BA180" s="30" t="n">
        <f aca="false">IF(AND(ISNUMBER(BA111),ISNUMBER(BA98)),IFERROR(BA111/BA98,""),"")</f>
        <v>0.1689404854914</v>
      </c>
      <c r="BB180" s="30" t="n">
        <f aca="false">IF(AND(ISNUMBER(BB111),ISNUMBER(BB98)),IFERROR(BB111/BB98,""),"")</f>
        <v>0.163061014685246</v>
      </c>
      <c r="BC180" s="30" t="n">
        <f aca="false">IF(AND(ISNUMBER(BC111),ISNUMBER(BC98)),IFERROR(BC111/BC98,""),"")</f>
        <v>0.177265709921422</v>
      </c>
      <c r="BD180" s="30" t="n">
        <f aca="false">IF(AND(ISNUMBER(BD111),ISNUMBER(BD98)),IFERROR(BD111/BD98,""),"")</f>
        <v>0.157772733768487</v>
      </c>
      <c r="BE180" s="30" t="n">
        <f aca="false">IF(AND(ISNUMBER(BE111),ISNUMBER(BE98)),IFERROR(BE111/BE98,""),"")</f>
        <v>0.144927027292776</v>
      </c>
      <c r="BF180" s="30" t="n">
        <f aca="false">IF(AND(ISNUMBER(BF111),ISNUMBER(BF98)),IFERROR(BF111/BF98,""),"")</f>
        <v>0.159445441393089</v>
      </c>
      <c r="BG180" s="30" t="n">
        <f aca="false">IF(AND(ISNUMBER(BG111),ISNUMBER(BG98)),IFERROR(BG111/BG98,""),"")</f>
        <v>0.159249873886145</v>
      </c>
      <c r="BH180" s="30" t="n">
        <f aca="false">IF(AND(ISNUMBER(BH111),ISNUMBER(BH98)),IFERROR(BH111/BH98,""),"")</f>
        <v>0.149822439464339</v>
      </c>
      <c r="BI180" s="30" t="n">
        <f aca="false">IF(AND(ISNUMBER(BI111),ISNUMBER(BI98)),IFERROR(BI111/BI98,""),"")</f>
        <v>0.152826016477645</v>
      </c>
      <c r="BJ180" s="30" t="n">
        <f aca="false">IF(AND(ISNUMBER(BJ111),ISNUMBER(BJ98)),IFERROR(BJ111/BJ98,""),"")</f>
        <v>0.141129779693513</v>
      </c>
      <c r="BK180" s="30" t="n">
        <f aca="false">IF(AND(ISNUMBER(BK111),ISNUMBER(BK98)),IFERROR(BK111/BK98,""),"")</f>
        <v>0.110445118623905</v>
      </c>
      <c r="BL180" s="30" t="n">
        <f aca="false">IF(AND(ISNUMBER(BL111),ISNUMBER(BL98)),IFERROR(BL111/BL98,""),"")</f>
        <v>0.135977669253615</v>
      </c>
      <c r="BM180" s="30" t="n">
        <f aca="false">IF(AND(ISNUMBER(BM111),ISNUMBER(BM98)),IFERROR(BM111/BM98,""),"")</f>
        <v>0.127959320052256</v>
      </c>
      <c r="BN180" s="30" t="n">
        <f aca="false">IF(AND(ISNUMBER(BN111),ISNUMBER(BN98)),IFERROR(BN111/BN98,""),"")</f>
        <v>0.128895378351362</v>
      </c>
      <c r="BO180" s="30" t="n">
        <f aca="false">IF(AND(ISNUMBER(BO111),ISNUMBER(BO98)),IFERROR(BO111/BO98,""),"")</f>
        <v>0.137644293854548</v>
      </c>
      <c r="BP180" s="30" t="n">
        <f aca="false">IF(AND(ISNUMBER(BP111),ISNUMBER(BP98)),IFERROR(BP111/BP98,""),"")</f>
        <v>0.137804896094864</v>
      </c>
      <c r="BQ180" s="30" t="n">
        <f aca="false">IF(AND(ISNUMBER(BQ111),ISNUMBER(BQ98)),IFERROR(BQ111/BQ98,""),"")</f>
        <v>0.133269339593418</v>
      </c>
      <c r="BR180" s="30" t="n">
        <f aca="false">IF(AND(ISNUMBER(BR111),ISNUMBER(BR98)),IFERROR(BR111/BR98,""),"")</f>
        <v>0.16302796872907</v>
      </c>
      <c r="BS180" s="30" t="n">
        <f aca="false">IF(AND(ISNUMBER(BS111),ISNUMBER(BS98)),IFERROR(BS111/BS98,""),"")</f>
        <v>0.142822138419777</v>
      </c>
      <c r="BT180" s="30" t="n">
        <f aca="false">IF(AND(ISNUMBER(BT111),ISNUMBER(BT98)),IFERROR(BT111/BT98,""),"")</f>
        <v>0.154533278842375</v>
      </c>
      <c r="BU180" s="30" t="n">
        <f aca="false">IF(AND(ISNUMBER(BU111),ISNUMBER(BU98)),IFERROR(BU111/BU98,""),"")</f>
        <v>0.155692316342418</v>
      </c>
      <c r="BV180" s="30" t="n">
        <f aca="false">IF(AND(ISNUMBER(BV111),ISNUMBER(BV98)),IFERROR(BV111/BV98,""),"")</f>
        <v>0.153930485408839</v>
      </c>
      <c r="BW180" s="30" t="n">
        <f aca="false">IF(AND(ISNUMBER(BW111),ISNUMBER(BW98)),IFERROR(BW111/BW98,""),"")</f>
        <v>0.161370188921942</v>
      </c>
      <c r="BX180" s="30" t="n">
        <f aca="false">IF(AND(ISNUMBER(BX111),ISNUMBER(BX98)),IFERROR(BX111/BX98,""),"")</f>
        <v>0.169948964645969</v>
      </c>
      <c r="BY180" s="30" t="n">
        <f aca="false">IF(AND(ISNUMBER(BY111),ISNUMBER(BY98)),IFERROR(BY111/BY98,""),"")</f>
        <v>0.166617600226461</v>
      </c>
      <c r="BZ180" s="23" t="n">
        <f aca="false">IF(AND(ISNUMBER(BZ111),ISNUMBER(BZ98)),IFERROR(BZ111/BZ98,""),"")</f>
        <v>0.163194888495609</v>
      </c>
      <c r="CA180" s="23" t="n">
        <f aca="false">IF(AND(ISNUMBER(CA111),ISNUMBER(CA98)),IFERROR(CA111/CA98,""),"")</f>
        <v>0.165395196079687</v>
      </c>
      <c r="CB180" s="23" t="n">
        <f aca="false">IF(AND(ISNUMBER(CB111),ISNUMBER(CB98)),IFERROR(CB111/CB98,""),"")</f>
        <v>0.165183040344888</v>
      </c>
      <c r="CC180" s="23" t="n">
        <f aca="false">IF(AND(ISNUMBER(CC111),ISNUMBER(CC98)),IFERROR(CC111/CC98,""),"")</f>
        <v>0.168826190433484</v>
      </c>
      <c r="CD180" s="23" t="n">
        <f aca="false">IF(AND(ISNUMBER(CD111),ISNUMBER(CD98)),IFERROR(CD111/CD98,""),"")</f>
        <v>0.168628486865685</v>
      </c>
      <c r="CE180" s="23" t="n">
        <f aca="false">IF(AND(ISNUMBER(CE111),ISNUMBER(CE98)),IFERROR(CE111/CE98,""),"")</f>
        <v>0.168395112401586</v>
      </c>
      <c r="CH180" s="33" t="n">
        <f aca="false">IFERROR(AVERAGE(CA180,CB180,CC180,CD180,CE180),"n/m")</f>
        <v>0.167285605225066</v>
      </c>
      <c r="CI180" s="33" t="n">
        <f aca="false">IFERROR(AVERAGE(BB180,BG180,BL180,BQ180,BV180),"n/m")</f>
        <v>0.149097676565453</v>
      </c>
      <c r="CJ180" s="33" t="n">
        <f aca="false">IFERROR(AVERAGE(AC180,AH180,AM180,AR180,AW180,BB180,BG180,BL180,BQ180,BV180),"n/m")</f>
        <v>0.14619878094458</v>
      </c>
      <c r="CK180" s="33" t="n">
        <f aca="false">IFERROR(AVERAGE(C180,D180,E180,F180,G180,H180,I180,N180,S180,X180,AC180,AH180,AM180,AR180,AW180,BB180,BG180,BL180,BQ180,BV180),"n/m")</f>
        <v>0.119312324282481</v>
      </c>
    </row>
    <row r="181" customFormat="false" ht="15" hidden="false" customHeight="true" outlineLevel="0" collapsed="false">
      <c r="B181" s="29" t="s">
        <v>308</v>
      </c>
      <c r="C181" s="30" t="n">
        <f aca="false">IF(AND(ISNUMBER(C101),ISNUMBER(C98)),IFERROR(C101/C98,""),"")</f>
        <v>0.192881001555369</v>
      </c>
      <c r="D181" s="30" t="n">
        <f aca="false">IF(AND(ISNUMBER(D101),ISNUMBER(D98)),IFERROR(D101/D98,""),"")</f>
        <v>0.180034808357156</v>
      </c>
      <c r="E181" s="30" t="n">
        <f aca="false">IF(AND(ISNUMBER(E101),ISNUMBER(E98)),IFERROR(E101/E98,""),"")</f>
        <v>0.179801733330815</v>
      </c>
      <c r="F181" s="30" t="n">
        <f aca="false">IF(AND(ISNUMBER(F101),ISNUMBER(F98)),IFERROR(F101/F98,""),"")</f>
        <v>0.172314117140012</v>
      </c>
      <c r="G181" s="30" t="n">
        <f aca="false">IF(AND(ISNUMBER(G101),ISNUMBER(G98)),IFERROR(G101/G98,""),"")</f>
        <v>0.18342031052478</v>
      </c>
      <c r="H181" s="30" t="n">
        <f aca="false">IF(AND(ISNUMBER(H101),ISNUMBER(H98)),IFERROR(H101/H98,""),"")</f>
        <v>0.177816185574154</v>
      </c>
      <c r="I181" s="30" t="n">
        <f aca="false">IF(AND(ISNUMBER(I101),ISNUMBER(I98)),IFERROR(I101/I98,""),"")</f>
        <v>0.182919205168123</v>
      </c>
      <c r="J181" s="30" t="n">
        <f aca="false">IF(AND(ISNUMBER(J101),ISNUMBER(J98)),IFERROR(J101/J98,""),"")</f>
        <v>0.19700679015197</v>
      </c>
      <c r="K181" s="30" t="n">
        <f aca="false">IF(AND(ISNUMBER(K101),ISNUMBER(K98)),IFERROR(K101/K98,""),"")</f>
        <v>0.188298248270988</v>
      </c>
      <c r="L181" s="30" t="n">
        <f aca="false">IF(AND(ISNUMBER(L101),ISNUMBER(L98)),IFERROR(L101/L98,""),"")</f>
        <v>0.183930850924446</v>
      </c>
      <c r="M181" s="30" t="n">
        <f aca="false">IF(AND(ISNUMBER(M101),ISNUMBER(M98)),IFERROR(M101/M98,""),"")</f>
        <v>0.177600495431868</v>
      </c>
      <c r="N181" s="30" t="n">
        <f aca="false">IF(AND(ISNUMBER(N101),ISNUMBER(N98)),IFERROR(N101/N98,""),"")</f>
        <v>0.185962526158431</v>
      </c>
      <c r="O181" s="30" t="n">
        <f aca="false">IF(AND(ISNUMBER(O101),ISNUMBER(O98)),IFERROR(O101/O98,""),"")</f>
        <v>0.156401550073831</v>
      </c>
      <c r="P181" s="30" t="n">
        <f aca="false">IF(AND(ISNUMBER(P101),ISNUMBER(P98)),IFERROR(P101/P98,""),"")</f>
        <v>0.179820147963378</v>
      </c>
      <c r="Q181" s="30" t="n">
        <f aca="false">IF(AND(ISNUMBER(Q101),ISNUMBER(Q98)),IFERROR(Q101/Q98,""),"")</f>
        <v>0.182847129161942</v>
      </c>
      <c r="R181" s="30" t="n">
        <f aca="false">IF(AND(ISNUMBER(R101),ISNUMBER(R98)),IFERROR(R101/R98,""),"")</f>
        <v>0.168456966084121</v>
      </c>
      <c r="S181" s="30" t="n">
        <f aca="false">IF(AND(ISNUMBER(S101),ISNUMBER(S98)),IFERROR(S101/S98,""),"")</f>
        <v>0.172147051472608</v>
      </c>
      <c r="T181" s="30" t="n">
        <f aca="false">IF(AND(ISNUMBER(T101),ISNUMBER(T98)),IFERROR(T101/T98,""),"")</f>
        <v>0.176710106829241</v>
      </c>
      <c r="U181" s="30" t="n">
        <f aca="false">IF(AND(ISNUMBER(U101),ISNUMBER(U98)),IFERROR(U101/U98,""),"")</f>
        <v>0.170564235247288</v>
      </c>
      <c r="V181" s="30" t="n">
        <f aca="false">IF(AND(ISNUMBER(V101),ISNUMBER(V98)),IFERROR(V101/V98,""),"")</f>
        <v>0.165069747311649</v>
      </c>
      <c r="W181" s="30" t="n">
        <f aca="false">IF(AND(ISNUMBER(W101),ISNUMBER(W98)),IFERROR(W101/W98,""),"")</f>
        <v>0.175993087333268</v>
      </c>
      <c r="X181" s="30" t="n">
        <f aca="false">IF(AND(ISNUMBER(X101),ISNUMBER(X98)),IFERROR(X101/X98,""),"")</f>
        <v>0.172063554559466</v>
      </c>
      <c r="Y181" s="30" t="n">
        <f aca="false">IF(AND(ISNUMBER(Y101),ISNUMBER(Y98)),IFERROR(Y101/Y98,""),"")</f>
        <v>0.194545222988175</v>
      </c>
      <c r="Z181" s="30" t="n">
        <f aca="false">IF(AND(ISNUMBER(Z101),ISNUMBER(Z98)),IFERROR(Z101/Z98,""),"")</f>
        <v>0.191744997832584</v>
      </c>
      <c r="AA181" s="30" t="n">
        <f aca="false">IF(AND(ISNUMBER(AA101),ISNUMBER(AA98)),IFERROR(AA101/AA98,""),"")</f>
        <v>0.178971815639007</v>
      </c>
      <c r="AB181" s="30" t="n">
        <f aca="false">IF(AND(ISNUMBER(AB101),ISNUMBER(AB98)),IFERROR(AB101/AB98,""),"")</f>
        <v>0.164074219857473</v>
      </c>
      <c r="AC181" s="30" t="n">
        <f aca="false">IF(AND(ISNUMBER(AC101),ISNUMBER(AC98)),IFERROR(AC101/AC98,""),"")</f>
        <v>0.181758798132327</v>
      </c>
      <c r="AD181" s="30" t="n">
        <f aca="false">IF(AND(ISNUMBER(AD101),ISNUMBER(AD98)),IFERROR(AD101/AD98,""),"")</f>
        <v>0.17723159169792</v>
      </c>
      <c r="AE181" s="30" t="n">
        <f aca="false">IF(AND(ISNUMBER(AE101),ISNUMBER(AE98)),IFERROR(AE101/AE98,""),"")</f>
        <v>0.173169097562233</v>
      </c>
      <c r="AF181" s="30" t="n">
        <f aca="false">IF(AND(ISNUMBER(AF101),ISNUMBER(AF98)),IFERROR(AF101/AF98,""),"")</f>
        <v>0.185887611749681</v>
      </c>
      <c r="AG181" s="30" t="n">
        <f aca="false">IF(AND(ISNUMBER(AG101),ISNUMBER(AG98)),IFERROR(AG101/AG98,""),"")</f>
        <v>0.167571173532372</v>
      </c>
      <c r="AH181" s="30" t="n">
        <f aca="false">IF(AND(ISNUMBER(AH101),ISNUMBER(AH98)),IFERROR(AH101/AH98,""),"")</f>
        <v>0.175803196851024</v>
      </c>
      <c r="AI181" s="30" t="n">
        <f aca="false">IF(AND(ISNUMBER(AI101),ISNUMBER(AI98)),IFERROR(AI101/AI98,""),"")</f>
        <v>0.186026557206795</v>
      </c>
      <c r="AJ181" s="30" t="n">
        <f aca="false">IF(AND(ISNUMBER(AJ101),ISNUMBER(AJ98)),IFERROR(AJ101/AJ98,""),"")</f>
        <v>0.177175210519227</v>
      </c>
      <c r="AK181" s="30" t="n">
        <f aca="false">IF(AND(ISNUMBER(AK101),ISNUMBER(AK98)),IFERROR(AK101/AK98,""),"")</f>
        <v>0.172137605323888</v>
      </c>
      <c r="AL181" s="30" t="n">
        <f aca="false">IF(AND(ISNUMBER(AL101),ISNUMBER(AL98)),IFERROR(AL101/AL98,""),"")</f>
        <v>0.173545348554365</v>
      </c>
      <c r="AM181" s="30" t="n">
        <f aca="false">IF(AND(ISNUMBER(AM101),ISNUMBER(AM98)),IFERROR(AM101/AM98,""),"")</f>
        <v>0.176895024584848</v>
      </c>
      <c r="AN181" s="30" t="n">
        <f aca="false">IF(AND(ISNUMBER(AN101),ISNUMBER(AN98)),IFERROR(AN101/AN98,""),"")</f>
        <v>0.180823175571602</v>
      </c>
      <c r="AO181" s="30" t="n">
        <f aca="false">IF(AND(ISNUMBER(AO101),ISNUMBER(AO98)),IFERROR(AO101/AO98,""),"")</f>
        <v>0.174933287824252</v>
      </c>
      <c r="AP181" s="30" t="n">
        <f aca="false">IF(AND(ISNUMBER(AP101),ISNUMBER(AP98)),IFERROR(AP101/AP98,""),"")</f>
        <v>0.175488987909619</v>
      </c>
      <c r="AQ181" s="30" t="n">
        <f aca="false">IF(AND(ISNUMBER(AQ101),ISNUMBER(AQ98)),IFERROR(AQ101/AQ98,""),"")</f>
        <v>0.164039229662677</v>
      </c>
      <c r="AR181" s="30" t="n">
        <f aca="false">IF(AND(ISNUMBER(AR101),ISNUMBER(AR98)),IFERROR(AR101/AR98,""),"")</f>
        <v>0.173542928333513</v>
      </c>
      <c r="AS181" s="30" t="n">
        <f aca="false">IF(AND(ISNUMBER(AS101),ISNUMBER(AS98)),IFERROR(AS101/AS98,""),"")</f>
        <v>0.171955952792455</v>
      </c>
      <c r="AT181" s="30" t="n">
        <f aca="false">IF(AND(ISNUMBER(AT101),ISNUMBER(AT98)),IFERROR(AT101/AT98,""),"")</f>
        <v>0.151083209084345</v>
      </c>
      <c r="AU181" s="30" t="n">
        <f aca="false">IF(AND(ISNUMBER(AU101),ISNUMBER(AU98)),IFERROR(AU101/AU98,""),"")</f>
        <v>0.194221164048549</v>
      </c>
      <c r="AV181" s="30" t="n">
        <f aca="false">IF(AND(ISNUMBER(AV101),ISNUMBER(AV98)),IFERROR(AV101/AV98,""),"")</f>
        <v>0.170454598782668</v>
      </c>
      <c r="AW181" s="30" t="n">
        <f aca="false">IF(AND(ISNUMBER(AW101),ISNUMBER(AW98)),IFERROR(AW101/AW98,""),"")</f>
        <v>0.170944298545782</v>
      </c>
      <c r="AX181" s="30" t="n">
        <f aca="false">IF(AND(ISNUMBER(AX101),ISNUMBER(AX98)),IFERROR(AX101/AX98,""),"")</f>
        <v>0.187003172992711</v>
      </c>
      <c r="AY181" s="30" t="n">
        <f aca="false">IF(AND(ISNUMBER(AY101),ISNUMBER(AY98)),IFERROR(AY101/AY98,""),"")</f>
        <v>0.17791668720307</v>
      </c>
      <c r="AZ181" s="30" t="n">
        <f aca="false">IF(AND(ISNUMBER(AZ101),ISNUMBER(AZ98)),IFERROR(AZ101/AZ98,""),"")</f>
        <v>0.177820129868753</v>
      </c>
      <c r="BA181" s="30" t="n">
        <f aca="false">IF(AND(ISNUMBER(BA101),ISNUMBER(BA98)),IFERROR(BA101/BA98,""),"")</f>
        <v>0.17563042035876</v>
      </c>
      <c r="BB181" s="30" t="n">
        <f aca="false">IF(AND(ISNUMBER(BB101),ISNUMBER(BB98)),IFERROR(BB101/BB98,""),"")</f>
        <v>0.179303332507898</v>
      </c>
      <c r="BC181" s="30" t="n">
        <f aca="false">IF(AND(ISNUMBER(BC101),ISNUMBER(BC98)),IFERROR(BC101/BC98,""),"")</f>
        <v>0.186375659487338</v>
      </c>
      <c r="BD181" s="30" t="n">
        <f aca="false">IF(AND(ISNUMBER(BD101),ISNUMBER(BD98)),IFERROR(BD101/BD98,""),"")</f>
        <v>0.164160849868136</v>
      </c>
      <c r="BE181" s="30" t="n">
        <f aca="false">IF(AND(ISNUMBER(BE101),ISNUMBER(BE98)),IFERROR(BE101/BE98,""),"")</f>
        <v>0.161870882555379</v>
      </c>
      <c r="BF181" s="30" t="n">
        <f aca="false">IF(AND(ISNUMBER(BF101),ISNUMBER(BF98)),IFERROR(BF101/BF98,""),"")</f>
        <v>0.154001226957637</v>
      </c>
      <c r="BG181" s="30" t="n">
        <f aca="false">IF(AND(ISNUMBER(BG101),ISNUMBER(BG98)),IFERROR(BG101/BG98,""),"")</f>
        <v>0.165698208866279</v>
      </c>
      <c r="BH181" s="30" t="n">
        <f aca="false">IF(AND(ISNUMBER(BH101),ISNUMBER(BH98)),IFERROR(BH101/BH98,""),"")</f>
        <v>0.184187851799361</v>
      </c>
      <c r="BI181" s="30" t="n">
        <f aca="false">IF(AND(ISNUMBER(BI101),ISNUMBER(BI98)),IFERROR(BI101/BI98,""),"")</f>
        <v>0.159080368864316</v>
      </c>
      <c r="BJ181" s="30" t="n">
        <f aca="false">IF(AND(ISNUMBER(BJ101),ISNUMBER(BJ98)),IFERROR(BJ101/BJ98,""),"")</f>
        <v>0.178955100414717</v>
      </c>
      <c r="BK181" s="30" t="n">
        <f aca="false">IF(AND(ISNUMBER(BK101),ISNUMBER(BK98)),IFERROR(BK101/BK98,""),"")</f>
        <v>0.186871227095607</v>
      </c>
      <c r="BL181" s="30" t="n">
        <f aca="false">IF(AND(ISNUMBER(BL101),ISNUMBER(BL98)),IFERROR(BL101/BL98,""),"")</f>
        <v>0.177941481180753</v>
      </c>
      <c r="BM181" s="30" t="n">
        <f aca="false">IF(AND(ISNUMBER(BM101),ISNUMBER(BM98)),IFERROR(BM101/BM98,""),"")</f>
        <v>0.185816460518785</v>
      </c>
      <c r="BN181" s="30" t="n">
        <f aca="false">IF(AND(ISNUMBER(BN101),ISNUMBER(BN98)),IFERROR(BN101/BN98,""),"")</f>
        <v>0.170235347683419</v>
      </c>
      <c r="BO181" s="30" t="n">
        <f aca="false">IF(AND(ISNUMBER(BO101),ISNUMBER(BO98)),IFERROR(BO101/BO98,""),"")</f>
        <v>0.174174549456486</v>
      </c>
      <c r="BP181" s="30" t="n">
        <f aca="false">IF(AND(ISNUMBER(BP101),ISNUMBER(BP98)),IFERROR(BP101/BP98,""),"")</f>
        <v>0.172883546339274</v>
      </c>
      <c r="BQ181" s="30" t="n">
        <f aca="false">IF(AND(ISNUMBER(BQ101),ISNUMBER(BQ98)),IFERROR(BQ101/BQ98,""),"")</f>
        <v>0.175564829434563</v>
      </c>
      <c r="BR181" s="30" t="n">
        <f aca="false">IF(AND(ISNUMBER(BR101),ISNUMBER(BR98)),IFERROR(BR101/BR98,""),"")</f>
        <v>0.173610153927988</v>
      </c>
      <c r="BS181" s="30" t="n">
        <f aca="false">IF(AND(ISNUMBER(BS101),ISNUMBER(BS98)),IFERROR(BS101/BS98,""),"")</f>
        <v>0.172753274671622</v>
      </c>
      <c r="BT181" s="30" t="n">
        <f aca="false">IF(AND(ISNUMBER(BT101),ISNUMBER(BT98)),IFERROR(BT101/BT98,""),"")</f>
        <v>0.16742724542106</v>
      </c>
      <c r="BU181" s="30" t="n">
        <f aca="false">IF(AND(ISNUMBER(BU101),ISNUMBER(BU98)),IFERROR(BU101/BU98,""),"")</f>
        <v>0.171008036143214</v>
      </c>
      <c r="BV181" s="30" t="n">
        <f aca="false">IF(AND(ISNUMBER(BV101),ISNUMBER(BV98)),IFERROR(BV101/BV98,""),"")</f>
        <v>0.171116715911817</v>
      </c>
      <c r="BW181" s="30" t="n">
        <f aca="false">IF(AND(ISNUMBER(BW101),ISNUMBER(BW98)),IFERROR(BW101/BW98,""),"")</f>
        <v>0.165508212411186</v>
      </c>
      <c r="BX181" s="30" t="n">
        <f aca="false">IF(AND(ISNUMBER(BX101),ISNUMBER(BX98)),IFERROR(BX101/BX98,""),"")</f>
        <v>0.159254146758808</v>
      </c>
      <c r="BY181" s="30" t="n">
        <f aca="false">IF(AND(ISNUMBER(BY101),ISNUMBER(BY98)),IFERROR(BY101/BY98,""),"")</f>
        <v>0.159789108665652</v>
      </c>
      <c r="BZ181" s="23" t="n">
        <f aca="false">IF(AND(ISNUMBER(BZ101),ISNUMBER(BZ98)),IFERROR(BZ101/BZ98,""),"")</f>
        <v>0.159919367286754</v>
      </c>
      <c r="CA181" s="23" t="n">
        <f aca="false">IF(AND(ISNUMBER(CA101),ISNUMBER(CA98)),IFERROR(CA101/CA98,""),"")</f>
        <v>0.160927469758921</v>
      </c>
      <c r="CB181" s="23" t="n">
        <f aca="false">IF(AND(ISNUMBER(CB101),ISNUMBER(CB98)),IFERROR(CB101/CB98,""),"")</f>
        <v>0.161087144171545</v>
      </c>
      <c r="CC181" s="23" t="n">
        <f aca="false">IF(AND(ISNUMBER(CC101),ISNUMBER(CC98)),IFERROR(CC101/CC98,""),"")</f>
        <v>0.158170460398294</v>
      </c>
      <c r="CD181" s="23" t="n">
        <f aca="false">IF(AND(ISNUMBER(CD101),ISNUMBER(CD98)),IFERROR(CD101/CD98,""),"")</f>
        <v>0.160108637408494</v>
      </c>
      <c r="CE181" s="23" t="n">
        <f aca="false">IF(AND(ISNUMBER(CE101),ISNUMBER(CE98)),IFERROR(CE101/CE98,""),"")</f>
        <v>0.16192776344527</v>
      </c>
      <c r="CH181" s="33" t="n">
        <f aca="false">IFERROR(AVERAGE(CA181,CB181,CC181,CD181,CE181),"n/m")</f>
        <v>0.160444295036505</v>
      </c>
      <c r="CI181" s="33" t="n">
        <f aca="false">IFERROR(AVERAGE(BB181,BG181,BL181,BQ181,BV181),"n/m")</f>
        <v>0.173924913580262</v>
      </c>
      <c r="CJ181" s="33" t="n">
        <f aca="false">IFERROR(AVERAGE(AC181,AH181,AM181,AR181,AW181,BB181,BG181,BL181,BQ181,BV181),"n/m")</f>
        <v>0.17485688143488</v>
      </c>
      <c r="CK181" s="33" t="n">
        <f aca="false">IFERROR(AVERAGE(C181,D181,E181,F181,G181,H181,I181,N181,S181,X181,AC181,AH181,AM181,AR181,AW181,BB181,BG181,BL181,BQ181,BV181),"n/m")</f>
        <v>0.177396465409486</v>
      </c>
    </row>
    <row r="182" customFormat="false" ht="15" hidden="false" customHeight="true" outlineLevel="0" collapsed="false">
      <c r="B182" s="29" t="s">
        <v>309</v>
      </c>
      <c r="C182" s="30" t="n">
        <f aca="false">C17</f>
        <v>0.168941948747543</v>
      </c>
      <c r="D182" s="30" t="n">
        <f aca="false">D17</f>
        <v>0.175582361536919</v>
      </c>
      <c r="E182" s="30" t="n">
        <f aca="false">E17</f>
        <v>0.185856550903139</v>
      </c>
      <c r="F182" s="30" t="n">
        <f aca="false">F17</f>
        <v>0.151743828760593</v>
      </c>
      <c r="G182" s="30" t="n">
        <f aca="false">G17</f>
        <v>0.164661429849856</v>
      </c>
      <c r="H182" s="30" t="n">
        <f aca="false">H17</f>
        <v>0.176070264269418</v>
      </c>
      <c r="I182" s="30" t="n">
        <f aca="false">I17</f>
        <v>0.182252224608776</v>
      </c>
      <c r="J182" s="30" t="n">
        <f aca="false">J17</f>
        <v>0.174426970172233</v>
      </c>
      <c r="K182" s="30" t="n">
        <f aca="false">K17</f>
        <v>0.19516720242735</v>
      </c>
      <c r="L182" s="30" t="n">
        <f aca="false">L17</f>
        <v>0.180051949197876</v>
      </c>
      <c r="M182" s="30" t="n">
        <f aca="false">M17</f>
        <v>0.183914593750659</v>
      </c>
      <c r="N182" s="30" t="n">
        <f aca="false">N17</f>
        <v>0.183505024445687</v>
      </c>
      <c r="O182" s="30" t="n">
        <f aca="false">O17</f>
        <v>0.177343943607677</v>
      </c>
      <c r="P182" s="30" t="n">
        <f aca="false">P17</f>
        <v>0.189263797385219</v>
      </c>
      <c r="Q182" s="30" t="n">
        <f aca="false">Q17</f>
        <v>0.178710697897798</v>
      </c>
      <c r="R182" s="30" t="n">
        <f aca="false">R17</f>
        <v>0.17024280792553</v>
      </c>
      <c r="S182" s="30" t="n">
        <f aca="false">S17</f>
        <v>0.178919534714821</v>
      </c>
      <c r="T182" s="30" t="n">
        <f aca="false">T17</f>
        <v>0.168644984812449</v>
      </c>
      <c r="U182" s="30" t="n">
        <f aca="false">U17</f>
        <v>0.185155961040562</v>
      </c>
      <c r="V182" s="30" t="n">
        <f aca="false">V17</f>
        <v>0.189981558478018</v>
      </c>
      <c r="W182" s="30" t="n">
        <f aca="false">W17</f>
        <v>0.193797561724294</v>
      </c>
      <c r="X182" s="30" t="n">
        <f aca="false">X17</f>
        <v>0.185004322588613</v>
      </c>
      <c r="Y182" s="30" t="n">
        <f aca="false">Y17</f>
        <v>0.173431878617238</v>
      </c>
      <c r="Z182" s="30" t="n">
        <f aca="false">Z17</f>
        <v>0.187516455581279</v>
      </c>
      <c r="AA182" s="30" t="n">
        <f aca="false">AA17</f>
        <v>0.188579798969234</v>
      </c>
      <c r="AB182" s="30" t="n">
        <f aca="false">AB17</f>
        <v>0.195534272119623</v>
      </c>
      <c r="AC182" s="30" t="n">
        <f aca="false">AC17</f>
        <v>0.186588192311644</v>
      </c>
      <c r="AD182" s="30" t="n">
        <f aca="false">AD17</f>
        <v>0.187246775704954</v>
      </c>
      <c r="AE182" s="30" t="n">
        <f aca="false">AE17</f>
        <v>0.193020978477971</v>
      </c>
      <c r="AF182" s="30" t="n">
        <f aca="false">AF17</f>
        <v>0.180892055542203</v>
      </c>
      <c r="AG182" s="30" t="n">
        <f aca="false">AG17</f>
        <v>0.18105690170674</v>
      </c>
      <c r="AH182" s="30" t="n">
        <f aca="false">AH17</f>
        <v>0.185292597722058</v>
      </c>
      <c r="AI182" s="30" t="n">
        <f aca="false">AI17</f>
        <v>0.180075455105782</v>
      </c>
      <c r="AJ182" s="30" t="n">
        <f aca="false">AJ17</f>
        <v>0.19223704057707</v>
      </c>
      <c r="AK182" s="30" t="n">
        <f aca="false">AK17</f>
        <v>0.191887095529696</v>
      </c>
      <c r="AL182" s="30" t="n">
        <f aca="false">AL17</f>
        <v>0.187952620807982</v>
      </c>
      <c r="AM182" s="30" t="n">
        <f aca="false">AM17</f>
        <v>0.1881920365194</v>
      </c>
      <c r="AN182" s="30" t="n">
        <f aca="false">AN17</f>
        <v>0.184114228812763</v>
      </c>
      <c r="AO182" s="30" t="n">
        <f aca="false">AO17</f>
        <v>0.201673311684309</v>
      </c>
      <c r="AP182" s="30" t="n">
        <f aca="false">AP17</f>
        <v>0.202480500974951</v>
      </c>
      <c r="AQ182" s="30" t="n">
        <f aca="false">AQ17</f>
        <v>0.191516555128841</v>
      </c>
      <c r="AR182" s="30" t="n">
        <f aca="false">AR17</f>
        <v>0.19515587618924</v>
      </c>
      <c r="AS182" s="30" t="n">
        <f aca="false">AS17</f>
        <v>0.206083695655784</v>
      </c>
      <c r="AT182" s="30" t="n">
        <f aca="false">AT17</f>
        <v>0.188642028226255</v>
      </c>
      <c r="AU182" s="30" t="n">
        <f aca="false">AU17</f>
        <v>0.0674738153773617</v>
      </c>
      <c r="AV182" s="30" t="n">
        <f aca="false">AV17</f>
        <v>0.110802952128621</v>
      </c>
      <c r="AW182" s="30" t="n">
        <f aca="false">AW17</f>
        <v>0.154681167631908</v>
      </c>
      <c r="AX182" s="30" t="n">
        <f aca="false">AX17</f>
        <v>0.129541372771329</v>
      </c>
      <c r="AY182" s="30" t="n">
        <f aca="false">AY17</f>
        <v>0.15405593190898</v>
      </c>
      <c r="AZ182" s="30" t="n">
        <f aca="false">AZ17</f>
        <v>0.17737582132103</v>
      </c>
      <c r="BA182" s="30" t="n">
        <f aca="false">BA17</f>
        <v>0.186563065329528</v>
      </c>
      <c r="BB182" s="30" t="n">
        <f aca="false">BB17</f>
        <v>0.163878548877184</v>
      </c>
      <c r="BC182" s="30" t="n">
        <f aca="false">BC17</f>
        <v>0.192077922554193</v>
      </c>
      <c r="BD182" s="30" t="n">
        <f aca="false">BD17</f>
        <v>0.216109012676576</v>
      </c>
      <c r="BE182" s="30" t="n">
        <f aca="false">BE17</f>
        <v>0.214243972155187</v>
      </c>
      <c r="BF182" s="30" t="n">
        <f aca="false">BF17</f>
        <v>0.224991978818299</v>
      </c>
      <c r="BG182" s="30" t="n">
        <f aca="false">BG17</f>
        <v>0.21284611683126</v>
      </c>
      <c r="BH182" s="30" t="n">
        <f aca="false">BH17</f>
        <v>0.225192443398208</v>
      </c>
      <c r="BI182" s="30" t="n">
        <f aca="false">BI17</f>
        <v>0.254746278703321</v>
      </c>
      <c r="BJ182" s="30" t="n">
        <f aca="false">BJ17</f>
        <v>0.220156033971953</v>
      </c>
      <c r="BK182" s="30" t="n">
        <f aca="false">BK17</f>
        <v>0.190478089967008</v>
      </c>
      <c r="BL182" s="30" t="n">
        <f aca="false">BL17</f>
        <v>0.218788996630296</v>
      </c>
      <c r="BM182" s="30" t="n">
        <f aca="false">BM17</f>
        <v>0.219957137038641</v>
      </c>
      <c r="BN182" s="30" t="n">
        <f aca="false">BN17</f>
        <v>0.230019529318699</v>
      </c>
      <c r="BO182" s="30" t="n">
        <f aca="false">BO17</f>
        <v>0.225334714344817</v>
      </c>
      <c r="BP182" s="30" t="n">
        <f aca="false">BP17</f>
        <v>0.223355691115673</v>
      </c>
      <c r="BQ182" s="30" t="n">
        <f aca="false">BQ17</f>
        <v>0.224704226867635</v>
      </c>
      <c r="BR182" s="30" t="n">
        <f aca="false">BR17</f>
        <v>0.232924924352262</v>
      </c>
      <c r="BS182" s="30" t="n">
        <f aca="false">BS17</f>
        <v>0.241151394266495</v>
      </c>
      <c r="BT182" s="30" t="n">
        <f aca="false">BT17</f>
        <v>0.247085631418494</v>
      </c>
      <c r="BU182" s="30" t="n">
        <f aca="false">BU17</f>
        <v>0.240867382893961</v>
      </c>
      <c r="BV182" s="30" t="n">
        <f aca="false">BV17</f>
        <v>0.240721309014245</v>
      </c>
      <c r="BW182" s="30" t="n">
        <f aca="false">BW17</f>
        <v>0.244796341463415</v>
      </c>
      <c r="BX182" s="30" t="n">
        <f aca="false">BX17</f>
        <v>0.261520270015827</v>
      </c>
      <c r="BY182" s="30" t="n">
        <f aca="false">BY17</f>
        <v>0.258808001240764</v>
      </c>
      <c r="BZ182" s="23" t="n">
        <f aca="false">BZ17</f>
        <v>0.25568230919474</v>
      </c>
      <c r="CA182" s="23" t="n">
        <f aca="false">CA17</f>
        <v>0.255536185982581</v>
      </c>
      <c r="CB182" s="23" t="n">
        <f aca="false">CB17</f>
        <v>0.255</v>
      </c>
      <c r="CC182" s="23" t="n">
        <f aca="false">CC17</f>
        <v>0.26</v>
      </c>
      <c r="CD182" s="23" t="n">
        <f aca="false">CD17</f>
        <v>0.26</v>
      </c>
      <c r="CE182" s="23" t="n">
        <f aca="false">CE17</f>
        <v>0.26</v>
      </c>
      <c r="CH182" s="33" t="n">
        <f aca="false">IFERROR(AVERAGE(CA182,CB182,CC182,CD182,CE182),"n/m")</f>
        <v>0.258107237196516</v>
      </c>
      <c r="CI182" s="33" t="n">
        <f aca="false">IFERROR(AVERAGE(BB182,BG182,BL182,BQ182,BV182),"n/m")</f>
        <v>0.212187839644124</v>
      </c>
      <c r="CJ182" s="33" t="n">
        <f aca="false">IFERROR(AVERAGE(AC182,AH182,AM182,AR182,AW182,BB182,BG182,BL182,BQ182,BV182),"n/m")</f>
        <v>0.197084906859487</v>
      </c>
      <c r="CK182" s="33" t="n">
        <f aca="false">IFERROR(AVERAGE(C182,D182,E182,F182,G182,H182,I182,N182,S182,X182,AC182,AH182,AM182,AR182,AW182,BB182,BG182,BL182,BQ182,BV182),"n/m")</f>
        <v>0.186169327951012</v>
      </c>
    </row>
    <row r="183" customFormat="false" ht="15" hidden="false" customHeight="true" outlineLevel="0" collapsed="false">
      <c r="B183" s="29" t="s">
        <v>310</v>
      </c>
      <c r="C183" s="30" t="n">
        <f aca="false">C36</f>
        <v>0.295824240790812</v>
      </c>
      <c r="D183" s="30" t="n">
        <f aca="false">D36</f>
        <v>0.273068085620994</v>
      </c>
      <c r="E183" s="30" t="n">
        <f aca="false">E36</f>
        <v>0.265502177425981</v>
      </c>
      <c r="F183" s="30" t="n">
        <f aca="false">F36</f>
        <v>0.278861981418966</v>
      </c>
      <c r="G183" s="30" t="n">
        <f aca="false">G36</f>
        <v>0.272922663969501</v>
      </c>
      <c r="H183" s="30" t="n">
        <f aca="false">H36</f>
        <v>0.261073622190709</v>
      </c>
      <c r="I183" s="30" t="n">
        <f aca="false">I36</f>
        <v>0.233529755909264</v>
      </c>
      <c r="J183" s="30" t="n">
        <f aca="false">J36</f>
        <v>0.197181669435953</v>
      </c>
      <c r="K183" s="30" t="n">
        <f aca="false">K36</f>
        <v>0.241240454150136</v>
      </c>
      <c r="L183" s="30" t="n">
        <f aca="false">L36</f>
        <v>0.246175673047219</v>
      </c>
      <c r="M183" s="30" t="n">
        <f aca="false">M36</f>
        <v>0.257896528932241</v>
      </c>
      <c r="N183" s="30" t="n">
        <f aca="false">N36</f>
        <v>0.237300483097308</v>
      </c>
      <c r="O183" s="30" t="n">
        <f aca="false">O36</f>
        <v>0.261783934531157</v>
      </c>
      <c r="P183" s="30" t="n">
        <f aca="false">P36</f>
        <v>0.202092688960453</v>
      </c>
      <c r="Q183" s="30" t="n">
        <f aca="false">Q36</f>
        <v>0.210209180424239</v>
      </c>
      <c r="R183" s="30" t="n">
        <f aca="false">R36</f>
        <v>0.263910255129563</v>
      </c>
      <c r="S183" s="30" t="n">
        <f aca="false">S36</f>
        <v>0.234351772780466</v>
      </c>
      <c r="T183" s="30" t="n">
        <f aca="false">T36</f>
        <v>0.217639344997254</v>
      </c>
      <c r="U183" s="30" t="n">
        <f aca="false">U36</f>
        <v>0.244035386559701</v>
      </c>
      <c r="V183" s="30" t="n">
        <f aca="false">V36</f>
        <v>0.250681423120044</v>
      </c>
      <c r="W183" s="30" t="n">
        <f aca="false">W36</f>
        <v>0.289203209356808</v>
      </c>
      <c r="X183" s="30" t="n">
        <f aca="false">X36</f>
        <v>0.252781457969932</v>
      </c>
      <c r="Y183" s="30" t="n">
        <f aca="false">Y36</f>
        <v>0.213812504800676</v>
      </c>
      <c r="Z183" s="30" t="n">
        <f aca="false">Z36</f>
        <v>0.25196505891405</v>
      </c>
      <c r="AA183" s="30" t="n">
        <f aca="false">AA36</f>
        <v>0.246734941085784</v>
      </c>
      <c r="AB183" s="30" t="n">
        <f aca="false">AB36</f>
        <v>0.265658997101324</v>
      </c>
      <c r="AC183" s="30" t="n">
        <f aca="false">AC36</f>
        <v>0.246504795881644</v>
      </c>
      <c r="AD183" s="30" t="n">
        <f aca="false">AD36</f>
        <v>0.230523520786272</v>
      </c>
      <c r="AE183" s="30" t="n">
        <f aca="false">AE36</f>
        <v>0.275032053779513</v>
      </c>
      <c r="AF183" s="30" t="n">
        <f aca="false">AF36</f>
        <v>0.27958073407805</v>
      </c>
      <c r="AG183" s="30" t="n">
        <f aca="false">AG36</f>
        <v>0.301643727043125</v>
      </c>
      <c r="AH183" s="30" t="n">
        <f aca="false">AH36</f>
        <v>0.274180207257676</v>
      </c>
      <c r="AI183" s="30" t="n">
        <f aca="false">AI36</f>
        <v>0.277659998201185</v>
      </c>
      <c r="AJ183" s="30" t="n">
        <f aca="false">AJ36</f>
        <v>0.285262147200721</v>
      </c>
      <c r="AK183" s="30" t="n">
        <f aca="false">AK36</f>
        <v>0.300590223748457</v>
      </c>
      <c r="AL183" s="30" t="n">
        <f aca="false">AL36</f>
        <v>0.299026047090963</v>
      </c>
      <c r="AM183" s="30" t="n">
        <f aca="false">AM36</f>
        <v>0.291393748031922</v>
      </c>
      <c r="AN183" s="30" t="n">
        <f aca="false">AN36</f>
        <v>0.279793307993862</v>
      </c>
      <c r="AO183" s="30" t="n">
        <f aca="false">AO36</f>
        <v>0.314067082923372</v>
      </c>
      <c r="AP183" s="30" t="n">
        <f aca="false">AP36</f>
        <v>0.287818848928186</v>
      </c>
      <c r="AQ183" s="30" t="n">
        <f aca="false">AQ36</f>
        <v>0.294210365673104</v>
      </c>
      <c r="AR183" s="30" t="n">
        <f aca="false">AR36</f>
        <v>0.294471565758602</v>
      </c>
      <c r="AS183" s="30" t="n">
        <f aca="false">AS36</f>
        <v>0.275853961643099</v>
      </c>
      <c r="AT183" s="30" t="n">
        <f aca="false">AT36</f>
        <v>0.299266972665616</v>
      </c>
      <c r="AU183" s="30" t="n">
        <f aca="false">AU36</f>
        <v>0.29362456677682</v>
      </c>
      <c r="AV183" s="30" t="n">
        <f aca="false">AV36</f>
        <v>0.312063269427381</v>
      </c>
      <c r="AW183" s="30" t="n">
        <f aca="false">AW36</f>
        <v>0.295791823192802</v>
      </c>
      <c r="AX183" s="30" t="n">
        <f aca="false">AX36</f>
        <v>0.26896891075822</v>
      </c>
      <c r="AY183" s="30" t="n">
        <f aca="false">AY36</f>
        <v>0.293283529900571</v>
      </c>
      <c r="AZ183" s="30" t="n">
        <f aca="false">AZ36</f>
        <v>0.28803596849</v>
      </c>
      <c r="BA183" s="30" t="n">
        <f aca="false">BA36</f>
        <v>0.303915600739956</v>
      </c>
      <c r="BB183" s="30" t="n">
        <f aca="false">BB36</f>
        <v>0.289110376679838</v>
      </c>
      <c r="BC183" s="30" t="n">
        <f aca="false">BC36</f>
        <v>0.250017990788716</v>
      </c>
      <c r="BD183" s="30" t="n">
        <f aca="false">BD36</f>
        <v>0.277969443075407</v>
      </c>
      <c r="BE183" s="30" t="n">
        <f aca="false">BE36</f>
        <v>0.278575611274227</v>
      </c>
      <c r="BF183" s="30" t="n">
        <f aca="false">BF36</f>
        <v>0.297412332475618</v>
      </c>
      <c r="BG183" s="30" t="n">
        <f aca="false">BG36</f>
        <v>0.277100182523972</v>
      </c>
      <c r="BH183" s="30" t="n">
        <f aca="false">BH36</f>
        <v>0.221662438886689</v>
      </c>
      <c r="BI183" s="30" t="n">
        <f aca="false">BI36</f>
        <v>0.225275799561902</v>
      </c>
      <c r="BJ183" s="30" t="n">
        <f aca="false">BJ36</f>
        <v>0.227568302405583</v>
      </c>
      <c r="BK183" s="30" t="n">
        <f aca="false">BK36</f>
        <v>0.252177137068404</v>
      </c>
      <c r="BL183" s="30" t="n">
        <f aca="false">BL36</f>
        <v>0.232654163898461</v>
      </c>
      <c r="BM183" s="30" t="n">
        <f aca="false">BM36</f>
        <v>0.193493785452994</v>
      </c>
      <c r="BN183" s="30" t="n">
        <f aca="false">BN36</f>
        <v>0.235696256443339</v>
      </c>
      <c r="BO183" s="30" t="n">
        <f aca="false">BO36</f>
        <v>0.23527220461368</v>
      </c>
      <c r="BP183" s="30" t="n">
        <f aca="false">BP36</f>
        <v>0.243325313101332</v>
      </c>
      <c r="BQ183" s="30" t="n">
        <f aca="false">BQ36</f>
        <v>0.228068273365695</v>
      </c>
      <c r="BR183" s="30" t="n">
        <f aca="false">BR36</f>
        <v>0.231463905665804</v>
      </c>
      <c r="BS183" s="30" t="n">
        <f aca="false">BS36</f>
        <v>0.227608156251187</v>
      </c>
      <c r="BT183" s="30" t="n">
        <f aca="false">BT36</f>
        <v>0.227610063423284</v>
      </c>
      <c r="BU183" s="30" t="n">
        <f aca="false">BU36</f>
        <v>0.232910142290949</v>
      </c>
      <c r="BV183" s="30" t="n">
        <f aca="false">BV36</f>
        <v>0.229953577898551</v>
      </c>
      <c r="BW183" s="30" t="n">
        <f aca="false">BW36</f>
        <v>0.197601672624267</v>
      </c>
      <c r="BX183" s="30" t="n">
        <f aca="false">BX36</f>
        <v>0.265071855714074</v>
      </c>
      <c r="BY183" s="30" t="n">
        <f aca="false">BY36</f>
        <v>0.259707086229826</v>
      </c>
      <c r="BZ183" s="23" t="n">
        <f aca="false">BZ36</f>
        <v>0.24812269965367</v>
      </c>
      <c r="CA183" s="23" t="n">
        <f aca="false">CA36</f>
        <v>0.245192687253107</v>
      </c>
      <c r="CB183" s="23" t="n">
        <f aca="false">CB36</f>
        <v>0.25</v>
      </c>
      <c r="CC183" s="23" t="n">
        <f aca="false">CC36</f>
        <v>0.255</v>
      </c>
      <c r="CD183" s="23" t="n">
        <f aca="false">CD36</f>
        <v>0.255</v>
      </c>
      <c r="CE183" s="23" t="n">
        <f aca="false">CE36</f>
        <v>0.255</v>
      </c>
      <c r="CH183" s="33" t="n">
        <f aca="false">IFERROR(AVERAGE(CA183,CB183,CC183,CD183,CE183),"n/m")</f>
        <v>0.252038537450621</v>
      </c>
      <c r="CI183" s="33" t="n">
        <f aca="false">IFERROR(AVERAGE(BB183,BG183,BL183,BQ183,BV183),"n/m")</f>
        <v>0.251377314873303</v>
      </c>
      <c r="CJ183" s="33" t="n">
        <f aca="false">IFERROR(AVERAGE(AC183,AH183,AM183,AR183,AW183,BB183,BG183,BL183,BQ183,BV183),"n/m")</f>
        <v>0.265922871448916</v>
      </c>
      <c r="CK183" s="33" t="n">
        <f aca="false">IFERROR(AVERAGE(C183,D183,E183,F183,G183,H183,I183,N183,S183,X183,AC183,AH183,AM183,AR183,AW183,BB183,BG183,BL183,BQ183,BV183),"n/m")</f>
        <v>0.263222247783155</v>
      </c>
    </row>
    <row r="184" customFormat="false" ht="15" hidden="false" customHeight="true" outlineLevel="0" collapsed="false"/>
    <row r="185" customFormat="false" ht="15" hidden="false" customHeight="true" outlineLevel="0" collapsed="false">
      <c r="B185" s="11" t="s">
        <v>311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 t="s">
        <v>312</v>
      </c>
    </row>
    <row r="186" customFormat="false" ht="15" hidden="false" customHeight="true" outlineLevel="0" collapsed="false">
      <c r="B186" s="29" t="s">
        <v>225</v>
      </c>
      <c r="C186" s="35" t="n">
        <v>43.083</v>
      </c>
      <c r="D186" s="35" t="n">
        <v>55.286</v>
      </c>
      <c r="E186" s="35" t="n">
        <v>67.387</v>
      </c>
      <c r="F186" s="35" t="n">
        <v>59.845</v>
      </c>
      <c r="G186" s="35" t="n">
        <v>72.355</v>
      </c>
      <c r="H186" s="35" t="n">
        <v>95.453</v>
      </c>
      <c r="I186" s="35" t="n">
        <v>106.675</v>
      </c>
      <c r="J186" s="35" t="n">
        <v>24.984</v>
      </c>
      <c r="K186" s="35" t="n">
        <v>29.046</v>
      </c>
      <c r="L186" s="35" t="n">
        <v>34.768</v>
      </c>
      <c r="M186" s="35" t="n">
        <v>35.763</v>
      </c>
      <c r="N186" s="35" t="n">
        <v>124.561</v>
      </c>
      <c r="O186" s="35" t="n">
        <v>32.562</v>
      </c>
      <c r="P186" s="35" t="n">
        <v>32.78</v>
      </c>
      <c r="Q186" s="35" t="n">
        <v>37.352</v>
      </c>
      <c r="R186" s="35" t="n">
        <v>36.078</v>
      </c>
      <c r="S186" s="35" t="n">
        <v>138.772</v>
      </c>
      <c r="T186" s="35" t="n">
        <v>32.091</v>
      </c>
      <c r="U186" s="35" t="n">
        <v>38.504</v>
      </c>
      <c r="V186" s="35" t="n">
        <v>38.938</v>
      </c>
      <c r="W186" s="35" t="n">
        <v>44.031</v>
      </c>
      <c r="X186" s="35" t="n">
        <v>153.564</v>
      </c>
      <c r="Y186" s="35" t="n">
        <v>35.924</v>
      </c>
      <c r="Z186" s="35" t="n">
        <v>43.729</v>
      </c>
      <c r="AA186" s="35" t="n">
        <v>46.976</v>
      </c>
      <c r="AB186" s="35" t="n">
        <v>49.521</v>
      </c>
      <c r="AC186" s="35" t="n">
        <v>176.15</v>
      </c>
      <c r="AD186" s="35" t="n">
        <v>46.265</v>
      </c>
      <c r="AE186" s="35" t="n">
        <v>50.833</v>
      </c>
      <c r="AF186" s="35" t="n">
        <v>51.475</v>
      </c>
      <c r="AG186" s="35" t="n">
        <v>59.087</v>
      </c>
      <c r="AH186" s="35" t="n">
        <v>207.66</v>
      </c>
      <c r="AI186" s="35" t="n">
        <v>71.695</v>
      </c>
      <c r="AJ186" s="35" t="n">
        <v>66.011</v>
      </c>
      <c r="AK186" s="35" t="n">
        <v>73.899</v>
      </c>
      <c r="AL186" s="35" t="n">
        <v>74.081</v>
      </c>
      <c r="AM186" s="35" t="n">
        <v>285.686</v>
      </c>
      <c r="AN186" s="35" t="n">
        <v>88.026</v>
      </c>
      <c r="AO186" s="35" t="n">
        <v>90.083</v>
      </c>
      <c r="AP186" s="35" t="n">
        <v>89.059</v>
      </c>
      <c r="AQ186" s="35" t="n">
        <v>92.573</v>
      </c>
      <c r="AR186" s="35" t="n">
        <v>359.741</v>
      </c>
      <c r="AS186" s="35" t="n">
        <v>129.802</v>
      </c>
      <c r="AT186" s="35" t="n">
        <v>80.909</v>
      </c>
      <c r="AU186" s="35" t="n">
        <v>57.564</v>
      </c>
      <c r="AV186" s="35" t="n">
        <v>67.58</v>
      </c>
      <c r="AW186" s="35" t="n">
        <v>335.855</v>
      </c>
      <c r="AX186" s="35" t="n">
        <v>76.248</v>
      </c>
      <c r="AY186" s="35" t="n">
        <v>76.471</v>
      </c>
      <c r="AZ186" s="35" t="n">
        <v>83.683</v>
      </c>
      <c r="BA186" s="35" t="n">
        <v>93.356</v>
      </c>
      <c r="BB186" s="35" t="n">
        <v>329.758</v>
      </c>
      <c r="BC186" s="35" t="n">
        <v>94.252</v>
      </c>
      <c r="BD186" s="35" t="n">
        <v>93.112</v>
      </c>
      <c r="BE186" s="35" t="n">
        <v>93.086</v>
      </c>
      <c r="BF186" s="35" t="n">
        <v>110.173</v>
      </c>
      <c r="BG186" s="35" t="n">
        <v>390.623</v>
      </c>
      <c r="BH186" s="35" t="n">
        <v>103.005</v>
      </c>
      <c r="BI186" s="35" t="n">
        <v>115.06</v>
      </c>
      <c r="BJ186" s="35" t="n">
        <v>112.753</v>
      </c>
      <c r="BK186" s="35" t="n">
        <v>113.565</v>
      </c>
      <c r="BL186" s="35" t="n">
        <v>444.383</v>
      </c>
      <c r="BM186" s="35" t="n">
        <v>125.482</v>
      </c>
      <c r="BN186" s="35" t="n">
        <v>134.901</v>
      </c>
      <c r="BO186" s="35" t="n">
        <v>147.817</v>
      </c>
      <c r="BP186" s="35" t="n">
        <v>150.886</v>
      </c>
      <c r="BQ186" s="35" t="n">
        <v>559.086</v>
      </c>
      <c r="BR186" s="35" t="n">
        <v>181.566</v>
      </c>
      <c r="BS186" s="35" t="n">
        <v>170.523</v>
      </c>
      <c r="BT186" s="35" t="n">
        <v>190.68</v>
      </c>
      <c r="BU186" s="35" t="n">
        <v>202.785</v>
      </c>
      <c r="BV186" s="35" t="n">
        <v>745.554</v>
      </c>
      <c r="BW186" s="35" t="n">
        <v>204.757</v>
      </c>
      <c r="BX186" s="35" t="n">
        <v>250.33</v>
      </c>
      <c r="BY186" s="35" t="n">
        <v>254.478</v>
      </c>
      <c r="CA186" s="42" t="n">
        <f aca="false">CA108</f>
        <v>968.797924571773</v>
      </c>
      <c r="CB186" s="42" t="n">
        <f aca="false">CB108</f>
        <v>1101.36820921896</v>
      </c>
      <c r="CC186" s="42" t="n">
        <f aca="false">CC108</f>
        <v>1249.40284094684</v>
      </c>
      <c r="CD186" s="42" t="n">
        <f aca="false">CD108</f>
        <v>1373.12968728161</v>
      </c>
      <c r="CE186" s="42" t="n">
        <f aca="false">CE108</f>
        <v>1507.29130270426</v>
      </c>
    </row>
    <row r="187" customFormat="false" ht="15" hidden="false" customHeight="true" outlineLevel="0" collapsed="false">
      <c r="B187" s="29" t="s">
        <v>313</v>
      </c>
    </row>
    <row r="188" customFormat="false" ht="15" hidden="false" customHeight="true" outlineLevel="0" collapsed="false">
      <c r="B188" s="29" t="s">
        <v>314</v>
      </c>
      <c r="C188" s="35" t="n">
        <v>10.565</v>
      </c>
      <c r="D188" s="35" t="n">
        <v>12.167</v>
      </c>
      <c r="E188" s="35" t="n">
        <v>15.052</v>
      </c>
      <c r="F188" s="35" t="n">
        <v>14.967</v>
      </c>
      <c r="G188" s="35" t="n">
        <v>17.597</v>
      </c>
      <c r="H188" s="35" t="n">
        <v>18.543</v>
      </c>
      <c r="I188" s="35" t="n">
        <v>30.656</v>
      </c>
      <c r="J188" s="35" t="n">
        <v>8.14</v>
      </c>
      <c r="K188" s="35" t="n">
        <v>8.265</v>
      </c>
      <c r="L188" s="35" t="n">
        <v>9.495</v>
      </c>
      <c r="M188" s="35" t="n">
        <v>10.89</v>
      </c>
      <c r="N188" s="35" t="n">
        <v>36.79</v>
      </c>
      <c r="O188" s="35" t="n">
        <v>12.05</v>
      </c>
      <c r="P188" s="35" t="n">
        <v>12.089</v>
      </c>
      <c r="Q188" s="35" t="n">
        <v>12.131</v>
      </c>
      <c r="R188" s="35" t="n">
        <v>11.487</v>
      </c>
      <c r="S188" s="35" t="n">
        <v>47.757</v>
      </c>
      <c r="T188" s="35" t="n">
        <v>10.904</v>
      </c>
      <c r="U188" s="35" t="n">
        <v>12.237</v>
      </c>
      <c r="V188" s="35" t="n">
        <v>11.925</v>
      </c>
      <c r="W188" s="35" t="n">
        <v>12.841</v>
      </c>
      <c r="X188" s="35" t="n">
        <v>47.907</v>
      </c>
      <c r="Y188" s="35" t="n">
        <v>13.921</v>
      </c>
      <c r="Z188" s="35" t="n">
        <v>15.262</v>
      </c>
      <c r="AA188" s="35" t="n">
        <v>15.42</v>
      </c>
      <c r="AB188" s="35" t="n">
        <v>15.674</v>
      </c>
      <c r="AC188" s="35" t="n">
        <v>60.277</v>
      </c>
      <c r="AD188" s="35" t="n">
        <v>15.248</v>
      </c>
      <c r="AE188" s="35" t="n">
        <v>15.253</v>
      </c>
      <c r="AF188" s="35" t="n">
        <v>16.411</v>
      </c>
      <c r="AG188" s="35" t="n">
        <v>17.911</v>
      </c>
      <c r="AH188" s="35" t="n">
        <v>64.823</v>
      </c>
      <c r="AI188" s="35" t="n">
        <v>19.024</v>
      </c>
      <c r="AJ188" s="35" t="n">
        <v>19.065</v>
      </c>
      <c r="AK188" s="35" t="n">
        <v>19.434</v>
      </c>
      <c r="AL188" s="35" t="n">
        <v>19.668</v>
      </c>
      <c r="AM188" s="35" t="n">
        <v>77.191</v>
      </c>
      <c r="AN188" s="35" t="n">
        <v>20.037</v>
      </c>
      <c r="AO188" s="35" t="n">
        <v>20.511</v>
      </c>
      <c r="AP188" s="35" t="n">
        <v>21.138</v>
      </c>
      <c r="AQ188" s="35" t="n">
        <v>21.811</v>
      </c>
      <c r="AR188" s="35" t="n">
        <v>83.497</v>
      </c>
      <c r="AS188" s="35" t="n">
        <v>21.583</v>
      </c>
      <c r="AT188" s="35" t="n">
        <v>21.693</v>
      </c>
      <c r="AU188" s="35" t="n">
        <v>21.942</v>
      </c>
      <c r="AV188" s="35" t="n">
        <v>23.343</v>
      </c>
      <c r="AW188" s="35" t="n">
        <v>88.561</v>
      </c>
      <c r="AX188" s="35" t="n">
        <v>23.003</v>
      </c>
      <c r="AY188" s="35" t="n">
        <v>22.916</v>
      </c>
      <c r="AZ188" s="35" t="n">
        <v>22.897</v>
      </c>
      <c r="BA188" s="35" t="n">
        <v>24.203</v>
      </c>
      <c r="BB188" s="35" t="n">
        <v>93.019</v>
      </c>
      <c r="BC188" s="35" t="n">
        <v>23.222</v>
      </c>
      <c r="BD188" s="35" t="n">
        <v>23.485</v>
      </c>
      <c r="BE188" s="35" t="n">
        <v>23.819</v>
      </c>
      <c r="BF188" s="35" t="n">
        <v>25.807</v>
      </c>
      <c r="BG188" s="35" t="n">
        <v>96.333</v>
      </c>
      <c r="BH188" s="35" t="n">
        <v>27.06</v>
      </c>
      <c r="BI188" s="35" t="n">
        <v>29.724</v>
      </c>
      <c r="BJ188" s="35" t="n">
        <v>29.531</v>
      </c>
      <c r="BK188" s="35" t="n">
        <v>43.728</v>
      </c>
      <c r="BL188" s="35" t="n">
        <v>130.043</v>
      </c>
      <c r="BM188" s="35" t="n">
        <v>43.505</v>
      </c>
      <c r="BN188" s="35" t="n">
        <v>42.831</v>
      </c>
      <c r="BO188" s="35" t="n">
        <v>44.31</v>
      </c>
      <c r="BP188" s="35" t="n">
        <v>44.685</v>
      </c>
      <c r="BQ188" s="35" t="n">
        <v>175.331</v>
      </c>
      <c r="BR188" s="35" t="n">
        <v>46.225</v>
      </c>
      <c r="BS188" s="35" t="n">
        <v>48.877</v>
      </c>
      <c r="BT188" s="35" t="n">
        <v>49.767</v>
      </c>
      <c r="BU188" s="35" t="n">
        <v>51.207</v>
      </c>
      <c r="BV188" s="35" t="n">
        <v>196.076</v>
      </c>
      <c r="BW188" s="35" t="n">
        <v>51.008</v>
      </c>
      <c r="BX188" s="35" t="n">
        <v>56.634</v>
      </c>
      <c r="BY188" s="35" t="n">
        <v>58.743</v>
      </c>
      <c r="CA188" s="42" t="n">
        <f aca="false">CA114</f>
        <v>227.244825420427</v>
      </c>
      <c r="CB188" s="42" t="n">
        <f aca="false">CB114</f>
        <v>251.957285260466</v>
      </c>
      <c r="CC188" s="42" t="n">
        <f aca="false">CC114</f>
        <v>267.583381128922</v>
      </c>
      <c r="CD188" s="42" t="n">
        <f aca="false">CD114</f>
        <v>285.483347288422</v>
      </c>
      <c r="CE188" s="42" t="n">
        <f aca="false">CE114</f>
        <v>305.073739495318</v>
      </c>
    </row>
    <row r="189" customFormat="false" ht="15" hidden="false" customHeight="true" outlineLevel="0" collapsed="false">
      <c r="B189" s="29" t="s">
        <v>315</v>
      </c>
      <c r="C189" s="35" t="n">
        <v>1.373</v>
      </c>
      <c r="D189" s="35" t="n">
        <v>0.658</v>
      </c>
      <c r="E189" s="35" t="n">
        <v>0.142</v>
      </c>
      <c r="F189" s="35" t="n">
        <v>0.181</v>
      </c>
      <c r="G189" s="35" t="n">
        <v>1.353</v>
      </c>
      <c r="H189" s="35" t="n">
        <v>2.647</v>
      </c>
      <c r="I189" s="35" t="n">
        <v>3.948</v>
      </c>
      <c r="J189" s="35" t="n">
        <v>1.094</v>
      </c>
      <c r="K189" s="35" t="n">
        <v>1.06</v>
      </c>
      <c r="L189" s="35" t="n">
        <v>1.301</v>
      </c>
      <c r="M189" s="35" t="n">
        <v>1.662</v>
      </c>
      <c r="N189" s="35" t="n">
        <v>5.117</v>
      </c>
      <c r="O189" s="35" t="n">
        <v>2.6</v>
      </c>
      <c r="P189" s="35" t="n">
        <v>1.589</v>
      </c>
      <c r="Q189" s="35" t="n">
        <v>1.685</v>
      </c>
      <c r="R189" s="35" t="n">
        <v>0.552</v>
      </c>
      <c r="S189" s="35" t="n">
        <v>6.426</v>
      </c>
      <c r="T189" s="35" t="n">
        <v>1.422</v>
      </c>
      <c r="U189" s="35" t="n">
        <v>1.356</v>
      </c>
      <c r="V189" s="35" t="n">
        <v>1.616</v>
      </c>
      <c r="W189" s="35" t="n">
        <v>1.654</v>
      </c>
      <c r="X189" s="35" t="n">
        <v>6.048</v>
      </c>
      <c r="Y189" s="35" t="n">
        <v>1.68</v>
      </c>
      <c r="Z189" s="35" t="n">
        <v>1.606</v>
      </c>
      <c r="AA189" s="35" t="n">
        <v>1.619</v>
      </c>
      <c r="AB189" s="35" t="n">
        <v>1.529</v>
      </c>
      <c r="AC189" s="35" t="n">
        <v>6.434</v>
      </c>
      <c r="AD189" s="35" t="n">
        <v>1.451</v>
      </c>
      <c r="AE189" s="35" t="n">
        <v>1.659</v>
      </c>
      <c r="AF189" s="35" t="n">
        <v>2.097</v>
      </c>
      <c r="AG189" s="35" t="n">
        <v>2.208</v>
      </c>
      <c r="AH189" s="35" t="n">
        <v>7.415</v>
      </c>
      <c r="AI189" s="35" t="n">
        <v>2.168</v>
      </c>
      <c r="AJ189" s="35" t="n">
        <v>2.291</v>
      </c>
      <c r="AK189" s="35" t="n">
        <v>2.474</v>
      </c>
      <c r="AL189" s="35" t="n">
        <v>2.35</v>
      </c>
      <c r="AM189" s="35" t="n">
        <v>9.283</v>
      </c>
      <c r="AN189" s="35" t="n">
        <v>2.439</v>
      </c>
      <c r="AO189" s="35" t="n">
        <v>2.548</v>
      </c>
      <c r="AP189" s="35" t="n">
        <v>2.687</v>
      </c>
      <c r="AQ189" s="35" t="n">
        <v>2.66</v>
      </c>
      <c r="AR189" s="35" t="n">
        <v>10.334</v>
      </c>
      <c r="AS189" s="35" t="n">
        <v>2.646</v>
      </c>
      <c r="AT189" s="35" t="n">
        <v>2.629</v>
      </c>
      <c r="AU189" s="35" t="n">
        <v>2.5</v>
      </c>
      <c r="AV189" s="35" t="n">
        <v>2.359</v>
      </c>
      <c r="AW189" s="35" t="n">
        <v>10.134</v>
      </c>
      <c r="AX189" s="35" t="n">
        <v>2.229</v>
      </c>
      <c r="AY189" s="35" t="n">
        <v>2.042</v>
      </c>
      <c r="AZ189" s="35" t="n">
        <v>2.083</v>
      </c>
      <c r="BA189" s="35" t="n">
        <v>2.704</v>
      </c>
      <c r="BB189" s="35" t="n">
        <v>9.058</v>
      </c>
      <c r="BC189" s="35" t="n">
        <v>3.614</v>
      </c>
      <c r="BD189" s="35" t="n">
        <v>3.241</v>
      </c>
      <c r="BE189" s="35" t="n">
        <v>2.96</v>
      </c>
      <c r="BF189" s="35" t="n">
        <v>2.831</v>
      </c>
      <c r="BG189" s="35" t="n">
        <v>12.646</v>
      </c>
      <c r="BH189" s="35" t="n">
        <v>2.812</v>
      </c>
      <c r="BI189" s="35" t="n">
        <v>3.243</v>
      </c>
      <c r="BJ189" s="35" t="n">
        <v>4.357</v>
      </c>
      <c r="BK189" s="35" t="n">
        <v>5.063</v>
      </c>
      <c r="BL189" s="35" t="n">
        <v>15.475</v>
      </c>
      <c r="BM189" s="35" t="n">
        <v>4.881</v>
      </c>
      <c r="BN189" s="35" t="n">
        <v>4.582</v>
      </c>
      <c r="BO189" s="35" t="n">
        <v>4.625</v>
      </c>
      <c r="BP189" s="35" t="n">
        <v>4.687</v>
      </c>
      <c r="BQ189" s="35" t="n">
        <v>18.775</v>
      </c>
      <c r="BR189" s="35" t="n">
        <v>4.671</v>
      </c>
      <c r="BS189" s="35" t="n">
        <v>6</v>
      </c>
      <c r="BT189" s="35" t="n">
        <v>7.675</v>
      </c>
      <c r="BU189" s="35" t="n">
        <v>16.035</v>
      </c>
      <c r="BV189" s="35" t="n">
        <v>34.381</v>
      </c>
      <c r="BW189" s="35" t="n">
        <v>11.296</v>
      </c>
      <c r="BX189" s="35" t="n">
        <v>11.221</v>
      </c>
      <c r="BY189" s="35" t="n">
        <v>11.922</v>
      </c>
      <c r="CA189" s="42" t="n">
        <f aca="false">CA115</f>
        <v>47.2537273397452</v>
      </c>
      <c r="CB189" s="42" t="n">
        <f aca="false">CB115</f>
        <v>49.5715235069775</v>
      </c>
      <c r="CC189" s="42" t="n">
        <f aca="false">CC115</f>
        <v>55.0209207526145</v>
      </c>
      <c r="CD189" s="42" t="n">
        <f aca="false">CD115</f>
        <v>60.5404715256146</v>
      </c>
      <c r="CE189" s="42" t="n">
        <f aca="false">CE115</f>
        <v>66.5476764635454</v>
      </c>
    </row>
    <row r="190" customFormat="false" ht="15" hidden="false" customHeight="true" outlineLevel="0" collapsed="false">
      <c r="B190" s="29" t="s">
        <v>316</v>
      </c>
      <c r="C190" s="35" t="n">
        <v>2.557</v>
      </c>
      <c r="D190" s="35" t="n">
        <v>2.819</v>
      </c>
      <c r="E190" s="35" t="n">
        <v>3.617</v>
      </c>
      <c r="F190" s="35" t="n">
        <v>-2.651</v>
      </c>
      <c r="G190" s="35" t="n">
        <v>1.817</v>
      </c>
      <c r="H190" s="35" t="n">
        <v>0.029</v>
      </c>
      <c r="I190" s="35" t="n">
        <v>-2.834</v>
      </c>
      <c r="J190" s="35" t="n">
        <v>0.803</v>
      </c>
      <c r="K190" s="35" t="n">
        <v>-1.659</v>
      </c>
      <c r="L190" s="35" t="n">
        <v>-1.537</v>
      </c>
      <c r="M190" s="35" t="n">
        <v>-3.392</v>
      </c>
      <c r="N190" s="35" t="n">
        <v>-5.785</v>
      </c>
      <c r="O190" s="35" t="n">
        <v>-1.999</v>
      </c>
      <c r="P190" s="35" t="n">
        <v>-1.147</v>
      </c>
      <c r="Q190" s="35" t="n">
        <v>-8.403</v>
      </c>
      <c r="R190" s="35" t="n">
        <v>-5.196</v>
      </c>
      <c r="S190" s="35" t="n">
        <v>-16.745</v>
      </c>
      <c r="T190" s="35" t="n">
        <v>1.557</v>
      </c>
      <c r="U190" s="35" t="n">
        <v>-3.408</v>
      </c>
      <c r="V190" s="35" t="n">
        <v>-3.058</v>
      </c>
      <c r="W190" s="35" t="n">
        <v>-2.171</v>
      </c>
      <c r="X190" s="35" t="n">
        <v>-7.08</v>
      </c>
      <c r="Y190" s="35" t="n">
        <v>2.276</v>
      </c>
      <c r="Z190" s="35" t="n">
        <v>-3.444</v>
      </c>
      <c r="AA190" s="35" t="n">
        <v>-4.885</v>
      </c>
      <c r="AB190" s="35" t="n">
        <v>-3.141</v>
      </c>
      <c r="AC190" s="35" t="n">
        <v>-9.194</v>
      </c>
      <c r="AD190" s="35" t="n">
        <v>-0.346</v>
      </c>
      <c r="AE190" s="35" t="n">
        <v>-2.563</v>
      </c>
      <c r="AF190" s="35" t="n">
        <v>-4.089</v>
      </c>
      <c r="AG190" s="35" t="n">
        <v>-4.098</v>
      </c>
      <c r="AH190" s="35" t="n">
        <v>-11.096</v>
      </c>
      <c r="AI190" s="35" t="n">
        <v>-17.292</v>
      </c>
      <c r="AJ190" s="35" t="n">
        <v>4.135</v>
      </c>
      <c r="AK190" s="35" t="n">
        <v>-0.328</v>
      </c>
      <c r="AL190" s="35" t="n">
        <v>0.509</v>
      </c>
      <c r="AM190" s="35" t="n">
        <v>-12.976</v>
      </c>
      <c r="AN190" s="35" t="n">
        <v>3.798</v>
      </c>
      <c r="AO190" s="35" t="n">
        <v>-3.15</v>
      </c>
      <c r="AP190" s="35" t="n">
        <v>-3.941</v>
      </c>
      <c r="AQ190" s="35" t="n">
        <v>-3.099</v>
      </c>
      <c r="AR190" s="35" t="n">
        <v>-6.392</v>
      </c>
      <c r="AS190" s="35" t="n">
        <v>-25.718</v>
      </c>
      <c r="AT190" s="35" t="n">
        <v>20.581</v>
      </c>
      <c r="AU190" s="35" t="n">
        <v>-4.208</v>
      </c>
      <c r="AV190" s="35" t="n">
        <v>3.347</v>
      </c>
      <c r="AW190" s="35" t="n">
        <v>-5.998</v>
      </c>
      <c r="AX190" s="35" t="n">
        <v>-8.345</v>
      </c>
      <c r="AY190" s="35" t="n">
        <v>-0.142</v>
      </c>
      <c r="AZ190" s="35" t="n">
        <v>-8.47</v>
      </c>
      <c r="BA190" s="35" t="n">
        <v>1.322</v>
      </c>
      <c r="BB190" s="35" t="n">
        <v>-15.635</v>
      </c>
      <c r="BC190" s="35" t="n">
        <v>-0.322</v>
      </c>
      <c r="BD190" s="35" t="n">
        <v>2.402</v>
      </c>
      <c r="BE190" s="35" t="n">
        <v>5.778</v>
      </c>
      <c r="BF190" s="35" t="n">
        <v>1.018</v>
      </c>
      <c r="BG190" s="35" t="n">
        <v>8.876</v>
      </c>
      <c r="BH190" s="35" t="n">
        <v>0.98</v>
      </c>
      <c r="BI190" s="35" t="n">
        <v>-10.576</v>
      </c>
      <c r="BJ190" s="35" t="n">
        <v>-13.378</v>
      </c>
      <c r="BK190" s="35" t="n">
        <v>-3.557</v>
      </c>
      <c r="BL190" s="35" t="n">
        <v>-26.531</v>
      </c>
      <c r="BM190" s="35" t="n">
        <v>-3.759</v>
      </c>
      <c r="BN190" s="35" t="n">
        <v>-7.773</v>
      </c>
      <c r="BO190" s="35" t="n">
        <v>-3.695</v>
      </c>
      <c r="BP190" s="35" t="n">
        <v>-6.775</v>
      </c>
      <c r="BQ190" s="35" t="n">
        <v>-22.002</v>
      </c>
      <c r="BR190" s="35" t="n">
        <v>-7.052</v>
      </c>
      <c r="BS190" s="35" t="n">
        <v>-10.888</v>
      </c>
      <c r="BT190" s="35" t="n">
        <v>-10.849</v>
      </c>
      <c r="BU190" s="35" t="n">
        <v>-19.776</v>
      </c>
      <c r="BV190" s="35" t="n">
        <v>-48.565</v>
      </c>
      <c r="BW190" s="35" t="n">
        <v>7.48</v>
      </c>
      <c r="BX190" s="35" t="n">
        <v>4.321</v>
      </c>
      <c r="BY190" s="35" t="n">
        <v>-9.046</v>
      </c>
      <c r="CA190" s="42" t="n">
        <f aca="false">SUM(BW190,BX190,BY190)</f>
        <v>2.755</v>
      </c>
      <c r="CB190" s="46" t="n">
        <v>0</v>
      </c>
      <c r="CC190" s="46" t="n">
        <v>0</v>
      </c>
      <c r="CD190" s="46" t="n">
        <v>0</v>
      </c>
      <c r="CE190" s="46" t="n">
        <v>0</v>
      </c>
    </row>
    <row r="191" customFormat="false" ht="15" hidden="false" customHeight="true" outlineLevel="0" collapsed="false">
      <c r="B191" s="29" t="s">
        <v>317</v>
      </c>
      <c r="C191" s="35" t="n">
        <v>1.309</v>
      </c>
      <c r="D191" s="35" t="n">
        <v>2.476</v>
      </c>
      <c r="E191" s="35" t="n">
        <v>4.089</v>
      </c>
      <c r="F191" s="35" t="n">
        <v>0.983</v>
      </c>
      <c r="G191" s="35" t="n">
        <v>1.968</v>
      </c>
      <c r="H191" s="35" t="n">
        <v>4.723</v>
      </c>
      <c r="I191" s="35" t="n">
        <v>-25.408</v>
      </c>
      <c r="J191" s="35" t="n">
        <v>10.101</v>
      </c>
      <c r="K191" s="35" t="n">
        <v>-9.65</v>
      </c>
      <c r="L191" s="35" t="n">
        <v>1.589</v>
      </c>
      <c r="M191" s="35" t="n">
        <v>0.023</v>
      </c>
      <c r="N191" s="35" t="n">
        <v>2.063</v>
      </c>
      <c r="O191" s="35" t="n">
        <v>-6.232</v>
      </c>
      <c r="P191" s="35" t="n">
        <v>6.002</v>
      </c>
      <c r="Q191" s="35" t="n">
        <v>-0.329</v>
      </c>
      <c r="R191" s="35" t="n">
        <v>-1.003</v>
      </c>
      <c r="S191" s="35" t="n">
        <v>-1.562</v>
      </c>
      <c r="T191" s="35" t="n">
        <v>-0.497</v>
      </c>
      <c r="U191" s="35" t="n">
        <v>-0.99</v>
      </c>
      <c r="V191" s="35" t="n">
        <v>0.359</v>
      </c>
      <c r="W191" s="35" t="n">
        <v>2.219</v>
      </c>
      <c r="X191" s="35" t="n">
        <v>1.091</v>
      </c>
      <c r="Y191" s="35" t="n">
        <v>1.006</v>
      </c>
      <c r="Z191" s="35" t="n">
        <v>4.936</v>
      </c>
      <c r="AA191" s="35" t="n">
        <v>0.445</v>
      </c>
      <c r="AB191" s="35" t="n">
        <v>1.066</v>
      </c>
      <c r="AC191" s="35" t="n">
        <v>7.453</v>
      </c>
      <c r="AD191" s="35" t="n">
        <v>1.911</v>
      </c>
      <c r="AE191" s="35" t="n">
        <v>1.886</v>
      </c>
      <c r="AF191" s="35" t="n">
        <v>5.066</v>
      </c>
      <c r="AG191" s="35" t="n">
        <v>5.731</v>
      </c>
      <c r="AH191" s="35" t="n">
        <v>14.594</v>
      </c>
      <c r="AI191" s="35" t="n">
        <v>3.041</v>
      </c>
      <c r="AJ191" s="35" t="n">
        <v>4.476</v>
      </c>
      <c r="AK191" s="35" t="n">
        <v>1.489</v>
      </c>
      <c r="AL191" s="35" t="n">
        <v>15.732</v>
      </c>
      <c r="AM191" s="35" t="n">
        <v>24.738</v>
      </c>
      <c r="AN191" s="35" t="n">
        <v>13.224</v>
      </c>
      <c r="AO191" s="35" t="n">
        <v>2.954</v>
      </c>
      <c r="AP191" s="35" t="n">
        <v>1.953</v>
      </c>
      <c r="AQ191" s="35" t="n">
        <v>4.332</v>
      </c>
      <c r="AR191" s="35" t="n">
        <v>22.463</v>
      </c>
      <c r="AS191" s="35" t="n">
        <v>14.891</v>
      </c>
      <c r="AT191" s="35" t="n">
        <v>5.889</v>
      </c>
      <c r="AU191" s="35" t="n">
        <v>0.672</v>
      </c>
      <c r="AV191" s="35" t="n">
        <v>7.666</v>
      </c>
      <c r="AW191" s="35" t="n">
        <v>29.118</v>
      </c>
      <c r="AX191" s="35" t="n">
        <v>17.192</v>
      </c>
      <c r="AY191" s="35" t="n">
        <v>2.049</v>
      </c>
      <c r="AZ191" s="35" t="n">
        <v>3.477</v>
      </c>
      <c r="BA191" s="35" t="n">
        <v>3.644</v>
      </c>
      <c r="BB191" s="35" t="n">
        <v>26.362</v>
      </c>
      <c r="BC191" s="35" t="n">
        <v>15.103</v>
      </c>
      <c r="BD191" s="35" t="n">
        <v>4.021</v>
      </c>
      <c r="BE191" s="35" t="n">
        <v>1.978</v>
      </c>
      <c r="BF191" s="35" t="n">
        <v>-0.327</v>
      </c>
      <c r="BG191" s="35" t="n">
        <v>20.775</v>
      </c>
      <c r="BH191" s="35" t="n">
        <v>5.864</v>
      </c>
      <c r="BI191" s="35" t="n">
        <v>-9.036</v>
      </c>
      <c r="BJ191" s="35" t="n">
        <v>2.303</v>
      </c>
      <c r="BK191" s="35" t="n">
        <v>3.595</v>
      </c>
      <c r="BL191" s="35" t="n">
        <v>2.726</v>
      </c>
      <c r="BM191" s="35" t="n">
        <v>13.387</v>
      </c>
      <c r="BN191" s="35" t="n">
        <v>42.958</v>
      </c>
      <c r="BO191" s="35" t="n">
        <v>5.676</v>
      </c>
      <c r="BP191" s="35" t="n">
        <v>22.151</v>
      </c>
      <c r="BQ191" s="35" t="n">
        <v>84.172</v>
      </c>
      <c r="BR191" s="35" t="n">
        <v>37.295</v>
      </c>
      <c r="BS191" s="35" t="n">
        <v>24.265</v>
      </c>
      <c r="BT191" s="35" t="n">
        <v>-11.311</v>
      </c>
      <c r="BU191" s="35" t="n">
        <v>15.313</v>
      </c>
      <c r="BV191" s="35" t="n">
        <v>65.562</v>
      </c>
      <c r="BW191" s="35" t="n">
        <v>24.33</v>
      </c>
      <c r="BX191" s="35" t="n">
        <v>22.741</v>
      </c>
      <c r="BY191" s="35" t="n">
        <v>10.092</v>
      </c>
      <c r="CA191" s="42" t="n">
        <f aca="false">SUM(BW191,BX191,BY191)</f>
        <v>57.163</v>
      </c>
      <c r="CB191" s="46" t="n">
        <v>0</v>
      </c>
      <c r="CC191" s="46" t="n">
        <v>0</v>
      </c>
      <c r="CD191" s="46" t="n">
        <v>0</v>
      </c>
      <c r="CE191" s="46" t="n">
        <v>0</v>
      </c>
    </row>
    <row r="192" customFormat="false" ht="15" hidden="false" customHeight="true" outlineLevel="0" collapsed="false">
      <c r="B192" s="29" t="s">
        <v>318</v>
      </c>
      <c r="C192" s="35" t="n">
        <v>-11.979</v>
      </c>
      <c r="D192" s="35" t="n">
        <v>-15.956</v>
      </c>
      <c r="E192" s="35" t="n">
        <v>-17.125</v>
      </c>
      <c r="F192" s="35" t="n">
        <v>2.492</v>
      </c>
      <c r="G192" s="35" t="n">
        <v>6.627</v>
      </c>
      <c r="H192" s="35" t="n">
        <v>4.123</v>
      </c>
      <c r="I192" s="35" t="n">
        <v>25.548</v>
      </c>
      <c r="J192" s="35" t="n">
        <v>-31.839</v>
      </c>
      <c r="K192" s="35" t="n">
        <v>4.187</v>
      </c>
      <c r="L192" s="35" t="n">
        <v>2.144</v>
      </c>
      <c r="M192" s="35" t="n">
        <v>-5.402</v>
      </c>
      <c r="N192" s="35" t="n">
        <v>-30.91</v>
      </c>
      <c r="O192" s="35" t="n">
        <v>-5.432</v>
      </c>
      <c r="P192" s="35" t="n">
        <v>-29.861</v>
      </c>
      <c r="Q192" s="35" t="n">
        <v>29.796</v>
      </c>
      <c r="R192" s="35" t="n">
        <v>21.538</v>
      </c>
      <c r="S192" s="35" t="n">
        <v>16.041</v>
      </c>
      <c r="T192" s="35" t="n">
        <v>-16.022</v>
      </c>
      <c r="U192" s="35" t="n">
        <v>-12.349</v>
      </c>
      <c r="V192" s="35" t="n">
        <v>6.704</v>
      </c>
      <c r="W192" s="35" t="n">
        <v>-7</v>
      </c>
      <c r="X192" s="35" t="n">
        <v>-28.667</v>
      </c>
      <c r="Y192" s="35" t="n">
        <v>-9.64</v>
      </c>
      <c r="Z192" s="35" t="n">
        <v>-4.551</v>
      </c>
      <c r="AA192" s="35" t="n">
        <v>10.136</v>
      </c>
      <c r="AB192" s="35" t="n">
        <v>12.119</v>
      </c>
      <c r="AC192" s="35" t="n">
        <v>8.064</v>
      </c>
      <c r="AD192" s="35" t="n">
        <v>-8.554</v>
      </c>
      <c r="AE192" s="35" t="n">
        <v>-25.33</v>
      </c>
      <c r="AF192" s="35" t="n">
        <v>10.63</v>
      </c>
      <c r="AG192" s="35" t="n">
        <v>14.743</v>
      </c>
      <c r="AH192" s="35" t="n">
        <v>-8.511</v>
      </c>
      <c r="AI192" s="35" t="n">
        <v>-33.631</v>
      </c>
      <c r="AJ192" s="35" t="n">
        <v>-45.983</v>
      </c>
      <c r="AK192" s="35" t="n">
        <v>12.735</v>
      </c>
      <c r="AL192" s="35" t="n">
        <v>11.444</v>
      </c>
      <c r="AM192" s="35" t="n">
        <v>-55.435</v>
      </c>
      <c r="AN192" s="35" t="n">
        <v>-77.958</v>
      </c>
      <c r="AO192" s="35" t="n">
        <v>15.741</v>
      </c>
      <c r="AP192" s="35" t="n">
        <v>24.25</v>
      </c>
      <c r="AQ192" s="35" t="n">
        <v>5.702</v>
      </c>
      <c r="AR192" s="35" t="n">
        <v>-32.265</v>
      </c>
      <c r="AS192" s="35" t="n">
        <v>-62.068</v>
      </c>
      <c r="AT192" s="35" t="n">
        <v>-6.955</v>
      </c>
      <c r="AU192" s="35" t="n">
        <v>14.619</v>
      </c>
      <c r="AV192" s="35" t="n">
        <v>5.859</v>
      </c>
      <c r="AW192" s="35" t="n">
        <v>-48.545</v>
      </c>
      <c r="AX192" s="35" t="n">
        <v>-3.128</v>
      </c>
      <c r="AY192" s="35" t="n">
        <v>-0.423</v>
      </c>
      <c r="AZ192" s="35" t="n">
        <v>20.321</v>
      </c>
      <c r="BA192" s="35" t="n">
        <v>-15.248</v>
      </c>
      <c r="BB192" s="35" t="n">
        <v>1.522</v>
      </c>
      <c r="BC192" s="35" t="n">
        <v>-57.889</v>
      </c>
      <c r="BD192" s="35" t="n">
        <v>-29.488</v>
      </c>
      <c r="BE192" s="35" t="n">
        <v>21.536</v>
      </c>
      <c r="BF192" s="35" t="n">
        <v>4.444</v>
      </c>
      <c r="BG192" s="35" t="n">
        <v>-61.397</v>
      </c>
      <c r="BH192" s="35" t="n">
        <v>-63.035</v>
      </c>
      <c r="BI192" s="35" t="n">
        <v>-50.665</v>
      </c>
      <c r="BJ192" s="35" t="n">
        <v>10.355</v>
      </c>
      <c r="BK192" s="35" t="n">
        <v>-14.016</v>
      </c>
      <c r="BL192" s="35" t="n">
        <v>-117.361</v>
      </c>
      <c r="BM192" s="35" t="n">
        <v>-71.844</v>
      </c>
      <c r="BN192" s="35" t="n">
        <v>-76.359</v>
      </c>
      <c r="BO192" s="35" t="n">
        <v>15.222</v>
      </c>
      <c r="BP192" s="35" t="n">
        <v>-10.011</v>
      </c>
      <c r="BQ192" s="35" t="n">
        <v>-142.992</v>
      </c>
      <c r="BR192" s="35" t="n">
        <v>-59.671</v>
      </c>
      <c r="BS192" s="35" t="n">
        <v>-34.082</v>
      </c>
      <c r="BT192" s="35" t="n">
        <v>5.249</v>
      </c>
      <c r="BU192" s="35" t="n">
        <v>29.762</v>
      </c>
      <c r="BV192" s="35" t="n">
        <v>-58.742</v>
      </c>
      <c r="BW192" s="35" t="n">
        <v>-120.274</v>
      </c>
      <c r="BX192" s="35" t="n">
        <v>-53.274</v>
      </c>
      <c r="BY192" s="35" t="n">
        <v>19.147</v>
      </c>
      <c r="CA192" s="42" t="n">
        <f aca="false">SUM(BW192,BX192,BY192)-(CA236-BY236)-(CA237-BY237)-(CA238-BY238)+(CA248-BY248)+(CA249-BY249)</f>
        <v>-192.733543610003</v>
      </c>
      <c r="CB192" s="42" t="n">
        <f aca="false">-(CB236-CA236)-(CB237-CA237)-(CB238-CA238)+(CB248-CA248)+(CB249-CA249)</f>
        <v>-190.605858719457</v>
      </c>
      <c r="CC192" s="42" t="n">
        <f aca="false">-(CC236-CB236)-(CC237-CB237)-(CC238-CB238)+(CC248-CB248)+(CC249-CB249)</f>
        <v>-173.055687187643</v>
      </c>
      <c r="CD192" s="42" t="n">
        <f aca="false">-(CD236-CC236)-(CD237-CC237)-(CD238-CC238)+(CD248-CC248)+(CD249-CC249)</f>
        <v>-175.283542185035</v>
      </c>
      <c r="CE192" s="42" t="n">
        <f aca="false">-(CE236-CD236)-(CE237-CD237)-(CE238-CD238)+(CE248-CD248)+(CE249-CD249)</f>
        <v>-190.769902018604</v>
      </c>
      <c r="CF192" s="19" t="s">
        <v>319</v>
      </c>
    </row>
    <row r="193" customFormat="false" ht="15" hidden="false" customHeight="true" outlineLevel="0" collapsed="false">
      <c r="B193" s="16" t="s">
        <v>320</v>
      </c>
      <c r="C193" s="17" t="n">
        <v>46.908</v>
      </c>
      <c r="D193" s="17" t="n">
        <v>57.45</v>
      </c>
      <c r="E193" s="17" t="n">
        <v>73.162</v>
      </c>
      <c r="F193" s="17" t="n">
        <v>75.817</v>
      </c>
      <c r="G193" s="17" t="n">
        <v>101.717</v>
      </c>
      <c r="H193" s="17" t="n">
        <v>125.518</v>
      </c>
      <c r="I193" s="17" t="n">
        <v>138.585</v>
      </c>
      <c r="J193" s="17" t="n">
        <v>13.283</v>
      </c>
      <c r="K193" s="17" t="n">
        <v>31.249</v>
      </c>
      <c r="L193" s="17" t="n">
        <v>47.76</v>
      </c>
      <c r="M193" s="17" t="n">
        <v>39.544</v>
      </c>
      <c r="N193" s="17" t="n">
        <v>131.836</v>
      </c>
      <c r="O193" s="17" t="n">
        <v>33.549</v>
      </c>
      <c r="P193" s="17" t="n">
        <v>21.452</v>
      </c>
      <c r="Q193" s="17" t="n">
        <v>72.232</v>
      </c>
      <c r="R193" s="17" t="n">
        <v>63.456</v>
      </c>
      <c r="S193" s="17" t="n">
        <v>190.689</v>
      </c>
      <c r="T193" s="17" t="n">
        <v>29.455</v>
      </c>
      <c r="U193" s="17" t="n">
        <v>35.35</v>
      </c>
      <c r="V193" s="17" t="n">
        <v>56.484</v>
      </c>
      <c r="W193" s="17" t="n">
        <v>51.574</v>
      </c>
      <c r="X193" s="17" t="n">
        <v>172.863</v>
      </c>
      <c r="Y193" s="17" t="n">
        <v>45.167</v>
      </c>
      <c r="Z193" s="17" t="n">
        <v>57.538</v>
      </c>
      <c r="AA193" s="17" t="n">
        <v>69.711</v>
      </c>
      <c r="AB193" s="17" t="n">
        <v>76.768</v>
      </c>
      <c r="AC193" s="17" t="n">
        <v>249.184</v>
      </c>
      <c r="AD193" s="17" t="n">
        <v>55.975</v>
      </c>
      <c r="AE193" s="17" t="n">
        <v>41.738</v>
      </c>
      <c r="AF193" s="17" t="n">
        <v>81.59</v>
      </c>
      <c r="AG193" s="17" t="n">
        <v>95.582</v>
      </c>
      <c r="AH193" s="17" t="n">
        <v>274.885</v>
      </c>
      <c r="AI193" s="17" t="n">
        <v>45.005</v>
      </c>
      <c r="AJ193" s="17" t="n">
        <v>49.995</v>
      </c>
      <c r="AK193" s="17" t="n">
        <v>109.703</v>
      </c>
      <c r="AL193" s="17" t="n">
        <v>123.784</v>
      </c>
      <c r="AM193" s="17" t="n">
        <v>328.487</v>
      </c>
      <c r="AN193" s="17" t="n">
        <v>49.566</v>
      </c>
      <c r="AO193" s="17" t="n">
        <v>128.687</v>
      </c>
      <c r="AP193" s="17" t="n">
        <v>135.146</v>
      </c>
      <c r="AQ193" s="17" t="n">
        <v>123.979</v>
      </c>
      <c r="AR193" s="17" t="n">
        <v>437.378</v>
      </c>
      <c r="AS193" s="17" t="n">
        <v>81.136</v>
      </c>
      <c r="AT193" s="17" t="n">
        <v>124.746</v>
      </c>
      <c r="AU193" s="17" t="n">
        <v>93.089</v>
      </c>
      <c r="AV193" s="17" t="n">
        <v>110.154</v>
      </c>
      <c r="AW193" s="17" t="n">
        <v>409.125</v>
      </c>
      <c r="AX193" s="17" t="n">
        <v>107.199</v>
      </c>
      <c r="AY193" s="17" t="n">
        <v>102.913</v>
      </c>
      <c r="AZ193" s="17" t="n">
        <v>123.991</v>
      </c>
      <c r="BA193" s="17" t="n">
        <v>109.981</v>
      </c>
      <c r="BB193" s="17" t="n">
        <v>444.084</v>
      </c>
      <c r="BC193" s="17" t="n">
        <v>77.98</v>
      </c>
      <c r="BD193" s="17" t="n">
        <v>96.773</v>
      </c>
      <c r="BE193" s="17" t="n">
        <v>149.157</v>
      </c>
      <c r="BF193" s="17" t="n">
        <v>143.946</v>
      </c>
      <c r="BG193" s="17" t="n">
        <v>467.856</v>
      </c>
      <c r="BH193" s="17" t="n">
        <v>76.686</v>
      </c>
      <c r="BI193" s="17" t="n">
        <v>77.75</v>
      </c>
      <c r="BJ193" s="17" t="n">
        <v>145.921</v>
      </c>
      <c r="BK193" s="17" t="n">
        <v>148.378</v>
      </c>
      <c r="BL193" s="17" t="n">
        <v>448.735</v>
      </c>
      <c r="BM193" s="17" t="n">
        <v>111.652</v>
      </c>
      <c r="BN193" s="17" t="n">
        <v>141.14</v>
      </c>
      <c r="BO193" s="17" t="n">
        <v>213.955</v>
      </c>
      <c r="BP193" s="17" t="n">
        <v>205.623</v>
      </c>
      <c r="BQ193" s="17" t="n">
        <v>672.37</v>
      </c>
      <c r="BR193" s="17" t="n">
        <v>203.034</v>
      </c>
      <c r="BS193" s="17" t="n">
        <v>204.695</v>
      </c>
      <c r="BT193" s="17" t="n">
        <v>231.211</v>
      </c>
      <c r="BU193" s="17" t="n">
        <v>295.326</v>
      </c>
      <c r="BV193" s="17" t="n">
        <v>934.266</v>
      </c>
      <c r="BW193" s="17" t="n">
        <v>178.597</v>
      </c>
      <c r="BX193" s="17" t="n">
        <v>291.973</v>
      </c>
      <c r="BY193" s="17" t="n">
        <v>345.336</v>
      </c>
      <c r="CA193" s="18" t="n">
        <f aca="false">SUM(CA186:CA192)</f>
        <v>1110.48093372194</v>
      </c>
      <c r="CB193" s="18" t="n">
        <f aca="false">SUM(CB186:CB192)</f>
        <v>1212.29115926695</v>
      </c>
      <c r="CC193" s="18" t="n">
        <f aca="false">SUM(CC186:CC192)</f>
        <v>1398.95145564073</v>
      </c>
      <c r="CD193" s="18" t="n">
        <f aca="false">SUM(CD186:CD192)</f>
        <v>1543.86996391061</v>
      </c>
      <c r="CE193" s="18" t="n">
        <f aca="false">SUM(CE186:CE192)</f>
        <v>1688.14281664452</v>
      </c>
      <c r="CH193" s="20" t="n">
        <f aca="false">IFERROR((CE193/BV193)^(1/5)-1,"n/m")</f>
        <v>0.125609443879389</v>
      </c>
      <c r="CI193" s="20" t="n">
        <f aca="false">IFERROR((BV193/AW193)^(1/5)-1,"n/m")</f>
        <v>0.179567790668967</v>
      </c>
      <c r="CJ193" s="20" t="n">
        <f aca="false">IFERROR((BV193/X193)^(1/10)-1,"n/m")</f>
        <v>0.183795950020207</v>
      </c>
      <c r="CK193" s="20" t="n">
        <f aca="false">IFERROR((BV193/C193)^(1/19)-1,"n/m")</f>
        <v>0.170523644747216</v>
      </c>
    </row>
    <row r="194" customFormat="false" ht="15" hidden="false" customHeight="true" outlineLevel="0" collapsed="false">
      <c r="B194" s="29" t="s">
        <v>321</v>
      </c>
      <c r="C194" s="35" t="n">
        <v>-9.964</v>
      </c>
      <c r="D194" s="35" t="n">
        <v>-12.886</v>
      </c>
      <c r="E194" s="35" t="n">
        <v>-13.455</v>
      </c>
      <c r="F194" s="35" t="n">
        <v>-10.253</v>
      </c>
      <c r="G194" s="35" t="n">
        <v>-8.877</v>
      </c>
      <c r="H194" s="35" t="n">
        <v>-9.446</v>
      </c>
      <c r="I194" s="35" t="n">
        <v>-15.262</v>
      </c>
      <c r="J194" s="35" t="n">
        <v>-4.466</v>
      </c>
      <c r="K194" s="35" t="n">
        <v>-4.799</v>
      </c>
      <c r="L194" s="35" t="n">
        <v>-4.231</v>
      </c>
      <c r="M194" s="35" t="n">
        <v>-4.832</v>
      </c>
      <c r="N194" s="35" t="n">
        <v>-18.328</v>
      </c>
      <c r="O194" s="35" t="n">
        <v>-3.99</v>
      </c>
      <c r="P194" s="35" t="n">
        <v>-3.495</v>
      </c>
      <c r="Q194" s="35" t="n">
        <v>-4.776</v>
      </c>
      <c r="R194" s="35" t="n">
        <v>-4.149</v>
      </c>
      <c r="S194" s="35" t="n">
        <v>-16.41</v>
      </c>
      <c r="T194" s="35" t="n">
        <v>-4.254</v>
      </c>
      <c r="U194" s="35" t="n">
        <v>-5.206</v>
      </c>
      <c r="V194" s="35" t="n">
        <v>-4.307</v>
      </c>
      <c r="W194" s="35" t="n">
        <v>-4.482</v>
      </c>
      <c r="X194" s="35" t="n">
        <v>-18.249</v>
      </c>
      <c r="Y194" s="35" t="n">
        <v>-5.69</v>
      </c>
      <c r="Z194" s="35" t="n">
        <v>-9.856</v>
      </c>
      <c r="AA194" s="35" t="n">
        <v>-7.567</v>
      </c>
      <c r="AB194" s="35" t="n">
        <v>-7.75</v>
      </c>
      <c r="AC194" s="35" t="n">
        <v>-30.863</v>
      </c>
      <c r="AD194" s="35" t="n">
        <v>-6.422</v>
      </c>
      <c r="AE194" s="35" t="n">
        <v>-7.116</v>
      </c>
      <c r="AF194" s="35" t="n">
        <v>-6.907</v>
      </c>
      <c r="AG194" s="35" t="n">
        <v>-5.553</v>
      </c>
      <c r="AH194" s="35" t="n">
        <v>-25.998</v>
      </c>
      <c r="AI194" s="35" t="n">
        <v>-7.577</v>
      </c>
      <c r="AJ194" s="35" t="n">
        <v>-21.88</v>
      </c>
      <c r="AK194" s="35" t="n">
        <v>-6.441</v>
      </c>
      <c r="AL194" s="35" t="n">
        <v>-5.973</v>
      </c>
      <c r="AM194" s="35" t="n">
        <v>-41.871</v>
      </c>
      <c r="AN194" s="35" t="n">
        <v>-5.907</v>
      </c>
      <c r="AO194" s="35" t="n">
        <v>-6.689</v>
      </c>
      <c r="AP194" s="35" t="n">
        <v>-9.075</v>
      </c>
      <c r="AQ194" s="35" t="n">
        <v>-7.267</v>
      </c>
      <c r="AR194" s="35" t="n">
        <v>-28.938</v>
      </c>
      <c r="AS194" s="35" t="n">
        <v>-6.85</v>
      </c>
      <c r="AT194" s="35" t="n">
        <v>-5.585</v>
      </c>
      <c r="AU194" s="35" t="n">
        <v>-5.037</v>
      </c>
      <c r="AV194" s="35" t="n">
        <v>-5.468</v>
      </c>
      <c r="AW194" s="35" t="n">
        <v>-22.94</v>
      </c>
      <c r="AX194" s="35" t="n">
        <v>-15.509</v>
      </c>
      <c r="AY194" s="35" t="n">
        <v>-6.429</v>
      </c>
      <c r="AZ194" s="35" t="n">
        <v>-8.186</v>
      </c>
      <c r="BA194" s="35" t="n">
        <v>-6.059</v>
      </c>
      <c r="BB194" s="35" t="n">
        <v>-36.183</v>
      </c>
      <c r="BC194" s="35" t="n">
        <v>-8.691</v>
      </c>
      <c r="BD194" s="35" t="n">
        <v>-7.52</v>
      </c>
      <c r="BE194" s="35" t="n">
        <v>-8.146</v>
      </c>
      <c r="BF194" s="35" t="n">
        <v>-7.625</v>
      </c>
      <c r="BG194" s="35" t="n">
        <v>-31.982</v>
      </c>
      <c r="BH194" s="35" t="n">
        <v>-10.846</v>
      </c>
      <c r="BI194" s="35" t="n">
        <v>-11.075</v>
      </c>
      <c r="BJ194" s="35" t="n">
        <v>-12.255</v>
      </c>
      <c r="BK194" s="35" t="n">
        <v>-15.258</v>
      </c>
      <c r="BL194" s="35" t="n">
        <v>-49.434</v>
      </c>
      <c r="BM194" s="35" t="n">
        <v>-13.377</v>
      </c>
      <c r="BN194" s="35" t="n">
        <v>-12.948</v>
      </c>
      <c r="BO194" s="35" t="n">
        <v>-15.85</v>
      </c>
      <c r="BP194" s="35" t="n">
        <v>-16.086</v>
      </c>
      <c r="BQ194" s="35" t="n">
        <v>-58.261</v>
      </c>
      <c r="BR194" s="35" t="n">
        <v>-17.335</v>
      </c>
      <c r="BS194" s="35" t="n">
        <v>-15.964</v>
      </c>
      <c r="BT194" s="35" t="n">
        <v>-12.739</v>
      </c>
      <c r="BU194" s="35" t="n">
        <v>-26.848</v>
      </c>
      <c r="BV194" s="35" t="n">
        <v>-72.886</v>
      </c>
      <c r="BW194" s="35" t="n">
        <v>-13.496</v>
      </c>
      <c r="BX194" s="35" t="n">
        <v>-18.05</v>
      </c>
      <c r="BY194" s="35" t="n">
        <v>-22.558</v>
      </c>
      <c r="CA194" s="42" t="n">
        <f aca="false">SUM(BW194,BX194,BY194)-BZ98*CB220</f>
        <v>-77.7239399228555</v>
      </c>
      <c r="CB194" s="42" t="n">
        <f aca="false">-CB98*CB220</f>
        <v>-99.143047013955</v>
      </c>
      <c r="CC194" s="42" t="n">
        <f aca="false">-CC98*CC220</f>
        <v>-110.041841505229</v>
      </c>
      <c r="CD194" s="42" t="n">
        <f aca="false">-CD98*CD220</f>
        <v>-121.080943051229</v>
      </c>
      <c r="CE194" s="42" t="n">
        <f aca="false">-CE98*CE220</f>
        <v>-133.095352927091</v>
      </c>
      <c r="CF194" s="19" t="s">
        <v>322</v>
      </c>
    </row>
    <row r="195" customFormat="false" ht="15" hidden="false" customHeight="true" outlineLevel="0" collapsed="false">
      <c r="B195" s="29" t="s">
        <v>323</v>
      </c>
      <c r="C195" s="35" t="n">
        <v>-58.117</v>
      </c>
      <c r="D195" s="35" t="n">
        <v>-48.367</v>
      </c>
      <c r="E195" s="35" t="n">
        <v>-29.038</v>
      </c>
      <c r="F195" s="35" t="n">
        <v>-59.798</v>
      </c>
      <c r="G195" s="35" t="n">
        <v>-39.061</v>
      </c>
      <c r="H195" s="35" t="n">
        <v>-94.655</v>
      </c>
      <c r="I195" s="35" t="n">
        <v>-197.285</v>
      </c>
      <c r="J195" s="35" t="n">
        <v>-1.242</v>
      </c>
      <c r="K195" s="35" t="n">
        <v>0</v>
      </c>
      <c r="L195" s="35" t="n">
        <v>-133.172</v>
      </c>
      <c r="M195" s="35" t="n">
        <v>-88.224</v>
      </c>
      <c r="N195" s="35" t="n">
        <v>-222.638</v>
      </c>
      <c r="O195" s="35" t="n">
        <v>-0.569</v>
      </c>
      <c r="P195" s="35" t="n">
        <v>0</v>
      </c>
      <c r="Q195" s="35" t="n">
        <v>-8.168</v>
      </c>
      <c r="R195" s="35" t="n">
        <v>0</v>
      </c>
      <c r="S195" s="35" t="n">
        <v>-8.737</v>
      </c>
      <c r="T195" s="35" t="n">
        <v>-49.312</v>
      </c>
      <c r="U195" s="35" t="n">
        <v>-0.17</v>
      </c>
      <c r="V195" s="35" t="n">
        <v>-6.716</v>
      </c>
      <c r="W195" s="35" t="n">
        <v>-110.586</v>
      </c>
      <c r="X195" s="35" t="n">
        <v>-166.784</v>
      </c>
      <c r="Y195" s="35" t="n">
        <v>-264.324</v>
      </c>
      <c r="Z195" s="35" t="n">
        <v>0.513</v>
      </c>
      <c r="AA195" s="35" t="n">
        <v>0</v>
      </c>
      <c r="AB195" s="35" t="n">
        <v>0</v>
      </c>
      <c r="AC195" s="35" t="n">
        <v>-263.811</v>
      </c>
      <c r="AD195" s="35" t="n">
        <v>0</v>
      </c>
      <c r="AE195" s="35" t="n">
        <v>-80.838</v>
      </c>
      <c r="AF195" s="35" t="n">
        <v>-14.921</v>
      </c>
      <c r="AG195" s="35" t="n">
        <v>-322.506</v>
      </c>
      <c r="AH195" s="35" t="n">
        <v>-418.265</v>
      </c>
      <c r="AI195" s="35" t="n">
        <v>-6.126</v>
      </c>
      <c r="AJ195" s="35" t="n">
        <v>-33.238</v>
      </c>
      <c r="AK195" s="35" t="n">
        <v>-1.235</v>
      </c>
      <c r="AL195" s="35" t="n">
        <v>-19.176</v>
      </c>
      <c r="AM195" s="35" t="n">
        <v>-59.775</v>
      </c>
      <c r="AN195" s="35" t="n">
        <v>-101.039</v>
      </c>
      <c r="AO195" s="35" t="n">
        <v>-33.901</v>
      </c>
      <c r="AP195" s="35" t="n">
        <v>-100.234</v>
      </c>
      <c r="AQ195" s="35" t="n">
        <v>-5.667</v>
      </c>
      <c r="AR195" s="35" t="n">
        <v>-240.841</v>
      </c>
      <c r="AS195" s="35" t="n">
        <v>-45.343</v>
      </c>
      <c r="AT195" s="35" t="n">
        <v>0</v>
      </c>
      <c r="AU195" s="35" t="n">
        <v>-20.977</v>
      </c>
      <c r="AV195" s="35" t="n">
        <v>-97.619</v>
      </c>
      <c r="AW195" s="35" t="n">
        <v>-163.939</v>
      </c>
      <c r="AX195" s="35" t="n">
        <v>-0.345</v>
      </c>
      <c r="AY195" s="35" t="n">
        <v>-19.881</v>
      </c>
      <c r="AZ195" s="35" t="n">
        <v>-9.377</v>
      </c>
      <c r="BA195" s="35" t="n">
        <v>-106.897</v>
      </c>
      <c r="BB195" s="35" t="n">
        <v>-136.5</v>
      </c>
      <c r="BC195" s="35" t="n">
        <v>0</v>
      </c>
      <c r="BD195" s="35" t="n">
        <v>-105.533</v>
      </c>
      <c r="BE195" s="35" t="n">
        <v>-69.765</v>
      </c>
      <c r="BF195" s="35" t="n">
        <v>-172.01</v>
      </c>
      <c r="BG195" s="35" t="n">
        <v>-347.308</v>
      </c>
      <c r="BH195" s="35" t="n">
        <v>-503.736</v>
      </c>
      <c r="BI195" s="35" t="n">
        <v>-20.495</v>
      </c>
      <c r="BJ195" s="35" t="n">
        <v>-2.471</v>
      </c>
      <c r="BK195" s="35" t="n">
        <v>-1895.086</v>
      </c>
      <c r="BL195" s="35" t="n">
        <v>-2421.788</v>
      </c>
      <c r="BM195" s="35" t="n">
        <v>-46.208</v>
      </c>
      <c r="BN195" s="35" t="n">
        <v>0</v>
      </c>
      <c r="BO195" s="35" t="n">
        <v>-9</v>
      </c>
      <c r="BP195" s="35" t="n">
        <v>-164.085</v>
      </c>
      <c r="BQ195" s="35" t="n">
        <v>-219.293</v>
      </c>
      <c r="BR195" s="35" t="n">
        <v>-254.763</v>
      </c>
      <c r="BS195" s="35" t="n">
        <v>-31.398</v>
      </c>
      <c r="BT195" s="35" t="n">
        <v>-343.767</v>
      </c>
      <c r="BU195" s="35" t="n">
        <v>0.1</v>
      </c>
      <c r="BV195" s="35" t="n">
        <v>-629.828</v>
      </c>
      <c r="BW195" s="35" t="n">
        <v>-441.397</v>
      </c>
      <c r="BX195" s="35" t="n">
        <v>-379.872</v>
      </c>
      <c r="BY195" s="35" t="n">
        <v>-196.895</v>
      </c>
      <c r="CA195" s="42" t="n">
        <f aca="false">SUM(BW195,BX195,BY195)-CA55</f>
        <v>-1018.164</v>
      </c>
      <c r="CB195" s="42" t="n">
        <f aca="false">-CB55</f>
        <v>-800</v>
      </c>
      <c r="CC195" s="42" t="n">
        <f aca="false">-CC55</f>
        <v>-800</v>
      </c>
      <c r="CD195" s="42" t="n">
        <f aca="false">-CD55</f>
        <v>-900</v>
      </c>
      <c r="CE195" s="42" t="n">
        <f aca="false">-CE55</f>
        <v>-900</v>
      </c>
      <c r="CF195" s="19" t="s">
        <v>324</v>
      </c>
    </row>
    <row r="196" customFormat="false" ht="15" hidden="false" customHeight="true" outlineLevel="0" collapsed="false">
      <c r="B196" s="29" t="s">
        <v>325</v>
      </c>
      <c r="C196" s="35" t="n">
        <v>0.52</v>
      </c>
      <c r="D196" s="35" t="n">
        <v>0.059</v>
      </c>
      <c r="E196" s="35" t="n">
        <v>0.166</v>
      </c>
      <c r="F196" s="35" t="n">
        <v>0.02</v>
      </c>
      <c r="G196" s="35" t="n">
        <v>-0.325</v>
      </c>
      <c r="H196" s="35" t="n">
        <v>0.201</v>
      </c>
      <c r="I196" s="35" t="n">
        <v>-0.161</v>
      </c>
      <c r="J196" s="35" t="n">
        <v>-0.003</v>
      </c>
      <c r="K196" s="35" t="n">
        <v>-0.003</v>
      </c>
      <c r="L196" s="35" t="n">
        <v>0.01</v>
      </c>
      <c r="M196" s="35" t="n">
        <v>-0.346</v>
      </c>
      <c r="N196" s="35" t="n">
        <v>-0.342</v>
      </c>
      <c r="O196" s="35" t="n">
        <v>-0.034</v>
      </c>
      <c r="P196" s="35" t="n">
        <v>0.026</v>
      </c>
      <c r="Q196" s="35" t="n">
        <v>-0.022</v>
      </c>
      <c r="R196" s="35" t="n">
        <v>-0.01</v>
      </c>
      <c r="S196" s="35" t="n">
        <v>-0.04</v>
      </c>
      <c r="T196" s="35" t="n">
        <v>0.076</v>
      </c>
      <c r="U196" s="35" t="n">
        <v>0.01</v>
      </c>
      <c r="V196" s="35" t="n">
        <v>0.085</v>
      </c>
      <c r="W196" s="35" t="n">
        <v>-1.144</v>
      </c>
      <c r="X196" s="35" t="n">
        <v>-0.973</v>
      </c>
      <c r="Y196" s="35" t="n">
        <v>0.474</v>
      </c>
      <c r="Z196" s="35" t="n">
        <v>-3.715</v>
      </c>
      <c r="AA196" s="35" t="n">
        <v>0.236</v>
      </c>
      <c r="AB196" s="35" t="n">
        <v>0.063</v>
      </c>
      <c r="AC196" s="35" t="n">
        <v>-2.942</v>
      </c>
      <c r="AD196" s="35" t="n">
        <v>0.419</v>
      </c>
      <c r="AE196" s="35" t="n">
        <v>-1.363</v>
      </c>
      <c r="AF196" s="35" t="n">
        <v>0.259</v>
      </c>
      <c r="AG196" s="35" t="n">
        <v>0.133</v>
      </c>
      <c r="AH196" s="35" t="n">
        <v>-0.552</v>
      </c>
      <c r="AI196" s="35" t="n">
        <v>-2.79</v>
      </c>
      <c r="AJ196" s="35" t="n">
        <v>0.046</v>
      </c>
      <c r="AK196" s="35" t="n">
        <v>0.008</v>
      </c>
      <c r="AL196" s="35" t="n">
        <v>-9.129</v>
      </c>
      <c r="AM196" s="35" t="n">
        <v>-11.865</v>
      </c>
      <c r="AN196" s="35" t="n">
        <v>-8.628</v>
      </c>
      <c r="AO196" s="35" t="n">
        <v>-1.536</v>
      </c>
      <c r="AP196" s="35" t="n">
        <v>-0.008</v>
      </c>
      <c r="AQ196" s="35" t="n">
        <v>-0.695</v>
      </c>
      <c r="AR196" s="35" t="n">
        <v>-10.867</v>
      </c>
      <c r="AS196" s="35" t="n">
        <v>-11.361</v>
      </c>
      <c r="AT196" s="35" t="n">
        <v>-1.766</v>
      </c>
      <c r="AU196" s="35" t="n">
        <v>-1.088</v>
      </c>
      <c r="AV196" s="35" t="n">
        <v>2.051</v>
      </c>
      <c r="AW196" s="35" t="n">
        <v>-12.164</v>
      </c>
      <c r="AX196" s="35" t="n">
        <v>-9.417</v>
      </c>
      <c r="AY196" s="35" t="n">
        <v>-0.466</v>
      </c>
      <c r="AZ196" s="35" t="n">
        <v>0.72</v>
      </c>
      <c r="BA196" s="35" t="n">
        <v>-1.608</v>
      </c>
      <c r="BB196" s="35" t="n">
        <v>-10.771</v>
      </c>
      <c r="BC196" s="35" t="n">
        <v>-11.268</v>
      </c>
      <c r="BD196" s="35" t="n">
        <v>-10.943</v>
      </c>
      <c r="BE196" s="35" t="n">
        <v>-1.485</v>
      </c>
      <c r="BF196" s="35" t="n">
        <v>7.157</v>
      </c>
      <c r="BG196" s="35" t="n">
        <v>-16.539</v>
      </c>
      <c r="BH196" s="35" t="n">
        <v>-11.398</v>
      </c>
      <c r="BI196" s="35" t="n">
        <v>-2.24</v>
      </c>
      <c r="BJ196" s="35" t="n">
        <v>0.327</v>
      </c>
      <c r="BK196" s="35" t="n">
        <v>0.066</v>
      </c>
      <c r="BL196" s="35" t="n">
        <v>-13.245</v>
      </c>
      <c r="BM196" s="35" t="n">
        <v>-11.554</v>
      </c>
      <c r="BN196" s="35" t="n">
        <v>-1.199</v>
      </c>
      <c r="BO196" s="35" t="n">
        <v>-2.014</v>
      </c>
      <c r="BP196" s="35" t="n">
        <v>-0.879</v>
      </c>
      <c r="BQ196" s="35" t="n">
        <v>-15.646</v>
      </c>
      <c r="BR196" s="35" t="n">
        <v>-15.897</v>
      </c>
      <c r="BS196" s="35" t="n">
        <v>-4.402</v>
      </c>
      <c r="BT196" s="35" t="n">
        <v>-1.429</v>
      </c>
      <c r="BU196" s="35" t="n">
        <v>-7.249</v>
      </c>
      <c r="BV196" s="35" t="n">
        <v>-28.977</v>
      </c>
      <c r="BW196" s="35" t="n">
        <v>7.926</v>
      </c>
      <c r="BX196" s="35" t="n">
        <v>-6.067</v>
      </c>
      <c r="BY196" s="35" t="n">
        <v>-2.46</v>
      </c>
      <c r="CA196" s="42" t="n">
        <f aca="false">SUM(BW196,BX196,BY196)</f>
        <v>-0.601</v>
      </c>
      <c r="CB196" s="46" t="n">
        <v>0</v>
      </c>
      <c r="CC196" s="46" t="n">
        <v>0</v>
      </c>
      <c r="CD196" s="46" t="n">
        <v>0</v>
      </c>
      <c r="CE196" s="46" t="n">
        <v>0</v>
      </c>
    </row>
    <row r="197" customFormat="false" ht="15" hidden="false" customHeight="true" outlineLevel="0" collapsed="false">
      <c r="B197" s="16" t="s">
        <v>326</v>
      </c>
      <c r="C197" s="17" t="n">
        <v>-67.561</v>
      </c>
      <c r="D197" s="17" t="n">
        <v>-61.194</v>
      </c>
      <c r="E197" s="17" t="n">
        <v>-42.327</v>
      </c>
      <c r="F197" s="17" t="n">
        <v>-70.031</v>
      </c>
      <c r="G197" s="17" t="n">
        <v>-48.263</v>
      </c>
      <c r="H197" s="17" t="n">
        <v>-103.9</v>
      </c>
      <c r="I197" s="17" t="n">
        <v>-212.708</v>
      </c>
      <c r="J197" s="17" t="n">
        <v>-5.711</v>
      </c>
      <c r="K197" s="17" t="n">
        <v>-4.802</v>
      </c>
      <c r="L197" s="17" t="n">
        <v>-137.393</v>
      </c>
      <c r="M197" s="17" t="n">
        <v>-93.402</v>
      </c>
      <c r="N197" s="17" t="n">
        <v>-241.308</v>
      </c>
      <c r="O197" s="17" t="n">
        <v>-4.593</v>
      </c>
      <c r="P197" s="17" t="n">
        <v>-3.469</v>
      </c>
      <c r="Q197" s="17" t="n">
        <v>-12.966</v>
      </c>
      <c r="R197" s="17" t="n">
        <v>-4.159</v>
      </c>
      <c r="S197" s="17" t="n">
        <v>-25.187</v>
      </c>
      <c r="T197" s="17" t="n">
        <v>-53.49</v>
      </c>
      <c r="U197" s="17" t="n">
        <v>-5.366</v>
      </c>
      <c r="V197" s="17" t="n">
        <v>-10.938</v>
      </c>
      <c r="W197" s="17" t="n">
        <v>-116.212</v>
      </c>
      <c r="X197" s="17" t="n">
        <v>-186.006</v>
      </c>
      <c r="Y197" s="17" t="n">
        <v>-269.54</v>
      </c>
      <c r="Z197" s="17" t="n">
        <v>-13.058</v>
      </c>
      <c r="AA197" s="17" t="n">
        <v>-7.331</v>
      </c>
      <c r="AB197" s="17" t="n">
        <v>-7.687</v>
      </c>
      <c r="AC197" s="17" t="n">
        <v>-297.616</v>
      </c>
      <c r="AD197" s="17" t="n">
        <v>-6.003</v>
      </c>
      <c r="AE197" s="17" t="n">
        <v>-89.317</v>
      </c>
      <c r="AF197" s="17" t="n">
        <v>-21.569</v>
      </c>
      <c r="AG197" s="17" t="n">
        <v>-327.926</v>
      </c>
      <c r="AH197" s="17" t="n">
        <v>-444.815</v>
      </c>
      <c r="AI197" s="17" t="n">
        <v>-16.493</v>
      </c>
      <c r="AJ197" s="17" t="n">
        <v>-55.072</v>
      </c>
      <c r="AK197" s="17" t="n">
        <v>-7.668</v>
      </c>
      <c r="AL197" s="17" t="n">
        <v>-34.278</v>
      </c>
      <c r="AM197" s="17" t="n">
        <v>-113.511</v>
      </c>
      <c r="AN197" s="17" t="n">
        <v>-115.574</v>
      </c>
      <c r="AO197" s="17" t="n">
        <v>-42.126</v>
      </c>
      <c r="AP197" s="17" t="n">
        <v>-109.317</v>
      </c>
      <c r="AQ197" s="17" t="n">
        <v>-13.629</v>
      </c>
      <c r="AR197" s="17" t="n">
        <v>-280.646</v>
      </c>
      <c r="AS197" s="17" t="n">
        <v>-63.554</v>
      </c>
      <c r="AT197" s="17" t="n">
        <v>-7.351</v>
      </c>
      <c r="AU197" s="17" t="n">
        <v>-27.102</v>
      </c>
      <c r="AV197" s="17" t="n">
        <v>-101.036</v>
      </c>
      <c r="AW197" s="17" t="n">
        <v>-199.043</v>
      </c>
      <c r="AX197" s="17" t="n">
        <v>-25.271</v>
      </c>
      <c r="AY197" s="17" t="n">
        <v>-26.776</v>
      </c>
      <c r="AZ197" s="17" t="n">
        <v>-16.843</v>
      </c>
      <c r="BA197" s="17" t="n">
        <v>-114.564</v>
      </c>
      <c r="BB197" s="17" t="n">
        <v>-183.454</v>
      </c>
      <c r="BC197" s="17" t="n">
        <v>-19.959</v>
      </c>
      <c r="BD197" s="17" t="n">
        <v>-123.996</v>
      </c>
      <c r="BE197" s="17" t="n">
        <v>-79.396</v>
      </c>
      <c r="BF197" s="17" t="n">
        <v>-172.478</v>
      </c>
      <c r="BG197" s="17" t="n">
        <v>-395.829</v>
      </c>
      <c r="BH197" s="17" t="n">
        <v>-525.98</v>
      </c>
      <c r="BI197" s="17" t="n">
        <v>-33.81</v>
      </c>
      <c r="BJ197" s="17" t="n">
        <v>-14.399</v>
      </c>
      <c r="BK197" s="17" t="n">
        <v>-1910.278</v>
      </c>
      <c r="BL197" s="17" t="n">
        <v>-2484.467</v>
      </c>
      <c r="BM197" s="17" t="n">
        <v>-71.139</v>
      </c>
      <c r="BN197" s="17" t="n">
        <v>-14.147</v>
      </c>
      <c r="BO197" s="17" t="n">
        <v>-26.864</v>
      </c>
      <c r="BP197" s="17" t="n">
        <v>-181.05</v>
      </c>
      <c r="BQ197" s="17" t="n">
        <v>-293.2</v>
      </c>
      <c r="BR197" s="17" t="n">
        <v>-287.995</v>
      </c>
      <c r="BS197" s="17" t="n">
        <v>-51.764</v>
      </c>
      <c r="BT197" s="17" t="n">
        <v>-357.935</v>
      </c>
      <c r="BU197" s="17" t="n">
        <v>-33.997</v>
      </c>
      <c r="BV197" s="17" t="n">
        <v>-731.691</v>
      </c>
      <c r="BW197" s="17" t="n">
        <v>-446.967</v>
      </c>
      <c r="BX197" s="17" t="n">
        <v>-403.989</v>
      </c>
      <c r="BY197" s="17" t="n">
        <v>-221.913</v>
      </c>
      <c r="CA197" s="18" t="n">
        <f aca="false">SUM(CA194:CA196)</f>
        <v>-1096.48893992286</v>
      </c>
      <c r="CB197" s="18" t="n">
        <f aca="false">SUM(CB194:CB196)</f>
        <v>-899.143047013955</v>
      </c>
      <c r="CC197" s="18" t="n">
        <f aca="false">SUM(CC194:CC196)</f>
        <v>-910.041841505229</v>
      </c>
      <c r="CD197" s="18" t="n">
        <f aca="false">SUM(CD194:CD196)</f>
        <v>-1021.08094305123</v>
      </c>
      <c r="CE197" s="18" t="n">
        <f aca="false">SUM(CE194:CE196)</f>
        <v>-1033.09535292709</v>
      </c>
    </row>
    <row r="198" customFormat="false" ht="15" hidden="false" customHeight="true" outlineLevel="0" collapsed="false">
      <c r="B198" s="29" t="s">
        <v>327</v>
      </c>
      <c r="C198" s="35" t="n">
        <v>60</v>
      </c>
      <c r="D198" s="35" t="n">
        <v>47</v>
      </c>
      <c r="E198" s="35" t="n">
        <v>50.5</v>
      </c>
      <c r="F198" s="35" t="n">
        <v>91</v>
      </c>
      <c r="G198" s="35" t="n">
        <v>37</v>
      </c>
      <c r="H198" s="35" t="n">
        <v>72</v>
      </c>
      <c r="I198" s="35" t="n">
        <v>191</v>
      </c>
      <c r="J198" s="35" t="n">
        <v>145</v>
      </c>
      <c r="K198" s="35" t="n">
        <v>0</v>
      </c>
      <c r="L198" s="35" t="n">
        <v>142</v>
      </c>
      <c r="M198" s="35" t="n">
        <v>85</v>
      </c>
      <c r="N198" s="35" t="n">
        <v>372</v>
      </c>
      <c r="O198" s="35" t="n">
        <v>23</v>
      </c>
      <c r="P198" s="35" t="n">
        <v>82</v>
      </c>
      <c r="Q198" s="35" t="n">
        <v>7</v>
      </c>
      <c r="R198" s="35" t="n">
        <v>0</v>
      </c>
      <c r="S198" s="35" t="n">
        <v>112</v>
      </c>
      <c r="T198" s="35" t="n">
        <v>56.696</v>
      </c>
      <c r="U198" s="35" t="n">
        <v>5</v>
      </c>
      <c r="V198" s="35" t="n">
        <v>7</v>
      </c>
      <c r="W198" s="35" t="n">
        <v>105</v>
      </c>
      <c r="X198" s="35" t="n">
        <v>173.696</v>
      </c>
      <c r="Y198" s="35" t="n">
        <v>260</v>
      </c>
      <c r="Z198" s="35" t="n">
        <v>0</v>
      </c>
      <c r="AA198" s="35" t="n">
        <v>0</v>
      </c>
      <c r="AB198" s="35" t="n">
        <v>0</v>
      </c>
      <c r="AC198" s="35" t="n">
        <v>260</v>
      </c>
      <c r="AD198" s="35" t="n">
        <v>0</v>
      </c>
      <c r="AE198" s="35" t="n">
        <v>87</v>
      </c>
      <c r="AF198" s="35" t="n">
        <v>0</v>
      </c>
      <c r="AG198" s="35" t="n">
        <v>317</v>
      </c>
      <c r="AH198" s="35" t="n">
        <v>404</v>
      </c>
      <c r="AI198" s="35" t="n">
        <v>0</v>
      </c>
      <c r="AJ198" s="35" t="n">
        <v>53</v>
      </c>
      <c r="AK198" s="35" t="n">
        <v>0</v>
      </c>
      <c r="AL198" s="35" t="n">
        <v>3</v>
      </c>
      <c r="AM198" s="35" t="n">
        <v>56</v>
      </c>
      <c r="AN198" s="35" t="n">
        <v>93</v>
      </c>
      <c r="AO198" s="35" t="n">
        <v>36</v>
      </c>
      <c r="AP198" s="35" t="n">
        <v>159</v>
      </c>
      <c r="AQ198" s="35" t="n">
        <v>25</v>
      </c>
      <c r="AR198" s="35" t="n">
        <v>313</v>
      </c>
      <c r="AS198" s="35" t="n">
        <v>45</v>
      </c>
      <c r="AT198" s="35" t="n">
        <v>200</v>
      </c>
      <c r="AU198" s="35" t="n">
        <v>0</v>
      </c>
      <c r="AV198" s="35" t="n">
        <v>0</v>
      </c>
      <c r="AW198" s="35" t="n">
        <v>245</v>
      </c>
      <c r="AX198" s="35" t="n">
        <v>0</v>
      </c>
      <c r="AY198" s="35" t="n">
        <v>0</v>
      </c>
      <c r="AZ198" s="35" t="n">
        <v>0</v>
      </c>
      <c r="BA198" s="35" t="n">
        <v>0</v>
      </c>
      <c r="BB198" s="35" t="n">
        <v>0</v>
      </c>
      <c r="BC198" s="35" t="n">
        <v>26</v>
      </c>
      <c r="BD198" s="35" t="n">
        <v>67</v>
      </c>
      <c r="BE198" s="35" t="n">
        <v>69</v>
      </c>
      <c r="BF198" s="35" t="n">
        <v>100</v>
      </c>
      <c r="BG198" s="35" t="n">
        <v>262</v>
      </c>
      <c r="BH198" s="35" t="n">
        <v>531</v>
      </c>
      <c r="BI198" s="35" t="n">
        <v>26.672</v>
      </c>
      <c r="BJ198" s="35" t="n">
        <v>1197.452</v>
      </c>
      <c r="BK198" s="35" t="n">
        <v>1400</v>
      </c>
      <c r="BL198" s="35" t="n">
        <v>3153.452</v>
      </c>
      <c r="BM198" s="35" t="n">
        <v>50</v>
      </c>
      <c r="BN198" s="35" t="n">
        <v>0</v>
      </c>
      <c r="BO198" s="35" t="n">
        <v>0</v>
      </c>
      <c r="BP198" s="35" t="n">
        <v>80</v>
      </c>
      <c r="BQ198" s="35" t="n">
        <v>130</v>
      </c>
      <c r="BR198" s="35" t="n">
        <v>145</v>
      </c>
      <c r="BS198" s="35" t="n">
        <v>0</v>
      </c>
      <c r="BT198" s="35" t="n">
        <v>350</v>
      </c>
      <c r="BU198" s="35" t="n">
        <v>0</v>
      </c>
      <c r="BV198" s="35" t="n">
        <v>495</v>
      </c>
      <c r="BW198" s="35" t="n">
        <v>443</v>
      </c>
      <c r="BX198" s="35" t="n">
        <v>387.7</v>
      </c>
      <c r="BY198" s="35" t="n">
        <v>1391.506</v>
      </c>
      <c r="CA198" s="42" t="n">
        <f aca="false">SUM(BW198,BX198,BY198)+MAX(0,CA293-BY293)+CA290</f>
        <v>2222.206</v>
      </c>
      <c r="CB198" s="42" t="n">
        <f aca="false">CB290+MAX(0,CB293-CA293)</f>
        <v>0</v>
      </c>
      <c r="CC198" s="42" t="n">
        <f aca="false">CC290+MAX(0,CC293-CB293)</f>
        <v>600</v>
      </c>
      <c r="CD198" s="42" t="n">
        <f aca="false">CD290+MAX(0,CD293-CC293)</f>
        <v>0</v>
      </c>
      <c r="CE198" s="42" t="n">
        <f aca="false">CE290+MAX(0,CE293-CD293)</f>
        <v>135.664642267975</v>
      </c>
    </row>
    <row r="199" customFormat="false" ht="15" hidden="false" customHeight="true" outlineLevel="0" collapsed="false">
      <c r="B199" s="29" t="s">
        <v>328</v>
      </c>
      <c r="C199" s="35" t="n">
        <v>-41</v>
      </c>
      <c r="D199" s="35" t="n">
        <v>-47</v>
      </c>
      <c r="E199" s="35" t="n">
        <v>-68.48</v>
      </c>
      <c r="F199" s="35" t="n">
        <v>-73</v>
      </c>
      <c r="G199" s="35" t="n">
        <v>-78</v>
      </c>
      <c r="H199" s="35" t="n">
        <v>-50</v>
      </c>
      <c r="I199" s="35" t="n">
        <v>-100</v>
      </c>
      <c r="J199" s="35" t="n">
        <v>-22</v>
      </c>
      <c r="K199" s="35" t="n">
        <v>-26</v>
      </c>
      <c r="L199" s="35" t="n">
        <v>-51</v>
      </c>
      <c r="M199" s="35" t="n">
        <v>-27</v>
      </c>
      <c r="N199" s="35" t="n">
        <v>-126</v>
      </c>
      <c r="O199" s="35" t="n">
        <v>-21</v>
      </c>
      <c r="P199" s="35" t="n">
        <v>-24</v>
      </c>
      <c r="Q199" s="35" t="n">
        <v>-57</v>
      </c>
      <c r="R199" s="35" t="n">
        <v>-57</v>
      </c>
      <c r="S199" s="35" t="n">
        <v>-159</v>
      </c>
      <c r="T199" s="35" t="n">
        <v>-29</v>
      </c>
      <c r="U199" s="35" t="n">
        <v>-32</v>
      </c>
      <c r="V199" s="35" t="n">
        <v>-34</v>
      </c>
      <c r="W199" s="35" t="n">
        <v>-37</v>
      </c>
      <c r="X199" s="35" t="n">
        <v>-132</v>
      </c>
      <c r="Y199" s="35" t="n">
        <v>-32</v>
      </c>
      <c r="Z199" s="35" t="n">
        <v>-34</v>
      </c>
      <c r="AA199" s="35" t="n">
        <v>-52</v>
      </c>
      <c r="AB199" s="35" t="n">
        <v>-52</v>
      </c>
      <c r="AC199" s="35" t="n">
        <v>-170</v>
      </c>
      <c r="AD199" s="35" t="n">
        <v>-40</v>
      </c>
      <c r="AE199" s="35" t="n">
        <v>-44</v>
      </c>
      <c r="AF199" s="35" t="n">
        <v>-29</v>
      </c>
      <c r="AG199" s="35" t="n">
        <v>-77.877</v>
      </c>
      <c r="AH199" s="35" t="n">
        <v>-190.877</v>
      </c>
      <c r="AI199" s="35" t="n">
        <v>-5</v>
      </c>
      <c r="AJ199" s="35" t="n">
        <v>-38</v>
      </c>
      <c r="AK199" s="35" t="n">
        <v>-67</v>
      </c>
      <c r="AL199" s="35" t="n">
        <v>-94</v>
      </c>
      <c r="AM199" s="35" t="n">
        <v>-204</v>
      </c>
      <c r="AN199" s="35" t="n">
        <v>-17</v>
      </c>
      <c r="AO199" s="35" t="n">
        <v>-88</v>
      </c>
      <c r="AP199" s="35" t="n">
        <v>-75</v>
      </c>
      <c r="AQ199" s="35" t="n">
        <v>-103</v>
      </c>
      <c r="AR199" s="35" t="n">
        <v>-283</v>
      </c>
      <c r="AS199" s="35" t="n">
        <v>-38</v>
      </c>
      <c r="AT199" s="35" t="n">
        <v>-30</v>
      </c>
      <c r="AU199" s="35" t="n">
        <v>0</v>
      </c>
      <c r="AV199" s="35" t="n">
        <v>0</v>
      </c>
      <c r="AW199" s="35" t="n">
        <v>-68</v>
      </c>
      <c r="AX199" s="35" t="n">
        <v>-70</v>
      </c>
      <c r="AY199" s="35" t="n">
        <v>-85</v>
      </c>
      <c r="AZ199" s="35" t="n">
        <v>-200</v>
      </c>
      <c r="BA199" s="35" t="n">
        <v>-150</v>
      </c>
      <c r="BB199" s="35" t="n">
        <v>-505</v>
      </c>
      <c r="BC199" s="35" t="n">
        <v>-25</v>
      </c>
      <c r="BD199" s="35" t="n">
        <v>-40</v>
      </c>
      <c r="BE199" s="35" t="n">
        <v>-92</v>
      </c>
      <c r="BF199" s="35" t="n">
        <v>-55</v>
      </c>
      <c r="BG199" s="35" t="n">
        <v>-212</v>
      </c>
      <c r="BH199" s="35" t="n">
        <v>-38</v>
      </c>
      <c r="BI199" s="35" t="n">
        <v>-70</v>
      </c>
      <c r="BJ199" s="35" t="n">
        <v>-731.404</v>
      </c>
      <c r="BK199" s="35" t="n">
        <v>-151.189</v>
      </c>
      <c r="BL199" s="35" t="n">
        <v>-990.593</v>
      </c>
      <c r="BM199" s="35" t="n">
        <v>-28.924</v>
      </c>
      <c r="BN199" s="35" t="n">
        <v>-110</v>
      </c>
      <c r="BO199" s="35" t="n">
        <v>-130</v>
      </c>
      <c r="BP199" s="35" t="n">
        <v>-110</v>
      </c>
      <c r="BQ199" s="35" t="n">
        <v>-378.924</v>
      </c>
      <c r="BR199" s="35" t="n">
        <v>-20</v>
      </c>
      <c r="BS199" s="35" t="n">
        <v>-75</v>
      </c>
      <c r="BT199" s="35" t="n">
        <v>-180</v>
      </c>
      <c r="BU199" s="35" t="n">
        <v>-275</v>
      </c>
      <c r="BV199" s="35" t="n">
        <v>-550</v>
      </c>
      <c r="BW199" s="35" t="n">
        <v>-103</v>
      </c>
      <c r="BX199" s="35" t="n">
        <v>-307.7</v>
      </c>
      <c r="BY199" s="35" t="n">
        <v>-1435</v>
      </c>
      <c r="CA199" s="42" t="n">
        <f aca="false">SUM(BW199,BX199,BY199)+MIN(0,CA293-BY293)+CA288</f>
        <v>-1990.7</v>
      </c>
      <c r="CB199" s="42" t="n">
        <f aca="false">CB288+MIN(0,CB293-CA293)</f>
        <v>0</v>
      </c>
      <c r="CC199" s="42" t="n">
        <f aca="false">CC288+MIN(0,CC293-CB293)</f>
        <v>-600</v>
      </c>
      <c r="CD199" s="42" t="n">
        <f aca="false">CD288+MIN(0,CD293-CC293)</f>
        <v>0</v>
      </c>
      <c r="CE199" s="42" t="n">
        <f aca="false">CE288+MIN(0,CE293-CD293)</f>
        <v>0</v>
      </c>
      <c r="CF199" s="19" t="s">
        <v>329</v>
      </c>
    </row>
    <row r="200" customFormat="false" ht="15" hidden="false" customHeight="true" outlineLevel="0" collapsed="false">
      <c r="B200" s="29" t="s">
        <v>330</v>
      </c>
      <c r="C200" s="35" t="n">
        <v>-2.004</v>
      </c>
      <c r="D200" s="35" t="n">
        <v>-2.056</v>
      </c>
      <c r="E200" s="35" t="n">
        <v>-2.631</v>
      </c>
      <c r="F200" s="35" t="n">
        <v>-3.15</v>
      </c>
      <c r="G200" s="35" t="n">
        <v>-3.546</v>
      </c>
      <c r="H200" s="35" t="n">
        <v>-4.494</v>
      </c>
      <c r="I200" s="35" t="n">
        <v>-5.689</v>
      </c>
      <c r="J200" s="35" t="n">
        <v>-116.645</v>
      </c>
      <c r="K200" s="35" t="n">
        <v>0</v>
      </c>
      <c r="L200" s="35" t="n">
        <v>-3.716</v>
      </c>
      <c r="M200" s="35" t="n">
        <v>0</v>
      </c>
      <c r="N200" s="35" t="n">
        <v>-120.361</v>
      </c>
      <c r="O200" s="35" t="n">
        <v>-27.225</v>
      </c>
      <c r="P200" s="35" t="n">
        <v>0</v>
      </c>
      <c r="Q200" s="35" t="n">
        <v>-3.99</v>
      </c>
      <c r="R200" s="35" t="n">
        <v>0</v>
      </c>
      <c r="S200" s="35" t="n">
        <v>-31.215</v>
      </c>
      <c r="T200" s="35" t="n">
        <v>-4.666</v>
      </c>
      <c r="U200" s="35" t="n">
        <v>0</v>
      </c>
      <c r="V200" s="35" t="n">
        <v>-4.677</v>
      </c>
      <c r="W200" s="35" t="n">
        <v>0</v>
      </c>
      <c r="X200" s="35" t="n">
        <v>-9.343</v>
      </c>
      <c r="Y200" s="35" t="n">
        <v>-5.35</v>
      </c>
      <c r="Z200" s="35" t="n">
        <v>0</v>
      </c>
      <c r="AA200" s="35" t="n">
        <v>-5.374</v>
      </c>
      <c r="AB200" s="35" t="n">
        <v>0</v>
      </c>
      <c r="AC200" s="35" t="n">
        <v>-10.724</v>
      </c>
      <c r="AD200" s="35" t="n">
        <v>-6.059</v>
      </c>
      <c r="AE200" s="35" t="n">
        <v>0</v>
      </c>
      <c r="AF200" s="35" t="n">
        <v>-6.748</v>
      </c>
      <c r="AG200" s="35" t="n">
        <v>0</v>
      </c>
      <c r="AH200" s="35" t="n">
        <v>-12.807</v>
      </c>
      <c r="AI200" s="35" t="n">
        <v>-7.395</v>
      </c>
      <c r="AJ200" s="35" t="n">
        <v>0</v>
      </c>
      <c r="AK200" s="35" t="n">
        <v>-7.968</v>
      </c>
      <c r="AL200" s="35" t="n">
        <v>0</v>
      </c>
      <c r="AM200" s="35" t="n">
        <v>-15.363</v>
      </c>
      <c r="AN200" s="35" t="n">
        <v>-9.305</v>
      </c>
      <c r="AO200" s="35" t="n">
        <v>0</v>
      </c>
      <c r="AP200" s="35" t="n">
        <v>-9.386</v>
      </c>
      <c r="AQ200" s="35" t="n">
        <v>0</v>
      </c>
      <c r="AR200" s="35" t="n">
        <v>-18.691</v>
      </c>
      <c r="AS200" s="35" t="n">
        <v>-10.762</v>
      </c>
      <c r="AT200" s="35" t="n">
        <v>0</v>
      </c>
      <c r="AU200" s="35" t="n">
        <v>-10.79</v>
      </c>
      <c r="AV200" s="35" t="n">
        <v>0</v>
      </c>
      <c r="AW200" s="35" t="n">
        <v>-21.552</v>
      </c>
      <c r="AX200" s="35" t="n">
        <v>-10.818</v>
      </c>
      <c r="AY200" s="35" t="n">
        <v>0</v>
      </c>
      <c r="AZ200" s="35" t="n">
        <v>-12.184</v>
      </c>
      <c r="BA200" s="35" t="n">
        <v>0</v>
      </c>
      <c r="BB200" s="35" t="n">
        <v>-23.002</v>
      </c>
      <c r="BC200" s="35" t="n">
        <v>-12.227</v>
      </c>
      <c r="BD200" s="35" t="n">
        <v>0</v>
      </c>
      <c r="BE200" s="35" t="n">
        <v>-12.239</v>
      </c>
      <c r="BF200" s="35" t="n">
        <v>0</v>
      </c>
      <c r="BG200" s="35" t="n">
        <v>-24.466</v>
      </c>
      <c r="BH200" s="35" t="n">
        <v>-13.668</v>
      </c>
      <c r="BI200" s="35" t="n">
        <v>0</v>
      </c>
      <c r="BJ200" s="35" t="n">
        <v>-13.702</v>
      </c>
      <c r="BK200" s="35" t="n">
        <v>0</v>
      </c>
      <c r="BL200" s="35" t="n">
        <v>-27.37</v>
      </c>
      <c r="BM200" s="35" t="n">
        <v>-13.831</v>
      </c>
      <c r="BN200" s="35" t="n">
        <v>0</v>
      </c>
      <c r="BO200" s="35" t="n">
        <v>-15.238</v>
      </c>
      <c r="BP200" s="35" t="n">
        <v>0</v>
      </c>
      <c r="BQ200" s="35" t="n">
        <v>-29.069</v>
      </c>
      <c r="BR200" s="35" t="n">
        <v>-15.272</v>
      </c>
      <c r="BS200" s="35" t="n">
        <v>0</v>
      </c>
      <c r="BT200" s="35" t="n">
        <v>-16.696</v>
      </c>
      <c r="BU200" s="35" t="n">
        <v>0</v>
      </c>
      <c r="BV200" s="35" t="n">
        <v>-31.968</v>
      </c>
      <c r="BW200" s="35" t="n">
        <v>-16.724</v>
      </c>
      <c r="BX200" s="35" t="n">
        <v>0</v>
      </c>
      <c r="BY200" s="35" t="n">
        <v>-18.165</v>
      </c>
      <c r="CA200" s="42" t="n">
        <f aca="false">SUM(BW200,BX200,BY200)-BZ123*BZ117</f>
        <v>-34.889</v>
      </c>
      <c r="CB200" s="42" t="n">
        <f aca="false">-CB123*CB228</f>
        <v>-37.74799935</v>
      </c>
      <c r="CC200" s="42" t="n">
        <f aca="false">-CC123*CC228</f>
        <v>-40.855319298</v>
      </c>
      <c r="CD200" s="42" t="n">
        <f aca="false">-CD123*CD228</f>
        <v>-43.7577806156393</v>
      </c>
      <c r="CE200" s="42" t="n">
        <f aca="false">-CE123*CE228</f>
        <v>-46.8664746142899</v>
      </c>
      <c r="CF200" s="19" t="s">
        <v>331</v>
      </c>
    </row>
    <row r="201" customFormat="false" ht="15" hidden="false" customHeight="true" outlineLevel="0" collapsed="false">
      <c r="B201" s="29" t="s">
        <v>332</v>
      </c>
      <c r="C201" s="35" t="n">
        <v>-3.306</v>
      </c>
      <c r="D201" s="35" t="n">
        <v>-6.448</v>
      </c>
      <c r="E201" s="35" t="n">
        <v>-7.456</v>
      </c>
      <c r="F201" s="35" t="n">
        <v>-9.591</v>
      </c>
      <c r="G201" s="35" t="n">
        <v>-10.36</v>
      </c>
      <c r="H201" s="35" t="n">
        <v>-14.893</v>
      </c>
      <c r="I201" s="35" t="n">
        <v>-9.09</v>
      </c>
      <c r="J201" s="35" t="n">
        <v>-2.31</v>
      </c>
      <c r="K201" s="35" t="n">
        <v>-2.147</v>
      </c>
      <c r="L201" s="35" t="n">
        <v>-1.511</v>
      </c>
      <c r="M201" s="35" t="n">
        <v>-1.611</v>
      </c>
      <c r="N201" s="35" t="n">
        <v>-7.579</v>
      </c>
      <c r="O201" s="35" t="n">
        <v>-1.608</v>
      </c>
      <c r="P201" s="35" t="n">
        <v>-69.504</v>
      </c>
      <c r="Q201" s="35" t="n">
        <v>-5.605</v>
      </c>
      <c r="R201" s="35" t="n">
        <v>-2.495</v>
      </c>
      <c r="S201" s="35" t="n">
        <v>-79.212</v>
      </c>
      <c r="T201" s="35" t="n">
        <v>-2.557</v>
      </c>
      <c r="U201" s="35" t="n">
        <v>-2.176</v>
      </c>
      <c r="V201" s="35" t="n">
        <v>-2.681</v>
      </c>
      <c r="W201" s="35" t="n">
        <v>-2.285</v>
      </c>
      <c r="X201" s="35" t="n">
        <v>-9.699</v>
      </c>
      <c r="Y201" s="35" t="n">
        <v>-2.696</v>
      </c>
      <c r="Z201" s="35" t="n">
        <v>-2.811</v>
      </c>
      <c r="AA201" s="35" t="n">
        <v>-10.649</v>
      </c>
      <c r="AB201" s="35" t="n">
        <v>-2.861</v>
      </c>
      <c r="AC201" s="35" t="n">
        <v>-19.017</v>
      </c>
      <c r="AD201" s="35" t="n">
        <v>-1.986</v>
      </c>
      <c r="AE201" s="35" t="n">
        <v>-1.911</v>
      </c>
      <c r="AF201" s="35" t="n">
        <v>-9.027</v>
      </c>
      <c r="AG201" s="35" t="n">
        <v>-5.477</v>
      </c>
      <c r="AH201" s="35" t="n">
        <v>-18.401</v>
      </c>
      <c r="AI201" s="35" t="n">
        <v>-1.882</v>
      </c>
      <c r="AJ201" s="35" t="n">
        <v>-2.567</v>
      </c>
      <c r="AK201" s="35" t="n">
        <v>-2.68</v>
      </c>
      <c r="AL201" s="35" t="n">
        <v>-5.93</v>
      </c>
      <c r="AM201" s="35" t="n">
        <v>-13.059</v>
      </c>
      <c r="AN201" s="35" t="n">
        <v>-2.795</v>
      </c>
      <c r="AO201" s="35" t="n">
        <v>-5.395</v>
      </c>
      <c r="AP201" s="35" t="n">
        <v>-96.509</v>
      </c>
      <c r="AQ201" s="35" t="n">
        <v>-6.17</v>
      </c>
      <c r="AR201" s="35" t="n">
        <v>-110.869</v>
      </c>
      <c r="AS201" s="35" t="n">
        <v>-4.881</v>
      </c>
      <c r="AT201" s="35" t="n">
        <v>-4.861</v>
      </c>
      <c r="AU201" s="35" t="n">
        <v>-2.445</v>
      </c>
      <c r="AV201" s="35" t="n">
        <v>-5.721</v>
      </c>
      <c r="AW201" s="35" t="n">
        <v>-17.908</v>
      </c>
      <c r="AX201" s="35" t="n">
        <v>-7.744</v>
      </c>
      <c r="AY201" s="35" t="n">
        <v>-6.079</v>
      </c>
      <c r="AZ201" s="35" t="n">
        <v>-8.03</v>
      </c>
      <c r="BA201" s="35" t="n">
        <v>-6.11</v>
      </c>
      <c r="BB201" s="35" t="n">
        <v>-27.963</v>
      </c>
      <c r="BC201" s="35" t="n">
        <v>-6.046</v>
      </c>
      <c r="BD201" s="35" t="n">
        <v>-4.53</v>
      </c>
      <c r="BE201" s="35" t="n">
        <v>-6.19</v>
      </c>
      <c r="BF201" s="35" t="n">
        <v>-8.326</v>
      </c>
      <c r="BG201" s="35" t="n">
        <v>-25.092</v>
      </c>
      <c r="BH201" s="35" t="n">
        <v>-11.291</v>
      </c>
      <c r="BI201" s="35" t="n">
        <v>-11.359</v>
      </c>
      <c r="BJ201" s="35" t="n">
        <v>-7.284</v>
      </c>
      <c r="BK201" s="35" t="n">
        <v>-6.657</v>
      </c>
      <c r="BL201" s="35" t="n">
        <v>-36.591</v>
      </c>
      <c r="BM201" s="35" t="n">
        <v>-8.766</v>
      </c>
      <c r="BN201" s="35" t="n">
        <v>-6.606</v>
      </c>
      <c r="BO201" s="35" t="n">
        <v>-7.93</v>
      </c>
      <c r="BP201" s="35" t="n">
        <v>-11.016</v>
      </c>
      <c r="BQ201" s="35" t="n">
        <v>-34.318</v>
      </c>
      <c r="BR201" s="35" t="n">
        <v>-10.236</v>
      </c>
      <c r="BS201" s="35" t="n">
        <v>-7.327</v>
      </c>
      <c r="BT201" s="35" t="n">
        <v>-9.685</v>
      </c>
      <c r="BU201" s="35" t="n">
        <v>-11.236</v>
      </c>
      <c r="BV201" s="35" t="n">
        <v>-38.484</v>
      </c>
      <c r="BW201" s="35" t="n">
        <v>-7.181</v>
      </c>
      <c r="BX201" s="35" t="n">
        <v>-9.183</v>
      </c>
      <c r="BY201" s="35" t="n">
        <v>-9.456</v>
      </c>
      <c r="CA201" s="42" t="n">
        <f aca="false">SUM(BW201,BX201,BY201)-BZ109*CA285</f>
        <v>-38.6419582384679</v>
      </c>
      <c r="CB201" s="42" t="n">
        <f aca="false">-CB109*CB285</f>
        <v>-54.4749368048419</v>
      </c>
      <c r="CC201" s="42" t="n">
        <f aca="false">-CC109*CC285</f>
        <v>-61.7968997422168</v>
      </c>
      <c r="CD201" s="42" t="n">
        <f aca="false">-CD109*CD285</f>
        <v>-67.9165716909184</v>
      </c>
      <c r="CE201" s="42" t="n">
        <f aca="false">-CE109*CE285</f>
        <v>-74.5523593054597</v>
      </c>
    </row>
    <row r="202" customFormat="false" ht="15" hidden="false" customHeight="true" outlineLevel="0" collapsed="false">
      <c r="B202" s="29" t="s">
        <v>333</v>
      </c>
      <c r="C202" s="35" t="n">
        <v>0</v>
      </c>
      <c r="D202" s="35" t="n">
        <v>0</v>
      </c>
      <c r="E202" s="35" t="n">
        <v>0</v>
      </c>
      <c r="F202" s="35" t="n">
        <v>-11.268</v>
      </c>
      <c r="G202" s="35" t="n">
        <v>-0.795</v>
      </c>
      <c r="H202" s="35" t="n">
        <v>0</v>
      </c>
      <c r="I202" s="35" t="n">
        <v>0</v>
      </c>
      <c r="J202" s="35" t="n">
        <v>-16.61</v>
      </c>
      <c r="K202" s="35" t="n">
        <v>0</v>
      </c>
      <c r="L202" s="35" t="n">
        <v>16.009</v>
      </c>
      <c r="M202" s="35" t="n">
        <v>0</v>
      </c>
      <c r="N202" s="35" t="n">
        <v>-0.601</v>
      </c>
      <c r="O202" s="35" t="n">
        <v>-1.243</v>
      </c>
      <c r="P202" s="35" t="n">
        <v>0</v>
      </c>
      <c r="Q202" s="35" t="n">
        <v>1.243</v>
      </c>
      <c r="R202" s="35" t="n">
        <v>-1.243</v>
      </c>
      <c r="S202" s="35" t="n">
        <v>-1.243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Z202" s="35" t="n">
        <v>-3.599</v>
      </c>
      <c r="AA202" s="35" t="n">
        <v>0</v>
      </c>
      <c r="AB202" s="35" t="n">
        <v>0</v>
      </c>
      <c r="AC202" s="35" t="n">
        <v>-3.599</v>
      </c>
      <c r="AE202" s="35" t="n">
        <v>-3.848</v>
      </c>
      <c r="AF202" s="35" t="n">
        <v>0</v>
      </c>
      <c r="AG202" s="35" t="n">
        <v>0</v>
      </c>
      <c r="AH202" s="35" t="n">
        <v>-3.848</v>
      </c>
      <c r="AL202" s="35" t="n">
        <v>0</v>
      </c>
      <c r="AM202" s="35" t="n">
        <v>0</v>
      </c>
      <c r="AQ202" s="35" t="n">
        <v>0</v>
      </c>
      <c r="AR202" s="35" t="n">
        <v>0</v>
      </c>
      <c r="AU202" s="35" t="n">
        <v>-7.475</v>
      </c>
      <c r="AV202" s="35" t="n">
        <v>0</v>
      </c>
      <c r="AW202" s="35" t="n">
        <v>-7.475</v>
      </c>
      <c r="AZ202" s="35" t="n">
        <v>-2.336</v>
      </c>
      <c r="BA202" s="35" t="n">
        <v>0</v>
      </c>
      <c r="BB202" s="35" t="n">
        <v>-2.336</v>
      </c>
      <c r="BC202" s="35" t="n">
        <v>0</v>
      </c>
      <c r="BD202" s="35" t="n">
        <v>0</v>
      </c>
      <c r="BE202" s="35" t="n">
        <v>-8.735</v>
      </c>
      <c r="BF202" s="35" t="n">
        <v>0</v>
      </c>
      <c r="BG202" s="35" t="n">
        <v>-8.735</v>
      </c>
      <c r="BH202" s="35" t="n">
        <v>-2.733</v>
      </c>
      <c r="BI202" s="35" t="n">
        <v>0</v>
      </c>
      <c r="BJ202" s="35" t="n">
        <v>0</v>
      </c>
      <c r="BK202" s="35" t="n">
        <v>0</v>
      </c>
      <c r="BL202" s="35" t="n">
        <v>-2.733</v>
      </c>
      <c r="BM202" s="35" t="n">
        <v>-2.212</v>
      </c>
      <c r="BN202" s="35" t="n">
        <v>-0.953</v>
      </c>
      <c r="BO202" s="35" t="n">
        <v>-23.402</v>
      </c>
      <c r="BP202" s="35" t="n">
        <v>0</v>
      </c>
      <c r="BQ202" s="35" t="n">
        <v>-26.567</v>
      </c>
      <c r="BR202" s="35" t="n">
        <v>-3.258</v>
      </c>
      <c r="BS202" s="35" t="n">
        <v>-0.947</v>
      </c>
      <c r="BT202" s="35" t="n">
        <v>-1.568</v>
      </c>
      <c r="BU202" s="35" t="n">
        <v>0</v>
      </c>
      <c r="BV202" s="35" t="n">
        <v>-5.773</v>
      </c>
      <c r="BW202" s="35" t="n">
        <v>-4.072</v>
      </c>
      <c r="BX202" s="35" t="n">
        <v>-8.342</v>
      </c>
      <c r="BY202" s="35" t="n">
        <v>-16.931</v>
      </c>
      <c r="CA202" s="42" t="n">
        <f aca="false">SUM(BW202,BX202,BY202)</f>
        <v>-29.345</v>
      </c>
      <c r="CB202" s="46" t="n">
        <v>0</v>
      </c>
      <c r="CC202" s="46" t="n">
        <v>0</v>
      </c>
      <c r="CD202" s="46" t="n">
        <v>0</v>
      </c>
      <c r="CE202" s="46" t="n">
        <v>0</v>
      </c>
    </row>
    <row r="203" customFormat="false" ht="15" hidden="false" customHeight="true" outlineLevel="0" collapsed="false">
      <c r="B203" s="29" t="s">
        <v>334</v>
      </c>
      <c r="CA203" s="42" t="n">
        <f aca="false">-CHOOSE(MATCH($CF$2,{"Bull","Base","Bear"},0),$CO$17,$CP$17,$CQ$17)</f>
        <v>-0</v>
      </c>
      <c r="CB203" s="42" t="n">
        <f aca="false">-CB304</f>
        <v>-0</v>
      </c>
      <c r="CC203" s="42" t="n">
        <f aca="false">-CC304</f>
        <v>-535.060888445034</v>
      </c>
      <c r="CD203" s="42" t="n">
        <f aca="false">-CD304</f>
        <v>-584.645887963604</v>
      </c>
      <c r="CE203" s="42" t="n">
        <f aca="false">-CE304</f>
        <v>-721.975770963892</v>
      </c>
      <c r="CF203" s="19" t="s">
        <v>335</v>
      </c>
    </row>
    <row r="204" customFormat="false" ht="15" hidden="false" customHeight="true" outlineLevel="0" collapsed="false">
      <c r="B204" s="29" t="s">
        <v>336</v>
      </c>
      <c r="C204" s="35" t="n">
        <v>5.071</v>
      </c>
      <c r="D204" s="35" t="n">
        <v>6.875</v>
      </c>
      <c r="E204" s="35" t="n">
        <v>2.398</v>
      </c>
      <c r="F204" s="35" t="n">
        <v>1.207</v>
      </c>
      <c r="G204" s="35" t="n">
        <v>1.134</v>
      </c>
      <c r="H204" s="35" t="n">
        <v>-12.131</v>
      </c>
      <c r="I204" s="35" t="n">
        <v>0.526</v>
      </c>
      <c r="J204" s="35" t="n">
        <v>-2.078</v>
      </c>
      <c r="K204" s="35" t="n">
        <v>0</v>
      </c>
      <c r="L204" s="35" t="n">
        <v>0.06</v>
      </c>
      <c r="M204" s="35" t="n">
        <v>0.117</v>
      </c>
      <c r="N204" s="35" t="n">
        <v>-1.901</v>
      </c>
      <c r="O204" s="35" t="n">
        <v>-0.115</v>
      </c>
      <c r="P204" s="35" t="n">
        <v>0.242</v>
      </c>
      <c r="Q204" s="35" t="n">
        <v>0.194</v>
      </c>
      <c r="R204" s="35" t="n">
        <v>0.114</v>
      </c>
      <c r="S204" s="35" t="n">
        <v>0.435</v>
      </c>
      <c r="T204" s="35" t="n">
        <v>1.512</v>
      </c>
      <c r="U204" s="35" t="n">
        <v>1.437</v>
      </c>
      <c r="V204" s="35" t="n">
        <v>0.304</v>
      </c>
      <c r="W204" s="35" t="n">
        <v>0.415</v>
      </c>
      <c r="X204" s="35" t="n">
        <v>3.668</v>
      </c>
      <c r="Y204" s="35" t="n">
        <v>0.094</v>
      </c>
      <c r="Z204" s="35" t="n">
        <v>1.377</v>
      </c>
      <c r="AA204" s="35" t="n">
        <v>3.36</v>
      </c>
      <c r="AB204" s="35" t="n">
        <v>1.089</v>
      </c>
      <c r="AC204" s="35" t="n">
        <v>5.92</v>
      </c>
      <c r="AD204" s="35" t="n">
        <v>1.23</v>
      </c>
      <c r="AE204" s="35" t="n">
        <v>1.067</v>
      </c>
      <c r="AF204" s="35" t="n">
        <v>1.874</v>
      </c>
      <c r="AG204" s="35" t="n">
        <v>1.285</v>
      </c>
      <c r="AH204" s="35" t="n">
        <v>5.456</v>
      </c>
      <c r="AI204" s="35" t="n">
        <v>1.425</v>
      </c>
      <c r="AJ204" s="35" t="n">
        <v>-24.055</v>
      </c>
      <c r="AK204" s="35" t="n">
        <v>0.725</v>
      </c>
      <c r="AL204" s="35" t="n">
        <v>0.953</v>
      </c>
      <c r="AM204" s="35" t="n">
        <v>-20.952</v>
      </c>
      <c r="AN204" s="35" t="n">
        <v>-0.084</v>
      </c>
      <c r="AO204" s="35" t="n">
        <v>-22.132</v>
      </c>
      <c r="AP204" s="35" t="n">
        <v>-5.114</v>
      </c>
      <c r="AQ204" s="35" t="n">
        <v>-28.137</v>
      </c>
      <c r="AR204" s="35" t="n">
        <v>-55.467</v>
      </c>
      <c r="AS204" s="35" t="n">
        <v>-1.034</v>
      </c>
      <c r="AT204" s="35" t="n">
        <v>0.859</v>
      </c>
      <c r="AU204" s="35" t="n">
        <v>0.19</v>
      </c>
      <c r="AV204" s="35" t="n">
        <v>-5.18</v>
      </c>
      <c r="AW204" s="35" t="n">
        <v>-5.165</v>
      </c>
      <c r="AX204" s="35" t="n">
        <v>-1.121</v>
      </c>
      <c r="AY204" s="35" t="n">
        <v>1.335</v>
      </c>
      <c r="AZ204" s="35" t="n">
        <v>0.604</v>
      </c>
      <c r="BA204" s="35" t="n">
        <v>0.735</v>
      </c>
      <c r="BB204" s="35" t="n">
        <v>1.553</v>
      </c>
      <c r="BC204" s="35" t="n">
        <v>-22.854</v>
      </c>
      <c r="BD204" s="35" t="n">
        <v>0.772</v>
      </c>
      <c r="BE204" s="35" t="n">
        <v>-1.874</v>
      </c>
      <c r="BF204" s="35" t="n">
        <v>0.362</v>
      </c>
      <c r="BG204" s="35" t="n">
        <v>-23.594</v>
      </c>
      <c r="BH204" s="35" t="n">
        <v>-11.96</v>
      </c>
      <c r="BI204" s="35" t="n">
        <v>1.223</v>
      </c>
      <c r="BJ204" s="35" t="n">
        <v>1.374</v>
      </c>
      <c r="BK204" s="35" t="n">
        <v>1.229</v>
      </c>
      <c r="BL204" s="35" t="n">
        <v>-8.134</v>
      </c>
      <c r="BM204" s="35" t="n">
        <v>1.653</v>
      </c>
      <c r="BN204" s="35" t="n">
        <v>0.146</v>
      </c>
      <c r="BO204" s="35" t="n">
        <v>-0.248</v>
      </c>
      <c r="BP204" s="35" t="n">
        <v>-23.512</v>
      </c>
      <c r="BQ204" s="35" t="n">
        <v>-21.961</v>
      </c>
      <c r="BR204" s="35" t="n">
        <v>1.502</v>
      </c>
      <c r="BS204" s="35" t="n">
        <v>2.869</v>
      </c>
      <c r="BT204" s="35" t="n">
        <v>5.33</v>
      </c>
      <c r="BU204" s="35" t="n">
        <v>-18.875</v>
      </c>
      <c r="BV204" s="35" t="n">
        <v>-9.174</v>
      </c>
      <c r="BW204" s="35" t="n">
        <v>-1.635</v>
      </c>
      <c r="BX204" s="35" t="n">
        <v>0.665</v>
      </c>
      <c r="BY204" s="35" t="n">
        <v>1.34</v>
      </c>
      <c r="CA204" s="42" t="n">
        <f aca="false">SUM(BW204,BX204,BY204)</f>
        <v>0.37</v>
      </c>
      <c r="CB204" s="46" t="n">
        <v>0</v>
      </c>
      <c r="CC204" s="46" t="n">
        <v>0</v>
      </c>
      <c r="CD204" s="46" t="n">
        <v>0</v>
      </c>
      <c r="CE204" s="46" t="n">
        <v>0</v>
      </c>
    </row>
    <row r="205" customFormat="false" ht="15" hidden="false" customHeight="true" outlineLevel="0" collapsed="false">
      <c r="B205" s="29" t="s">
        <v>337</v>
      </c>
      <c r="C205" s="35" t="n">
        <v>1.524</v>
      </c>
      <c r="D205" s="35" t="n">
        <v>5.205</v>
      </c>
      <c r="E205" s="35" t="n">
        <v>3.166</v>
      </c>
      <c r="F205" s="35" t="n">
        <v>-6.744</v>
      </c>
      <c r="G205" s="35" t="n">
        <v>0.375</v>
      </c>
      <c r="H205" s="35" t="n">
        <v>-1.151</v>
      </c>
      <c r="I205" s="35" t="n">
        <v>1.68</v>
      </c>
      <c r="J205" s="35" t="n">
        <v>4.383</v>
      </c>
      <c r="K205" s="35" t="n">
        <v>-0.166</v>
      </c>
      <c r="L205" s="35" t="n">
        <v>-16.378</v>
      </c>
      <c r="M205" s="35" t="n">
        <v>-0.189</v>
      </c>
      <c r="N205" s="35" t="n">
        <v>-12.35</v>
      </c>
      <c r="O205" s="35" t="n">
        <v>-0.855</v>
      </c>
      <c r="P205" s="35" t="n">
        <v>-0.755</v>
      </c>
      <c r="Q205" s="35" t="n">
        <v>-1.389</v>
      </c>
      <c r="R205" s="35" t="n">
        <v>1.119</v>
      </c>
      <c r="S205" s="35" t="n">
        <v>-1.88</v>
      </c>
      <c r="T205" s="35" t="n">
        <v>1.299</v>
      </c>
      <c r="U205" s="35" t="n">
        <v>-0.095</v>
      </c>
      <c r="V205" s="35" t="n">
        <v>-0.09</v>
      </c>
      <c r="W205" s="35" t="n">
        <v>-0.1</v>
      </c>
      <c r="X205" s="35" t="n">
        <v>1.014</v>
      </c>
      <c r="Y205" s="35" t="n">
        <v>0.785</v>
      </c>
      <c r="Z205" s="35" t="n">
        <v>-0.096</v>
      </c>
      <c r="AA205" s="35" t="n">
        <v>-7.041</v>
      </c>
      <c r="AB205" s="35" t="n">
        <v>0.544</v>
      </c>
      <c r="AC205" s="35" t="n">
        <v>-5.808</v>
      </c>
      <c r="AD205" s="35" t="n">
        <v>-0.108</v>
      </c>
      <c r="AE205" s="35" t="n">
        <v>-0.533</v>
      </c>
      <c r="AF205" s="35" t="n">
        <v>-6.909</v>
      </c>
      <c r="AG205" s="35" t="n">
        <v>-0.101</v>
      </c>
      <c r="AH205" s="35" t="n">
        <v>-7.651</v>
      </c>
      <c r="AI205" s="35" t="n">
        <v>-4.481</v>
      </c>
      <c r="AJ205" s="35" t="n">
        <v>-0.118</v>
      </c>
      <c r="AK205" s="35" t="n">
        <v>-5.269</v>
      </c>
      <c r="AL205" s="35" t="n">
        <v>-0.293</v>
      </c>
      <c r="AM205" s="35" t="n">
        <v>-10.161</v>
      </c>
      <c r="AN205" s="35" t="n">
        <v>-0.254</v>
      </c>
      <c r="AO205" s="35" t="n">
        <v>-0.205</v>
      </c>
      <c r="AP205" s="35" t="n">
        <v>-4.001</v>
      </c>
      <c r="AQ205" s="35" t="n">
        <v>-0.233</v>
      </c>
      <c r="AR205" s="35" t="n">
        <v>-4.693</v>
      </c>
      <c r="AS205" s="35" t="n">
        <v>-0.538</v>
      </c>
      <c r="AT205" s="35" t="n">
        <v>-0.231</v>
      </c>
      <c r="AU205" s="35" t="n">
        <v>-0.407</v>
      </c>
      <c r="AV205" s="35" t="n">
        <v>14.019</v>
      </c>
      <c r="AW205" s="35" t="n">
        <v>12.843</v>
      </c>
      <c r="AX205" s="35" t="n">
        <v>-1.724</v>
      </c>
      <c r="AY205" s="35" t="n">
        <v>-0.266</v>
      </c>
      <c r="AZ205" s="35" t="n">
        <v>0.14</v>
      </c>
      <c r="BA205" s="35" t="n">
        <v>-0.37</v>
      </c>
      <c r="BB205" s="35" t="n">
        <v>-2.22</v>
      </c>
      <c r="BC205" s="35" t="n">
        <v>0.207</v>
      </c>
      <c r="BD205" s="35" t="n">
        <v>-1.427</v>
      </c>
      <c r="BE205" s="35" t="n">
        <v>0.053</v>
      </c>
      <c r="BF205" s="35" t="n">
        <v>-0.779</v>
      </c>
      <c r="BG205" s="35" t="n">
        <v>-1.946</v>
      </c>
      <c r="BH205" s="35" t="n">
        <v>-4.173</v>
      </c>
      <c r="BI205" s="35" t="n">
        <v>-6.946</v>
      </c>
      <c r="BJ205" s="35" t="n">
        <v>-11.12</v>
      </c>
      <c r="BK205" s="35" t="n">
        <v>-2.415</v>
      </c>
      <c r="BL205" s="35" t="n">
        <v>-22.982</v>
      </c>
      <c r="BM205" s="35" t="n">
        <v>-14.649</v>
      </c>
      <c r="BN205" s="35" t="n">
        <v>-1.053</v>
      </c>
      <c r="BO205" s="35" t="n">
        <v>-12.034</v>
      </c>
      <c r="BP205" s="35" t="n">
        <v>-0.818</v>
      </c>
      <c r="BQ205" s="35" t="n">
        <v>-28.554</v>
      </c>
      <c r="BR205" s="35" t="n">
        <v>-7.024</v>
      </c>
      <c r="BS205" s="35" t="n">
        <v>-1.044</v>
      </c>
      <c r="BT205" s="35" t="n">
        <v>-1.395</v>
      </c>
      <c r="BU205" s="35" t="n">
        <v>-0.815</v>
      </c>
      <c r="BV205" s="35" t="n">
        <v>-10.278</v>
      </c>
      <c r="BW205" s="35" t="n">
        <v>-0.812</v>
      </c>
      <c r="BX205" s="35" t="n">
        <v>-0.83</v>
      </c>
      <c r="BY205" s="35" t="n">
        <v>-5.174</v>
      </c>
      <c r="CA205" s="42" t="n">
        <f aca="false">SUM(BW205,BX205,BY205)</f>
        <v>-6.816</v>
      </c>
      <c r="CB205" s="46" t="n">
        <v>0</v>
      </c>
      <c r="CC205" s="46" t="n">
        <v>0</v>
      </c>
      <c r="CD205" s="46" t="n">
        <v>0</v>
      </c>
      <c r="CE205" s="46" t="n">
        <v>0</v>
      </c>
    </row>
    <row r="206" customFormat="false" ht="15" hidden="false" customHeight="true" outlineLevel="0" collapsed="false">
      <c r="B206" s="16" t="s">
        <v>338</v>
      </c>
      <c r="C206" s="17" t="n">
        <v>20.285</v>
      </c>
      <c r="D206" s="17" t="n">
        <v>3.576</v>
      </c>
      <c r="E206" s="17" t="n">
        <v>-22.503</v>
      </c>
      <c r="F206" s="17" t="n">
        <v>-11.546</v>
      </c>
      <c r="G206" s="17" t="n">
        <v>-54.192</v>
      </c>
      <c r="H206" s="17" t="n">
        <v>-10.669</v>
      </c>
      <c r="I206" s="17" t="n">
        <v>78.427</v>
      </c>
      <c r="J206" s="17" t="n">
        <v>-10.26</v>
      </c>
      <c r="K206" s="17" t="n">
        <v>-28.313</v>
      </c>
      <c r="L206" s="17" t="n">
        <v>85.464</v>
      </c>
      <c r="M206" s="17" t="n">
        <v>56.317</v>
      </c>
      <c r="N206" s="17" t="n">
        <v>103.208</v>
      </c>
      <c r="O206" s="17" t="n">
        <v>-29.046</v>
      </c>
      <c r="P206" s="17" t="n">
        <v>-12.017</v>
      </c>
      <c r="Q206" s="17" t="n">
        <v>-59.547</v>
      </c>
      <c r="R206" s="17" t="n">
        <v>-59.505</v>
      </c>
      <c r="S206" s="17" t="n">
        <v>-160.115</v>
      </c>
      <c r="T206" s="17" t="n">
        <v>23.284</v>
      </c>
      <c r="U206" s="17" t="n">
        <v>-27.834</v>
      </c>
      <c r="V206" s="17" t="n">
        <v>-34.144</v>
      </c>
      <c r="W206" s="17" t="n">
        <v>66.03</v>
      </c>
      <c r="X206" s="17" t="n">
        <v>27.336</v>
      </c>
      <c r="Y206" s="17" t="n">
        <v>220.833</v>
      </c>
      <c r="Z206" s="17" t="n">
        <v>-39.129</v>
      </c>
      <c r="AA206" s="17" t="n">
        <v>-71.704</v>
      </c>
      <c r="AB206" s="17" t="n">
        <v>-53.228</v>
      </c>
      <c r="AC206" s="17" t="n">
        <v>56.772</v>
      </c>
      <c r="AD206" s="17" t="n">
        <v>-46.923</v>
      </c>
      <c r="AE206" s="17" t="n">
        <v>37.775</v>
      </c>
      <c r="AF206" s="17" t="n">
        <v>-49.81</v>
      </c>
      <c r="AG206" s="17" t="n">
        <v>234.83</v>
      </c>
      <c r="AH206" s="17" t="n">
        <v>175.872</v>
      </c>
      <c r="AI206" s="17" t="n">
        <v>-17.333</v>
      </c>
      <c r="AJ206" s="17" t="n">
        <v>-11.74</v>
      </c>
      <c r="AK206" s="17" t="n">
        <v>-82.192</v>
      </c>
      <c r="AL206" s="17" t="n">
        <v>-96.27</v>
      </c>
      <c r="AM206" s="17" t="n">
        <v>-207.535</v>
      </c>
      <c r="AN206" s="17" t="n">
        <v>63.562</v>
      </c>
      <c r="AO206" s="17" t="n">
        <v>-79.732</v>
      </c>
      <c r="AP206" s="17" t="n">
        <v>-31.01</v>
      </c>
      <c r="AQ206" s="17" t="n">
        <v>-112.54</v>
      </c>
      <c r="AR206" s="17" t="n">
        <v>-159.72</v>
      </c>
      <c r="AS206" s="17" t="n">
        <v>-10.215</v>
      </c>
      <c r="AT206" s="17" t="n">
        <v>165.767</v>
      </c>
      <c r="AU206" s="17" t="n">
        <v>-20.927</v>
      </c>
      <c r="AV206" s="17" t="n">
        <v>3.118</v>
      </c>
      <c r="AW206" s="17" t="n">
        <v>137.743</v>
      </c>
      <c r="AX206" s="17" t="n">
        <v>-91.407</v>
      </c>
      <c r="AY206" s="17" t="n">
        <v>-90.01</v>
      </c>
      <c r="AZ206" s="17" t="n">
        <v>-221.806</v>
      </c>
      <c r="BA206" s="17" t="n">
        <v>-155.745</v>
      </c>
      <c r="BB206" s="17" t="n">
        <v>-558.968</v>
      </c>
      <c r="BC206" s="17" t="n">
        <v>-39.92</v>
      </c>
      <c r="BD206" s="17" t="n">
        <v>21.815</v>
      </c>
      <c r="BE206" s="17" t="n">
        <v>-51.985</v>
      </c>
      <c r="BF206" s="17" t="n">
        <v>36.257</v>
      </c>
      <c r="BG206" s="17" t="n">
        <v>-33.833</v>
      </c>
      <c r="BH206" s="17" t="n">
        <v>449.175</v>
      </c>
      <c r="BI206" s="17" t="n">
        <v>-60.41</v>
      </c>
      <c r="BJ206" s="17" t="n">
        <v>435.316</v>
      </c>
      <c r="BK206" s="17" t="n">
        <v>1240.968</v>
      </c>
      <c r="BL206" s="17" t="n">
        <v>2065.049</v>
      </c>
      <c r="BM206" s="17" t="n">
        <v>-16.729</v>
      </c>
      <c r="BN206" s="17" t="n">
        <v>-118.466</v>
      </c>
      <c r="BO206" s="17" t="n">
        <v>-188.852</v>
      </c>
      <c r="BP206" s="17" t="n">
        <v>-65.346</v>
      </c>
      <c r="BQ206" s="17" t="n">
        <v>-389.393</v>
      </c>
      <c r="BR206" s="17" t="n">
        <v>90.712</v>
      </c>
      <c r="BS206" s="17" t="n">
        <v>-81.449</v>
      </c>
      <c r="BT206" s="17" t="n">
        <v>145.986</v>
      </c>
      <c r="BU206" s="17" t="n">
        <v>-305.926</v>
      </c>
      <c r="BV206" s="17" t="n">
        <v>-150.677</v>
      </c>
      <c r="BW206" s="17" t="n">
        <v>309.576</v>
      </c>
      <c r="BX206" s="17" t="n">
        <v>62.31</v>
      </c>
      <c r="BY206" s="17" t="n">
        <v>-91.88</v>
      </c>
      <c r="CA206" s="18" t="n">
        <f aca="false">SUM(CA198:CA205)</f>
        <v>122.184041761532</v>
      </c>
      <c r="CB206" s="18" t="n">
        <f aca="false">SUM(CB198:CB205)</f>
        <v>-92.2229361548419</v>
      </c>
      <c r="CC206" s="18" t="n">
        <f aca="false">SUM(CC198:CC205)</f>
        <v>-637.713107485251</v>
      </c>
      <c r="CD206" s="18" t="n">
        <f aca="false">SUM(CD198:CD205)</f>
        <v>-696.320240270162</v>
      </c>
      <c r="CE206" s="18" t="n">
        <f aca="false">SUM(CE198:CE205)</f>
        <v>-707.729962615666</v>
      </c>
    </row>
    <row r="207" customFormat="false" ht="15" hidden="false" customHeight="true" outlineLevel="0" collapsed="false">
      <c r="B207" s="29" t="s">
        <v>339</v>
      </c>
      <c r="C207" s="35" t="n">
        <v>0.037</v>
      </c>
      <c r="D207" s="35" t="n">
        <v>0.116</v>
      </c>
      <c r="E207" s="35" t="n">
        <v>-0.717</v>
      </c>
      <c r="F207" s="35" t="n">
        <v>0.365</v>
      </c>
      <c r="G207" s="35" t="n">
        <v>0.114</v>
      </c>
      <c r="H207" s="35" t="n">
        <v>0.008</v>
      </c>
      <c r="I207" s="35" t="n">
        <v>-0.353</v>
      </c>
      <c r="J207" s="35" t="n">
        <v>0.326</v>
      </c>
      <c r="K207" s="35" t="n">
        <v>-0.345</v>
      </c>
      <c r="L207" s="35" t="n">
        <v>0.062</v>
      </c>
      <c r="M207" s="35" t="n">
        <v>0.269</v>
      </c>
      <c r="N207" s="35" t="n">
        <v>0.312</v>
      </c>
      <c r="O207" s="35" t="n">
        <v>-0.17</v>
      </c>
      <c r="P207" s="35" t="n">
        <v>0.197</v>
      </c>
      <c r="Q207" s="35" t="n">
        <v>-0.177</v>
      </c>
      <c r="R207" s="35" t="n">
        <v>-0.507</v>
      </c>
      <c r="S207" s="35" t="n">
        <v>-0.657</v>
      </c>
      <c r="T207" s="35" t="n">
        <v>-1.106</v>
      </c>
      <c r="U207" s="35" t="n">
        <v>0.157</v>
      </c>
      <c r="V207" s="35" t="n">
        <v>-0.384</v>
      </c>
      <c r="W207" s="35" t="n">
        <v>0.514</v>
      </c>
      <c r="X207" s="35" t="n">
        <v>-0.819</v>
      </c>
      <c r="Y207" s="35" t="n">
        <v>-0.177</v>
      </c>
      <c r="Z207" s="35" t="n">
        <v>1.552</v>
      </c>
      <c r="AA207" s="35" t="n">
        <v>-0.274</v>
      </c>
      <c r="AB207" s="35" t="n">
        <v>-0.089</v>
      </c>
      <c r="AC207" s="35" t="n">
        <v>1.012</v>
      </c>
      <c r="AD207" s="35" t="n">
        <v>-0.099</v>
      </c>
      <c r="AE207" s="35" t="n">
        <v>0.631</v>
      </c>
      <c r="AF207" s="35" t="n">
        <v>2.546</v>
      </c>
      <c r="AG207" s="35" t="n">
        <v>0.091</v>
      </c>
      <c r="AH207" s="35" t="n">
        <v>3.169</v>
      </c>
      <c r="AI207" s="35" t="n">
        <v>2.443</v>
      </c>
      <c r="AJ207" s="35" t="n">
        <v>-0.644</v>
      </c>
      <c r="AK207" s="35" t="n">
        <v>-1.089</v>
      </c>
      <c r="AL207" s="35" t="n">
        <v>-0.618</v>
      </c>
      <c r="AM207" s="35" t="n">
        <v>0.092</v>
      </c>
      <c r="AN207" s="35" t="n">
        <v>0.703</v>
      </c>
      <c r="AO207" s="35" t="n">
        <v>-0.594</v>
      </c>
      <c r="AP207" s="35" t="n">
        <v>0.113</v>
      </c>
      <c r="AQ207" s="35" t="n">
        <v>0.168</v>
      </c>
      <c r="AR207" s="35" t="n">
        <v>0.39</v>
      </c>
      <c r="AS207" s="35" t="n">
        <v>-0.397</v>
      </c>
      <c r="AT207" s="35" t="n">
        <v>-0.347</v>
      </c>
      <c r="AU207" s="35" t="n">
        <v>3.432</v>
      </c>
      <c r="AV207" s="35" t="n">
        <v>-0.662</v>
      </c>
      <c r="AW207" s="35" t="n">
        <v>2.026</v>
      </c>
      <c r="AX207" s="35" t="n">
        <v>2.03</v>
      </c>
      <c r="AY207" s="35" t="n">
        <v>-0.086</v>
      </c>
      <c r="AZ207" s="35" t="n">
        <v>-0.97</v>
      </c>
      <c r="BA207" s="35" t="n">
        <v>-1.19</v>
      </c>
      <c r="BB207" s="35" t="n">
        <v>-0.216</v>
      </c>
      <c r="BC207" s="35" t="n">
        <v>-1.581</v>
      </c>
      <c r="BD207" s="35" t="n">
        <v>-2.092</v>
      </c>
      <c r="BE207" s="35" t="n">
        <v>-1.489</v>
      </c>
      <c r="BF207" s="35" t="n">
        <v>-1.826</v>
      </c>
      <c r="BG207" s="35" t="n">
        <v>-6.988</v>
      </c>
      <c r="BH207" s="35" t="n">
        <v>3.234</v>
      </c>
      <c r="BI207" s="35" t="n">
        <v>1.012</v>
      </c>
      <c r="BJ207" s="35" t="n">
        <v>0.264</v>
      </c>
      <c r="BK207" s="35" t="n">
        <v>-2.283</v>
      </c>
      <c r="BL207" s="35" t="n">
        <v>2.227</v>
      </c>
      <c r="BM207" s="35" t="n">
        <v>1.491</v>
      </c>
      <c r="BN207" s="35" t="n">
        <v>-0.689</v>
      </c>
      <c r="BO207" s="35" t="n">
        <v>0.54</v>
      </c>
      <c r="BP207" s="35" t="n">
        <v>-0.064</v>
      </c>
      <c r="BQ207" s="35" t="n">
        <v>1.278</v>
      </c>
      <c r="BR207" s="35" t="n">
        <v>-2.387</v>
      </c>
      <c r="BS207" s="35" t="n">
        <v>5.36</v>
      </c>
      <c r="BT207" s="35" t="n">
        <v>0.317</v>
      </c>
      <c r="BU207" s="35" t="n">
        <v>0.49</v>
      </c>
      <c r="BV207" s="35" t="n">
        <v>3.78</v>
      </c>
      <c r="BW207" s="35" t="n">
        <v>1.984</v>
      </c>
      <c r="BX207" s="35" t="n">
        <v>-0.93</v>
      </c>
      <c r="BY207" s="35" t="n">
        <v>-0.919</v>
      </c>
      <c r="CA207" s="42" t="n">
        <f aca="false">SUM(BW207,BX207,BY207)</f>
        <v>0.135</v>
      </c>
      <c r="CB207" s="46" t="n">
        <v>0</v>
      </c>
      <c r="CC207" s="46" t="n">
        <v>0</v>
      </c>
      <c r="CD207" s="46" t="n">
        <v>0</v>
      </c>
      <c r="CE207" s="46" t="n">
        <v>0</v>
      </c>
    </row>
    <row r="208" customFormat="false" ht="15" hidden="false" customHeight="true" outlineLevel="0" collapsed="false">
      <c r="B208" s="16" t="s">
        <v>340</v>
      </c>
      <c r="C208" s="17" t="n">
        <v>-0.331</v>
      </c>
      <c r="D208" s="17" t="n">
        <v>-0.052</v>
      </c>
      <c r="E208" s="17" t="n">
        <v>7.615</v>
      </c>
      <c r="F208" s="17" t="n">
        <v>-5.395</v>
      </c>
      <c r="G208" s="17" t="n">
        <v>-0.624</v>
      </c>
      <c r="H208" s="17" t="n">
        <v>10.957</v>
      </c>
      <c r="I208" s="17" t="n">
        <v>3.951</v>
      </c>
      <c r="J208" s="17" t="n">
        <v>-2.362</v>
      </c>
      <c r="K208" s="17" t="n">
        <v>-2.211</v>
      </c>
      <c r="L208" s="17" t="n">
        <v>-4.107</v>
      </c>
      <c r="M208" s="17" t="n">
        <v>2.728</v>
      </c>
      <c r="N208" s="17" t="n">
        <v>-5.952</v>
      </c>
      <c r="O208" s="17" t="n">
        <v>-0.26</v>
      </c>
      <c r="P208" s="17" t="n">
        <v>6.163</v>
      </c>
      <c r="Q208" s="17" t="n">
        <v>-0.458</v>
      </c>
      <c r="R208" s="17" t="n">
        <v>-0.715</v>
      </c>
      <c r="S208" s="17" t="n">
        <v>4.73</v>
      </c>
      <c r="T208" s="17" t="n">
        <v>-1.857</v>
      </c>
      <c r="U208" s="17" t="n">
        <v>2.307</v>
      </c>
      <c r="V208" s="17" t="n">
        <v>11.018</v>
      </c>
      <c r="W208" s="17" t="n">
        <v>1.906</v>
      </c>
      <c r="X208" s="17" t="n">
        <v>13.374</v>
      </c>
      <c r="Y208" s="17" t="n">
        <v>-3.717</v>
      </c>
      <c r="Z208" s="17" t="n">
        <v>6.903</v>
      </c>
      <c r="AA208" s="17" t="n">
        <v>-9.598</v>
      </c>
      <c r="AB208" s="17" t="n">
        <v>15.764</v>
      </c>
      <c r="AC208" s="17" t="n">
        <v>9.352</v>
      </c>
      <c r="AD208" s="17" t="n">
        <v>2.95</v>
      </c>
      <c r="AE208" s="17" t="n">
        <v>-9.173</v>
      </c>
      <c r="AF208" s="17" t="n">
        <v>12.757</v>
      </c>
      <c r="AG208" s="17" t="n">
        <v>2.577</v>
      </c>
      <c r="AH208" s="17" t="n">
        <v>9.111</v>
      </c>
      <c r="AI208" s="17" t="n">
        <v>13.622</v>
      </c>
      <c r="AJ208" s="17" t="n">
        <v>-17.461</v>
      </c>
      <c r="AK208" s="17" t="n">
        <v>18.754</v>
      </c>
      <c r="AL208" s="17" t="n">
        <v>-7.382</v>
      </c>
      <c r="AM208" s="17" t="n">
        <v>7.533</v>
      </c>
      <c r="AN208" s="17" t="n">
        <v>-1.743</v>
      </c>
      <c r="AO208" s="17" t="n">
        <v>6.235</v>
      </c>
      <c r="AP208" s="17" t="n">
        <v>-5.068</v>
      </c>
      <c r="AQ208" s="17" t="n">
        <v>-2.022</v>
      </c>
      <c r="AR208" s="17" t="n">
        <v>-2.598</v>
      </c>
      <c r="AS208" s="17" t="n">
        <v>6.97</v>
      </c>
      <c r="AT208" s="17" t="n">
        <v>282.815</v>
      </c>
      <c r="AU208" s="17" t="n">
        <v>48.492</v>
      </c>
      <c r="AV208" s="17" t="n">
        <v>11.574</v>
      </c>
      <c r="AW208" s="17" t="n">
        <v>349.851</v>
      </c>
      <c r="AX208" s="17" t="n">
        <v>-7.449</v>
      </c>
      <c r="AY208" s="17" t="n">
        <v>-13.959</v>
      </c>
      <c r="AZ208" s="17" t="n">
        <v>-115.628</v>
      </c>
      <c r="BA208" s="17" t="n">
        <v>-161.518</v>
      </c>
      <c r="BB208" s="17" t="n">
        <v>-298.554</v>
      </c>
      <c r="BC208" s="17" t="n">
        <v>16.52</v>
      </c>
      <c r="BD208" s="17" t="n">
        <v>-7.5</v>
      </c>
      <c r="BE208" s="17" t="n">
        <v>16.287</v>
      </c>
      <c r="BF208" s="17" t="n">
        <v>5.899</v>
      </c>
      <c r="BG208" s="17" t="n">
        <v>31.206</v>
      </c>
      <c r="BH208" s="17" t="n">
        <v>3.115</v>
      </c>
      <c r="BI208" s="17" t="n">
        <v>-15.458</v>
      </c>
      <c r="BJ208" s="17" t="n">
        <v>567.102</v>
      </c>
      <c r="BK208" s="17" t="n">
        <v>-523.215</v>
      </c>
      <c r="BL208" s="17" t="n">
        <v>31.544</v>
      </c>
      <c r="BM208" s="17" t="n">
        <v>25.275</v>
      </c>
      <c r="BN208" s="17" t="n">
        <v>7.838</v>
      </c>
      <c r="BO208" s="17" t="n">
        <v>-1.221</v>
      </c>
      <c r="BP208" s="17" t="n">
        <v>-40.837</v>
      </c>
      <c r="BQ208" s="17" t="n">
        <v>-8.945</v>
      </c>
      <c r="BR208" s="17" t="n">
        <v>3.364</v>
      </c>
      <c r="BS208" s="17" t="n">
        <v>76.842</v>
      </c>
      <c r="BT208" s="17" t="n">
        <v>19.579</v>
      </c>
      <c r="BU208" s="17" t="n">
        <v>-44.107</v>
      </c>
      <c r="BV208" s="17" t="n">
        <v>55.678</v>
      </c>
      <c r="BW208" s="17" t="n">
        <v>43.19</v>
      </c>
      <c r="BX208" s="17" t="n">
        <v>-50.636</v>
      </c>
      <c r="BY208" s="17" t="n">
        <v>30.624</v>
      </c>
      <c r="CA208" s="18" t="n">
        <f aca="false">CA193+CA197+CA206+CA207</f>
        <v>136.311035560619</v>
      </c>
      <c r="CB208" s="18" t="n">
        <f aca="false">CB193+CB197+CB206+CB207</f>
        <v>220.925176098148</v>
      </c>
      <c r="CC208" s="18" t="n">
        <f aca="false">CC193+CC197+CC206+CC207</f>
        <v>-148.803493349748</v>
      </c>
      <c r="CD208" s="18" t="n">
        <f aca="false">CD193+CD197+CD206+CD207</f>
        <v>-173.531219410783</v>
      </c>
      <c r="CE208" s="18" t="n">
        <f aca="false">CE193+CE197+CE206+CE207</f>
        <v>-52.6824988982355</v>
      </c>
    </row>
    <row r="209" customFormat="false" ht="15" hidden="false" customHeight="true" outlineLevel="0" collapsed="false">
      <c r="B209" s="29" t="s">
        <v>341</v>
      </c>
      <c r="C209" s="35" t="n">
        <v>5.33</v>
      </c>
      <c r="D209" s="35" t="n">
        <v>4.999</v>
      </c>
      <c r="E209" s="35" t="n">
        <v>4.947</v>
      </c>
      <c r="F209" s="35" t="n">
        <v>12.562</v>
      </c>
      <c r="G209" s="35" t="n">
        <v>7.167</v>
      </c>
      <c r="H209" s="35" t="n">
        <v>6.543</v>
      </c>
      <c r="I209" s="35" t="n">
        <v>17.5</v>
      </c>
      <c r="J209" s="35" t="n">
        <v>21.451</v>
      </c>
      <c r="K209" s="35" t="n">
        <v>19.089</v>
      </c>
      <c r="L209" s="35" t="n">
        <v>16.878</v>
      </c>
      <c r="M209" s="35" t="n">
        <v>12.771</v>
      </c>
      <c r="N209" s="35" t="n">
        <v>21.451</v>
      </c>
      <c r="O209" s="35" t="n">
        <v>15.499</v>
      </c>
      <c r="P209" s="35" t="n">
        <v>15.239</v>
      </c>
      <c r="Q209" s="35" t="n">
        <v>21.402</v>
      </c>
      <c r="R209" s="35" t="n">
        <v>20.944</v>
      </c>
      <c r="S209" s="35" t="n">
        <v>15.499</v>
      </c>
      <c r="T209" s="35" t="n">
        <v>20.229</v>
      </c>
      <c r="U209" s="35" t="n">
        <v>18.372</v>
      </c>
      <c r="V209" s="35" t="n">
        <v>20.679</v>
      </c>
      <c r="W209" s="35" t="n">
        <v>31.697</v>
      </c>
      <c r="X209" s="35" t="n">
        <v>20.229</v>
      </c>
      <c r="Y209" s="35" t="n">
        <v>33.603</v>
      </c>
      <c r="Z209" s="35" t="n">
        <v>29.886</v>
      </c>
      <c r="AA209" s="35" t="n">
        <v>36.789</v>
      </c>
      <c r="AB209" s="35" t="n">
        <v>27.191</v>
      </c>
      <c r="AC209" s="35" t="n">
        <v>33.603</v>
      </c>
      <c r="AD209" s="35" t="n">
        <v>42.955</v>
      </c>
      <c r="AE209" s="35" t="n">
        <v>45.905</v>
      </c>
      <c r="AF209" s="35" t="n">
        <v>36.732</v>
      </c>
      <c r="AG209" s="35" t="n">
        <v>49.489</v>
      </c>
      <c r="AH209" s="35" t="n">
        <v>42.955</v>
      </c>
      <c r="AI209" s="35" t="n">
        <v>52.066</v>
      </c>
      <c r="AJ209" s="35" t="n">
        <v>65.688</v>
      </c>
      <c r="AK209" s="35" t="n">
        <v>48.227</v>
      </c>
      <c r="AL209" s="35" t="n">
        <v>66.981</v>
      </c>
      <c r="AM209" s="35" t="n">
        <v>52.066</v>
      </c>
      <c r="AN209" s="35" t="n">
        <v>59.599</v>
      </c>
      <c r="AO209" s="35" t="n">
        <v>57.856</v>
      </c>
      <c r="AP209" s="35" t="n">
        <v>64.091</v>
      </c>
      <c r="AQ209" s="35" t="n">
        <v>59.023</v>
      </c>
      <c r="AR209" s="35" t="n">
        <v>59.599</v>
      </c>
      <c r="AS209" s="35" t="n">
        <v>57.001</v>
      </c>
      <c r="AT209" s="35" t="n">
        <v>63.971</v>
      </c>
      <c r="AU209" s="35" t="n">
        <v>346.786</v>
      </c>
      <c r="AV209" s="35" t="n">
        <v>395.278</v>
      </c>
      <c r="AW209" s="35" t="n">
        <v>57.001</v>
      </c>
      <c r="AX209" s="35" t="n">
        <v>406.852</v>
      </c>
      <c r="AY209" s="35" t="n">
        <v>399.403</v>
      </c>
      <c r="AZ209" s="35" t="n">
        <v>385.444</v>
      </c>
      <c r="BA209" s="35" t="n">
        <v>269.816</v>
      </c>
      <c r="BB209" s="35" t="n">
        <v>406.852</v>
      </c>
      <c r="BC209" s="35" t="n">
        <v>108.298</v>
      </c>
      <c r="BD209" s="35" t="n">
        <v>124.818</v>
      </c>
      <c r="BE209" s="35" t="n">
        <v>117.318</v>
      </c>
      <c r="BF209" s="35" t="n">
        <v>133.605</v>
      </c>
      <c r="BG209" s="35" t="n">
        <v>108.298</v>
      </c>
      <c r="BH209" s="35" t="n">
        <v>139.504</v>
      </c>
      <c r="BI209" s="35" t="n">
        <v>142.619</v>
      </c>
      <c r="BJ209" s="35" t="n">
        <v>127.161</v>
      </c>
      <c r="BK209" s="35" t="n">
        <v>694.263</v>
      </c>
      <c r="BL209" s="35" t="n">
        <v>139.504</v>
      </c>
      <c r="BM209" s="35" t="n">
        <v>171.048</v>
      </c>
      <c r="BN209" s="35" t="n">
        <v>196.323</v>
      </c>
      <c r="BO209" s="35" t="n">
        <v>204.161</v>
      </c>
      <c r="BP209" s="35" t="n">
        <v>202.94</v>
      </c>
      <c r="BQ209" s="35" t="n">
        <v>171.048</v>
      </c>
      <c r="BR209" s="35" t="n">
        <v>162.103</v>
      </c>
      <c r="BS209" s="35" t="n">
        <v>165.467</v>
      </c>
      <c r="BT209" s="35" t="n">
        <v>242.309</v>
      </c>
      <c r="BU209" s="35" t="n">
        <v>261.888</v>
      </c>
      <c r="BV209" s="35" t="n">
        <v>162.103</v>
      </c>
      <c r="BW209" s="35" t="n">
        <v>217.781</v>
      </c>
      <c r="BX209" s="35" t="n">
        <v>260.971</v>
      </c>
      <c r="BY209" s="35" t="n">
        <v>210.335</v>
      </c>
      <c r="CA209" s="42" t="n">
        <f aca="false">BV210</f>
        <v>217.781</v>
      </c>
      <c r="CB209" s="42" t="n">
        <f aca="false">CA210</f>
        <v>354.092035560619</v>
      </c>
      <c r="CC209" s="42" t="n">
        <f aca="false">CB210</f>
        <v>575.017211658767</v>
      </c>
      <c r="CD209" s="42" t="n">
        <f aca="false">CC210</f>
        <v>426.213718309018</v>
      </c>
      <c r="CE209" s="42" t="n">
        <f aca="false">CD210</f>
        <v>252.682498898235</v>
      </c>
    </row>
    <row r="210" customFormat="false" ht="15" hidden="false" customHeight="true" outlineLevel="0" collapsed="false">
      <c r="B210" s="16" t="s">
        <v>342</v>
      </c>
      <c r="C210" s="17" t="n">
        <v>4.999</v>
      </c>
      <c r="D210" s="17" t="n">
        <v>4.947</v>
      </c>
      <c r="E210" s="17" t="n">
        <v>12.562</v>
      </c>
      <c r="F210" s="17" t="n">
        <v>7.167</v>
      </c>
      <c r="G210" s="17" t="n">
        <v>6.543</v>
      </c>
      <c r="H210" s="17" t="n">
        <v>17.5</v>
      </c>
      <c r="I210" s="17" t="n">
        <v>21.451</v>
      </c>
      <c r="J210" s="17" t="n">
        <v>19.089</v>
      </c>
      <c r="K210" s="17" t="n">
        <v>16.878</v>
      </c>
      <c r="L210" s="17" t="n">
        <v>12.771</v>
      </c>
      <c r="M210" s="17" t="n">
        <v>15.499</v>
      </c>
      <c r="N210" s="17" t="n">
        <v>15.499</v>
      </c>
      <c r="O210" s="17" t="n">
        <v>15.239</v>
      </c>
      <c r="P210" s="17" t="n">
        <v>21.402</v>
      </c>
      <c r="Q210" s="17" t="n">
        <v>20.944</v>
      </c>
      <c r="R210" s="17" t="n">
        <v>20.229</v>
      </c>
      <c r="S210" s="17" t="n">
        <v>20.229</v>
      </c>
      <c r="T210" s="17" t="n">
        <v>18.372</v>
      </c>
      <c r="U210" s="17" t="n">
        <v>20.679</v>
      </c>
      <c r="V210" s="17" t="n">
        <v>31.697</v>
      </c>
      <c r="W210" s="17" t="n">
        <v>33.603</v>
      </c>
      <c r="X210" s="17" t="n">
        <v>33.603</v>
      </c>
      <c r="Y210" s="17" t="n">
        <v>29.886</v>
      </c>
      <c r="Z210" s="17" t="n">
        <v>36.789</v>
      </c>
      <c r="AA210" s="17" t="n">
        <v>27.191</v>
      </c>
      <c r="AB210" s="17" t="n">
        <v>42.955</v>
      </c>
      <c r="AC210" s="17" t="n">
        <v>42.955</v>
      </c>
      <c r="AD210" s="17" t="n">
        <v>45.905</v>
      </c>
      <c r="AE210" s="17" t="n">
        <v>36.732</v>
      </c>
      <c r="AF210" s="17" t="n">
        <v>49.489</v>
      </c>
      <c r="AG210" s="17" t="n">
        <v>52.066</v>
      </c>
      <c r="AH210" s="17" t="n">
        <v>52.066</v>
      </c>
      <c r="AI210" s="17" t="n">
        <v>65.688</v>
      </c>
      <c r="AJ210" s="17" t="n">
        <v>48.227</v>
      </c>
      <c r="AK210" s="17" t="n">
        <v>66.981</v>
      </c>
      <c r="AL210" s="17" t="n">
        <v>59.599</v>
      </c>
      <c r="AM210" s="17" t="n">
        <v>59.599</v>
      </c>
      <c r="AN210" s="17" t="n">
        <v>57.856</v>
      </c>
      <c r="AO210" s="17" t="n">
        <v>64.091</v>
      </c>
      <c r="AP210" s="17" t="n">
        <v>59.023</v>
      </c>
      <c r="AQ210" s="17" t="n">
        <v>57.001</v>
      </c>
      <c r="AR210" s="17" t="n">
        <v>57.001</v>
      </c>
      <c r="AS210" s="17" t="n">
        <v>63.971</v>
      </c>
      <c r="AT210" s="17" t="n">
        <v>346.786</v>
      </c>
      <c r="AU210" s="17" t="n">
        <v>395.278</v>
      </c>
      <c r="AV210" s="17" t="n">
        <v>406.852</v>
      </c>
      <c r="AW210" s="17" t="n">
        <v>406.852</v>
      </c>
      <c r="AX210" s="17" t="n">
        <v>399.403</v>
      </c>
      <c r="AY210" s="17" t="n">
        <v>385.444</v>
      </c>
      <c r="AZ210" s="17" t="n">
        <v>269.816</v>
      </c>
      <c r="BA210" s="17" t="n">
        <v>108.298</v>
      </c>
      <c r="BB210" s="17" t="n">
        <v>108.298</v>
      </c>
      <c r="BC210" s="17" t="n">
        <v>124.818</v>
      </c>
      <c r="BD210" s="17" t="n">
        <v>117.318</v>
      </c>
      <c r="BE210" s="17" t="n">
        <v>133.605</v>
      </c>
      <c r="BF210" s="17" t="n">
        <v>139.504</v>
      </c>
      <c r="BG210" s="17" t="n">
        <v>139.504</v>
      </c>
      <c r="BH210" s="17" t="n">
        <v>142.619</v>
      </c>
      <c r="BI210" s="17" t="n">
        <v>127.161</v>
      </c>
      <c r="BJ210" s="17" t="n">
        <v>694.263</v>
      </c>
      <c r="BK210" s="17" t="n">
        <v>171.048</v>
      </c>
      <c r="BL210" s="17" t="n">
        <v>171.048</v>
      </c>
      <c r="BM210" s="17" t="n">
        <v>196.323</v>
      </c>
      <c r="BN210" s="17" t="n">
        <v>204.161</v>
      </c>
      <c r="BO210" s="17" t="n">
        <v>202.94</v>
      </c>
      <c r="BP210" s="17" t="n">
        <v>162.103</v>
      </c>
      <c r="BQ210" s="17" t="n">
        <v>162.103</v>
      </c>
      <c r="BR210" s="17" t="n">
        <v>165.467</v>
      </c>
      <c r="BS210" s="17" t="n">
        <v>242.309</v>
      </c>
      <c r="BT210" s="17" t="n">
        <v>261.888</v>
      </c>
      <c r="BU210" s="17" t="n">
        <v>217.781</v>
      </c>
      <c r="BV210" s="17" t="n">
        <v>217.781</v>
      </c>
      <c r="BW210" s="17" t="n">
        <v>260.971</v>
      </c>
      <c r="BX210" s="17" t="n">
        <v>210.335</v>
      </c>
      <c r="BY210" s="17" t="n">
        <v>240.959</v>
      </c>
      <c r="CA210" s="18" t="n">
        <f aca="false">CA209+CA208</f>
        <v>354.092035560619</v>
      </c>
      <c r="CB210" s="18" t="n">
        <f aca="false">CB209+CB208</f>
        <v>575.017211658767</v>
      </c>
      <c r="CC210" s="18" t="n">
        <f aca="false">CC209+CC208</f>
        <v>426.213718309018</v>
      </c>
      <c r="CD210" s="18" t="n">
        <f aca="false">CD209+CD208</f>
        <v>252.682498898235</v>
      </c>
      <c r="CE210" s="18" t="n">
        <f aca="false">CE209+CE208</f>
        <v>200</v>
      </c>
    </row>
    <row r="211" customFormat="false" ht="15" hidden="false" customHeight="true" outlineLevel="0" collapsed="false">
      <c r="B211" s="51" t="s">
        <v>343</v>
      </c>
      <c r="C211" s="36" t="n">
        <f aca="false">IF(ISNUMBER(C193),ROUND(C193+C197+C206+C207-C208,1),"")</f>
        <v>-0</v>
      </c>
      <c r="D211" s="36" t="n">
        <f aca="false">IF(ISNUMBER(D193),ROUND(D193+D197+D206+D207-D208,1),"")</f>
        <v>0</v>
      </c>
      <c r="E211" s="36" t="n">
        <f aca="false">IF(ISNUMBER(E193),ROUND(E193+E197+E206+E207-E208,1),"")</f>
        <v>0</v>
      </c>
      <c r="F211" s="36" t="n">
        <f aca="false">IF(ISNUMBER(F193),ROUND(F193+F197+F206+F207-F208,1),"")</f>
        <v>0</v>
      </c>
      <c r="G211" s="36" t="n">
        <f aca="false">IF(ISNUMBER(G193),ROUND(G193+G197+G206+G207-G208,1),"")</f>
        <v>0</v>
      </c>
      <c r="H211" s="36" t="n">
        <f aca="false">IF(ISNUMBER(H193),ROUND(H193+H197+H206+H207-H208,1),"")</f>
        <v>0</v>
      </c>
      <c r="I211" s="36" t="n">
        <f aca="false">IF(ISNUMBER(I193),ROUND(I193+I197+I206+I207-I208,1),"")</f>
        <v>0</v>
      </c>
      <c r="J211" s="36" t="n">
        <f aca="false">IF(ISNUMBER(J193),ROUND(J193+J197+J206+J207-J208,1),"")</f>
        <v>0</v>
      </c>
      <c r="K211" s="36" t="n">
        <f aca="false">IF(ISNUMBER(K193),ROUND(K193+K197+K206+K207-K208,1),"")</f>
        <v>0</v>
      </c>
      <c r="L211" s="36" t="n">
        <f aca="false">IF(ISNUMBER(L193),ROUND(L193+L197+L206+L207-L208,1),"")</f>
        <v>0</v>
      </c>
      <c r="M211" s="36" t="n">
        <f aca="false">IF(ISNUMBER(M193),ROUND(M193+M197+M206+M207-M208,1),"")</f>
        <v>0</v>
      </c>
      <c r="N211" s="36" t="n">
        <f aca="false">IF(ISNUMBER(N193),ROUND(N193+N197+N206+N207-N208,1),"")</f>
        <v>0</v>
      </c>
      <c r="O211" s="36" t="n">
        <f aca="false">IF(ISNUMBER(O193),ROUND(O193+O197+O206+O207-O208,1),"")</f>
        <v>0</v>
      </c>
      <c r="P211" s="36" t="n">
        <f aca="false">IF(ISNUMBER(P193),ROUND(P193+P197+P206+P207-P208,1),"")</f>
        <v>0</v>
      </c>
      <c r="Q211" s="36" t="n">
        <f aca="false">IF(ISNUMBER(Q193),ROUND(Q193+Q197+Q206+Q207-Q208,1),"")</f>
        <v>0</v>
      </c>
      <c r="R211" s="36" t="n">
        <f aca="false">IF(ISNUMBER(R193),ROUND(R193+R197+R206+R207-R208,1),"")</f>
        <v>0</v>
      </c>
      <c r="S211" s="36" t="n">
        <f aca="false">IF(ISNUMBER(S193),ROUND(S193+S197+S206+S207-S208,1),"")</f>
        <v>-0</v>
      </c>
      <c r="T211" s="36" t="n">
        <f aca="false">IF(ISNUMBER(T193),ROUND(T193+T197+T206+T207-T208,1),"")</f>
        <v>0</v>
      </c>
      <c r="U211" s="36" t="n">
        <f aca="false">IF(ISNUMBER(U193),ROUND(U193+U197+U206+U207-U208,1),"")</f>
        <v>0</v>
      </c>
      <c r="V211" s="36" t="n">
        <f aca="false">IF(ISNUMBER(V193),ROUND(V193+V197+V206+V207-V208,1),"")</f>
        <v>0</v>
      </c>
      <c r="W211" s="36" t="n">
        <f aca="false">IF(ISNUMBER(W193),ROUND(W193+W197+W206+W207-W208,1),"")</f>
        <v>0</v>
      </c>
      <c r="X211" s="36" t="n">
        <f aca="false">IF(ISNUMBER(X193),ROUND(X193+X197+X206+X207-X208,1),"")</f>
        <v>0</v>
      </c>
      <c r="Y211" s="36" t="n">
        <f aca="false">IF(ISNUMBER(Y193),ROUND(Y193+Y197+Y206+Y207-Y208,1),"")</f>
        <v>-0</v>
      </c>
      <c r="Z211" s="36" t="n">
        <f aca="false">IF(ISNUMBER(Z193),ROUND(Z193+Z197+Z206+Z207-Z208,1),"")</f>
        <v>0</v>
      </c>
      <c r="AA211" s="36" t="n">
        <f aca="false">IF(ISNUMBER(AA193),ROUND(AA193+AA197+AA206+AA207-AA208,1),"")</f>
        <v>0</v>
      </c>
      <c r="AB211" s="36" t="n">
        <f aca="false">IF(ISNUMBER(AB193),ROUND(AB193+AB197+AB206+AB207-AB208,1),"")</f>
        <v>0</v>
      </c>
      <c r="AC211" s="36" t="n">
        <f aca="false">IF(ISNUMBER(AC193),ROUND(AC193+AC197+AC206+AC207-AC208,1),"")</f>
        <v>0</v>
      </c>
      <c r="AD211" s="36" t="n">
        <f aca="false">IF(ISNUMBER(AD193),ROUND(AD193+AD197+AD206+AD207-AD208,1),"")</f>
        <v>0</v>
      </c>
      <c r="AE211" s="36" t="n">
        <f aca="false">IF(ISNUMBER(AE193),ROUND(AE193+AE197+AE206+AE207-AE208,1),"")</f>
        <v>0</v>
      </c>
      <c r="AF211" s="36" t="n">
        <f aca="false">IF(ISNUMBER(AF193),ROUND(AF193+AF197+AF206+AF207-AF208,1),"")</f>
        <v>0</v>
      </c>
      <c r="AG211" s="36" t="n">
        <f aca="false">IF(ISNUMBER(AG193),ROUND(AG193+AG197+AG206+AG207-AG208,1),"")</f>
        <v>0</v>
      </c>
      <c r="AH211" s="36" t="n">
        <f aca="false">IF(ISNUMBER(AH193),ROUND(AH193+AH197+AH206+AH207-AH208,1),"")</f>
        <v>0</v>
      </c>
      <c r="AI211" s="36" t="n">
        <f aca="false">IF(ISNUMBER(AI193),ROUND(AI193+AI197+AI206+AI207-AI208,1),"")</f>
        <v>0</v>
      </c>
      <c r="AJ211" s="36" t="n">
        <f aca="false">IF(ISNUMBER(AJ193),ROUND(AJ193+AJ197+AJ206+AJ207-AJ208,1),"")</f>
        <v>0</v>
      </c>
      <c r="AK211" s="36" t="n">
        <f aca="false">IF(ISNUMBER(AK193),ROUND(AK193+AK197+AK206+AK207-AK208,1),"")</f>
        <v>0</v>
      </c>
      <c r="AL211" s="36" t="n">
        <f aca="false">IF(ISNUMBER(AL193),ROUND(AL193+AL197+AL206+AL207-AL208,1),"")</f>
        <v>0</v>
      </c>
      <c r="AM211" s="36" t="n">
        <f aca="false">IF(ISNUMBER(AM193),ROUND(AM193+AM197+AM206+AM207-AM208,1),"")</f>
        <v>0</v>
      </c>
      <c r="AN211" s="36" t="n">
        <f aca="false">IF(ISNUMBER(AN193),ROUND(AN193+AN197+AN206+AN207-AN208,1),"")</f>
        <v>0</v>
      </c>
      <c r="AO211" s="36" t="n">
        <f aca="false">IF(ISNUMBER(AO193),ROUND(AO193+AO197+AO206+AO207-AO208,1),"")</f>
        <v>0</v>
      </c>
      <c r="AP211" s="36" t="n">
        <f aca="false">IF(ISNUMBER(AP193),ROUND(AP193+AP197+AP206+AP207-AP208,1),"")</f>
        <v>0</v>
      </c>
      <c r="AQ211" s="36" t="n">
        <f aca="false">IF(ISNUMBER(AQ193),ROUND(AQ193+AQ197+AQ206+AQ207-AQ208,1),"")</f>
        <v>-0</v>
      </c>
      <c r="AR211" s="36" t="n">
        <f aca="false">IF(ISNUMBER(AR193),ROUND(AR193+AR197+AR206+AR207-AR208,1),"")</f>
        <v>-0</v>
      </c>
      <c r="AS211" s="36" t="n">
        <f aca="false">IF(ISNUMBER(AS193),ROUND(AS193+AS197+AS206+AS207-AS208,1),"")</f>
        <v>0</v>
      </c>
      <c r="AT211" s="36" t="n">
        <f aca="false">IF(ISNUMBER(AT193),ROUND(AT193+AT197+AT206+AT207-AT208,1),"")</f>
        <v>0</v>
      </c>
      <c r="AU211" s="36" t="n">
        <f aca="false">IF(ISNUMBER(AU193),ROUND(AU193+AU197+AU206+AU207-AU208,1),"")</f>
        <v>0</v>
      </c>
      <c r="AV211" s="36" t="n">
        <f aca="false">IF(ISNUMBER(AV193),ROUND(AV193+AV197+AV206+AV207-AV208,1),"")</f>
        <v>0</v>
      </c>
      <c r="AW211" s="36" t="n">
        <f aca="false">IF(ISNUMBER(AW193),ROUND(AW193+AW197+AW206+AW207-AW208,1),"")</f>
        <v>0</v>
      </c>
      <c r="AX211" s="36" t="n">
        <f aca="false">IF(ISNUMBER(AX193),ROUND(AX193+AX197+AX206+AX207-AX208,1),"")</f>
        <v>0</v>
      </c>
      <c r="AY211" s="36" t="n">
        <f aca="false">IF(ISNUMBER(AY193),ROUND(AY193+AY197+AY206+AY207-AY208,1),"")</f>
        <v>0</v>
      </c>
      <c r="AZ211" s="36" t="n">
        <f aca="false">IF(ISNUMBER(AZ193),ROUND(AZ193+AZ197+AZ206+AZ207-AZ208,1),"")</f>
        <v>0</v>
      </c>
      <c r="BA211" s="36" t="n">
        <f aca="false">IF(ISNUMBER(BA193),ROUND(BA193+BA197+BA206+BA207-BA208,1),"")</f>
        <v>0</v>
      </c>
      <c r="BB211" s="36" t="n">
        <f aca="false">IF(ISNUMBER(BB193),ROUND(BB193+BB197+BB206+BB207-BB208,1),"")</f>
        <v>0</v>
      </c>
      <c r="BC211" s="36" t="n">
        <f aca="false">IF(ISNUMBER(BC193),ROUND(BC193+BC197+BC206+BC207-BC208,1),"")</f>
        <v>0</v>
      </c>
      <c r="BD211" s="36" t="n">
        <f aca="false">IF(ISNUMBER(BD193),ROUND(BD193+BD197+BD206+BD207-BD208,1),"")</f>
        <v>0</v>
      </c>
      <c r="BE211" s="36" t="n">
        <f aca="false">IF(ISNUMBER(BE193),ROUND(BE193+BE197+BE206+BE207-BE208,1),"")</f>
        <v>0</v>
      </c>
      <c r="BF211" s="36" t="n">
        <f aca="false">IF(ISNUMBER(BF193),ROUND(BF193+BF197+BF206+BF207-BF208,1),"")</f>
        <v>0</v>
      </c>
      <c r="BG211" s="36" t="n">
        <f aca="false">IF(ISNUMBER(BG193),ROUND(BG193+BG197+BG206+BG207-BG208,1),"")</f>
        <v>0</v>
      </c>
      <c r="BH211" s="36" t="n">
        <f aca="false">IF(ISNUMBER(BH193),ROUND(BH193+BH197+BH206+BH207-BH208,1),"")</f>
        <v>0</v>
      </c>
      <c r="BI211" s="36" t="n">
        <f aca="false">IF(ISNUMBER(BI193),ROUND(BI193+BI197+BI206+BI207-BI208,1),"")</f>
        <v>0</v>
      </c>
      <c r="BJ211" s="36" t="n">
        <f aca="false">IF(ISNUMBER(BJ193),ROUND(BJ193+BJ197+BJ206+BJ207-BJ208,1),"")</f>
        <v>0</v>
      </c>
      <c r="BK211" s="36" t="n">
        <f aca="false">IF(ISNUMBER(BK193),ROUND(BK193+BK197+BK206+BK207-BK208,1),"")</f>
        <v>0</v>
      </c>
      <c r="BL211" s="36" t="n">
        <f aca="false">IF(ISNUMBER(BL193),ROUND(BL193+BL197+BL206+BL207-BL208,1),"")</f>
        <v>0</v>
      </c>
      <c r="BM211" s="36" t="n">
        <f aca="false">IF(ISNUMBER(BM193),ROUND(BM193+BM197+BM206+BM207-BM208,1),"")</f>
        <v>0</v>
      </c>
      <c r="BN211" s="36" t="n">
        <f aca="false">IF(ISNUMBER(BN193),ROUND(BN193+BN197+BN206+BN207-BN208,1),"")</f>
        <v>0</v>
      </c>
      <c r="BO211" s="36" t="n">
        <f aca="false">IF(ISNUMBER(BO193),ROUND(BO193+BO197+BO206+BO207-BO208,1),"")</f>
        <v>0</v>
      </c>
      <c r="BP211" s="36" t="n">
        <f aca="false">IF(ISNUMBER(BP193),ROUND(BP193+BP197+BP206+BP207-BP208,1),"")</f>
        <v>0</v>
      </c>
      <c r="BQ211" s="36" t="n">
        <f aca="false">IF(ISNUMBER(BQ193),ROUND(BQ193+BQ197+BQ206+BQ207-BQ208,1),"")</f>
        <v>0</v>
      </c>
      <c r="BR211" s="36" t="n">
        <f aca="false">IF(ISNUMBER(BR193),ROUND(BR193+BR197+BR206+BR207-BR208,1),"")</f>
        <v>0</v>
      </c>
      <c r="BS211" s="36" t="n">
        <f aca="false">IF(ISNUMBER(BS193),ROUND(BS193+BS197+BS206+BS207-BS208,1),"")</f>
        <v>0</v>
      </c>
      <c r="BT211" s="36" t="n">
        <f aca="false">IF(ISNUMBER(BT193),ROUND(BT193+BT197+BT206+BT207-BT208,1),"")</f>
        <v>0</v>
      </c>
      <c r="BU211" s="36" t="n">
        <f aca="false">IF(ISNUMBER(BU193),ROUND(BU193+BU197+BU206+BU207-BU208,1),"")</f>
        <v>0</v>
      </c>
      <c r="BV211" s="36" t="n">
        <f aca="false">IF(ISNUMBER(BV193),ROUND(BV193+BV197+BV206+BV207-BV208,1),"")</f>
        <v>0</v>
      </c>
      <c r="BW211" s="36" t="n">
        <f aca="false">IF(ISNUMBER(BW193),ROUND(BW193+BW197+BW206+BW207-BW208,1),"")</f>
        <v>0</v>
      </c>
      <c r="BX211" s="36" t="n">
        <f aca="false">IF(ISNUMBER(BX193),ROUND(BX193+BX197+BX206+BX207-BX208,1),"")</f>
        <v>0</v>
      </c>
      <c r="BY211" s="36" t="n">
        <f aca="false">IF(ISNUMBER(BY193),ROUND(BY193+BY197+BY206+BY207-BY208,1),"")</f>
        <v>0</v>
      </c>
      <c r="CA211" s="42" t="n">
        <f aca="false">IF(ISNUMBER(CA193),ROUND(CA193+CA197+CA206+CA207-CA208,1),"")</f>
        <v>0</v>
      </c>
      <c r="CB211" s="42" t="n">
        <f aca="false">IF(ISNUMBER(CB193),ROUND(CB193+CB197+CB206+CB207-CB208,1),"")</f>
        <v>0</v>
      </c>
      <c r="CC211" s="42" t="n">
        <f aca="false">IF(ISNUMBER(CC193),ROUND(CC193+CC197+CC206+CC207-CC208,1),"")</f>
        <v>0</v>
      </c>
      <c r="CD211" s="42" t="n">
        <f aca="false">IF(ISNUMBER(CD193),ROUND(CD193+CD197+CD206+CD207-CD208,1),"")</f>
        <v>0</v>
      </c>
      <c r="CE211" s="42" t="n">
        <f aca="false">IF(ISNUMBER(CE193),ROUND(CE193+CE197+CE206+CE207-CE208,1),"")</f>
        <v>0</v>
      </c>
    </row>
    <row r="212" customFormat="false" ht="15" hidden="false" customHeight="true" outlineLevel="0" collapsed="false">
      <c r="B212" s="51" t="s">
        <v>344</v>
      </c>
      <c r="C212" s="36" t="n">
        <f aca="false">IF(ISNUMBER(C209),ROUND(C209+C208-C210,1),"")</f>
        <v>0</v>
      </c>
      <c r="D212" s="36" t="n">
        <f aca="false">IF(ISNUMBER(D209),ROUND(D209+D208-D210,1),"")</f>
        <v>0</v>
      </c>
      <c r="E212" s="36" t="n">
        <f aca="false">IF(ISNUMBER(E209),ROUND(E209+E208-E210,1),"")</f>
        <v>0</v>
      </c>
      <c r="F212" s="36" t="n">
        <f aca="false">IF(ISNUMBER(F209),ROUND(F209+F208-F210,1),"")</f>
        <v>0</v>
      </c>
      <c r="G212" s="36" t="n">
        <f aca="false">IF(ISNUMBER(G209),ROUND(G209+G208-G210,1),"")</f>
        <v>0</v>
      </c>
      <c r="H212" s="36" t="n">
        <f aca="false">IF(ISNUMBER(H209),ROUND(H209+H208-H210,1),"")</f>
        <v>0</v>
      </c>
      <c r="I212" s="36" t="n">
        <f aca="false">IF(ISNUMBER(I209),ROUND(I209+I208-I210,1),"")</f>
        <v>0</v>
      </c>
      <c r="J212" s="36" t="n">
        <f aca="false">IF(ISNUMBER(J209),ROUND(J209+J208-J210,1),"")</f>
        <v>0</v>
      </c>
      <c r="K212" s="36" t="n">
        <f aca="false">IF(ISNUMBER(K209),ROUND(K209+K208-K210,1),"")</f>
        <v>0</v>
      </c>
      <c r="L212" s="36" t="n">
        <f aca="false">IF(ISNUMBER(L209),ROUND(L209+L208-L210,1),"")</f>
        <v>0</v>
      </c>
      <c r="M212" s="36" t="n">
        <f aca="false">IF(ISNUMBER(M209),ROUND(M209+M208-M210,1),"")</f>
        <v>0</v>
      </c>
      <c r="N212" s="36" t="n">
        <f aca="false">IF(ISNUMBER(N209),ROUND(N209+N208-N210,1),"")</f>
        <v>0</v>
      </c>
      <c r="O212" s="36" t="n">
        <f aca="false">IF(ISNUMBER(O209),ROUND(O209+O208-O210,1),"")</f>
        <v>0</v>
      </c>
      <c r="P212" s="36" t="n">
        <f aca="false">IF(ISNUMBER(P209),ROUND(P209+P208-P210,1),"")</f>
        <v>0</v>
      </c>
      <c r="Q212" s="36" t="n">
        <f aca="false">IF(ISNUMBER(Q209),ROUND(Q209+Q208-Q210,1),"")</f>
        <v>0</v>
      </c>
      <c r="R212" s="36" t="n">
        <f aca="false">IF(ISNUMBER(R209),ROUND(R209+R208-R210,1),"")</f>
        <v>0</v>
      </c>
      <c r="S212" s="36" t="n">
        <f aca="false">IF(ISNUMBER(S209),ROUND(S209+S208-S210,1),"")</f>
        <v>0</v>
      </c>
      <c r="T212" s="36" t="n">
        <f aca="false">IF(ISNUMBER(T209),ROUND(T209+T208-T210,1),"")</f>
        <v>0</v>
      </c>
      <c r="U212" s="36" t="n">
        <f aca="false">IF(ISNUMBER(U209),ROUND(U209+U208-U210,1),"")</f>
        <v>0</v>
      </c>
      <c r="V212" s="36" t="n">
        <f aca="false">IF(ISNUMBER(V209),ROUND(V209+V208-V210,1),"")</f>
        <v>0</v>
      </c>
      <c r="W212" s="36" t="n">
        <f aca="false">IF(ISNUMBER(W209),ROUND(W209+W208-W210,1),"")</f>
        <v>0</v>
      </c>
      <c r="X212" s="36" t="n">
        <f aca="false">IF(ISNUMBER(X209),ROUND(X209+X208-X210,1),"")</f>
        <v>0</v>
      </c>
      <c r="Y212" s="36" t="n">
        <f aca="false">IF(ISNUMBER(Y209),ROUND(Y209+Y208-Y210,1),"")</f>
        <v>0</v>
      </c>
      <c r="Z212" s="36" t="n">
        <f aca="false">IF(ISNUMBER(Z209),ROUND(Z209+Z208-Z210,1),"")</f>
        <v>0</v>
      </c>
      <c r="AA212" s="36" t="n">
        <f aca="false">IF(ISNUMBER(AA209),ROUND(AA209+AA208-AA210,1),"")</f>
        <v>0</v>
      </c>
      <c r="AB212" s="36" t="n">
        <f aca="false">IF(ISNUMBER(AB209),ROUND(AB209+AB208-AB210,1),"")</f>
        <v>0</v>
      </c>
      <c r="AC212" s="36" t="n">
        <f aca="false">IF(ISNUMBER(AC209),ROUND(AC209+AC208-AC210,1),"")</f>
        <v>0</v>
      </c>
      <c r="AD212" s="36" t="n">
        <f aca="false">IF(ISNUMBER(AD209),ROUND(AD209+AD208-AD210,1),"")</f>
        <v>0</v>
      </c>
      <c r="AE212" s="36" t="n">
        <f aca="false">IF(ISNUMBER(AE209),ROUND(AE209+AE208-AE210,1),"")</f>
        <v>0</v>
      </c>
      <c r="AF212" s="36" t="n">
        <f aca="false">IF(ISNUMBER(AF209),ROUND(AF209+AF208-AF210,1),"")</f>
        <v>0</v>
      </c>
      <c r="AG212" s="36" t="n">
        <f aca="false">IF(ISNUMBER(AG209),ROUND(AG209+AG208-AG210,1),"")</f>
        <v>0</v>
      </c>
      <c r="AH212" s="36" t="n">
        <f aca="false">IF(ISNUMBER(AH209),ROUND(AH209+AH208-AH210,1),"")</f>
        <v>0</v>
      </c>
      <c r="AI212" s="36" t="n">
        <f aca="false">IF(ISNUMBER(AI209),ROUND(AI209+AI208-AI210,1),"")</f>
        <v>0</v>
      </c>
      <c r="AJ212" s="36" t="n">
        <f aca="false">IF(ISNUMBER(AJ209),ROUND(AJ209+AJ208-AJ210,1),"")</f>
        <v>0</v>
      </c>
      <c r="AK212" s="36" t="n">
        <f aca="false">IF(ISNUMBER(AK209),ROUND(AK209+AK208-AK210,1),"")</f>
        <v>0</v>
      </c>
      <c r="AL212" s="36" t="n">
        <f aca="false">IF(ISNUMBER(AL209),ROUND(AL209+AL208-AL210,1),"")</f>
        <v>0</v>
      </c>
      <c r="AM212" s="36" t="n">
        <f aca="false">IF(ISNUMBER(AM209),ROUND(AM209+AM208-AM210,1),"")</f>
        <v>0</v>
      </c>
      <c r="AN212" s="36" t="n">
        <f aca="false">IF(ISNUMBER(AN209),ROUND(AN209+AN208-AN210,1),"")</f>
        <v>0</v>
      </c>
      <c r="AO212" s="36" t="n">
        <f aca="false">IF(ISNUMBER(AO209),ROUND(AO209+AO208-AO210,1),"")</f>
        <v>0</v>
      </c>
      <c r="AP212" s="36" t="n">
        <f aca="false">IF(ISNUMBER(AP209),ROUND(AP209+AP208-AP210,1),"")</f>
        <v>0</v>
      </c>
      <c r="AQ212" s="36" t="n">
        <f aca="false">IF(ISNUMBER(AQ209),ROUND(AQ209+AQ208-AQ210,1),"")</f>
        <v>0</v>
      </c>
      <c r="AR212" s="36" t="n">
        <f aca="false">IF(ISNUMBER(AR209),ROUND(AR209+AR208-AR210,1),"")</f>
        <v>0</v>
      </c>
      <c r="AS212" s="36" t="n">
        <f aca="false">IF(ISNUMBER(AS209),ROUND(AS209+AS208-AS210,1),"")</f>
        <v>0</v>
      </c>
      <c r="AT212" s="36" t="n">
        <f aca="false">IF(ISNUMBER(AT209),ROUND(AT209+AT208-AT210,1),"")</f>
        <v>0</v>
      </c>
      <c r="AU212" s="36" t="n">
        <f aca="false">IF(ISNUMBER(AU209),ROUND(AU209+AU208-AU210,1),"")</f>
        <v>0</v>
      </c>
      <c r="AV212" s="36" t="n">
        <f aca="false">IF(ISNUMBER(AV209),ROUND(AV209+AV208-AV210,1),"")</f>
        <v>0</v>
      </c>
      <c r="AW212" s="36" t="n">
        <f aca="false">IF(ISNUMBER(AW209),ROUND(AW209+AW208-AW210,1),"")</f>
        <v>0</v>
      </c>
      <c r="AX212" s="36" t="n">
        <f aca="false">IF(ISNUMBER(AX209),ROUND(AX209+AX208-AX210,1),"")</f>
        <v>0</v>
      </c>
      <c r="AY212" s="36" t="n">
        <f aca="false">IF(ISNUMBER(AY209),ROUND(AY209+AY208-AY210,1),"")</f>
        <v>0</v>
      </c>
      <c r="AZ212" s="36" t="n">
        <f aca="false">IF(ISNUMBER(AZ209),ROUND(AZ209+AZ208-AZ210,1),"")</f>
        <v>0</v>
      </c>
      <c r="BA212" s="36" t="n">
        <f aca="false">IF(ISNUMBER(BA209),ROUND(BA209+BA208-BA210,1),"")</f>
        <v>0</v>
      </c>
      <c r="BB212" s="36" t="n">
        <f aca="false">IF(ISNUMBER(BB209),ROUND(BB209+BB208-BB210,1),"")</f>
        <v>0</v>
      </c>
      <c r="BC212" s="36" t="n">
        <f aca="false">IF(ISNUMBER(BC209),ROUND(BC209+BC208-BC210,1),"")</f>
        <v>0</v>
      </c>
      <c r="BD212" s="36" t="n">
        <f aca="false">IF(ISNUMBER(BD209),ROUND(BD209+BD208-BD210,1),"")</f>
        <v>0</v>
      </c>
      <c r="BE212" s="36" t="n">
        <f aca="false">IF(ISNUMBER(BE209),ROUND(BE209+BE208-BE210,1),"")</f>
        <v>0</v>
      </c>
      <c r="BF212" s="36" t="n">
        <f aca="false">IF(ISNUMBER(BF209),ROUND(BF209+BF208-BF210,1),"")</f>
        <v>0</v>
      </c>
      <c r="BG212" s="36" t="n">
        <f aca="false">IF(ISNUMBER(BG209),ROUND(BG209+BG208-BG210,1),"")</f>
        <v>0</v>
      </c>
      <c r="BH212" s="36" t="n">
        <f aca="false">IF(ISNUMBER(BH209),ROUND(BH209+BH208-BH210,1),"")</f>
        <v>0</v>
      </c>
      <c r="BI212" s="36" t="n">
        <f aca="false">IF(ISNUMBER(BI209),ROUND(BI209+BI208-BI210,1),"")</f>
        <v>0</v>
      </c>
      <c r="BJ212" s="36" t="n">
        <f aca="false">IF(ISNUMBER(BJ209),ROUND(BJ209+BJ208-BJ210,1),"")</f>
        <v>0</v>
      </c>
      <c r="BK212" s="36" t="n">
        <f aca="false">IF(ISNUMBER(BK209),ROUND(BK209+BK208-BK210,1),"")</f>
        <v>0</v>
      </c>
      <c r="BL212" s="36" t="n">
        <f aca="false">IF(ISNUMBER(BL209),ROUND(BL209+BL208-BL210,1),"")</f>
        <v>0</v>
      </c>
      <c r="BM212" s="36" t="n">
        <f aca="false">IF(ISNUMBER(BM209),ROUND(BM209+BM208-BM210,1),"")</f>
        <v>0</v>
      </c>
      <c r="BN212" s="36" t="n">
        <f aca="false">IF(ISNUMBER(BN209),ROUND(BN209+BN208-BN210,1),"")</f>
        <v>0</v>
      </c>
      <c r="BO212" s="36" t="n">
        <f aca="false">IF(ISNUMBER(BO209),ROUND(BO209+BO208-BO210,1),"")</f>
        <v>0</v>
      </c>
      <c r="BP212" s="36" t="n">
        <f aca="false">IF(ISNUMBER(BP209),ROUND(BP209+BP208-BP210,1),"")</f>
        <v>0</v>
      </c>
      <c r="BQ212" s="36" t="n">
        <f aca="false">IF(ISNUMBER(BQ209),ROUND(BQ209+BQ208-BQ210,1),"")</f>
        <v>0</v>
      </c>
      <c r="BR212" s="36" t="n">
        <f aca="false">IF(ISNUMBER(BR209),ROUND(BR209+BR208-BR210,1),"")</f>
        <v>0</v>
      </c>
      <c r="BS212" s="36" t="n">
        <f aca="false">IF(ISNUMBER(BS209),ROUND(BS209+BS208-BS210,1),"")</f>
        <v>0</v>
      </c>
      <c r="BT212" s="36" t="n">
        <f aca="false">IF(ISNUMBER(BT209),ROUND(BT209+BT208-BT210,1),"")</f>
        <v>0</v>
      </c>
      <c r="BU212" s="36" t="n">
        <f aca="false">IF(ISNUMBER(BU209),ROUND(BU209+BU208-BU210,1),"")</f>
        <v>0</v>
      </c>
      <c r="BV212" s="36" t="n">
        <f aca="false">IF(ISNUMBER(BV209),ROUND(BV209+BV208-BV210,1),"")</f>
        <v>0</v>
      </c>
      <c r="BW212" s="36" t="n">
        <f aca="false">IF(ISNUMBER(BW209),ROUND(BW209+BW208-BW210,1),"")</f>
        <v>0</v>
      </c>
      <c r="BX212" s="36" t="n">
        <f aca="false">IF(ISNUMBER(BX209),ROUND(BX209+BX208-BX210,1),"")</f>
        <v>0</v>
      </c>
      <c r="BY212" s="36" t="n">
        <f aca="false">IF(ISNUMBER(BY209),ROUND(BY209+BY208-BY210,1),"")</f>
        <v>0</v>
      </c>
      <c r="CA212" s="42" t="n">
        <f aca="false">IF(ISNUMBER(CA209),ROUND(CA209+CA208-CA210,1),"")</f>
        <v>0</v>
      </c>
      <c r="CB212" s="42" t="n">
        <f aca="false">IF(ISNUMBER(CB209),ROUND(CB209+CB208-CB210,1),"")</f>
        <v>0</v>
      </c>
      <c r="CC212" s="42" t="n">
        <f aca="false">IF(ISNUMBER(CC209),ROUND(CC209+CC208-CC210,1),"")</f>
        <v>0</v>
      </c>
      <c r="CD212" s="42" t="n">
        <f aca="false">IF(ISNUMBER(CD209),ROUND(CD209+CD208-CD210,1),"")</f>
        <v>0</v>
      </c>
      <c r="CE212" s="42" t="n">
        <f aca="false">IF(ISNUMBER(CE209),ROUND(CE209+CE208-CE210,1),"")</f>
        <v>0</v>
      </c>
    </row>
    <row r="213" customFormat="false" ht="15" hidden="false" customHeight="true" outlineLevel="0" collapsed="false">
      <c r="B213" s="29" t="s">
        <v>345</v>
      </c>
    </row>
    <row r="214" customFormat="false" ht="15" hidden="false" customHeight="true" outlineLevel="0" collapsed="false">
      <c r="B214" s="16" t="s">
        <v>346</v>
      </c>
      <c r="C214" s="53" t="n">
        <f aca="false">IF(ISNUMBER(C193),C193+C194,"")</f>
        <v>36.944</v>
      </c>
      <c r="D214" s="53" t="n">
        <f aca="false">IF(ISNUMBER(D193),D193+D194,"")</f>
        <v>44.564</v>
      </c>
      <c r="E214" s="53" t="n">
        <f aca="false">IF(ISNUMBER(E193),E193+E194,"")</f>
        <v>59.707</v>
      </c>
      <c r="F214" s="53" t="n">
        <f aca="false">IF(ISNUMBER(F193),F193+F194,"")</f>
        <v>65.564</v>
      </c>
      <c r="G214" s="53" t="n">
        <f aca="false">IF(ISNUMBER(G193),G193+G194,"")</f>
        <v>92.84</v>
      </c>
      <c r="H214" s="53" t="n">
        <f aca="false">IF(ISNUMBER(H193),H193+H194,"")</f>
        <v>116.072</v>
      </c>
      <c r="I214" s="53" t="n">
        <f aca="false">IF(ISNUMBER(I193),I193+I194,"")</f>
        <v>123.323</v>
      </c>
      <c r="J214" s="53" t="n">
        <f aca="false">IF(ISNUMBER(J193),J193+J194,"")</f>
        <v>8.817</v>
      </c>
      <c r="K214" s="53" t="n">
        <f aca="false">IF(ISNUMBER(K193),K193+K194,"")</f>
        <v>26.45</v>
      </c>
      <c r="L214" s="53" t="n">
        <f aca="false">IF(ISNUMBER(L193),L193+L194,"")</f>
        <v>43.529</v>
      </c>
      <c r="M214" s="53" t="n">
        <f aca="false">IF(ISNUMBER(M193),M193+M194,"")</f>
        <v>34.712</v>
      </c>
      <c r="N214" s="53" t="n">
        <f aca="false">IF(ISNUMBER(N193),N193+N194,"")</f>
        <v>113.508</v>
      </c>
      <c r="O214" s="53" t="n">
        <f aca="false">IF(ISNUMBER(O193),O193+O194,"")</f>
        <v>29.559</v>
      </c>
      <c r="P214" s="53" t="n">
        <f aca="false">IF(ISNUMBER(P193),P193+P194,"")</f>
        <v>17.957</v>
      </c>
      <c r="Q214" s="53" t="n">
        <f aca="false">IF(ISNUMBER(Q193),Q193+Q194,"")</f>
        <v>67.456</v>
      </c>
      <c r="R214" s="53" t="n">
        <f aca="false">IF(ISNUMBER(R193),R193+R194,"")</f>
        <v>59.307</v>
      </c>
      <c r="S214" s="53" t="n">
        <f aca="false">IF(ISNUMBER(S193),S193+S194,"")</f>
        <v>174.279</v>
      </c>
      <c r="T214" s="53" t="n">
        <f aca="false">IF(ISNUMBER(T193),T193+T194,"")</f>
        <v>25.201</v>
      </c>
      <c r="U214" s="53" t="n">
        <f aca="false">IF(ISNUMBER(U193),U193+U194,"")</f>
        <v>30.144</v>
      </c>
      <c r="V214" s="53" t="n">
        <f aca="false">IF(ISNUMBER(V193),V193+V194,"")</f>
        <v>52.177</v>
      </c>
      <c r="W214" s="53" t="n">
        <f aca="false">IF(ISNUMBER(W193),W193+W194,"")</f>
        <v>47.092</v>
      </c>
      <c r="X214" s="53" t="n">
        <f aca="false">IF(ISNUMBER(X193),X193+X194,"")</f>
        <v>154.614</v>
      </c>
      <c r="Y214" s="53" t="n">
        <f aca="false">IF(ISNUMBER(Y193),Y193+Y194,"")</f>
        <v>39.477</v>
      </c>
      <c r="Z214" s="53" t="n">
        <f aca="false">IF(ISNUMBER(Z193),Z193+Z194,"")</f>
        <v>47.682</v>
      </c>
      <c r="AA214" s="53" t="n">
        <f aca="false">IF(ISNUMBER(AA193),AA193+AA194,"")</f>
        <v>62.144</v>
      </c>
      <c r="AB214" s="53" t="n">
        <f aca="false">IF(ISNUMBER(AB193),AB193+AB194,"")</f>
        <v>69.018</v>
      </c>
      <c r="AC214" s="53" t="n">
        <f aca="false">IF(ISNUMBER(AC193),AC193+AC194,"")</f>
        <v>218.321</v>
      </c>
      <c r="AD214" s="53" t="n">
        <f aca="false">IF(ISNUMBER(AD193),AD193+AD194,"")</f>
        <v>49.553</v>
      </c>
      <c r="AE214" s="53" t="n">
        <f aca="false">IF(ISNUMBER(AE193),AE193+AE194,"")</f>
        <v>34.622</v>
      </c>
      <c r="AF214" s="53" t="n">
        <f aca="false">IF(ISNUMBER(AF193),AF193+AF194,"")</f>
        <v>74.683</v>
      </c>
      <c r="AG214" s="53" t="n">
        <f aca="false">IF(ISNUMBER(AG193),AG193+AG194,"")</f>
        <v>90.029</v>
      </c>
      <c r="AH214" s="53" t="n">
        <f aca="false">IF(ISNUMBER(AH193),AH193+AH194,"")</f>
        <v>248.887</v>
      </c>
      <c r="AI214" s="53" t="n">
        <f aca="false">IF(ISNUMBER(AI193),AI193+AI194,"")</f>
        <v>37.428</v>
      </c>
      <c r="AJ214" s="53" t="n">
        <f aca="false">IF(ISNUMBER(AJ193),AJ193+AJ194,"")</f>
        <v>28.115</v>
      </c>
      <c r="AK214" s="53" t="n">
        <f aca="false">IF(ISNUMBER(AK193),AK193+AK194,"")</f>
        <v>103.262</v>
      </c>
      <c r="AL214" s="53" t="n">
        <f aca="false">IF(ISNUMBER(AL193),AL193+AL194,"")</f>
        <v>117.811</v>
      </c>
      <c r="AM214" s="53" t="n">
        <f aca="false">IF(ISNUMBER(AM193),AM193+AM194,"")</f>
        <v>286.616</v>
      </c>
      <c r="AN214" s="53" t="n">
        <f aca="false">IF(ISNUMBER(AN193),AN193+AN194,"")</f>
        <v>43.659</v>
      </c>
      <c r="AO214" s="53" t="n">
        <f aca="false">IF(ISNUMBER(AO193),AO193+AO194,"")</f>
        <v>121.998</v>
      </c>
      <c r="AP214" s="53" t="n">
        <f aca="false">IF(ISNUMBER(AP193),AP193+AP194,"")</f>
        <v>126.071</v>
      </c>
      <c r="AQ214" s="53" t="n">
        <f aca="false">IF(ISNUMBER(AQ193),AQ193+AQ194,"")</f>
        <v>116.712</v>
      </c>
      <c r="AR214" s="53" t="n">
        <f aca="false">IF(ISNUMBER(AR193),AR193+AR194,"")</f>
        <v>408.44</v>
      </c>
      <c r="AS214" s="53" t="n">
        <f aca="false">IF(ISNUMBER(AS193),AS193+AS194,"")</f>
        <v>74.286</v>
      </c>
      <c r="AT214" s="53" t="n">
        <f aca="false">IF(ISNUMBER(AT193),AT193+AT194,"")</f>
        <v>119.161</v>
      </c>
      <c r="AU214" s="53" t="n">
        <f aca="false">IF(ISNUMBER(AU193),AU193+AU194,"")</f>
        <v>88.052</v>
      </c>
      <c r="AV214" s="53" t="n">
        <f aca="false">IF(ISNUMBER(AV193),AV193+AV194,"")</f>
        <v>104.686</v>
      </c>
      <c r="AW214" s="53" t="n">
        <f aca="false">IF(ISNUMBER(AW193),AW193+AW194,"")</f>
        <v>386.185</v>
      </c>
      <c r="AX214" s="53" t="n">
        <f aca="false">IF(ISNUMBER(AX193),AX193+AX194,"")</f>
        <v>91.69</v>
      </c>
      <c r="AY214" s="53" t="n">
        <f aca="false">IF(ISNUMBER(AY193),AY193+AY194,"")</f>
        <v>96.484</v>
      </c>
      <c r="AZ214" s="53" t="n">
        <f aca="false">IF(ISNUMBER(AZ193),AZ193+AZ194,"")</f>
        <v>115.805</v>
      </c>
      <c r="BA214" s="53" t="n">
        <f aca="false">IF(ISNUMBER(BA193),BA193+BA194,"")</f>
        <v>103.922</v>
      </c>
      <c r="BB214" s="53" t="n">
        <f aca="false">IF(ISNUMBER(BB193),BB193+BB194,"")</f>
        <v>407.901</v>
      </c>
      <c r="BC214" s="53" t="n">
        <f aca="false">IF(ISNUMBER(BC193),BC193+BC194,"")</f>
        <v>69.289</v>
      </c>
      <c r="BD214" s="53" t="n">
        <f aca="false">IF(ISNUMBER(BD193),BD193+BD194,"")</f>
        <v>89.253</v>
      </c>
      <c r="BE214" s="53" t="n">
        <f aca="false">IF(ISNUMBER(BE193),BE193+BE194,"")</f>
        <v>141.011</v>
      </c>
      <c r="BF214" s="53" t="n">
        <f aca="false">IF(ISNUMBER(BF193),BF193+BF194,"")</f>
        <v>136.321</v>
      </c>
      <c r="BG214" s="53" t="n">
        <f aca="false">IF(ISNUMBER(BG193),BG193+BG194,"")</f>
        <v>435.874</v>
      </c>
      <c r="BH214" s="53" t="n">
        <f aca="false">IF(ISNUMBER(BH193),BH193+BH194,"")</f>
        <v>65.84</v>
      </c>
      <c r="BI214" s="53" t="n">
        <f aca="false">IF(ISNUMBER(BI193),BI193+BI194,"")</f>
        <v>66.675</v>
      </c>
      <c r="BJ214" s="53" t="n">
        <f aca="false">IF(ISNUMBER(BJ193),BJ193+BJ194,"")</f>
        <v>133.666</v>
      </c>
      <c r="BK214" s="53" t="n">
        <f aca="false">IF(ISNUMBER(BK193),BK193+BK194,"")</f>
        <v>133.12</v>
      </c>
      <c r="BL214" s="53" t="n">
        <f aca="false">IF(ISNUMBER(BL193),BL193+BL194,"")</f>
        <v>399.301</v>
      </c>
      <c r="BM214" s="53" t="n">
        <f aca="false">IF(ISNUMBER(BM193),BM193+BM194,"")</f>
        <v>98.275</v>
      </c>
      <c r="BN214" s="53" t="n">
        <f aca="false">IF(ISNUMBER(BN193),BN193+BN194,"")</f>
        <v>128.192</v>
      </c>
      <c r="BO214" s="53" t="n">
        <f aca="false">IF(ISNUMBER(BO193),BO193+BO194,"")</f>
        <v>198.105</v>
      </c>
      <c r="BP214" s="53" t="n">
        <f aca="false">IF(ISNUMBER(BP193),BP193+BP194,"")</f>
        <v>189.537</v>
      </c>
      <c r="BQ214" s="53" t="n">
        <f aca="false">IF(ISNUMBER(BQ193),BQ193+BQ194,"")</f>
        <v>614.109</v>
      </c>
      <c r="BR214" s="53" t="n">
        <f aca="false">IF(ISNUMBER(BR193),BR193+BR194,"")</f>
        <v>185.699</v>
      </c>
      <c r="BS214" s="53" t="n">
        <f aca="false">IF(ISNUMBER(BS193),BS193+BS194,"")</f>
        <v>188.731</v>
      </c>
      <c r="BT214" s="53" t="n">
        <f aca="false">IF(ISNUMBER(BT193),BT193+BT194,"")</f>
        <v>218.472</v>
      </c>
      <c r="BU214" s="53" t="n">
        <f aca="false">IF(ISNUMBER(BU193),BU193+BU194,"")</f>
        <v>268.478</v>
      </c>
      <c r="BV214" s="53" t="n">
        <f aca="false">IF(ISNUMBER(BV193),BV193+BV194,"")</f>
        <v>861.38</v>
      </c>
      <c r="BW214" s="53" t="n">
        <f aca="false">IF(ISNUMBER(BW193),BW193+BW194,"")</f>
        <v>165.101</v>
      </c>
      <c r="BX214" s="53" t="n">
        <f aca="false">IF(ISNUMBER(BX193),BX193+BX194,"")</f>
        <v>273.923</v>
      </c>
      <c r="BY214" s="53" t="n">
        <f aca="false">IF(ISNUMBER(BY193),BY193+BY194,"")</f>
        <v>322.778</v>
      </c>
      <c r="CA214" s="18" t="n">
        <f aca="false">IF(ISNUMBER(CA193),CA193+CA194,"")</f>
        <v>1032.75699379909</v>
      </c>
      <c r="CB214" s="18" t="n">
        <f aca="false">IF(ISNUMBER(CB193),CB193+CB194,"")</f>
        <v>1113.14811225299</v>
      </c>
      <c r="CC214" s="18" t="n">
        <f aca="false">IF(ISNUMBER(CC193),CC193+CC194,"")</f>
        <v>1288.9096141355</v>
      </c>
      <c r="CD214" s="18" t="n">
        <f aca="false">IF(ISNUMBER(CD193),CD193+CD194,"")</f>
        <v>1422.78902085938</v>
      </c>
      <c r="CE214" s="18" t="n">
        <f aca="false">IF(ISNUMBER(CE193),CE193+CE194,"")</f>
        <v>1555.04746371743</v>
      </c>
      <c r="CF214" s="19" t="s">
        <v>347</v>
      </c>
      <c r="CH214" s="20" t="n">
        <f aca="false">IFERROR((CE214/BV214)^(1/5)-1,"n/m")</f>
        <v>0.125407417090176</v>
      </c>
      <c r="CI214" s="20" t="n">
        <f aca="false">IFERROR((BV214/AW214)^(1/5)-1,"n/m")</f>
        <v>0.174031843548333</v>
      </c>
      <c r="CJ214" s="20" t="n">
        <f aca="false">IFERROR((BV214/X214)^(1/10)-1,"n/m")</f>
        <v>0.187393307531015</v>
      </c>
      <c r="CK214" s="20" t="n">
        <f aca="false">IFERROR((BV214/C214)^(1/19)-1,"n/m")</f>
        <v>0.180270696379564</v>
      </c>
    </row>
    <row r="215" customFormat="false" ht="15" hidden="false" customHeight="true" outlineLevel="0" collapsed="false">
      <c r="B215" s="21" t="s">
        <v>348</v>
      </c>
      <c r="D215" s="22" t="n">
        <f aca="false">IF(AND(ISNUMBER(D214),ISNUMBER(C214)),IFERROR(D214/C214-1,""),"")</f>
        <v>0.206258120398441</v>
      </c>
      <c r="E215" s="22" t="n">
        <f aca="false">IF(AND(ISNUMBER(E214),ISNUMBER(D214)),IFERROR(E214/D214-1,""),"")</f>
        <v>0.339803428776591</v>
      </c>
      <c r="F215" s="22" t="n">
        <f aca="false">IF(AND(ISNUMBER(F214),ISNUMBER(E214)),IFERROR(F214/E214-1,""),"")</f>
        <v>0.0980957006716128</v>
      </c>
      <c r="G215" s="22" t="n">
        <f aca="false">IF(AND(ISNUMBER(G214),ISNUMBER(F214)),IFERROR(G214/F214-1,""),"")</f>
        <v>0.416020987127082</v>
      </c>
      <c r="H215" s="22" t="n">
        <f aca="false">IF(AND(ISNUMBER(H214),ISNUMBER(G214)),IFERROR(H214/G214-1,""),"")</f>
        <v>0.250236966824644</v>
      </c>
      <c r="I215" s="22" t="n">
        <f aca="false">IF(AND(ISNUMBER(I214),ISNUMBER(H214)),IFERROR(I214/H214-1,""),"")</f>
        <v>0.0624698463022952</v>
      </c>
      <c r="N215" s="22" t="n">
        <f aca="false">IF(AND(ISNUMBER(N214),ISNUMBER(I214)),IFERROR(N214/I214-1,""),"")</f>
        <v>-0.0795877492438556</v>
      </c>
      <c r="O215" s="22" t="n">
        <f aca="false">IF(AND(ISNUMBER(O214),ISNUMBER(J214)),IFERROR(O214/J214-1,""),"")</f>
        <v>2.35250085062947</v>
      </c>
      <c r="P215" s="22" t="n">
        <f aca="false">IF(AND(ISNUMBER(P214),ISNUMBER(K214)),IFERROR(P214/K214-1,""),"")</f>
        <v>-0.32109640831758</v>
      </c>
      <c r="Q215" s="22" t="n">
        <f aca="false">IF(AND(ISNUMBER(Q214),ISNUMBER(L214)),IFERROR(Q214/L214-1,""),"")</f>
        <v>0.549679523995498</v>
      </c>
      <c r="R215" s="22" t="n">
        <f aca="false">IF(AND(ISNUMBER(R214),ISNUMBER(M214)),IFERROR(R214/M214-1,""),"")</f>
        <v>0.708544595528924</v>
      </c>
      <c r="S215" s="22" t="n">
        <f aca="false">IF(AND(ISNUMBER(S214),ISNUMBER(N214)),IFERROR(S214/N214-1,""),"")</f>
        <v>0.535389576065123</v>
      </c>
      <c r="T215" s="22" t="n">
        <f aca="false">IF(AND(ISNUMBER(T214),ISNUMBER(O214)),IFERROR(T214/O214-1,""),"")</f>
        <v>-0.147433945667986</v>
      </c>
      <c r="U215" s="22" t="n">
        <f aca="false">IF(AND(ISNUMBER(U214),ISNUMBER(P214)),IFERROR(U214/P214-1,""),"")</f>
        <v>0.678676839115665</v>
      </c>
      <c r="V215" s="22" t="n">
        <f aca="false">IF(AND(ISNUMBER(V214),ISNUMBER(Q214)),IFERROR(V214/Q214-1,""),"")</f>
        <v>-0.226503202087287</v>
      </c>
      <c r="W215" s="22" t="n">
        <f aca="false">IF(AND(ISNUMBER(W214),ISNUMBER(R214)),IFERROR(W214/R214-1,""),"")</f>
        <v>-0.205962196705279</v>
      </c>
      <c r="X215" s="22" t="n">
        <f aca="false">IF(AND(ISNUMBER(X214),ISNUMBER(S214)),IFERROR(X214/S214-1,""),"")</f>
        <v>-0.112836314185874</v>
      </c>
      <c r="Y215" s="22" t="n">
        <f aca="false">IF(AND(ISNUMBER(Y214),ISNUMBER(T214)),IFERROR(Y214/T214-1,""),"")</f>
        <v>0.566485456926313</v>
      </c>
      <c r="Z215" s="22" t="n">
        <f aca="false">IF(AND(ISNUMBER(Z214),ISNUMBER(U214)),IFERROR(Z214/U214-1,""),"")</f>
        <v>0.581807324840764</v>
      </c>
      <c r="AA215" s="22" t="n">
        <f aca="false">IF(AND(ISNUMBER(AA214),ISNUMBER(V214)),IFERROR(AA214/V214-1,""),"")</f>
        <v>0.191022864480518</v>
      </c>
      <c r="AB215" s="22" t="n">
        <f aca="false">IF(AND(ISNUMBER(AB214),ISNUMBER(W214)),IFERROR(AB214/W214-1,""),"")</f>
        <v>0.465599252526969</v>
      </c>
      <c r="AC215" s="22" t="n">
        <f aca="false">IF(AND(ISNUMBER(AC214),ISNUMBER(X214)),IFERROR(AC214/X214-1,""),"")</f>
        <v>0.412039013284696</v>
      </c>
      <c r="AD215" s="22" t="n">
        <f aca="false">IF(AND(ISNUMBER(AD214),ISNUMBER(Y214)),IFERROR(AD214/Y214-1,""),"")</f>
        <v>0.255237226739621</v>
      </c>
      <c r="AE215" s="22" t="n">
        <f aca="false">IF(AND(ISNUMBER(AE214),ISNUMBER(Z214)),IFERROR(AE214/Z214-1,""),"")</f>
        <v>-0.27389790696699</v>
      </c>
      <c r="AF215" s="22" t="n">
        <f aca="false">IF(AND(ISNUMBER(AF214),ISNUMBER(AA214)),IFERROR(AF214/AA214-1,""),"")</f>
        <v>0.201773300720906</v>
      </c>
      <c r="AG215" s="22" t="n">
        <f aca="false">IF(AND(ISNUMBER(AG214),ISNUMBER(AB214)),IFERROR(AG214/AB214-1,""),"")</f>
        <v>0.30442783042105</v>
      </c>
      <c r="AH215" s="22" t="n">
        <f aca="false">IF(AND(ISNUMBER(AH214),ISNUMBER(AC214)),IFERROR(AH214/AC214-1,""),"")</f>
        <v>0.140004855236097</v>
      </c>
      <c r="AI215" s="22" t="n">
        <f aca="false">IF(AND(ISNUMBER(AI214),ISNUMBER(AD214)),IFERROR(AI214/AD214-1,""),"")</f>
        <v>-0.244687506306379</v>
      </c>
      <c r="AJ215" s="22" t="n">
        <f aca="false">IF(AND(ISNUMBER(AJ214),ISNUMBER(AE214)),IFERROR(AJ214/AE214-1,""),"")</f>
        <v>-0.187944081797701</v>
      </c>
      <c r="AK215" s="22" t="n">
        <f aca="false">IF(AND(ISNUMBER(AK214),ISNUMBER(AF214)),IFERROR(AK214/AF214-1,""),"")</f>
        <v>0.382670755058045</v>
      </c>
      <c r="AL215" s="22" t="n">
        <f aca="false">IF(AND(ISNUMBER(AL214),ISNUMBER(AG214)),IFERROR(AL214/AG214-1,""),"")</f>
        <v>0.308589454509103</v>
      </c>
      <c r="AM215" s="22" t="n">
        <f aca="false">IF(AND(ISNUMBER(AM214),ISNUMBER(AH214)),IFERROR(AM214/AH214-1,""),"")</f>
        <v>0.151590882609377</v>
      </c>
      <c r="AN215" s="22" t="n">
        <f aca="false">IF(AND(ISNUMBER(AN214),ISNUMBER(AI214)),IFERROR(AN214/AI214-1,""),"")</f>
        <v>0.166479640910548</v>
      </c>
      <c r="AO215" s="22" t="n">
        <f aca="false">IF(AND(ISNUMBER(AO214),ISNUMBER(AJ214)),IFERROR(AO214/AJ214-1,""),"")</f>
        <v>3.33924951093722</v>
      </c>
      <c r="AP215" s="22" t="n">
        <f aca="false">IF(AND(ISNUMBER(AP214),ISNUMBER(AK214)),IFERROR(AP214/AK214-1,""),"")</f>
        <v>0.220884739788112</v>
      </c>
      <c r="AQ215" s="22" t="n">
        <f aca="false">IF(AND(ISNUMBER(AQ214),ISNUMBER(AL214)),IFERROR(AQ214/AL214-1,""),"")</f>
        <v>-0.00932850073422686</v>
      </c>
      <c r="AR215" s="22" t="n">
        <f aca="false">IF(AND(ISNUMBER(AR214),ISNUMBER(AM214)),IFERROR(AR214/AM214-1,""),"")</f>
        <v>0.425042565662768</v>
      </c>
      <c r="AS215" s="22" t="n">
        <f aca="false">IF(AND(ISNUMBER(AS214),ISNUMBER(AN214)),IFERROR(AS214/AN214-1,""),"")</f>
        <v>0.701504844361987</v>
      </c>
      <c r="AT215" s="22" t="n">
        <f aca="false">IF(AND(ISNUMBER(AT214),ISNUMBER(AO214)),IFERROR(AT214/AO214-1,""),"")</f>
        <v>-0.0232544795816326</v>
      </c>
      <c r="AU215" s="22" t="n">
        <f aca="false">IF(AND(ISNUMBER(AU214),ISNUMBER(AP214)),IFERROR(AU214/AP214-1,""),"")</f>
        <v>-0.301568163971096</v>
      </c>
      <c r="AV215" s="22" t="n">
        <f aca="false">IF(AND(ISNUMBER(AV214),ISNUMBER(AQ214)),IFERROR(AV214/AQ214-1,""),"")</f>
        <v>-0.103039961614915</v>
      </c>
      <c r="AW215" s="22" t="n">
        <f aca="false">IF(AND(ISNUMBER(AW214),ISNUMBER(AR214)),IFERROR(AW214/AR214-1,""),"")</f>
        <v>-0.0544878072666732</v>
      </c>
      <c r="AX215" s="22" t="n">
        <f aca="false">IF(AND(ISNUMBER(AX214),ISNUMBER(AS214)),IFERROR(AX214/AS214-1,""),"")</f>
        <v>0.234283714293406</v>
      </c>
      <c r="AY215" s="22" t="n">
        <f aca="false">IF(AND(ISNUMBER(AY214),ISNUMBER(AT214)),IFERROR(AY214/AT214-1,""),"")</f>
        <v>-0.190305552991331</v>
      </c>
      <c r="AZ215" s="22" t="n">
        <f aca="false">IF(AND(ISNUMBER(AZ214),ISNUMBER(AU214)),IFERROR(AZ214/AU214-1,""),"")</f>
        <v>0.315188752101032</v>
      </c>
      <c r="BA215" s="22" t="n">
        <f aca="false">IF(AND(ISNUMBER(BA214),ISNUMBER(AV214)),IFERROR(BA214/AV214-1,""),"")</f>
        <v>-0.00729801501633454</v>
      </c>
      <c r="BB215" s="22" t="n">
        <f aca="false">IF(AND(ISNUMBER(BB214),ISNUMBER(AW214)),IFERROR(BB214/AW214-1,""),"")</f>
        <v>0.0562321167316182</v>
      </c>
      <c r="BC215" s="22" t="n">
        <f aca="false">IF(AND(ISNUMBER(BC214),ISNUMBER(AX214)),IFERROR(BC214/AX214-1,""),"")</f>
        <v>-0.244312356854619</v>
      </c>
      <c r="BD215" s="22" t="n">
        <f aca="false">IF(AND(ISNUMBER(BD214),ISNUMBER(AY214)),IFERROR(BD214/AY214-1,""),"")</f>
        <v>-0.0749450686124124</v>
      </c>
      <c r="BE215" s="22" t="n">
        <f aca="false">IF(AND(ISNUMBER(BE214),ISNUMBER(AZ214)),IFERROR(BE214/AZ214-1,""),"")</f>
        <v>0.217658995725573</v>
      </c>
      <c r="BF215" s="22" t="n">
        <f aca="false">IF(AND(ISNUMBER(BF214),ISNUMBER(BA214)),IFERROR(BF214/BA214-1,""),"")</f>
        <v>0.311762668154962</v>
      </c>
      <c r="BG215" s="22" t="n">
        <f aca="false">IF(AND(ISNUMBER(BG214),ISNUMBER(BB214)),IFERROR(BG214/BB214-1,""),"")</f>
        <v>0.0685779147391157</v>
      </c>
      <c r="BH215" s="22" t="n">
        <f aca="false">IF(AND(ISNUMBER(BH214),ISNUMBER(BC214)),IFERROR(BH214/BC214-1,""),"")</f>
        <v>-0.0497770208835457</v>
      </c>
      <c r="BI215" s="22" t="n">
        <f aca="false">IF(AND(ISNUMBER(BI214),ISNUMBER(BD214)),IFERROR(BI214/BD214-1,""),"")</f>
        <v>-0.252966286847501</v>
      </c>
      <c r="BJ215" s="22" t="n">
        <f aca="false">IF(AND(ISNUMBER(BJ214),ISNUMBER(BE214)),IFERROR(BJ214/BE214-1,""),"")</f>
        <v>-0.0520881349681942</v>
      </c>
      <c r="BK215" s="22" t="n">
        <f aca="false">IF(AND(ISNUMBER(BK214),ISNUMBER(BF214)),IFERROR(BK214/BF214-1,""),"")</f>
        <v>-0.0234813418328799</v>
      </c>
      <c r="BL215" s="22" t="n">
        <f aca="false">IF(AND(ISNUMBER(BL214),ISNUMBER(BG214)),IFERROR(BL214/BG214-1,""),"")</f>
        <v>-0.0839072759558954</v>
      </c>
      <c r="BM215" s="22" t="n">
        <f aca="false">IF(AND(ISNUMBER(BM214),ISNUMBER(BH214)),IFERROR(BM214/BH214-1,""),"")</f>
        <v>0.492633657351154</v>
      </c>
      <c r="BN215" s="22" t="n">
        <f aca="false">IF(AND(ISNUMBER(BN214),ISNUMBER(BI214)),IFERROR(BN214/BI214-1,""),"")</f>
        <v>0.922639670041245</v>
      </c>
      <c r="BO215" s="22" t="n">
        <f aca="false">IF(AND(ISNUMBER(BO214),ISNUMBER(BJ214)),IFERROR(BO214/BJ214-1,""),"")</f>
        <v>0.482089686232849</v>
      </c>
      <c r="BP215" s="22" t="n">
        <f aca="false">IF(AND(ISNUMBER(BP214),ISNUMBER(BK214)),IFERROR(BP214/BK214-1,""),"")</f>
        <v>0.423805588942308</v>
      </c>
      <c r="BQ215" s="22" t="n">
        <f aca="false">IF(AND(ISNUMBER(BQ214),ISNUMBER(BL214)),IFERROR(BQ214/BL214-1,""),"")</f>
        <v>0.537960085248973</v>
      </c>
      <c r="BR215" s="22" t="n">
        <f aca="false">IF(AND(ISNUMBER(BR214),ISNUMBER(BM214)),IFERROR(BR214/BM214-1,""),"")</f>
        <v>0.889585347239888</v>
      </c>
      <c r="BS215" s="22" t="n">
        <f aca="false">IF(AND(ISNUMBER(BS214),ISNUMBER(BN214)),IFERROR(BS214/BN214-1,""),"")</f>
        <v>0.472252558662007</v>
      </c>
      <c r="BT215" s="22" t="n">
        <f aca="false">IF(AND(ISNUMBER(BT214),ISNUMBER(BO214)),IFERROR(BT214/BO214-1,""),"")</f>
        <v>0.102809116377679</v>
      </c>
      <c r="BU215" s="22" t="n">
        <f aca="false">IF(AND(ISNUMBER(BU214),ISNUMBER(BP214)),IFERROR(BU214/BP214-1,""),"")</f>
        <v>0.41649387718493</v>
      </c>
      <c r="BV215" s="22" t="n">
        <f aca="false">IF(AND(ISNUMBER(BV214),ISNUMBER(BQ214)),IFERROR(BV214/BQ214-1,""),"")</f>
        <v>0.402650018156386</v>
      </c>
      <c r="BW215" s="22" t="n">
        <f aca="false">IF(AND(ISNUMBER(BW214),ISNUMBER(BR214)),IFERROR(BW214/BR214-1,""),"")</f>
        <v>-0.110921437379846</v>
      </c>
      <c r="BX215" s="22" t="n">
        <f aca="false">IF(AND(ISNUMBER(BX214),ISNUMBER(BS214)),IFERROR(BX214/BS214-1,""),"")</f>
        <v>0.45139378268541</v>
      </c>
      <c r="BY215" s="22" t="n">
        <f aca="false">IF(AND(ISNUMBER(BY214),ISNUMBER(BT214)),IFERROR(BY214/BT214-1,""),"")</f>
        <v>0.47743417920832</v>
      </c>
      <c r="CA215" s="23" t="n">
        <f aca="false">IF(AND(ISNUMBER(CA214),ISNUMBER(BV214)),IFERROR(CA214/BV214-1,""),"")</f>
        <v>0.198956318696843</v>
      </c>
      <c r="CB215" s="23" t="n">
        <f aca="false">IF(AND(ISNUMBER(CB214),ISNUMBER(CA214)),IFERROR(CB214/CA214-1,""),"")</f>
        <v>0.0778412723773263</v>
      </c>
      <c r="CC215" s="23" t="n">
        <f aca="false">IF(AND(ISNUMBER(CC214),ISNUMBER(CB214)),IFERROR(CC214/CB214-1,""),"")</f>
        <v>0.157895881013331</v>
      </c>
      <c r="CD215" s="23" t="n">
        <f aca="false">IF(AND(ISNUMBER(CD214),ISNUMBER(CC214)),IFERROR(CD214/CC214-1,""),"")</f>
        <v>0.103870283265497</v>
      </c>
      <c r="CE215" s="23" t="n">
        <f aca="false">IF(AND(ISNUMBER(CE214),ISNUMBER(CD214)),IFERROR(CE214/CD214-1,""),"")</f>
        <v>0.092957171385935</v>
      </c>
    </row>
    <row r="216" customFormat="false" ht="15" hidden="false" customHeight="true" outlineLevel="0" collapsed="false">
      <c r="B216" s="29" t="s">
        <v>349</v>
      </c>
      <c r="C216" s="30" t="n">
        <f aca="false">IF(AND(ISNUMBER(C214),ISNUMBER(C98)),IFERROR(C214/C98,""),"")</f>
        <v>0.0941992401642061</v>
      </c>
      <c r="D216" s="30" t="n">
        <f aca="false">IF(AND(ISNUMBER(D214),ISNUMBER(D98)),IFERROR(D214/D98,""),"")</f>
        <v>0.0877375355368126</v>
      </c>
      <c r="E216" s="30" t="n">
        <f aca="false">IF(AND(ISNUMBER(E214),ISNUMBER(E98)),IFERROR(E214/E98,""),"")</f>
        <v>0.10252821771212</v>
      </c>
      <c r="F216" s="30" t="n">
        <f aca="false">IF(AND(ISNUMBER(F214),ISNUMBER(F98)),IFERROR(F214/F98,""),"")</f>
        <v>0.121799158827114</v>
      </c>
      <c r="G216" s="30" t="n">
        <f aca="false">IF(AND(ISNUMBER(G214),ISNUMBER(G98)),IFERROR(G214/G98,""),"")</f>
        <v>0.150465138893391</v>
      </c>
      <c r="H216" s="30" t="n">
        <f aca="false">IF(AND(ISNUMBER(H214),ISNUMBER(H98)),IFERROR(H214/H98,""),"")</f>
        <v>0.151749726431609</v>
      </c>
      <c r="I216" s="30" t="n">
        <f aca="false">IF(AND(ISNUMBER(I214),ISNUMBER(I98)),IFERROR(I214/I98,""),"")</f>
        <v>0.137430670632431</v>
      </c>
      <c r="J216" s="30" t="n">
        <f aca="false">IF(AND(ISNUMBER(J214),ISNUMBER(J98)),IFERROR(J214/J98,""),"")</f>
        <v>0.0407270543674073</v>
      </c>
      <c r="K216" s="30" t="n">
        <f aca="false">IF(AND(ISNUMBER(K214),ISNUMBER(K98)),IFERROR(K214/K98,""),"")</f>
        <v>0.111270971107409</v>
      </c>
      <c r="L216" s="30" t="n">
        <f aca="false">IF(AND(ISNUMBER(L214),ISNUMBER(L98)),IFERROR(L214/L98,""),"")</f>
        <v>0.162948793297721</v>
      </c>
      <c r="M216" s="30" t="n">
        <f aca="false">IF(AND(ISNUMBER(M214),ISNUMBER(M98)),IFERROR(M214/M98,""),"")</f>
        <v>0.120768476059925</v>
      </c>
      <c r="N216" s="30" t="n">
        <f aca="false">IF(AND(ISNUMBER(N214),ISNUMBER(N98)),IFERROR(N214/N98,""),"")</f>
        <v>0.112522639248104</v>
      </c>
      <c r="O216" s="30" t="n">
        <f aca="false">IF(AND(ISNUMBER(O214),ISNUMBER(O98)),IFERROR(O214/O98,""),"")</f>
        <v>0.110780058914798</v>
      </c>
      <c r="P216" s="30" t="n">
        <f aca="false">IF(AND(ISNUMBER(P214),ISNUMBER(P98)),IFERROR(P214/P98,""),"")</f>
        <v>0.0636249610249724</v>
      </c>
      <c r="Q216" s="30" t="n">
        <f aca="false">IF(AND(ISNUMBER(Q214),ISNUMBER(Q98)),IFERROR(Q214/Q98,""),"")</f>
        <v>0.23178366491427</v>
      </c>
      <c r="R216" s="30" t="n">
        <f aca="false">IF(AND(ISNUMBER(R214),ISNUMBER(R98)),IFERROR(R214/R98,""),"")</f>
        <v>0.202951170852397</v>
      </c>
      <c r="S216" s="30" t="n">
        <f aca="false">IF(AND(ISNUMBER(S214),ISNUMBER(S98)),IFERROR(S214/S98,""),"")</f>
        <v>0.153914428103233</v>
      </c>
      <c r="T216" s="30" t="n">
        <f aca="false">IF(AND(ISNUMBER(T214),ISNUMBER(T98)),IFERROR(T214/T98,""),"")</f>
        <v>0.0939687156254078</v>
      </c>
      <c r="U216" s="30" t="n">
        <f aca="false">IF(AND(ISNUMBER(U214),ISNUMBER(U98)),IFERROR(U214/U98,""),"")</f>
        <v>0.10343798147697</v>
      </c>
      <c r="V216" s="30" t="n">
        <f aca="false">IF(AND(ISNUMBER(V214),ISNUMBER(V98)),IFERROR(V214/V98,""),"")</f>
        <v>0.173709092119719</v>
      </c>
      <c r="W216" s="30" t="n">
        <f aca="false">IF(AND(ISNUMBER(W214),ISNUMBER(W98)),IFERROR(W214/W98,""),"")</f>
        <v>0.143279622237367</v>
      </c>
      <c r="X216" s="30" t="n">
        <f aca="false">IF(AND(ISNUMBER(X214),ISNUMBER(X98)),IFERROR(X214/X98,""),"")</f>
        <v>0.130075514365901</v>
      </c>
      <c r="Y216" s="30" t="n">
        <f aca="false">IF(AND(ISNUMBER(Y214),ISNUMBER(Y98)),IFERROR(Y214/Y98,""),"")</f>
        <v>0.128914171513289</v>
      </c>
      <c r="Z216" s="30" t="n">
        <f aca="false">IF(AND(ISNUMBER(Z214),ISNUMBER(Z98)),IFERROR(Z214/Z98,""),"")</f>
        <v>0.135982523784536</v>
      </c>
      <c r="AA216" s="30" t="n">
        <f aca="false">IF(AND(ISNUMBER(AA214),ISNUMBER(AA98)),IFERROR(AA214/AA98,""),"")</f>
        <v>0.174520618730412</v>
      </c>
      <c r="AB216" s="30" t="n">
        <f aca="false">IF(AND(ISNUMBER(AB214),ISNUMBER(AB98)),IFERROR(AB214/AB98,""),"")</f>
        <v>0.189975750002064</v>
      </c>
      <c r="AC216" s="30" t="n">
        <f aca="false">IF(AND(ISNUMBER(AC214),ISNUMBER(AC98)),IFERROR(AC214/AC98,""),"")</f>
        <v>0.158633773609309</v>
      </c>
      <c r="AD216" s="30" t="n">
        <f aca="false">IF(AND(ISNUMBER(AD214),ISNUMBER(AD98)),IFERROR(AD214/AD98,""),"")</f>
        <v>0.144287661021687</v>
      </c>
      <c r="AE216" s="30" t="n">
        <f aca="false">IF(AND(ISNUMBER(AE214),ISNUMBER(AE98)),IFERROR(AE214/AE98,""),"")</f>
        <v>0.0939138548840793</v>
      </c>
      <c r="AF216" s="30" t="n">
        <f aca="false">IF(AND(ISNUMBER(AF214),ISNUMBER(AF98)),IFERROR(AF214/AF98,""),"")</f>
        <v>0.190761174968072</v>
      </c>
      <c r="AG216" s="30" t="n">
        <f aca="false">IF(AND(ISNUMBER(AG214),ISNUMBER(AG98)),IFERROR(AG214/AG98,""),"")</f>
        <v>0.213731886122348</v>
      </c>
      <c r="AH216" s="30" t="n">
        <f aca="false">IF(AND(ISNUMBER(AH214),ISNUMBER(AH98)),IFERROR(AH214/AH98,""),"")</f>
        <v>0.163224605246676</v>
      </c>
      <c r="AI216" s="30" t="n">
        <f aca="false">IF(AND(ISNUMBER(AI214),ISNUMBER(AI98)),IFERROR(AI214/AI98,""),"")</f>
        <v>0.0925496402166119</v>
      </c>
      <c r="AJ216" s="30" t="n">
        <f aca="false">IF(AND(ISNUMBER(AJ214),ISNUMBER(AJ98)),IFERROR(AJ214/AJ98,""),"")</f>
        <v>0.0652923116938612</v>
      </c>
      <c r="AK216" s="30" t="n">
        <f aca="false">IF(AND(ISNUMBER(AK214),ISNUMBER(AK98)),IFERROR(AK214/AK98,""),"")</f>
        <v>0.221675521923469</v>
      </c>
      <c r="AL216" s="30" t="n">
        <f aca="false">IF(AND(ISNUMBER(AL214),ISNUMBER(AL98)),IFERROR(AL214/AL98,""),"")</f>
        <v>0.247043306128954</v>
      </c>
      <c r="AM216" s="30" t="n">
        <f aca="false">IF(AND(ISNUMBER(AM214),ISNUMBER(AM98)),IFERROR(AM214/AM98,""),"")</f>
        <v>0.161226649176108</v>
      </c>
      <c r="AN216" s="30" t="n">
        <f aca="false">IF(AND(ISNUMBER(AN214),ISNUMBER(AN98)),IFERROR(AN214/AN98,""),"")</f>
        <v>0.0936594972390624</v>
      </c>
      <c r="AO216" s="30" t="n">
        <f aca="false">IF(AND(ISNUMBER(AO214),ISNUMBER(AO98)),IFERROR(AO214/AO98,""),"")</f>
        <v>0.236591628397667</v>
      </c>
      <c r="AP216" s="30" t="n">
        <f aca="false">IF(AND(ISNUMBER(AP214),ISNUMBER(AP98)),IFERROR(AP214/AP98,""),"")</f>
        <v>0.236831328288787</v>
      </c>
      <c r="AQ216" s="30" t="n">
        <f aca="false">IF(AND(ISNUMBER(AQ214),ISNUMBER(AQ98)),IFERROR(AQ214/AQ98,""),"")</f>
        <v>0.215523083712968</v>
      </c>
      <c r="AR216" s="30" t="n">
        <f aca="false">IF(AND(ISNUMBER(AR214),ISNUMBER(AR98)),IFERROR(AR214/AR98,""),"")</f>
        <v>0.198691701444849</v>
      </c>
      <c r="AS216" s="30" t="n">
        <f aca="false">IF(AND(ISNUMBER(AS214),ISNUMBER(AS98)),IFERROR(AS214/AS98,""),"")</f>
        <v>0.146730531825589</v>
      </c>
      <c r="AT216" s="30" t="n">
        <f aca="false">IF(AND(ISNUMBER(AT214),ISNUMBER(AT98)),IFERROR(AT214/AT98,""),"")</f>
        <v>0.254538114178056</v>
      </c>
      <c r="AU216" s="30" t="n">
        <f aca="false">IF(AND(ISNUMBER(AU214),ISNUMBER(AU98)),IFERROR(AU214/AU98,""),"")</f>
        <v>0.227871949483709</v>
      </c>
      <c r="AV216" s="30" t="n">
        <f aca="false">IF(AND(ISNUMBER(AV214),ISNUMBER(AV98)),IFERROR(AV214/AV98,""),"")</f>
        <v>0.2456391460845</v>
      </c>
      <c r="AW216" s="30" t="n">
        <f aca="false">IF(AND(ISNUMBER(AW214),ISNUMBER(AW98)),IFERROR(AW214/AW98,""),"")</f>
        <v>0.216106913843187</v>
      </c>
      <c r="AX216" s="30" t="n">
        <f aca="false">IF(AND(ISNUMBER(AX214),ISNUMBER(AX98)),IFERROR(AX214/AX98,""),"")</f>
        <v>0.219405506554168</v>
      </c>
      <c r="AY216" s="30" t="n">
        <f aca="false">IF(AND(ISNUMBER(AY214),ISNUMBER(AY98)),IFERROR(AY214/AY98,""),"")</f>
        <v>0.20675836974527</v>
      </c>
      <c r="AZ216" s="30" t="n">
        <f aca="false">IF(AND(ISNUMBER(AZ214),ISNUMBER(AZ98)),IFERROR(AZ214/AZ98,""),"")</f>
        <v>0.245501974742796</v>
      </c>
      <c r="BA216" s="30" t="n">
        <f aca="false">IF(AND(ISNUMBER(BA214),ISNUMBER(BA98)),IFERROR(BA214/BA98,""),"")</f>
        <v>0.203999827255203</v>
      </c>
      <c r="BB216" s="30" t="n">
        <f aca="false">IF(AND(ISNUMBER(BB214),ISNUMBER(BB98)),IFERROR(BB214/BB98,""),"")</f>
        <v>0.218633722145575</v>
      </c>
      <c r="BC216" s="30" t="n">
        <f aca="false">IF(AND(ISNUMBER(BC214),ISNUMBER(BC98)),IFERROR(BC214/BC98,""),"")</f>
        <v>0.141307207403797</v>
      </c>
      <c r="BD216" s="30" t="n">
        <f aca="false">IF(AND(ISNUMBER(BD214),ISNUMBER(BD98)),IFERROR(BD214/BD98,""),"")</f>
        <v>0.165647450970931</v>
      </c>
      <c r="BE216" s="30" t="n">
        <f aca="false">IF(AND(ISNUMBER(BE214),ISNUMBER(BE98)),IFERROR(BE214/BE98,""),"")</f>
        <v>0.247592743464764</v>
      </c>
      <c r="BF216" s="30" t="n">
        <f aca="false">IF(AND(ISNUMBER(BF214),ISNUMBER(BF98)),IFERROR(BF214/BF98,""),"")</f>
        <v>0.223609748736135</v>
      </c>
      <c r="BG216" s="30" t="n">
        <f aca="false">IF(AND(ISNUMBER(BG214),ISNUMBER(BG98)),IFERROR(BG214/BG98,""),"")</f>
        <v>0.197377918618752</v>
      </c>
      <c r="BH216" s="30" t="n">
        <f aca="false">IF(AND(ISNUMBER(BH214),ISNUMBER(BH98)),IFERROR(BH214/BH98,""),"")</f>
        <v>0.106037058212477</v>
      </c>
      <c r="BI216" s="30" t="n">
        <f aca="false">IF(AND(ISNUMBER(BI214),ISNUMBER(BI98)),IFERROR(BI214/BI98,""),"")</f>
        <v>0.0969337390472507</v>
      </c>
      <c r="BJ216" s="30" t="n">
        <f aca="false">IF(AND(ISNUMBER(BJ214),ISNUMBER(BJ98)),IFERROR(BJ214/BJ98,""),"")</f>
        <v>0.184901964581645</v>
      </c>
      <c r="BK216" s="30" t="n">
        <f aca="false">IF(AND(ISNUMBER(BK214),ISNUMBER(BK98)),IFERROR(BK214/BK98,""),"")</f>
        <v>0.142154334415082</v>
      </c>
      <c r="BL216" s="30" t="n">
        <f aca="false">IF(AND(ISNUMBER(BL214),ISNUMBER(BL98)),IFERROR(BL214/BL98,""),"")</f>
        <v>0.134530618020589</v>
      </c>
      <c r="BM216" s="30" t="n">
        <f aca="false">IF(AND(ISNUMBER(BM214),ISNUMBER(BM98)),IFERROR(BM214/BM98,""),"")</f>
        <v>0.109637501771046</v>
      </c>
      <c r="BN216" s="30" t="n">
        <f aca="false">IF(AND(ISNUMBER(BN214),ISNUMBER(BN98)),IFERROR(BN214/BN98,""),"")</f>
        <v>0.134176963454906</v>
      </c>
      <c r="BO216" s="30" t="n">
        <f aca="false">IF(AND(ISNUMBER(BO214),ISNUMBER(BO98)),IFERROR(BO214/BO98,""),"")</f>
        <v>0.19965311021662</v>
      </c>
      <c r="BP216" s="30" t="n">
        <f aca="false">IF(AND(ISNUMBER(BP214),ISNUMBER(BP98)),IFERROR(BP214/BP98,""),"")</f>
        <v>0.18698189243981</v>
      </c>
      <c r="BQ216" s="30" t="n">
        <f aca="false">IF(AND(ISNUMBER(BQ214),ISNUMBER(BQ98)),IFERROR(BQ214/BQ98,""),"")</f>
        <v>0.159191729513341</v>
      </c>
      <c r="BR216" s="30" t="n">
        <f aca="false">IF(AND(ISNUMBER(BR214),ISNUMBER(BR98)),IFERROR(BR214/BR98,""),"")</f>
        <v>0.180251440951562</v>
      </c>
      <c r="BS216" s="30" t="n">
        <f aca="false">IF(AND(ISNUMBER(BS214),ISNUMBER(BS98)),IFERROR(BS214/BS98,""),"")</f>
        <v>0.17191433932703</v>
      </c>
      <c r="BT216" s="30" t="n">
        <f aca="false">IF(AND(ISNUMBER(BT214),ISNUMBER(BT98)),IFERROR(BT214/BT98,""),"")</f>
        <v>0.190374445250965</v>
      </c>
      <c r="BU216" s="30" t="n">
        <f aca="false">IF(AND(ISNUMBER(BU214),ISNUMBER(BU98)),IFERROR(BU214/BU98,""),"")</f>
        <v>0.221990704566107</v>
      </c>
      <c r="BV216" s="30" t="n">
        <f aca="false">IF(AND(ISNUMBER(BV214),ISNUMBER(BV98)),IFERROR(BV214/BV98,""),"")</f>
        <v>0.192056086852214</v>
      </c>
      <c r="BW216" s="30" t="n">
        <f aca="false">IF(AND(ISNUMBER(BW214),ISNUMBER(BW98)),IFERROR(BW214/BW98,""),"")</f>
        <v>0.140084440454716</v>
      </c>
      <c r="BX216" s="30" t="n">
        <f aca="false">IF(AND(ISNUMBER(BX214),ISNUMBER(BX98)),IFERROR(BX214/BX98,""),"")</f>
        <v>0.199113477883832</v>
      </c>
      <c r="BY216" s="30" t="n">
        <f aca="false">IF(AND(ISNUMBER(BY214),ISNUMBER(BY98)),IFERROR(BY214/BY98,""),"")</f>
        <v>0.228426453416369</v>
      </c>
      <c r="CA216" s="23" t="n">
        <f aca="false">IF(AND(ISNUMBER(CA214),ISNUMBER(CA98)),IFERROR(CA214/CA98,""),"")</f>
        <v>0.189719791087148</v>
      </c>
      <c r="CB216" s="23" t="n">
        <f aca="false">IF(AND(ISNUMBER(CB214),ISNUMBER(CB98)),IFERROR(CB214/CB98,""),"")</f>
        <v>0.179643155344428</v>
      </c>
      <c r="CC216" s="23" t="n">
        <f aca="false">IF(AND(ISNUMBER(CC214),ISNUMBER(CC98)),IFERROR(CC214/CC98,""),"")</f>
        <v>0.187406476882596</v>
      </c>
      <c r="CD216" s="23" t="n">
        <f aca="false">IF(AND(ISNUMBER(CD214),ISNUMBER(CD98)),IFERROR(CD214/CD98,""),"")</f>
        <v>0.188011620657087</v>
      </c>
      <c r="CE216" s="23" t="n">
        <f aca="false">IF(AND(ISNUMBER(CE214),ISNUMBER(CE98)),IFERROR(CE214/CE98,""),"")</f>
        <v>0.186939354923297</v>
      </c>
      <c r="CH216" s="33" t="n">
        <f aca="false">IFERROR(AVERAGE(CA216,CB216,CC216,CD216,CE216),"n/m")</f>
        <v>0.186344079778911</v>
      </c>
      <c r="CI216" s="33" t="n">
        <f aca="false">IFERROR(AVERAGE(BB216,BG216,BL216,BQ216,BV216),"n/m")</f>
        <v>0.180358015030094</v>
      </c>
      <c r="CJ216" s="33" t="n">
        <f aca="false">IFERROR(AVERAGE(AC216,AH216,AM216,AR216,AW216,BB216,BG216,BL216,BQ216,BV216),"n/m")</f>
        <v>0.17996737184706</v>
      </c>
      <c r="CK216" s="33" t="n">
        <f aca="false">IFERROR(AVERAGE(C216,D216,E216,F216,G216,H216,I216,N216,S216,X216,AC216,AH216,AM216,AR216,AW216,BB216,BG216,BL216,BQ216,BV216),"n/m")</f>
        <v>0.152104799419276</v>
      </c>
    </row>
    <row r="217" customFormat="false" ht="15" hidden="false" customHeight="true" outlineLevel="0" collapsed="false">
      <c r="B217" s="29" t="s">
        <v>350</v>
      </c>
      <c r="C217" s="30" t="n">
        <f aca="false">IF(AND(ISNUMBER(C214),ISNUMBER(C161)),IFERROR(C214/C161,""),"")</f>
        <v>1.15855494229804</v>
      </c>
      <c r="D217" s="30" t="n">
        <f aca="false">IF(AND(ISNUMBER(D214),ISNUMBER(D161)),IFERROR(D214/D161,""),"")</f>
        <v>1.14252018971927</v>
      </c>
      <c r="E217" s="30" t="n">
        <f aca="false">IF(AND(ISNUMBER(E214),ISNUMBER(E161)),IFERROR(E214/E161,""),"")</f>
        <v>1.20102334641167</v>
      </c>
      <c r="F217" s="30" t="n">
        <f aca="false">IF(AND(ISNUMBER(F214),ISNUMBER(F161)),IFERROR(F214/F161,""),"")</f>
        <v>1.46249048852435</v>
      </c>
      <c r="G217" s="30" t="n">
        <f aca="false">IF(AND(ISNUMBER(G214),ISNUMBER(G161)),IFERROR(G214/G161,""),"")</f>
        <v>1.66105843133743</v>
      </c>
      <c r="H217" s="30" t="n">
        <f aca="false">IF(AND(ISNUMBER(H214),ISNUMBER(H161)),IFERROR(H214/H161,""),"")</f>
        <v>1.53804491634652</v>
      </c>
      <c r="I217" s="30" t="n">
        <f aca="false">IF(AND(ISNUMBER(I214),ISNUMBER(I161)),IFERROR(I214/I161,""),"")</f>
        <v>1.44701553105563</v>
      </c>
      <c r="J217" s="30" t="n">
        <f aca="false">IF(AND(ISNUMBER(J214),ISNUMBER(J161)),IFERROR(J214/J161,""),"")</f>
        <v>0.444335007964445</v>
      </c>
      <c r="K217" s="30" t="n">
        <f aca="false">IF(AND(ISNUMBER(K214),ISNUMBER(K161)),IFERROR(K214/K161,""),"")</f>
        <v>1.1494234195913</v>
      </c>
      <c r="L217" s="30" t="n">
        <f aca="false">IF(AND(ISNUMBER(L214),ISNUMBER(L161)),IFERROR(L214/L161,""),"")</f>
        <v>1.50344325179342</v>
      </c>
      <c r="M217" s="30" t="n">
        <f aca="false">IF(AND(ISNUMBER(M214),ISNUMBER(M161)),IFERROR(M214/M161,""),"")</f>
        <v>1.17666230794434</v>
      </c>
      <c r="N217" s="30" t="n">
        <f aca="false">IF(AND(ISNUMBER(N214),ISNUMBER(N161)),IFERROR(N214/N161,""),"")</f>
        <v>1.12089076986549</v>
      </c>
      <c r="O217" s="30" t="n">
        <f aca="false">IF(AND(ISNUMBER(O214),ISNUMBER(O161)),IFERROR(O214/O161,""),"")</f>
        <v>1.29658271165764</v>
      </c>
      <c r="P217" s="30" t="n">
        <f aca="false">IF(AND(ISNUMBER(P214),ISNUMBER(P161)),IFERROR(P214/P161,""),"")</f>
        <v>0.669196424259958</v>
      </c>
      <c r="Q217" s="30" t="n">
        <f aca="false">IF(AND(ISNUMBER(Q214),ISNUMBER(Q161)),IFERROR(Q214/Q161,""),"")</f>
        <v>2.07023457843389</v>
      </c>
      <c r="R217" s="30" t="n">
        <f aca="false">IF(AND(ISNUMBER(R214),ISNUMBER(R161)),IFERROR(R214/R161,""),"")</f>
        <v>1.96555491749506</v>
      </c>
      <c r="S217" s="30" t="n">
        <f aca="false">IF(AND(ISNUMBER(S214),ISNUMBER(S161)),IFERROR(S214/S161,""),"")</f>
        <v>1.55439849296542</v>
      </c>
      <c r="T217" s="30" t="n">
        <f aca="false">IF(AND(ISNUMBER(T214),ISNUMBER(T161)),IFERROR(T214/T161,""),"")</f>
        <v>0.91129315541446</v>
      </c>
      <c r="U217" s="30" t="n">
        <f aca="false">IF(AND(ISNUMBER(U214),ISNUMBER(U161)),IFERROR(U214/U161,""),"")</f>
        <v>0.93179750217257</v>
      </c>
      <c r="V217" s="30" t="n">
        <f aca="false">IF(AND(ISNUMBER(V214),ISNUMBER(V161)),IFERROR(V214/V161,""),"")</f>
        <v>1.49897457183549</v>
      </c>
      <c r="W217" s="30" t="n">
        <f aca="false">IF(AND(ISNUMBER(W214),ISNUMBER(W161)),IFERROR(W214/W161,""),"")</f>
        <v>1.21647916356439</v>
      </c>
      <c r="X217" s="30" t="n">
        <f aca="false">IF(AND(ISNUMBER(X214),ISNUMBER(X161)),IFERROR(X214/X161,""),"")</f>
        <v>1.15760229199793</v>
      </c>
      <c r="Y217" s="30" t="n">
        <f aca="false">IF(AND(ISNUMBER(Y214),ISNUMBER(Y161)),IFERROR(Y214/Y161,""),"")</f>
        <v>1.16547413941543</v>
      </c>
      <c r="Z217" s="30" t="n">
        <f aca="false">IF(AND(ISNUMBER(Z214),ISNUMBER(Z161)),IFERROR(Z214/Z161,""),"")</f>
        <v>1.21586634171866</v>
      </c>
      <c r="AA217" s="30" t="n">
        <f aca="false">IF(AND(ISNUMBER(AA214),ISNUMBER(AA161)),IFERROR(AA214/AA161,""),"")</f>
        <v>1.4565032626699</v>
      </c>
      <c r="AB217" s="30" t="n">
        <f aca="false">IF(AND(ISNUMBER(AB214),ISNUMBER(AB161)),IFERROR(AB214/AB161,""),"")</f>
        <v>1.54925642619393</v>
      </c>
      <c r="AC217" s="30" t="n">
        <f aca="false">IF(AND(ISNUMBER(AC214),ISNUMBER(AC161)),IFERROR(AC214/AC161,""),"")</f>
        <v>1.36202907617612</v>
      </c>
      <c r="AD217" s="30" t="n">
        <f aca="false">IF(AND(ISNUMBER(AD214),ISNUMBER(AD161)),IFERROR(AD214/AD161,""),"")</f>
        <v>1.27974657335078</v>
      </c>
      <c r="AE217" s="30" t="n">
        <f aca="false">IF(AND(ISNUMBER(AE214),ISNUMBER(AE161)),IFERROR(AE214/AE161,""),"")</f>
        <v>0.750993473578351</v>
      </c>
      <c r="AF217" s="30" t="n">
        <f aca="false">IF(AND(ISNUMBER(AF214),ISNUMBER(AF161)),IFERROR(AF214/AF161,""),"")</f>
        <v>1.63230662197513</v>
      </c>
      <c r="AG217" s="30" t="n">
        <f aca="false">IF(AND(ISNUMBER(AG214),ISNUMBER(AG161)),IFERROR(AG214/AG161,""),"")</f>
        <v>1.67973847709232</v>
      </c>
      <c r="AH217" s="30" t="n">
        <f aca="false">IF(AND(ISNUMBER(AH214),ISNUMBER(AH161)),IFERROR(AH214/AH161,""),"")</f>
        <v>1.351459561927</v>
      </c>
      <c r="AI217" s="30" t="n">
        <f aca="false">IF(AND(ISNUMBER(AI214),ISNUMBER(AI161)),IFERROR(AI214/AI161,""),"")</f>
        <v>0.772727038117112</v>
      </c>
      <c r="AJ217" s="30" t="n">
        <f aca="false">IF(AND(ISNUMBER(AJ214),ISNUMBER(AJ161)),IFERROR(AJ214/AJ161,""),"")</f>
        <v>0.471585762689121</v>
      </c>
      <c r="AK217" s="30" t="n">
        <f aca="false">IF(AND(ISNUMBER(AK214),ISNUMBER(AK161)),IFERROR(AK214/AK161,""),"")</f>
        <v>1.64131366590004</v>
      </c>
      <c r="AL217" s="30" t="n">
        <f aca="false">IF(AND(ISNUMBER(AL214),ISNUMBER(AL161)),IFERROR(AL214/AL161,""),"")</f>
        <v>1.7537401193861</v>
      </c>
      <c r="AM217" s="30" t="n">
        <f aca="false">IF(AND(ISNUMBER(AM214),ISNUMBER(AM161)),IFERROR(AM214/AM161,""),"")</f>
        <v>1.16970367256655</v>
      </c>
      <c r="AN217" s="30" t="n">
        <f aca="false">IF(AND(ISNUMBER(AN214),ISNUMBER(AN161)),IFERROR(AN214/AN161,""),"")</f>
        <v>0.663362440305889</v>
      </c>
      <c r="AO217" s="30" t="n">
        <f aca="false">IF(AND(ISNUMBER(AO214),ISNUMBER(AO161)),IFERROR(AO214/AO161,""),"")</f>
        <v>1.47438533452048</v>
      </c>
      <c r="AP217" s="30" t="n">
        <f aca="false">IF(AND(ISNUMBER(AP214),ISNUMBER(AP161)),IFERROR(AP214/AP161,""),"")</f>
        <v>1.54518690247856</v>
      </c>
      <c r="AQ217" s="30" t="n">
        <f aca="false">IF(AND(ISNUMBER(AQ214),ISNUMBER(AQ161)),IFERROR(AQ214/AQ161,""),"")</f>
        <v>1.37472924035876</v>
      </c>
      <c r="AR217" s="30" t="n">
        <f aca="false">IF(AND(ISNUMBER(AR214),ISNUMBER(AR161)),IFERROR(AR214/AR161,""),"")</f>
        <v>1.29640085616206</v>
      </c>
      <c r="AS217" s="30" t="n">
        <f aca="false">IF(AND(ISNUMBER(AS214),ISNUMBER(AS161)),IFERROR(AS214/AS161,""),"")</f>
        <v>0.978286635376666</v>
      </c>
      <c r="AT217" s="30" t="n">
        <f aca="false">IF(AND(ISNUMBER(AT214),ISNUMBER(AT161)),IFERROR(AT214/AT161,""),"")</f>
        <v>1.56707066177003</v>
      </c>
      <c r="AU217" s="30" t="n">
        <f aca="false">IF(AND(ISNUMBER(AU214),ISNUMBER(AU161)),IFERROR(AU214/AU161,""),"")</f>
        <v>1.64630258746894</v>
      </c>
      <c r="AV217" s="30" t="n">
        <f aca="false">IF(AND(ISNUMBER(AV214),ISNUMBER(AV161)),IFERROR(AV214/AV161,""),"")</f>
        <v>1.69175033985264</v>
      </c>
      <c r="AW217" s="30" t="n">
        <f aca="false">IF(AND(ISNUMBER(AW214),ISNUMBER(AW161)),IFERROR(AW214/AW161,""),"")</f>
        <v>1.44410467734954</v>
      </c>
      <c r="AX217" s="30" t="n">
        <f aca="false">IF(AND(ISNUMBER(AX214),ISNUMBER(AX161)),IFERROR(AX214/AX161,""),"")</f>
        <v>1.59285793701532</v>
      </c>
      <c r="AY217" s="30" t="n">
        <f aca="false">IF(AND(ISNUMBER(AY214),ISNUMBER(AY161)),IFERROR(AY214/AY161,""),"")</f>
        <v>1.36169552171415</v>
      </c>
      <c r="AZ217" s="30" t="n">
        <f aca="false">IF(AND(ISNUMBER(AZ214),ISNUMBER(AZ161)),IFERROR(AZ214/AZ161,""),"")</f>
        <v>1.49554140851587</v>
      </c>
      <c r="BA217" s="30" t="n">
        <f aca="false">IF(AND(ISNUMBER(BA214),ISNUMBER(BA161)),IFERROR(BA214/BA161,""),"")</f>
        <v>1.21782938551561</v>
      </c>
      <c r="BB217" s="30" t="n">
        <f aca="false">IF(AND(ISNUMBER(BB214),ISNUMBER(BB161)),IFERROR(BB214/BB161,""),"")</f>
        <v>1.40076325785348</v>
      </c>
      <c r="BC217" s="30" t="n">
        <f aca="false">IF(AND(ISNUMBER(BC214),ISNUMBER(BC161)),IFERROR(BC214/BC161,""),"")</f>
        <v>0.99949368257215</v>
      </c>
      <c r="BD217" s="30" t="n">
        <f aca="false">IF(AND(ISNUMBER(BD214),ISNUMBER(BD161)),IFERROR(BD214/BD161,""),"")</f>
        <v>1.06577120837038</v>
      </c>
      <c r="BE217" s="30" t="n">
        <f aca="false">IF(AND(ISNUMBER(BE214),ISNUMBER(BE161)),IFERROR(BE214/BE161,""),"")</f>
        <v>1.74671645884593</v>
      </c>
      <c r="BF217" s="30" t="n">
        <f aca="false">IF(AND(ISNUMBER(BF214),ISNUMBER(BF161)),IFERROR(BF214/BF161,""),"")</f>
        <v>1.44019419032386</v>
      </c>
      <c r="BG217" s="30" t="n">
        <f aca="false">IF(AND(ISNUMBER(BG214),ISNUMBER(BG161)),IFERROR(BG214/BG161,""),"")</f>
        <v>1.32825922158502</v>
      </c>
      <c r="BH217" s="30" t="n">
        <f aca="false">IF(AND(ISNUMBER(BH214),ISNUMBER(BH161)),IFERROR(BH214/BH161,""),"")</f>
        <v>0.713042198748584</v>
      </c>
      <c r="BI217" s="30" t="n">
        <f aca="false">IF(AND(ISNUMBER(BI214),ISNUMBER(BI161)),IFERROR(BI214/BI161,""),"")</f>
        <v>0.677702502988817</v>
      </c>
      <c r="BJ217" s="30" t="n">
        <f aca="false">IF(AND(ISNUMBER(BJ214),ISNUMBER(BJ161)),IFERROR(BJ214/BJ161,""),"")</f>
        <v>1.27284314528362</v>
      </c>
      <c r="BK217" s="30" t="n">
        <f aca="false">IF(AND(ISNUMBER(BK214),ISNUMBER(BK161)),IFERROR(BK214/BK161,""),"")</f>
        <v>1.15000803475106</v>
      </c>
      <c r="BL217" s="30" t="n">
        <f aca="false">IF(AND(ISNUMBER(BL214),ISNUMBER(BL161)),IFERROR(BL214/BL161,""),"")</f>
        <v>0.970829356249877</v>
      </c>
      <c r="BM217" s="30" t="n">
        <f aca="false">IF(AND(ISNUMBER(BM214),ISNUMBER(BM161)),IFERROR(BM214/BM161,""),"")</f>
        <v>0.960385033531632</v>
      </c>
      <c r="BN217" s="30" t="n">
        <f aca="false">IF(AND(ISNUMBER(BN214),ISNUMBER(BN161)),IFERROR(BN214/BN161,""),"")</f>
        <v>1.08560470536815</v>
      </c>
      <c r="BO217" s="30" t="n">
        <f aca="false">IF(AND(ISNUMBER(BO214),ISNUMBER(BO161)),IFERROR(BO214/BO161,""),"")</f>
        <v>1.44673178217911</v>
      </c>
      <c r="BP217" s="30" t="n">
        <f aca="false">IF(AND(ISNUMBER(BP214),ISNUMBER(BP161)),IFERROR(BP214/BP161,""),"")</f>
        <v>1.33678297734136</v>
      </c>
      <c r="BQ217" s="30" t="n">
        <f aca="false">IF(AND(ISNUMBER(BQ214),ISNUMBER(BQ161)),IFERROR(BQ214/BQ161,""),"")</f>
        <v>1.23097062967988</v>
      </c>
      <c r="BR217" s="30" t="n">
        <f aca="false">IF(AND(ISNUMBER(BR214),ISNUMBER(BR161)),IFERROR(BR214/BR161,""),"")</f>
        <v>1.28734320602178</v>
      </c>
      <c r="BS217" s="30" t="n">
        <f aca="false">IF(AND(ISNUMBER(BS214),ISNUMBER(BS161)),IFERROR(BS214/BS161,""),"")</f>
        <v>1.18297189963193</v>
      </c>
      <c r="BT217" s="30" t="n">
        <f aca="false">IF(AND(ISNUMBER(BT214),ISNUMBER(BT161)),IFERROR(BT214/BT161,""),"")</f>
        <v>1.21960959473532</v>
      </c>
      <c r="BU217" s="30" t="n">
        <f aca="false">IF(AND(ISNUMBER(BU214),ISNUMBER(BU161)),IFERROR(BU214/BU161,""),"")</f>
        <v>1.40021472143292</v>
      </c>
      <c r="BV217" s="30" t="n">
        <f aca="false">IF(AND(ISNUMBER(BV214),ISNUMBER(BV161)),IFERROR(BV214/BV161,""),"")</f>
        <v>1.2763547841037</v>
      </c>
      <c r="BW217" s="30" t="n">
        <f aca="false">IF(AND(ISNUMBER(BW214),ISNUMBER(BW161)),IFERROR(BW214/BW161,""),"")</f>
        <v>0.969589659338997</v>
      </c>
      <c r="BX217" s="30" t="n">
        <f aca="false">IF(AND(ISNUMBER(BX214),ISNUMBER(BX161)),IFERROR(BX214/BX161,""),"")</f>
        <v>1.16268048533468</v>
      </c>
      <c r="BY217" s="30" t="n">
        <f aca="false">IF(AND(ISNUMBER(BY214),ISNUMBER(BY161)),IFERROR(BY214/BY161,""),"")</f>
        <v>1.35510371433268</v>
      </c>
      <c r="CA217" s="23" t="n">
        <f aca="false">IF(AND(ISNUMBER(CA214),ISNUMBER(CA161)),IFERROR(CA214/CA161,""),"")</f>
        <v>1.13891150164009</v>
      </c>
      <c r="CB217" s="23" t="n">
        <f aca="false">IF(AND(ISNUMBER(CB214),ISNUMBER(CB161)),IFERROR(CB214/CB161,""),"")</f>
        <v>1.08753994943639</v>
      </c>
      <c r="CC217" s="23" t="n">
        <f aca="false">IF(AND(ISNUMBER(CC214),ISNUMBER(CC161)),IFERROR(CC214/CC161,""),"")</f>
        <v>1.11005571115125</v>
      </c>
      <c r="CD217" s="23" t="n">
        <f aca="false">IF(AND(ISNUMBER(CD214),ISNUMBER(CD161)),IFERROR(CD214/CD161,""),"")</f>
        <v>1.11494578497191</v>
      </c>
      <c r="CE217" s="23" t="n">
        <f aca="false">IF(AND(ISNUMBER(CE214),ISNUMBER(CE161)),IFERROR(CE214/CE161,""),"")</f>
        <v>1.11012340119164</v>
      </c>
      <c r="CH217" s="33" t="n">
        <f aca="false">IFERROR(AVERAGE(CA217,CB217,CC217,CD217,CE217),"n/m")</f>
        <v>1.11231526967825</v>
      </c>
      <c r="CI217" s="33" t="n">
        <f aca="false">IFERROR(AVERAGE(BB217,BG217,BL217,BQ217,BV217),"n/m")</f>
        <v>1.24143544989439</v>
      </c>
      <c r="CJ217" s="33" t="n">
        <f aca="false">IFERROR(AVERAGE(AC217,AH217,AM217,AR217,AW217,BB217,BG217,BL217,BQ217,BV217),"n/m")</f>
        <v>1.28308750936532</v>
      </c>
      <c r="CK217" s="33" t="n">
        <f aca="false">IFERROR(AVERAGE(C217,D217,E217,F217,G217,H217,I217,N217,S217,X217,AC217,AH217,AM217,AR217,AW217,BB217,BG217,BL217,BQ217,BV217),"n/m")</f>
        <v>1.31372372470875</v>
      </c>
    </row>
    <row r="218" customFormat="false" ht="15" hidden="false" customHeight="true" outlineLevel="0" collapsed="false">
      <c r="B218" s="29" t="s">
        <v>351</v>
      </c>
      <c r="C218" s="55" t="n">
        <f aca="false">IF(AND(ISNUMBER(C214),ISNUMBER(C118)),IFERROR(C214/C118,""),"")</f>
        <v>0.291293857075862</v>
      </c>
      <c r="D218" s="55" t="n">
        <f aca="false">IF(AND(ISNUMBER(D214),ISNUMBER(D118)),IFERROR(D214/D118,""),"")</f>
        <v>0.347025045950994</v>
      </c>
      <c r="E218" s="55" t="n">
        <f aca="false">IF(AND(ISNUMBER(E214),ISNUMBER(E118)),IFERROR(E214/E118,""),"")</f>
        <v>0.459615379360123</v>
      </c>
      <c r="F218" s="55" t="n">
        <f aca="false">IF(AND(ISNUMBER(F214),ISNUMBER(F118)),IFERROR(F214/F118,""),"")</f>
        <v>0.508797792393086</v>
      </c>
      <c r="G218" s="55" t="n">
        <f aca="false">IF(AND(ISNUMBER(G214),ISNUMBER(G118)),IFERROR(G214/G118,""),"")</f>
        <v>0.720664814378005</v>
      </c>
      <c r="H218" s="55" t="n">
        <f aca="false">IF(AND(ISNUMBER(H214),ISNUMBER(H118)),IFERROR(H214/H118,""),"")</f>
        <v>0.894902411598241</v>
      </c>
      <c r="I218" s="55" t="n">
        <f aca="false">IF(AND(ISNUMBER(I214),ISNUMBER(I118)),IFERROR(I214/I118,""),"")</f>
        <v>0.94773073961653</v>
      </c>
      <c r="J218" s="55" t="n">
        <f aca="false">IF(AND(ISNUMBER(J214),ISNUMBER(J118)),IFERROR(J214/J118,""),"")</f>
        <v>0.0675806655954374</v>
      </c>
      <c r="K218" s="55" t="n">
        <f aca="false">IF(AND(ISNUMBER(K214),ISNUMBER(K118)),IFERROR(K214/K118,""),"")</f>
        <v>0.202510747387007</v>
      </c>
      <c r="L218" s="55" t="n">
        <f aca="false">IF(AND(ISNUMBER(L214),ISNUMBER(L118)),IFERROR(L214/L118,""),"")</f>
        <v>0.332565067204593</v>
      </c>
      <c r="M218" s="55" t="n">
        <f aca="false">IF(AND(ISNUMBER(M214),ISNUMBER(M118)),IFERROR(M214/M118,""),"")</f>
        <v>0.264308171571547</v>
      </c>
      <c r="N218" s="55" t="n">
        <f aca="false">IF(AND(ISNUMBER(N214),ISNUMBER(N118)),IFERROR(N214/N118,""),"")</f>
        <v>0.867637512898128</v>
      </c>
      <c r="O218" s="55" t="n">
        <f aca="false">IF(AND(ISNUMBER(O214),ISNUMBER(O118)),IFERROR(O214/O118,""),"")</f>
        <v>0.224703171398028</v>
      </c>
      <c r="P218" s="55" t="n">
        <f aca="false">IF(AND(ISNUMBER(P214),ISNUMBER(P118)),IFERROR(P214/P118,""),"")</f>
        <v>0.136298035598205</v>
      </c>
      <c r="Q218" s="55" t="n">
        <f aca="false">IF(AND(ISNUMBER(Q214),ISNUMBER(Q118)),IFERROR(Q214/Q118,""),"")</f>
        <v>0.511863415026803</v>
      </c>
      <c r="R218" s="55" t="n">
        <f aca="false">IF(AND(ISNUMBER(R214),ISNUMBER(R118)),IFERROR(R214/R118,""),"")</f>
        <v>0.449648074015377</v>
      </c>
      <c r="S218" s="55" t="n">
        <f aca="false">IF(AND(ISNUMBER(S214),ISNUMBER(S118)),IFERROR(S214/S118,""),"")</f>
        <v>1.32285958735729</v>
      </c>
      <c r="T218" s="55" t="n">
        <f aca="false">IF(AND(ISNUMBER(T214),ISNUMBER(T118)),IFERROR(T214/T118,""),"")</f>
        <v>0.190676852966499</v>
      </c>
      <c r="U218" s="55" t="n">
        <f aca="false">IF(AND(ISNUMBER(U214),ISNUMBER(U118)),IFERROR(U214/U118,""),"")</f>
        <v>0.227632748994388</v>
      </c>
      <c r="V218" s="55" t="n">
        <f aca="false">IF(AND(ISNUMBER(V214),ISNUMBER(V118)),IFERROR(V214/V118,""),"")</f>
        <v>0.39343491148084</v>
      </c>
      <c r="W218" s="55" t="n">
        <f aca="false">IF(AND(ISNUMBER(W214),ISNUMBER(W118)),IFERROR(W214/W118,""),"")</f>
        <v>0.355238519333686</v>
      </c>
      <c r="X218" s="55" t="n">
        <f aca="false">IF(AND(ISNUMBER(X214),ISNUMBER(X118)),IFERROR(X214/X118,""),"")</f>
        <v>1.16739715126071</v>
      </c>
      <c r="Y218" s="55" t="n">
        <f aca="false">IF(AND(ISNUMBER(Y214),ISNUMBER(Y118)),IFERROR(Y214/Y118,""),"")</f>
        <v>0.297501090317343</v>
      </c>
      <c r="Z218" s="55" t="n">
        <f aca="false">IF(AND(ISNUMBER(Z214),ISNUMBER(Z118)),IFERROR(Z214/Z118,""),"")</f>
        <v>0.358869640561671</v>
      </c>
      <c r="AA218" s="55" t="n">
        <f aca="false">IF(AND(ISNUMBER(AA214),ISNUMBER(AA118)),IFERROR(AA214/AA118,""),"")</f>
        <v>0.466002635407476</v>
      </c>
      <c r="AB218" s="55" t="n">
        <f aca="false">IF(AND(ISNUMBER(AB214),ISNUMBER(AB118)),IFERROR(AB214/AB118,""),"")</f>
        <v>0.516369291084772</v>
      </c>
      <c r="AC218" s="55" t="n">
        <f aca="false">IF(AND(ISNUMBER(AC214),ISNUMBER(AC118)),IFERROR(AC214/AC118,""),"")</f>
        <v>1.63972938550514</v>
      </c>
      <c r="AD218" s="55" t="n">
        <f aca="false">IF(AND(ISNUMBER(AD214),ISNUMBER(AD118)),IFERROR(AD214/AD118,""),"")</f>
        <v>0.367043329578756</v>
      </c>
      <c r="AE218" s="55" t="n">
        <f aca="false">IF(AND(ISNUMBER(AE214),ISNUMBER(AE118)),IFERROR(AE214/AE118,""),"")</f>
        <v>0.255757700730145</v>
      </c>
      <c r="AF218" s="55" t="n">
        <f aca="false">IF(AND(ISNUMBER(AF214),ISNUMBER(AF118)),IFERROR(AF214/AF118,""),"")</f>
        <v>0.550068707214873</v>
      </c>
      <c r="AG218" s="55" t="n">
        <f aca="false">IF(AND(ISNUMBER(AG214),ISNUMBER(AG118)),IFERROR(AG214/AG118,""),"")</f>
        <v>0.660988810303546</v>
      </c>
      <c r="AH218" s="55" t="n">
        <f aca="false">IF(AND(ISNUMBER(AH214),ISNUMBER(AH118)),IFERROR(AH214/AH118,""),"")</f>
        <v>1.83561906517931</v>
      </c>
      <c r="AI218" s="55" t="n">
        <f aca="false">IF(AND(ISNUMBER(AI214),ISNUMBER(AI118)),IFERROR(AI214/AI118,""),"")</f>
        <v>0.274418945670504</v>
      </c>
      <c r="AJ218" s="55" t="n">
        <f aca="false">IF(AND(ISNUMBER(AJ214),ISNUMBER(AJ118)),IFERROR(AJ214/AJ118,""),"")</f>
        <v>0.205836864309835</v>
      </c>
      <c r="AK218" s="55" t="n">
        <f aca="false">IF(AND(ISNUMBER(AK214),ISNUMBER(AK118)),IFERROR(AK214/AK118,""),"")</f>
        <v>0.755209057067423</v>
      </c>
      <c r="AL218" s="55" t="n">
        <f aca="false">IF(AND(ISNUMBER(AL214),ISNUMBER(AL118)),IFERROR(AL214/AL118,""),"")</f>
        <v>0.85948104010841</v>
      </c>
      <c r="AM218" s="55" t="n">
        <f aca="false">IF(AND(ISNUMBER(AM214),ISNUMBER(AM118)),IFERROR(AM214/AM118,""),"")</f>
        <v>2.09674021185697</v>
      </c>
      <c r="AN218" s="55" t="n">
        <f aca="false">IF(AND(ISNUMBER(AN214),ISNUMBER(AN118)),IFERROR(AN214/AN118,""),"")</f>
        <v>0.318730015038911</v>
      </c>
      <c r="AO218" s="55" t="n">
        <f aca="false">IF(AND(ISNUMBER(AO214),ISNUMBER(AO118)),IFERROR(AO214/AO118,""),"")</f>
        <v>0.889159366208475</v>
      </c>
      <c r="AP218" s="55" t="n">
        <f aca="false">IF(AND(ISNUMBER(AP214),ISNUMBER(AP118)),IFERROR(AP214/AP118,""),"")</f>
        <v>0.915987328712382</v>
      </c>
      <c r="AQ218" s="55" t="n">
        <f aca="false">IF(AND(ISNUMBER(AQ214),ISNUMBER(AQ118)),IFERROR(AQ214/AQ118,""),"")</f>
        <v>0.848308645026239</v>
      </c>
      <c r="AR218" s="55" t="n">
        <f aca="false">IF(AND(ISNUMBER(AR214),ISNUMBER(AR118)),IFERROR(AR214/AR118,""),"")</f>
        <v>2.97371678194394</v>
      </c>
      <c r="AS218" s="55" t="n">
        <f aca="false">IF(AND(ISNUMBER(AS214),ISNUMBER(AS118)),IFERROR(AS214/AS118,""),"")</f>
        <v>0.540572401598009</v>
      </c>
      <c r="AT218" s="55" t="n">
        <f aca="false">IF(AND(ISNUMBER(AT214),ISNUMBER(AT118)),IFERROR(AT214/AT118,""),"")</f>
        <v>0.869046143074892</v>
      </c>
      <c r="AU218" s="55" t="n">
        <f aca="false">IF(AND(ISNUMBER(AU214),ISNUMBER(AU118)),IFERROR(AU214/AU118,""),"")</f>
        <v>0.641619423757961</v>
      </c>
      <c r="AV218" s="55" t="n">
        <f aca="false">IF(AND(ISNUMBER(AV214),ISNUMBER(AV118)),IFERROR(AV214/AV118,""),"")</f>
        <v>0.761707267382636</v>
      </c>
      <c r="AW218" s="55" t="n">
        <f aca="false">IF(AND(ISNUMBER(AW214),ISNUMBER(AW118)),IFERROR(AW214/AW118,""),"")</f>
        <v>2.81266842434925</v>
      </c>
      <c r="AX218" s="55" t="n">
        <f aca="false">IF(AND(ISNUMBER(AX214),ISNUMBER(AX118)),IFERROR(AX214/AX118,""),"")</f>
        <v>0.665664793599628</v>
      </c>
      <c r="AY218" s="55" t="n">
        <f aca="false">IF(AND(ISNUMBER(AY214),ISNUMBER(AY118)),IFERROR(AY214/AY118,""),"")</f>
        <v>0.700103037427257</v>
      </c>
      <c r="AZ218" s="55" t="n">
        <f aca="false">IF(AND(ISNUMBER(AZ214),ISNUMBER(AZ118)),IFERROR(AZ214/AZ118,""),"")</f>
        <v>0.839428227636148</v>
      </c>
      <c r="BA218" s="55" t="n">
        <f aca="false">IF(AND(ISNUMBER(BA214),ISNUMBER(BA118)),IFERROR(BA214/BA118,""),"")</f>
        <v>0.753587666693255</v>
      </c>
      <c r="BB218" s="55" t="n">
        <f aca="false">IF(AND(ISNUMBER(BB214),ISNUMBER(BB118)),IFERROR(BB214/BB118,""),"")</f>
        <v>2.95893481509423</v>
      </c>
      <c r="BC218" s="55" t="n">
        <f aca="false">IF(AND(ISNUMBER(BC214),ISNUMBER(BC118)),IFERROR(BC214/BC118,""),"")</f>
        <v>0.50221793775278</v>
      </c>
      <c r="BD218" s="55" t="n">
        <f aca="false">IF(AND(ISNUMBER(BD214),ISNUMBER(BD118)),IFERROR(BD214/BD118,""),"")</f>
        <v>0.647384798392654</v>
      </c>
      <c r="BE218" s="55" t="n">
        <f aca="false">IF(AND(ISNUMBER(BE214),ISNUMBER(BE118)),IFERROR(BE214/BE118,""),"")</f>
        <v>1.02302719879278</v>
      </c>
      <c r="BF218" s="55" t="n">
        <f aca="false">IF(AND(ISNUMBER(BF214),ISNUMBER(BF118)),IFERROR(BF214/BF118,""),"")</f>
        <v>0.984423518537241</v>
      </c>
      <c r="BG218" s="55" t="n">
        <f aca="false">IF(AND(ISNUMBER(BG214),ISNUMBER(BG118)),IFERROR(BG214/BG118,""),"")</f>
        <v>3.15766062722314</v>
      </c>
      <c r="BH218" s="55" t="n">
        <f aca="false">IF(AND(ISNUMBER(BH214),ISNUMBER(BH118)),IFERROR(BH214/BH118,""),"")</f>
        <v>0.47510806110594</v>
      </c>
      <c r="BI218" s="55" t="n">
        <f aca="false">IF(AND(ISNUMBER(BI214),ISNUMBER(BI118)),IFERROR(BI214/BI118,""),"")</f>
        <v>0.481060606060606</v>
      </c>
      <c r="BJ218" s="55" t="n">
        <f aca="false">IF(AND(ISNUMBER(BJ214),ISNUMBER(BJ118)),IFERROR(BJ214/BJ118,""),"")</f>
        <v>0.963928231459313</v>
      </c>
      <c r="BK218" s="55" t="n">
        <f aca="false">IF(AND(ISNUMBER(BK214),ISNUMBER(BK118)),IFERROR(BK214/BK118,""),"")</f>
        <v>0.952401393688337</v>
      </c>
      <c r="BL218" s="55" t="n">
        <f aca="false">IF(AND(ISNUMBER(BL214),ISNUMBER(BL118)),IFERROR(BL214/BL118,""),"")</f>
        <v>2.87463374248587</v>
      </c>
      <c r="BM218" s="55" t="n">
        <f aca="false">IF(AND(ISNUMBER(BM214),ISNUMBER(BM118)),IFERROR(BM214/BM118,""),"")</f>
        <v>0.702501197343684</v>
      </c>
      <c r="BN218" s="55" t="n">
        <f aca="false">IF(AND(ISNUMBER(BN214),ISNUMBER(BN118)),IFERROR(BN214/BN118,""),"")</f>
        <v>0.915271421329582</v>
      </c>
      <c r="BO218" s="55" t="n">
        <f aca="false">IF(AND(ISNUMBER(BO214),ISNUMBER(BO118)),IFERROR(BO214/BO118,""),"")</f>
        <v>1.41195965931364</v>
      </c>
      <c r="BP218" s="55" t="n">
        <f aca="false">IF(AND(ISNUMBER(BP214),ISNUMBER(BP118)),IFERROR(BP214/BP118,""),"")</f>
        <v>1.34868182303341</v>
      </c>
      <c r="BQ218" s="55" t="n">
        <f aca="false">IF(AND(ISNUMBER(BQ214),ISNUMBER(BQ118)),IFERROR(BQ214/BQ118,""),"")</f>
        <v>4.38029786444885</v>
      </c>
      <c r="BR218" s="55" t="n">
        <f aca="false">IF(AND(ISNUMBER(BR214),ISNUMBER(BR118)),IFERROR(BR214/BR118,""),"")</f>
        <v>1.32185159875858</v>
      </c>
      <c r="BS218" s="55" t="n">
        <f aca="false">IF(AND(ISNUMBER(BS214),ISNUMBER(BS118)),IFERROR(BS214/BS118,""),"")</f>
        <v>1.34233529399213</v>
      </c>
      <c r="BT218" s="55" t="n">
        <f aca="false">IF(AND(ISNUMBER(BT214),ISNUMBER(BT118)),IFERROR(BT214/BT118,""),"")</f>
        <v>1.54999645264278</v>
      </c>
      <c r="BU218" s="55" t="n">
        <f aca="false">IF(AND(ISNUMBER(BU214),ISNUMBER(BU118)),IFERROR(BU214/BU118,""),"")</f>
        <v>1.90341082303564</v>
      </c>
      <c r="BV218" s="55" t="n">
        <f aca="false">IF(AND(ISNUMBER(BV214),ISNUMBER(BV118)),IFERROR(BV214/BV118,""),"")</f>
        <v>6.11901599050941</v>
      </c>
      <c r="BW218" s="55" t="n">
        <f aca="false">IF(AND(ISNUMBER(BW214),ISNUMBER(BW118)),IFERROR(BW214/BW118,""),"")</f>
        <v>1.17068829815144</v>
      </c>
      <c r="BX218" s="55" t="n">
        <f aca="false">IF(AND(ISNUMBER(BX214),ISNUMBER(BX118)),IFERROR(BX214/BX118,""),"")</f>
        <v>1.94177985085207</v>
      </c>
      <c r="BY218" s="55" t="n">
        <f aca="false">IF(AND(ISNUMBER(BY214),ISNUMBER(BY118)),IFERROR(BY214/BY118,""),"")</f>
        <v>2.28484664009797</v>
      </c>
      <c r="CA218" s="56" t="n">
        <f aca="false">IF(AND(ISNUMBER(CA214),ISNUMBER(CA118)),IFERROR(CA214/CA118,""),"")</f>
        <v>7.31628038502103</v>
      </c>
      <c r="CB218" s="56" t="n">
        <f aca="false">IF(AND(ISNUMBER(CB214),ISNUMBER(CB118)),IFERROR(CB214/CB118,""),"")</f>
        <v>7.86541453576851</v>
      </c>
      <c r="CC218" s="56" t="n">
        <f aca="false">IF(AND(ISNUMBER(CC214),ISNUMBER(CC118)),IFERROR(CC214/CC118,""),"")</f>
        <v>9.13515322425645</v>
      </c>
      <c r="CD218" s="56" t="n">
        <f aca="false">IF(AND(ISNUMBER(CD214),ISNUMBER(CD118)),IFERROR(CD214/CD118,""),"")</f>
        <v>10.1674128841449</v>
      </c>
      <c r="CE218" s="56" t="n">
        <f aca="false">IF(AND(ISNUMBER(CE214),ISNUMBER(CE118)),IFERROR(CE214/CE118,""),"")</f>
        <v>11.2120079096186</v>
      </c>
      <c r="CH218" s="20" t="n">
        <f aca="false">IFERROR((CE218/BV218)^(1/5)-1,"n/m")</f>
        <v>0.128756752718486</v>
      </c>
      <c r="CI218" s="20" t="n">
        <f aca="false">IFERROR((BV218/AW218)^(1/5)-1,"n/m")</f>
        <v>0.168187648607574</v>
      </c>
      <c r="CJ218" s="20" t="n">
        <f aca="false">IFERROR((BV218/X218)^(1/10)-1,"n/m")</f>
        <v>0.18017468826016</v>
      </c>
      <c r="CK218" s="20" t="n">
        <f aca="false">IFERROR((BV218/C218)^(1/19)-1,"n/m")</f>
        <v>0.173808857110366</v>
      </c>
    </row>
    <row r="219" customFormat="false" ht="15" hidden="false" customHeight="true" outlineLevel="0" collapsed="false">
      <c r="B219" s="29" t="s">
        <v>352</v>
      </c>
    </row>
    <row r="220" customFormat="false" ht="15" hidden="false" customHeight="true" outlineLevel="0" collapsed="false">
      <c r="B220" s="29" t="s">
        <v>353</v>
      </c>
      <c r="C220" s="30" t="n">
        <f aca="false">IFERROR(-N(C194)/C98,"")</f>
        <v>0.0254060531885056</v>
      </c>
      <c r="D220" s="30" t="n">
        <f aca="false">IFERROR(-N(D194)/D98,"")</f>
        <v>0.0253699372347044</v>
      </c>
      <c r="E220" s="30" t="n">
        <f aca="false">IFERROR(-N(E194)/E98,"")</f>
        <v>0.0231047811699897</v>
      </c>
      <c r="F220" s="30" t="n">
        <f aca="false">IFERROR(-N(F194)/F98,"")</f>
        <v>0.0190471413497407</v>
      </c>
      <c r="G220" s="30" t="n">
        <f aca="false">IFERROR(-N(G194)/G98,"")</f>
        <v>0.0143868918349486</v>
      </c>
      <c r="H220" s="30" t="n">
        <f aca="false">IFERROR(-N(H194)/H98,"")</f>
        <v>0.0123494720162742</v>
      </c>
      <c r="I220" s="30" t="n">
        <f aca="false">IFERROR(-N(I194)/I98,"")</f>
        <v>0.0170079133267287</v>
      </c>
      <c r="J220" s="30" t="n">
        <f aca="false">IFERROR(-N(J194)/J98,"")</f>
        <v>0.0206291283662063</v>
      </c>
      <c r="K220" s="30" t="n">
        <f aca="false">IFERROR(-N(K194)/K98,"")</f>
        <v>0.0201886347956316</v>
      </c>
      <c r="L220" s="30" t="n">
        <f aca="false">IFERROR(-N(L194)/L98,"")</f>
        <v>0.0158385523316101</v>
      </c>
      <c r="M220" s="30" t="n">
        <f aca="false">IFERROR(-N(M194)/M98,"")</f>
        <v>0.0168112835999527</v>
      </c>
      <c r="N220" s="30" t="n">
        <f aca="false">IFERROR(-N(N194)/N98,"")</f>
        <v>0.0181688949866023</v>
      </c>
      <c r="O220" s="30" t="n">
        <f aca="false">IFERROR(-N(O194)/O98,"")</f>
        <v>0.0149535652447663</v>
      </c>
      <c r="P220" s="30" t="n">
        <f aca="false">IFERROR(-N(P194)/P98,"")</f>
        <v>0.0123834292355225</v>
      </c>
      <c r="Q220" s="30" t="n">
        <f aca="false">IFERROR(-N(Q194)/Q98,"")</f>
        <v>0.0164106793114112</v>
      </c>
      <c r="R220" s="30" t="n">
        <f aca="false">IFERROR(-N(R194)/R98,"")</f>
        <v>0.0141980610697994</v>
      </c>
      <c r="S220" s="30" t="n">
        <f aca="false">IFERROR(-N(S194)/S98,"")</f>
        <v>0.0144924848385293</v>
      </c>
      <c r="T220" s="30" t="n">
        <f aca="false">IFERROR(-N(T194)/T98,"")</f>
        <v>0.0158621846859444</v>
      </c>
      <c r="U220" s="30" t="n">
        <f aca="false">IFERROR(-N(U194)/U98,"")</f>
        <v>0.0178641896088477</v>
      </c>
      <c r="V220" s="30" t="n">
        <f aca="false">IFERROR(-N(V194)/V98,"")</f>
        <v>0.0143389819222958</v>
      </c>
      <c r="W220" s="30" t="n">
        <f aca="false">IFERROR(-N(W194)/W98,"")</f>
        <v>0.0136366955505793</v>
      </c>
      <c r="X220" s="30" t="n">
        <f aca="false">IFERROR(-N(X194)/X98,"")</f>
        <v>0.0153527368909888</v>
      </c>
      <c r="Y220" s="30" t="n">
        <f aca="false">IFERROR(-N(Y194)/Y98,"")</f>
        <v>0.0185809873068018</v>
      </c>
      <c r="Z220" s="30" t="n">
        <f aca="false">IFERROR(-N(Z194)/Z98,"")</f>
        <v>0.0281079601195501</v>
      </c>
      <c r="AA220" s="30" t="n">
        <f aca="false">IFERROR(-N(AA194)/AA98,"")</f>
        <v>0.0212506037901169</v>
      </c>
      <c r="AB220" s="30" t="n">
        <f aca="false">IFERROR(-N(AB194)/AB98,"")</f>
        <v>0.0213322910330059</v>
      </c>
      <c r="AC220" s="30" t="n">
        <f aca="false">IFERROR(-N(AC194)/AC98,"")</f>
        <v>0.0224253010700029</v>
      </c>
      <c r="AD220" s="30" t="n">
        <f aca="false">IFERROR(-N(AD194)/AD98,"")</f>
        <v>0.0186994805376319</v>
      </c>
      <c r="AE220" s="30" t="n">
        <f aca="false">IFERROR(-N(AE194)/AE98,"")</f>
        <v>0.0193024952733842</v>
      </c>
      <c r="AF220" s="30" t="n">
        <f aca="false">IFERROR(-N(AF194)/AF98,"")</f>
        <v>0.0176424010217114</v>
      </c>
      <c r="AG220" s="30" t="n">
        <f aca="false">IFERROR(-N(AG194)/AG98,"")</f>
        <v>0.0131830095151273</v>
      </c>
      <c r="AH220" s="30" t="n">
        <f aca="false">IFERROR(-N(AH194)/AH98,"")</f>
        <v>0.0170499595688127</v>
      </c>
      <c r="AI220" s="30" t="n">
        <f aca="false">IFERROR(-N(AI194)/AI98,"")</f>
        <v>0.0187359363022675</v>
      </c>
      <c r="AJ220" s="30" t="n">
        <f aca="false">IFERROR(-N(AJ194)/AJ98,"")</f>
        <v>0.0508125833135935</v>
      </c>
      <c r="AK220" s="30" t="n">
        <f aca="false">IFERROR(-N(AK194)/AK98,"")</f>
        <v>0.0138270809853486</v>
      </c>
      <c r="AL220" s="30" t="n">
        <f aca="false">IFERROR(-N(AL194)/AL98,"")</f>
        <v>0.0125250585047936</v>
      </c>
      <c r="AM220" s="30" t="n">
        <f aca="false">IFERROR(-N(AM194)/AM98,"")</f>
        <v>0.023553189729997</v>
      </c>
      <c r="AN220" s="30" t="n">
        <f aca="false">IFERROR(-N(AN194)/AN98,"")</f>
        <v>0.0126719954692307</v>
      </c>
      <c r="AO220" s="30" t="n">
        <f aca="false">IFERROR(-N(AO194)/AO98,"")</f>
        <v>0.0129720274295644</v>
      </c>
      <c r="AP220" s="30" t="n">
        <f aca="false">IFERROR(-N(AP194)/AP98,"")</f>
        <v>0.0170478881282828</v>
      </c>
      <c r="AQ220" s="30" t="n">
        <f aca="false">IFERROR(-N(AQ194)/AQ98,"")</f>
        <v>0.0134194105948158</v>
      </c>
      <c r="AR220" s="30" t="n">
        <f aca="false">IFERROR(-N(AR194)/AR98,"")</f>
        <v>0.0140773196954535</v>
      </c>
      <c r="AS220" s="30" t="n">
        <f aca="false">IFERROR(-N(AS194)/AS98,"")</f>
        <v>0.0135301960397017</v>
      </c>
      <c r="AT220" s="30" t="n">
        <f aca="false">IFERROR(-N(AT194)/AT98,"")</f>
        <v>0.0119300389194824</v>
      </c>
      <c r="AU220" s="30" t="n">
        <f aca="false">IFERROR(-N(AU194)/AU98,"")</f>
        <v>0.0130353769312388</v>
      </c>
      <c r="AV220" s="30" t="n">
        <f aca="false">IFERROR(-N(AV194)/AV98,"")</f>
        <v>0.0128303197255607</v>
      </c>
      <c r="AW220" s="30" t="n">
        <f aca="false">IFERROR(-N(AW194)/AW98,"")</f>
        <v>0.0128370925943854</v>
      </c>
      <c r="AX220" s="30" t="n">
        <f aca="false">IFERROR(-N(AX194)/AX98,"")</f>
        <v>0.0371115716124833</v>
      </c>
      <c r="AY220" s="30" t="n">
        <f aca="false">IFERROR(-N(AY194)/AY98,"")</f>
        <v>0.0137768910813434</v>
      </c>
      <c r="AZ220" s="30" t="n">
        <f aca="false">IFERROR(-N(AZ194)/AZ98,"")</f>
        <v>0.0173539930507709</v>
      </c>
      <c r="BA220" s="30" t="n">
        <f aca="false">IFERROR(-N(BA194)/BA98,"")</f>
        <v>0.0118938718783248</v>
      </c>
      <c r="BB220" s="30" t="n">
        <f aca="false">IFERROR(-N(BB194)/BB98,"")</f>
        <v>0.0193939803246212</v>
      </c>
      <c r="BC220" s="30" t="n">
        <f aca="false">IFERROR(-N(BC194)/BC98,"")</f>
        <v>0.0177243276645124</v>
      </c>
      <c r="BD220" s="30" t="n">
        <f aca="false">IFERROR(-N(BD194)/BD98,"")</f>
        <v>0.0139566046105049</v>
      </c>
      <c r="BE220" s="30" t="n">
        <f aca="false">IFERROR(-N(BE194)/BE98,"")</f>
        <v>0.0143030720175303</v>
      </c>
      <c r="BF220" s="30" t="n">
        <f aca="false">IFERROR(-N(BF194)/BF98,"")</f>
        <v>0.0125074224375777</v>
      </c>
      <c r="BG220" s="30" t="n">
        <f aca="false">IFERROR(-N(BG194)/BG98,"")</f>
        <v>0.0144824894195683</v>
      </c>
      <c r="BH220" s="30" t="n">
        <f aca="false">IFERROR(-N(BH194)/BH98,"")</f>
        <v>0.0174677693404089</v>
      </c>
      <c r="BI220" s="30" t="n">
        <f aca="false">IFERROR(-N(BI194)/BI98,"")</f>
        <v>0.0161011047611294</v>
      </c>
      <c r="BJ220" s="30" t="n">
        <f aca="false">IFERROR(-N(BJ194)/BJ98,"")</f>
        <v>0.0169525053188399</v>
      </c>
      <c r="BK220" s="30" t="n">
        <f aca="false">IFERROR(-N(BK194)/BK98,"")</f>
        <v>0.0162935008601661</v>
      </c>
      <c r="BL220" s="30" t="n">
        <f aca="false">IFERROR(-N(BL194)/BL98,"")</f>
        <v>0.0166550711649352</v>
      </c>
      <c r="BM220" s="30" t="n">
        <f aca="false">IFERROR(-N(BM194)/BM98,"")</f>
        <v>0.0149236414265203</v>
      </c>
      <c r="BN220" s="30" t="n">
        <f aca="false">IFERROR(-N(BN194)/BN98,"")</f>
        <v>0.0135525096949429</v>
      </c>
      <c r="BO220" s="30" t="n">
        <f aca="false">IFERROR(-N(BO194)/BO98,"")</f>
        <v>0.0159738613206806</v>
      </c>
      <c r="BP220" s="30" t="n">
        <f aca="false">IFERROR(-N(BP194)/BP98,"")</f>
        <v>0.015869148091332</v>
      </c>
      <c r="BQ220" s="30" t="n">
        <f aca="false">IFERROR(-N(BQ194)/BQ98,"")</f>
        <v>0.0151026435912464</v>
      </c>
      <c r="BR220" s="30" t="n">
        <f aca="false">IFERROR(-N(BR194)/BR98,"")</f>
        <v>0.0168264704112318</v>
      </c>
      <c r="BS220" s="30" t="n">
        <f aca="false">IFERROR(-N(BS194)/BS98,"")</f>
        <v>0.0145415459729282</v>
      </c>
      <c r="BT220" s="30" t="n">
        <f aca="false">IFERROR(-N(BT194)/BT98,"")</f>
        <v>0.0111006447418985</v>
      </c>
      <c r="BU220" s="30" t="n">
        <f aca="false">IFERROR(-N(BU194)/BU98,"")</f>
        <v>0.0221992358263651</v>
      </c>
      <c r="BV220" s="30" t="n">
        <f aca="false">IFERROR(-N(BV194)/BV98,"")</f>
        <v>0.0162508996567258</v>
      </c>
      <c r="BW220" s="30" t="n">
        <f aca="false">IFERROR(-N(BW194)/BW98,"")</f>
        <v>0.0114510488027138</v>
      </c>
      <c r="BX220" s="30" t="n">
        <f aca="false">IFERROR(-N(BX194)/BX98,"")</f>
        <v>0.0131204691676244</v>
      </c>
      <c r="BY220" s="30" t="n">
        <f aca="false">IFERROR(-N(BY194)/BY98,"")</f>
        <v>0.0159640493966951</v>
      </c>
      <c r="CA220" s="23" t="n">
        <f aca="false">IFERROR(-N(CA194)/CA98,"")</f>
        <v>0.0142780632163919</v>
      </c>
      <c r="CB220" s="31" t="n">
        <v>0.016</v>
      </c>
      <c r="CC220" s="23" t="n">
        <f aca="false">CB220</f>
        <v>0.016</v>
      </c>
      <c r="CD220" s="23" t="n">
        <f aca="false">CC220</f>
        <v>0.016</v>
      </c>
      <c r="CE220" s="23" t="n">
        <f aca="false">CD220</f>
        <v>0.016</v>
      </c>
      <c r="CF220" s="19" t="s">
        <v>354</v>
      </c>
      <c r="CH220" s="33" t="n">
        <f aca="false">IFERROR(AVERAGE(CA220,CB220,CC220,CD220,CE220),"n/m")</f>
        <v>0.0156556126432784</v>
      </c>
      <c r="CI220" s="33" t="n">
        <f aca="false">IFERROR(AVERAGE(BB220,BG220,BL220,BQ220,BV220),"n/m")</f>
        <v>0.0163770168314194</v>
      </c>
      <c r="CJ220" s="33" t="n">
        <f aca="false">IFERROR(AVERAGE(AC220,AH220,AM220,AR220,AW220,BB220,BG220,BL220,BQ220,BV220),"n/m")</f>
        <v>0.0171827946815748</v>
      </c>
      <c r="CK220" s="33" t="n">
        <f aca="false">IFERROR(AVERAGE(C220,D220,E220,F220,G220,H220,I220,N220,S220,X220,AC220,AH220,AM220,AR220,AW220,BB220,BG220,BL220,BQ220,BV220),"n/m")</f>
        <v>0.017825712682638</v>
      </c>
    </row>
    <row r="221" customFormat="false" ht="15" hidden="false" customHeight="true" outlineLevel="0" collapsed="false">
      <c r="B221" s="29" t="s">
        <v>355</v>
      </c>
      <c r="C221" s="63" t="n">
        <f aca="false">IFERROR(-N(C194)/C114,"")</f>
        <v>0.943114055844771</v>
      </c>
      <c r="D221" s="63" t="n">
        <f aca="false">IFERROR(-N(D194)/D114,"")</f>
        <v>1.05909427138982</v>
      </c>
      <c r="E221" s="63" t="n">
        <f aca="false">IFERROR(-N(E194)/E114,"")</f>
        <v>0.893901142705288</v>
      </c>
      <c r="F221" s="63" t="n">
        <f aca="false">IFERROR(-N(F194)/F114,"")</f>
        <v>0.68504042226231</v>
      </c>
      <c r="G221" s="63" t="n">
        <f aca="false">IFERROR(-N(G194)/G114,"")</f>
        <v>0.504460987668353</v>
      </c>
      <c r="H221" s="63" t="n">
        <f aca="false">IFERROR(-N(H194)/H114,"")</f>
        <v>0.509410559240684</v>
      </c>
      <c r="I221" s="63" t="n">
        <f aca="false">IFERROR(-N(I194)/I114,"")</f>
        <v>0.497847077244259</v>
      </c>
      <c r="J221" s="63" t="n">
        <f aca="false">IFERROR(-N(J194)/J114,"")</f>
        <v>0.548648648648649</v>
      </c>
      <c r="K221" s="63" t="n">
        <f aca="false">IFERROR(-N(K194)/K114,"")</f>
        <v>0.580641258318209</v>
      </c>
      <c r="L221" s="63" t="n">
        <f aca="false">IFERROR(-N(L194)/L114,"")</f>
        <v>0.445602948920484</v>
      </c>
      <c r="M221" s="63" t="n">
        <f aca="false">IFERROR(-N(M194)/M114,"")</f>
        <v>0.443709825528007</v>
      </c>
      <c r="N221" s="63" t="n">
        <f aca="false">IFERROR(-N(N194)/N114,"")</f>
        <v>0.498178852949171</v>
      </c>
      <c r="O221" s="63" t="n">
        <f aca="false">IFERROR(-N(O194)/O114,"")</f>
        <v>0.331120331950207</v>
      </c>
      <c r="P221" s="63" t="n">
        <f aca="false">IFERROR(-N(P194)/P114,"")</f>
        <v>0.289105798659939</v>
      </c>
      <c r="Q221" s="63" t="n">
        <f aca="false">IFERROR(-N(Q194)/Q114,"")</f>
        <v>0.393702085565906</v>
      </c>
      <c r="R221" s="63" t="n">
        <f aca="false">IFERROR(-N(R194)/R114,"")</f>
        <v>0.361190911465135</v>
      </c>
      <c r="S221" s="63" t="n">
        <f aca="false">IFERROR(-N(S194)/S114,"")</f>
        <v>0.343614548652554</v>
      </c>
      <c r="T221" s="63" t="n">
        <f aca="false">IFERROR(-N(T194)/T114,"")</f>
        <v>0.39013206162876</v>
      </c>
      <c r="U221" s="63" t="n">
        <f aca="false">IFERROR(-N(U194)/U114,"")</f>
        <v>0.425431069706628</v>
      </c>
      <c r="V221" s="63" t="n">
        <f aca="false">IFERROR(-N(V194)/V114,"")</f>
        <v>0.361174004192872</v>
      </c>
      <c r="W221" s="63" t="n">
        <f aca="false">IFERROR(-N(W194)/W114,"")</f>
        <v>0.349038236897438</v>
      </c>
      <c r="X221" s="63" t="n">
        <f aca="false">IFERROR(-N(X194)/X114,"")</f>
        <v>0.380925543240028</v>
      </c>
      <c r="Y221" s="63" t="n">
        <f aca="false">IFERROR(-N(Y194)/Y114,"")</f>
        <v>0.408735004669205</v>
      </c>
      <c r="Z221" s="63" t="n">
        <f aca="false">IFERROR(-N(Z194)/Z114,"")</f>
        <v>0.645786921766479</v>
      </c>
      <c r="AA221" s="63" t="n">
        <f aca="false">IFERROR(-N(AA194)/AA114,"")</f>
        <v>0.490726329442283</v>
      </c>
      <c r="AB221" s="63" t="n">
        <f aca="false">IFERROR(-N(AB194)/AB114,"")</f>
        <v>0.494449406660712</v>
      </c>
      <c r="AC221" s="63" t="n">
        <f aca="false">IFERROR(-N(AC194)/AC114,"")</f>
        <v>0.51201950992916</v>
      </c>
      <c r="AD221" s="63" t="n">
        <f aca="false">IFERROR(-N(AD194)/AD114,"")</f>
        <v>0.421169989506821</v>
      </c>
      <c r="AE221" s="63" t="n">
        <f aca="false">IFERROR(-N(AE194)/AE114,"")</f>
        <v>0.46653117419524</v>
      </c>
      <c r="AF221" s="63" t="n">
        <f aca="false">IFERROR(-N(AF194)/AF114,"")</f>
        <v>0.420876241545305</v>
      </c>
      <c r="AG221" s="63" t="n">
        <f aca="false">IFERROR(-N(AG194)/AG114,"")</f>
        <v>0.310032940650997</v>
      </c>
      <c r="AH221" s="63" t="n">
        <f aca="false">IFERROR(-N(AH194)/AH114,"")</f>
        <v>0.401061351680731</v>
      </c>
      <c r="AI221" s="63" t="n">
        <f aca="false">IFERROR(-N(AI194)/AI114,"")</f>
        <v>0.39828637510513</v>
      </c>
      <c r="AJ221" s="63" t="n">
        <f aca="false">IFERROR(-N(AJ194)/AJ114,"")</f>
        <v>1.14765276685025</v>
      </c>
      <c r="AK221" s="63" t="n">
        <f aca="false">IFERROR(-N(AK194)/AK114,"")</f>
        <v>0.331429453535042</v>
      </c>
      <c r="AL221" s="63" t="n">
        <f aca="false">IFERROR(-N(AL194)/AL114,"")</f>
        <v>0.303691275167785</v>
      </c>
      <c r="AM221" s="63" t="n">
        <f aca="false">IFERROR(-N(AM194)/AM114,"")</f>
        <v>0.54243370341102</v>
      </c>
      <c r="AN221" s="63" t="n">
        <f aca="false">IFERROR(-N(AN194)/AN114,"")</f>
        <v>0.294804611468783</v>
      </c>
      <c r="AO221" s="63" t="n">
        <f aca="false">IFERROR(-N(AO194)/AO114,"")</f>
        <v>0.326117692945249</v>
      </c>
      <c r="AP221" s="63" t="n">
        <f aca="false">IFERROR(-N(AP194)/AP114,"")</f>
        <v>0.429321600908317</v>
      </c>
      <c r="AQ221" s="63" t="n">
        <f aca="false">IFERROR(-N(AQ194)/AQ114,"")</f>
        <v>0.333180505249645</v>
      </c>
      <c r="AR221" s="63" t="n">
        <f aca="false">IFERROR(-N(AR194)/AR114,"")</f>
        <v>0.346575326059619</v>
      </c>
      <c r="AS221" s="63" t="n">
        <f aca="false">IFERROR(-N(AS194)/AS114,"")</f>
        <v>0.317379418987166</v>
      </c>
      <c r="AT221" s="63" t="n">
        <f aca="false">IFERROR(-N(AT194)/AT114,"")</f>
        <v>0.257456322315954</v>
      </c>
      <c r="AU221" s="63" t="n">
        <f aca="false">IFERROR(-N(AU194)/AU114,"")</f>
        <v>0.229559748427673</v>
      </c>
      <c r="AV221" s="63" t="n">
        <f aca="false">IFERROR(-N(AV194)/AV114,"")</f>
        <v>0.234245812449128</v>
      </c>
      <c r="AW221" s="63" t="n">
        <f aca="false">IFERROR(-N(AW194)/AW114,"")</f>
        <v>0.259030498752272</v>
      </c>
      <c r="AX221" s="63" t="n">
        <f aca="false">IFERROR(-N(AX194)/AX114,"")</f>
        <v>0.674216406555667</v>
      </c>
      <c r="AY221" s="63" t="n">
        <f aca="false">IFERROR(-N(AY194)/AY114,"")</f>
        <v>0.280546343166347</v>
      </c>
      <c r="AZ221" s="63" t="n">
        <f aca="false">IFERROR(-N(AZ194)/AZ114,"")</f>
        <v>0.357514084814605</v>
      </c>
      <c r="BA221" s="63" t="n">
        <f aca="false">IFERROR(-N(BA194)/BA114,"")</f>
        <v>0.25034086683469</v>
      </c>
      <c r="BB221" s="63" t="n">
        <f aca="false">IFERROR(-N(BB194)/BB114,"")</f>
        <v>0.388985046065858</v>
      </c>
      <c r="BC221" s="63" t="n">
        <f aca="false">IFERROR(-N(BC194)/BC114,"")</f>
        <v>0.374257169925071</v>
      </c>
      <c r="BD221" s="63" t="n">
        <f aca="false">IFERROR(-N(BD194)/BD114,"")</f>
        <v>0.320204385778156</v>
      </c>
      <c r="BE221" s="63" t="n">
        <f aca="false">IFERROR(-N(BE194)/BE114,"")</f>
        <v>0.341995885637516</v>
      </c>
      <c r="BF221" s="63" t="n">
        <f aca="false">IFERROR(-N(BF194)/BF114,"")</f>
        <v>0.295462471422482</v>
      </c>
      <c r="BG221" s="63" t="n">
        <f aca="false">IFERROR(-N(BG194)/BG114,"")</f>
        <v>0.331994228353731</v>
      </c>
      <c r="BH221" s="63" t="n">
        <f aca="false">IFERROR(-N(BH194)/BH114,"")</f>
        <v>0.400813008130081</v>
      </c>
      <c r="BI221" s="63" t="n">
        <f aca="false">IFERROR(-N(BI194)/BI114,"")</f>
        <v>0.372594536401561</v>
      </c>
      <c r="BJ221" s="63" t="n">
        <f aca="false">IFERROR(-N(BJ194)/BJ114,"")</f>
        <v>0.414987640107006</v>
      </c>
      <c r="BK221" s="63" t="n">
        <f aca="false">IFERROR(-N(BK194)/BK114,"")</f>
        <v>0.348929747530187</v>
      </c>
      <c r="BL221" s="63" t="n">
        <f aca="false">IFERROR(-N(BL194)/BL114,"")</f>
        <v>0.380135801234976</v>
      </c>
      <c r="BM221" s="63" t="n">
        <f aca="false">IFERROR(-N(BM194)/BM114,"")</f>
        <v>0.307481898632341</v>
      </c>
      <c r="BN221" s="63" t="n">
        <f aca="false">IFERROR(-N(BN194)/BN114,"")</f>
        <v>0.302304405687469</v>
      </c>
      <c r="BO221" s="63" t="n">
        <f aca="false">IFERROR(-N(BO194)/BO114,"")</f>
        <v>0.357707063868201</v>
      </c>
      <c r="BP221" s="63" t="n">
        <f aca="false">IFERROR(-N(BP194)/BP114,"")</f>
        <v>0.359986572675394</v>
      </c>
      <c r="BQ221" s="63" t="n">
        <f aca="false">IFERROR(-N(BQ194)/BQ114,"")</f>
        <v>0.332291494373499</v>
      </c>
      <c r="BR221" s="63" t="n">
        <f aca="false">IFERROR(-N(BR194)/BR114,"")</f>
        <v>0.375013520822066</v>
      </c>
      <c r="BS221" s="63" t="n">
        <f aca="false">IFERROR(-N(BS194)/BS114,"")</f>
        <v>0.326615790658183</v>
      </c>
      <c r="BT221" s="63" t="n">
        <f aca="false">IFERROR(-N(BT194)/BT114,"")</f>
        <v>0.255972833403661</v>
      </c>
      <c r="BU221" s="63" t="n">
        <f aca="false">IFERROR(-N(BU194)/BU114,"")</f>
        <v>0.524303317905755</v>
      </c>
      <c r="BV221" s="63" t="n">
        <f aca="false">IFERROR(-N(BV194)/BV114,"")</f>
        <v>0.371723209367796</v>
      </c>
      <c r="BW221" s="63" t="n">
        <f aca="false">IFERROR(-N(BW194)/BW114,"")</f>
        <v>0.264585947302384</v>
      </c>
      <c r="BX221" s="63" t="n">
        <f aca="false">IFERROR(-N(BX194)/BX114,"")</f>
        <v>0.318713140516298</v>
      </c>
      <c r="BY221" s="63" t="n">
        <f aca="false">IFERROR(-N(BY194)/BY114,"")</f>
        <v>0.384011712033774</v>
      </c>
      <c r="CA221" s="64" t="n">
        <f aca="false">IFERROR(-N(CA194)/CA114,"")</f>
        <v>0.342027325722634</v>
      </c>
      <c r="CB221" s="64" t="n">
        <f aca="false">IFERROR(-N(CB194)/CB114,"")</f>
        <v>0.393491487699845</v>
      </c>
      <c r="CC221" s="64" t="n">
        <f aca="false">IFERROR(-N(CC194)/CC114,"")</f>
        <v>0.411243183492815</v>
      </c>
      <c r="CD221" s="64" t="n">
        <f aca="false">IFERROR(-N(CD194)/CD114,"")</f>
        <v>0.424126115240277</v>
      </c>
      <c r="CE221" s="64" t="n">
        <f aca="false">IFERROR(-N(CE194)/CE114,"")</f>
        <v>0.436272729167938</v>
      </c>
    </row>
    <row r="222" customFormat="false" ht="15" hidden="false" customHeight="true" outlineLevel="0" collapsed="false"/>
    <row r="223" customFormat="false" ht="15" hidden="false" customHeight="true" outlineLevel="0" collapsed="false">
      <c r="B223" s="11" t="s">
        <v>356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 t="s">
        <v>357</v>
      </c>
    </row>
    <row r="224" customFormat="false" ht="15" hidden="false" customHeight="true" outlineLevel="0" collapsed="false">
      <c r="B224" s="29" t="s">
        <v>358</v>
      </c>
      <c r="CA224" s="56" t="n">
        <f aca="false">CA339</f>
        <v>302.45</v>
      </c>
      <c r="CB224" s="56" t="n">
        <f aca="false">CA224*(1+CB284)</f>
        <v>332.695</v>
      </c>
      <c r="CC224" s="56" t="n">
        <f aca="false">CB224*(1+CC284)</f>
        <v>365.9645</v>
      </c>
      <c r="CD224" s="56" t="n">
        <f aca="false">CC224*(1+CD284)</f>
        <v>402.56095</v>
      </c>
      <c r="CE224" s="56" t="n">
        <f aca="false">CD224*(1+CE284)</f>
        <v>442.817045</v>
      </c>
      <c r="CF224" s="19" t="s">
        <v>359</v>
      </c>
    </row>
    <row r="225" customFormat="false" ht="15" hidden="false" customHeight="true" outlineLevel="0" collapsed="false">
      <c r="B225" s="29" t="s">
        <v>360</v>
      </c>
      <c r="CA225" s="42" t="n">
        <f aca="false">-CA203</f>
        <v>0</v>
      </c>
      <c r="CB225" s="42" t="n">
        <f aca="false">-CB203</f>
        <v>0</v>
      </c>
      <c r="CC225" s="42" t="n">
        <f aca="false">-CC203</f>
        <v>535.060888445034</v>
      </c>
      <c r="CD225" s="42" t="n">
        <f aca="false">-CD203</f>
        <v>584.645887963604</v>
      </c>
      <c r="CE225" s="42" t="n">
        <f aca="false">-CE203</f>
        <v>721.975770963892</v>
      </c>
    </row>
    <row r="226" customFormat="false" ht="15" hidden="false" customHeight="true" outlineLevel="0" collapsed="false">
      <c r="B226" s="29" t="s">
        <v>361</v>
      </c>
      <c r="CA226" s="56" t="n">
        <f aca="false">IFERROR(CA225/CA224,0)</f>
        <v>0</v>
      </c>
      <c r="CB226" s="56" t="n">
        <f aca="false">IFERROR(CB225/CB224,0)</f>
        <v>0</v>
      </c>
      <c r="CC226" s="56" t="n">
        <f aca="false">IFERROR(CC225/CC224,0)</f>
        <v>1.46205680727238</v>
      </c>
      <c r="CD226" s="56" t="n">
        <f aca="false">IFERROR(CD225/CD224,0)</f>
        <v>1.45231644540685</v>
      </c>
      <c r="CE226" s="56" t="n">
        <f aca="false">IFERROR(CE225/CE224,0)</f>
        <v>1.63041549352259</v>
      </c>
    </row>
    <row r="227" customFormat="false" ht="15" hidden="false" customHeight="true" outlineLevel="0" collapsed="false">
      <c r="B227" s="29" t="s">
        <v>362</v>
      </c>
      <c r="CA227" s="59" t="n">
        <v>0.05</v>
      </c>
      <c r="CB227" s="59" t="n">
        <v>0.3</v>
      </c>
      <c r="CC227" s="59" t="n">
        <v>0.3</v>
      </c>
      <c r="CD227" s="59" t="n">
        <v>0.3</v>
      </c>
      <c r="CE227" s="59" t="n">
        <v>0.3</v>
      </c>
      <c r="CF227" s="19" t="s">
        <v>363</v>
      </c>
    </row>
    <row r="228" customFormat="false" ht="15" hidden="false" customHeight="true" outlineLevel="0" collapsed="false">
      <c r="B228" s="29" t="s">
        <v>364</v>
      </c>
      <c r="CA228" s="48" t="n">
        <f aca="false">BY269</f>
        <v>139.757405</v>
      </c>
      <c r="CB228" s="48" t="n">
        <f aca="false">CA229</f>
        <v>139.807405</v>
      </c>
      <c r="CC228" s="48" t="n">
        <f aca="false">CB229</f>
        <v>140.107405</v>
      </c>
      <c r="CD228" s="48" t="n">
        <f aca="false">CC229</f>
        <v>138.945348192728</v>
      </c>
      <c r="CE228" s="48" t="n">
        <f aca="false">CD229</f>
        <v>137.793031747321</v>
      </c>
      <c r="CF228" s="19" t="s">
        <v>365</v>
      </c>
    </row>
    <row r="229" customFormat="false" ht="15" hidden="false" customHeight="true" outlineLevel="0" collapsed="false">
      <c r="B229" s="29" t="s">
        <v>366</v>
      </c>
      <c r="CA229" s="48" t="n">
        <f aca="false">CA228-CA226+CA227</f>
        <v>139.807405</v>
      </c>
      <c r="CB229" s="48" t="n">
        <f aca="false">CB228-CB226+CB227</f>
        <v>140.107405</v>
      </c>
      <c r="CC229" s="48" t="n">
        <f aca="false">CC228-CC226+CC227</f>
        <v>138.945348192728</v>
      </c>
      <c r="CD229" s="48" t="n">
        <f aca="false">CD228-CD226+CD227</f>
        <v>137.793031747321</v>
      </c>
      <c r="CE229" s="48" t="n">
        <f aca="false">CE228-CE226+CE227</f>
        <v>136.462616253798</v>
      </c>
    </row>
    <row r="230" customFormat="false" ht="15" hidden="false" customHeight="true" outlineLevel="0" collapsed="false">
      <c r="B230" s="29" t="s">
        <v>367</v>
      </c>
      <c r="CA230" s="23" t="n">
        <f aca="false">IFERROR(CA226/CA228,"")</f>
        <v>0</v>
      </c>
      <c r="CB230" s="23" t="n">
        <f aca="false">IFERROR(CB226/CB228,"")</f>
        <v>0</v>
      </c>
      <c r="CC230" s="23" t="n">
        <f aca="false">IFERROR(CC226/CC228,"")</f>
        <v>0.0104352572033747</v>
      </c>
      <c r="CD230" s="23" t="n">
        <f aca="false">IFERROR(CD226/CD228,"")</f>
        <v>0.0104524294213317</v>
      </c>
      <c r="CE230" s="23" t="n">
        <f aca="false">IFERROR(CE226/CE228,"")</f>
        <v>0.0118323508297022</v>
      </c>
    </row>
    <row r="231" customFormat="false" ht="15" hidden="false" customHeight="true" outlineLevel="0" collapsed="false">
      <c r="B231" s="29" t="s">
        <v>368</v>
      </c>
      <c r="CA231" s="56" t="n">
        <f aca="false">CA226</f>
        <v>0</v>
      </c>
      <c r="CB231" s="56" t="n">
        <f aca="false">CA231+CB226</f>
        <v>0</v>
      </c>
      <c r="CC231" s="56" t="n">
        <f aca="false">CB231+CC226</f>
        <v>1.46205680727238</v>
      </c>
      <c r="CD231" s="56" t="n">
        <f aca="false">CC231+CD226</f>
        <v>2.91437325267923</v>
      </c>
      <c r="CE231" s="56" t="n">
        <f aca="false">CD231+CE226</f>
        <v>4.54478874620182</v>
      </c>
    </row>
    <row r="232" customFormat="false" ht="15" hidden="false" customHeight="true" outlineLevel="0" collapsed="false"/>
    <row r="233" customFormat="false" ht="15" hidden="false" customHeight="true" outlineLevel="0" collapsed="false">
      <c r="B233" s="11" t="s">
        <v>369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 t="s">
        <v>370</v>
      </c>
    </row>
    <row r="234" customFormat="false" ht="15" hidden="false" customHeight="true" outlineLevel="0" collapsed="false">
      <c r="B234" s="65" t="s">
        <v>371</v>
      </c>
    </row>
    <row r="235" customFormat="false" ht="15" hidden="false" customHeight="true" outlineLevel="0" collapsed="false">
      <c r="B235" s="29" t="s">
        <v>372</v>
      </c>
      <c r="C235" s="35" t="n">
        <v>4.999</v>
      </c>
      <c r="D235" s="35" t="n">
        <v>4.947</v>
      </c>
      <c r="E235" s="35" t="n">
        <v>12.562</v>
      </c>
      <c r="F235" s="35" t="n">
        <v>7.167</v>
      </c>
      <c r="G235" s="35" t="n">
        <v>6.543</v>
      </c>
      <c r="H235" s="35" t="n">
        <v>17.5</v>
      </c>
      <c r="I235" s="35" t="n">
        <v>21.451</v>
      </c>
      <c r="J235" s="35" t="n">
        <v>19.089</v>
      </c>
      <c r="K235" s="35" t="n">
        <v>16.878</v>
      </c>
      <c r="L235" s="35" t="n">
        <v>12.771</v>
      </c>
      <c r="M235" s="35" t="n">
        <v>15.499</v>
      </c>
      <c r="N235" s="35" t="n">
        <v>15.499</v>
      </c>
      <c r="O235" s="35" t="n">
        <v>15.239</v>
      </c>
      <c r="P235" s="35" t="n">
        <v>21.402</v>
      </c>
      <c r="Q235" s="35" t="n">
        <v>20.944</v>
      </c>
      <c r="R235" s="35" t="n">
        <v>20.229</v>
      </c>
      <c r="S235" s="35" t="n">
        <v>20.229</v>
      </c>
      <c r="T235" s="35" t="n">
        <v>18.372</v>
      </c>
      <c r="U235" s="35" t="n">
        <v>20.679</v>
      </c>
      <c r="V235" s="35" t="n">
        <v>31.697</v>
      </c>
      <c r="W235" s="35" t="n">
        <v>33.603</v>
      </c>
      <c r="X235" s="35" t="n">
        <v>33.603</v>
      </c>
      <c r="Y235" s="35" t="n">
        <v>29.886</v>
      </c>
      <c r="Z235" s="35" t="n">
        <v>36.789</v>
      </c>
      <c r="AA235" s="35" t="n">
        <v>27.191</v>
      </c>
      <c r="AB235" s="35" t="n">
        <v>42.955</v>
      </c>
      <c r="AC235" s="35" t="n">
        <v>42.955</v>
      </c>
      <c r="AD235" s="35" t="n">
        <v>45.905</v>
      </c>
      <c r="AE235" s="35" t="n">
        <v>36.732</v>
      </c>
      <c r="AF235" s="35" t="n">
        <v>49.489</v>
      </c>
      <c r="AG235" s="35" t="n">
        <v>52.066</v>
      </c>
      <c r="AH235" s="35" t="n">
        <v>52.066</v>
      </c>
      <c r="AI235" s="35" t="n">
        <v>65.688</v>
      </c>
      <c r="AJ235" s="35" t="n">
        <v>48.227</v>
      </c>
      <c r="AK235" s="35" t="n">
        <v>66.981</v>
      </c>
      <c r="AL235" s="35" t="n">
        <v>59.599</v>
      </c>
      <c r="AM235" s="35" t="n">
        <v>59.599</v>
      </c>
      <c r="AN235" s="35" t="n">
        <v>57.856</v>
      </c>
      <c r="AO235" s="35" t="n">
        <v>64.091</v>
      </c>
      <c r="AP235" s="35" t="n">
        <v>59.023</v>
      </c>
      <c r="AQ235" s="35" t="n">
        <v>57.001</v>
      </c>
      <c r="AR235" s="35" t="n">
        <v>57.001</v>
      </c>
      <c r="AS235" s="35" t="n">
        <v>63.971</v>
      </c>
      <c r="AT235" s="35" t="n">
        <v>346.786</v>
      </c>
      <c r="AU235" s="35" t="n">
        <v>395.278</v>
      </c>
      <c r="AV235" s="35" t="n">
        <v>406.852</v>
      </c>
      <c r="AW235" s="35" t="n">
        <v>406.852</v>
      </c>
      <c r="AX235" s="35" t="n">
        <v>399.403</v>
      </c>
      <c r="AY235" s="35" t="n">
        <v>385.444</v>
      </c>
      <c r="AZ235" s="35" t="n">
        <v>269.816</v>
      </c>
      <c r="BA235" s="35" t="n">
        <v>108.298</v>
      </c>
      <c r="BB235" s="35" t="n">
        <v>108.298</v>
      </c>
      <c r="BC235" s="35" t="n">
        <v>124.818</v>
      </c>
      <c r="BD235" s="35" t="n">
        <v>117.318</v>
      </c>
      <c r="BE235" s="35" t="n">
        <v>133.605</v>
      </c>
      <c r="BF235" s="35" t="n">
        <v>139.504</v>
      </c>
      <c r="BG235" s="35" t="n">
        <v>139.504</v>
      </c>
      <c r="BH235" s="35" t="n">
        <v>142.619</v>
      </c>
      <c r="BI235" s="35" t="n">
        <v>127.161</v>
      </c>
      <c r="BJ235" s="35" t="n">
        <v>694.263</v>
      </c>
      <c r="BK235" s="35" t="n">
        <v>171.048</v>
      </c>
      <c r="BL235" s="35" t="n">
        <v>171.048</v>
      </c>
      <c r="BM235" s="35" t="n">
        <v>196.323</v>
      </c>
      <c r="BN235" s="35" t="n">
        <v>204.161</v>
      </c>
      <c r="BO235" s="35" t="n">
        <v>202.94</v>
      </c>
      <c r="BP235" s="35" t="n">
        <v>162.103</v>
      </c>
      <c r="BQ235" s="35" t="n">
        <v>162.103</v>
      </c>
      <c r="BR235" s="35" t="n">
        <v>165.467</v>
      </c>
      <c r="BS235" s="35" t="n">
        <v>242.309</v>
      </c>
      <c r="BT235" s="35" t="n">
        <v>261.888</v>
      </c>
      <c r="BU235" s="35" t="n">
        <v>217.781</v>
      </c>
      <c r="BV235" s="35" t="n">
        <v>217.781</v>
      </c>
      <c r="BW235" s="35" t="n">
        <v>260.971</v>
      </c>
      <c r="BX235" s="35" t="n">
        <v>210.335</v>
      </c>
      <c r="BY235" s="35" t="n">
        <v>240.959</v>
      </c>
      <c r="CA235" s="42" t="n">
        <f aca="false">CA210</f>
        <v>354.092035560619</v>
      </c>
      <c r="CB235" s="42" t="n">
        <f aca="false">CB210</f>
        <v>575.017211658767</v>
      </c>
      <c r="CC235" s="42" t="n">
        <f aca="false">CC210</f>
        <v>426.213718309018</v>
      </c>
      <c r="CD235" s="42" t="n">
        <f aca="false">CD210</f>
        <v>252.682498898235</v>
      </c>
      <c r="CE235" s="42" t="n">
        <f aca="false">CE210</f>
        <v>200</v>
      </c>
    </row>
    <row r="236" customFormat="false" ht="15" hidden="false" customHeight="true" outlineLevel="0" collapsed="false">
      <c r="B236" s="29" t="s">
        <v>373</v>
      </c>
      <c r="C236" s="35" t="n">
        <v>65.012</v>
      </c>
      <c r="D236" s="35" t="n">
        <v>82.399</v>
      </c>
      <c r="E236" s="35" t="n">
        <v>88.403</v>
      </c>
      <c r="F236" s="35" t="n">
        <v>77.864</v>
      </c>
      <c r="G236" s="35" t="n">
        <v>91.815</v>
      </c>
      <c r="H236" s="35" t="n">
        <v>106.414</v>
      </c>
      <c r="I236" s="35" t="n">
        <v>122.214</v>
      </c>
      <c r="J236" s="35" t="n">
        <v>110.258</v>
      </c>
      <c r="K236" s="35" t="n">
        <v>126.856</v>
      </c>
      <c r="L236" s="35" t="n">
        <v>139.401</v>
      </c>
      <c r="M236" s="35" t="n">
        <v>157.022</v>
      </c>
      <c r="N236" s="35" t="n">
        <v>157.022</v>
      </c>
      <c r="O236" s="35" t="n">
        <v>150.214</v>
      </c>
      <c r="P236" s="35" t="n">
        <v>165.053</v>
      </c>
      <c r="Q236" s="35" t="n">
        <v>149.16</v>
      </c>
      <c r="R236" s="35" t="n">
        <v>149.669</v>
      </c>
      <c r="S236" s="35" t="n">
        <v>149.669</v>
      </c>
      <c r="T236" s="35" t="n">
        <v>152.866</v>
      </c>
      <c r="U236" s="35" t="n">
        <v>152.663</v>
      </c>
      <c r="V236" s="35" t="n">
        <v>150.93</v>
      </c>
      <c r="W236" s="35" t="n">
        <v>181.593</v>
      </c>
      <c r="X236" s="35" t="n">
        <v>181.593</v>
      </c>
      <c r="Y236" s="35" t="n">
        <v>173.915</v>
      </c>
      <c r="Z236" s="35" t="n">
        <v>179.207</v>
      </c>
      <c r="AA236" s="35" t="n">
        <v>189.617</v>
      </c>
      <c r="AB236" s="35" t="n">
        <v>202.227</v>
      </c>
      <c r="AC236" s="35" t="n">
        <v>202.227</v>
      </c>
      <c r="AD236" s="35" t="n">
        <v>176.029</v>
      </c>
      <c r="AE236" s="35" t="n">
        <v>213.107</v>
      </c>
      <c r="AF236" s="35" t="n">
        <v>206.405</v>
      </c>
      <c r="AG236" s="35" t="n">
        <v>222.456</v>
      </c>
      <c r="AH236" s="35" t="n">
        <v>222.456</v>
      </c>
      <c r="AI236" s="35" t="n">
        <v>210.278</v>
      </c>
      <c r="AJ236" s="35" t="n">
        <v>238.233</v>
      </c>
      <c r="AK236" s="35" t="n">
        <v>249.326</v>
      </c>
      <c r="AL236" s="35" t="n">
        <v>237.286</v>
      </c>
      <c r="AM236" s="35" t="n">
        <v>237.286</v>
      </c>
      <c r="AN236" s="35" t="n">
        <v>237.8</v>
      </c>
      <c r="AO236" s="35" t="n">
        <v>259.47</v>
      </c>
      <c r="AP236" s="35" t="n">
        <v>259.321</v>
      </c>
      <c r="AQ236" s="35" t="n">
        <v>274.326</v>
      </c>
      <c r="AR236" s="35" t="n">
        <v>274.326</v>
      </c>
      <c r="AS236" s="35" t="n">
        <v>252.05</v>
      </c>
      <c r="AT236" s="35" t="n">
        <v>230.884</v>
      </c>
      <c r="AU236" s="35" t="n">
        <v>181.134</v>
      </c>
      <c r="AV236" s="35" t="n">
        <v>210.433</v>
      </c>
      <c r="AW236" s="35" t="n">
        <v>210.433</v>
      </c>
      <c r="AX236" s="35" t="n">
        <v>202.318</v>
      </c>
      <c r="AY236" s="35" t="n">
        <v>215.736</v>
      </c>
      <c r="AZ236" s="35" t="n">
        <v>209.001</v>
      </c>
      <c r="BA236" s="35" t="n">
        <v>244.919</v>
      </c>
      <c r="BB236" s="35" t="n">
        <v>244.919</v>
      </c>
      <c r="BC236" s="35" t="n">
        <v>227.828</v>
      </c>
      <c r="BD236" s="35" t="n">
        <v>269.85</v>
      </c>
      <c r="BE236" s="35" t="n">
        <v>273.151</v>
      </c>
      <c r="BF236" s="35" t="n">
        <v>294.848</v>
      </c>
      <c r="BG236" s="35" t="n">
        <v>294.848</v>
      </c>
      <c r="BH236" s="35" t="n">
        <v>325.764</v>
      </c>
      <c r="BI236" s="35" t="n">
        <v>361.057</v>
      </c>
      <c r="BJ236" s="35" t="n">
        <v>355.491</v>
      </c>
      <c r="BK236" s="35" t="n">
        <v>509.075</v>
      </c>
      <c r="BL236" s="35" t="n">
        <v>509.075</v>
      </c>
      <c r="BM236" s="35" t="n">
        <v>471.697</v>
      </c>
      <c r="BN236" s="35" t="n">
        <v>504.362</v>
      </c>
      <c r="BO236" s="35" t="n">
        <v>525.75</v>
      </c>
      <c r="BP236" s="35" t="n">
        <v>538.487</v>
      </c>
      <c r="BQ236" s="35" t="n">
        <v>538.487</v>
      </c>
      <c r="BR236" s="35" t="n">
        <v>523.268</v>
      </c>
      <c r="BS236" s="35" t="n">
        <v>591.404</v>
      </c>
      <c r="BT236" s="35" t="n">
        <v>597.622</v>
      </c>
      <c r="BU236" s="35" t="n">
        <v>637.615</v>
      </c>
      <c r="BV236" s="35" t="n">
        <v>637.615</v>
      </c>
      <c r="BW236" s="35" t="n">
        <v>652.024</v>
      </c>
      <c r="BX236" s="35" t="n">
        <v>734.955</v>
      </c>
      <c r="BY236" s="35" t="n">
        <v>736.335</v>
      </c>
      <c r="CA236" s="42" t="n">
        <f aca="false">CA98*CA272/365</f>
        <v>745.697430846366</v>
      </c>
      <c r="CB236" s="42" t="n">
        <f aca="false">CB98*CB272/365</f>
        <v>848.827457311259</v>
      </c>
      <c r="CC236" s="42" t="n">
        <f aca="false">CC98*CC272/365</f>
        <v>942.139053983125</v>
      </c>
      <c r="CD236" s="42" t="n">
        <f aca="false">CD98*CD272/365</f>
        <v>1036.65190968518</v>
      </c>
      <c r="CE236" s="42" t="n">
        <f aca="false">CE98*CE272/365</f>
        <v>1139.51500793742</v>
      </c>
    </row>
    <row r="237" customFormat="false" ht="15" hidden="false" customHeight="true" outlineLevel="0" collapsed="false">
      <c r="B237" s="29" t="s">
        <v>374</v>
      </c>
      <c r="H237" s="35" t="n">
        <v>3.773</v>
      </c>
      <c r="I237" s="35" t="n">
        <v>5.482</v>
      </c>
      <c r="M237" s="35" t="n">
        <v>7.263</v>
      </c>
      <c r="N237" s="35" t="n">
        <v>7.263</v>
      </c>
      <c r="O237" s="35" t="n">
        <v>10.551</v>
      </c>
      <c r="P237" s="35" t="n">
        <v>5.31</v>
      </c>
      <c r="Q237" s="35" t="n">
        <v>5.498</v>
      </c>
      <c r="R237" s="35" t="n">
        <v>6.355</v>
      </c>
      <c r="S237" s="35" t="n">
        <v>6.355</v>
      </c>
      <c r="AL237" s="35" t="n">
        <v>14.183</v>
      </c>
      <c r="AM237" s="35" t="n">
        <v>14.183</v>
      </c>
      <c r="AN237" s="35" t="n">
        <v>47.093</v>
      </c>
      <c r="AO237" s="35" t="n">
        <v>48.968</v>
      </c>
      <c r="AP237" s="35" t="n">
        <v>47.238</v>
      </c>
      <c r="AQ237" s="35" t="n">
        <v>43.132</v>
      </c>
      <c r="AR237" s="35" t="n">
        <v>43.132</v>
      </c>
      <c r="AS237" s="35" t="n">
        <v>44.823</v>
      </c>
      <c r="AT237" s="35" t="n">
        <v>56.033</v>
      </c>
      <c r="AU237" s="35" t="n">
        <v>59.113</v>
      </c>
      <c r="AV237" s="35" t="n">
        <v>60.429</v>
      </c>
      <c r="AW237" s="35" t="n">
        <v>60.429</v>
      </c>
      <c r="AX237" s="35" t="n">
        <v>57.876</v>
      </c>
      <c r="AY237" s="35" t="n">
        <v>59.881</v>
      </c>
      <c r="AZ237" s="35" t="n">
        <v>62.4</v>
      </c>
      <c r="BA237" s="35" t="n">
        <v>80.073</v>
      </c>
      <c r="BB237" s="35" t="n">
        <v>80.073</v>
      </c>
      <c r="BC237" s="35" t="n">
        <v>82.238</v>
      </c>
      <c r="BD237" s="35" t="n">
        <v>79.598</v>
      </c>
      <c r="BE237" s="35" t="n">
        <v>86.534</v>
      </c>
      <c r="BF237" s="35" t="n">
        <v>93.978</v>
      </c>
      <c r="BG237" s="35" t="n">
        <v>93.978</v>
      </c>
      <c r="BH237" s="35" t="n">
        <v>101.54</v>
      </c>
      <c r="BI237" s="35" t="n">
        <v>103.448</v>
      </c>
      <c r="BJ237" s="35" t="n">
        <v>102.832</v>
      </c>
      <c r="BK237" s="35" t="n">
        <v>111.702</v>
      </c>
      <c r="BL237" s="35" t="n">
        <v>111.702</v>
      </c>
      <c r="BM237" s="35" t="n">
        <v>108.888</v>
      </c>
      <c r="BN237" s="35" t="n">
        <v>110.158</v>
      </c>
      <c r="BO237" s="35" t="n">
        <v>104.412</v>
      </c>
      <c r="BP237" s="35" t="n">
        <v>112.235</v>
      </c>
      <c r="BQ237" s="35" t="n">
        <v>112.235</v>
      </c>
      <c r="BR237" s="35" t="n">
        <v>118.213</v>
      </c>
      <c r="BS237" s="35" t="n">
        <v>124.683</v>
      </c>
      <c r="BT237" s="35" t="n">
        <v>132.963</v>
      </c>
      <c r="BU237" s="35" t="n">
        <v>119.257</v>
      </c>
      <c r="BV237" s="35" t="n">
        <v>119.257</v>
      </c>
      <c r="BW237" s="35" t="n">
        <v>116.9</v>
      </c>
      <c r="BX237" s="35" t="n">
        <v>131.59</v>
      </c>
      <c r="BY237" s="35" t="n">
        <v>134.443</v>
      </c>
      <c r="CA237" s="42" t="n">
        <f aca="false">CA98*CA273</f>
        <v>141.53337237464</v>
      </c>
      <c r="CB237" s="42" t="n">
        <f aca="false">CB98*CB273</f>
        <v>161.107451397677</v>
      </c>
      <c r="CC237" s="42" t="n">
        <f aca="false">CC98*CC273</f>
        <v>178.817992445997</v>
      </c>
      <c r="CD237" s="42" t="n">
        <f aca="false">CD98*CD273</f>
        <v>196.756532458248</v>
      </c>
      <c r="CE237" s="42" t="n">
        <f aca="false">CE98*CE273</f>
        <v>216.279948506523</v>
      </c>
    </row>
    <row r="238" customFormat="false" ht="15" hidden="false" customHeight="true" outlineLevel="0" collapsed="false">
      <c r="B238" s="29" t="s">
        <v>375</v>
      </c>
      <c r="C238" s="35" t="n">
        <v>97.283</v>
      </c>
      <c r="D238" s="35" t="n">
        <v>115.77</v>
      </c>
      <c r="E238" s="35" t="n">
        <v>132.91</v>
      </c>
      <c r="F238" s="35" t="n">
        <v>137.585</v>
      </c>
      <c r="G238" s="35" t="n">
        <v>138.215</v>
      </c>
      <c r="H238" s="35" t="n">
        <v>164.967</v>
      </c>
      <c r="I238" s="35" t="n">
        <v>189.704</v>
      </c>
      <c r="J238" s="35" t="n">
        <v>195.089</v>
      </c>
      <c r="K238" s="35" t="n">
        <v>199.501</v>
      </c>
      <c r="L238" s="35" t="n">
        <v>216.256</v>
      </c>
      <c r="M238" s="35" t="n">
        <v>218.893</v>
      </c>
      <c r="N238" s="35" t="n">
        <v>218.893</v>
      </c>
      <c r="O238" s="35" t="n">
        <v>224.109</v>
      </c>
      <c r="P238" s="35" t="n">
        <v>225.021</v>
      </c>
      <c r="Q238" s="35" t="n">
        <v>221.129</v>
      </c>
      <c r="R238" s="35" t="n">
        <v>218.042</v>
      </c>
      <c r="S238" s="35" t="n">
        <v>218.042</v>
      </c>
      <c r="T238" s="35" t="n">
        <v>227.97</v>
      </c>
      <c r="U238" s="35" t="n">
        <v>231.035</v>
      </c>
      <c r="V238" s="35" t="n">
        <v>236.235</v>
      </c>
      <c r="W238" s="35" t="n">
        <v>243.517</v>
      </c>
      <c r="X238" s="35" t="n">
        <v>243.517</v>
      </c>
      <c r="Y238" s="35" t="n">
        <v>273.494</v>
      </c>
      <c r="Z238" s="35" t="n">
        <v>282.14</v>
      </c>
      <c r="AA238" s="35" t="n">
        <v>286.679</v>
      </c>
      <c r="AB238" s="35" t="n">
        <v>286.302</v>
      </c>
      <c r="AC238" s="35" t="n">
        <v>286.302</v>
      </c>
      <c r="AD238" s="35" t="n">
        <v>301.12</v>
      </c>
      <c r="AE238" s="35" t="n">
        <v>325.661</v>
      </c>
      <c r="AF238" s="35" t="n">
        <v>340.471</v>
      </c>
      <c r="AG238" s="35" t="n">
        <v>343.628</v>
      </c>
      <c r="AH238" s="35" t="n">
        <v>343.628</v>
      </c>
      <c r="AI238" s="35" t="n">
        <v>367.395</v>
      </c>
      <c r="AJ238" s="35" t="n">
        <v>382.669</v>
      </c>
      <c r="AK238" s="35" t="n">
        <v>391.788</v>
      </c>
      <c r="AL238" s="35" t="n">
        <v>401.553</v>
      </c>
      <c r="AM238" s="35" t="n">
        <v>401.553</v>
      </c>
      <c r="AN238" s="35" t="n">
        <v>406.348</v>
      </c>
      <c r="AO238" s="35" t="n">
        <v>410.328</v>
      </c>
      <c r="AP238" s="35" t="n">
        <v>416.314</v>
      </c>
      <c r="AQ238" s="35" t="n">
        <v>420.319</v>
      </c>
      <c r="AR238" s="35" t="n">
        <v>420.319</v>
      </c>
      <c r="AS238" s="35" t="n">
        <v>441.25</v>
      </c>
      <c r="AT238" s="35" t="n">
        <v>457.819</v>
      </c>
      <c r="AU238" s="35" t="n">
        <v>473.104</v>
      </c>
      <c r="AV238" s="35" t="n">
        <v>463.205</v>
      </c>
      <c r="AW238" s="35" t="n">
        <v>463.205</v>
      </c>
      <c r="AX238" s="35" t="n">
        <v>462.854</v>
      </c>
      <c r="AY238" s="35" t="n">
        <v>462.586</v>
      </c>
      <c r="AZ238" s="35" t="n">
        <v>457.172</v>
      </c>
      <c r="BA238" s="35" t="n">
        <v>478.05</v>
      </c>
      <c r="BB238" s="35" t="n">
        <v>478.05</v>
      </c>
      <c r="BC238" s="35" t="n">
        <v>503.506</v>
      </c>
      <c r="BD238" s="35" t="n">
        <v>519.498</v>
      </c>
      <c r="BE238" s="35" t="n">
        <v>545.943</v>
      </c>
      <c r="BF238" s="35" t="n">
        <v>582.471</v>
      </c>
      <c r="BG238" s="35" t="n">
        <v>582.471</v>
      </c>
      <c r="BH238" s="35" t="n">
        <v>697.495</v>
      </c>
      <c r="BI238" s="35" t="n">
        <v>721.569</v>
      </c>
      <c r="BJ238" s="35" t="n">
        <v>731.966</v>
      </c>
      <c r="BK238" s="35" t="n">
        <v>1013.68</v>
      </c>
      <c r="BL238" s="35" t="n">
        <v>1013.68</v>
      </c>
      <c r="BM238" s="35" t="n">
        <v>1068.735</v>
      </c>
      <c r="BN238" s="35" t="n">
        <v>1088.101</v>
      </c>
      <c r="BO238" s="35" t="n">
        <v>1124.765</v>
      </c>
      <c r="BP238" s="35" t="n">
        <v>1170.949</v>
      </c>
      <c r="BQ238" s="35" t="n">
        <v>1170.949</v>
      </c>
      <c r="BR238" s="35" t="n">
        <v>1218.711</v>
      </c>
      <c r="BS238" s="35" t="n">
        <v>1244.497</v>
      </c>
      <c r="BT238" s="35" t="n">
        <v>1310.393</v>
      </c>
      <c r="BU238" s="35" t="n">
        <v>1295.336</v>
      </c>
      <c r="BV238" s="35" t="n">
        <v>1295.336</v>
      </c>
      <c r="BW238" s="35" t="n">
        <v>1338.421</v>
      </c>
      <c r="BX238" s="35" t="n">
        <v>1410.527</v>
      </c>
      <c r="BY238" s="35" t="n">
        <v>1447.885</v>
      </c>
      <c r="CA238" s="42" t="n">
        <f aca="false">CA99*CA274/365</f>
        <v>1491.61850259896</v>
      </c>
      <c r="CB238" s="42" t="n">
        <f aca="false">CB99*CB274/365</f>
        <v>1696.97585265667</v>
      </c>
      <c r="CC238" s="42" t="n">
        <f aca="false">CC99*CC274/365</f>
        <v>1883.52439672306</v>
      </c>
      <c r="CD238" s="42" t="n">
        <f aca="false">CD99*CD274/365</f>
        <v>2072.47449784262</v>
      </c>
      <c r="CE238" s="42" t="n">
        <f aca="false">CE99*CE274/365</f>
        <v>2278.11840386849</v>
      </c>
    </row>
    <row r="239" customFormat="false" ht="15" hidden="false" customHeight="true" outlineLevel="0" collapsed="false">
      <c r="B239" s="29" t="s">
        <v>376</v>
      </c>
      <c r="C239" s="35" t="n">
        <v>12.727</v>
      </c>
      <c r="D239" s="35" t="n">
        <v>14.692</v>
      </c>
      <c r="E239" s="35" t="n">
        <v>17.635</v>
      </c>
      <c r="F239" s="35" t="n">
        <v>20.961</v>
      </c>
      <c r="G239" s="35" t="n">
        <v>22.676</v>
      </c>
      <c r="H239" s="35" t="n">
        <v>23.984</v>
      </c>
      <c r="I239" s="35" t="n">
        <v>29.06</v>
      </c>
      <c r="J239" s="35" t="n">
        <v>35.259</v>
      </c>
      <c r="K239" s="35" t="n">
        <v>36.878</v>
      </c>
      <c r="L239" s="35" t="n">
        <v>39.685</v>
      </c>
      <c r="M239" s="35" t="n">
        <v>42.795</v>
      </c>
      <c r="N239" s="35" t="n">
        <v>42.795</v>
      </c>
      <c r="O239" s="35" t="n">
        <v>34.484</v>
      </c>
      <c r="P239" s="35" t="n">
        <v>45.925</v>
      </c>
      <c r="Q239" s="35" t="n">
        <v>36.555</v>
      </c>
      <c r="R239" s="35" t="n">
        <v>36.998</v>
      </c>
      <c r="S239" s="35" t="n">
        <v>36.998</v>
      </c>
      <c r="T239" s="35" t="n">
        <v>44.227</v>
      </c>
      <c r="U239" s="35" t="n">
        <v>48.11</v>
      </c>
      <c r="V239" s="35" t="n">
        <v>44</v>
      </c>
      <c r="W239" s="35" t="n">
        <v>44.899</v>
      </c>
      <c r="X239" s="35" t="n">
        <v>44.899</v>
      </c>
      <c r="Y239" s="35" t="n">
        <v>46.134</v>
      </c>
      <c r="Z239" s="35" t="n">
        <v>47.862</v>
      </c>
      <c r="AA239" s="35" t="n">
        <v>50.181</v>
      </c>
      <c r="AB239" s="35" t="n">
        <v>52.737</v>
      </c>
      <c r="AC239" s="35" t="n">
        <v>52.737</v>
      </c>
      <c r="AD239" s="35" t="n">
        <v>52.151</v>
      </c>
      <c r="AE239" s="35" t="n">
        <v>54.335</v>
      </c>
      <c r="AF239" s="35" t="n">
        <v>59.564</v>
      </c>
      <c r="AG239" s="35" t="n">
        <v>13.742</v>
      </c>
      <c r="AH239" s="35" t="n">
        <v>13.742</v>
      </c>
      <c r="AI239" s="35" t="n">
        <v>19.071</v>
      </c>
      <c r="AJ239" s="35" t="n">
        <v>25.597</v>
      </c>
      <c r="AK239" s="35" t="n">
        <v>20.063</v>
      </c>
      <c r="AL239" s="35" t="n">
        <v>21.187</v>
      </c>
      <c r="AM239" s="35" t="n">
        <v>21.187</v>
      </c>
      <c r="AN239" s="35" t="n">
        <v>30.328</v>
      </c>
      <c r="AO239" s="35" t="n">
        <v>19.71</v>
      </c>
      <c r="AP239" s="35" t="n">
        <v>20.688</v>
      </c>
      <c r="AQ239" s="35" t="n">
        <v>18.953</v>
      </c>
      <c r="AR239" s="35" t="n">
        <v>18.953</v>
      </c>
      <c r="AS239" s="35" t="n">
        <v>22.616</v>
      </c>
      <c r="AT239" s="35" t="n">
        <v>33.991</v>
      </c>
      <c r="AU239" s="35" t="n">
        <v>32.115</v>
      </c>
      <c r="AV239" s="35" t="n">
        <v>24.706</v>
      </c>
      <c r="AW239" s="35" t="n">
        <v>24.706</v>
      </c>
      <c r="AX239" s="35" t="n">
        <v>26.648</v>
      </c>
      <c r="AY239" s="35" t="n">
        <v>39.774</v>
      </c>
      <c r="AZ239" s="35" t="n">
        <v>32.626</v>
      </c>
      <c r="BA239" s="35" t="n">
        <v>26.045</v>
      </c>
      <c r="BB239" s="35" t="n">
        <v>26.045</v>
      </c>
      <c r="BC239" s="35" t="n">
        <v>36.172</v>
      </c>
      <c r="BD239" s="35" t="n">
        <v>46.461</v>
      </c>
      <c r="BE239" s="35" t="n">
        <v>42.54</v>
      </c>
      <c r="BF239" s="35" t="n">
        <v>41.929</v>
      </c>
      <c r="BG239" s="35" t="n">
        <v>41.929</v>
      </c>
      <c r="BH239" s="35" t="n">
        <v>51.381</v>
      </c>
      <c r="BI239" s="35" t="n">
        <v>53.404</v>
      </c>
      <c r="BJ239" s="35" t="n">
        <v>47.372</v>
      </c>
      <c r="BK239" s="35" t="n">
        <v>49.837</v>
      </c>
      <c r="BL239" s="35" t="n">
        <v>49.837</v>
      </c>
      <c r="BM239" s="35" t="n">
        <v>66.716</v>
      </c>
      <c r="BN239" s="35" t="n">
        <v>61.919</v>
      </c>
      <c r="BO239" s="35" t="n">
        <v>69.068</v>
      </c>
      <c r="BP239" s="35" t="n">
        <v>78.518</v>
      </c>
      <c r="BQ239" s="35" t="n">
        <v>78.518</v>
      </c>
      <c r="BR239" s="35" t="n">
        <v>77.059</v>
      </c>
      <c r="BS239" s="35" t="n">
        <v>80.456</v>
      </c>
      <c r="BT239" s="35" t="n">
        <v>83.161</v>
      </c>
      <c r="BU239" s="35" t="n">
        <v>86.377</v>
      </c>
      <c r="BV239" s="35" t="n">
        <v>86.377</v>
      </c>
      <c r="BW239" s="35" t="n">
        <v>111.298</v>
      </c>
      <c r="BX239" s="35" t="n">
        <v>149.069</v>
      </c>
      <c r="BY239" s="35" t="n">
        <v>165.869</v>
      </c>
      <c r="CA239" s="42" t="n">
        <f aca="false">BY239</f>
        <v>165.869</v>
      </c>
      <c r="CB239" s="42" t="n">
        <f aca="false">CA239</f>
        <v>165.869</v>
      </c>
      <c r="CC239" s="42" t="n">
        <f aca="false">CB239</f>
        <v>165.869</v>
      </c>
      <c r="CD239" s="42" t="n">
        <f aca="false">CC239</f>
        <v>165.869</v>
      </c>
      <c r="CE239" s="42" t="n">
        <f aca="false">CD239</f>
        <v>165.869</v>
      </c>
    </row>
    <row r="240" customFormat="false" ht="15" hidden="false" customHeight="true" outlineLevel="0" collapsed="false">
      <c r="B240" s="16" t="s">
        <v>377</v>
      </c>
      <c r="C240" s="53" t="n">
        <f aca="false">IF(ISNUMBER(C235),SUM(C235:C239),"")</f>
        <v>180.021</v>
      </c>
      <c r="D240" s="53" t="n">
        <f aca="false">IF(ISNUMBER(D235),SUM(D235:D239),"")</f>
        <v>217.808</v>
      </c>
      <c r="E240" s="53" t="n">
        <f aca="false">IF(ISNUMBER(E235),SUM(E235:E239),"")</f>
        <v>251.51</v>
      </c>
      <c r="F240" s="53" t="n">
        <f aca="false">IF(ISNUMBER(F235),SUM(F235:F239),"")</f>
        <v>243.577</v>
      </c>
      <c r="G240" s="53" t="n">
        <f aca="false">IF(ISNUMBER(G235),SUM(G235:G239),"")</f>
        <v>259.249</v>
      </c>
      <c r="H240" s="53" t="n">
        <f aca="false">IF(ISNUMBER(H235),SUM(H235:H239),"")</f>
        <v>316.638</v>
      </c>
      <c r="I240" s="53" t="n">
        <f aca="false">IF(ISNUMBER(I235),SUM(I235:I239),"")</f>
        <v>367.911</v>
      </c>
      <c r="J240" s="53" t="n">
        <f aca="false">IF(ISNUMBER(J235),SUM(J235:J239),"")</f>
        <v>359.695</v>
      </c>
      <c r="K240" s="53" t="n">
        <f aca="false">IF(ISNUMBER(K235),SUM(K235:K239),"")</f>
        <v>380.113</v>
      </c>
      <c r="L240" s="53" t="n">
        <f aca="false">IF(ISNUMBER(L235),SUM(L235:L239),"")</f>
        <v>408.113</v>
      </c>
      <c r="M240" s="53" t="n">
        <f aca="false">IF(ISNUMBER(M235),SUM(M235:M239),"")</f>
        <v>441.472</v>
      </c>
      <c r="N240" s="53" t="n">
        <f aca="false">IF(ISNUMBER(N235),SUM(N235:N239),"")</f>
        <v>441.472</v>
      </c>
      <c r="O240" s="53" t="n">
        <f aca="false">IF(ISNUMBER(O235),SUM(O235:O239),"")</f>
        <v>434.597</v>
      </c>
      <c r="P240" s="53" t="n">
        <f aca="false">IF(ISNUMBER(P235),SUM(P235:P239),"")</f>
        <v>462.711</v>
      </c>
      <c r="Q240" s="53" t="n">
        <f aca="false">IF(ISNUMBER(Q235),SUM(Q235:Q239),"")</f>
        <v>433.286</v>
      </c>
      <c r="R240" s="53" t="n">
        <f aca="false">IF(ISNUMBER(R235),SUM(R235:R239),"")</f>
        <v>431.293</v>
      </c>
      <c r="S240" s="53" t="n">
        <f aca="false">IF(ISNUMBER(S235),SUM(S235:S239),"")</f>
        <v>431.293</v>
      </c>
      <c r="T240" s="53" t="n">
        <f aca="false">IF(ISNUMBER(T235),SUM(T235:T239),"")</f>
        <v>443.435</v>
      </c>
      <c r="U240" s="53" t="n">
        <f aca="false">IF(ISNUMBER(U235),SUM(U235:U239),"")</f>
        <v>452.487</v>
      </c>
      <c r="V240" s="53" t="n">
        <f aca="false">IF(ISNUMBER(V235),SUM(V235:V239),"")</f>
        <v>462.862</v>
      </c>
      <c r="W240" s="53" t="n">
        <f aca="false">IF(ISNUMBER(W235),SUM(W235:W239),"")</f>
        <v>503.612</v>
      </c>
      <c r="X240" s="53" t="n">
        <f aca="false">IF(ISNUMBER(X235),SUM(X235:X239),"")</f>
        <v>503.612</v>
      </c>
      <c r="Y240" s="53" t="n">
        <f aca="false">IF(ISNUMBER(Y235),SUM(Y235:Y239),"")</f>
        <v>523.429</v>
      </c>
      <c r="Z240" s="53" t="n">
        <f aca="false">IF(ISNUMBER(Z235),SUM(Z235:Z239),"")</f>
        <v>545.998</v>
      </c>
      <c r="AA240" s="53" t="n">
        <f aca="false">IF(ISNUMBER(AA235),SUM(AA235:AA239),"")</f>
        <v>553.668</v>
      </c>
      <c r="AB240" s="53" t="n">
        <f aca="false">IF(ISNUMBER(AB235),SUM(AB235:AB239),"")</f>
        <v>584.221</v>
      </c>
      <c r="AC240" s="53" t="n">
        <f aca="false">IF(ISNUMBER(AC235),SUM(AC235:AC239),"")</f>
        <v>584.221</v>
      </c>
      <c r="AD240" s="53" t="n">
        <f aca="false">IF(ISNUMBER(AD235),SUM(AD235:AD239),"")</f>
        <v>575.205</v>
      </c>
      <c r="AE240" s="53" t="n">
        <f aca="false">IF(ISNUMBER(AE235),SUM(AE235:AE239),"")</f>
        <v>629.835</v>
      </c>
      <c r="AF240" s="53" t="n">
        <f aca="false">IF(ISNUMBER(AF235),SUM(AF235:AF239),"")</f>
        <v>655.929</v>
      </c>
      <c r="AG240" s="53" t="n">
        <f aca="false">IF(ISNUMBER(AG235),SUM(AG235:AG239),"")</f>
        <v>631.892</v>
      </c>
      <c r="AH240" s="53" t="n">
        <f aca="false">IF(ISNUMBER(AH235),SUM(AH235:AH239),"")</f>
        <v>631.892</v>
      </c>
      <c r="AI240" s="53" t="n">
        <f aca="false">IF(ISNUMBER(AI235),SUM(AI235:AI239),"")</f>
        <v>662.432</v>
      </c>
      <c r="AJ240" s="53" t="n">
        <f aca="false">IF(ISNUMBER(AJ235),SUM(AJ235:AJ239),"")</f>
        <v>694.726</v>
      </c>
      <c r="AK240" s="53" t="n">
        <f aca="false">IF(ISNUMBER(AK235),SUM(AK235:AK239),"")</f>
        <v>728.158</v>
      </c>
      <c r="AL240" s="53" t="n">
        <f aca="false">IF(ISNUMBER(AL235),SUM(AL235:AL239),"")</f>
        <v>733.808</v>
      </c>
      <c r="AM240" s="53" t="n">
        <f aca="false">IF(ISNUMBER(AM235),SUM(AM235:AM239),"")</f>
        <v>733.808</v>
      </c>
      <c r="AN240" s="53" t="n">
        <f aca="false">IF(ISNUMBER(AN235),SUM(AN235:AN239),"")</f>
        <v>779.425</v>
      </c>
      <c r="AO240" s="53" t="n">
        <f aca="false">IF(ISNUMBER(AO235),SUM(AO235:AO239),"")</f>
        <v>802.567</v>
      </c>
      <c r="AP240" s="53" t="n">
        <f aca="false">IF(ISNUMBER(AP235),SUM(AP235:AP239),"")</f>
        <v>802.584</v>
      </c>
      <c r="AQ240" s="53" t="n">
        <f aca="false">IF(ISNUMBER(AQ235),SUM(AQ235:AQ239),"")</f>
        <v>813.731</v>
      </c>
      <c r="AR240" s="53" t="n">
        <f aca="false">IF(ISNUMBER(AR235),SUM(AR235:AR239),"")</f>
        <v>813.731</v>
      </c>
      <c r="AS240" s="53" t="n">
        <f aca="false">IF(ISNUMBER(AS235),SUM(AS235:AS239),"")</f>
        <v>824.71</v>
      </c>
      <c r="AT240" s="53" t="n">
        <f aca="false">IF(ISNUMBER(AT235),SUM(AT235:AT239),"")</f>
        <v>1125.513</v>
      </c>
      <c r="AU240" s="53" t="n">
        <f aca="false">IF(ISNUMBER(AU235),SUM(AU235:AU239),"")</f>
        <v>1140.744</v>
      </c>
      <c r="AV240" s="53" t="n">
        <f aca="false">IF(ISNUMBER(AV235),SUM(AV235:AV239),"")</f>
        <v>1165.625</v>
      </c>
      <c r="AW240" s="53" t="n">
        <f aca="false">IF(ISNUMBER(AW235),SUM(AW235:AW239),"")</f>
        <v>1165.625</v>
      </c>
      <c r="AX240" s="53" t="n">
        <f aca="false">IF(ISNUMBER(AX235),SUM(AX235:AX239),"")</f>
        <v>1149.099</v>
      </c>
      <c r="AY240" s="53" t="n">
        <f aca="false">IF(ISNUMBER(AY235),SUM(AY235:AY239),"")</f>
        <v>1163.421</v>
      </c>
      <c r="AZ240" s="53" t="n">
        <f aca="false">IF(ISNUMBER(AZ235),SUM(AZ235:AZ239),"")</f>
        <v>1031.015</v>
      </c>
      <c r="BA240" s="53" t="n">
        <f aca="false">IF(ISNUMBER(BA235),SUM(BA235:BA239),"")</f>
        <v>937.385</v>
      </c>
      <c r="BB240" s="53" t="n">
        <f aca="false">IF(ISNUMBER(BB235),SUM(BB235:BB239),"")</f>
        <v>937.385</v>
      </c>
      <c r="BC240" s="53" t="n">
        <f aca="false">IF(ISNUMBER(BC235),SUM(BC235:BC239),"")</f>
        <v>974.562</v>
      </c>
      <c r="BD240" s="53" t="n">
        <f aca="false">IF(ISNUMBER(BD235),SUM(BD235:BD239),"")</f>
        <v>1032.725</v>
      </c>
      <c r="BE240" s="53" t="n">
        <f aca="false">IF(ISNUMBER(BE235),SUM(BE235:BE239),"")</f>
        <v>1081.773</v>
      </c>
      <c r="BF240" s="53" t="n">
        <f aca="false">IF(ISNUMBER(BF235),SUM(BF235:BF239),"")</f>
        <v>1152.73</v>
      </c>
      <c r="BG240" s="53" t="n">
        <f aca="false">IF(ISNUMBER(BG235),SUM(BG235:BG239),"")</f>
        <v>1152.73</v>
      </c>
      <c r="BH240" s="53" t="n">
        <f aca="false">IF(ISNUMBER(BH235),SUM(BH235:BH239),"")</f>
        <v>1318.799</v>
      </c>
      <c r="BI240" s="53" t="n">
        <f aca="false">IF(ISNUMBER(BI235),SUM(BI235:BI239),"")</f>
        <v>1366.639</v>
      </c>
      <c r="BJ240" s="53" t="n">
        <f aca="false">IF(ISNUMBER(BJ235),SUM(BJ235:BJ239),"")</f>
        <v>1931.924</v>
      </c>
      <c r="BK240" s="53" t="n">
        <f aca="false">IF(ISNUMBER(BK235),SUM(BK235:BK239),"")</f>
        <v>1855.342</v>
      </c>
      <c r="BL240" s="53" t="n">
        <f aca="false">IF(ISNUMBER(BL235),SUM(BL235:BL239),"")</f>
        <v>1855.342</v>
      </c>
      <c r="BM240" s="53" t="n">
        <f aca="false">IF(ISNUMBER(BM235),SUM(BM235:BM239),"")</f>
        <v>1912.359</v>
      </c>
      <c r="BN240" s="53" t="n">
        <f aca="false">IF(ISNUMBER(BN235),SUM(BN235:BN239),"")</f>
        <v>1968.701</v>
      </c>
      <c r="BO240" s="53" t="n">
        <f aca="false">IF(ISNUMBER(BO235),SUM(BO235:BO239),"")</f>
        <v>2026.935</v>
      </c>
      <c r="BP240" s="53" t="n">
        <f aca="false">IF(ISNUMBER(BP235),SUM(BP235:BP239),"")</f>
        <v>2062.292</v>
      </c>
      <c r="BQ240" s="53" t="n">
        <f aca="false">IF(ISNUMBER(BQ235),SUM(BQ235:BQ239),"")</f>
        <v>2062.292</v>
      </c>
      <c r="BR240" s="53" t="n">
        <f aca="false">IF(ISNUMBER(BR235),SUM(BR235:BR239),"")</f>
        <v>2102.718</v>
      </c>
      <c r="BS240" s="53" t="n">
        <f aca="false">IF(ISNUMBER(BS235),SUM(BS235:BS239),"")</f>
        <v>2283.349</v>
      </c>
      <c r="BT240" s="53" t="n">
        <f aca="false">IF(ISNUMBER(BT235),SUM(BT235:BT239),"")</f>
        <v>2386.027</v>
      </c>
      <c r="BU240" s="53" t="n">
        <f aca="false">IF(ISNUMBER(BU235),SUM(BU235:BU239),"")</f>
        <v>2356.366</v>
      </c>
      <c r="BV240" s="53" t="n">
        <f aca="false">IF(ISNUMBER(BV235),SUM(BV235:BV239),"")</f>
        <v>2356.366</v>
      </c>
      <c r="BW240" s="53" t="n">
        <f aca="false">IF(ISNUMBER(BW235),SUM(BW235:BW239),"")</f>
        <v>2479.614</v>
      </c>
      <c r="BX240" s="53" t="n">
        <f aca="false">IF(ISNUMBER(BX235),SUM(BX235:BX239),"")</f>
        <v>2636.476</v>
      </c>
      <c r="BY240" s="53" t="n">
        <f aca="false">IF(ISNUMBER(BY235),SUM(BY235:BY239),"")</f>
        <v>2725.491</v>
      </c>
      <c r="CA240" s="18" t="n">
        <f aca="false">IF(ISNUMBER(CA235),SUM(CA235:CA239),"")</f>
        <v>2898.81034138058</v>
      </c>
      <c r="CB240" s="18" t="n">
        <f aca="false">IF(ISNUMBER(CB235),SUM(CB235:CB239),"")</f>
        <v>3447.79697302437</v>
      </c>
      <c r="CC240" s="18" t="n">
        <f aca="false">IF(ISNUMBER(CC235),SUM(CC235:CC239),"")</f>
        <v>3596.5641614612</v>
      </c>
      <c r="CD240" s="18" t="n">
        <f aca="false">IF(ISNUMBER(CD235),SUM(CD235:CD239),"")</f>
        <v>3724.43443888428</v>
      </c>
      <c r="CE240" s="18" t="n">
        <f aca="false">IF(ISNUMBER(CE235),SUM(CE235:CE239),"")</f>
        <v>3999.78236031244</v>
      </c>
    </row>
    <row r="241" customFormat="false" ht="15" hidden="false" customHeight="true" outlineLevel="0" collapsed="false">
      <c r="B241" s="29" t="s">
        <v>378</v>
      </c>
      <c r="C241" s="35" t="n">
        <v>49.489</v>
      </c>
      <c r="D241" s="35" t="n">
        <v>55.554</v>
      </c>
      <c r="E241" s="35" t="n">
        <v>59.966</v>
      </c>
      <c r="F241" s="35" t="n">
        <v>60.528</v>
      </c>
      <c r="G241" s="35" t="n">
        <v>59.003</v>
      </c>
      <c r="H241" s="35" t="n">
        <v>67.074</v>
      </c>
      <c r="I241" s="35" t="n">
        <v>80.518</v>
      </c>
      <c r="J241" s="35" t="n">
        <v>81.8</v>
      </c>
      <c r="K241" s="35" t="n">
        <v>82.509</v>
      </c>
      <c r="L241" s="35" t="n">
        <v>90.863</v>
      </c>
      <c r="M241" s="35" t="n">
        <v>97.737</v>
      </c>
      <c r="N241" s="35" t="n">
        <v>97.737</v>
      </c>
      <c r="O241" s="35" t="n">
        <v>96.802</v>
      </c>
      <c r="P241" s="35" t="n">
        <v>95.502</v>
      </c>
      <c r="Q241" s="35" t="n">
        <v>95.13</v>
      </c>
      <c r="R241" s="35" t="n">
        <v>93.865</v>
      </c>
      <c r="S241" s="35" t="n">
        <v>93.865</v>
      </c>
      <c r="T241" s="35" t="n">
        <v>104.223</v>
      </c>
      <c r="U241" s="35" t="n">
        <v>104.493</v>
      </c>
      <c r="V241" s="35" t="n">
        <v>103.175</v>
      </c>
      <c r="W241" s="35" t="n">
        <v>105.67</v>
      </c>
      <c r="X241" s="35" t="n">
        <v>105.67</v>
      </c>
      <c r="Y241" s="35" t="n">
        <v>112.686</v>
      </c>
      <c r="Z241" s="35" t="n">
        <v>117.663</v>
      </c>
      <c r="AA241" s="35" t="n">
        <v>118.935</v>
      </c>
      <c r="AB241" s="35" t="n">
        <v>121.611</v>
      </c>
      <c r="AC241" s="35" t="n">
        <v>121.611</v>
      </c>
      <c r="AD241" s="35" t="n">
        <v>121.881</v>
      </c>
      <c r="AE241" s="35" t="n">
        <v>126.402</v>
      </c>
      <c r="AF241" s="35" t="n">
        <v>129.905</v>
      </c>
      <c r="AG241" s="35" t="n">
        <v>129.883</v>
      </c>
      <c r="AH241" s="35" t="n">
        <v>129.883</v>
      </c>
      <c r="AI241" s="35" t="n">
        <v>133.115</v>
      </c>
      <c r="AJ241" s="35" t="n">
        <v>148.114</v>
      </c>
      <c r="AK241" s="35" t="n">
        <v>154.614</v>
      </c>
      <c r="AL241" s="35" t="n">
        <v>154.739</v>
      </c>
      <c r="AM241" s="35" t="n">
        <v>154.739</v>
      </c>
      <c r="AN241" s="35" t="n">
        <v>169.279</v>
      </c>
      <c r="AO241" s="35" t="n">
        <v>169.792</v>
      </c>
      <c r="AP241" s="35" t="n">
        <v>173.182</v>
      </c>
      <c r="AQ241" s="35" t="n">
        <v>173.345</v>
      </c>
      <c r="AR241" s="35" t="n">
        <v>173.345</v>
      </c>
      <c r="AS241" s="35" t="n">
        <v>172.299</v>
      </c>
      <c r="AT241" s="35" t="n">
        <v>171.399</v>
      </c>
      <c r="AU241" s="35" t="n">
        <v>170.34</v>
      </c>
      <c r="AV241" s="35" t="n">
        <v>168.848</v>
      </c>
      <c r="AW241" s="35" t="n">
        <v>168.848</v>
      </c>
      <c r="AX241" s="35" t="n">
        <v>177.968</v>
      </c>
      <c r="AY241" s="35" t="n">
        <v>177.315</v>
      </c>
      <c r="AZ241" s="35" t="n">
        <v>179.101</v>
      </c>
      <c r="BA241" s="35" t="n">
        <v>193.638</v>
      </c>
      <c r="BB241" s="35" t="n">
        <v>193.638</v>
      </c>
      <c r="BC241" s="35" t="n">
        <v>194.604</v>
      </c>
      <c r="BD241" s="35" t="n">
        <v>193.558</v>
      </c>
      <c r="BE241" s="35" t="n">
        <v>202.844</v>
      </c>
      <c r="BF241" s="35" t="n">
        <v>225.879</v>
      </c>
      <c r="BG241" s="35" t="n">
        <v>225.879</v>
      </c>
      <c r="BH241" s="35" t="n">
        <v>274.403</v>
      </c>
      <c r="BI241" s="35" t="n">
        <v>273.856</v>
      </c>
      <c r="BJ241" s="35" t="n">
        <v>285.033</v>
      </c>
      <c r="BK241" s="35" t="n">
        <v>321.848</v>
      </c>
      <c r="BL241" s="35" t="n">
        <v>321.848</v>
      </c>
      <c r="BM241" s="35" t="n">
        <v>327.661</v>
      </c>
      <c r="BN241" s="35" t="n">
        <v>326.74</v>
      </c>
      <c r="BO241" s="35" t="n">
        <v>330.254</v>
      </c>
      <c r="BP241" s="35" t="n">
        <v>339.034</v>
      </c>
      <c r="BQ241" s="35" t="n">
        <v>339.034</v>
      </c>
      <c r="BR241" s="35" t="n">
        <v>348.838</v>
      </c>
      <c r="BS241" s="35" t="n">
        <v>359.32</v>
      </c>
      <c r="BT241" s="35" t="n">
        <v>437.635</v>
      </c>
      <c r="BU241" s="35" t="n">
        <v>431.71</v>
      </c>
      <c r="BV241" s="35" t="n">
        <v>431.71</v>
      </c>
      <c r="BW241" s="35" t="n">
        <v>448.992</v>
      </c>
      <c r="BX241" s="35" t="n">
        <v>462.831</v>
      </c>
      <c r="BY241" s="35" t="n">
        <v>478.326</v>
      </c>
      <c r="CA241" s="42" t="n">
        <f aca="false">BY241-(CA194-SUM(BW194,BX194,BY194))-BZ91</f>
        <v>484.686114502429</v>
      </c>
      <c r="CB241" s="42" t="n">
        <f aca="false">CA241-CB194-CB91-(N(CB64)-N(CB69))+CB55*CB65</f>
        <v>554.338542922584</v>
      </c>
      <c r="CC241" s="42" t="n">
        <f aca="false">CB241-CC194-CC91-(N(CC64)-N(CC69))+CC55*CC65</f>
        <v>635.497003298891</v>
      </c>
      <c r="CD241" s="42" t="n">
        <f aca="false">CC241-CD194-CD91-(N(CD64)-N(CD69))+CD55*CD65</f>
        <v>732.786265728365</v>
      </c>
      <c r="CE241" s="42" t="n">
        <f aca="false">CD241-CE194-CE91-(N(CE64)-N(CE69))+CE55*CE65</f>
        <v>840.849545826805</v>
      </c>
      <c r="CF241" s="19" t="s">
        <v>379</v>
      </c>
    </row>
    <row r="242" customFormat="false" ht="15" hidden="false" customHeight="true" outlineLevel="0" collapsed="false">
      <c r="B242" s="29" t="s">
        <v>380</v>
      </c>
      <c r="C242" s="35" t="n">
        <v>275.116</v>
      </c>
      <c r="D242" s="35" t="n">
        <v>310.502</v>
      </c>
      <c r="E242" s="35" t="n">
        <v>323.393</v>
      </c>
      <c r="F242" s="35" t="n">
        <v>365.243</v>
      </c>
      <c r="G242" s="35" t="n">
        <v>385.016</v>
      </c>
      <c r="H242" s="35" t="n">
        <v>443.402</v>
      </c>
      <c r="I242" s="35" t="n">
        <v>542.114</v>
      </c>
      <c r="J242" s="35" t="n">
        <v>543.932</v>
      </c>
      <c r="K242" s="35" t="n">
        <v>542.236</v>
      </c>
      <c r="L242" s="35" t="n">
        <v>619.571</v>
      </c>
      <c r="M242" s="35" t="n">
        <v>688.489</v>
      </c>
      <c r="N242" s="35" t="n">
        <v>688.489</v>
      </c>
      <c r="O242" s="35" t="n">
        <v>687.044</v>
      </c>
      <c r="P242" s="35" t="n">
        <v>688.088</v>
      </c>
      <c r="Q242" s="35" t="n">
        <v>689.323</v>
      </c>
      <c r="R242" s="35" t="n">
        <v>686.271</v>
      </c>
      <c r="S242" s="35" t="n">
        <v>686.271</v>
      </c>
      <c r="T242" s="35" t="n">
        <v>712.753</v>
      </c>
      <c r="U242" s="35" t="n">
        <v>712.043</v>
      </c>
      <c r="V242" s="35" t="n">
        <v>713.127</v>
      </c>
      <c r="W242" s="35" t="n">
        <v>766.639</v>
      </c>
      <c r="X242" s="35" t="n">
        <v>766.639</v>
      </c>
      <c r="Y242" s="35" t="n">
        <v>863.916</v>
      </c>
      <c r="Z242" s="35" t="n">
        <v>868.569</v>
      </c>
      <c r="AA242" s="35" t="n">
        <v>865.533</v>
      </c>
      <c r="AB242" s="35" t="n">
        <v>865.717</v>
      </c>
      <c r="AC242" s="35" t="n">
        <v>865.717</v>
      </c>
      <c r="AD242" s="35" t="n">
        <v>864.658</v>
      </c>
      <c r="AE242" s="35" t="n">
        <v>912.539</v>
      </c>
      <c r="AF242" s="35" t="n">
        <v>921.978</v>
      </c>
      <c r="AG242" s="35" t="n">
        <v>1081.306</v>
      </c>
      <c r="AH242" s="35" t="n">
        <v>1081.306</v>
      </c>
      <c r="AI242" s="35" t="n">
        <v>1090.864</v>
      </c>
      <c r="AJ242" s="35" t="n">
        <v>1104.555</v>
      </c>
      <c r="AK242" s="35" t="n">
        <v>1102.352</v>
      </c>
      <c r="AL242" s="35" t="n">
        <v>1114.832</v>
      </c>
      <c r="AM242" s="35" t="n">
        <v>1114.832</v>
      </c>
      <c r="AN242" s="35" t="n">
        <v>1170.401</v>
      </c>
      <c r="AO242" s="35" t="n">
        <v>1187.281</v>
      </c>
      <c r="AP242" s="35" t="n">
        <v>1263.473</v>
      </c>
      <c r="AQ242" s="35" t="n">
        <v>1268.703</v>
      </c>
      <c r="AR242" s="35" t="n">
        <v>1268.703</v>
      </c>
      <c r="AS242" s="35" t="n">
        <v>1301.316</v>
      </c>
      <c r="AT242" s="35" t="n">
        <v>1300.187</v>
      </c>
      <c r="AU242" s="35" t="n">
        <v>1320.047</v>
      </c>
      <c r="AV242" s="35" t="n">
        <v>1383.167</v>
      </c>
      <c r="AW242" s="35" t="n">
        <v>1383.167</v>
      </c>
      <c r="AX242" s="35" t="n">
        <v>1388.046</v>
      </c>
      <c r="AY242" s="35" t="n">
        <v>1400.048</v>
      </c>
      <c r="AZ242" s="35" t="n">
        <v>1402.876</v>
      </c>
      <c r="BA242" s="35" t="n">
        <v>1450.395</v>
      </c>
      <c r="BB242" s="35" t="n">
        <v>1450.395</v>
      </c>
      <c r="BC242" s="35" t="n">
        <v>1446.25</v>
      </c>
      <c r="BD242" s="35" t="n">
        <v>1511.466</v>
      </c>
      <c r="BE242" s="35" t="n">
        <v>1541.477</v>
      </c>
      <c r="BF242" s="35" t="n">
        <v>1672.425</v>
      </c>
      <c r="BG242" s="35" t="n">
        <v>1672.425</v>
      </c>
      <c r="BH242" s="35" t="n">
        <v>1994.347</v>
      </c>
      <c r="BI242" s="35" t="n">
        <v>2031.235</v>
      </c>
      <c r="BJ242" s="35" t="n">
        <v>2026.279</v>
      </c>
      <c r="BK242" s="35" t="n">
        <v>3274.327</v>
      </c>
      <c r="BL242" s="35" t="n">
        <v>3274.327</v>
      </c>
      <c r="BM242" s="35" t="n">
        <v>3290.494</v>
      </c>
      <c r="BN242" s="35" t="n">
        <v>3285.468</v>
      </c>
      <c r="BO242" s="35" t="n">
        <v>3291.962</v>
      </c>
      <c r="BP242" s="35" t="n">
        <v>3380.295</v>
      </c>
      <c r="BQ242" s="35" t="n">
        <v>3380.295</v>
      </c>
      <c r="BR242" s="35" t="n">
        <v>3491.472</v>
      </c>
      <c r="BS242" s="35" t="n">
        <v>3530.154</v>
      </c>
      <c r="BT242" s="35" t="n">
        <v>3646.106</v>
      </c>
      <c r="BU242" s="35" t="n">
        <v>3661.624</v>
      </c>
      <c r="BV242" s="35" t="n">
        <v>3661.624</v>
      </c>
      <c r="BW242" s="35" t="n">
        <v>3905.669</v>
      </c>
      <c r="BX242" s="35" t="n">
        <v>4197.386</v>
      </c>
      <c r="BY242" s="35" t="n">
        <v>4356.143</v>
      </c>
      <c r="CA242" s="42" t="n">
        <f aca="false">BY242</f>
        <v>4356.143</v>
      </c>
      <c r="CB242" s="42" t="n">
        <f aca="false">CA242+CB55*(1-CB65-CB66)</f>
        <v>4836.143</v>
      </c>
      <c r="CC242" s="42" t="n">
        <f aca="false">CB242+CC55*(1-CC65-CC66)</f>
        <v>5316.143</v>
      </c>
      <c r="CD242" s="42" t="n">
        <f aca="false">CC242+CD55*(1-CD65-CD66)</f>
        <v>5856.143</v>
      </c>
      <c r="CE242" s="42" t="n">
        <f aca="false">CD242+CE55*(1-CE65-CE66)</f>
        <v>6396.143</v>
      </c>
    </row>
    <row r="243" customFormat="false" ht="15" hidden="false" customHeight="true" outlineLevel="0" collapsed="false">
      <c r="B243" s="29" t="s">
        <v>381</v>
      </c>
      <c r="C243" s="35" t="n">
        <v>22.011</v>
      </c>
      <c r="D243" s="35" t="n">
        <v>35.333</v>
      </c>
      <c r="E243" s="35" t="n">
        <v>24.983</v>
      </c>
      <c r="F243" s="35" t="n">
        <v>41.588</v>
      </c>
      <c r="G243" s="35" t="n">
        <v>49.487</v>
      </c>
      <c r="H243" s="35" t="n">
        <v>78.157</v>
      </c>
      <c r="I243" s="35" t="n">
        <v>154.324</v>
      </c>
      <c r="J243" s="35" t="n">
        <v>150.786</v>
      </c>
      <c r="K243" s="35" t="n">
        <v>145.658</v>
      </c>
      <c r="L243" s="35" t="n">
        <v>207.098</v>
      </c>
      <c r="M243" s="35" t="n">
        <v>241.558</v>
      </c>
      <c r="N243" s="35" t="n">
        <v>241.558</v>
      </c>
      <c r="O243" s="35" t="n">
        <v>234.17</v>
      </c>
      <c r="P243" s="35" t="n">
        <v>227.517</v>
      </c>
      <c r="Q243" s="35" t="n">
        <v>214.179</v>
      </c>
      <c r="R243" s="35" t="n">
        <v>200.81</v>
      </c>
      <c r="S243" s="35" t="n">
        <v>200.81</v>
      </c>
      <c r="T243" s="35" t="n">
        <v>231.14</v>
      </c>
      <c r="U243" s="35" t="n">
        <v>223.304</v>
      </c>
      <c r="V243" s="35" t="n">
        <v>220.514</v>
      </c>
      <c r="W243" s="35" t="n">
        <v>272.593</v>
      </c>
      <c r="X243" s="35" t="n">
        <v>272.593</v>
      </c>
      <c r="Y243" s="35" t="n">
        <v>391.907</v>
      </c>
      <c r="Z243" s="35" t="n">
        <v>386.651</v>
      </c>
      <c r="AA243" s="35" t="n">
        <v>376.828</v>
      </c>
      <c r="AB243" s="35" t="n">
        <v>366.863</v>
      </c>
      <c r="AC243" s="35" t="n">
        <v>366.863</v>
      </c>
      <c r="AD243" s="35" t="n">
        <v>357.123</v>
      </c>
      <c r="AE243" s="35" t="n">
        <v>388.366</v>
      </c>
      <c r="AF243" s="35" t="n">
        <v>390.926</v>
      </c>
      <c r="AG243" s="35" t="n">
        <v>538.081</v>
      </c>
      <c r="AH243" s="35" t="n">
        <v>538.081</v>
      </c>
      <c r="AI243" s="35" t="n">
        <v>530.987</v>
      </c>
      <c r="AJ243" s="35" t="n">
        <v>532.263</v>
      </c>
      <c r="AK243" s="35" t="n">
        <v>516.454</v>
      </c>
      <c r="AL243" s="35" t="n">
        <v>506.36</v>
      </c>
      <c r="AM243" s="35" t="n">
        <v>506.36</v>
      </c>
      <c r="AN243" s="35" t="n">
        <v>529.191</v>
      </c>
      <c r="AO243" s="35" t="n">
        <v>533.37</v>
      </c>
      <c r="AP243" s="35" t="n">
        <v>561.547</v>
      </c>
      <c r="AQ243" s="35" t="n">
        <v>550.693</v>
      </c>
      <c r="AR243" s="35" t="n">
        <v>550.693</v>
      </c>
      <c r="AS243" s="35" t="n">
        <v>556.718</v>
      </c>
      <c r="AT243" s="35" t="n">
        <v>540.623</v>
      </c>
      <c r="AU243" s="35" t="n">
        <v>542.674</v>
      </c>
      <c r="AV243" s="35" t="n">
        <v>579.041</v>
      </c>
      <c r="AW243" s="35" t="n">
        <v>579.041</v>
      </c>
      <c r="AX243" s="35" t="n">
        <v>565.921</v>
      </c>
      <c r="AY243" s="35" t="n">
        <v>557.55</v>
      </c>
      <c r="AZ243" s="35" t="n">
        <v>545.8</v>
      </c>
      <c r="BA243" s="35" t="n">
        <v>582.307</v>
      </c>
      <c r="BB243" s="35" t="n">
        <v>582.307</v>
      </c>
      <c r="BC243" s="35" t="n">
        <v>566.09</v>
      </c>
      <c r="BD243" s="35" t="n">
        <v>624.917</v>
      </c>
      <c r="BE243" s="35" t="n">
        <v>638.55</v>
      </c>
      <c r="BF243" s="35" t="n">
        <v>733.327</v>
      </c>
      <c r="BG243" s="35" t="n">
        <v>733.327</v>
      </c>
      <c r="BH243" s="35" t="n">
        <v>873.722</v>
      </c>
      <c r="BI243" s="35" t="n">
        <v>844.319</v>
      </c>
      <c r="BJ243" s="35" t="n">
        <v>822.545</v>
      </c>
      <c r="BK243" s="35" t="n">
        <v>1357.281</v>
      </c>
      <c r="BL243" s="35" t="n">
        <v>1357.281</v>
      </c>
      <c r="BM243" s="35" t="n">
        <v>1365.682</v>
      </c>
      <c r="BN243" s="35" t="n">
        <v>1333.337</v>
      </c>
      <c r="BO243" s="35" t="n">
        <v>1299.87</v>
      </c>
      <c r="BP243" s="35" t="n">
        <v>1334.774</v>
      </c>
      <c r="BQ243" s="35" t="n">
        <v>1334.774</v>
      </c>
      <c r="BR243" s="35" t="n">
        <v>1446.616</v>
      </c>
      <c r="BS243" s="35" t="n">
        <v>1433.631</v>
      </c>
      <c r="BT243" s="35" t="n">
        <v>1513.525</v>
      </c>
      <c r="BU243" s="35" t="n">
        <v>1471.44</v>
      </c>
      <c r="BV243" s="35" t="n">
        <v>1471.44</v>
      </c>
      <c r="BW243" s="35" t="n">
        <v>1642.001</v>
      </c>
      <c r="BX243" s="35" t="n">
        <v>1715.157</v>
      </c>
      <c r="BY243" s="35" t="n">
        <v>1776.942</v>
      </c>
      <c r="CA243" s="42" t="n">
        <f aca="false">BY243-BZ93</f>
        <v>1733.342</v>
      </c>
      <c r="CB243" s="42" t="n">
        <f aca="false">CA243+CB55*CB66-CB93-N(CB69)</f>
        <v>1830.87533333333</v>
      </c>
      <c r="CC243" s="42" t="n">
        <f aca="false">CB243+CC55*CC66-CC93-N(CC69)</f>
        <v>1912.17533333333</v>
      </c>
      <c r="CD243" s="42" t="n">
        <f aca="false">CC243+CD55*CD66-CD93-N(CD69)</f>
        <v>2010.48366666667</v>
      </c>
      <c r="CE243" s="42" t="n">
        <f aca="false">CD243+CE55*CE66-CE93-N(CE69)</f>
        <v>2090.442</v>
      </c>
      <c r="CF243" s="19" t="s">
        <v>382</v>
      </c>
    </row>
    <row r="244" customFormat="false" ht="15" hidden="false" customHeight="true" outlineLevel="0" collapsed="false">
      <c r="B244" s="29" t="s">
        <v>383</v>
      </c>
      <c r="C244" s="35" t="n">
        <v>8.178</v>
      </c>
      <c r="D244" s="35" t="n">
        <v>12.105</v>
      </c>
      <c r="E244" s="35" t="n">
        <v>16.69</v>
      </c>
      <c r="F244" s="35" t="n">
        <v>21.974</v>
      </c>
      <c r="G244" s="35" t="n">
        <v>28.888</v>
      </c>
      <c r="H244" s="35" t="n">
        <v>35.798</v>
      </c>
      <c r="I244" s="35" t="n">
        <v>47.979</v>
      </c>
      <c r="J244" s="35" t="n">
        <v>56.308</v>
      </c>
      <c r="K244" s="35" t="n">
        <v>58.699</v>
      </c>
      <c r="L244" s="35" t="n">
        <v>61.02</v>
      </c>
      <c r="M244" s="35" t="n">
        <v>63.759</v>
      </c>
      <c r="N244" s="35" t="n">
        <v>63.759</v>
      </c>
      <c r="O244" s="35" t="n">
        <v>70.953</v>
      </c>
      <c r="P244" s="35" t="n">
        <v>73.624</v>
      </c>
      <c r="Q244" s="35" t="n">
        <v>75.205</v>
      </c>
      <c r="R244" s="35" t="n">
        <v>76.975</v>
      </c>
      <c r="S244" s="35" t="n">
        <v>76.975</v>
      </c>
      <c r="T244" s="35" t="n">
        <v>83.709</v>
      </c>
      <c r="U244" s="35" t="n">
        <v>88.267</v>
      </c>
      <c r="V244" s="35" t="n">
        <v>88.736</v>
      </c>
      <c r="W244" s="35" t="n">
        <v>87.873</v>
      </c>
      <c r="X244" s="35" t="n">
        <v>87.873</v>
      </c>
      <c r="Y244" s="35" t="n">
        <v>89.562</v>
      </c>
      <c r="Z244" s="35" t="n">
        <v>98.231</v>
      </c>
      <c r="AA244" s="35" t="n">
        <v>102.356</v>
      </c>
      <c r="AB244" s="35" t="n">
        <v>101.063</v>
      </c>
      <c r="AC244" s="35" t="n">
        <v>101.063</v>
      </c>
      <c r="AD244" s="35" t="n">
        <v>112.555</v>
      </c>
      <c r="AE244" s="35" t="n">
        <v>120.197</v>
      </c>
      <c r="AF244" s="35" t="n">
        <v>124.985</v>
      </c>
      <c r="AG244" s="35" t="n">
        <v>131.269</v>
      </c>
      <c r="AH244" s="35" t="n">
        <v>131.269</v>
      </c>
      <c r="AI244" s="35" t="n">
        <v>153.044</v>
      </c>
      <c r="AJ244" s="35" t="n">
        <v>148.223</v>
      </c>
      <c r="AK244" s="35" t="n">
        <v>153.261</v>
      </c>
      <c r="AL244" s="35" t="n">
        <v>143.657</v>
      </c>
      <c r="AM244" s="35" t="n">
        <v>143.657</v>
      </c>
      <c r="AN244" s="35" t="n">
        <v>148.718</v>
      </c>
      <c r="AO244" s="35" t="n">
        <v>160.63</v>
      </c>
      <c r="AP244" s="35" t="n">
        <v>159.502</v>
      </c>
      <c r="AQ244" s="35" t="n">
        <v>162.739</v>
      </c>
      <c r="AR244" s="35" t="n">
        <v>162.739</v>
      </c>
      <c r="AS244" s="35" t="n">
        <v>242.078</v>
      </c>
      <c r="AT244" s="35" t="n">
        <v>227.113</v>
      </c>
      <c r="AU244" s="35" t="n">
        <v>249.445</v>
      </c>
      <c r="AV244" s="35" t="n">
        <v>251.03</v>
      </c>
      <c r="AW244" s="35" t="n">
        <v>251.03</v>
      </c>
      <c r="AX244" s="35" t="n">
        <v>284.55</v>
      </c>
      <c r="AY244" s="35" t="n">
        <v>296.834</v>
      </c>
      <c r="AZ244" s="35" t="n">
        <v>302.843</v>
      </c>
      <c r="BA244" s="35" t="n">
        <v>334.682</v>
      </c>
      <c r="BB244" s="35" t="n">
        <v>334.682</v>
      </c>
      <c r="BC244" s="35" t="n">
        <v>332.389</v>
      </c>
      <c r="BD244" s="35" t="n">
        <v>322.667</v>
      </c>
      <c r="BE244" s="35" t="n">
        <v>322.707</v>
      </c>
      <c r="BF244" s="35" t="n">
        <v>311.135</v>
      </c>
      <c r="BG244" s="35" t="n">
        <v>311.135</v>
      </c>
      <c r="BH244" s="35" t="n">
        <v>343.349</v>
      </c>
      <c r="BI244" s="35" t="n">
        <v>354.15</v>
      </c>
      <c r="BJ244" s="35" t="n">
        <v>387.521</v>
      </c>
      <c r="BK244" s="35" t="n">
        <v>386.265</v>
      </c>
      <c r="BL244" s="35" t="n">
        <v>386.265</v>
      </c>
      <c r="BM244" s="35" t="n">
        <v>439.873</v>
      </c>
      <c r="BN244" s="35" t="n">
        <v>451.599</v>
      </c>
      <c r="BO244" s="35" t="n">
        <v>473.415</v>
      </c>
      <c r="BP244" s="35" t="n">
        <v>476.427</v>
      </c>
      <c r="BQ244" s="35" t="n">
        <v>476.427</v>
      </c>
      <c r="BR244" s="35" t="n">
        <v>501.067</v>
      </c>
      <c r="BS244" s="35" t="n">
        <v>485.722</v>
      </c>
      <c r="BT244" s="35" t="n">
        <v>548.33</v>
      </c>
      <c r="BU244" s="35" t="n">
        <v>579.294</v>
      </c>
      <c r="BV244" s="35" t="n">
        <v>579.294</v>
      </c>
      <c r="BW244" s="35" t="n">
        <v>567.42</v>
      </c>
      <c r="BX244" s="35" t="n">
        <v>580.363</v>
      </c>
      <c r="BY244" s="35" t="n">
        <v>599.709</v>
      </c>
      <c r="CA244" s="42" t="n">
        <f aca="false">BY244</f>
        <v>599.709</v>
      </c>
      <c r="CB244" s="42" t="n">
        <f aca="false">CA244</f>
        <v>599.709</v>
      </c>
      <c r="CC244" s="42" t="n">
        <f aca="false">CB244</f>
        <v>599.709</v>
      </c>
      <c r="CD244" s="42" t="n">
        <f aca="false">CC244</f>
        <v>599.709</v>
      </c>
      <c r="CE244" s="42" t="n">
        <f aca="false">CD244</f>
        <v>599.709</v>
      </c>
    </row>
    <row r="245" customFormat="false" ht="15" hidden="false" customHeight="true" outlineLevel="0" collapsed="false">
      <c r="B245" s="49" t="s">
        <v>384</v>
      </c>
      <c r="C245" s="50" t="n">
        <f aca="false">IF(ISNUMBER(C235),C240+SUM(C241:C244),"")</f>
        <v>534.815</v>
      </c>
      <c r="D245" s="50" t="n">
        <f aca="false">IF(ISNUMBER(D235),D240+SUM(D241:D244),"")</f>
        <v>631.302</v>
      </c>
      <c r="E245" s="50" t="n">
        <f aca="false">IF(ISNUMBER(E235),E240+SUM(E241:E244),"")</f>
        <v>676.542</v>
      </c>
      <c r="F245" s="50" t="n">
        <f aca="false">IF(ISNUMBER(F235),F240+SUM(F241:F244),"")</f>
        <v>732.91</v>
      </c>
      <c r="G245" s="50" t="n">
        <f aca="false">IF(ISNUMBER(G235),G240+SUM(G241:G244),"")</f>
        <v>781.643</v>
      </c>
      <c r="H245" s="50" t="n">
        <f aca="false">IF(ISNUMBER(H235),H240+SUM(H241:H244),"")</f>
        <v>941.069</v>
      </c>
      <c r="I245" s="50" t="n">
        <f aca="false">IF(ISNUMBER(I235),I240+SUM(I241:I244),"")</f>
        <v>1192.846</v>
      </c>
      <c r="J245" s="50" t="n">
        <f aca="false">IF(ISNUMBER(J235),J240+SUM(J241:J244),"")</f>
        <v>1192.521</v>
      </c>
      <c r="K245" s="50" t="n">
        <f aca="false">IF(ISNUMBER(K235),K240+SUM(K241:K244),"")</f>
        <v>1209.215</v>
      </c>
      <c r="L245" s="50" t="n">
        <f aca="false">IF(ISNUMBER(L235),L240+SUM(L241:L244),"")</f>
        <v>1386.665</v>
      </c>
      <c r="M245" s="50" t="n">
        <f aca="false">IF(ISNUMBER(M235),M240+SUM(M241:M244),"")</f>
        <v>1533.015</v>
      </c>
      <c r="N245" s="50" t="n">
        <f aca="false">IF(ISNUMBER(N235),N240+SUM(N241:N244),"")</f>
        <v>1533.015</v>
      </c>
      <c r="O245" s="50" t="n">
        <f aca="false">IF(ISNUMBER(O235),O240+SUM(O241:O244),"")</f>
        <v>1523.566</v>
      </c>
      <c r="P245" s="50" t="n">
        <f aca="false">IF(ISNUMBER(P235),P240+SUM(P241:P244),"")</f>
        <v>1547.442</v>
      </c>
      <c r="Q245" s="50" t="n">
        <f aca="false">IF(ISNUMBER(Q235),Q240+SUM(Q241:Q244),"")</f>
        <v>1507.123</v>
      </c>
      <c r="R245" s="50" t="n">
        <f aca="false">IF(ISNUMBER(R235),R240+SUM(R241:R244),"")</f>
        <v>1489.214</v>
      </c>
      <c r="S245" s="50" t="n">
        <f aca="false">IF(ISNUMBER(S235),S240+SUM(S241:S244),"")</f>
        <v>1489.214</v>
      </c>
      <c r="T245" s="50" t="n">
        <f aca="false">IF(ISNUMBER(T235),T240+SUM(T241:T244),"")</f>
        <v>1575.26</v>
      </c>
      <c r="U245" s="50" t="n">
        <f aca="false">IF(ISNUMBER(U235),U240+SUM(U241:U244),"")</f>
        <v>1580.594</v>
      </c>
      <c r="V245" s="50" t="n">
        <f aca="false">IF(ISNUMBER(V235),V240+SUM(V241:V244),"")</f>
        <v>1588.414</v>
      </c>
      <c r="W245" s="50" t="n">
        <f aca="false">IF(ISNUMBER(W235),W240+SUM(W241:W244),"")</f>
        <v>1736.387</v>
      </c>
      <c r="X245" s="50" t="n">
        <f aca="false">IF(ISNUMBER(X235),X240+SUM(X241:X244),"")</f>
        <v>1736.387</v>
      </c>
      <c r="Y245" s="50" t="n">
        <f aca="false">IF(ISNUMBER(Y235),Y240+SUM(Y241:Y244),"")</f>
        <v>1981.5</v>
      </c>
      <c r="Z245" s="50" t="n">
        <f aca="false">IF(ISNUMBER(Z235),Z240+SUM(Z241:Z244),"")</f>
        <v>2017.112</v>
      </c>
      <c r="AA245" s="50" t="n">
        <f aca="false">IF(ISNUMBER(AA235),AA240+SUM(AA241:AA244),"")</f>
        <v>2017.32</v>
      </c>
      <c r="AB245" s="50" t="n">
        <f aca="false">IF(ISNUMBER(AB235),AB240+SUM(AB241:AB244),"")</f>
        <v>2039.475</v>
      </c>
      <c r="AC245" s="50" t="n">
        <f aca="false">IF(ISNUMBER(AC235),AC240+SUM(AC241:AC244),"")</f>
        <v>2039.475</v>
      </c>
      <c r="AD245" s="50" t="n">
        <f aca="false">IF(ISNUMBER(AD235),AD240+SUM(AD241:AD244),"")</f>
        <v>2031.422</v>
      </c>
      <c r="AE245" s="50" t="n">
        <f aca="false">IF(ISNUMBER(AE235),AE240+SUM(AE241:AE244),"")</f>
        <v>2177.339</v>
      </c>
      <c r="AF245" s="50" t="n">
        <f aca="false">IF(ISNUMBER(AF235),AF240+SUM(AF241:AF244),"")</f>
        <v>2223.723</v>
      </c>
      <c r="AG245" s="50" t="n">
        <f aca="false">IF(ISNUMBER(AG235),AG240+SUM(AG241:AG244),"")</f>
        <v>2512.431</v>
      </c>
      <c r="AH245" s="50" t="n">
        <f aca="false">IF(ISNUMBER(AH235),AH240+SUM(AH241:AH244),"")</f>
        <v>2512.431</v>
      </c>
      <c r="AI245" s="50" t="n">
        <f aca="false">IF(ISNUMBER(AI235),AI240+SUM(AI241:AI244),"")</f>
        <v>2570.442</v>
      </c>
      <c r="AJ245" s="50" t="n">
        <f aca="false">IF(ISNUMBER(AJ235),AJ240+SUM(AJ241:AJ244),"")</f>
        <v>2627.881</v>
      </c>
      <c r="AK245" s="50" t="n">
        <f aca="false">IF(ISNUMBER(AK235),AK240+SUM(AK241:AK244),"")</f>
        <v>2654.839</v>
      </c>
      <c r="AL245" s="50" t="n">
        <f aca="false">IF(ISNUMBER(AL235),AL240+SUM(AL241:AL244),"")</f>
        <v>2653.396</v>
      </c>
      <c r="AM245" s="50" t="n">
        <f aca="false">IF(ISNUMBER(AM235),AM240+SUM(AM241:AM244),"")</f>
        <v>2653.396</v>
      </c>
      <c r="AN245" s="50" t="n">
        <f aca="false">IF(ISNUMBER(AN235),AN240+SUM(AN241:AN244),"")</f>
        <v>2797.014</v>
      </c>
      <c r="AO245" s="50" t="n">
        <f aca="false">IF(ISNUMBER(AO235),AO240+SUM(AO241:AO244),"")</f>
        <v>2853.64</v>
      </c>
      <c r="AP245" s="50" t="n">
        <f aca="false">IF(ISNUMBER(AP235),AP240+SUM(AP241:AP244),"")</f>
        <v>2960.288</v>
      </c>
      <c r="AQ245" s="50" t="n">
        <f aca="false">IF(ISNUMBER(AQ235),AQ240+SUM(AQ241:AQ244),"")</f>
        <v>2969.211</v>
      </c>
      <c r="AR245" s="50" t="n">
        <f aca="false">IF(ISNUMBER(AR235),AR240+SUM(AR241:AR244),"")</f>
        <v>2969.211</v>
      </c>
      <c r="AS245" s="50" t="n">
        <f aca="false">IF(ISNUMBER(AS235),AS240+SUM(AS241:AS244),"")</f>
        <v>3097.121</v>
      </c>
      <c r="AT245" s="50" t="n">
        <f aca="false">IF(ISNUMBER(AT235),AT240+SUM(AT241:AT244),"")</f>
        <v>3364.835</v>
      </c>
      <c r="AU245" s="50" t="n">
        <f aca="false">IF(ISNUMBER(AU235),AU240+SUM(AU241:AU244),"")</f>
        <v>3423.25</v>
      </c>
      <c r="AV245" s="50" t="n">
        <f aca="false">IF(ISNUMBER(AV235),AV240+SUM(AV241:AV244),"")</f>
        <v>3547.711</v>
      </c>
      <c r="AW245" s="50" t="n">
        <f aca="false">IF(ISNUMBER(AW235),AW240+SUM(AW241:AW244),"")</f>
        <v>3547.711</v>
      </c>
      <c r="AX245" s="50" t="n">
        <f aca="false">IF(ISNUMBER(AX235),AX240+SUM(AX241:AX244),"")</f>
        <v>3565.584</v>
      </c>
      <c r="AY245" s="50" t="n">
        <f aca="false">IF(ISNUMBER(AY235),AY240+SUM(AY241:AY244),"")</f>
        <v>3595.168</v>
      </c>
      <c r="AZ245" s="50" t="n">
        <f aca="false">IF(ISNUMBER(AZ235),AZ240+SUM(AZ241:AZ244),"")</f>
        <v>3461.635</v>
      </c>
      <c r="BA245" s="50" t="n">
        <f aca="false">IF(ISNUMBER(BA235),BA240+SUM(BA241:BA244),"")</f>
        <v>3498.407</v>
      </c>
      <c r="BB245" s="50" t="n">
        <f aca="false">IF(ISNUMBER(BB235),BB240+SUM(BB241:BB244),"")</f>
        <v>3498.407</v>
      </c>
      <c r="BC245" s="50" t="n">
        <f aca="false">IF(ISNUMBER(BC235),BC240+SUM(BC241:BC244),"")</f>
        <v>3513.895</v>
      </c>
      <c r="BD245" s="50" t="n">
        <f aca="false">IF(ISNUMBER(BD235),BD240+SUM(BD241:BD244),"")</f>
        <v>3685.333</v>
      </c>
      <c r="BE245" s="50" t="n">
        <f aca="false">IF(ISNUMBER(BE235),BE240+SUM(BE241:BE244),"")</f>
        <v>3787.351</v>
      </c>
      <c r="BF245" s="50" t="n">
        <f aca="false">IF(ISNUMBER(BF235),BF240+SUM(BF241:BF244),"")</f>
        <v>4095.496</v>
      </c>
      <c r="BG245" s="50" t="n">
        <f aca="false">IF(ISNUMBER(BG235),BG240+SUM(BG241:BG244),"")</f>
        <v>4095.496</v>
      </c>
      <c r="BH245" s="50" t="n">
        <f aca="false">IF(ISNUMBER(BH235),BH240+SUM(BH241:BH244),"")</f>
        <v>4804.62</v>
      </c>
      <c r="BI245" s="50" t="n">
        <f aca="false">IF(ISNUMBER(BI235),BI240+SUM(BI241:BI244),"")</f>
        <v>4870.199</v>
      </c>
      <c r="BJ245" s="50" t="n">
        <f aca="false">IF(ISNUMBER(BJ235),BJ240+SUM(BJ241:BJ244),"")</f>
        <v>5453.302</v>
      </c>
      <c r="BK245" s="50" t="n">
        <f aca="false">IF(ISNUMBER(BK235),BK240+SUM(BK241:BK244),"")</f>
        <v>7195.063</v>
      </c>
      <c r="BL245" s="50" t="n">
        <f aca="false">IF(ISNUMBER(BL235),BL240+SUM(BL241:BL244),"")</f>
        <v>7195.063</v>
      </c>
      <c r="BM245" s="50" t="n">
        <f aca="false">IF(ISNUMBER(BM235),BM240+SUM(BM241:BM244),"")</f>
        <v>7336.069</v>
      </c>
      <c r="BN245" s="50" t="n">
        <f aca="false">IF(ISNUMBER(BN235),BN240+SUM(BN241:BN244),"")</f>
        <v>7365.845</v>
      </c>
      <c r="BO245" s="50" t="n">
        <f aca="false">IF(ISNUMBER(BO235),BO240+SUM(BO241:BO244),"")</f>
        <v>7422.436</v>
      </c>
      <c r="BP245" s="50" t="n">
        <f aca="false">IF(ISNUMBER(BP235),BP240+SUM(BP241:BP244),"")</f>
        <v>7592.822</v>
      </c>
      <c r="BQ245" s="50" t="n">
        <f aca="false">IF(ISNUMBER(BQ235),BQ240+SUM(BQ241:BQ244),"")</f>
        <v>7592.822</v>
      </c>
      <c r="BR245" s="50" t="n">
        <f aca="false">IF(ISNUMBER(BR235),BR240+SUM(BR241:BR244),"")</f>
        <v>7890.711</v>
      </c>
      <c r="BS245" s="50" t="n">
        <f aca="false">IF(ISNUMBER(BS235),BS240+SUM(BS241:BS244),"")</f>
        <v>8092.176</v>
      </c>
      <c r="BT245" s="50" t="n">
        <f aca="false">IF(ISNUMBER(BT235),BT240+SUM(BT241:BT244),"")</f>
        <v>8531.623</v>
      </c>
      <c r="BU245" s="50" t="n">
        <f aca="false">IF(ISNUMBER(BU235),BU240+SUM(BU241:BU244),"")</f>
        <v>8500.434</v>
      </c>
      <c r="BV245" s="50" t="n">
        <f aca="false">IF(ISNUMBER(BV235),BV240+SUM(BV241:BV244),"")</f>
        <v>8500.434</v>
      </c>
      <c r="BW245" s="50" t="n">
        <f aca="false">IF(ISNUMBER(BW235),BW240+SUM(BW241:BW244),"")</f>
        <v>9043.696</v>
      </c>
      <c r="BX245" s="50" t="n">
        <f aca="false">IF(ISNUMBER(BX235),BX240+SUM(BX241:BX244),"")</f>
        <v>9592.213</v>
      </c>
      <c r="BY245" s="50" t="n">
        <f aca="false">IF(ISNUMBER(BY235),BY240+SUM(BY241:BY244),"")</f>
        <v>9936.611</v>
      </c>
      <c r="CA245" s="50" t="n">
        <f aca="false">IF(ISNUMBER(CA235),CA240+SUM(CA241:CA244),"")</f>
        <v>10072.690455883</v>
      </c>
      <c r="CB245" s="50" t="n">
        <f aca="false">IF(ISNUMBER(CB235),CB240+SUM(CB241:CB244),"")</f>
        <v>11268.8628492803</v>
      </c>
      <c r="CC245" s="50" t="n">
        <f aca="false">IF(ISNUMBER(CC235),CC240+SUM(CC241:CC244),"")</f>
        <v>12060.0884980934</v>
      </c>
      <c r="CD245" s="50" t="n">
        <f aca="false">IF(ISNUMBER(CD235),CD240+SUM(CD241:CD244),"")</f>
        <v>12923.5563712793</v>
      </c>
      <c r="CE245" s="50" t="n">
        <f aca="false">IF(ISNUMBER(CE235),CE240+SUM(CE241:CE244),"")</f>
        <v>13926.9259061392</v>
      </c>
    </row>
    <row r="246" customFormat="false" ht="15" hidden="false" customHeight="true" outlineLevel="0" collapsed="false">
      <c r="B246" s="65" t="s">
        <v>385</v>
      </c>
    </row>
    <row r="247" customFormat="false" ht="15" hidden="false" customHeight="true" outlineLevel="0" collapsed="false">
      <c r="B247" s="29" t="s">
        <v>386</v>
      </c>
      <c r="C247" s="35" t="n">
        <v>0.039</v>
      </c>
      <c r="D247" s="35" t="n">
        <v>2.187</v>
      </c>
      <c r="E247" s="35" t="n">
        <v>0.22</v>
      </c>
      <c r="F247" s="35" t="n">
        <v>0.237</v>
      </c>
      <c r="G247" s="35" t="n">
        <v>0.148</v>
      </c>
      <c r="H247" s="35" t="n">
        <v>0.335</v>
      </c>
      <c r="I247" s="35" t="n">
        <v>0.626</v>
      </c>
      <c r="J247" s="35" t="n">
        <v>0.657</v>
      </c>
      <c r="K247" s="35" t="n">
        <v>0.614</v>
      </c>
      <c r="L247" s="35" t="n">
        <v>0.663</v>
      </c>
      <c r="M247" s="35" t="n">
        <v>0.697</v>
      </c>
      <c r="N247" s="35" t="n">
        <v>0.697</v>
      </c>
      <c r="O247" s="35" t="n">
        <v>1.148</v>
      </c>
      <c r="P247" s="35" t="n">
        <v>0.519</v>
      </c>
      <c r="Q247" s="35" t="n">
        <v>0.466</v>
      </c>
      <c r="R247" s="35" t="n">
        <v>0.418</v>
      </c>
      <c r="S247" s="35" t="n">
        <v>0.418</v>
      </c>
      <c r="T247" s="35" t="n">
        <v>0.363</v>
      </c>
      <c r="U247" s="35" t="n">
        <v>0.346</v>
      </c>
      <c r="V247" s="35" t="n">
        <v>0.343</v>
      </c>
      <c r="W247" s="35" t="n">
        <v>0.357</v>
      </c>
      <c r="X247" s="35" t="n">
        <v>0.357</v>
      </c>
      <c r="Y247" s="35" t="n">
        <v>0.346</v>
      </c>
      <c r="Z247" s="35" t="n">
        <v>0.355</v>
      </c>
      <c r="AA247" s="35" t="n">
        <v>0.335</v>
      </c>
      <c r="AB247" s="35" t="n">
        <v>0.411</v>
      </c>
      <c r="AC247" s="35" t="n">
        <v>0.411</v>
      </c>
      <c r="AD247" s="35" t="n">
        <v>0.397</v>
      </c>
      <c r="AE247" s="35" t="n">
        <v>0.407</v>
      </c>
      <c r="AF247" s="35" t="n">
        <v>0.45</v>
      </c>
      <c r="AG247" s="35" t="n">
        <v>0.451</v>
      </c>
      <c r="AH247" s="35" t="n">
        <v>0.451</v>
      </c>
      <c r="AI247" s="35" t="n">
        <v>0.485</v>
      </c>
      <c r="AJ247" s="35" t="n">
        <v>0.48</v>
      </c>
      <c r="AK247" s="35" t="n">
        <v>0.929</v>
      </c>
      <c r="AL247" s="35" t="n">
        <v>0.859</v>
      </c>
      <c r="AM247" s="35" t="n">
        <v>0.859</v>
      </c>
      <c r="AN247" s="35" t="n">
        <v>0.865</v>
      </c>
      <c r="AO247" s="35" t="n">
        <v>0.858</v>
      </c>
      <c r="AP247" s="35" t="n">
        <v>0.86</v>
      </c>
      <c r="AQ247" s="35" t="n">
        <v>0.906</v>
      </c>
      <c r="AR247" s="35" t="n">
        <v>0.906</v>
      </c>
      <c r="AS247" s="35" t="n">
        <v>0.932</v>
      </c>
      <c r="AT247" s="35" t="n">
        <v>1.025</v>
      </c>
      <c r="AU247" s="35" t="n">
        <v>1.073</v>
      </c>
      <c r="AV247" s="35" t="n">
        <v>1.045</v>
      </c>
      <c r="AW247" s="35" t="n">
        <v>1.045</v>
      </c>
      <c r="AX247" s="35" t="n">
        <v>1.089</v>
      </c>
      <c r="AY247" s="35" t="n">
        <v>1.111</v>
      </c>
      <c r="AZ247" s="35" t="n">
        <v>1.493</v>
      </c>
      <c r="BA247" s="35" t="n">
        <v>1.515</v>
      </c>
      <c r="BB247" s="35" t="n">
        <v>1.515</v>
      </c>
      <c r="BC247" s="35" t="n">
        <v>1.484</v>
      </c>
      <c r="BD247" s="35" t="n">
        <v>1.781</v>
      </c>
      <c r="BE247" s="35" t="n">
        <v>1.734</v>
      </c>
      <c r="BF247" s="35" t="n">
        <v>1.654</v>
      </c>
      <c r="BG247" s="35" t="n">
        <v>1.654</v>
      </c>
      <c r="BH247" s="35" t="n">
        <v>1.615</v>
      </c>
      <c r="BI247" s="35" t="n">
        <v>1.618</v>
      </c>
      <c r="BJ247" s="35" t="n">
        <v>16.777</v>
      </c>
      <c r="BK247" s="35" t="n">
        <v>17.801</v>
      </c>
      <c r="BL247" s="35" t="n">
        <v>17.801</v>
      </c>
      <c r="BM247" s="35" t="n">
        <v>4.739</v>
      </c>
      <c r="BN247" s="35" t="n">
        <v>4.382</v>
      </c>
      <c r="BO247" s="35" t="n">
        <v>4.208</v>
      </c>
      <c r="BP247" s="35" t="n">
        <v>4.107</v>
      </c>
      <c r="BQ247" s="35" t="n">
        <v>4.107</v>
      </c>
      <c r="BR247" s="35" t="n">
        <v>3.95</v>
      </c>
      <c r="BS247" s="35" t="n">
        <v>3.789</v>
      </c>
      <c r="BT247" s="35" t="n">
        <v>3.725</v>
      </c>
      <c r="BU247" s="35" t="n">
        <v>3.358</v>
      </c>
      <c r="BV247" s="35" t="n">
        <v>3.358</v>
      </c>
      <c r="BW247" s="35" t="n">
        <v>3.396</v>
      </c>
      <c r="BX247" s="35" t="n">
        <v>3.402</v>
      </c>
      <c r="BY247" s="35" t="n">
        <v>3.513</v>
      </c>
      <c r="CA247" s="42" t="n">
        <f aca="false">BY247</f>
        <v>3.513</v>
      </c>
      <c r="CB247" s="42" t="n">
        <f aca="false">CA247</f>
        <v>3.513</v>
      </c>
      <c r="CC247" s="42" t="n">
        <f aca="false">CB247</f>
        <v>3.513</v>
      </c>
      <c r="CD247" s="42" t="n">
        <f aca="false">CC247</f>
        <v>3.513</v>
      </c>
      <c r="CE247" s="42" t="n">
        <f aca="false">CD247</f>
        <v>3.513</v>
      </c>
    </row>
    <row r="248" customFormat="false" ht="15" hidden="false" customHeight="true" outlineLevel="0" collapsed="false">
      <c r="B248" s="29" t="s">
        <v>387</v>
      </c>
      <c r="C248" s="35" t="n">
        <v>22.386</v>
      </c>
      <c r="D248" s="35" t="n">
        <v>28.161</v>
      </c>
      <c r="E248" s="35" t="n">
        <v>29.657</v>
      </c>
      <c r="F248" s="35" t="n">
        <v>26.978</v>
      </c>
      <c r="G248" s="35" t="n">
        <v>28.604</v>
      </c>
      <c r="H248" s="35" t="n">
        <v>43.547</v>
      </c>
      <c r="I248" s="35" t="n">
        <v>50.083</v>
      </c>
      <c r="J248" s="35" t="n">
        <v>42.055</v>
      </c>
      <c r="K248" s="35" t="n">
        <v>41.944</v>
      </c>
      <c r="L248" s="35" t="n">
        <v>54.089</v>
      </c>
      <c r="M248" s="35" t="n">
        <v>54.855</v>
      </c>
      <c r="N248" s="35" t="n">
        <v>54.855</v>
      </c>
      <c r="O248" s="35" t="n">
        <v>51.837</v>
      </c>
      <c r="P248" s="35" t="n">
        <v>56.37</v>
      </c>
      <c r="Q248" s="35" t="n">
        <v>48.68</v>
      </c>
      <c r="R248" s="35" t="n">
        <v>57.157</v>
      </c>
      <c r="S248" s="35" t="n">
        <v>57.157</v>
      </c>
      <c r="T248" s="35" t="n">
        <v>55.162</v>
      </c>
      <c r="U248" s="35" t="n">
        <v>56.092</v>
      </c>
      <c r="V248" s="35" t="n">
        <v>53.035</v>
      </c>
      <c r="W248" s="35" t="n">
        <v>64.682</v>
      </c>
      <c r="X248" s="35" t="n">
        <v>64.682</v>
      </c>
      <c r="Y248" s="35" t="n">
        <v>59.861</v>
      </c>
      <c r="Z248" s="35" t="n">
        <v>63.193</v>
      </c>
      <c r="AA248" s="35" t="n">
        <v>65.312</v>
      </c>
      <c r="AB248" s="35" t="n">
        <v>73.335</v>
      </c>
      <c r="AC248" s="35" t="n">
        <v>73.335</v>
      </c>
      <c r="AD248" s="35" t="n">
        <v>66.949</v>
      </c>
      <c r="AE248" s="35" t="n">
        <v>73.625</v>
      </c>
      <c r="AF248" s="35" t="n">
        <v>78.795</v>
      </c>
      <c r="AG248" s="35" t="n">
        <v>89.724</v>
      </c>
      <c r="AH248" s="35" t="n">
        <v>89.724</v>
      </c>
      <c r="AI248" s="35" t="n">
        <v>81.129</v>
      </c>
      <c r="AJ248" s="35" t="n">
        <v>94.373</v>
      </c>
      <c r="AK248" s="35" t="n">
        <v>99.955</v>
      </c>
      <c r="AL248" s="35" t="n">
        <v>107.219</v>
      </c>
      <c r="AM248" s="35" t="n">
        <v>107.219</v>
      </c>
      <c r="AN248" s="35" t="n">
        <v>89.545</v>
      </c>
      <c r="AO248" s="35" t="n">
        <v>101.777</v>
      </c>
      <c r="AP248" s="35" t="n">
        <v>97.891</v>
      </c>
      <c r="AQ248" s="35" t="n">
        <v>106.225</v>
      </c>
      <c r="AR248" s="35" t="n">
        <v>106.225</v>
      </c>
      <c r="AS248" s="35" t="n">
        <v>95.385</v>
      </c>
      <c r="AT248" s="35" t="n">
        <v>108.397</v>
      </c>
      <c r="AU248" s="35" t="n">
        <v>80.548</v>
      </c>
      <c r="AV248" s="35" t="n">
        <v>76.237</v>
      </c>
      <c r="AW248" s="35" t="n">
        <v>76.237</v>
      </c>
      <c r="AX248" s="35" t="n">
        <v>78.292</v>
      </c>
      <c r="AY248" s="35" t="n">
        <v>87.467</v>
      </c>
      <c r="AZ248" s="35" t="n">
        <v>80.611</v>
      </c>
      <c r="BA248" s="35" t="n">
        <v>85.544</v>
      </c>
      <c r="BB248" s="35" t="n">
        <v>85.544</v>
      </c>
      <c r="BC248" s="35" t="n">
        <v>89.005</v>
      </c>
      <c r="BD248" s="35" t="n">
        <v>97.089</v>
      </c>
      <c r="BE248" s="35" t="n">
        <v>108.441</v>
      </c>
      <c r="BF248" s="35" t="n">
        <v>116.551</v>
      </c>
      <c r="BG248" s="35" t="n">
        <v>116.551</v>
      </c>
      <c r="BH248" s="35" t="n">
        <v>134.836</v>
      </c>
      <c r="BI248" s="35" t="n">
        <v>147.708</v>
      </c>
      <c r="BJ248" s="35" t="n">
        <v>139.515</v>
      </c>
      <c r="BK248" s="35" t="n">
        <v>205.893</v>
      </c>
      <c r="BL248" s="35" t="n">
        <v>205.893</v>
      </c>
      <c r="BM248" s="35" t="n">
        <v>194.894</v>
      </c>
      <c r="BN248" s="35" t="n">
        <v>194.875</v>
      </c>
      <c r="BO248" s="35" t="n">
        <v>207.463</v>
      </c>
      <c r="BP248" s="35" t="n">
        <v>198.429</v>
      </c>
      <c r="BQ248" s="35" t="n">
        <v>198.429</v>
      </c>
      <c r="BR248" s="35" t="n">
        <v>208.141</v>
      </c>
      <c r="BS248" s="35" t="n">
        <v>230.372</v>
      </c>
      <c r="BT248" s="35" t="n">
        <v>230.633</v>
      </c>
      <c r="BU248" s="35" t="n">
        <v>231.04</v>
      </c>
      <c r="BV248" s="35" t="n">
        <v>231.04</v>
      </c>
      <c r="BW248" s="35" t="n">
        <v>240.984</v>
      </c>
      <c r="BX248" s="35" t="n">
        <v>293.744</v>
      </c>
      <c r="BY248" s="35" t="n">
        <v>297.102</v>
      </c>
      <c r="CA248" s="42" t="n">
        <f aca="false">CA99*CA275/365</f>
        <v>292.996491581938</v>
      </c>
      <c r="CB248" s="42" t="n">
        <f aca="false">CB99*CB275/365</f>
        <v>333.334542486131</v>
      </c>
      <c r="CC248" s="42" t="n">
        <f aca="false">CC99*CC275/365</f>
        <v>369.978006499173</v>
      </c>
      <c r="CD248" s="42" t="n">
        <f aca="false">CD99*CD275/365</f>
        <v>407.093204933371</v>
      </c>
      <c r="CE248" s="42" t="n">
        <f aca="false">CE99*CE275/365</f>
        <v>447.487543617026</v>
      </c>
    </row>
    <row r="249" customFormat="false" ht="15" hidden="false" customHeight="true" outlineLevel="0" collapsed="false">
      <c r="B249" s="29" t="s">
        <v>388</v>
      </c>
      <c r="C249" s="35" t="n">
        <v>41.503</v>
      </c>
      <c r="D249" s="35" t="n">
        <v>53.878</v>
      </c>
      <c r="E249" s="35" t="n">
        <v>49.586</v>
      </c>
      <c r="F249" s="35" t="n">
        <v>36.978</v>
      </c>
      <c r="G249" s="35" t="n">
        <v>52.101</v>
      </c>
      <c r="H249" s="35" t="n">
        <v>76.376</v>
      </c>
      <c r="I249" s="35" t="n">
        <v>76.241</v>
      </c>
      <c r="J249" s="35" t="n">
        <v>57.774</v>
      </c>
      <c r="K249" s="35" t="n">
        <v>68.788</v>
      </c>
      <c r="L249" s="35" t="n">
        <v>84.362</v>
      </c>
      <c r="M249" s="35" t="n">
        <v>105.734</v>
      </c>
      <c r="N249" s="35" t="n">
        <v>105.734</v>
      </c>
      <c r="O249" s="35" t="n">
        <v>77.175</v>
      </c>
      <c r="P249" s="35" t="n">
        <v>79.982</v>
      </c>
      <c r="Q249" s="35" t="n">
        <v>86.067</v>
      </c>
      <c r="R249" s="35" t="n">
        <v>92.578</v>
      </c>
      <c r="S249" s="35" t="n">
        <v>92.578</v>
      </c>
      <c r="T249" s="35" t="n">
        <v>80.858</v>
      </c>
      <c r="U249" s="35" t="n">
        <v>82.09</v>
      </c>
      <c r="V249" s="35" t="n">
        <v>91.39</v>
      </c>
      <c r="W249" s="35" t="n">
        <v>100.155</v>
      </c>
      <c r="X249" s="35" t="n">
        <v>100.155</v>
      </c>
      <c r="Y249" s="35" t="n">
        <v>86.242</v>
      </c>
      <c r="Z249" s="35" t="n">
        <v>89.759</v>
      </c>
      <c r="AA249" s="35" t="n">
        <v>115.938</v>
      </c>
      <c r="AB249" s="35" t="n">
        <v>136.053</v>
      </c>
      <c r="AC249" s="35" t="n">
        <v>136.053</v>
      </c>
      <c r="AD249" s="35" t="n">
        <v>117.578</v>
      </c>
      <c r="AE249" s="35" t="n">
        <v>135.376</v>
      </c>
      <c r="AF249" s="35" t="n">
        <v>147.857</v>
      </c>
      <c r="AG249" s="35" t="n">
        <v>147.612</v>
      </c>
      <c r="AH249" s="35" t="n">
        <v>147.612</v>
      </c>
      <c r="AI249" s="35" t="n">
        <v>132.57</v>
      </c>
      <c r="AJ249" s="35" t="n">
        <v>135.2</v>
      </c>
      <c r="AK249" s="35" t="n">
        <v>152.499</v>
      </c>
      <c r="AL249" s="35" t="n">
        <v>171.514</v>
      </c>
      <c r="AM249" s="35" t="n">
        <v>171.514</v>
      </c>
      <c r="AN249" s="35" t="n">
        <v>133.705</v>
      </c>
      <c r="AO249" s="35" t="n">
        <v>148.235</v>
      </c>
      <c r="AP249" s="35" t="n">
        <v>168.901</v>
      </c>
      <c r="AQ249" s="35" t="n">
        <v>178.957</v>
      </c>
      <c r="AR249" s="35" t="n">
        <v>178.957</v>
      </c>
      <c r="AS249" s="35" t="n">
        <v>144.472</v>
      </c>
      <c r="AT249" s="35" t="n">
        <v>145.345</v>
      </c>
      <c r="AU249" s="35" t="n">
        <v>146.288</v>
      </c>
      <c r="AV249" s="35" t="n">
        <v>162.232</v>
      </c>
      <c r="AW249" s="35" t="n">
        <v>162.232</v>
      </c>
      <c r="AX249" s="35" t="n">
        <v>151.788</v>
      </c>
      <c r="AY249" s="35" t="n">
        <v>167.563</v>
      </c>
      <c r="AZ249" s="35" t="n">
        <v>179.515</v>
      </c>
      <c r="BA249" s="35" t="n">
        <v>206.857</v>
      </c>
      <c r="BB249" s="35" t="n">
        <v>206.857</v>
      </c>
      <c r="BC249" s="35" t="n">
        <v>181.361</v>
      </c>
      <c r="BD249" s="35" t="n">
        <v>203.289</v>
      </c>
      <c r="BE249" s="35" t="n">
        <v>233.812</v>
      </c>
      <c r="BF249" s="35" t="n">
        <v>290.199</v>
      </c>
      <c r="BG249" s="35" t="n">
        <v>290.199</v>
      </c>
      <c r="BH249" s="35" t="n">
        <v>290.693</v>
      </c>
      <c r="BI249" s="35" t="n">
        <v>313.401</v>
      </c>
      <c r="BJ249" s="35" t="n">
        <v>315.606</v>
      </c>
      <c r="BK249" s="35" t="n">
        <v>433.101</v>
      </c>
      <c r="BL249" s="35" t="n">
        <v>433.101</v>
      </c>
      <c r="BM249" s="35" t="n">
        <v>381.837</v>
      </c>
      <c r="BN249" s="35" t="n">
        <v>353.874</v>
      </c>
      <c r="BO249" s="35" t="n">
        <v>399.485</v>
      </c>
      <c r="BP249" s="35" t="n">
        <v>427.781</v>
      </c>
      <c r="BQ249" s="35" t="n">
        <v>427.781</v>
      </c>
      <c r="BR249" s="35" t="n">
        <v>359.531</v>
      </c>
      <c r="BS249" s="35" t="n">
        <v>382.951</v>
      </c>
      <c r="BT249" s="35" t="n">
        <v>467.945</v>
      </c>
      <c r="BU249" s="35" t="n">
        <v>577.624</v>
      </c>
      <c r="BV249" s="35" t="n">
        <v>577.624</v>
      </c>
      <c r="BW249" s="35" t="n">
        <v>534.458</v>
      </c>
      <c r="BX249" s="35" t="n">
        <v>594.007</v>
      </c>
      <c r="BY249" s="35" t="n">
        <v>676.264</v>
      </c>
      <c r="CA249" s="42" t="n">
        <f aca="false">CA98*CA276</f>
        <v>702.223270628022</v>
      </c>
      <c r="CB249" s="42" t="n">
        <f aca="false">CB98*CB276</f>
        <v>799.340816550013</v>
      </c>
      <c r="CC249" s="42" t="n">
        <f aca="false">CC98*CC276</f>
        <v>887.212347135909</v>
      </c>
      <c r="CD249" s="42" t="n">
        <f aca="false">CD98*CD276</f>
        <v>976.215103350536</v>
      </c>
      <c r="CE249" s="42" t="n">
        <f aca="false">CE98*CE276</f>
        <v>1073.08128297467</v>
      </c>
    </row>
    <row r="250" customFormat="false" ht="15" hidden="false" customHeight="true" outlineLevel="0" collapsed="false">
      <c r="B250" s="29" t="s">
        <v>389</v>
      </c>
      <c r="C250" s="35" t="n">
        <v>1.575</v>
      </c>
      <c r="D250" s="35" t="n">
        <v>3.112</v>
      </c>
      <c r="E250" s="35" t="n">
        <v>1.765</v>
      </c>
      <c r="F250" s="35" t="n">
        <v>1.32</v>
      </c>
      <c r="G250" s="35" t="n">
        <v>0.979</v>
      </c>
      <c r="H250" s="35" t="n">
        <v>3.132</v>
      </c>
      <c r="I250" s="35" t="n">
        <v>4.564</v>
      </c>
      <c r="J250" s="35" t="n">
        <v>2.088</v>
      </c>
      <c r="K250" s="35" t="n">
        <v>7.078</v>
      </c>
      <c r="L250" s="35" t="n">
        <v>2.776</v>
      </c>
      <c r="M250" s="35" t="n">
        <v>0</v>
      </c>
      <c r="N250" s="35" t="n">
        <v>0</v>
      </c>
      <c r="O250" s="35" t="n">
        <v>14.443</v>
      </c>
      <c r="Q250" s="35" t="n">
        <v>0.494</v>
      </c>
      <c r="R250" s="35" t="n">
        <v>2.067</v>
      </c>
      <c r="S250" s="35" t="n">
        <v>2.067</v>
      </c>
      <c r="T250" s="35" t="n">
        <v>8.772</v>
      </c>
      <c r="U250" s="35" t="n">
        <v>2.464</v>
      </c>
      <c r="V250" s="35" t="n">
        <v>2.062</v>
      </c>
      <c r="W250" s="35" t="n">
        <v>3.193</v>
      </c>
      <c r="X250" s="35" t="n">
        <v>3.193</v>
      </c>
      <c r="Y250" s="35" t="n">
        <v>9.001</v>
      </c>
      <c r="Z250" s="35" t="n">
        <v>8.521</v>
      </c>
      <c r="AA250" s="35" t="n">
        <v>4.672</v>
      </c>
      <c r="AB250" s="35" t="n">
        <v>4.622</v>
      </c>
      <c r="AC250" s="35" t="n">
        <v>4.622</v>
      </c>
      <c r="AD250" s="35" t="n">
        <v>11.796</v>
      </c>
      <c r="AE250" s="35" t="n">
        <v>2.57</v>
      </c>
      <c r="AF250" s="35" t="n">
        <v>0</v>
      </c>
      <c r="AG250" s="35" t="n">
        <v>11.65</v>
      </c>
      <c r="AH250" s="35" t="n">
        <v>11.65</v>
      </c>
      <c r="AI250" s="35" t="n">
        <v>14.872</v>
      </c>
      <c r="AJ250" s="35" t="n">
        <v>0</v>
      </c>
      <c r="AK250" s="35" t="n">
        <v>1.374</v>
      </c>
      <c r="AL250" s="35" t="n">
        <v>2.837</v>
      </c>
      <c r="AM250" s="35" t="n">
        <v>2.837</v>
      </c>
      <c r="AN250" s="35" t="n">
        <v>0</v>
      </c>
      <c r="AO250" s="35" t="n">
        <v>0</v>
      </c>
      <c r="AP250" s="35" t="n">
        <v>1.484</v>
      </c>
      <c r="AQ250" s="35" t="n">
        <v>3.05</v>
      </c>
      <c r="AR250" s="35" t="n">
        <v>3.05</v>
      </c>
      <c r="AS250" s="35" t="n">
        <v>2.742</v>
      </c>
      <c r="AT250" s="35" t="n">
        <v>1.586</v>
      </c>
      <c r="AU250" s="35" t="n">
        <v>1.733</v>
      </c>
      <c r="AV250" s="35" t="n">
        <v>1.647</v>
      </c>
      <c r="AW250" s="35" t="n">
        <v>1.647</v>
      </c>
      <c r="AX250" s="35" t="n">
        <v>3.506</v>
      </c>
      <c r="AY250" s="35" t="n">
        <v>0.617</v>
      </c>
      <c r="AZ250" s="35" t="n">
        <v>0.598</v>
      </c>
      <c r="BA250" s="35" t="n">
        <v>0.964</v>
      </c>
      <c r="BB250" s="35" t="n">
        <v>0.964</v>
      </c>
      <c r="BC250" s="35" t="n">
        <v>2.03</v>
      </c>
      <c r="BD250" s="35" t="n">
        <v>2.033</v>
      </c>
      <c r="BE250" s="35" t="n">
        <v>2.458</v>
      </c>
      <c r="BF250" s="35" t="n">
        <v>12.455</v>
      </c>
      <c r="BG250" s="35" t="n">
        <v>12.455</v>
      </c>
      <c r="BH250" s="35" t="n">
        <v>26.352</v>
      </c>
      <c r="BI250" s="35" t="n">
        <v>4.101</v>
      </c>
      <c r="BJ250" s="35" t="n">
        <v>7.149</v>
      </c>
      <c r="BK250" s="35" t="n">
        <v>8.547</v>
      </c>
      <c r="BL250" s="35" t="n">
        <v>8.547</v>
      </c>
      <c r="BM250" s="35" t="n">
        <v>22.625</v>
      </c>
      <c r="BN250" s="35" t="n">
        <v>6.032</v>
      </c>
      <c r="BO250" s="35" t="n">
        <v>3.549</v>
      </c>
      <c r="BP250" s="35" t="n">
        <v>33.534</v>
      </c>
      <c r="BQ250" s="35" t="n">
        <v>33.534</v>
      </c>
      <c r="BR250" s="35" t="n">
        <v>46.717</v>
      </c>
      <c r="BS250" s="35" t="n">
        <v>47.746</v>
      </c>
      <c r="BT250" s="35" t="n">
        <v>9.013</v>
      </c>
      <c r="BU250" s="35" t="n">
        <v>19.982</v>
      </c>
      <c r="BV250" s="35" t="n">
        <v>19.982</v>
      </c>
      <c r="BW250" s="35" t="n">
        <v>31.762</v>
      </c>
      <c r="BX250" s="35" t="n">
        <v>12.429</v>
      </c>
      <c r="BY250" s="35" t="n">
        <v>26.2</v>
      </c>
      <c r="CA250" s="42" t="n">
        <f aca="false">BY250</f>
        <v>26.2</v>
      </c>
      <c r="CB250" s="42" t="n">
        <f aca="false">CA250</f>
        <v>26.2</v>
      </c>
      <c r="CC250" s="42" t="n">
        <f aca="false">CB250</f>
        <v>26.2</v>
      </c>
      <c r="CD250" s="42" t="n">
        <f aca="false">CC250</f>
        <v>26.2</v>
      </c>
      <c r="CE250" s="42" t="n">
        <f aca="false">CD250</f>
        <v>26.2</v>
      </c>
    </row>
    <row r="251" customFormat="false" ht="15" hidden="false" customHeight="true" outlineLevel="0" collapsed="false">
      <c r="B251" s="16" t="s">
        <v>390</v>
      </c>
      <c r="C251" s="53" t="n">
        <f aca="false">IF(ISNUMBER(C248),SUM(C247:C250),"")</f>
        <v>65.503</v>
      </c>
      <c r="D251" s="53" t="n">
        <f aca="false">IF(ISNUMBER(D248),SUM(D247:D250),"")</f>
        <v>87.338</v>
      </c>
      <c r="E251" s="53" t="n">
        <f aca="false">IF(ISNUMBER(E248),SUM(E247:E250),"")</f>
        <v>81.228</v>
      </c>
      <c r="F251" s="53" t="n">
        <f aca="false">IF(ISNUMBER(F248),SUM(F247:F250),"")</f>
        <v>65.513</v>
      </c>
      <c r="G251" s="53" t="n">
        <f aca="false">IF(ISNUMBER(G248),SUM(G247:G250),"")</f>
        <v>81.832</v>
      </c>
      <c r="H251" s="53" t="n">
        <f aca="false">IF(ISNUMBER(H248),SUM(H247:H250),"")</f>
        <v>123.39</v>
      </c>
      <c r="I251" s="53" t="n">
        <f aca="false">IF(ISNUMBER(I248),SUM(I247:I250),"")</f>
        <v>131.514</v>
      </c>
      <c r="J251" s="53" t="n">
        <f aca="false">IF(ISNUMBER(J248),SUM(J247:J250),"")</f>
        <v>102.574</v>
      </c>
      <c r="K251" s="53" t="n">
        <f aca="false">IF(ISNUMBER(K248),SUM(K247:K250),"")</f>
        <v>118.424</v>
      </c>
      <c r="L251" s="53" t="n">
        <f aca="false">IF(ISNUMBER(L248),SUM(L247:L250),"")</f>
        <v>141.89</v>
      </c>
      <c r="M251" s="53" t="n">
        <f aca="false">IF(ISNUMBER(M248),SUM(M247:M250),"")</f>
        <v>161.286</v>
      </c>
      <c r="N251" s="53" t="n">
        <f aca="false">IF(ISNUMBER(N248),SUM(N247:N250),"")</f>
        <v>161.286</v>
      </c>
      <c r="O251" s="53" t="n">
        <f aca="false">IF(ISNUMBER(O248),SUM(O247:O250),"")</f>
        <v>144.603</v>
      </c>
      <c r="P251" s="53" t="n">
        <f aca="false">IF(ISNUMBER(P248),SUM(P247:P250),"")</f>
        <v>136.871</v>
      </c>
      <c r="Q251" s="53" t="n">
        <f aca="false">IF(ISNUMBER(Q248),SUM(Q247:Q250),"")</f>
        <v>135.707</v>
      </c>
      <c r="R251" s="53" t="n">
        <f aca="false">IF(ISNUMBER(R248),SUM(R247:R250),"")</f>
        <v>152.22</v>
      </c>
      <c r="S251" s="53" t="n">
        <f aca="false">IF(ISNUMBER(S248),SUM(S247:S250),"")</f>
        <v>152.22</v>
      </c>
      <c r="T251" s="53" t="n">
        <f aca="false">IF(ISNUMBER(T248),SUM(T247:T250),"")</f>
        <v>145.155</v>
      </c>
      <c r="U251" s="53" t="n">
        <f aca="false">IF(ISNUMBER(U248),SUM(U247:U250),"")</f>
        <v>140.992</v>
      </c>
      <c r="V251" s="53" t="n">
        <f aca="false">IF(ISNUMBER(V248),SUM(V247:V250),"")</f>
        <v>146.83</v>
      </c>
      <c r="W251" s="53" t="n">
        <f aca="false">IF(ISNUMBER(W248),SUM(W247:W250),"")</f>
        <v>168.387</v>
      </c>
      <c r="X251" s="53" t="n">
        <f aca="false">IF(ISNUMBER(X248),SUM(X247:X250),"")</f>
        <v>168.387</v>
      </c>
      <c r="Y251" s="53" t="n">
        <f aca="false">IF(ISNUMBER(Y248),SUM(Y247:Y250),"")</f>
        <v>155.45</v>
      </c>
      <c r="Z251" s="53" t="n">
        <f aca="false">IF(ISNUMBER(Z248),SUM(Z247:Z250),"")</f>
        <v>161.828</v>
      </c>
      <c r="AA251" s="53" t="n">
        <f aca="false">IF(ISNUMBER(AA248),SUM(AA247:AA250),"")</f>
        <v>186.257</v>
      </c>
      <c r="AB251" s="53" t="n">
        <f aca="false">IF(ISNUMBER(AB248),SUM(AB247:AB250),"")</f>
        <v>214.421</v>
      </c>
      <c r="AC251" s="53" t="n">
        <f aca="false">IF(ISNUMBER(AC248),SUM(AC247:AC250),"")</f>
        <v>214.421</v>
      </c>
      <c r="AD251" s="53" t="n">
        <f aca="false">IF(ISNUMBER(AD248),SUM(AD247:AD250),"")</f>
        <v>196.72</v>
      </c>
      <c r="AE251" s="53" t="n">
        <f aca="false">IF(ISNUMBER(AE248),SUM(AE247:AE250),"")</f>
        <v>211.978</v>
      </c>
      <c r="AF251" s="53" t="n">
        <f aca="false">IF(ISNUMBER(AF248),SUM(AF247:AF250),"")</f>
        <v>227.102</v>
      </c>
      <c r="AG251" s="53" t="n">
        <f aca="false">IF(ISNUMBER(AG248),SUM(AG247:AG250),"")</f>
        <v>249.437</v>
      </c>
      <c r="AH251" s="53" t="n">
        <f aca="false">IF(ISNUMBER(AH248),SUM(AH247:AH250),"")</f>
        <v>249.437</v>
      </c>
      <c r="AI251" s="53" t="n">
        <f aca="false">IF(ISNUMBER(AI248),SUM(AI247:AI250),"")</f>
        <v>229.056</v>
      </c>
      <c r="AJ251" s="53" t="n">
        <f aca="false">IF(ISNUMBER(AJ248),SUM(AJ247:AJ250),"")</f>
        <v>230.053</v>
      </c>
      <c r="AK251" s="53" t="n">
        <f aca="false">IF(ISNUMBER(AK248),SUM(AK247:AK250),"")</f>
        <v>254.757</v>
      </c>
      <c r="AL251" s="53" t="n">
        <f aca="false">IF(ISNUMBER(AL248),SUM(AL247:AL250),"")</f>
        <v>282.429</v>
      </c>
      <c r="AM251" s="53" t="n">
        <f aca="false">IF(ISNUMBER(AM248),SUM(AM247:AM250),"")</f>
        <v>282.429</v>
      </c>
      <c r="AN251" s="53" t="n">
        <f aca="false">IF(ISNUMBER(AN248),SUM(AN247:AN250),"")</f>
        <v>224.115</v>
      </c>
      <c r="AO251" s="53" t="n">
        <f aca="false">IF(ISNUMBER(AO248),SUM(AO247:AO250),"")</f>
        <v>250.87</v>
      </c>
      <c r="AP251" s="53" t="n">
        <f aca="false">IF(ISNUMBER(AP248),SUM(AP247:AP250),"")</f>
        <v>269.136</v>
      </c>
      <c r="AQ251" s="53" t="n">
        <f aca="false">IF(ISNUMBER(AQ248),SUM(AQ247:AQ250),"")</f>
        <v>289.138</v>
      </c>
      <c r="AR251" s="53" t="n">
        <f aca="false">IF(ISNUMBER(AR248),SUM(AR247:AR250),"")</f>
        <v>289.138</v>
      </c>
      <c r="AS251" s="53" t="n">
        <f aca="false">IF(ISNUMBER(AS248),SUM(AS247:AS250),"")</f>
        <v>243.531</v>
      </c>
      <c r="AT251" s="53" t="n">
        <f aca="false">IF(ISNUMBER(AT248),SUM(AT247:AT250),"")</f>
        <v>256.353</v>
      </c>
      <c r="AU251" s="53" t="n">
        <f aca="false">IF(ISNUMBER(AU248),SUM(AU247:AU250),"")</f>
        <v>229.642</v>
      </c>
      <c r="AV251" s="53" t="n">
        <f aca="false">IF(ISNUMBER(AV248),SUM(AV247:AV250),"")</f>
        <v>241.161</v>
      </c>
      <c r="AW251" s="53" t="n">
        <f aca="false">IF(ISNUMBER(AW248),SUM(AW247:AW250),"")</f>
        <v>241.161</v>
      </c>
      <c r="AX251" s="53" t="n">
        <f aca="false">IF(ISNUMBER(AX248),SUM(AX247:AX250),"")</f>
        <v>234.675</v>
      </c>
      <c r="AY251" s="53" t="n">
        <f aca="false">IF(ISNUMBER(AY248),SUM(AY247:AY250),"")</f>
        <v>256.758</v>
      </c>
      <c r="AZ251" s="53" t="n">
        <f aca="false">IF(ISNUMBER(AZ248),SUM(AZ247:AZ250),"")</f>
        <v>262.217</v>
      </c>
      <c r="BA251" s="53" t="n">
        <f aca="false">IF(ISNUMBER(BA248),SUM(BA247:BA250),"")</f>
        <v>294.88</v>
      </c>
      <c r="BB251" s="53" t="n">
        <f aca="false">IF(ISNUMBER(BB248),SUM(BB247:BB250),"")</f>
        <v>294.88</v>
      </c>
      <c r="BC251" s="53" t="n">
        <f aca="false">IF(ISNUMBER(BC248),SUM(BC247:BC250),"")</f>
        <v>273.88</v>
      </c>
      <c r="BD251" s="53" t="n">
        <f aca="false">IF(ISNUMBER(BD248),SUM(BD247:BD250),"")</f>
        <v>304.192</v>
      </c>
      <c r="BE251" s="53" t="n">
        <f aca="false">IF(ISNUMBER(BE248),SUM(BE247:BE250),"")</f>
        <v>346.445</v>
      </c>
      <c r="BF251" s="53" t="n">
        <f aca="false">IF(ISNUMBER(BF248),SUM(BF247:BF250),"")</f>
        <v>420.859</v>
      </c>
      <c r="BG251" s="53" t="n">
        <f aca="false">IF(ISNUMBER(BG248),SUM(BG247:BG250),"")</f>
        <v>420.859</v>
      </c>
      <c r="BH251" s="53" t="n">
        <f aca="false">IF(ISNUMBER(BH248),SUM(BH247:BH250),"")</f>
        <v>453.496</v>
      </c>
      <c r="BI251" s="53" t="n">
        <f aca="false">IF(ISNUMBER(BI248),SUM(BI247:BI250),"")</f>
        <v>466.828</v>
      </c>
      <c r="BJ251" s="53" t="n">
        <f aca="false">IF(ISNUMBER(BJ248),SUM(BJ247:BJ250),"")</f>
        <v>479.047</v>
      </c>
      <c r="BK251" s="53" t="n">
        <f aca="false">IF(ISNUMBER(BK248),SUM(BK247:BK250),"")</f>
        <v>665.342</v>
      </c>
      <c r="BL251" s="53" t="n">
        <f aca="false">IF(ISNUMBER(BL248),SUM(BL247:BL250),"")</f>
        <v>665.342</v>
      </c>
      <c r="BM251" s="53" t="n">
        <f aca="false">IF(ISNUMBER(BM248),SUM(BM247:BM250),"")</f>
        <v>604.095</v>
      </c>
      <c r="BN251" s="53" t="n">
        <f aca="false">IF(ISNUMBER(BN248),SUM(BN247:BN250),"")</f>
        <v>559.163</v>
      </c>
      <c r="BO251" s="53" t="n">
        <f aca="false">IF(ISNUMBER(BO248),SUM(BO247:BO250),"")</f>
        <v>614.705</v>
      </c>
      <c r="BP251" s="53" t="n">
        <f aca="false">IF(ISNUMBER(BP248),SUM(BP247:BP250),"")</f>
        <v>663.851</v>
      </c>
      <c r="BQ251" s="53" t="n">
        <f aca="false">IF(ISNUMBER(BQ248),SUM(BQ247:BQ250),"")</f>
        <v>663.851</v>
      </c>
      <c r="BR251" s="53" t="n">
        <f aca="false">IF(ISNUMBER(BR248),SUM(BR247:BR250),"")</f>
        <v>618.339</v>
      </c>
      <c r="BS251" s="53" t="n">
        <f aca="false">IF(ISNUMBER(BS248),SUM(BS247:BS250),"")</f>
        <v>664.858</v>
      </c>
      <c r="BT251" s="53" t="n">
        <f aca="false">IF(ISNUMBER(BT248),SUM(BT247:BT250),"")</f>
        <v>711.316</v>
      </c>
      <c r="BU251" s="53" t="n">
        <f aca="false">IF(ISNUMBER(BU248),SUM(BU247:BU250),"")</f>
        <v>832.004</v>
      </c>
      <c r="BV251" s="53" t="n">
        <f aca="false">IF(ISNUMBER(BV248),SUM(BV247:BV250),"")</f>
        <v>832.004</v>
      </c>
      <c r="BW251" s="53" t="n">
        <f aca="false">IF(ISNUMBER(BW248),SUM(BW247:BW250),"")</f>
        <v>810.6</v>
      </c>
      <c r="BX251" s="53" t="n">
        <f aca="false">IF(ISNUMBER(BX248),SUM(BX247:BX250),"")</f>
        <v>903.582</v>
      </c>
      <c r="BY251" s="53" t="n">
        <f aca="false">IF(ISNUMBER(BY248),SUM(BY247:BY250),"")</f>
        <v>1003.079</v>
      </c>
      <c r="CA251" s="18" t="n">
        <f aca="false">IF(ISNUMBER(CA248),SUM(CA247:CA250),"")</f>
        <v>1024.93276220996</v>
      </c>
      <c r="CB251" s="18" t="n">
        <f aca="false">IF(ISNUMBER(CB248),SUM(CB247:CB250),"")</f>
        <v>1162.38835903614</v>
      </c>
      <c r="CC251" s="18" t="n">
        <f aca="false">IF(ISNUMBER(CC248),SUM(CC247:CC250),"")</f>
        <v>1286.90335363508</v>
      </c>
      <c r="CD251" s="18" t="n">
        <f aca="false">IF(ISNUMBER(CD248),SUM(CD247:CD250),"")</f>
        <v>1413.02130828391</v>
      </c>
      <c r="CE251" s="18" t="n">
        <f aca="false">IF(ISNUMBER(CE248),SUM(CE247:CE250),"")</f>
        <v>1550.2818265917</v>
      </c>
    </row>
    <row r="252" customFormat="false" ht="15" hidden="false" customHeight="true" outlineLevel="0" collapsed="false">
      <c r="B252" s="29" t="s">
        <v>391</v>
      </c>
      <c r="C252" s="35" t="n">
        <v>55.022</v>
      </c>
      <c r="D252" s="35" t="n">
        <v>53.765</v>
      </c>
      <c r="E252" s="35" t="n">
        <v>37.381</v>
      </c>
      <c r="F252" s="35" t="n">
        <v>55.194</v>
      </c>
      <c r="G252" s="35" t="n">
        <v>14.073</v>
      </c>
      <c r="H252" s="35" t="n">
        <v>39.823</v>
      </c>
      <c r="I252" s="35" t="n">
        <v>131.194</v>
      </c>
      <c r="J252" s="35" t="n">
        <v>254.224</v>
      </c>
      <c r="K252" s="35" t="n">
        <v>227.932</v>
      </c>
      <c r="L252" s="35" t="n">
        <v>318.876</v>
      </c>
      <c r="M252" s="35" t="n">
        <v>376.818</v>
      </c>
      <c r="N252" s="35" t="n">
        <v>376.818</v>
      </c>
      <c r="O252" s="35" t="n">
        <v>378.137</v>
      </c>
      <c r="P252" s="35" t="n">
        <v>436.074</v>
      </c>
      <c r="Q252" s="35" t="n">
        <v>385.867</v>
      </c>
      <c r="R252" s="35" t="n">
        <v>328.691</v>
      </c>
      <c r="S252" s="35" t="n">
        <v>328.691</v>
      </c>
      <c r="T252" s="35" t="n">
        <v>354.552</v>
      </c>
      <c r="U252" s="35" t="n">
        <v>326.471</v>
      </c>
      <c r="V252" s="35" t="n">
        <v>299.126</v>
      </c>
      <c r="W252" s="35" t="n">
        <v>367.241</v>
      </c>
      <c r="X252" s="35" t="n">
        <v>367.241</v>
      </c>
      <c r="Y252" s="35" t="n">
        <v>594.575</v>
      </c>
      <c r="Z252" s="35" t="n">
        <v>562.575</v>
      </c>
      <c r="AA252" s="35" t="n">
        <v>509.57</v>
      </c>
      <c r="AB252" s="35" t="n">
        <v>457.814</v>
      </c>
      <c r="AC252" s="35" t="n">
        <v>457.814</v>
      </c>
      <c r="AD252" s="35" t="n">
        <v>416.932</v>
      </c>
      <c r="AE252" s="35" t="n">
        <v>460.465</v>
      </c>
      <c r="AF252" s="35" t="n">
        <v>434.312</v>
      </c>
      <c r="AG252" s="35" t="n">
        <v>673.528</v>
      </c>
      <c r="AH252" s="35" t="n">
        <v>673.528</v>
      </c>
      <c r="AI252" s="35" t="n">
        <v>668.527</v>
      </c>
      <c r="AJ252" s="35" t="n">
        <v>683.362</v>
      </c>
      <c r="AK252" s="35" t="n">
        <v>622.889</v>
      </c>
      <c r="AL252" s="35" t="n">
        <v>531.611</v>
      </c>
      <c r="AM252" s="35" t="n">
        <v>531.611</v>
      </c>
      <c r="AN252" s="35" t="n">
        <v>607.656</v>
      </c>
      <c r="AO252" s="35" t="n">
        <v>555.525</v>
      </c>
      <c r="AP252" s="35" t="n">
        <v>639.304</v>
      </c>
      <c r="AQ252" s="35" t="n">
        <v>561.049</v>
      </c>
      <c r="AR252" s="35" t="n">
        <v>561.049</v>
      </c>
      <c r="AS252" s="35" t="n">
        <v>567.864</v>
      </c>
      <c r="AT252" s="35" t="n">
        <v>739.188</v>
      </c>
      <c r="AU252" s="35" t="n">
        <v>739.016</v>
      </c>
      <c r="AV252" s="35" t="n">
        <v>738.786</v>
      </c>
      <c r="AW252" s="35" t="n">
        <v>738.786</v>
      </c>
      <c r="AX252" s="35" t="n">
        <v>668.595</v>
      </c>
      <c r="AY252" s="35" t="n">
        <v>583.352</v>
      </c>
      <c r="AZ252" s="35" t="n">
        <v>385.38</v>
      </c>
      <c r="BA252" s="35" t="n">
        <v>234.983</v>
      </c>
      <c r="BB252" s="35" t="n">
        <v>234.983</v>
      </c>
      <c r="BC252" s="35" t="n">
        <v>235.65</v>
      </c>
      <c r="BD252" s="35" t="n">
        <v>264.095</v>
      </c>
      <c r="BE252" s="35" t="n">
        <v>244.023</v>
      </c>
      <c r="BF252" s="35" t="n">
        <v>288.62</v>
      </c>
      <c r="BG252" s="35" t="n">
        <v>288.62</v>
      </c>
      <c r="BH252" s="35" t="n">
        <v>781.174</v>
      </c>
      <c r="BI252" s="35" t="n">
        <v>735.779</v>
      </c>
      <c r="BJ252" s="35" t="n">
        <v>1198.484</v>
      </c>
      <c r="BK252" s="35" t="n">
        <v>2460.277</v>
      </c>
      <c r="BL252" s="35" t="n">
        <v>2460.277</v>
      </c>
      <c r="BM252" s="35" t="n">
        <v>2495.726</v>
      </c>
      <c r="BN252" s="35" t="n">
        <v>2385.267</v>
      </c>
      <c r="BO252" s="35" t="n">
        <v>2254.889</v>
      </c>
      <c r="BP252" s="35" t="n">
        <v>2225.267</v>
      </c>
      <c r="BQ252" s="35" t="n">
        <v>2225.267</v>
      </c>
      <c r="BR252" s="35" t="n">
        <v>2349.681</v>
      </c>
      <c r="BS252" s="35" t="n">
        <v>2274.362</v>
      </c>
      <c r="BT252" s="35" t="n">
        <v>2443.898</v>
      </c>
      <c r="BU252" s="35" t="n">
        <v>2164.587</v>
      </c>
      <c r="BV252" s="35" t="n">
        <v>2164.587</v>
      </c>
      <c r="BW252" s="35" t="n">
        <v>2504.285</v>
      </c>
      <c r="BX252" s="35" t="n">
        <v>2583.888</v>
      </c>
      <c r="BY252" s="35" t="n">
        <v>2537.66</v>
      </c>
      <c r="CA252" s="42" t="n">
        <f aca="false">CA287-CA247</f>
        <v>2392.66</v>
      </c>
      <c r="CB252" s="42" t="n">
        <f aca="false">CB287-CB247</f>
        <v>2392.66</v>
      </c>
      <c r="CC252" s="42" t="n">
        <f aca="false">CC287-CC247</f>
        <v>2392.66</v>
      </c>
      <c r="CD252" s="42" t="n">
        <f aca="false">CD287-CD247</f>
        <v>2392.66</v>
      </c>
      <c r="CE252" s="42" t="n">
        <f aca="false">CE287-CE247</f>
        <v>2528.32464226797</v>
      </c>
    </row>
    <row r="253" customFormat="false" ht="15" hidden="false" customHeight="true" outlineLevel="0" collapsed="false">
      <c r="B253" s="29" t="s">
        <v>392</v>
      </c>
      <c r="C253" s="35" t="n">
        <v>28.052</v>
      </c>
      <c r="D253" s="35" t="n">
        <v>35.296</v>
      </c>
      <c r="E253" s="35" t="n">
        <v>39.192</v>
      </c>
      <c r="F253" s="35" t="n">
        <v>41.34</v>
      </c>
      <c r="G253" s="35" t="n">
        <v>45.308</v>
      </c>
      <c r="H253" s="35" t="n">
        <v>58.899</v>
      </c>
      <c r="I253" s="35" t="n">
        <v>90.436</v>
      </c>
      <c r="J253" s="35" t="n">
        <v>89.863</v>
      </c>
      <c r="K253" s="35" t="n">
        <v>89.658</v>
      </c>
      <c r="L253" s="35" t="n">
        <v>115.426</v>
      </c>
      <c r="M253" s="35" t="n">
        <v>128.482</v>
      </c>
      <c r="N253" s="35" t="n">
        <v>128.482</v>
      </c>
      <c r="O253" s="35" t="n">
        <v>124.219</v>
      </c>
      <c r="P253" s="35" t="n">
        <v>122.109</v>
      </c>
      <c r="Q253" s="35" t="n">
        <v>115.527</v>
      </c>
      <c r="R253" s="35" t="n">
        <v>111.429</v>
      </c>
      <c r="S253" s="35" t="n">
        <v>111.429</v>
      </c>
      <c r="T253" s="35" t="n">
        <v>117.856</v>
      </c>
      <c r="U253" s="35" t="n">
        <v>115.288</v>
      </c>
      <c r="V253" s="35" t="n">
        <v>114.618</v>
      </c>
      <c r="W253" s="35" t="n">
        <v>110.588</v>
      </c>
      <c r="X253" s="35" t="n">
        <v>110.588</v>
      </c>
      <c r="Y253" s="35" t="n">
        <v>110.469</v>
      </c>
      <c r="Z253" s="35" t="n">
        <v>109.778</v>
      </c>
      <c r="AA253" s="35" t="n">
        <v>107.687</v>
      </c>
      <c r="AB253" s="35" t="n">
        <v>105.962</v>
      </c>
      <c r="AC253" s="35" t="n">
        <v>105.962</v>
      </c>
      <c r="AD253" s="35" t="n">
        <v>103.233</v>
      </c>
      <c r="AE253" s="35" t="n">
        <v>108.429</v>
      </c>
      <c r="AF253" s="35" t="n">
        <v>106.866</v>
      </c>
      <c r="AG253" s="35" t="n">
        <v>59.026</v>
      </c>
      <c r="AH253" s="35" t="n">
        <v>59.026</v>
      </c>
      <c r="AI253" s="35" t="n">
        <v>42.526</v>
      </c>
      <c r="AJ253" s="35" t="n">
        <v>46.875</v>
      </c>
      <c r="AK253" s="35" t="n">
        <v>46.469</v>
      </c>
      <c r="AL253" s="35" t="n">
        <v>46.644</v>
      </c>
      <c r="AM253" s="35" t="n">
        <v>46.644</v>
      </c>
      <c r="AN253" s="35" t="n">
        <v>59.133</v>
      </c>
      <c r="AO253" s="35" t="n">
        <v>55.511</v>
      </c>
      <c r="AP253" s="35" t="n">
        <v>51.626</v>
      </c>
      <c r="AQ253" s="35" t="n">
        <v>51.496</v>
      </c>
      <c r="AR253" s="35" t="n">
        <v>51.496</v>
      </c>
      <c r="AS253" s="35" t="n">
        <v>29.835</v>
      </c>
      <c r="AT253" s="35" t="n">
        <v>49.749</v>
      </c>
      <c r="AU253" s="35" t="n">
        <v>45.869</v>
      </c>
      <c r="AV253" s="35" t="n">
        <v>55.658</v>
      </c>
      <c r="AW253" s="35" t="n">
        <v>55.658</v>
      </c>
      <c r="AX253" s="35" t="n">
        <v>47.598</v>
      </c>
      <c r="AY253" s="35" t="n">
        <v>47.409</v>
      </c>
      <c r="AZ253" s="35" t="n">
        <v>38.868</v>
      </c>
      <c r="BA253" s="35" t="n">
        <v>40.761</v>
      </c>
      <c r="BB253" s="35" t="n">
        <v>40.761</v>
      </c>
      <c r="BC253" s="35" t="n">
        <v>40.243</v>
      </c>
      <c r="BD253" s="35" t="n">
        <v>42.629</v>
      </c>
      <c r="BE253" s="35" t="n">
        <v>48.192</v>
      </c>
      <c r="BF253" s="35" t="n">
        <v>71.162</v>
      </c>
      <c r="BG253" s="35" t="n">
        <v>71.162</v>
      </c>
      <c r="BH253" s="35" t="n">
        <v>113.477</v>
      </c>
      <c r="BI253" s="35" t="n">
        <v>94.468</v>
      </c>
      <c r="BJ253" s="35" t="n">
        <v>83.357</v>
      </c>
      <c r="BK253" s="35" t="n">
        <v>131.846</v>
      </c>
      <c r="BL253" s="35" t="n">
        <v>131.846</v>
      </c>
      <c r="BM253" s="35" t="n">
        <v>128.203</v>
      </c>
      <c r="BN253" s="35" t="n">
        <v>119.987</v>
      </c>
      <c r="BO253" s="35" t="n">
        <v>117.033</v>
      </c>
      <c r="BP253" s="35" t="n">
        <v>114.156</v>
      </c>
      <c r="BQ253" s="35" t="n">
        <v>114.156</v>
      </c>
      <c r="BR253" s="35" t="n">
        <v>108.78</v>
      </c>
      <c r="BS253" s="35" t="n">
        <v>100.401</v>
      </c>
      <c r="BT253" s="35" t="n">
        <v>127.097</v>
      </c>
      <c r="BU253" s="35" t="n">
        <v>107.186</v>
      </c>
      <c r="BV253" s="35" t="n">
        <v>107.186</v>
      </c>
      <c r="BW253" s="35" t="n">
        <v>148.056</v>
      </c>
      <c r="BX253" s="35" t="n">
        <v>164.584</v>
      </c>
      <c r="BY253" s="35" t="n">
        <v>181.511</v>
      </c>
      <c r="CA253" s="42" t="n">
        <f aca="false">BY253+(CA190-SUM(BW190,BX190,BY190))</f>
        <v>181.511</v>
      </c>
      <c r="CB253" s="42" t="n">
        <f aca="false">CA253+CB190</f>
        <v>181.511</v>
      </c>
      <c r="CC253" s="42" t="n">
        <f aca="false">CB253+CC190</f>
        <v>181.511</v>
      </c>
      <c r="CD253" s="42" t="n">
        <f aca="false">CC253+CD190</f>
        <v>181.511</v>
      </c>
      <c r="CE253" s="42" t="n">
        <f aca="false">CD253+CE190</f>
        <v>181.511</v>
      </c>
    </row>
    <row r="254" customFormat="false" ht="15" hidden="false" customHeight="true" outlineLevel="0" collapsed="false">
      <c r="B254" s="29" t="s">
        <v>393</v>
      </c>
      <c r="C254" s="35" t="n">
        <v>5.679</v>
      </c>
      <c r="D254" s="35" t="n">
        <v>10.364</v>
      </c>
      <c r="E254" s="35" t="n">
        <v>17.003</v>
      </c>
      <c r="F254" s="35" t="n">
        <v>23.268</v>
      </c>
      <c r="G254" s="35" t="n">
        <v>30.556</v>
      </c>
      <c r="H254" s="35" t="n">
        <v>33.373</v>
      </c>
      <c r="I254" s="35" t="n">
        <v>52.777</v>
      </c>
      <c r="J254" s="35" t="n">
        <v>62.098</v>
      </c>
      <c r="K254" s="35" t="n">
        <v>63.301</v>
      </c>
      <c r="L254" s="35" t="n">
        <v>67.177</v>
      </c>
      <c r="M254" s="35" t="n">
        <v>83.976</v>
      </c>
      <c r="N254" s="35" t="n">
        <v>83.976</v>
      </c>
      <c r="O254" s="35" t="n">
        <v>90.863</v>
      </c>
      <c r="P254" s="35" t="n">
        <v>97.338</v>
      </c>
      <c r="Q254" s="35" t="n">
        <v>86.623</v>
      </c>
      <c r="R254" s="35" t="n">
        <v>82.289</v>
      </c>
      <c r="S254" s="35" t="n">
        <v>82.289</v>
      </c>
      <c r="T254" s="35" t="n">
        <v>109.351</v>
      </c>
      <c r="U254" s="35" t="n">
        <v>105.528</v>
      </c>
      <c r="V254" s="35" t="n">
        <v>106.437</v>
      </c>
      <c r="W254" s="35" t="n">
        <v>105.618</v>
      </c>
      <c r="X254" s="35" t="n">
        <v>105.618</v>
      </c>
      <c r="Y254" s="35" t="n">
        <v>107.652</v>
      </c>
      <c r="Z254" s="35" t="n">
        <v>116.11</v>
      </c>
      <c r="AA254" s="35" t="n">
        <v>113.63</v>
      </c>
      <c r="AB254" s="35" t="n">
        <v>114.061</v>
      </c>
      <c r="AC254" s="35" t="n">
        <v>114.061</v>
      </c>
      <c r="AD254" s="35" t="n">
        <v>127.043</v>
      </c>
      <c r="AE254" s="35" t="n">
        <v>132.804</v>
      </c>
      <c r="AF254" s="35" t="n">
        <v>131.893</v>
      </c>
      <c r="AG254" s="35" t="n">
        <v>151.025</v>
      </c>
      <c r="AH254" s="35" t="n">
        <v>151.025</v>
      </c>
      <c r="AI254" s="35" t="n">
        <v>167.964</v>
      </c>
      <c r="AJ254" s="35" t="n">
        <v>164.05</v>
      </c>
      <c r="AK254" s="35" t="n">
        <v>166.803</v>
      </c>
      <c r="AL254" s="35" t="n">
        <v>157.658</v>
      </c>
      <c r="AM254" s="35" t="n">
        <v>157.658</v>
      </c>
      <c r="AN254" s="35" t="n">
        <v>165.36</v>
      </c>
      <c r="AO254" s="35" t="n">
        <v>178.12</v>
      </c>
      <c r="AP254" s="35" t="n">
        <v>179.494</v>
      </c>
      <c r="AQ254" s="35" t="n">
        <v>184.604</v>
      </c>
      <c r="AR254" s="35" t="n">
        <v>184.604</v>
      </c>
      <c r="AS254" s="35" t="n">
        <v>250.751</v>
      </c>
      <c r="AT254" s="35" t="n">
        <v>233.518</v>
      </c>
      <c r="AU254" s="35" t="n">
        <v>252.372</v>
      </c>
      <c r="AV254" s="35" t="n">
        <v>280.291</v>
      </c>
      <c r="AW254" s="35" t="n">
        <v>280.291</v>
      </c>
      <c r="AX254" s="35" t="n">
        <v>312.332</v>
      </c>
      <c r="AY254" s="35" t="n">
        <v>324.493</v>
      </c>
      <c r="AZ254" s="35" t="n">
        <v>330.4</v>
      </c>
      <c r="BA254" s="35" t="n">
        <v>378.257</v>
      </c>
      <c r="BB254" s="35" t="n">
        <v>378.257</v>
      </c>
      <c r="BC254" s="35" t="n">
        <v>363.777</v>
      </c>
      <c r="BD254" s="35" t="n">
        <v>350.016</v>
      </c>
      <c r="BE254" s="35" t="n">
        <v>359.713</v>
      </c>
      <c r="BF254" s="35" t="n">
        <v>338.948</v>
      </c>
      <c r="BG254" s="35" t="n">
        <v>338.948</v>
      </c>
      <c r="BH254" s="35" t="n">
        <v>372.012</v>
      </c>
      <c r="BI254" s="35" t="n">
        <v>367.624</v>
      </c>
      <c r="BJ254" s="35" t="n">
        <v>389.335</v>
      </c>
      <c r="BK254" s="35" t="n">
        <v>379.64</v>
      </c>
      <c r="BL254" s="35" t="n">
        <v>379.64</v>
      </c>
      <c r="BM254" s="35" t="n">
        <v>425.541</v>
      </c>
      <c r="BN254" s="35" t="n">
        <v>490.253</v>
      </c>
      <c r="BO254" s="35" t="n">
        <v>509.632</v>
      </c>
      <c r="BP254" s="35" t="n">
        <v>525.986</v>
      </c>
      <c r="BQ254" s="35" t="n">
        <v>525.986</v>
      </c>
      <c r="BR254" s="35" t="n">
        <v>579.1</v>
      </c>
      <c r="BS254" s="35" t="n">
        <v>580.777</v>
      </c>
      <c r="BT254" s="35" t="n">
        <v>599.272</v>
      </c>
      <c r="BU254" s="35" t="n">
        <v>550.124</v>
      </c>
      <c r="BV254" s="35" t="n">
        <v>550.124</v>
      </c>
      <c r="BW254" s="35" t="n">
        <v>535.026</v>
      </c>
      <c r="BX254" s="35" t="n">
        <v>548.588</v>
      </c>
      <c r="BY254" s="35" t="n">
        <v>571.536</v>
      </c>
      <c r="CA254" s="42" t="n">
        <f aca="false">BY254</f>
        <v>571.536</v>
      </c>
      <c r="CB254" s="42" t="n">
        <f aca="false">CA254</f>
        <v>571.536</v>
      </c>
      <c r="CC254" s="42" t="n">
        <f aca="false">CB254</f>
        <v>571.536</v>
      </c>
      <c r="CD254" s="42" t="n">
        <f aca="false">CC254</f>
        <v>571.536</v>
      </c>
      <c r="CE254" s="42" t="n">
        <f aca="false">CD254</f>
        <v>571.536</v>
      </c>
    </row>
    <row r="255" customFormat="false" ht="15" hidden="false" customHeight="true" outlineLevel="0" collapsed="false">
      <c r="B255" s="16" t="s">
        <v>394</v>
      </c>
      <c r="C255" s="53" t="n">
        <f aca="false">IF(ISNUMBER(C248),C251+SUM(C252:C254),"")</f>
        <v>154.256</v>
      </c>
      <c r="D255" s="53" t="n">
        <f aca="false">IF(ISNUMBER(D248),D251+SUM(D252:D254),"")</f>
        <v>186.763</v>
      </c>
      <c r="E255" s="53" t="n">
        <f aca="false">IF(ISNUMBER(E248),E251+SUM(E252:E254),"")</f>
        <v>174.804</v>
      </c>
      <c r="F255" s="53" t="n">
        <f aca="false">IF(ISNUMBER(F248),F251+SUM(F252:F254),"")</f>
        <v>185.315</v>
      </c>
      <c r="G255" s="53" t="n">
        <f aca="false">IF(ISNUMBER(G248),G251+SUM(G252:G254),"")</f>
        <v>171.769</v>
      </c>
      <c r="H255" s="53" t="n">
        <f aca="false">IF(ISNUMBER(H248),H251+SUM(H252:H254),"")</f>
        <v>255.485</v>
      </c>
      <c r="I255" s="53" t="n">
        <f aca="false">IF(ISNUMBER(I248),I251+SUM(I252:I254),"")</f>
        <v>405.921</v>
      </c>
      <c r="J255" s="53" t="n">
        <f aca="false">IF(ISNUMBER(J248),J251+SUM(J252:J254),"")</f>
        <v>508.759</v>
      </c>
      <c r="K255" s="53" t="n">
        <f aca="false">IF(ISNUMBER(K248),K251+SUM(K252:K254),"")</f>
        <v>499.315</v>
      </c>
      <c r="L255" s="53" t="n">
        <f aca="false">IF(ISNUMBER(L248),L251+SUM(L252:L254),"")</f>
        <v>643.369</v>
      </c>
      <c r="M255" s="53" t="n">
        <f aca="false">IF(ISNUMBER(M248),M251+SUM(M252:M254),"")</f>
        <v>750.562</v>
      </c>
      <c r="N255" s="53" t="n">
        <f aca="false">IF(ISNUMBER(N248),N251+SUM(N252:N254),"")</f>
        <v>750.562</v>
      </c>
      <c r="O255" s="53" t="n">
        <f aca="false">IF(ISNUMBER(O248),O251+SUM(O252:O254),"")</f>
        <v>737.822</v>
      </c>
      <c r="P255" s="53" t="n">
        <f aca="false">IF(ISNUMBER(P248),P251+SUM(P252:P254),"")</f>
        <v>792.392</v>
      </c>
      <c r="Q255" s="53" t="n">
        <f aca="false">IF(ISNUMBER(Q248),Q251+SUM(Q252:Q254),"")</f>
        <v>723.724</v>
      </c>
      <c r="R255" s="53" t="n">
        <f aca="false">IF(ISNUMBER(R248),R251+SUM(R252:R254),"")</f>
        <v>674.629</v>
      </c>
      <c r="S255" s="53" t="n">
        <f aca="false">IF(ISNUMBER(S248),S251+SUM(S252:S254),"")</f>
        <v>674.629</v>
      </c>
      <c r="T255" s="53" t="n">
        <f aca="false">IF(ISNUMBER(T248),T251+SUM(T252:T254),"")</f>
        <v>726.914</v>
      </c>
      <c r="U255" s="53" t="n">
        <f aca="false">IF(ISNUMBER(U248),U251+SUM(U252:U254),"")</f>
        <v>688.279</v>
      </c>
      <c r="V255" s="53" t="n">
        <f aca="false">IF(ISNUMBER(V248),V251+SUM(V252:V254),"")</f>
        <v>667.011</v>
      </c>
      <c r="W255" s="53" t="n">
        <f aca="false">IF(ISNUMBER(W248),W251+SUM(W252:W254),"")</f>
        <v>751.834</v>
      </c>
      <c r="X255" s="53" t="n">
        <f aca="false">IF(ISNUMBER(X248),X251+SUM(X252:X254),"")</f>
        <v>751.834</v>
      </c>
      <c r="Y255" s="53" t="n">
        <f aca="false">IF(ISNUMBER(Y248),Y251+SUM(Y252:Y254),"")</f>
        <v>968.146</v>
      </c>
      <c r="Z255" s="53" t="n">
        <f aca="false">IF(ISNUMBER(Z248),Z251+SUM(Z252:Z254),"")</f>
        <v>950.291</v>
      </c>
      <c r="AA255" s="53" t="n">
        <f aca="false">IF(ISNUMBER(AA248),AA251+SUM(AA252:AA254),"")</f>
        <v>917.144</v>
      </c>
      <c r="AB255" s="53" t="n">
        <f aca="false">IF(ISNUMBER(AB248),AB251+SUM(AB252:AB254),"")</f>
        <v>892.258</v>
      </c>
      <c r="AC255" s="53" t="n">
        <f aca="false">IF(ISNUMBER(AC248),AC251+SUM(AC252:AC254),"")</f>
        <v>892.258</v>
      </c>
      <c r="AD255" s="53" t="n">
        <f aca="false">IF(ISNUMBER(AD248),AD251+SUM(AD252:AD254),"")</f>
        <v>843.928</v>
      </c>
      <c r="AE255" s="53" t="n">
        <f aca="false">IF(ISNUMBER(AE248),AE251+SUM(AE252:AE254),"")</f>
        <v>913.676</v>
      </c>
      <c r="AF255" s="53" t="n">
        <f aca="false">IF(ISNUMBER(AF248),AF251+SUM(AF252:AF254),"")</f>
        <v>900.173</v>
      </c>
      <c r="AG255" s="53" t="n">
        <f aca="false">IF(ISNUMBER(AG248),AG251+SUM(AG252:AG254),"")</f>
        <v>1133.016</v>
      </c>
      <c r="AH255" s="53" t="n">
        <f aca="false">IF(ISNUMBER(AH248),AH251+SUM(AH252:AH254),"")</f>
        <v>1133.016</v>
      </c>
      <c r="AI255" s="53" t="n">
        <f aca="false">IF(ISNUMBER(AI248),AI251+SUM(AI252:AI254),"")</f>
        <v>1108.073</v>
      </c>
      <c r="AJ255" s="53" t="n">
        <f aca="false">IF(ISNUMBER(AJ248),AJ251+SUM(AJ252:AJ254),"")</f>
        <v>1124.34</v>
      </c>
      <c r="AK255" s="53" t="n">
        <f aca="false">IF(ISNUMBER(AK248),AK251+SUM(AK252:AK254),"")</f>
        <v>1090.918</v>
      </c>
      <c r="AL255" s="53" t="n">
        <f aca="false">IF(ISNUMBER(AL248),AL251+SUM(AL252:AL254),"")</f>
        <v>1018.342</v>
      </c>
      <c r="AM255" s="53" t="n">
        <f aca="false">IF(ISNUMBER(AM248),AM251+SUM(AM252:AM254),"")</f>
        <v>1018.342</v>
      </c>
      <c r="AN255" s="53" t="n">
        <f aca="false">IF(ISNUMBER(AN248),AN251+SUM(AN252:AN254),"")</f>
        <v>1056.264</v>
      </c>
      <c r="AO255" s="53" t="n">
        <f aca="false">IF(ISNUMBER(AO248),AO251+SUM(AO252:AO254),"")</f>
        <v>1040.026</v>
      </c>
      <c r="AP255" s="53" t="n">
        <f aca="false">IF(ISNUMBER(AP248),AP251+SUM(AP252:AP254),"")</f>
        <v>1139.56</v>
      </c>
      <c r="AQ255" s="53" t="n">
        <f aca="false">IF(ISNUMBER(AQ248),AQ251+SUM(AQ252:AQ254),"")</f>
        <v>1086.287</v>
      </c>
      <c r="AR255" s="53" t="n">
        <f aca="false">IF(ISNUMBER(AR248),AR251+SUM(AR252:AR254),"")</f>
        <v>1086.287</v>
      </c>
      <c r="AS255" s="53" t="n">
        <f aca="false">IF(ISNUMBER(AS248),AS251+SUM(AS252:AS254),"")</f>
        <v>1091.981</v>
      </c>
      <c r="AT255" s="53" t="n">
        <f aca="false">IF(ISNUMBER(AT248),AT251+SUM(AT252:AT254),"")</f>
        <v>1278.808</v>
      </c>
      <c r="AU255" s="53" t="n">
        <f aca="false">IF(ISNUMBER(AU248),AU251+SUM(AU252:AU254),"")</f>
        <v>1266.899</v>
      </c>
      <c r="AV255" s="53" t="n">
        <f aca="false">IF(ISNUMBER(AV248),AV251+SUM(AV252:AV254),"")</f>
        <v>1315.896</v>
      </c>
      <c r="AW255" s="53" t="n">
        <f aca="false">IF(ISNUMBER(AW248),AW251+SUM(AW252:AW254),"")</f>
        <v>1315.896</v>
      </c>
      <c r="AX255" s="53" t="n">
        <f aca="false">IF(ISNUMBER(AX248),AX251+SUM(AX252:AX254),"")</f>
        <v>1263.2</v>
      </c>
      <c r="AY255" s="53" t="n">
        <f aca="false">IF(ISNUMBER(AY248),AY251+SUM(AY252:AY254),"")</f>
        <v>1212.012</v>
      </c>
      <c r="AZ255" s="53" t="n">
        <f aca="false">IF(ISNUMBER(AZ248),AZ251+SUM(AZ252:AZ254),"")</f>
        <v>1016.865</v>
      </c>
      <c r="BA255" s="53" t="n">
        <f aca="false">IF(ISNUMBER(BA248),BA251+SUM(BA252:BA254),"")</f>
        <v>948.881</v>
      </c>
      <c r="BB255" s="53" t="n">
        <f aca="false">IF(ISNUMBER(BB248),BB251+SUM(BB252:BB254),"")</f>
        <v>948.881</v>
      </c>
      <c r="BC255" s="53" t="n">
        <f aca="false">IF(ISNUMBER(BC248),BC251+SUM(BC252:BC254),"")</f>
        <v>913.55</v>
      </c>
      <c r="BD255" s="53" t="n">
        <f aca="false">IF(ISNUMBER(BD248),BD251+SUM(BD252:BD254),"")</f>
        <v>960.932</v>
      </c>
      <c r="BE255" s="53" t="n">
        <f aca="false">IF(ISNUMBER(BE248),BE251+SUM(BE252:BE254),"")</f>
        <v>998.373</v>
      </c>
      <c r="BF255" s="53" t="n">
        <f aca="false">IF(ISNUMBER(BF248),BF251+SUM(BF252:BF254),"")</f>
        <v>1119.589</v>
      </c>
      <c r="BG255" s="53" t="n">
        <f aca="false">IF(ISNUMBER(BG248),BG251+SUM(BG252:BG254),"")</f>
        <v>1119.589</v>
      </c>
      <c r="BH255" s="53" t="n">
        <f aca="false">IF(ISNUMBER(BH248),BH251+SUM(BH252:BH254),"")</f>
        <v>1720.159</v>
      </c>
      <c r="BI255" s="53" t="n">
        <f aca="false">IF(ISNUMBER(BI248),BI251+SUM(BI252:BI254),"")</f>
        <v>1664.699</v>
      </c>
      <c r="BJ255" s="53" t="n">
        <f aca="false">IF(ISNUMBER(BJ248),BJ251+SUM(BJ252:BJ254),"")</f>
        <v>2150.223</v>
      </c>
      <c r="BK255" s="53" t="n">
        <f aca="false">IF(ISNUMBER(BK248),BK251+SUM(BK252:BK254),"")</f>
        <v>3637.105</v>
      </c>
      <c r="BL255" s="53" t="n">
        <f aca="false">IF(ISNUMBER(BL248),BL251+SUM(BL252:BL254),"")</f>
        <v>3637.105</v>
      </c>
      <c r="BM255" s="53" t="n">
        <f aca="false">IF(ISNUMBER(BM248),BM251+SUM(BM252:BM254),"")</f>
        <v>3653.565</v>
      </c>
      <c r="BN255" s="53" t="n">
        <f aca="false">IF(ISNUMBER(BN248),BN251+SUM(BN252:BN254),"")</f>
        <v>3554.67</v>
      </c>
      <c r="BO255" s="53" t="n">
        <f aca="false">IF(ISNUMBER(BO248),BO251+SUM(BO252:BO254),"")</f>
        <v>3496.259</v>
      </c>
      <c r="BP255" s="53" t="n">
        <f aca="false">IF(ISNUMBER(BP248),BP251+SUM(BP252:BP254),"")</f>
        <v>3529.26</v>
      </c>
      <c r="BQ255" s="53" t="n">
        <f aca="false">IF(ISNUMBER(BQ248),BQ251+SUM(BQ252:BQ254),"")</f>
        <v>3529.26</v>
      </c>
      <c r="BR255" s="53" t="n">
        <f aca="false">IF(ISNUMBER(BR248),BR251+SUM(BR252:BR254),"")</f>
        <v>3655.9</v>
      </c>
      <c r="BS255" s="53" t="n">
        <f aca="false">IF(ISNUMBER(BS248),BS251+SUM(BS252:BS254),"")</f>
        <v>3620.398</v>
      </c>
      <c r="BT255" s="53" t="n">
        <f aca="false">IF(ISNUMBER(BT248),BT251+SUM(BT252:BT254),"")</f>
        <v>3881.583</v>
      </c>
      <c r="BU255" s="53" t="n">
        <f aca="false">IF(ISNUMBER(BU248),BU251+SUM(BU252:BU254),"")</f>
        <v>3653.901</v>
      </c>
      <c r="BV255" s="53" t="n">
        <f aca="false">IF(ISNUMBER(BV248),BV251+SUM(BV252:BV254),"")</f>
        <v>3653.901</v>
      </c>
      <c r="BW255" s="53" t="n">
        <f aca="false">IF(ISNUMBER(BW248),BW251+SUM(BW252:BW254),"")</f>
        <v>3997.967</v>
      </c>
      <c r="BX255" s="53" t="n">
        <f aca="false">IF(ISNUMBER(BX248),BX251+SUM(BX252:BX254),"")</f>
        <v>4200.642</v>
      </c>
      <c r="BY255" s="53" t="n">
        <f aca="false">IF(ISNUMBER(BY248),BY251+SUM(BY252:BY254),"")</f>
        <v>4293.786</v>
      </c>
      <c r="CA255" s="18" t="n">
        <f aca="false">IF(ISNUMBER(CA248),CA251+SUM(CA252:CA254),"")</f>
        <v>4170.63976220996</v>
      </c>
      <c r="CB255" s="18" t="n">
        <f aca="false">IF(ISNUMBER(CB248),CB251+SUM(CB252:CB254),"")</f>
        <v>4308.09535903614</v>
      </c>
      <c r="CC255" s="18" t="n">
        <f aca="false">IF(ISNUMBER(CC248),CC251+SUM(CC252:CC254),"")</f>
        <v>4432.61035363508</v>
      </c>
      <c r="CD255" s="18" t="n">
        <f aca="false">IF(ISNUMBER(CD248),CD251+SUM(CD252:CD254),"")</f>
        <v>4558.72830828391</v>
      </c>
      <c r="CE255" s="18" t="n">
        <f aca="false">IF(ISNUMBER(CE248),CE251+SUM(CE252:CE254),"")</f>
        <v>4831.65346885967</v>
      </c>
    </row>
    <row r="256" customFormat="false" ht="15" hidden="false" customHeight="true" outlineLevel="0" collapsed="false">
      <c r="B256" s="29" t="s">
        <v>395</v>
      </c>
      <c r="C256" s="35" t="n">
        <v>63.301</v>
      </c>
      <c r="D256" s="35" t="n">
        <v>72.938</v>
      </c>
      <c r="E256" s="35" t="n">
        <v>83.978</v>
      </c>
      <c r="F256" s="35" t="n">
        <v>56.937</v>
      </c>
      <c r="G256" s="35" t="n">
        <v>55.048</v>
      </c>
      <c r="H256" s="35" t="n">
        <v>65.43</v>
      </c>
      <c r="I256" s="35" t="n">
        <v>67.166</v>
      </c>
      <c r="J256" s="35" t="n">
        <v>51.218</v>
      </c>
      <c r="K256" s="35" t="n">
        <v>51.218</v>
      </c>
      <c r="L256" s="35" t="n">
        <v>52.444</v>
      </c>
      <c r="M256" s="35" t="n">
        <v>59.218</v>
      </c>
      <c r="N256" s="35" t="n">
        <v>59.218</v>
      </c>
      <c r="O256" s="35" t="n">
        <v>58.003</v>
      </c>
      <c r="P256" s="35" t="n">
        <v>37.833</v>
      </c>
      <c r="Q256" s="35" t="n">
        <v>38.105</v>
      </c>
      <c r="R256" s="35" t="n">
        <v>39.966</v>
      </c>
      <c r="S256" s="35" t="n">
        <v>39.966</v>
      </c>
      <c r="T256" s="35" t="n">
        <v>64.409</v>
      </c>
      <c r="U256" s="35" t="n">
        <v>63.914</v>
      </c>
      <c r="V256" s="35" t="n">
        <v>64.821</v>
      </c>
      <c r="W256" s="35" t="n">
        <v>91.282</v>
      </c>
      <c r="X256" s="35" t="n">
        <v>91.282</v>
      </c>
      <c r="Y256" s="35" t="n">
        <v>91.136</v>
      </c>
      <c r="Z256" s="35" t="n">
        <v>88.38</v>
      </c>
      <c r="AA256" s="35" t="n">
        <v>87.906</v>
      </c>
      <c r="AB256" s="35" t="n">
        <v>99.5</v>
      </c>
      <c r="AC256" s="35" t="n">
        <v>99.5</v>
      </c>
      <c r="AD256" s="35" t="n">
        <v>98.902</v>
      </c>
      <c r="AE256" s="35" t="n">
        <v>125.132</v>
      </c>
      <c r="AF256" s="35" t="n">
        <v>126.881</v>
      </c>
      <c r="AG256" s="35" t="n">
        <v>131.123</v>
      </c>
      <c r="AH256" s="35" t="n">
        <v>131.123</v>
      </c>
      <c r="AI256" s="35" t="n">
        <v>132.355</v>
      </c>
      <c r="AJ256" s="35" t="n">
        <v>134.034</v>
      </c>
      <c r="AK256" s="35" t="n">
        <v>133.599</v>
      </c>
      <c r="AL256" s="35" t="n">
        <v>132.046</v>
      </c>
      <c r="AM256" s="35" t="n">
        <v>132.046</v>
      </c>
      <c r="AN256" s="35" t="n">
        <v>138.995</v>
      </c>
      <c r="AO256" s="35" t="n">
        <v>151.45</v>
      </c>
      <c r="AP256" s="35" t="n">
        <v>178.353</v>
      </c>
      <c r="AQ256" s="35" t="n">
        <v>188.264</v>
      </c>
      <c r="AR256" s="35" t="n">
        <v>188.264</v>
      </c>
      <c r="AS256" s="35" t="n">
        <v>195.893</v>
      </c>
      <c r="AT256" s="35" t="n">
        <v>196.507</v>
      </c>
      <c r="AU256" s="35" t="n">
        <v>204.139</v>
      </c>
      <c r="AV256" s="35" t="n">
        <v>221.208</v>
      </c>
      <c r="AW256" s="35" t="n">
        <v>221.208</v>
      </c>
      <c r="AX256" s="35" t="n">
        <v>222.225</v>
      </c>
      <c r="AY256" s="35" t="n">
        <v>223.266</v>
      </c>
      <c r="AZ256" s="35" t="n">
        <v>224.684</v>
      </c>
      <c r="BA256" s="35" t="n">
        <v>252.587</v>
      </c>
      <c r="BB256" s="35" t="n">
        <v>252.587</v>
      </c>
      <c r="BC256" s="35" t="n">
        <v>258.289</v>
      </c>
      <c r="BD256" s="35" t="n">
        <v>303.927</v>
      </c>
      <c r="BE256" s="35" t="n">
        <v>296.994</v>
      </c>
      <c r="BF256" s="35" t="n">
        <v>327.601</v>
      </c>
      <c r="BG256" s="35" t="n">
        <v>327.601</v>
      </c>
      <c r="BH256" s="35" t="n">
        <v>340.287</v>
      </c>
      <c r="BI256" s="35" t="n">
        <v>345.833</v>
      </c>
      <c r="BJ256" s="35" t="n">
        <v>343.883</v>
      </c>
      <c r="BK256" s="35" t="n">
        <v>364.807</v>
      </c>
      <c r="BL256" s="35" t="n">
        <v>364.807</v>
      </c>
      <c r="BM256" s="35" t="n">
        <v>365.865</v>
      </c>
      <c r="BN256" s="35" t="n">
        <v>368.369</v>
      </c>
      <c r="BO256" s="35" t="n">
        <v>329.271</v>
      </c>
      <c r="BP256" s="35" t="n">
        <v>366.156</v>
      </c>
      <c r="BQ256" s="35" t="n">
        <v>366.156</v>
      </c>
      <c r="BR256" s="35" t="n">
        <v>424.083</v>
      </c>
      <c r="BS256" s="35" t="n">
        <v>436.471</v>
      </c>
      <c r="BT256" s="35" t="n">
        <v>437.587</v>
      </c>
      <c r="BU256" s="35" t="n">
        <v>467.358</v>
      </c>
      <c r="BV256" s="35" t="n">
        <v>467.358</v>
      </c>
      <c r="BW256" s="35" t="n">
        <v>464.581</v>
      </c>
      <c r="BX256" s="35" t="n">
        <v>536.654</v>
      </c>
      <c r="BY256" s="35" t="n">
        <v>617.893</v>
      </c>
      <c r="CA256" s="42" t="n">
        <f aca="false">BY256</f>
        <v>617.893</v>
      </c>
      <c r="CB256" s="42" t="n">
        <f aca="false">CA256</f>
        <v>617.893</v>
      </c>
      <c r="CC256" s="42" t="n">
        <f aca="false">CB256</f>
        <v>617.893</v>
      </c>
      <c r="CD256" s="42" t="n">
        <f aca="false">CC256</f>
        <v>617.893</v>
      </c>
      <c r="CE256" s="42" t="n">
        <f aca="false">CD256</f>
        <v>617.893</v>
      </c>
      <c r="CF256" s="19" t="s">
        <v>396</v>
      </c>
    </row>
    <row r="257" customFormat="false" ht="15" hidden="false" customHeight="true" outlineLevel="0" collapsed="false">
      <c r="B257" s="29" t="s">
        <v>397</v>
      </c>
    </row>
    <row r="258" customFormat="false" ht="15" hidden="false" customHeight="true" outlineLevel="0" collapsed="false">
      <c r="B258" s="29" t="s">
        <v>398</v>
      </c>
      <c r="C258" s="35" t="n">
        <v>206.514</v>
      </c>
      <c r="D258" s="35" t="n">
        <v>220.919</v>
      </c>
      <c r="E258" s="35" t="n">
        <v>229.707</v>
      </c>
      <c r="F258" s="35" t="n">
        <v>224.886</v>
      </c>
      <c r="G258" s="35" t="n">
        <v>228.323</v>
      </c>
      <c r="H258" s="35" t="n">
        <v>226.541</v>
      </c>
      <c r="I258" s="35" t="n">
        <v>245.16</v>
      </c>
      <c r="J258" s="35" t="n">
        <v>249.347</v>
      </c>
      <c r="K258" s="35" t="n">
        <v>251.573</v>
      </c>
      <c r="L258" s="35" t="n">
        <v>254.403</v>
      </c>
      <c r="M258" s="35" t="n">
        <v>256.553</v>
      </c>
      <c r="N258" s="35" t="n">
        <v>256.553</v>
      </c>
      <c r="O258" s="35" t="n">
        <v>259.819</v>
      </c>
      <c r="P258" s="35" t="n">
        <v>264.039</v>
      </c>
      <c r="Q258" s="35" t="n">
        <v>266.694</v>
      </c>
      <c r="R258" s="35" t="n">
        <v>270.016</v>
      </c>
      <c r="S258" s="35" t="n">
        <v>270.016</v>
      </c>
      <c r="T258" s="35" t="n">
        <v>274.972</v>
      </c>
      <c r="U258" s="35" t="n">
        <v>281.276</v>
      </c>
      <c r="V258" s="35" t="n">
        <v>284.158</v>
      </c>
      <c r="W258" s="35" t="n">
        <v>286.889</v>
      </c>
      <c r="X258" s="35" t="n">
        <v>286.889</v>
      </c>
      <c r="Y258" s="35" t="n">
        <v>290.479</v>
      </c>
      <c r="Z258" s="35" t="n">
        <v>297.36</v>
      </c>
      <c r="AA258" s="35" t="n">
        <v>303.403</v>
      </c>
      <c r="AB258" s="35" t="n">
        <v>307.001</v>
      </c>
      <c r="AC258" s="35" t="n">
        <v>307.001</v>
      </c>
      <c r="AD258" s="35" t="n">
        <v>310.575</v>
      </c>
      <c r="AE258" s="35" t="n">
        <v>317.893</v>
      </c>
      <c r="AF258" s="35" t="n">
        <v>322.868</v>
      </c>
      <c r="AG258" s="35" t="n">
        <v>327.389</v>
      </c>
      <c r="AH258" s="35" t="n">
        <v>327.389</v>
      </c>
      <c r="AI258" s="35" t="n">
        <v>330.965</v>
      </c>
      <c r="AJ258" s="35" t="n">
        <v>312.772</v>
      </c>
      <c r="AK258" s="35" t="n">
        <v>318.418</v>
      </c>
      <c r="AL258" s="35" t="n">
        <v>322.324</v>
      </c>
      <c r="AM258" s="35" t="n">
        <v>322.324</v>
      </c>
      <c r="AN258" s="35" t="n">
        <v>325.725</v>
      </c>
      <c r="AO258" s="35" t="n">
        <v>311.539</v>
      </c>
      <c r="AP258" s="35" t="n">
        <v>310.399</v>
      </c>
      <c r="AQ258" s="35" t="n">
        <v>285.954</v>
      </c>
      <c r="AR258" s="35" t="n">
        <v>285.954</v>
      </c>
      <c r="AS258" s="35" t="n">
        <v>289.125</v>
      </c>
      <c r="AT258" s="35" t="n">
        <v>298.672</v>
      </c>
      <c r="AU258" s="35" t="n">
        <v>302.881</v>
      </c>
      <c r="AV258" s="35" t="n">
        <v>301.281</v>
      </c>
      <c r="AW258" s="35" t="n">
        <v>301.281</v>
      </c>
      <c r="AX258" s="35" t="n">
        <v>302.46</v>
      </c>
      <c r="AY258" s="35" t="n">
        <v>313.348</v>
      </c>
      <c r="AZ258" s="35" t="n">
        <v>316.955</v>
      </c>
      <c r="BA258" s="35" t="n">
        <v>322.102</v>
      </c>
      <c r="BB258" s="35" t="n">
        <v>322.102</v>
      </c>
      <c r="BC258" s="35" t="n">
        <v>303.463</v>
      </c>
      <c r="BD258" s="35" t="n">
        <v>312.412</v>
      </c>
      <c r="BE258" s="35" t="n">
        <v>318.725</v>
      </c>
      <c r="BF258" s="35" t="n">
        <v>398.703</v>
      </c>
      <c r="BG258" s="35" t="n">
        <v>398.703</v>
      </c>
      <c r="BH258" s="35" t="n">
        <v>389.972</v>
      </c>
      <c r="BI258" s="35" t="n">
        <v>400.361</v>
      </c>
      <c r="BJ258" s="35" t="n">
        <v>407.812</v>
      </c>
      <c r="BK258" s="35" t="n">
        <v>580.191</v>
      </c>
      <c r="BL258" s="35" t="n">
        <v>580.191</v>
      </c>
      <c r="BM258" s="35" t="n">
        <v>587.272</v>
      </c>
      <c r="BN258" s="35" t="n">
        <v>600.083</v>
      </c>
      <c r="BO258" s="35" t="n">
        <v>615.067</v>
      </c>
      <c r="BP258" s="35" t="n">
        <v>600.787</v>
      </c>
      <c r="BQ258" s="35" t="n">
        <v>600.787</v>
      </c>
      <c r="BR258" s="35" t="n">
        <v>620.011</v>
      </c>
      <c r="BS258" s="35" t="n">
        <v>639.371</v>
      </c>
      <c r="BT258" s="35" t="n">
        <v>651.707</v>
      </c>
      <c r="BU258" s="35" t="n">
        <v>652.06</v>
      </c>
      <c r="BV258" s="35" t="n">
        <v>652.06</v>
      </c>
      <c r="BW258" s="35" t="n">
        <v>661.262</v>
      </c>
      <c r="BX258" s="35" t="n">
        <v>731.26</v>
      </c>
      <c r="BY258" s="35" t="n">
        <v>730.224</v>
      </c>
      <c r="CA258" s="42" t="n">
        <f aca="false">BY258+(CA189-SUM(BW189,BX189,BY189))+(CA204-SUM(BW204,BX204,BY204))</f>
        <v>743.038727339745</v>
      </c>
      <c r="CB258" s="42" t="n">
        <f aca="false">CA258+CB189+CB204</f>
        <v>792.610250846723</v>
      </c>
      <c r="CC258" s="42" t="n">
        <f aca="false">CB258+CC189+CC204</f>
        <v>847.631171599337</v>
      </c>
      <c r="CD258" s="42" t="n">
        <f aca="false">CC258+CD189+CD204</f>
        <v>908.171643124952</v>
      </c>
      <c r="CE258" s="42" t="n">
        <f aca="false">CD258+CE189+CE204</f>
        <v>974.719319588497</v>
      </c>
      <c r="CF258" s="19" t="s">
        <v>399</v>
      </c>
    </row>
    <row r="259" customFormat="false" ht="15" hidden="false" customHeight="true" outlineLevel="0" collapsed="false">
      <c r="B259" s="29" t="s">
        <v>400</v>
      </c>
      <c r="C259" s="35" t="n">
        <v>110.682</v>
      </c>
      <c r="D259" s="35" t="n">
        <v>147.632</v>
      </c>
      <c r="E259" s="35" t="n">
        <v>192.872</v>
      </c>
      <c r="F259" s="35" t="n">
        <v>189.485</v>
      </c>
      <c r="G259" s="35" t="n">
        <v>240.913</v>
      </c>
      <c r="H259" s="35" t="n">
        <v>299.497</v>
      </c>
      <c r="I259" s="35" t="n">
        <v>375.085</v>
      </c>
      <c r="J259" s="35" t="n">
        <v>277.593</v>
      </c>
      <c r="K259" s="35" t="n">
        <v>301.088</v>
      </c>
      <c r="L259" s="35" t="n">
        <v>326</v>
      </c>
      <c r="M259" s="35" t="n">
        <v>349.649</v>
      </c>
      <c r="N259" s="35" t="n">
        <v>349.649</v>
      </c>
      <c r="O259" s="35" t="n">
        <v>349.741</v>
      </c>
      <c r="P259" s="35" t="n">
        <v>378.875</v>
      </c>
      <c r="Q259" s="35" t="n">
        <v>408.148</v>
      </c>
      <c r="R259" s="35" t="n">
        <v>437.757</v>
      </c>
      <c r="S259" s="35" t="n">
        <v>437.757</v>
      </c>
      <c r="T259" s="35" t="n">
        <v>451.205</v>
      </c>
      <c r="U259" s="35" t="n">
        <v>486.534</v>
      </c>
      <c r="V259" s="35" t="n">
        <v>516.007</v>
      </c>
      <c r="W259" s="35" t="n">
        <v>548.054</v>
      </c>
      <c r="X259" s="35" t="n">
        <v>548.054</v>
      </c>
      <c r="Y259" s="35" t="n">
        <v>574.233</v>
      </c>
      <c r="Z259" s="35" t="n">
        <v>613.072</v>
      </c>
      <c r="AA259" s="35" t="n">
        <v>649.131</v>
      </c>
      <c r="AB259" s="35" t="n">
        <v>681.704</v>
      </c>
      <c r="AC259" s="35" t="n">
        <v>681.704</v>
      </c>
      <c r="AD259" s="35" t="n">
        <v>717.764</v>
      </c>
      <c r="AE259" s="35" t="n">
        <v>756.408</v>
      </c>
      <c r="AF259" s="35" t="n">
        <v>797.621</v>
      </c>
      <c r="AG259" s="35" t="n">
        <v>844.247</v>
      </c>
      <c r="AH259" s="35" t="n">
        <v>844.247</v>
      </c>
      <c r="AI259" s="35" t="n">
        <v>904.03</v>
      </c>
      <c r="AJ259" s="35" t="n">
        <v>964.571</v>
      </c>
      <c r="AK259" s="35" t="n">
        <v>1024.739</v>
      </c>
      <c r="AL259" s="35" t="n">
        <v>1091.183</v>
      </c>
      <c r="AM259" s="35" t="n">
        <v>1091.183</v>
      </c>
      <c r="AN259" s="35" t="n">
        <v>1174.811</v>
      </c>
      <c r="AO259" s="35" t="n">
        <v>1251.699</v>
      </c>
      <c r="AP259" s="35" t="n">
        <v>1322.383</v>
      </c>
      <c r="AQ259" s="35" t="n">
        <v>1397.327</v>
      </c>
      <c r="AR259" s="35" t="n">
        <v>1397.327</v>
      </c>
      <c r="AS259" s="35" t="n">
        <v>1508.784</v>
      </c>
      <c r="AT259" s="35" t="n">
        <v>1583.646</v>
      </c>
      <c r="AU259" s="35" t="n">
        <v>1623.285</v>
      </c>
      <c r="AV259" s="35" t="n">
        <v>1688.045</v>
      </c>
      <c r="AW259" s="35" t="n">
        <v>1688.045</v>
      </c>
      <c r="AX259" s="35" t="n">
        <v>1744.247</v>
      </c>
      <c r="AY259" s="35" t="n">
        <v>1812.798</v>
      </c>
      <c r="AZ259" s="35" t="n">
        <v>1873.239</v>
      </c>
      <c r="BA259" s="35" t="n">
        <v>1949.521</v>
      </c>
      <c r="BB259" s="35" t="n">
        <v>1949.521</v>
      </c>
      <c r="BC259" s="35" t="n">
        <v>2018.99</v>
      </c>
      <c r="BD259" s="35" t="n">
        <v>2100.178</v>
      </c>
      <c r="BE259" s="35" t="n">
        <v>2171.333</v>
      </c>
      <c r="BF259" s="35" t="n">
        <v>2253.932</v>
      </c>
      <c r="BG259" s="35" t="n">
        <v>2253.932</v>
      </c>
      <c r="BH259" s="35" t="n">
        <v>2328.523</v>
      </c>
      <c r="BI259" s="35" t="n">
        <v>2435.155</v>
      </c>
      <c r="BJ259" s="35" t="n">
        <v>2523.212</v>
      </c>
      <c r="BK259" s="35" t="n">
        <v>2605.984</v>
      </c>
      <c r="BL259" s="35" t="n">
        <v>2605.984</v>
      </c>
      <c r="BM259" s="35" t="n">
        <v>2705.128</v>
      </c>
      <c r="BN259" s="35" t="n">
        <v>2825.021</v>
      </c>
      <c r="BO259" s="35" t="n">
        <v>2953.854</v>
      </c>
      <c r="BP259" s="35" t="n">
        <v>3062.166</v>
      </c>
      <c r="BQ259" s="35" t="n">
        <v>3062.166</v>
      </c>
      <c r="BR259" s="35" t="n">
        <v>3180.102</v>
      </c>
      <c r="BS259" s="35" t="n">
        <v>3328.591</v>
      </c>
      <c r="BT259" s="35" t="n">
        <v>3488.777</v>
      </c>
      <c r="BU259" s="35" t="n">
        <v>3647.678</v>
      </c>
      <c r="BV259" s="35" t="n">
        <v>3647.678</v>
      </c>
      <c r="BW259" s="35" t="n">
        <v>3823.219</v>
      </c>
      <c r="BX259" s="35" t="n">
        <v>4033.326</v>
      </c>
      <c r="BY259" s="35" t="n">
        <v>4222.045</v>
      </c>
      <c r="CA259" s="42" t="n">
        <f aca="false">BY259+BZ111+(CA200-SUM(BW200,BX200,BY200))+CA203</f>
        <v>4462.96084137396</v>
      </c>
      <c r="CB259" s="42" t="n">
        <f aca="false">CA259+CB111+CB200+CB203</f>
        <v>5448.75971295029</v>
      </c>
      <c r="CC259" s="42" t="n">
        <f aca="false">CB259+CC111+CC200+CC203</f>
        <v>6033.96506080807</v>
      </c>
      <c r="CD259" s="42" t="n">
        <f aca="false">CC259+CD111+CD200+CD203</f>
        <v>6681.66740566626</v>
      </c>
      <c r="CE259" s="42" t="n">
        <f aca="false">CD259+CE111+CE200+CE203</f>
        <v>7313.61309235597</v>
      </c>
      <c r="CF259" s="19" t="s">
        <v>401</v>
      </c>
    </row>
    <row r="260" customFormat="false" ht="15" hidden="false" customHeight="true" outlineLevel="0" collapsed="false">
      <c r="B260" s="29" t="s">
        <v>402</v>
      </c>
      <c r="C260" s="35" t="n">
        <v>0.062</v>
      </c>
      <c r="D260" s="35" t="n">
        <v>3.05</v>
      </c>
      <c r="E260" s="35" t="n">
        <v>-4.819</v>
      </c>
      <c r="F260" s="35" t="n">
        <v>-1.381</v>
      </c>
      <c r="G260" s="35" t="n">
        <v>-0.124</v>
      </c>
      <c r="H260" s="35" t="n">
        <v>3.033</v>
      </c>
      <c r="I260" s="35" t="n">
        <v>-3.572</v>
      </c>
      <c r="J260" s="35" t="n">
        <v>-0.338</v>
      </c>
      <c r="K260" s="35" t="n">
        <v>-3.327</v>
      </c>
      <c r="L260" s="35" t="n">
        <v>-2.727</v>
      </c>
      <c r="M260" s="35" t="n">
        <v>0.144</v>
      </c>
      <c r="N260" s="35" t="n">
        <v>0.144</v>
      </c>
      <c r="O260" s="35" t="n">
        <v>-2.318</v>
      </c>
      <c r="P260" s="35" t="n">
        <v>-0.507</v>
      </c>
      <c r="Q260" s="35" t="n">
        <v>-2.571</v>
      </c>
      <c r="R260" s="35" t="n">
        <v>-8.289</v>
      </c>
      <c r="S260" s="35" t="n">
        <v>-8.289</v>
      </c>
      <c r="T260" s="35" t="n">
        <v>-19.232</v>
      </c>
      <c r="U260" s="35" t="n">
        <v>-19.214</v>
      </c>
      <c r="V260" s="35" t="n">
        <v>-24.562</v>
      </c>
      <c r="W260" s="35" t="n">
        <v>-25.08</v>
      </c>
      <c r="X260" s="35" t="n">
        <v>-25.08</v>
      </c>
      <c r="Y260" s="35" t="n">
        <v>-27.543</v>
      </c>
      <c r="Z260" s="35" t="n">
        <v>-19.086</v>
      </c>
      <c r="AA260" s="35" t="n">
        <v>-22.372</v>
      </c>
      <c r="AB260" s="35" t="n">
        <v>-25.326</v>
      </c>
      <c r="AC260" s="35" t="n">
        <v>-25.326</v>
      </c>
      <c r="AD260" s="35" t="n">
        <v>-26.547</v>
      </c>
      <c r="AE260" s="35" t="n">
        <v>-25.002</v>
      </c>
      <c r="AF260" s="35" t="n">
        <v>-8.567</v>
      </c>
      <c r="AG260" s="35" t="n">
        <v>-10.556</v>
      </c>
      <c r="AH260" s="35" t="n">
        <v>-10.556</v>
      </c>
      <c r="AI260" s="35" t="n">
        <v>4.417</v>
      </c>
      <c r="AJ260" s="35" t="n">
        <v>-1.516</v>
      </c>
      <c r="AK260" s="35" t="n">
        <v>-9.187</v>
      </c>
      <c r="AL260" s="35" t="n">
        <v>-15.256</v>
      </c>
      <c r="AM260" s="35" t="n">
        <v>-15.256</v>
      </c>
      <c r="AN260" s="35" t="n">
        <v>-11.069</v>
      </c>
      <c r="AO260" s="35" t="n">
        <v>-16.352</v>
      </c>
      <c r="AP260" s="35" t="n">
        <v>-16.783</v>
      </c>
      <c r="AQ260" s="35" t="n">
        <v>-16.739</v>
      </c>
      <c r="AR260" s="35" t="n">
        <v>-16.739</v>
      </c>
      <c r="AS260" s="35" t="n">
        <v>-19.263</v>
      </c>
      <c r="AT260" s="35" t="n">
        <v>-23.804</v>
      </c>
      <c r="AU260" s="35" t="n">
        <v>-4.451</v>
      </c>
      <c r="AV260" s="35" t="n">
        <v>-9.149</v>
      </c>
      <c r="AW260" s="35" t="n">
        <v>-9.149</v>
      </c>
      <c r="AX260" s="35" t="n">
        <v>2.129</v>
      </c>
      <c r="AY260" s="35" t="n">
        <v>1.674</v>
      </c>
      <c r="AZ260" s="35" t="n">
        <v>-3.265</v>
      </c>
      <c r="BA260" s="35" t="n">
        <v>-8.552</v>
      </c>
      <c r="BB260" s="35" t="n">
        <v>-8.552</v>
      </c>
      <c r="BC260" s="35" t="n">
        <v>-16.962</v>
      </c>
      <c r="BD260" s="35" t="n">
        <v>-30.554</v>
      </c>
      <c r="BE260" s="35" t="n">
        <v>-37.927</v>
      </c>
      <c r="BF260" s="35" t="n">
        <v>-46.499</v>
      </c>
      <c r="BG260" s="35" t="n">
        <v>-46.499</v>
      </c>
      <c r="BH260" s="35" t="n">
        <v>-19.358</v>
      </c>
      <c r="BI260" s="35" t="n">
        <v>-17.626</v>
      </c>
      <c r="BJ260" s="35" t="n">
        <v>-16.657</v>
      </c>
      <c r="BK260" s="35" t="n">
        <v>-40.18</v>
      </c>
      <c r="BL260" s="35" t="n">
        <v>-40.18</v>
      </c>
      <c r="BM260" s="35" t="n">
        <v>-25.962</v>
      </c>
      <c r="BN260" s="35" t="n">
        <v>-35.677</v>
      </c>
      <c r="BO260" s="35" t="n">
        <v>-28.945</v>
      </c>
      <c r="BP260" s="35" t="n">
        <v>-26.076</v>
      </c>
      <c r="BQ260" s="35" t="n">
        <v>-26.076</v>
      </c>
      <c r="BR260" s="35" t="n">
        <v>-53.586</v>
      </c>
      <c r="BS260" s="35" t="n">
        <v>-0.411</v>
      </c>
      <c r="BT260" s="35" t="n">
        <v>0.882</v>
      </c>
      <c r="BU260" s="35" t="n">
        <v>5.581</v>
      </c>
      <c r="BV260" s="35" t="n">
        <v>5.581</v>
      </c>
      <c r="BW260" s="35" t="n">
        <v>18.206</v>
      </c>
      <c r="BX260" s="35" t="n">
        <v>7.472</v>
      </c>
      <c r="BY260" s="35" t="n">
        <v>-4.58</v>
      </c>
      <c r="CA260" s="42" t="n">
        <f aca="false">BY260</f>
        <v>-4.58</v>
      </c>
      <c r="CB260" s="42" t="n">
        <f aca="false">CA260</f>
        <v>-4.58</v>
      </c>
      <c r="CC260" s="42" t="n">
        <f aca="false">CB260</f>
        <v>-4.58</v>
      </c>
      <c r="CD260" s="42" t="n">
        <f aca="false">CC260</f>
        <v>-4.58</v>
      </c>
      <c r="CE260" s="42" t="n">
        <f aca="false">CD260</f>
        <v>-4.58</v>
      </c>
    </row>
    <row r="261" customFormat="false" ht="15" hidden="false" customHeight="true" outlineLevel="0" collapsed="false">
      <c r="B261" s="16" t="s">
        <v>403</v>
      </c>
      <c r="C261" s="53" t="n">
        <f aca="false">IF(ISNUMBER(C259),SUM(C258:C260),"")</f>
        <v>317.258</v>
      </c>
      <c r="D261" s="53" t="n">
        <f aca="false">IF(ISNUMBER(D259),SUM(D258:D260),"")</f>
        <v>371.601</v>
      </c>
      <c r="E261" s="53" t="n">
        <f aca="false">IF(ISNUMBER(E259),SUM(E258:E260),"")</f>
        <v>417.76</v>
      </c>
      <c r="F261" s="53" t="n">
        <f aca="false">IF(ISNUMBER(F259),SUM(F258:F260),"")</f>
        <v>412.99</v>
      </c>
      <c r="G261" s="53" t="n">
        <f aca="false">IF(ISNUMBER(G259),SUM(G258:G260),"")</f>
        <v>469.112</v>
      </c>
      <c r="H261" s="53" t="n">
        <f aca="false">IF(ISNUMBER(H259),SUM(H258:H260),"")</f>
        <v>529.071</v>
      </c>
      <c r="I261" s="53" t="n">
        <f aca="false">IF(ISNUMBER(I259),SUM(I258:I260),"")</f>
        <v>616.673</v>
      </c>
      <c r="J261" s="53" t="n">
        <f aca="false">IF(ISNUMBER(J259),SUM(J258:J260),"")</f>
        <v>526.602</v>
      </c>
      <c r="K261" s="53" t="n">
        <f aca="false">IF(ISNUMBER(K259),SUM(K258:K260),"")</f>
        <v>549.334</v>
      </c>
      <c r="L261" s="53" t="n">
        <f aca="false">IF(ISNUMBER(L259),SUM(L258:L260),"")</f>
        <v>577.676</v>
      </c>
      <c r="M261" s="53" t="n">
        <f aca="false">IF(ISNUMBER(M259),SUM(M258:M260),"")</f>
        <v>606.346</v>
      </c>
      <c r="N261" s="53" t="n">
        <f aca="false">IF(ISNUMBER(N259),SUM(N258:N260),"")</f>
        <v>606.346</v>
      </c>
      <c r="O261" s="53" t="n">
        <f aca="false">IF(ISNUMBER(O259),SUM(O258:O260),"")</f>
        <v>607.242</v>
      </c>
      <c r="P261" s="53" t="n">
        <f aca="false">IF(ISNUMBER(P259),SUM(P258:P260),"")</f>
        <v>642.407</v>
      </c>
      <c r="Q261" s="53" t="n">
        <f aca="false">IF(ISNUMBER(Q259),SUM(Q258:Q260),"")</f>
        <v>672.271</v>
      </c>
      <c r="R261" s="53" t="n">
        <f aca="false">IF(ISNUMBER(R259),SUM(R258:R260),"")</f>
        <v>699.484</v>
      </c>
      <c r="S261" s="53" t="n">
        <f aca="false">IF(ISNUMBER(S259),SUM(S258:S260),"")</f>
        <v>699.484</v>
      </c>
      <c r="T261" s="53" t="n">
        <f aca="false">IF(ISNUMBER(T259),SUM(T258:T260),"")</f>
        <v>706.945</v>
      </c>
      <c r="U261" s="53" t="n">
        <f aca="false">IF(ISNUMBER(U259),SUM(U258:U260),"")</f>
        <v>748.596</v>
      </c>
      <c r="V261" s="53" t="n">
        <f aca="false">IF(ISNUMBER(V259),SUM(V258:V260),"")</f>
        <v>775.603</v>
      </c>
      <c r="W261" s="53" t="n">
        <f aca="false">IF(ISNUMBER(W259),SUM(W258:W260),"")</f>
        <v>809.863</v>
      </c>
      <c r="X261" s="53" t="n">
        <f aca="false">IF(ISNUMBER(X259),SUM(X258:X260),"")</f>
        <v>809.863</v>
      </c>
      <c r="Y261" s="53" t="n">
        <f aca="false">IF(ISNUMBER(Y259),SUM(Y258:Y260),"")</f>
        <v>837.169</v>
      </c>
      <c r="Z261" s="53" t="n">
        <f aca="false">IF(ISNUMBER(Z259),SUM(Z258:Z260),"")</f>
        <v>891.346</v>
      </c>
      <c r="AA261" s="53" t="n">
        <f aca="false">IF(ISNUMBER(AA259),SUM(AA258:AA260),"")</f>
        <v>930.162</v>
      </c>
      <c r="AB261" s="53" t="n">
        <f aca="false">IF(ISNUMBER(AB259),SUM(AB258:AB260),"")</f>
        <v>963.379</v>
      </c>
      <c r="AC261" s="53" t="n">
        <f aca="false">IF(ISNUMBER(AC259),SUM(AC258:AC260),"")</f>
        <v>963.379</v>
      </c>
      <c r="AD261" s="53" t="n">
        <f aca="false">IF(ISNUMBER(AD259),SUM(AD258:AD260),"")</f>
        <v>1001.792</v>
      </c>
      <c r="AE261" s="53" t="n">
        <f aca="false">IF(ISNUMBER(AE259),SUM(AE258:AE260),"")</f>
        <v>1049.299</v>
      </c>
      <c r="AF261" s="53" t="n">
        <f aca="false">IF(ISNUMBER(AF259),SUM(AF258:AF260),"")</f>
        <v>1111.922</v>
      </c>
      <c r="AG261" s="53" t="n">
        <f aca="false">IF(ISNUMBER(AG259),SUM(AG258:AG260),"")</f>
        <v>1161.08</v>
      </c>
      <c r="AH261" s="53" t="n">
        <f aca="false">IF(ISNUMBER(AH259),SUM(AH258:AH260),"")</f>
        <v>1161.08</v>
      </c>
      <c r="AI261" s="53" t="n">
        <f aca="false">IF(ISNUMBER(AI259),SUM(AI258:AI260),"")</f>
        <v>1239.412</v>
      </c>
      <c r="AJ261" s="53" t="n">
        <f aca="false">IF(ISNUMBER(AJ259),SUM(AJ258:AJ260),"")</f>
        <v>1275.827</v>
      </c>
      <c r="AK261" s="53" t="n">
        <f aca="false">IF(ISNUMBER(AK259),SUM(AK258:AK260),"")</f>
        <v>1333.97</v>
      </c>
      <c r="AL261" s="53" t="n">
        <f aca="false">IF(ISNUMBER(AL259),SUM(AL258:AL260),"")</f>
        <v>1398.251</v>
      </c>
      <c r="AM261" s="53" t="n">
        <f aca="false">IF(ISNUMBER(AM259),SUM(AM258:AM260),"")</f>
        <v>1398.251</v>
      </c>
      <c r="AN261" s="53" t="n">
        <f aca="false">IF(ISNUMBER(AN259),SUM(AN258:AN260),"")</f>
        <v>1489.467</v>
      </c>
      <c r="AO261" s="53" t="n">
        <f aca="false">IF(ISNUMBER(AO259),SUM(AO258:AO260),"")</f>
        <v>1546.886</v>
      </c>
      <c r="AP261" s="53" t="n">
        <f aca="false">IF(ISNUMBER(AP259),SUM(AP258:AP260),"")</f>
        <v>1615.999</v>
      </c>
      <c r="AQ261" s="53" t="n">
        <f aca="false">IF(ISNUMBER(AQ259),SUM(AQ258:AQ260),"")</f>
        <v>1666.542</v>
      </c>
      <c r="AR261" s="53" t="n">
        <f aca="false">IF(ISNUMBER(AR259),SUM(AR258:AR260),"")</f>
        <v>1666.542</v>
      </c>
      <c r="AS261" s="53" t="n">
        <f aca="false">IF(ISNUMBER(AS259),SUM(AS258:AS260),"")</f>
        <v>1778.646</v>
      </c>
      <c r="AT261" s="53" t="n">
        <f aca="false">IF(ISNUMBER(AT259),SUM(AT258:AT260),"")</f>
        <v>1858.514</v>
      </c>
      <c r="AU261" s="53" t="n">
        <f aca="false">IF(ISNUMBER(AU259),SUM(AU258:AU260),"")</f>
        <v>1921.715</v>
      </c>
      <c r="AV261" s="53" t="n">
        <f aca="false">IF(ISNUMBER(AV259),SUM(AV258:AV260),"")</f>
        <v>1980.177</v>
      </c>
      <c r="AW261" s="53" t="n">
        <f aca="false">IF(ISNUMBER(AW259),SUM(AW258:AW260),"")</f>
        <v>1980.177</v>
      </c>
      <c r="AX261" s="53" t="n">
        <f aca="false">IF(ISNUMBER(AX259),SUM(AX258:AX260),"")</f>
        <v>2048.836</v>
      </c>
      <c r="AY261" s="53" t="n">
        <f aca="false">IF(ISNUMBER(AY259),SUM(AY258:AY260),"")</f>
        <v>2127.82</v>
      </c>
      <c r="AZ261" s="53" t="n">
        <f aca="false">IF(ISNUMBER(AZ259),SUM(AZ258:AZ260),"")</f>
        <v>2186.929</v>
      </c>
      <c r="BA261" s="53" t="n">
        <f aca="false">IF(ISNUMBER(BA259),SUM(BA258:BA260),"")</f>
        <v>2263.071</v>
      </c>
      <c r="BB261" s="53" t="n">
        <f aca="false">IF(ISNUMBER(BB259),SUM(BB258:BB260),"")</f>
        <v>2263.071</v>
      </c>
      <c r="BC261" s="53" t="n">
        <f aca="false">IF(ISNUMBER(BC259),SUM(BC258:BC260),"")</f>
        <v>2305.491</v>
      </c>
      <c r="BD261" s="53" t="n">
        <f aca="false">IF(ISNUMBER(BD259),SUM(BD258:BD260),"")</f>
        <v>2382.036</v>
      </c>
      <c r="BE261" s="53" t="n">
        <f aca="false">IF(ISNUMBER(BE259),SUM(BE258:BE260),"")</f>
        <v>2452.131</v>
      </c>
      <c r="BF261" s="53" t="n">
        <f aca="false">IF(ISNUMBER(BF259),SUM(BF258:BF260),"")</f>
        <v>2606.136</v>
      </c>
      <c r="BG261" s="53" t="n">
        <f aca="false">IF(ISNUMBER(BG259),SUM(BG258:BG260),"")</f>
        <v>2606.136</v>
      </c>
      <c r="BH261" s="53" t="n">
        <f aca="false">IF(ISNUMBER(BH259),SUM(BH258:BH260),"")</f>
        <v>2699.137</v>
      </c>
      <c r="BI261" s="53" t="n">
        <f aca="false">IF(ISNUMBER(BI259),SUM(BI258:BI260),"")</f>
        <v>2817.89</v>
      </c>
      <c r="BJ261" s="53" t="n">
        <f aca="false">IF(ISNUMBER(BJ259),SUM(BJ258:BJ260),"")</f>
        <v>2914.367</v>
      </c>
      <c r="BK261" s="53" t="n">
        <f aca="false">IF(ISNUMBER(BK259),SUM(BK258:BK260),"")</f>
        <v>3145.995</v>
      </c>
      <c r="BL261" s="53" t="n">
        <f aca="false">IF(ISNUMBER(BL259),SUM(BL258:BL260),"")</f>
        <v>3145.995</v>
      </c>
      <c r="BM261" s="53" t="n">
        <f aca="false">IF(ISNUMBER(BM259),SUM(BM258:BM260),"")</f>
        <v>3266.438</v>
      </c>
      <c r="BN261" s="53" t="n">
        <f aca="false">IF(ISNUMBER(BN259),SUM(BN258:BN260),"")</f>
        <v>3389.427</v>
      </c>
      <c r="BO261" s="53" t="n">
        <f aca="false">IF(ISNUMBER(BO259),SUM(BO258:BO260),"")</f>
        <v>3539.976</v>
      </c>
      <c r="BP261" s="53" t="n">
        <f aca="false">IF(ISNUMBER(BP259),SUM(BP258:BP260),"")</f>
        <v>3636.877</v>
      </c>
      <c r="BQ261" s="53" t="n">
        <f aca="false">IF(ISNUMBER(BQ259),SUM(BQ258:BQ260),"")</f>
        <v>3636.877</v>
      </c>
      <c r="BR261" s="53" t="n">
        <f aca="false">IF(ISNUMBER(BR259),SUM(BR258:BR260),"")</f>
        <v>3746.527</v>
      </c>
      <c r="BS261" s="53" t="n">
        <f aca="false">IF(ISNUMBER(BS259),SUM(BS258:BS260),"")</f>
        <v>3967.551</v>
      </c>
      <c r="BT261" s="53" t="n">
        <f aca="false">IF(ISNUMBER(BT259),SUM(BT258:BT260),"")</f>
        <v>4141.366</v>
      </c>
      <c r="BU261" s="53" t="n">
        <f aca="false">IF(ISNUMBER(BU259),SUM(BU258:BU260),"")</f>
        <v>4305.319</v>
      </c>
      <c r="BV261" s="53" t="n">
        <f aca="false">IF(ISNUMBER(BV259),SUM(BV258:BV260),"")</f>
        <v>4305.319</v>
      </c>
      <c r="BW261" s="53" t="n">
        <f aca="false">IF(ISNUMBER(BW259),SUM(BW258:BW260),"")</f>
        <v>4502.687</v>
      </c>
      <c r="BX261" s="53" t="n">
        <f aca="false">IF(ISNUMBER(BX259),SUM(BX258:BX260),"")</f>
        <v>4772.058</v>
      </c>
      <c r="BY261" s="53" t="n">
        <f aca="false">IF(ISNUMBER(BY259),SUM(BY258:BY260),"")</f>
        <v>4947.689</v>
      </c>
      <c r="CA261" s="18" t="n">
        <f aca="false">IF(ISNUMBER(CA259),SUM(CA258:CA260),"")</f>
        <v>5201.41956871371</v>
      </c>
      <c r="CB261" s="18" t="n">
        <f aca="false">IF(ISNUMBER(CB259),SUM(CB258:CB260),"")</f>
        <v>6236.78996379701</v>
      </c>
      <c r="CC261" s="18" t="n">
        <f aca="false">IF(ISNUMBER(CC259),SUM(CC258:CC260),"")</f>
        <v>6877.01623240741</v>
      </c>
      <c r="CD261" s="18" t="n">
        <f aca="false">IF(ISNUMBER(CD259),SUM(CD258:CD260),"")</f>
        <v>7585.25904879122</v>
      </c>
      <c r="CE261" s="18" t="n">
        <f aca="false">IF(ISNUMBER(CE259),SUM(CE258:CE260),"")</f>
        <v>8283.75241194447</v>
      </c>
    </row>
    <row r="262" customFormat="false" ht="15" hidden="false" customHeight="true" outlineLevel="0" collapsed="false">
      <c r="B262" s="29" t="s">
        <v>404</v>
      </c>
      <c r="C262" s="35" t="n">
        <v>0</v>
      </c>
      <c r="D262" s="35" t="n">
        <v>0</v>
      </c>
      <c r="E262" s="35" t="n">
        <v>0</v>
      </c>
      <c r="F262" s="35" t="n">
        <v>77.668</v>
      </c>
      <c r="G262" s="35" t="n">
        <v>85.714</v>
      </c>
      <c r="H262" s="35" t="n">
        <v>91.083</v>
      </c>
      <c r="I262" s="35" t="n">
        <v>103.086</v>
      </c>
      <c r="J262" s="35" t="n">
        <v>105.942</v>
      </c>
      <c r="K262" s="35" t="n">
        <v>109.348</v>
      </c>
      <c r="L262" s="35" t="n">
        <v>113.176</v>
      </c>
      <c r="M262" s="35" t="n">
        <v>116.889</v>
      </c>
      <c r="N262" s="35" t="n">
        <v>116.889</v>
      </c>
      <c r="O262" s="35" t="n">
        <v>120.499</v>
      </c>
      <c r="P262" s="35" t="n">
        <v>74.81</v>
      </c>
      <c r="Q262" s="35" t="n">
        <v>73.023</v>
      </c>
      <c r="R262" s="35" t="n">
        <v>75.135</v>
      </c>
      <c r="S262" s="35" t="n">
        <v>75.135</v>
      </c>
      <c r="T262" s="35" t="n">
        <v>76.992</v>
      </c>
      <c r="U262" s="35" t="n">
        <v>79.805</v>
      </c>
      <c r="V262" s="35" t="n">
        <v>80.979</v>
      </c>
      <c r="W262" s="35" t="n">
        <v>83.408</v>
      </c>
      <c r="X262" s="35" t="n">
        <v>83.408</v>
      </c>
      <c r="Y262" s="35" t="n">
        <v>85.049</v>
      </c>
      <c r="Z262" s="35" t="n">
        <v>87.095</v>
      </c>
      <c r="AA262" s="35" t="n">
        <v>82.108</v>
      </c>
      <c r="AB262" s="35" t="n">
        <v>84.326</v>
      </c>
      <c r="AC262" s="35" t="n">
        <v>84.326</v>
      </c>
      <c r="AD262" s="35" t="n">
        <v>86.8</v>
      </c>
      <c r="AE262" s="35" t="n">
        <v>89.232</v>
      </c>
      <c r="AF262" s="35" t="n">
        <v>84.747</v>
      </c>
      <c r="AG262" s="35" t="n">
        <v>87.212</v>
      </c>
      <c r="AH262" s="35" t="n">
        <v>87.212</v>
      </c>
      <c r="AI262" s="35" t="n">
        <v>90.602</v>
      </c>
      <c r="AJ262" s="35" t="n">
        <v>93.68</v>
      </c>
      <c r="AK262" s="35" t="n">
        <v>96.352</v>
      </c>
      <c r="AL262" s="35" t="n">
        <v>104.757</v>
      </c>
      <c r="AM262" s="35" t="n">
        <v>104.757</v>
      </c>
      <c r="AN262" s="35" t="n">
        <v>112.288</v>
      </c>
      <c r="AO262" s="35" t="n">
        <v>115.278</v>
      </c>
      <c r="AP262" s="35" t="n">
        <v>26.376</v>
      </c>
      <c r="AQ262" s="35" t="n">
        <v>28.118</v>
      </c>
      <c r="AR262" s="35" t="n">
        <v>28.118</v>
      </c>
      <c r="AS262" s="35" t="n">
        <v>30.601</v>
      </c>
      <c r="AT262" s="35" t="n">
        <v>31.006</v>
      </c>
      <c r="AU262" s="35" t="n">
        <v>30.497</v>
      </c>
      <c r="AV262" s="35" t="n">
        <v>30.43</v>
      </c>
      <c r="AW262" s="35" t="n">
        <v>30.43</v>
      </c>
      <c r="AX262" s="35" t="n">
        <v>31.323</v>
      </c>
      <c r="AY262" s="35" t="n">
        <v>32.07</v>
      </c>
      <c r="AZ262" s="35" t="n">
        <v>33.157</v>
      </c>
      <c r="BA262" s="35" t="n">
        <v>33.868</v>
      </c>
      <c r="BB262" s="35" t="n">
        <v>33.868</v>
      </c>
      <c r="BC262" s="35" t="n">
        <v>36.565</v>
      </c>
      <c r="BD262" s="35" t="n">
        <v>38.438</v>
      </c>
      <c r="BE262" s="35" t="n">
        <v>39.853</v>
      </c>
      <c r="BF262" s="35" t="n">
        <v>42.17</v>
      </c>
      <c r="BG262" s="35" t="n">
        <v>42.17</v>
      </c>
      <c r="BH262" s="35" t="n">
        <v>45.037</v>
      </c>
      <c r="BI262" s="35" t="n">
        <v>41.777</v>
      </c>
      <c r="BJ262" s="35" t="n">
        <v>44.829</v>
      </c>
      <c r="BK262" s="35" t="n">
        <v>47.156</v>
      </c>
      <c r="BL262" s="35" t="n">
        <v>47.156</v>
      </c>
      <c r="BM262" s="35" t="n">
        <v>50.201</v>
      </c>
      <c r="BN262" s="35" t="n">
        <v>53.379</v>
      </c>
      <c r="BO262" s="35" t="n">
        <v>56.93</v>
      </c>
      <c r="BP262" s="35" t="n">
        <v>60.529</v>
      </c>
      <c r="BQ262" s="35" t="n">
        <v>60.529</v>
      </c>
      <c r="BR262" s="35" t="n">
        <v>64.201</v>
      </c>
      <c r="BS262" s="35" t="n">
        <v>67.756</v>
      </c>
      <c r="BT262" s="35" t="n">
        <v>71.087</v>
      </c>
      <c r="BU262" s="35" t="n">
        <v>73.856</v>
      </c>
      <c r="BV262" s="35" t="n">
        <v>73.856</v>
      </c>
      <c r="BW262" s="35" t="n">
        <v>78.461</v>
      </c>
      <c r="BX262" s="35" t="n">
        <v>82.859</v>
      </c>
      <c r="BY262" s="35" t="n">
        <v>77.243</v>
      </c>
      <c r="CA262" s="42" t="n">
        <f aca="false">BY262+BZ109+(CA201-SUM(BW201,BX201,BY201))+(CA202-SUM(BW202,BX202,BY202))</f>
        <v>82.7381249593434</v>
      </c>
      <c r="CB262" s="42" t="n">
        <f aca="false">CA262+CB109+CB201+CB202</f>
        <v>106.084526447133</v>
      </c>
      <c r="CC262" s="42" t="n">
        <f aca="false">CB262+CC109+CC201+CC202</f>
        <v>132.56891205094</v>
      </c>
      <c r="CD262" s="42" t="n">
        <f aca="false">CC262+CD109+CD201+CD202</f>
        <v>161.676014204191</v>
      </c>
      <c r="CE262" s="42" t="n">
        <f aca="false">CD262+CE109+CE201+CE202</f>
        <v>193.627025335102</v>
      </c>
      <c r="CF262" s="19" t="s">
        <v>405</v>
      </c>
    </row>
    <row r="263" customFormat="false" ht="15" hidden="false" customHeight="true" outlineLevel="0" collapsed="false">
      <c r="B263" s="16" t="s">
        <v>406</v>
      </c>
      <c r="C263" s="53" t="n">
        <f aca="false">IF(ISNUMBER(C261),C261+N(C262),"")</f>
        <v>317.258</v>
      </c>
      <c r="D263" s="53" t="n">
        <f aca="false">IF(ISNUMBER(D261),D261+N(D262),"")</f>
        <v>371.601</v>
      </c>
      <c r="E263" s="53" t="n">
        <f aca="false">IF(ISNUMBER(E261),E261+N(E262),"")</f>
        <v>417.76</v>
      </c>
      <c r="F263" s="53" t="n">
        <f aca="false">IF(ISNUMBER(F261),F261+N(F262),"")</f>
        <v>490.658</v>
      </c>
      <c r="G263" s="53" t="n">
        <f aca="false">IF(ISNUMBER(G261),G261+N(G262),"")</f>
        <v>554.826</v>
      </c>
      <c r="H263" s="53" t="n">
        <f aca="false">IF(ISNUMBER(H261),H261+N(H262),"")</f>
        <v>620.154</v>
      </c>
      <c r="I263" s="53" t="n">
        <f aca="false">IF(ISNUMBER(I261),I261+N(I262),"")</f>
        <v>719.759</v>
      </c>
      <c r="J263" s="53" t="n">
        <f aca="false">IF(ISNUMBER(J261),J261+N(J262),"")</f>
        <v>632.544</v>
      </c>
      <c r="K263" s="53" t="n">
        <f aca="false">IF(ISNUMBER(K261),K261+N(K262),"")</f>
        <v>658.682</v>
      </c>
      <c r="L263" s="53" t="n">
        <f aca="false">IF(ISNUMBER(L261),L261+N(L262),"")</f>
        <v>690.852</v>
      </c>
      <c r="M263" s="53" t="n">
        <f aca="false">IF(ISNUMBER(M261),M261+N(M262),"")</f>
        <v>723.235</v>
      </c>
      <c r="N263" s="53" t="n">
        <f aca="false">IF(ISNUMBER(N261),N261+N(N262),"")</f>
        <v>723.235</v>
      </c>
      <c r="O263" s="53" t="n">
        <f aca="false">IF(ISNUMBER(O261),O261+N(O262),"")</f>
        <v>727.741</v>
      </c>
      <c r="P263" s="53" t="n">
        <f aca="false">IF(ISNUMBER(P261),P261+N(P262),"")</f>
        <v>717.217</v>
      </c>
      <c r="Q263" s="53" t="n">
        <f aca="false">IF(ISNUMBER(Q261),Q261+N(Q262),"")</f>
        <v>745.294</v>
      </c>
      <c r="R263" s="53" t="n">
        <f aca="false">IF(ISNUMBER(R261),R261+N(R262),"")</f>
        <v>774.619</v>
      </c>
      <c r="S263" s="53" t="n">
        <f aca="false">IF(ISNUMBER(S261),S261+N(S262),"")</f>
        <v>774.619</v>
      </c>
      <c r="T263" s="53" t="n">
        <f aca="false">IF(ISNUMBER(T261),T261+N(T262),"")</f>
        <v>783.937</v>
      </c>
      <c r="U263" s="53" t="n">
        <f aca="false">IF(ISNUMBER(U261),U261+N(U262),"")</f>
        <v>828.401</v>
      </c>
      <c r="V263" s="53" t="n">
        <f aca="false">IF(ISNUMBER(V261),V261+N(V262),"")</f>
        <v>856.582</v>
      </c>
      <c r="W263" s="53" t="n">
        <f aca="false">IF(ISNUMBER(W261),W261+N(W262),"")</f>
        <v>893.271</v>
      </c>
      <c r="X263" s="53" t="n">
        <f aca="false">IF(ISNUMBER(X261),X261+N(X262),"")</f>
        <v>893.271</v>
      </c>
      <c r="Y263" s="53" t="n">
        <f aca="false">IF(ISNUMBER(Y261),Y261+N(Y262),"")</f>
        <v>922.218</v>
      </c>
      <c r="Z263" s="53" t="n">
        <f aca="false">IF(ISNUMBER(Z261),Z261+N(Z262),"")</f>
        <v>978.441</v>
      </c>
      <c r="AA263" s="53" t="n">
        <f aca="false">IF(ISNUMBER(AA261),AA261+N(AA262),"")</f>
        <v>1012.27</v>
      </c>
      <c r="AB263" s="53" t="n">
        <f aca="false">IF(ISNUMBER(AB261),AB261+N(AB262),"")</f>
        <v>1047.705</v>
      </c>
      <c r="AC263" s="53" t="n">
        <f aca="false">IF(ISNUMBER(AC261),AC261+N(AC262),"")</f>
        <v>1047.705</v>
      </c>
      <c r="AD263" s="53" t="n">
        <f aca="false">IF(ISNUMBER(AD261),AD261+N(AD262),"")</f>
        <v>1088.592</v>
      </c>
      <c r="AE263" s="53" t="n">
        <f aca="false">IF(ISNUMBER(AE261),AE261+N(AE262),"")</f>
        <v>1138.531</v>
      </c>
      <c r="AF263" s="53" t="n">
        <f aca="false">IF(ISNUMBER(AF261),AF261+N(AF262),"")</f>
        <v>1196.669</v>
      </c>
      <c r="AG263" s="53" t="n">
        <f aca="false">IF(ISNUMBER(AG261),AG261+N(AG262),"")</f>
        <v>1248.292</v>
      </c>
      <c r="AH263" s="53" t="n">
        <f aca="false">IF(ISNUMBER(AH261),AH261+N(AH262),"")</f>
        <v>1248.292</v>
      </c>
      <c r="AI263" s="53" t="n">
        <f aca="false">IF(ISNUMBER(AI261),AI261+N(AI262),"")</f>
        <v>1330.014</v>
      </c>
      <c r="AJ263" s="53" t="n">
        <f aca="false">IF(ISNUMBER(AJ261),AJ261+N(AJ262),"")</f>
        <v>1369.507</v>
      </c>
      <c r="AK263" s="53" t="n">
        <f aca="false">IF(ISNUMBER(AK261),AK261+N(AK262),"")</f>
        <v>1430.322</v>
      </c>
      <c r="AL263" s="53" t="n">
        <f aca="false">IF(ISNUMBER(AL261),AL261+N(AL262),"")</f>
        <v>1503.008</v>
      </c>
      <c r="AM263" s="53" t="n">
        <f aca="false">IF(ISNUMBER(AM261),AM261+N(AM262),"")</f>
        <v>1503.008</v>
      </c>
      <c r="AN263" s="53" t="n">
        <f aca="false">IF(ISNUMBER(AN261),AN261+N(AN262),"")</f>
        <v>1601.755</v>
      </c>
      <c r="AO263" s="53" t="n">
        <f aca="false">IF(ISNUMBER(AO261),AO261+N(AO262),"")</f>
        <v>1662.164</v>
      </c>
      <c r="AP263" s="53" t="n">
        <f aca="false">IF(ISNUMBER(AP261),AP261+N(AP262),"")</f>
        <v>1642.375</v>
      </c>
      <c r="AQ263" s="53" t="n">
        <f aca="false">IF(ISNUMBER(AQ261),AQ261+N(AQ262),"")</f>
        <v>1694.66</v>
      </c>
      <c r="AR263" s="53" t="n">
        <f aca="false">IF(ISNUMBER(AR261),AR261+N(AR262),"")</f>
        <v>1694.66</v>
      </c>
      <c r="AS263" s="53" t="n">
        <f aca="false">IF(ISNUMBER(AS261),AS261+N(AS262),"")</f>
        <v>1809.247</v>
      </c>
      <c r="AT263" s="53" t="n">
        <f aca="false">IF(ISNUMBER(AT261),AT261+N(AT262),"")</f>
        <v>1889.52</v>
      </c>
      <c r="AU263" s="53" t="n">
        <f aca="false">IF(ISNUMBER(AU261),AU261+N(AU262),"")</f>
        <v>1952.212</v>
      </c>
      <c r="AV263" s="53" t="n">
        <f aca="false">IF(ISNUMBER(AV261),AV261+N(AV262),"")</f>
        <v>2010.607</v>
      </c>
      <c r="AW263" s="53" t="n">
        <f aca="false">IF(ISNUMBER(AW261),AW261+N(AW262),"")</f>
        <v>2010.607</v>
      </c>
      <c r="AX263" s="53" t="n">
        <f aca="false">IF(ISNUMBER(AX261),AX261+N(AX262),"")</f>
        <v>2080.159</v>
      </c>
      <c r="AY263" s="53" t="n">
        <f aca="false">IF(ISNUMBER(AY261),AY261+N(AY262),"")</f>
        <v>2159.89</v>
      </c>
      <c r="AZ263" s="53" t="n">
        <f aca="false">IF(ISNUMBER(AZ261),AZ261+N(AZ262),"")</f>
        <v>2220.086</v>
      </c>
      <c r="BA263" s="53" t="n">
        <f aca="false">IF(ISNUMBER(BA261),BA261+N(BA262),"")</f>
        <v>2296.939</v>
      </c>
      <c r="BB263" s="53" t="n">
        <f aca="false">IF(ISNUMBER(BB261),BB261+N(BB262),"")</f>
        <v>2296.939</v>
      </c>
      <c r="BC263" s="53" t="n">
        <f aca="false">IF(ISNUMBER(BC261),BC261+N(BC262),"")</f>
        <v>2342.056</v>
      </c>
      <c r="BD263" s="53" t="n">
        <f aca="false">IF(ISNUMBER(BD261),BD261+N(BD262),"")</f>
        <v>2420.474</v>
      </c>
      <c r="BE263" s="53" t="n">
        <f aca="false">IF(ISNUMBER(BE261),BE261+N(BE262),"")</f>
        <v>2491.984</v>
      </c>
      <c r="BF263" s="53" t="n">
        <f aca="false">IF(ISNUMBER(BF261),BF261+N(BF262),"")</f>
        <v>2648.306</v>
      </c>
      <c r="BG263" s="53" t="n">
        <f aca="false">IF(ISNUMBER(BG261),BG261+N(BG262),"")</f>
        <v>2648.306</v>
      </c>
      <c r="BH263" s="53" t="n">
        <f aca="false">IF(ISNUMBER(BH261),BH261+N(BH262),"")</f>
        <v>2744.174</v>
      </c>
      <c r="BI263" s="53" t="n">
        <f aca="false">IF(ISNUMBER(BI261),BI261+N(BI262),"")</f>
        <v>2859.667</v>
      </c>
      <c r="BJ263" s="53" t="n">
        <f aca="false">IF(ISNUMBER(BJ261),BJ261+N(BJ262),"")</f>
        <v>2959.196</v>
      </c>
      <c r="BK263" s="53" t="n">
        <f aca="false">IF(ISNUMBER(BK261),BK261+N(BK262),"")</f>
        <v>3193.151</v>
      </c>
      <c r="BL263" s="53" t="n">
        <f aca="false">IF(ISNUMBER(BL261),BL261+N(BL262),"")</f>
        <v>3193.151</v>
      </c>
      <c r="BM263" s="53" t="n">
        <f aca="false">IF(ISNUMBER(BM261),BM261+N(BM262),"")</f>
        <v>3316.639</v>
      </c>
      <c r="BN263" s="53" t="n">
        <f aca="false">IF(ISNUMBER(BN261),BN261+N(BN262),"")</f>
        <v>3442.806</v>
      </c>
      <c r="BO263" s="53" t="n">
        <f aca="false">IF(ISNUMBER(BO261),BO261+N(BO262),"")</f>
        <v>3596.906</v>
      </c>
      <c r="BP263" s="53" t="n">
        <f aca="false">IF(ISNUMBER(BP261),BP261+N(BP262),"")</f>
        <v>3697.406</v>
      </c>
      <c r="BQ263" s="53" t="n">
        <f aca="false">IF(ISNUMBER(BQ261),BQ261+N(BQ262),"")</f>
        <v>3697.406</v>
      </c>
      <c r="BR263" s="53" t="n">
        <f aca="false">IF(ISNUMBER(BR261),BR261+N(BR262),"")</f>
        <v>3810.728</v>
      </c>
      <c r="BS263" s="53" t="n">
        <f aca="false">IF(ISNUMBER(BS261),BS261+N(BS262),"")</f>
        <v>4035.307</v>
      </c>
      <c r="BT263" s="53" t="n">
        <f aca="false">IF(ISNUMBER(BT261),BT261+N(BT262),"")</f>
        <v>4212.453</v>
      </c>
      <c r="BU263" s="53" t="n">
        <f aca="false">IF(ISNUMBER(BU261),BU261+N(BU262),"")</f>
        <v>4379.175</v>
      </c>
      <c r="BV263" s="53" t="n">
        <f aca="false">IF(ISNUMBER(BV261),BV261+N(BV262),"")</f>
        <v>4379.175</v>
      </c>
      <c r="BW263" s="53" t="n">
        <f aca="false">IF(ISNUMBER(BW261),BW261+N(BW262),"")</f>
        <v>4581.148</v>
      </c>
      <c r="BX263" s="53" t="n">
        <f aca="false">IF(ISNUMBER(BX261),BX261+N(BX262),"")</f>
        <v>4854.917</v>
      </c>
      <c r="BY263" s="53" t="n">
        <f aca="false">IF(ISNUMBER(BY261),BY261+N(BY262),"")</f>
        <v>5024.932</v>
      </c>
      <c r="CA263" s="18" t="n">
        <f aca="false">IF(ISNUMBER(CA261),CA261+N(CA262),"")</f>
        <v>5284.15769367305</v>
      </c>
      <c r="CB263" s="18" t="n">
        <f aca="false">IF(ISNUMBER(CB261),CB261+N(CB262),"")</f>
        <v>6342.87449024414</v>
      </c>
      <c r="CC263" s="18" t="n">
        <f aca="false">IF(ISNUMBER(CC261),CC261+N(CC262),"")</f>
        <v>7009.58514445835</v>
      </c>
      <c r="CD263" s="18" t="n">
        <f aca="false">IF(ISNUMBER(CD261),CD261+N(CD262),"")</f>
        <v>7746.93506299541</v>
      </c>
      <c r="CE263" s="18" t="n">
        <f aca="false">IF(ISNUMBER(CE261),CE261+N(CE262),"")</f>
        <v>8477.37943727957</v>
      </c>
    </row>
    <row r="264" customFormat="false" ht="15" hidden="false" customHeight="true" outlineLevel="0" collapsed="false">
      <c r="B264" s="49" t="s">
        <v>407</v>
      </c>
      <c r="C264" s="50" t="n">
        <f aca="false">IF(ISNUMBER(C255),C255+N(C256)+C263,"")</f>
        <v>534.815</v>
      </c>
      <c r="D264" s="50" t="n">
        <f aca="false">IF(ISNUMBER(D255),D255+N(D256)+D263,"")</f>
        <v>631.302</v>
      </c>
      <c r="E264" s="50" t="n">
        <f aca="false">IF(ISNUMBER(E255),E255+N(E256)+E263,"")</f>
        <v>676.542</v>
      </c>
      <c r="F264" s="50" t="n">
        <f aca="false">IF(ISNUMBER(F255),F255+N(F256)+F263,"")</f>
        <v>732.91</v>
      </c>
      <c r="G264" s="50" t="n">
        <f aca="false">IF(ISNUMBER(G255),G255+N(G256)+G263,"")</f>
        <v>781.643</v>
      </c>
      <c r="H264" s="50" t="n">
        <f aca="false">IF(ISNUMBER(H255),H255+N(H256)+H263,"")</f>
        <v>941.069</v>
      </c>
      <c r="I264" s="50" t="n">
        <f aca="false">IF(ISNUMBER(I255),I255+N(I256)+I263,"")</f>
        <v>1192.846</v>
      </c>
      <c r="J264" s="50" t="n">
        <f aca="false">IF(ISNUMBER(J255),J255+N(J256)+J263,"")</f>
        <v>1192.521</v>
      </c>
      <c r="K264" s="50" t="n">
        <f aca="false">IF(ISNUMBER(K255),K255+N(K256)+K263,"")</f>
        <v>1209.215</v>
      </c>
      <c r="L264" s="50" t="n">
        <f aca="false">IF(ISNUMBER(L255),L255+N(L256)+L263,"")</f>
        <v>1386.665</v>
      </c>
      <c r="M264" s="50" t="n">
        <f aca="false">IF(ISNUMBER(M255),M255+N(M256)+M263,"")</f>
        <v>1533.015</v>
      </c>
      <c r="N264" s="50" t="n">
        <f aca="false">IF(ISNUMBER(N255),N255+N(N256)+N263,"")</f>
        <v>1533.015</v>
      </c>
      <c r="O264" s="50" t="n">
        <f aca="false">IF(ISNUMBER(O255),O255+N(O256)+O263,"")</f>
        <v>1523.566</v>
      </c>
      <c r="P264" s="50" t="n">
        <f aca="false">IF(ISNUMBER(P255),P255+N(P256)+P263,"")</f>
        <v>1547.442</v>
      </c>
      <c r="Q264" s="50" t="n">
        <f aca="false">IF(ISNUMBER(Q255),Q255+N(Q256)+Q263,"")</f>
        <v>1507.123</v>
      </c>
      <c r="R264" s="50" t="n">
        <f aca="false">IF(ISNUMBER(R255),R255+N(R256)+R263,"")</f>
        <v>1489.214</v>
      </c>
      <c r="S264" s="50" t="n">
        <f aca="false">IF(ISNUMBER(S255),S255+N(S256)+S263,"")</f>
        <v>1489.214</v>
      </c>
      <c r="T264" s="50" t="n">
        <f aca="false">IF(ISNUMBER(T255),T255+N(T256)+T263,"")</f>
        <v>1575.26</v>
      </c>
      <c r="U264" s="50" t="n">
        <f aca="false">IF(ISNUMBER(U255),U255+N(U256)+U263,"")</f>
        <v>1580.594</v>
      </c>
      <c r="V264" s="50" t="n">
        <f aca="false">IF(ISNUMBER(V255),V255+N(V256)+V263,"")</f>
        <v>1588.414</v>
      </c>
      <c r="W264" s="50" t="n">
        <f aca="false">IF(ISNUMBER(W255),W255+N(W256)+W263,"")</f>
        <v>1736.387</v>
      </c>
      <c r="X264" s="50" t="n">
        <f aca="false">IF(ISNUMBER(X255),X255+N(X256)+X263,"")</f>
        <v>1736.387</v>
      </c>
      <c r="Y264" s="50" t="n">
        <f aca="false">IF(ISNUMBER(Y255),Y255+N(Y256)+Y263,"")</f>
        <v>1981.5</v>
      </c>
      <c r="Z264" s="50" t="n">
        <f aca="false">IF(ISNUMBER(Z255),Z255+N(Z256)+Z263,"")</f>
        <v>2017.112</v>
      </c>
      <c r="AA264" s="50" t="n">
        <f aca="false">IF(ISNUMBER(AA255),AA255+N(AA256)+AA263,"")</f>
        <v>2017.32</v>
      </c>
      <c r="AB264" s="50" t="n">
        <f aca="false">IF(ISNUMBER(AB255),AB255+N(AB256)+AB263,"")</f>
        <v>2039.463</v>
      </c>
      <c r="AC264" s="50" t="n">
        <f aca="false">IF(ISNUMBER(AC255),AC255+N(AC256)+AC263,"")</f>
        <v>2039.463</v>
      </c>
      <c r="AD264" s="50" t="n">
        <f aca="false">IF(ISNUMBER(AD255),AD255+N(AD256)+AD263,"")</f>
        <v>2031.422</v>
      </c>
      <c r="AE264" s="50" t="n">
        <f aca="false">IF(ISNUMBER(AE255),AE255+N(AE256)+AE263,"")</f>
        <v>2177.339</v>
      </c>
      <c r="AF264" s="50" t="n">
        <f aca="false">IF(ISNUMBER(AF255),AF255+N(AF256)+AF263,"")</f>
        <v>2223.723</v>
      </c>
      <c r="AG264" s="50" t="n">
        <f aca="false">IF(ISNUMBER(AG255),AG255+N(AG256)+AG263,"")</f>
        <v>2512.431</v>
      </c>
      <c r="AH264" s="50" t="n">
        <f aca="false">IF(ISNUMBER(AH255),AH255+N(AH256)+AH263,"")</f>
        <v>2512.431</v>
      </c>
      <c r="AI264" s="50" t="n">
        <f aca="false">IF(ISNUMBER(AI255),AI255+N(AI256)+AI263,"")</f>
        <v>2570.442</v>
      </c>
      <c r="AJ264" s="50" t="n">
        <f aca="false">IF(ISNUMBER(AJ255),AJ255+N(AJ256)+AJ263,"")</f>
        <v>2627.881</v>
      </c>
      <c r="AK264" s="50" t="n">
        <f aca="false">IF(ISNUMBER(AK255),AK255+N(AK256)+AK263,"")</f>
        <v>2654.839</v>
      </c>
      <c r="AL264" s="50" t="n">
        <f aca="false">IF(ISNUMBER(AL255),AL255+N(AL256)+AL263,"")</f>
        <v>2653.396</v>
      </c>
      <c r="AM264" s="50" t="n">
        <f aca="false">IF(ISNUMBER(AM255),AM255+N(AM256)+AM263,"")</f>
        <v>2653.396</v>
      </c>
      <c r="AN264" s="50" t="n">
        <f aca="false">IF(ISNUMBER(AN255),AN255+N(AN256)+AN263,"")</f>
        <v>2797.014</v>
      </c>
      <c r="AO264" s="50" t="n">
        <f aca="false">IF(ISNUMBER(AO255),AO255+N(AO256)+AO263,"")</f>
        <v>2853.64</v>
      </c>
      <c r="AP264" s="50" t="n">
        <f aca="false">IF(ISNUMBER(AP255),AP255+N(AP256)+AP263,"")</f>
        <v>2960.288</v>
      </c>
      <c r="AQ264" s="50" t="n">
        <f aca="false">IF(ISNUMBER(AQ255),AQ255+N(AQ256)+AQ263,"")</f>
        <v>2969.211</v>
      </c>
      <c r="AR264" s="50" t="n">
        <f aca="false">IF(ISNUMBER(AR255),AR255+N(AR256)+AR263,"")</f>
        <v>2969.211</v>
      </c>
      <c r="AS264" s="50" t="n">
        <f aca="false">IF(ISNUMBER(AS255),AS255+N(AS256)+AS263,"")</f>
        <v>3097.121</v>
      </c>
      <c r="AT264" s="50" t="n">
        <f aca="false">IF(ISNUMBER(AT255),AT255+N(AT256)+AT263,"")</f>
        <v>3364.835</v>
      </c>
      <c r="AU264" s="50" t="n">
        <f aca="false">IF(ISNUMBER(AU255),AU255+N(AU256)+AU263,"")</f>
        <v>3423.25</v>
      </c>
      <c r="AV264" s="50" t="n">
        <f aca="false">IF(ISNUMBER(AV255),AV255+N(AV256)+AV263,"")</f>
        <v>3547.711</v>
      </c>
      <c r="AW264" s="50" t="n">
        <f aca="false">IF(ISNUMBER(AW255),AW255+N(AW256)+AW263,"")</f>
        <v>3547.711</v>
      </c>
      <c r="AX264" s="50" t="n">
        <f aca="false">IF(ISNUMBER(AX255),AX255+N(AX256)+AX263,"")</f>
        <v>3565.584</v>
      </c>
      <c r="AY264" s="50" t="n">
        <f aca="false">IF(ISNUMBER(AY255),AY255+N(AY256)+AY263,"")</f>
        <v>3595.168</v>
      </c>
      <c r="AZ264" s="50" t="n">
        <f aca="false">IF(ISNUMBER(AZ255),AZ255+N(AZ256)+AZ263,"")</f>
        <v>3461.635</v>
      </c>
      <c r="BA264" s="50" t="n">
        <f aca="false">IF(ISNUMBER(BA255),BA255+N(BA256)+BA263,"")</f>
        <v>3498.407</v>
      </c>
      <c r="BB264" s="50" t="n">
        <f aca="false">IF(ISNUMBER(BB255),BB255+N(BB256)+BB263,"")</f>
        <v>3498.407</v>
      </c>
      <c r="BC264" s="50" t="n">
        <f aca="false">IF(ISNUMBER(BC255),BC255+N(BC256)+BC263,"")</f>
        <v>3513.895</v>
      </c>
      <c r="BD264" s="50" t="n">
        <f aca="false">IF(ISNUMBER(BD255),BD255+N(BD256)+BD263,"")</f>
        <v>3685.333</v>
      </c>
      <c r="BE264" s="50" t="n">
        <f aca="false">IF(ISNUMBER(BE255),BE255+N(BE256)+BE263,"")</f>
        <v>3787.351</v>
      </c>
      <c r="BF264" s="50" t="n">
        <f aca="false">IF(ISNUMBER(BF255),BF255+N(BF256)+BF263,"")</f>
        <v>4095.496</v>
      </c>
      <c r="BG264" s="50" t="n">
        <f aca="false">IF(ISNUMBER(BG255),BG255+N(BG256)+BG263,"")</f>
        <v>4095.496</v>
      </c>
      <c r="BH264" s="50" t="n">
        <f aca="false">IF(ISNUMBER(BH255),BH255+N(BH256)+BH263,"")</f>
        <v>4804.62</v>
      </c>
      <c r="BI264" s="50" t="n">
        <f aca="false">IF(ISNUMBER(BI255),BI255+N(BI256)+BI263,"")</f>
        <v>4870.199</v>
      </c>
      <c r="BJ264" s="50" t="n">
        <f aca="false">IF(ISNUMBER(BJ255),BJ255+N(BJ256)+BJ263,"")</f>
        <v>5453.302</v>
      </c>
      <c r="BK264" s="50" t="n">
        <f aca="false">IF(ISNUMBER(BK255),BK255+N(BK256)+BK263,"")</f>
        <v>7195.063</v>
      </c>
      <c r="BL264" s="50" t="n">
        <f aca="false">IF(ISNUMBER(BL255),BL255+N(BL256)+BL263,"")</f>
        <v>7195.063</v>
      </c>
      <c r="BM264" s="50" t="n">
        <f aca="false">IF(ISNUMBER(BM255),BM255+N(BM256)+BM263,"")</f>
        <v>7336.069</v>
      </c>
      <c r="BN264" s="50" t="n">
        <f aca="false">IF(ISNUMBER(BN255),BN255+N(BN256)+BN263,"")</f>
        <v>7365.845</v>
      </c>
      <c r="BO264" s="50" t="n">
        <f aca="false">IF(ISNUMBER(BO255),BO255+N(BO256)+BO263,"")</f>
        <v>7422.436</v>
      </c>
      <c r="BP264" s="50" t="n">
        <f aca="false">IF(ISNUMBER(BP255),BP255+N(BP256)+BP263,"")</f>
        <v>7592.822</v>
      </c>
      <c r="BQ264" s="50" t="n">
        <f aca="false">IF(ISNUMBER(BQ255),BQ255+N(BQ256)+BQ263,"")</f>
        <v>7592.822</v>
      </c>
      <c r="BR264" s="50" t="n">
        <f aca="false">IF(ISNUMBER(BR255),BR255+N(BR256)+BR263,"")</f>
        <v>7890.711</v>
      </c>
      <c r="BS264" s="50" t="n">
        <f aca="false">IF(ISNUMBER(BS255),BS255+N(BS256)+BS263,"")</f>
        <v>8092.176</v>
      </c>
      <c r="BT264" s="50" t="n">
        <f aca="false">IF(ISNUMBER(BT255),BT255+N(BT256)+BT263,"")</f>
        <v>8531.623</v>
      </c>
      <c r="BU264" s="50" t="n">
        <f aca="false">IF(ISNUMBER(BU255),BU255+N(BU256)+BU263,"")</f>
        <v>8500.434</v>
      </c>
      <c r="BV264" s="50" t="n">
        <f aca="false">IF(ISNUMBER(BV255),BV255+N(BV256)+BV263,"")</f>
        <v>8500.434</v>
      </c>
      <c r="BW264" s="50" t="n">
        <f aca="false">IF(ISNUMBER(BW255),BW255+N(BW256)+BW263,"")</f>
        <v>9043.696</v>
      </c>
      <c r="BX264" s="50" t="n">
        <f aca="false">IF(ISNUMBER(BX255),BX255+N(BX256)+BX263,"")</f>
        <v>9592.213</v>
      </c>
      <c r="BY264" s="50" t="n">
        <f aca="false">IF(ISNUMBER(BY255),BY255+N(BY256)+BY263,"")</f>
        <v>9936.611</v>
      </c>
      <c r="CA264" s="50" t="n">
        <f aca="false">IF(ISNUMBER(CA255),CA255+N(CA256)+CA263,"")</f>
        <v>10072.690455883</v>
      </c>
      <c r="CB264" s="50" t="n">
        <f aca="false">IF(ISNUMBER(CB255),CB255+N(CB256)+CB263,"")</f>
        <v>11268.8628492803</v>
      </c>
      <c r="CC264" s="50" t="n">
        <f aca="false">IF(ISNUMBER(CC255),CC255+N(CC256)+CC263,"")</f>
        <v>12060.0884980934</v>
      </c>
      <c r="CD264" s="50" t="n">
        <f aca="false">IF(ISNUMBER(CD255),CD255+N(CD256)+CD263,"")</f>
        <v>12923.5563712793</v>
      </c>
      <c r="CE264" s="50" t="n">
        <f aca="false">IF(ISNUMBER(CE255),CE255+N(CE256)+CE263,"")</f>
        <v>13926.9259061392</v>
      </c>
    </row>
    <row r="265" customFormat="false" ht="15" hidden="false" customHeight="true" outlineLevel="0" collapsed="false">
      <c r="B265" s="51" t="s">
        <v>408</v>
      </c>
      <c r="C265" s="36" t="n">
        <f aca="false">IF(ISNUMBER(C245),ROUND(C245-C264,1),"")</f>
        <v>0</v>
      </c>
      <c r="D265" s="36" t="n">
        <f aca="false">IF(ISNUMBER(D245),ROUND(D245-D264,1),"")</f>
        <v>0</v>
      </c>
      <c r="E265" s="36" t="n">
        <f aca="false">IF(ISNUMBER(E245),ROUND(E245-E264,1),"")</f>
        <v>0</v>
      </c>
      <c r="F265" s="36" t="n">
        <f aca="false">IF(ISNUMBER(F245),ROUND(F245-F264,1),"")</f>
        <v>0</v>
      </c>
      <c r="G265" s="36" t="n">
        <f aca="false">IF(ISNUMBER(G245),ROUND(G245-G264,1),"")</f>
        <v>0</v>
      </c>
      <c r="H265" s="36" t="n">
        <f aca="false">IF(ISNUMBER(H245),ROUND(H245-H264,1),"")</f>
        <v>0</v>
      </c>
      <c r="I265" s="36" t="n">
        <f aca="false">IF(ISNUMBER(I245),ROUND(I245-I264,1),"")</f>
        <v>0</v>
      </c>
      <c r="J265" s="36" t="n">
        <f aca="false">IF(ISNUMBER(J245),ROUND(J245-J264,1),"")</f>
        <v>0</v>
      </c>
      <c r="K265" s="36" t="n">
        <f aca="false">IF(ISNUMBER(K245),ROUND(K245-K264,1),"")</f>
        <v>0</v>
      </c>
      <c r="L265" s="36" t="n">
        <f aca="false">IF(ISNUMBER(L245),ROUND(L245-L264,1),"")</f>
        <v>0</v>
      </c>
      <c r="M265" s="36" t="n">
        <f aca="false">IF(ISNUMBER(M245),ROUND(M245-M264,1),"")</f>
        <v>0</v>
      </c>
      <c r="N265" s="36" t="n">
        <f aca="false">IF(ISNUMBER(N245),ROUND(N245-N264,1),"")</f>
        <v>0</v>
      </c>
      <c r="O265" s="36" t="n">
        <f aca="false">IF(ISNUMBER(O245),ROUND(O245-O264,1),"")</f>
        <v>0</v>
      </c>
      <c r="P265" s="36" t="n">
        <f aca="false">IF(ISNUMBER(P245),ROUND(P245-P264,1),"")</f>
        <v>0</v>
      </c>
      <c r="Q265" s="36" t="n">
        <f aca="false">IF(ISNUMBER(Q245),ROUND(Q245-Q264,1),"")</f>
        <v>0</v>
      </c>
      <c r="R265" s="36" t="n">
        <f aca="false">IF(ISNUMBER(R245),ROUND(R245-R264,1),"")</f>
        <v>0</v>
      </c>
      <c r="S265" s="36" t="n">
        <f aca="false">IF(ISNUMBER(S245),ROUND(S245-S264,1),"")</f>
        <v>0</v>
      </c>
      <c r="T265" s="36" t="n">
        <f aca="false">IF(ISNUMBER(T245),ROUND(T245-T264,1),"")</f>
        <v>0</v>
      </c>
      <c r="U265" s="36" t="n">
        <f aca="false">IF(ISNUMBER(U245),ROUND(U245-U264,1),"")</f>
        <v>0</v>
      </c>
      <c r="V265" s="36" t="n">
        <f aca="false">IF(ISNUMBER(V245),ROUND(V245-V264,1),"")</f>
        <v>0</v>
      </c>
      <c r="W265" s="36" t="n">
        <f aca="false">IF(ISNUMBER(W245),ROUND(W245-W264,1),"")</f>
        <v>0</v>
      </c>
      <c r="X265" s="36" t="n">
        <f aca="false">IF(ISNUMBER(X245),ROUND(X245-X264,1),"")</f>
        <v>0</v>
      </c>
      <c r="Y265" s="36" t="n">
        <f aca="false">IF(ISNUMBER(Y245),ROUND(Y245-Y264,1),"")</f>
        <v>0</v>
      </c>
      <c r="Z265" s="36" t="n">
        <f aca="false">IF(ISNUMBER(Z245),ROUND(Z245-Z264,1),"")</f>
        <v>0</v>
      </c>
      <c r="AA265" s="36" t="n">
        <f aca="false">IF(ISNUMBER(AA245),ROUND(AA245-AA264,1),"")</f>
        <v>0</v>
      </c>
      <c r="AB265" s="36" t="n">
        <f aca="false">IF(ISNUMBER(AB245),ROUND(AB245-AB264,1),"")</f>
        <v>0</v>
      </c>
      <c r="AC265" s="36" t="n">
        <f aca="false">IF(ISNUMBER(AC245),ROUND(AC245-AC264,1),"")</f>
        <v>0</v>
      </c>
      <c r="AD265" s="36" t="n">
        <f aca="false">IF(ISNUMBER(AD245),ROUND(AD245-AD264,1),"")</f>
        <v>0</v>
      </c>
      <c r="AE265" s="36" t="n">
        <f aca="false">IF(ISNUMBER(AE245),ROUND(AE245-AE264,1),"")</f>
        <v>0</v>
      </c>
      <c r="AF265" s="36" t="n">
        <f aca="false">IF(ISNUMBER(AF245),ROUND(AF245-AF264,1),"")</f>
        <v>0</v>
      </c>
      <c r="AG265" s="36" t="n">
        <f aca="false">IF(ISNUMBER(AG245),ROUND(AG245-AG264,1),"")</f>
        <v>0</v>
      </c>
      <c r="AH265" s="36" t="n">
        <f aca="false">IF(ISNUMBER(AH245),ROUND(AH245-AH264,1),"")</f>
        <v>0</v>
      </c>
      <c r="AI265" s="36" t="n">
        <f aca="false">IF(ISNUMBER(AI245),ROUND(AI245-AI264,1),"")</f>
        <v>0</v>
      </c>
      <c r="AJ265" s="36" t="n">
        <f aca="false">IF(ISNUMBER(AJ245),ROUND(AJ245-AJ264,1),"")</f>
        <v>0</v>
      </c>
      <c r="AK265" s="36" t="n">
        <f aca="false">IF(ISNUMBER(AK245),ROUND(AK245-AK264,1),"")</f>
        <v>0</v>
      </c>
      <c r="AL265" s="36" t="n">
        <f aca="false">IF(ISNUMBER(AL245),ROUND(AL245-AL264,1),"")</f>
        <v>0</v>
      </c>
      <c r="AM265" s="36" t="n">
        <f aca="false">IF(ISNUMBER(AM245),ROUND(AM245-AM264,1),"")</f>
        <v>0</v>
      </c>
      <c r="AN265" s="36" t="n">
        <f aca="false">IF(ISNUMBER(AN245),ROUND(AN245-AN264,1),"")</f>
        <v>0</v>
      </c>
      <c r="AO265" s="36" t="n">
        <f aca="false">IF(ISNUMBER(AO245),ROUND(AO245-AO264,1),"")</f>
        <v>0</v>
      </c>
      <c r="AP265" s="36" t="n">
        <f aca="false">IF(ISNUMBER(AP245),ROUND(AP245-AP264,1),"")</f>
        <v>0</v>
      </c>
      <c r="AQ265" s="36" t="n">
        <f aca="false">IF(ISNUMBER(AQ245),ROUND(AQ245-AQ264,1),"")</f>
        <v>0</v>
      </c>
      <c r="AR265" s="36" t="n">
        <f aca="false">IF(ISNUMBER(AR245),ROUND(AR245-AR264,1),"")</f>
        <v>0</v>
      </c>
      <c r="AS265" s="36" t="n">
        <f aca="false">IF(ISNUMBER(AS245),ROUND(AS245-AS264,1),"")</f>
        <v>0</v>
      </c>
      <c r="AT265" s="36" t="n">
        <f aca="false">IF(ISNUMBER(AT245),ROUND(AT245-AT264,1),"")</f>
        <v>0</v>
      </c>
      <c r="AU265" s="36" t="n">
        <f aca="false">IF(ISNUMBER(AU245),ROUND(AU245-AU264,1),"")</f>
        <v>0</v>
      </c>
      <c r="AV265" s="36" t="n">
        <f aca="false">IF(ISNUMBER(AV245),ROUND(AV245-AV264,1),"")</f>
        <v>0</v>
      </c>
      <c r="AW265" s="36" t="n">
        <f aca="false">IF(ISNUMBER(AW245),ROUND(AW245-AW264,1),"")</f>
        <v>0</v>
      </c>
      <c r="AX265" s="36" t="n">
        <f aca="false">IF(ISNUMBER(AX245),ROUND(AX245-AX264,1),"")</f>
        <v>0</v>
      </c>
      <c r="AY265" s="36" t="n">
        <f aca="false">IF(ISNUMBER(AY245),ROUND(AY245-AY264,1),"")</f>
        <v>0</v>
      </c>
      <c r="AZ265" s="36" t="n">
        <f aca="false">IF(ISNUMBER(AZ245),ROUND(AZ245-AZ264,1),"")</f>
        <v>0</v>
      </c>
      <c r="BA265" s="36" t="n">
        <f aca="false">IF(ISNUMBER(BA245),ROUND(BA245-BA264,1),"")</f>
        <v>0</v>
      </c>
      <c r="BB265" s="36" t="n">
        <f aca="false">IF(ISNUMBER(BB245),ROUND(BB245-BB264,1),"")</f>
        <v>0</v>
      </c>
      <c r="BC265" s="36" t="n">
        <f aca="false">IF(ISNUMBER(BC245),ROUND(BC245-BC264,1),"")</f>
        <v>0</v>
      </c>
      <c r="BD265" s="36" t="n">
        <f aca="false">IF(ISNUMBER(BD245),ROUND(BD245-BD264,1),"")</f>
        <v>0</v>
      </c>
      <c r="BE265" s="36" t="n">
        <f aca="false">IF(ISNUMBER(BE245),ROUND(BE245-BE264,1),"")</f>
        <v>0</v>
      </c>
      <c r="BF265" s="36" t="n">
        <f aca="false">IF(ISNUMBER(BF245),ROUND(BF245-BF264,1),"")</f>
        <v>0</v>
      </c>
      <c r="BG265" s="36" t="n">
        <f aca="false">IF(ISNUMBER(BG245),ROUND(BG245-BG264,1),"")</f>
        <v>0</v>
      </c>
      <c r="BH265" s="36" t="n">
        <f aca="false">IF(ISNUMBER(BH245),ROUND(BH245-BH264,1),"")</f>
        <v>0</v>
      </c>
      <c r="BI265" s="36" t="n">
        <f aca="false">IF(ISNUMBER(BI245),ROUND(BI245-BI264,1),"")</f>
        <v>0</v>
      </c>
      <c r="BJ265" s="36" t="n">
        <f aca="false">IF(ISNUMBER(BJ245),ROUND(BJ245-BJ264,1),"")</f>
        <v>0</v>
      </c>
      <c r="BK265" s="36" t="n">
        <f aca="false">IF(ISNUMBER(BK245),ROUND(BK245-BK264,1),"")</f>
        <v>0</v>
      </c>
      <c r="BL265" s="36" t="n">
        <f aca="false">IF(ISNUMBER(BL245),ROUND(BL245-BL264,1),"")</f>
        <v>0</v>
      </c>
      <c r="BM265" s="36" t="n">
        <f aca="false">IF(ISNUMBER(BM245),ROUND(BM245-BM264,1),"")</f>
        <v>0</v>
      </c>
      <c r="BN265" s="36" t="n">
        <f aca="false">IF(ISNUMBER(BN245),ROUND(BN245-BN264,1),"")</f>
        <v>0</v>
      </c>
      <c r="BO265" s="36" t="n">
        <f aca="false">IF(ISNUMBER(BO245),ROUND(BO245-BO264,1),"")</f>
        <v>0</v>
      </c>
      <c r="BP265" s="36" t="n">
        <f aca="false">IF(ISNUMBER(BP245),ROUND(BP245-BP264,1),"")</f>
        <v>0</v>
      </c>
      <c r="BQ265" s="36" t="n">
        <f aca="false">IF(ISNUMBER(BQ245),ROUND(BQ245-BQ264,1),"")</f>
        <v>0</v>
      </c>
      <c r="BR265" s="36" t="n">
        <f aca="false">IF(ISNUMBER(BR245),ROUND(BR245-BR264,1),"")</f>
        <v>0</v>
      </c>
      <c r="BS265" s="36" t="n">
        <f aca="false">IF(ISNUMBER(BS245),ROUND(BS245-BS264,1),"")</f>
        <v>0</v>
      </c>
      <c r="BT265" s="36" t="n">
        <f aca="false">IF(ISNUMBER(BT245),ROUND(BT245-BT264,1),"")</f>
        <v>0</v>
      </c>
      <c r="BU265" s="36" t="n">
        <f aca="false">IF(ISNUMBER(BU245),ROUND(BU245-BU264,1),"")</f>
        <v>0</v>
      </c>
      <c r="BV265" s="36" t="n">
        <f aca="false">IF(ISNUMBER(BV245),ROUND(BV245-BV264,1),"")</f>
        <v>0</v>
      </c>
      <c r="BW265" s="36" t="n">
        <f aca="false">IF(ISNUMBER(BW245),ROUND(BW245-BW264,1),"")</f>
        <v>0</v>
      </c>
      <c r="BX265" s="36" t="n">
        <f aca="false">IF(ISNUMBER(BX245),ROUND(BX245-BX264,1),"")</f>
        <v>0</v>
      </c>
      <c r="BY265" s="36" t="n">
        <f aca="false">IF(ISNUMBER(BY245),ROUND(BY245-BY264,1),"")</f>
        <v>0</v>
      </c>
      <c r="CA265" s="42" t="n">
        <f aca="false">IF(ISNUMBER(CA245),ROUND(CA245-CA264,1),"")</f>
        <v>0</v>
      </c>
      <c r="CB265" s="42" t="n">
        <f aca="false">IF(ISNUMBER(CB245),ROUND(CB245-CB264,1),"")</f>
        <v>0</v>
      </c>
      <c r="CC265" s="42" t="n">
        <f aca="false">IF(ISNUMBER(CC245),ROUND(CC245-CC264,1),"")</f>
        <v>0</v>
      </c>
      <c r="CD265" s="42" t="n">
        <f aca="false">IF(ISNUMBER(CD245),ROUND(CD245-CD264,1),"")</f>
        <v>0</v>
      </c>
      <c r="CE265" s="42" t="n">
        <f aca="false">IF(ISNUMBER(CE245),ROUND(CE245-CE264,1),"")</f>
        <v>0</v>
      </c>
    </row>
    <row r="266" customFormat="false" ht="15" hidden="false" customHeight="true" outlineLevel="0" collapsed="false">
      <c r="B266" s="51" t="s">
        <v>409</v>
      </c>
      <c r="C266" s="36" t="n">
        <f aca="false">IF(ISNUMBER(C267),ROUND(C245-C267,1),"")</f>
        <v>0</v>
      </c>
      <c r="D266" s="36" t="n">
        <f aca="false">IF(ISNUMBER(D267),ROUND(D245-D267,1),"")</f>
        <v>0</v>
      </c>
      <c r="E266" s="36" t="n">
        <f aca="false">IF(ISNUMBER(E267),ROUND(E245-E267,1),"")</f>
        <v>0</v>
      </c>
      <c r="F266" s="36" t="n">
        <f aca="false">IF(ISNUMBER(F267),ROUND(F245-F267,1),"")</f>
        <v>0</v>
      </c>
      <c r="G266" s="36" t="n">
        <f aca="false">IF(ISNUMBER(G267),ROUND(G245-G267,1),"")</f>
        <v>0</v>
      </c>
      <c r="H266" s="36" t="n">
        <f aca="false">IF(ISNUMBER(H267),ROUND(H245-H267,1),"")</f>
        <v>0</v>
      </c>
      <c r="I266" s="36" t="n">
        <f aca="false">IF(ISNUMBER(I267),ROUND(I245-I267,1),"")</f>
        <v>0</v>
      </c>
      <c r="J266" s="36" t="n">
        <f aca="false">IF(ISNUMBER(J267),ROUND(J245-J267,1),"")</f>
        <v>0</v>
      </c>
      <c r="K266" s="36" t="n">
        <f aca="false">IF(ISNUMBER(K267),ROUND(K245-K267,1),"")</f>
        <v>0</v>
      </c>
      <c r="L266" s="36" t="n">
        <f aca="false">IF(ISNUMBER(L267),ROUND(L245-L267,1),"")</f>
        <v>0</v>
      </c>
      <c r="M266" s="36" t="n">
        <f aca="false">IF(ISNUMBER(M267),ROUND(M245-M267,1),"")</f>
        <v>0</v>
      </c>
      <c r="N266" s="36" t="n">
        <f aca="false">IF(ISNUMBER(N267),ROUND(N245-N267,1),"")</f>
        <v>0</v>
      </c>
      <c r="O266" s="36" t="n">
        <f aca="false">IF(ISNUMBER(O267),ROUND(O245-O267,1),"")</f>
        <v>0</v>
      </c>
      <c r="P266" s="36" t="n">
        <f aca="false">IF(ISNUMBER(P267),ROUND(P245-P267,1),"")</f>
        <v>0</v>
      </c>
      <c r="Q266" s="36" t="n">
        <f aca="false">IF(ISNUMBER(Q267),ROUND(Q245-Q267,1),"")</f>
        <v>0</v>
      </c>
      <c r="R266" s="36" t="n">
        <f aca="false">IF(ISNUMBER(R267),ROUND(R245-R267,1),"")</f>
        <v>0</v>
      </c>
      <c r="S266" s="36" t="n">
        <f aca="false">IF(ISNUMBER(S267),ROUND(S245-S267,1),"")</f>
        <v>0</v>
      </c>
      <c r="T266" s="36" t="n">
        <f aca="false">IF(ISNUMBER(T267),ROUND(T245-T267,1),"")</f>
        <v>0</v>
      </c>
      <c r="U266" s="36" t="n">
        <f aca="false">IF(ISNUMBER(U267),ROUND(U245-U267,1),"")</f>
        <v>0</v>
      </c>
      <c r="V266" s="36" t="n">
        <f aca="false">IF(ISNUMBER(V267),ROUND(V245-V267,1),"")</f>
        <v>0</v>
      </c>
      <c r="W266" s="36" t="n">
        <f aca="false">IF(ISNUMBER(W267),ROUND(W245-W267,1),"")</f>
        <v>0</v>
      </c>
      <c r="X266" s="36" t="n">
        <f aca="false">IF(ISNUMBER(X267),ROUND(X245-X267,1),"")</f>
        <v>0</v>
      </c>
      <c r="Y266" s="36" t="n">
        <f aca="false">IF(ISNUMBER(Y267),ROUND(Y245-Y267,1),"")</f>
        <v>0</v>
      </c>
      <c r="Z266" s="36" t="n">
        <f aca="false">IF(ISNUMBER(Z267),ROUND(Z245-Z267,1),"")</f>
        <v>0</v>
      </c>
      <c r="AA266" s="36" t="n">
        <f aca="false">IF(ISNUMBER(AA267),ROUND(AA245-AA267,1),"")</f>
        <v>0</v>
      </c>
      <c r="AB266" s="36" t="n">
        <f aca="false">IF(ISNUMBER(AB267),ROUND(AB245-AB267,1),"")</f>
        <v>0</v>
      </c>
      <c r="AC266" s="36" t="n">
        <f aca="false">IF(ISNUMBER(AC267),ROUND(AC245-AC267,1),"")</f>
        <v>0</v>
      </c>
      <c r="AD266" s="36" t="n">
        <f aca="false">IF(ISNUMBER(AD267),ROUND(AD245-AD267,1),"")</f>
        <v>0</v>
      </c>
      <c r="AE266" s="36" t="n">
        <f aca="false">IF(ISNUMBER(AE267),ROUND(AE245-AE267,1),"")</f>
        <v>0</v>
      </c>
      <c r="AF266" s="36" t="n">
        <f aca="false">IF(ISNUMBER(AF267),ROUND(AF245-AF267,1),"")</f>
        <v>0</v>
      </c>
      <c r="AG266" s="36" t="n">
        <f aca="false">IF(ISNUMBER(AG267),ROUND(AG245-AG267,1),"")</f>
        <v>0</v>
      </c>
      <c r="AH266" s="36" t="n">
        <f aca="false">IF(ISNUMBER(AH267),ROUND(AH245-AH267,1),"")</f>
        <v>0</v>
      </c>
      <c r="AI266" s="36" t="n">
        <f aca="false">IF(ISNUMBER(AI267),ROUND(AI245-AI267,1),"")</f>
        <v>0</v>
      </c>
      <c r="AJ266" s="36" t="n">
        <f aca="false">IF(ISNUMBER(AJ267),ROUND(AJ245-AJ267,1),"")</f>
        <v>0</v>
      </c>
      <c r="AK266" s="36" t="n">
        <f aca="false">IF(ISNUMBER(AK267),ROUND(AK245-AK267,1),"")</f>
        <v>0</v>
      </c>
      <c r="AL266" s="36" t="n">
        <f aca="false">IF(ISNUMBER(AL267),ROUND(AL245-AL267,1),"")</f>
        <v>0</v>
      </c>
      <c r="AM266" s="36" t="n">
        <f aca="false">IF(ISNUMBER(AM267),ROUND(AM245-AM267,1),"")</f>
        <v>0</v>
      </c>
      <c r="AN266" s="36" t="n">
        <f aca="false">IF(ISNUMBER(AN267),ROUND(AN245-AN267,1),"")</f>
        <v>0</v>
      </c>
      <c r="AO266" s="36" t="n">
        <f aca="false">IF(ISNUMBER(AO267),ROUND(AO245-AO267,1),"")</f>
        <v>0</v>
      </c>
      <c r="AP266" s="36" t="n">
        <f aca="false">IF(ISNUMBER(AP267),ROUND(AP245-AP267,1),"")</f>
        <v>0</v>
      </c>
      <c r="AQ266" s="36" t="n">
        <f aca="false">IF(ISNUMBER(AQ267),ROUND(AQ245-AQ267,1),"")</f>
        <v>0</v>
      </c>
      <c r="AR266" s="36" t="n">
        <f aca="false">IF(ISNUMBER(AR267),ROUND(AR245-AR267,1),"")</f>
        <v>0</v>
      </c>
      <c r="AS266" s="36" t="n">
        <f aca="false">IF(ISNUMBER(AS267),ROUND(AS245-AS267,1),"")</f>
        <v>0</v>
      </c>
      <c r="AT266" s="36" t="n">
        <f aca="false">IF(ISNUMBER(AT267),ROUND(AT245-AT267,1),"")</f>
        <v>0</v>
      </c>
      <c r="AU266" s="36" t="n">
        <f aca="false">IF(ISNUMBER(AU267),ROUND(AU245-AU267,1),"")</f>
        <v>0</v>
      </c>
      <c r="AV266" s="36" t="n">
        <f aca="false">IF(ISNUMBER(AV267),ROUND(AV245-AV267,1),"")</f>
        <v>0</v>
      </c>
      <c r="AW266" s="36" t="n">
        <f aca="false">IF(ISNUMBER(AW267),ROUND(AW245-AW267,1),"")</f>
        <v>0</v>
      </c>
      <c r="AX266" s="36" t="n">
        <f aca="false">IF(ISNUMBER(AX267),ROUND(AX245-AX267,1),"")</f>
        <v>0</v>
      </c>
      <c r="AY266" s="36" t="n">
        <f aca="false">IF(ISNUMBER(AY267),ROUND(AY245-AY267,1),"")</f>
        <v>0</v>
      </c>
      <c r="AZ266" s="36" t="n">
        <f aca="false">IF(ISNUMBER(AZ267),ROUND(AZ245-AZ267,1),"")</f>
        <v>0</v>
      </c>
      <c r="BA266" s="36" t="n">
        <f aca="false">IF(ISNUMBER(BA267),ROUND(BA245-BA267,1),"")</f>
        <v>0</v>
      </c>
      <c r="BB266" s="36" t="n">
        <f aca="false">IF(ISNUMBER(BB267),ROUND(BB245-BB267,1),"")</f>
        <v>0</v>
      </c>
      <c r="BC266" s="36" t="n">
        <f aca="false">IF(ISNUMBER(BC267),ROUND(BC245-BC267,1),"")</f>
        <v>0</v>
      </c>
      <c r="BD266" s="36" t="n">
        <f aca="false">IF(ISNUMBER(BD267),ROUND(BD245-BD267,1),"")</f>
        <v>0</v>
      </c>
      <c r="BE266" s="36" t="n">
        <f aca="false">IF(ISNUMBER(BE267),ROUND(BE245-BE267,1),"")</f>
        <v>0</v>
      </c>
      <c r="BF266" s="36" t="n">
        <f aca="false">IF(ISNUMBER(BF267),ROUND(BF245-BF267,1),"")</f>
        <v>0</v>
      </c>
      <c r="BG266" s="36" t="n">
        <f aca="false">IF(ISNUMBER(BG267),ROUND(BG245-BG267,1),"")</f>
        <v>0</v>
      </c>
      <c r="BH266" s="36" t="n">
        <f aca="false">IF(ISNUMBER(BH267),ROUND(BH245-BH267,1),"")</f>
        <v>0</v>
      </c>
      <c r="BI266" s="36" t="n">
        <f aca="false">IF(ISNUMBER(BI267),ROUND(BI245-BI267,1),"")</f>
        <v>0</v>
      </c>
      <c r="BJ266" s="36" t="n">
        <f aca="false">IF(ISNUMBER(BJ267),ROUND(BJ245-BJ267,1),"")</f>
        <v>0</v>
      </c>
      <c r="BK266" s="36" t="n">
        <f aca="false">IF(ISNUMBER(BK267),ROUND(BK245-BK267,1),"")</f>
        <v>0</v>
      </c>
      <c r="BL266" s="36" t="n">
        <f aca="false">IF(ISNUMBER(BL267),ROUND(BL245-BL267,1),"")</f>
        <v>0</v>
      </c>
      <c r="BM266" s="36" t="n">
        <f aca="false">IF(ISNUMBER(BM267),ROUND(BM245-BM267,1),"")</f>
        <v>0</v>
      </c>
      <c r="BN266" s="36" t="n">
        <f aca="false">IF(ISNUMBER(BN267),ROUND(BN245-BN267,1),"")</f>
        <v>0</v>
      </c>
      <c r="BO266" s="36" t="n">
        <f aca="false">IF(ISNUMBER(BO267),ROUND(BO245-BO267,1),"")</f>
        <v>0</v>
      </c>
      <c r="BP266" s="36" t="n">
        <f aca="false">IF(ISNUMBER(BP267),ROUND(BP245-BP267,1),"")</f>
        <v>0</v>
      </c>
      <c r="BQ266" s="36" t="n">
        <f aca="false">IF(ISNUMBER(BQ267),ROUND(BQ245-BQ267,1),"")</f>
        <v>0</v>
      </c>
      <c r="BR266" s="36" t="n">
        <f aca="false">IF(ISNUMBER(BR267),ROUND(BR245-BR267,1),"")</f>
        <v>0</v>
      </c>
      <c r="BS266" s="36" t="n">
        <f aca="false">IF(ISNUMBER(BS267),ROUND(BS245-BS267,1),"")</f>
        <v>0</v>
      </c>
      <c r="BT266" s="36" t="n">
        <f aca="false">IF(ISNUMBER(BT267),ROUND(BT245-BT267,1),"")</f>
        <v>0</v>
      </c>
      <c r="BU266" s="36" t="n">
        <f aca="false">IF(ISNUMBER(BU267),ROUND(BU245-BU267,1),"")</f>
        <v>0</v>
      </c>
      <c r="BV266" s="36" t="n">
        <f aca="false">IF(ISNUMBER(BV267),ROUND(BV245-BV267,1),"")</f>
        <v>0</v>
      </c>
      <c r="BW266" s="36" t="n">
        <f aca="false">IF(ISNUMBER(BW267),ROUND(BW245-BW267,1),"")</f>
        <v>0</v>
      </c>
      <c r="BX266" s="36" t="n">
        <f aca="false">IF(ISNUMBER(BX267),ROUND(BX245-BX267,1),"")</f>
        <v>0</v>
      </c>
      <c r="BY266" s="36" t="n">
        <f aca="false">IF(ISNUMBER(BY267),ROUND(BY245-BY267,1),"")</f>
        <v>0</v>
      </c>
    </row>
    <row r="267" customFormat="false" ht="15" hidden="false" customHeight="true" outlineLevel="0" collapsed="false">
      <c r="B267" s="26" t="s">
        <v>410</v>
      </c>
      <c r="C267" s="35" t="n">
        <v>534.815</v>
      </c>
      <c r="D267" s="35" t="n">
        <v>631.302</v>
      </c>
      <c r="E267" s="35" t="n">
        <v>676.542</v>
      </c>
      <c r="F267" s="35" t="n">
        <v>732.91</v>
      </c>
      <c r="G267" s="35" t="n">
        <v>781.643</v>
      </c>
      <c r="H267" s="35" t="n">
        <v>941.069</v>
      </c>
      <c r="I267" s="35" t="n">
        <v>1192.846</v>
      </c>
      <c r="J267" s="35" t="n">
        <v>1192.521</v>
      </c>
      <c r="K267" s="35" t="n">
        <v>1209.215</v>
      </c>
      <c r="L267" s="35" t="n">
        <v>1386.665</v>
      </c>
      <c r="M267" s="35" t="n">
        <v>1533.015</v>
      </c>
      <c r="N267" s="35" t="n">
        <v>1533.015</v>
      </c>
      <c r="O267" s="35" t="n">
        <v>1523.566</v>
      </c>
      <c r="P267" s="35" t="n">
        <v>1547.442</v>
      </c>
      <c r="Q267" s="35" t="n">
        <v>1507.123</v>
      </c>
      <c r="R267" s="35" t="n">
        <v>1489.214</v>
      </c>
      <c r="S267" s="35" t="n">
        <v>1489.214</v>
      </c>
      <c r="T267" s="35" t="n">
        <v>1575.26</v>
      </c>
      <c r="U267" s="35" t="n">
        <v>1580.594</v>
      </c>
      <c r="V267" s="35" t="n">
        <v>1588.414</v>
      </c>
      <c r="W267" s="35" t="n">
        <v>1736.387</v>
      </c>
      <c r="X267" s="35" t="n">
        <v>1736.387</v>
      </c>
      <c r="Y267" s="35" t="n">
        <v>1981.5</v>
      </c>
      <c r="Z267" s="35" t="n">
        <v>2017.112</v>
      </c>
      <c r="AA267" s="35" t="n">
        <v>2017.32</v>
      </c>
      <c r="AB267" s="35" t="n">
        <v>2039.475</v>
      </c>
      <c r="AC267" s="35" t="n">
        <v>2039.475</v>
      </c>
      <c r="AD267" s="35" t="n">
        <v>2031.422</v>
      </c>
      <c r="AE267" s="35" t="n">
        <v>2177.339</v>
      </c>
      <c r="AF267" s="35" t="n">
        <v>2223.723</v>
      </c>
      <c r="AG267" s="35" t="n">
        <v>2512.431</v>
      </c>
      <c r="AH267" s="35" t="n">
        <v>2512.431</v>
      </c>
      <c r="AI267" s="35" t="n">
        <v>2570.442</v>
      </c>
      <c r="AJ267" s="35" t="n">
        <v>2627.881</v>
      </c>
      <c r="AK267" s="35" t="n">
        <v>2654.839</v>
      </c>
      <c r="AL267" s="35" t="n">
        <v>2653.396</v>
      </c>
      <c r="AM267" s="35" t="n">
        <v>2653.396</v>
      </c>
      <c r="AN267" s="35" t="n">
        <v>2797.014</v>
      </c>
      <c r="AO267" s="35" t="n">
        <v>2853.64</v>
      </c>
      <c r="AP267" s="35" t="n">
        <v>2960.288</v>
      </c>
      <c r="AQ267" s="35" t="n">
        <v>2969.211</v>
      </c>
      <c r="AR267" s="35" t="n">
        <v>2969.211</v>
      </c>
      <c r="AS267" s="35" t="n">
        <v>3097.121</v>
      </c>
      <c r="AT267" s="35" t="n">
        <v>3364.835</v>
      </c>
      <c r="AU267" s="35" t="n">
        <v>3423.25</v>
      </c>
      <c r="AV267" s="35" t="n">
        <v>3547.711</v>
      </c>
      <c r="AW267" s="35" t="n">
        <v>3547.711</v>
      </c>
      <c r="AX267" s="35" t="n">
        <v>3565.584</v>
      </c>
      <c r="AY267" s="35" t="n">
        <v>3595.168</v>
      </c>
      <c r="AZ267" s="35" t="n">
        <v>3461.635</v>
      </c>
      <c r="BA267" s="35" t="n">
        <v>3498.407</v>
      </c>
      <c r="BB267" s="35" t="n">
        <v>3498.407</v>
      </c>
      <c r="BC267" s="35" t="n">
        <v>3513.895</v>
      </c>
      <c r="BD267" s="35" t="n">
        <v>3685.333</v>
      </c>
      <c r="BE267" s="35" t="n">
        <v>3787.351</v>
      </c>
      <c r="BF267" s="35" t="n">
        <v>4095.496</v>
      </c>
      <c r="BG267" s="35" t="n">
        <v>4095.496</v>
      </c>
      <c r="BH267" s="35" t="n">
        <v>4804.62</v>
      </c>
      <c r="BI267" s="35" t="n">
        <v>4870.199</v>
      </c>
      <c r="BJ267" s="35" t="n">
        <v>5453.302</v>
      </c>
      <c r="BK267" s="35" t="n">
        <v>7195.063</v>
      </c>
      <c r="BL267" s="35" t="n">
        <v>7195.063</v>
      </c>
      <c r="BM267" s="35" t="n">
        <v>7336.069</v>
      </c>
      <c r="BN267" s="35" t="n">
        <v>7365.845</v>
      </c>
      <c r="BO267" s="35" t="n">
        <v>7422.436</v>
      </c>
      <c r="BP267" s="35" t="n">
        <v>7592.822</v>
      </c>
      <c r="BQ267" s="35" t="n">
        <v>7592.822</v>
      </c>
      <c r="BR267" s="35" t="n">
        <v>7890.711</v>
      </c>
      <c r="BS267" s="35" t="n">
        <v>8092.176</v>
      </c>
      <c r="BT267" s="35" t="n">
        <v>8531.623</v>
      </c>
      <c r="BU267" s="35" t="n">
        <v>8500.434</v>
      </c>
      <c r="BV267" s="35" t="n">
        <v>8500.434</v>
      </c>
      <c r="BW267" s="35" t="n">
        <v>9043.696</v>
      </c>
      <c r="BX267" s="35" t="n">
        <v>9592.213</v>
      </c>
      <c r="BY267" s="35" t="n">
        <v>9936.611</v>
      </c>
    </row>
    <row r="268" customFormat="false" ht="15" hidden="false" customHeight="true" outlineLevel="0" collapsed="false">
      <c r="B268" s="51" t="s">
        <v>411</v>
      </c>
      <c r="C268" s="36" t="n">
        <f aca="false">IF(AND(ISNUMBER(C235),ISNUMBER(C210)),ROUND(C235-C210,1),"")</f>
        <v>0</v>
      </c>
      <c r="D268" s="36" t="n">
        <f aca="false">IF(AND(ISNUMBER(D235),ISNUMBER(D210)),ROUND(D235-D210,1),"")</f>
        <v>0</v>
      </c>
      <c r="E268" s="36" t="n">
        <f aca="false">IF(AND(ISNUMBER(E235),ISNUMBER(E210)),ROUND(E235-E210,1),"")</f>
        <v>0</v>
      </c>
      <c r="F268" s="36" t="n">
        <f aca="false">IF(AND(ISNUMBER(F235),ISNUMBER(F210)),ROUND(F235-F210,1),"")</f>
        <v>0</v>
      </c>
      <c r="G268" s="36" t="n">
        <f aca="false">IF(AND(ISNUMBER(G235),ISNUMBER(G210)),ROUND(G235-G210,1),"")</f>
        <v>0</v>
      </c>
      <c r="H268" s="36" t="n">
        <f aca="false">IF(AND(ISNUMBER(H235),ISNUMBER(H210)),ROUND(H235-H210,1),"")</f>
        <v>0</v>
      </c>
      <c r="I268" s="36" t="n">
        <f aca="false">IF(AND(ISNUMBER(I235),ISNUMBER(I210)),ROUND(I235-I210,1),"")</f>
        <v>0</v>
      </c>
      <c r="J268" s="36" t="n">
        <f aca="false">IF(AND(ISNUMBER(J235),ISNUMBER(J210)),ROUND(J235-J210,1),"")</f>
        <v>0</v>
      </c>
      <c r="K268" s="36" t="n">
        <f aca="false">IF(AND(ISNUMBER(K235),ISNUMBER(K210)),ROUND(K235-K210,1),"")</f>
        <v>0</v>
      </c>
      <c r="L268" s="36" t="n">
        <f aca="false">IF(AND(ISNUMBER(L235),ISNUMBER(L210)),ROUND(L235-L210,1),"")</f>
        <v>0</v>
      </c>
      <c r="M268" s="36" t="n">
        <f aca="false">IF(AND(ISNUMBER(M235),ISNUMBER(M210)),ROUND(M235-M210,1),"")</f>
        <v>0</v>
      </c>
      <c r="N268" s="36" t="n">
        <f aca="false">IF(AND(ISNUMBER(N235),ISNUMBER(N210)),ROUND(N235-N210,1),"")</f>
        <v>0</v>
      </c>
      <c r="O268" s="36" t="n">
        <f aca="false">IF(AND(ISNUMBER(O235),ISNUMBER(O210)),ROUND(O235-O210,1),"")</f>
        <v>0</v>
      </c>
      <c r="P268" s="36" t="n">
        <f aca="false">IF(AND(ISNUMBER(P235),ISNUMBER(P210)),ROUND(P235-P210,1),"")</f>
        <v>0</v>
      </c>
      <c r="Q268" s="36" t="n">
        <f aca="false">IF(AND(ISNUMBER(Q235),ISNUMBER(Q210)),ROUND(Q235-Q210,1),"")</f>
        <v>0</v>
      </c>
      <c r="R268" s="36" t="n">
        <f aca="false">IF(AND(ISNUMBER(R235),ISNUMBER(R210)),ROUND(R235-R210,1),"")</f>
        <v>0</v>
      </c>
      <c r="S268" s="36" t="n">
        <f aca="false">IF(AND(ISNUMBER(S235),ISNUMBER(S210)),ROUND(S235-S210,1),"")</f>
        <v>0</v>
      </c>
      <c r="T268" s="36" t="n">
        <f aca="false">IF(AND(ISNUMBER(T235),ISNUMBER(T210)),ROUND(T235-T210,1),"")</f>
        <v>0</v>
      </c>
      <c r="U268" s="36" t="n">
        <f aca="false">IF(AND(ISNUMBER(U235),ISNUMBER(U210)),ROUND(U235-U210,1),"")</f>
        <v>0</v>
      </c>
      <c r="V268" s="36" t="n">
        <f aca="false">IF(AND(ISNUMBER(V235),ISNUMBER(V210)),ROUND(V235-V210,1),"")</f>
        <v>0</v>
      </c>
      <c r="W268" s="36" t="n">
        <f aca="false">IF(AND(ISNUMBER(W235),ISNUMBER(W210)),ROUND(W235-W210,1),"")</f>
        <v>0</v>
      </c>
      <c r="X268" s="36" t="n">
        <f aca="false">IF(AND(ISNUMBER(X235),ISNUMBER(X210)),ROUND(X235-X210,1),"")</f>
        <v>0</v>
      </c>
      <c r="Y268" s="36" t="n">
        <f aca="false">IF(AND(ISNUMBER(Y235),ISNUMBER(Y210)),ROUND(Y235-Y210,1),"")</f>
        <v>0</v>
      </c>
      <c r="Z268" s="36" t="n">
        <f aca="false">IF(AND(ISNUMBER(Z235),ISNUMBER(Z210)),ROUND(Z235-Z210,1),"")</f>
        <v>0</v>
      </c>
      <c r="AA268" s="36" t="n">
        <f aca="false">IF(AND(ISNUMBER(AA235),ISNUMBER(AA210)),ROUND(AA235-AA210,1),"")</f>
        <v>0</v>
      </c>
      <c r="AB268" s="36" t="n">
        <f aca="false">IF(AND(ISNUMBER(AB235),ISNUMBER(AB210)),ROUND(AB235-AB210,1),"")</f>
        <v>0</v>
      </c>
      <c r="AC268" s="36" t="n">
        <f aca="false">IF(AND(ISNUMBER(AC235),ISNUMBER(AC210)),ROUND(AC235-AC210,1),"")</f>
        <v>0</v>
      </c>
      <c r="AD268" s="36" t="n">
        <f aca="false">IF(AND(ISNUMBER(AD235),ISNUMBER(AD210)),ROUND(AD235-AD210,1),"")</f>
        <v>0</v>
      </c>
      <c r="AE268" s="36" t="n">
        <f aca="false">IF(AND(ISNUMBER(AE235),ISNUMBER(AE210)),ROUND(AE235-AE210,1),"")</f>
        <v>0</v>
      </c>
      <c r="AF268" s="36" t="n">
        <f aca="false">IF(AND(ISNUMBER(AF235),ISNUMBER(AF210)),ROUND(AF235-AF210,1),"")</f>
        <v>0</v>
      </c>
      <c r="AG268" s="36" t="n">
        <f aca="false">IF(AND(ISNUMBER(AG235),ISNUMBER(AG210)),ROUND(AG235-AG210,1),"")</f>
        <v>0</v>
      </c>
      <c r="AH268" s="36" t="n">
        <f aca="false">IF(AND(ISNUMBER(AH235),ISNUMBER(AH210)),ROUND(AH235-AH210,1),"")</f>
        <v>0</v>
      </c>
      <c r="AI268" s="36" t="n">
        <f aca="false">IF(AND(ISNUMBER(AI235),ISNUMBER(AI210)),ROUND(AI235-AI210,1),"")</f>
        <v>0</v>
      </c>
      <c r="AJ268" s="36" t="n">
        <f aca="false">IF(AND(ISNUMBER(AJ235),ISNUMBER(AJ210)),ROUND(AJ235-AJ210,1),"")</f>
        <v>0</v>
      </c>
      <c r="AK268" s="36" t="n">
        <f aca="false">IF(AND(ISNUMBER(AK235),ISNUMBER(AK210)),ROUND(AK235-AK210,1),"")</f>
        <v>0</v>
      </c>
      <c r="AL268" s="36" t="n">
        <f aca="false">IF(AND(ISNUMBER(AL235),ISNUMBER(AL210)),ROUND(AL235-AL210,1),"")</f>
        <v>0</v>
      </c>
      <c r="AM268" s="36" t="n">
        <f aca="false">IF(AND(ISNUMBER(AM235),ISNUMBER(AM210)),ROUND(AM235-AM210,1),"")</f>
        <v>0</v>
      </c>
      <c r="AN268" s="36" t="n">
        <f aca="false">IF(AND(ISNUMBER(AN235),ISNUMBER(AN210)),ROUND(AN235-AN210,1),"")</f>
        <v>0</v>
      </c>
      <c r="AO268" s="36" t="n">
        <f aca="false">IF(AND(ISNUMBER(AO235),ISNUMBER(AO210)),ROUND(AO235-AO210,1),"")</f>
        <v>0</v>
      </c>
      <c r="AP268" s="36" t="n">
        <f aca="false">IF(AND(ISNUMBER(AP235),ISNUMBER(AP210)),ROUND(AP235-AP210,1),"")</f>
        <v>0</v>
      </c>
      <c r="AQ268" s="36" t="n">
        <f aca="false">IF(AND(ISNUMBER(AQ235),ISNUMBER(AQ210)),ROUND(AQ235-AQ210,1),"")</f>
        <v>0</v>
      </c>
      <c r="AR268" s="36" t="n">
        <f aca="false">IF(AND(ISNUMBER(AR235),ISNUMBER(AR210)),ROUND(AR235-AR210,1),"")</f>
        <v>0</v>
      </c>
      <c r="AS268" s="36" t="n">
        <f aca="false">IF(AND(ISNUMBER(AS235),ISNUMBER(AS210)),ROUND(AS235-AS210,1),"")</f>
        <v>0</v>
      </c>
      <c r="AT268" s="36" t="n">
        <f aca="false">IF(AND(ISNUMBER(AT235),ISNUMBER(AT210)),ROUND(AT235-AT210,1),"")</f>
        <v>0</v>
      </c>
      <c r="AU268" s="36" t="n">
        <f aca="false">IF(AND(ISNUMBER(AU235),ISNUMBER(AU210)),ROUND(AU235-AU210,1),"")</f>
        <v>0</v>
      </c>
      <c r="AV268" s="36" t="n">
        <f aca="false">IF(AND(ISNUMBER(AV235),ISNUMBER(AV210)),ROUND(AV235-AV210,1),"")</f>
        <v>0</v>
      </c>
      <c r="AW268" s="36" t="n">
        <f aca="false">IF(AND(ISNUMBER(AW235),ISNUMBER(AW210)),ROUND(AW235-AW210,1),"")</f>
        <v>0</v>
      </c>
      <c r="AX268" s="36" t="n">
        <f aca="false">IF(AND(ISNUMBER(AX235),ISNUMBER(AX210)),ROUND(AX235-AX210,1),"")</f>
        <v>0</v>
      </c>
      <c r="AY268" s="36" t="n">
        <f aca="false">IF(AND(ISNUMBER(AY235),ISNUMBER(AY210)),ROUND(AY235-AY210,1),"")</f>
        <v>0</v>
      </c>
      <c r="AZ268" s="36" t="n">
        <f aca="false">IF(AND(ISNUMBER(AZ235),ISNUMBER(AZ210)),ROUND(AZ235-AZ210,1),"")</f>
        <v>0</v>
      </c>
      <c r="BA268" s="36" t="n">
        <f aca="false">IF(AND(ISNUMBER(BA235),ISNUMBER(BA210)),ROUND(BA235-BA210,1),"")</f>
        <v>0</v>
      </c>
      <c r="BB268" s="36" t="n">
        <f aca="false">IF(AND(ISNUMBER(BB235),ISNUMBER(BB210)),ROUND(BB235-BB210,1),"")</f>
        <v>0</v>
      </c>
      <c r="BC268" s="36" t="n">
        <f aca="false">IF(AND(ISNUMBER(BC235),ISNUMBER(BC210)),ROUND(BC235-BC210,1),"")</f>
        <v>0</v>
      </c>
      <c r="BD268" s="36" t="n">
        <f aca="false">IF(AND(ISNUMBER(BD235),ISNUMBER(BD210)),ROUND(BD235-BD210,1),"")</f>
        <v>0</v>
      </c>
      <c r="BE268" s="36" t="n">
        <f aca="false">IF(AND(ISNUMBER(BE235),ISNUMBER(BE210)),ROUND(BE235-BE210,1),"")</f>
        <v>0</v>
      </c>
      <c r="BF268" s="36" t="n">
        <f aca="false">IF(AND(ISNUMBER(BF235),ISNUMBER(BF210)),ROUND(BF235-BF210,1),"")</f>
        <v>0</v>
      </c>
      <c r="BG268" s="36" t="n">
        <f aca="false">IF(AND(ISNUMBER(BG235),ISNUMBER(BG210)),ROUND(BG235-BG210,1),"")</f>
        <v>0</v>
      </c>
      <c r="BH268" s="36" t="n">
        <f aca="false">IF(AND(ISNUMBER(BH235),ISNUMBER(BH210)),ROUND(BH235-BH210,1),"")</f>
        <v>0</v>
      </c>
      <c r="BI268" s="36" t="n">
        <f aca="false">IF(AND(ISNUMBER(BI235),ISNUMBER(BI210)),ROUND(BI235-BI210,1),"")</f>
        <v>0</v>
      </c>
      <c r="BJ268" s="36" t="n">
        <f aca="false">IF(AND(ISNUMBER(BJ235),ISNUMBER(BJ210)),ROUND(BJ235-BJ210,1),"")</f>
        <v>0</v>
      </c>
      <c r="BK268" s="36" t="n">
        <f aca="false">IF(AND(ISNUMBER(BK235),ISNUMBER(BK210)),ROUND(BK235-BK210,1),"")</f>
        <v>0</v>
      </c>
      <c r="BL268" s="36" t="n">
        <f aca="false">IF(AND(ISNUMBER(BL235),ISNUMBER(BL210)),ROUND(BL235-BL210,1),"")</f>
        <v>0</v>
      </c>
      <c r="BM268" s="36" t="n">
        <f aca="false">IF(AND(ISNUMBER(BM235),ISNUMBER(BM210)),ROUND(BM235-BM210,1),"")</f>
        <v>0</v>
      </c>
      <c r="BN268" s="36" t="n">
        <f aca="false">IF(AND(ISNUMBER(BN235),ISNUMBER(BN210)),ROUND(BN235-BN210,1),"")</f>
        <v>0</v>
      </c>
      <c r="BO268" s="36" t="n">
        <f aca="false">IF(AND(ISNUMBER(BO235),ISNUMBER(BO210)),ROUND(BO235-BO210,1),"")</f>
        <v>0</v>
      </c>
      <c r="BP268" s="36" t="n">
        <f aca="false">IF(AND(ISNUMBER(BP235),ISNUMBER(BP210)),ROUND(BP235-BP210,1),"")</f>
        <v>0</v>
      </c>
      <c r="BQ268" s="36" t="n">
        <f aca="false">IF(AND(ISNUMBER(BQ235),ISNUMBER(BQ210)),ROUND(BQ235-BQ210,1),"")</f>
        <v>0</v>
      </c>
      <c r="BR268" s="36" t="n">
        <f aca="false">IF(AND(ISNUMBER(BR235),ISNUMBER(BR210)),ROUND(BR235-BR210,1),"")</f>
        <v>0</v>
      </c>
      <c r="BS268" s="36" t="n">
        <f aca="false">IF(AND(ISNUMBER(BS235),ISNUMBER(BS210)),ROUND(BS235-BS210,1),"")</f>
        <v>0</v>
      </c>
      <c r="BT268" s="36" t="n">
        <f aca="false">IF(AND(ISNUMBER(BT235),ISNUMBER(BT210)),ROUND(BT235-BT210,1),"")</f>
        <v>0</v>
      </c>
      <c r="BU268" s="36" t="n">
        <f aca="false">IF(AND(ISNUMBER(BU235),ISNUMBER(BU210)),ROUND(BU235-BU210,1),"")</f>
        <v>0</v>
      </c>
      <c r="BV268" s="36" t="n">
        <f aca="false">IF(AND(ISNUMBER(BV235),ISNUMBER(BV210)),ROUND(BV235-BV210,1),"")</f>
        <v>0</v>
      </c>
      <c r="BW268" s="36" t="n">
        <f aca="false">IF(AND(ISNUMBER(BW235),ISNUMBER(BW210)),ROUND(BW235-BW210,1),"")</f>
        <v>0</v>
      </c>
      <c r="BX268" s="36" t="n">
        <f aca="false">IF(AND(ISNUMBER(BX235),ISNUMBER(BX210)),ROUND(BX235-BX210,1),"")</f>
        <v>0</v>
      </c>
      <c r="BY268" s="36" t="n">
        <f aca="false">IF(AND(ISNUMBER(BY235),ISNUMBER(BY210)),ROUND(BY235-BY210,1),"")</f>
        <v>0</v>
      </c>
      <c r="CA268" s="42" t="n">
        <f aca="false">IF(AND(ISNUMBER(CA235),ISNUMBER(CA210)),ROUND(CA235-CA210,1),"")</f>
        <v>0</v>
      </c>
      <c r="CB268" s="42" t="n">
        <f aca="false">IF(AND(ISNUMBER(CB235),ISNUMBER(CB210)),ROUND(CB235-CB210,1),"")</f>
        <v>0</v>
      </c>
      <c r="CC268" s="42" t="n">
        <f aca="false">IF(AND(ISNUMBER(CC235),ISNUMBER(CC210)),ROUND(CC235-CC210,1),"")</f>
        <v>0</v>
      </c>
      <c r="CD268" s="42" t="n">
        <f aca="false">IF(AND(ISNUMBER(CD235),ISNUMBER(CD210)),ROUND(CD235-CD210,1),"")</f>
        <v>0</v>
      </c>
      <c r="CE268" s="42" t="n">
        <f aca="false">IF(AND(ISNUMBER(CE235),ISNUMBER(CE210)),ROUND(CE235-CE210,1),"")</f>
        <v>0</v>
      </c>
    </row>
    <row r="269" customFormat="false" ht="15" hidden="false" customHeight="true" outlineLevel="0" collapsed="false">
      <c r="B269" s="26" t="s">
        <v>412</v>
      </c>
      <c r="C269" s="54" t="n">
        <v>120.992479</v>
      </c>
      <c r="D269" s="54" t="n">
        <v>124.700322</v>
      </c>
      <c r="E269" s="54" t="n">
        <v>125.896602</v>
      </c>
      <c r="F269" s="54" t="n">
        <v>124.561192</v>
      </c>
      <c r="G269" s="54" t="n">
        <v>125.845249</v>
      </c>
      <c r="H269" s="54" t="n">
        <v>128.409082</v>
      </c>
      <c r="I269" s="54" t="n">
        <v>129.060059</v>
      </c>
      <c r="J269" s="54" t="n">
        <v>129.445801</v>
      </c>
      <c r="K269" s="54" t="n">
        <v>129.519043</v>
      </c>
      <c r="L269" s="54" t="n">
        <v>129.616699</v>
      </c>
      <c r="M269" s="54" t="n">
        <v>129.640625</v>
      </c>
      <c r="N269" s="54" t="n">
        <v>129.640625</v>
      </c>
      <c r="O269" s="54" t="n">
        <v>129.720703</v>
      </c>
      <c r="P269" s="54" t="n">
        <v>129.839844</v>
      </c>
      <c r="Q269" s="54" t="n">
        <v>129.888672</v>
      </c>
      <c r="R269" s="54" t="n">
        <v>129.972656</v>
      </c>
      <c r="S269" s="54" t="n">
        <v>129.972656</v>
      </c>
      <c r="T269" s="54" t="n">
        <v>130.224609</v>
      </c>
      <c r="U269" s="54" t="n">
        <v>130.480332</v>
      </c>
      <c r="V269" s="54" t="n">
        <v>130.537109</v>
      </c>
      <c r="W269" s="54" t="n">
        <v>130.611328</v>
      </c>
      <c r="X269" s="54" t="n">
        <v>130.611328</v>
      </c>
      <c r="Y269" s="54" t="n">
        <v>130.654297</v>
      </c>
      <c r="Z269" s="54" t="n">
        <v>130.925781</v>
      </c>
      <c r="AA269" s="54" t="n">
        <v>131.324219</v>
      </c>
      <c r="AB269" s="54" t="n">
        <v>131.423828</v>
      </c>
      <c r="AC269" s="54" t="n">
        <v>131.423828</v>
      </c>
      <c r="AD269" s="54" t="n">
        <v>131.542969</v>
      </c>
      <c r="AE269" s="54" t="n">
        <v>131.745313</v>
      </c>
      <c r="AF269" s="54" t="n">
        <v>131.889062</v>
      </c>
      <c r="AG269" s="54" t="n">
        <v>132.003125</v>
      </c>
      <c r="AH269" s="54" t="n">
        <v>132.003125</v>
      </c>
      <c r="AI269" s="54" t="n">
        <v>132.10375</v>
      </c>
      <c r="AJ269" s="54" t="n">
        <v>132.735</v>
      </c>
      <c r="AK269" s="54" t="n">
        <v>132.872</v>
      </c>
      <c r="AL269" s="54" t="n">
        <v>132.931</v>
      </c>
      <c r="AM269" s="54" t="n">
        <v>132.931</v>
      </c>
      <c r="AN269" s="54" t="n">
        <v>132.956</v>
      </c>
      <c r="AO269" s="54" t="n">
        <v>133.831</v>
      </c>
      <c r="AP269" s="54" t="n">
        <v>134.144</v>
      </c>
      <c r="AQ269" s="54" t="n">
        <v>134.496</v>
      </c>
      <c r="AR269" s="54" t="n">
        <v>134.496</v>
      </c>
      <c r="AS269" s="54" t="n">
        <v>134.633</v>
      </c>
      <c r="AT269" s="54" t="n">
        <v>134.737</v>
      </c>
      <c r="AU269" s="54" t="n">
        <v>134.93</v>
      </c>
      <c r="AV269" s="54" t="n">
        <v>135.118</v>
      </c>
      <c r="AW269" s="54" t="n">
        <v>135.118</v>
      </c>
      <c r="AX269" s="54" t="n">
        <v>135.261088</v>
      </c>
      <c r="AY269" s="54" t="n">
        <v>135.351</v>
      </c>
      <c r="AZ269" s="54" t="n">
        <v>135.383</v>
      </c>
      <c r="BA269" s="54" t="n">
        <v>135.488</v>
      </c>
      <c r="BB269" s="54" t="n">
        <v>135.488</v>
      </c>
      <c r="BC269" s="54" t="n">
        <v>135.876</v>
      </c>
      <c r="BD269" s="54" t="n">
        <v>135.953</v>
      </c>
      <c r="BE269" s="54" t="n">
        <v>136.002</v>
      </c>
      <c r="BF269" s="54" t="n">
        <v>136.612</v>
      </c>
      <c r="BG269" s="54" t="n">
        <v>136.612</v>
      </c>
      <c r="BH269" s="54" t="n">
        <v>136.878</v>
      </c>
      <c r="BI269" s="54" t="n">
        <v>136.979</v>
      </c>
      <c r="BJ269" s="54" t="n">
        <v>137.022</v>
      </c>
      <c r="BK269" s="54" t="n">
        <v>138.228</v>
      </c>
      <c r="BL269" s="54" t="n">
        <v>138.228</v>
      </c>
      <c r="BM269" s="54" t="n">
        <v>138.338</v>
      </c>
      <c r="BN269" s="54" t="n">
        <v>138.472</v>
      </c>
      <c r="BO269" s="54" t="n">
        <v>138.583</v>
      </c>
      <c r="BP269" s="54" t="n">
        <v>138.813</v>
      </c>
      <c r="BQ269" s="54" t="n">
        <v>138.813</v>
      </c>
      <c r="BR269" s="54" t="n">
        <v>138.945</v>
      </c>
      <c r="BS269" s="54" t="n">
        <v>139.104112</v>
      </c>
      <c r="BT269" s="54" t="n">
        <v>139.205</v>
      </c>
      <c r="BU269" s="54" t="n">
        <v>139.341</v>
      </c>
      <c r="BV269" s="54" t="n">
        <v>139.341</v>
      </c>
      <c r="BW269" s="54" t="n">
        <v>139.412</v>
      </c>
      <c r="BX269" s="54" t="n">
        <v>139.659277</v>
      </c>
      <c r="BY269" s="54" t="n">
        <v>139.757405</v>
      </c>
      <c r="CA269" s="48" t="n">
        <f aca="false">CA229</f>
        <v>139.807405</v>
      </c>
      <c r="CB269" s="48" t="n">
        <f aca="false">CB229</f>
        <v>140.107405</v>
      </c>
      <c r="CC269" s="48" t="n">
        <f aca="false">CC229</f>
        <v>138.945348192728</v>
      </c>
      <c r="CD269" s="48" t="n">
        <f aca="false">CD229</f>
        <v>137.793031747321</v>
      </c>
      <c r="CE269" s="48" t="n">
        <f aca="false">CE229</f>
        <v>136.462616253798</v>
      </c>
    </row>
    <row r="270" customFormat="false" ht="15" hidden="false" customHeight="true" outlineLevel="0" collapsed="false"/>
    <row r="271" customFormat="false" ht="15" hidden="false" customHeight="true" outlineLevel="0" collapsed="false">
      <c r="B271" s="11" t="s">
        <v>413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 t="s">
        <v>414</v>
      </c>
    </row>
    <row r="272" customFormat="false" ht="15" hidden="false" customHeight="true" outlineLevel="0" collapsed="false">
      <c r="B272" s="29" t="s">
        <v>415</v>
      </c>
      <c r="C272" s="62" t="n">
        <f aca="false">IFERROR(C236/C98*365,"n/a")</f>
        <v>60.5048063438639</v>
      </c>
      <c r="D272" s="62" t="n">
        <f aca="false">IFERROR(D236/D98*365,"n/a")</f>
        <v>59.2128645230389</v>
      </c>
      <c r="E272" s="62" t="n">
        <f aca="false">IFERROR(E236/E98*365,"n/a")</f>
        <v>55.4087082100535</v>
      </c>
      <c r="F272" s="62" t="n">
        <f aca="false">IFERROR(F236/F98*365,"n/a")</f>
        <v>52.7968998469244</v>
      </c>
      <c r="G272" s="62" t="n">
        <f aca="false">IFERROR(G236/G98*365,"n/a")</f>
        <v>54.3134339243461</v>
      </c>
      <c r="H272" s="62" t="n">
        <f aca="false">IFERROR(H236/H98*365,"n/a")</f>
        <v>50.7799281204773</v>
      </c>
      <c r="I272" s="62" t="n">
        <f aca="false">IFERROR(I236/I98*365,"n/a")</f>
        <v>49.7111039542117</v>
      </c>
      <c r="N272" s="62" t="n">
        <f aca="false">IFERROR(N236/N98*365,"n/a")</f>
        <v>56.815496695438</v>
      </c>
      <c r="S272" s="62" t="n">
        <f aca="false">IFERROR(S236/S98*365,"n/a")</f>
        <v>48.2457425565944</v>
      </c>
      <c r="X272" s="62" t="n">
        <f aca="false">IFERROR(X236/X98*365,"n/a")</f>
        <v>55.7620464595069</v>
      </c>
      <c r="AC272" s="62" t="n">
        <f aca="false">IFERROR(AC236/AC98*365,"n/a")</f>
        <v>53.6330070379246</v>
      </c>
      <c r="AH272" s="62" t="n">
        <f aca="false">IFERROR(AH236/AH98*365,"n/a")</f>
        <v>53.2500968971277</v>
      </c>
      <c r="AM272" s="62" t="n">
        <f aca="false">IFERROR(AM236/AM98*365,"n/a")</f>
        <v>48.7193378488526</v>
      </c>
      <c r="AR272" s="62" t="n">
        <f aca="false">IFERROR(AR236/AR98*365,"n/a")</f>
        <v>48.7092336378766</v>
      </c>
      <c r="AW272" s="62" t="n">
        <f aca="false">IFERROR(AW236/AW98*365,"n/a")</f>
        <v>42.9813420077907</v>
      </c>
      <c r="BB272" s="62" t="n">
        <f aca="false">IFERROR(BB236/BB98*365,"n/a")</f>
        <v>47.9156871321051</v>
      </c>
      <c r="BG272" s="62" t="n">
        <f aca="false">IFERROR(BG236/BG98*365,"n/a")</f>
        <v>48.7336176517736</v>
      </c>
      <c r="BL272" s="62" t="n">
        <f aca="false">IFERROR(BL236/BL98*365,"n/a")</f>
        <v>62.6030329115715</v>
      </c>
      <c r="BQ272" s="62" t="n">
        <f aca="false">IFERROR(BQ236/BQ98*365,"n/a")</f>
        <v>50.9498754299552</v>
      </c>
      <c r="BV272" s="62" t="n">
        <f aca="false">IFERROR(BV236/BV98*365,"n/a")</f>
        <v>51.890120810409</v>
      </c>
      <c r="CA272" s="47" t="n">
        <v>50</v>
      </c>
      <c r="CB272" s="48" t="n">
        <f aca="false">CA272</f>
        <v>50</v>
      </c>
      <c r="CC272" s="48" t="n">
        <f aca="false">CB272</f>
        <v>50</v>
      </c>
      <c r="CD272" s="48" t="n">
        <f aca="false">CC272</f>
        <v>50</v>
      </c>
      <c r="CE272" s="48" t="n">
        <f aca="false">CD272</f>
        <v>50</v>
      </c>
    </row>
    <row r="273" customFormat="false" ht="15" hidden="false" customHeight="true" outlineLevel="0" collapsed="false">
      <c r="B273" s="29" t="s">
        <v>416</v>
      </c>
      <c r="C273" s="30" t="n">
        <f aca="false">IFERROR(N(C237)/C98,"n/a")</f>
        <v>0</v>
      </c>
      <c r="D273" s="30" t="n">
        <f aca="false">IFERROR(N(D237)/D98,"n/a")</f>
        <v>0</v>
      </c>
      <c r="E273" s="30" t="n">
        <f aca="false">IFERROR(N(E237)/E98,"n/a")</f>
        <v>0</v>
      </c>
      <c r="F273" s="30" t="n">
        <f aca="false">IFERROR(N(F237)/F98,"n/a")</f>
        <v>0</v>
      </c>
      <c r="G273" s="30" t="n">
        <f aca="false">IFERROR(N(G237)/G98,"n/a")</f>
        <v>0</v>
      </c>
      <c r="H273" s="30" t="n">
        <f aca="false">IFERROR(N(H237)/H98,"n/a")</f>
        <v>0.00493272897706994</v>
      </c>
      <c r="I273" s="30" t="n">
        <f aca="false">IFERROR(N(I237)/I98,"n/a")</f>
        <v>0.00610911943763115</v>
      </c>
      <c r="N273" s="30" t="n">
        <f aca="false">IFERROR(N(N237)/N98,"n/a")</f>
        <v>0.00719995003752143</v>
      </c>
      <c r="S273" s="30" t="n">
        <f aca="false">IFERROR(N(S237)/S98,"n/a")</f>
        <v>0.00561241567025314</v>
      </c>
      <c r="X273" s="30" t="n">
        <f aca="false">IFERROR(N(X237)/X98,"n/a")</f>
        <v>0</v>
      </c>
      <c r="AC273" s="30" t="n">
        <f aca="false">IFERROR(N(AC237)/AC98,"n/a")</f>
        <v>0</v>
      </c>
      <c r="AH273" s="30" t="n">
        <f aca="false">IFERROR(N(AH237)/AH98,"n/a")</f>
        <v>0</v>
      </c>
      <c r="AM273" s="30" t="n">
        <f aca="false">IFERROR(N(AM237)/AM98,"n/a")</f>
        <v>0.00797819230351669</v>
      </c>
      <c r="AR273" s="30" t="n">
        <f aca="false">IFERROR(N(AR237)/AR98,"n/a")</f>
        <v>0.0209822017107023</v>
      </c>
      <c r="AW273" s="30" t="n">
        <f aca="false">IFERROR(N(AW237)/AW98,"n/a")</f>
        <v>0.0338157222487408</v>
      </c>
      <c r="BB273" s="30" t="n">
        <f aca="false">IFERROR(N(BB237)/BB98,"n/a")</f>
        <v>0.0429188897143243</v>
      </c>
      <c r="BG273" s="30" t="n">
        <f aca="false">IFERROR(N(BG237)/BG98,"n/a")</f>
        <v>0.0425562938738101</v>
      </c>
      <c r="BL273" s="30" t="n">
        <f aca="false">IFERROR(N(BL237)/BL98,"n/a")</f>
        <v>0.0376341133484159</v>
      </c>
      <c r="BQ273" s="30" t="n">
        <f aca="false">IFERROR(N(BQ237)/BQ98,"n/a")</f>
        <v>0.0290939943266257</v>
      </c>
      <c r="BV273" s="30" t="n">
        <f aca="false">IFERROR(N(BV237)/BV98,"n/a")</f>
        <v>0.0265899286606776</v>
      </c>
      <c r="CA273" s="31" t="n">
        <v>0.026</v>
      </c>
      <c r="CB273" s="23" t="n">
        <f aca="false">CA273</f>
        <v>0.026</v>
      </c>
      <c r="CC273" s="23" t="n">
        <f aca="false">CB273</f>
        <v>0.026</v>
      </c>
      <c r="CD273" s="23" t="n">
        <f aca="false">CC273</f>
        <v>0.026</v>
      </c>
      <c r="CE273" s="23" t="n">
        <f aca="false">CD273</f>
        <v>0.026</v>
      </c>
    </row>
    <row r="274" customFormat="false" ht="15" hidden="false" customHeight="true" outlineLevel="0" collapsed="false">
      <c r="B274" s="29" t="s">
        <v>417</v>
      </c>
      <c r="C274" s="62" t="n">
        <f aca="false">IFERROR(C238/C99*365,"n/a")</f>
        <v>142.216924266152</v>
      </c>
      <c r="D274" s="62" t="n">
        <f aca="false">IFERROR(D238/D99*365,"n/a")</f>
        <v>127.868071148015</v>
      </c>
      <c r="E274" s="62" t="n">
        <f aca="false">IFERROR(E238/E99*365,"n/a")</f>
        <v>130.460909178921</v>
      </c>
      <c r="F274" s="62" t="n">
        <f aca="false">IFERROR(F238/F99*365,"n/a")</f>
        <v>140.555928740361</v>
      </c>
      <c r="G274" s="62" t="n">
        <f aca="false">IFERROR(G238/G99*365,"n/a")</f>
        <v>127.82347665029</v>
      </c>
      <c r="H274" s="62" t="n">
        <f aca="false">IFERROR(H238/H99*365,"n/a")</f>
        <v>122.770832908553</v>
      </c>
      <c r="I274" s="62" t="n">
        <f aca="false">IFERROR(I238/I99*365,"n/a")</f>
        <v>121.496093249648</v>
      </c>
      <c r="N274" s="62" t="n">
        <f aca="false">IFERROR(N238/N99*365,"n/a")</f>
        <v>125.312033388961</v>
      </c>
      <c r="S274" s="62" t="n">
        <f aca="false">IFERROR(S238/S99*365,"n/a")</f>
        <v>108.427027829738</v>
      </c>
      <c r="X274" s="62" t="n">
        <f aca="false">IFERROR(X238/X99*365,"n/a")</f>
        <v>117.809618420372</v>
      </c>
      <c r="AC274" s="62" t="n">
        <f aca="false">IFERROR(AC238/AC99*365,"n/a")</f>
        <v>121.403761300981</v>
      </c>
      <c r="AH274" s="62" t="n">
        <f aca="false">IFERROR(AH238/AH99*365,"n/a")</f>
        <v>132.013266139558</v>
      </c>
      <c r="AM274" s="62" t="n">
        <f aca="false">IFERROR(AM238/AM99*365,"n/a")</f>
        <v>134.835359694427</v>
      </c>
      <c r="AR274" s="62" t="n">
        <f aca="false">IFERROR(AR238/AR99*365,"n/a")</f>
        <v>123.542897567819</v>
      </c>
      <c r="AW274" s="62" t="n">
        <f aca="false">IFERROR(AW238/AW99*365,"n/a")</f>
        <v>153.020707188641</v>
      </c>
      <c r="BB274" s="62" t="n">
        <f aca="false">IFERROR(BB238/BB99*365,"n/a")</f>
        <v>153.293977908367</v>
      </c>
      <c r="BG274" s="62" t="n">
        <f aca="false">IFERROR(BG238/BG99*365,"n/a")</f>
        <v>158.00220056586</v>
      </c>
      <c r="BL274" s="62" t="n">
        <f aca="false">IFERROR(BL238/BL99*365,"n/a")</f>
        <v>203.896028748766</v>
      </c>
      <c r="BQ274" s="62" t="n">
        <f aca="false">IFERROR(BQ238/BQ99*365,"n/a")</f>
        <v>181.412022701738</v>
      </c>
      <c r="BV274" s="62" t="n">
        <f aca="false">IFERROR(BV238/BV99*365,"n/a")</f>
        <v>175.202380511232</v>
      </c>
      <c r="CA274" s="47" t="n">
        <v>168</v>
      </c>
      <c r="CB274" s="48" t="n">
        <f aca="false">CA274</f>
        <v>168</v>
      </c>
      <c r="CC274" s="48" t="n">
        <f aca="false">CB274</f>
        <v>168</v>
      </c>
      <c r="CD274" s="48" t="n">
        <f aca="false">CC274</f>
        <v>168</v>
      </c>
      <c r="CE274" s="48" t="n">
        <f aca="false">CD274</f>
        <v>168</v>
      </c>
    </row>
    <row r="275" customFormat="false" ht="15" hidden="false" customHeight="true" outlineLevel="0" collapsed="false">
      <c r="B275" s="29" t="s">
        <v>418</v>
      </c>
      <c r="C275" s="62" t="n">
        <f aca="false">IFERROR(C248/C99*365,"n/a")</f>
        <v>32.7258417875896</v>
      </c>
      <c r="D275" s="62" t="n">
        <f aca="false">IFERROR(D248/D99*365,"n/a")</f>
        <v>31.1038503204566</v>
      </c>
      <c r="E275" s="62" t="n">
        <f aca="false">IFERROR(E248/E99*365,"n/a")</f>
        <v>29.1105197766854</v>
      </c>
      <c r="F275" s="62" t="n">
        <f aca="false">IFERROR(F248/F99*365,"n/a")</f>
        <v>27.5605469023329</v>
      </c>
      <c r="G275" s="62" t="n">
        <f aca="false">IFERROR(G248/G99*365,"n/a")</f>
        <v>26.4534437369671</v>
      </c>
      <c r="H275" s="62" t="n">
        <f aca="false">IFERROR(H248/H99*365,"n/a")</f>
        <v>32.4083086960954</v>
      </c>
      <c r="I275" s="62" t="n">
        <f aca="false">IFERROR(I248/I99*365,"n/a")</f>
        <v>32.0757012937108</v>
      </c>
      <c r="N275" s="62" t="n">
        <f aca="false">IFERROR(N248/N99*365,"n/a")</f>
        <v>31.4034326888089</v>
      </c>
      <c r="S275" s="62" t="n">
        <f aca="false">IFERROR(S248/S99*365,"n/a")</f>
        <v>28.4227975787433</v>
      </c>
      <c r="X275" s="62" t="n">
        <f aca="false">IFERROR(X248/X99*365,"n/a")</f>
        <v>31.2921140563761</v>
      </c>
      <c r="AC275" s="62" t="n">
        <f aca="false">IFERROR(AC248/AC99*365,"n/a")</f>
        <v>31.0970403106071</v>
      </c>
      <c r="AH275" s="62" t="n">
        <f aca="false">IFERROR(AH248/AH99*365,"n/a")</f>
        <v>34.4697122792836</v>
      </c>
      <c r="AM275" s="62" t="n">
        <f aca="false">IFERROR(AM248/AM99*365,"n/a")</f>
        <v>36.0025013661378</v>
      </c>
      <c r="AR275" s="62" t="n">
        <f aca="false">IFERROR(AR248/AR99*365,"n/a")</f>
        <v>31.2223437297422</v>
      </c>
      <c r="AW275" s="62" t="n">
        <f aca="false">IFERROR(AW248/AW99*365,"n/a")</f>
        <v>25.1850469099868</v>
      </c>
      <c r="BB275" s="62" t="n">
        <f aca="false">IFERROR(BB248/BB99*365,"n/a")</f>
        <v>27.4309801196389</v>
      </c>
      <c r="BG275" s="62" t="n">
        <f aca="false">IFERROR(BG248/BG99*365,"n/a")</f>
        <v>31.6158477901072</v>
      </c>
      <c r="BL275" s="62" t="n">
        <f aca="false">IFERROR(BL248/BL99*365,"n/a")</f>
        <v>41.4142185375757</v>
      </c>
      <c r="BQ275" s="62" t="n">
        <f aca="false">IFERROR(BQ248/BQ99*365,"n/a")</f>
        <v>30.7420786496108</v>
      </c>
      <c r="BV275" s="62" t="n">
        <f aca="false">IFERROR(BV248/BV99*365,"n/a")</f>
        <v>31.2496201706082</v>
      </c>
      <c r="CA275" s="47" t="n">
        <v>33</v>
      </c>
      <c r="CB275" s="48" t="n">
        <f aca="false">CA275</f>
        <v>33</v>
      </c>
      <c r="CC275" s="48" t="n">
        <f aca="false">CB275</f>
        <v>33</v>
      </c>
      <c r="CD275" s="48" t="n">
        <f aca="false">CC275</f>
        <v>33</v>
      </c>
      <c r="CE275" s="48" t="n">
        <f aca="false">CD275</f>
        <v>33</v>
      </c>
    </row>
    <row r="276" customFormat="false" ht="15" hidden="false" customHeight="true" outlineLevel="0" collapsed="false">
      <c r="B276" s="29" t="s">
        <v>419</v>
      </c>
      <c r="C276" s="30" t="n">
        <f aca="false">IFERROR(C249/C98,"n/a")</f>
        <v>0.105823707896683</v>
      </c>
      <c r="D276" s="30" t="n">
        <f aca="false">IFERROR(D249/D98,"n/a")</f>
        <v>0.106074924595018</v>
      </c>
      <c r="E276" s="30" t="n">
        <f aca="false">IFERROR(E249/E98,"n/a")</f>
        <v>0.0851485454548577</v>
      </c>
      <c r="F276" s="30" t="n">
        <f aca="false">IFERROR(F249/F98,"n/a")</f>
        <v>0.0686945472379509</v>
      </c>
      <c r="G276" s="30" t="n">
        <f aca="false">IFERROR(G249/G98,"n/a")</f>
        <v>0.0844397264270202</v>
      </c>
      <c r="H276" s="30" t="n">
        <f aca="false">IFERROR(H249/H98,"n/a")</f>
        <v>0.0998521357945119</v>
      </c>
      <c r="I276" s="30" t="n">
        <f aca="false">IFERROR(I249/I98,"n/a")</f>
        <v>0.084962673302524</v>
      </c>
      <c r="N276" s="30" t="n">
        <f aca="false">IFERROR(N249/N98,"n/a")</f>
        <v>0.104816125191696</v>
      </c>
      <c r="S276" s="30" t="n">
        <f aca="false">IFERROR(S249/S98,"n/a")</f>
        <v>0.0817602231189135</v>
      </c>
      <c r="X276" s="30" t="n">
        <f aca="false">IFERROR(X249/X98,"n/a")</f>
        <v>0.0842595957760414</v>
      </c>
      <c r="AC276" s="30" t="n">
        <f aca="false">IFERROR(AC249/AC98,"n/a")</f>
        <v>0.0988571910208696</v>
      </c>
      <c r="AH276" s="30" t="n">
        <f aca="false">IFERROR(AH249/AH98,"n/a")</f>
        <v>0.096806624812354</v>
      </c>
      <c r="AM276" s="30" t="n">
        <f aca="false">IFERROR(AM249/AM98,"n/a")</f>
        <v>0.0964797063206206</v>
      </c>
      <c r="AR276" s="30" t="n">
        <f aca="false">IFERROR(AR249/AR98,"n/a")</f>
        <v>0.0870562893337232</v>
      </c>
      <c r="AW276" s="30" t="n">
        <f aca="false">IFERROR(AW249/AW98,"n/a")</f>
        <v>0.0907840978976603</v>
      </c>
      <c r="BB276" s="30" t="n">
        <f aca="false">IFERROR(BB249/BB98,"n/a")</f>
        <v>0.110874736423463</v>
      </c>
      <c r="BG276" s="30" t="n">
        <f aca="false">IFERROR(BG249/BG98,"n/a")</f>
        <v>0.131411542338481</v>
      </c>
      <c r="BL276" s="30" t="n">
        <f aca="false">IFERROR(BL249/BL98,"n/a")</f>
        <v>0.145918355314249</v>
      </c>
      <c r="BQ276" s="30" t="n">
        <f aca="false">IFERROR(BQ249/BQ98,"n/a")</f>
        <v>0.110891058823346</v>
      </c>
      <c r="BV276" s="30" t="n">
        <f aca="false">IFERROR(BV249/BV98,"n/a")</f>
        <v>0.128788926039522</v>
      </c>
      <c r="CA276" s="31" t="n">
        <v>0.129</v>
      </c>
      <c r="CB276" s="23" t="n">
        <f aca="false">CA276</f>
        <v>0.129</v>
      </c>
      <c r="CC276" s="23" t="n">
        <f aca="false">CB276</f>
        <v>0.129</v>
      </c>
      <c r="CD276" s="23" t="n">
        <f aca="false">CC276</f>
        <v>0.129</v>
      </c>
      <c r="CE276" s="23" t="n">
        <f aca="false">CD276</f>
        <v>0.129</v>
      </c>
      <c r="CF276" s="19" t="s">
        <v>420</v>
      </c>
    </row>
    <row r="277" customFormat="false" ht="15" hidden="false" customHeight="true" outlineLevel="0" collapsed="false">
      <c r="B277" s="29" t="s">
        <v>421</v>
      </c>
      <c r="C277" s="36" t="n">
        <f aca="false">IF(ISNUMBER(C236),C236+N(C237)+C238-C248-C249,"n/a")</f>
        <v>98.406</v>
      </c>
      <c r="D277" s="36" t="n">
        <f aca="false">IF(ISNUMBER(D236),D236+N(D237)+D238-D248-D249,"n/a")</f>
        <v>116.13</v>
      </c>
      <c r="E277" s="36" t="n">
        <f aca="false">IF(ISNUMBER(E236),E236+N(E237)+E238-E248-E249,"n/a")</f>
        <v>142.07</v>
      </c>
      <c r="F277" s="36" t="n">
        <f aca="false">IF(ISNUMBER(F236),F236+N(F237)+F238-F248-F249,"n/a")</f>
        <v>151.493</v>
      </c>
      <c r="G277" s="36" t="n">
        <f aca="false">IF(ISNUMBER(G236),G236+N(G237)+G238-G248-G249,"n/a")</f>
        <v>149.325</v>
      </c>
      <c r="H277" s="36" t="n">
        <f aca="false">IF(ISNUMBER(H236),H236+N(H237)+H238-H248-H249,"n/a")</f>
        <v>155.231</v>
      </c>
      <c r="I277" s="36" t="n">
        <f aca="false">IF(ISNUMBER(I236),I236+N(I237)+I238-I248-I249,"n/a")</f>
        <v>191.076</v>
      </c>
      <c r="N277" s="36" t="n">
        <f aca="false">IF(ISNUMBER(N236),N236+N(N237)+N238-N248-N249,"n/a")</f>
        <v>222.589</v>
      </c>
      <c r="S277" s="36" t="n">
        <f aca="false">IF(ISNUMBER(S236),S236+N(S237)+S238-S248-S249,"n/a")</f>
        <v>224.331</v>
      </c>
      <c r="X277" s="36" t="n">
        <f aca="false">IF(ISNUMBER(X236),X236+N(X237)+X238-X248-X249,"n/a")</f>
        <v>260.273</v>
      </c>
      <c r="AC277" s="36" t="n">
        <f aca="false">IF(ISNUMBER(AC236),AC236+N(AC237)+AC238-AC248-AC249,"n/a")</f>
        <v>279.141</v>
      </c>
      <c r="AH277" s="36" t="n">
        <f aca="false">IF(ISNUMBER(AH236),AH236+N(AH237)+AH238-AH248-AH249,"n/a")</f>
        <v>328.748</v>
      </c>
      <c r="AM277" s="36" t="n">
        <f aca="false">IF(ISNUMBER(AM236),AM236+N(AM237)+AM238-AM248-AM249,"n/a")</f>
        <v>374.289</v>
      </c>
      <c r="AR277" s="36" t="n">
        <f aca="false">IF(ISNUMBER(AR236),AR236+N(AR237)+AR238-AR248-AR249,"n/a")</f>
        <v>452.595</v>
      </c>
      <c r="AW277" s="36" t="n">
        <f aca="false">IF(ISNUMBER(AW236),AW236+N(AW237)+AW238-AW248-AW249,"n/a")</f>
        <v>495.598</v>
      </c>
      <c r="BB277" s="36" t="n">
        <f aca="false">IF(ISNUMBER(BB236),BB236+N(BB237)+BB238-BB248-BB249,"n/a")</f>
        <v>510.641</v>
      </c>
      <c r="BG277" s="36" t="n">
        <f aca="false">IF(ISNUMBER(BG236),BG236+N(BG237)+BG238-BG248-BG249,"n/a")</f>
        <v>564.547</v>
      </c>
      <c r="BL277" s="36" t="n">
        <f aca="false">IF(ISNUMBER(BL236),BL236+N(BL237)+BL238-BL248-BL249,"n/a")</f>
        <v>995.463</v>
      </c>
      <c r="BQ277" s="36" t="n">
        <f aca="false">IF(ISNUMBER(BQ236),BQ236+N(BQ237)+BQ238-BQ248-BQ249,"n/a")</f>
        <v>1195.461</v>
      </c>
      <c r="BV277" s="36" t="n">
        <f aca="false">IF(ISNUMBER(BV236),BV236+N(BV237)+BV238-BV248-BV249,"n/a")</f>
        <v>1243.544</v>
      </c>
      <c r="CA277" s="42" t="n">
        <f aca="false">IF(ISNUMBER(CA236),CA236+N(CA237)+CA238-CA248-CA249,"n/a")</f>
        <v>1383.62954361</v>
      </c>
      <c r="CB277" s="42" t="n">
        <f aca="false">IF(ISNUMBER(CB236),CB236+N(CB237)+CB238-CB248-CB249,"n/a")</f>
        <v>1574.23540232946</v>
      </c>
      <c r="CC277" s="42" t="n">
        <f aca="false">IF(ISNUMBER(CC236),CC236+N(CC237)+CC238-CC248-CC249,"n/a")</f>
        <v>1747.2910895171</v>
      </c>
      <c r="CD277" s="42" t="n">
        <f aca="false">IF(ISNUMBER(CD236),CD236+N(CD237)+CD238-CD248-CD249,"n/a")</f>
        <v>1922.57463170214</v>
      </c>
      <c r="CE277" s="42" t="n">
        <f aca="false">IF(ISNUMBER(CE236),CE236+N(CE237)+CE238-CE248-CE249,"n/a")</f>
        <v>2113.34453372074</v>
      </c>
    </row>
    <row r="278" customFormat="false" ht="15" hidden="false" customHeight="true" outlineLevel="0" collapsed="false">
      <c r="B278" s="29" t="s">
        <v>422</v>
      </c>
      <c r="C278" s="30" t="n">
        <f aca="false">IFERROR(C277/C98,"n/a")</f>
        <v>0.250914097758739</v>
      </c>
      <c r="D278" s="30" t="n">
        <f aca="false">IFERROR(D277/D98,"n/a")</f>
        <v>0.228636567675479</v>
      </c>
      <c r="E278" s="30" t="n">
        <f aca="false">IFERROR(E277/E98,"n/a")</f>
        <v>0.243961074754399</v>
      </c>
      <c r="F278" s="30" t="n">
        <f aca="false">IFERROR(F277/F98,"n/a")</f>
        <v>0.281430662683728</v>
      </c>
      <c r="G278" s="30" t="n">
        <f aca="false">IFERROR(G277/G98,"n/a")</f>
        <v>0.242009983468931</v>
      </c>
      <c r="H278" s="30" t="n">
        <f aca="false">IFERROR(H277/H98,"n/a")</f>
        <v>0.202945256252198</v>
      </c>
      <c r="I278" s="30" t="n">
        <f aca="false">IFERROR(I277/I98,"n/a")</f>
        <v>0.212934349811166</v>
      </c>
      <c r="N278" s="30" t="n">
        <f aca="false">IFERROR(N277/N98,"n/a")</f>
        <v>0.220656709197557</v>
      </c>
      <c r="S278" s="30" t="n">
        <f aca="false">IFERROR(S277/S98,"n/a")</f>
        <v>0.198117831585139</v>
      </c>
      <c r="X278" s="30" t="n">
        <f aca="false">IFERROR(X277/X98,"n/a")</f>
        <v>0.218965581063528</v>
      </c>
      <c r="AC278" s="30" t="n">
        <f aca="false">IFERROR(AC277/AC98,"n/a")</f>
        <v>0.202826068949281</v>
      </c>
      <c r="AH278" s="30" t="n">
        <f aca="false">IFERROR(AH277/AH98,"n/a")</f>
        <v>0.215598896389262</v>
      </c>
      <c r="AM278" s="30" t="n">
        <f aca="false">IFERROR(AM277/AM98,"n/a")</f>
        <v>0.210544286758158</v>
      </c>
      <c r="AR278" s="30" t="n">
        <f aca="false">IFERROR(AR277/AR98,"n/a")</f>
        <v>0.22017155669237</v>
      </c>
      <c r="AW278" s="30" t="n">
        <f aca="false">IFERROR(AW277/AW98,"n/a")</f>
        <v>0.27733380190027</v>
      </c>
      <c r="BB278" s="30" t="n">
        <f aca="false">IFERROR(BB277/BB98,"n/a")</f>
        <v>0.273702056406183</v>
      </c>
      <c r="BG278" s="30" t="n">
        <f aca="false">IFERROR(BG277/BG98,"n/a")</f>
        <v>0.25564523651895</v>
      </c>
      <c r="BL278" s="30" t="n">
        <f aca="false">IFERROR(BL277/BL98,"n/a")</f>
        <v>0.335386719809441</v>
      </c>
      <c r="BQ278" s="30" t="n">
        <f aca="false">IFERROR(BQ277/BQ98,"n/a")</f>
        <v>0.309892061760612</v>
      </c>
      <c r="BV278" s="30" t="n">
        <f aca="false">IFERROR(BV277/BV98,"n/a")</f>
        <v>0.277264615464196</v>
      </c>
      <c r="CA278" s="23" t="n">
        <f aca="false">IFERROR(CA277/CA98,"n/a")</f>
        <v>0.254175870540522</v>
      </c>
      <c r="CB278" s="23" t="n">
        <f aca="false">IFERROR(CB277/CB98,"n/a")</f>
        <v>0.254054794520548</v>
      </c>
      <c r="CC278" s="23" t="n">
        <f aca="false">IFERROR(CC277/CC98,"n/a")</f>
        <v>0.254054794520548</v>
      </c>
      <c r="CD278" s="23" t="n">
        <f aca="false">IFERROR(CD277/CD98,"n/a")</f>
        <v>0.254054794520548</v>
      </c>
      <c r="CE278" s="23" t="n">
        <f aca="false">IFERROR(CE277/CE98,"n/a")</f>
        <v>0.254054794520548</v>
      </c>
      <c r="CH278" s="33" t="n">
        <f aca="false">IFERROR(AVERAGE(CA278,CB278,CC278,CD278,CE278),"n/m")</f>
        <v>0.254079009724543</v>
      </c>
      <c r="CI278" s="33" t="n">
        <f aca="false">IFERROR(AVERAGE(BB278,BG278,BL278,BQ278,BV278),"n/m")</f>
        <v>0.290378137991876</v>
      </c>
      <c r="CJ278" s="33" t="n">
        <f aca="false">IFERROR(AVERAGE(AC278,AH278,AM278,AR278,AW278,BB278,BG278,BL278,BQ278,BV278),"n/m")</f>
        <v>0.257836530064872</v>
      </c>
      <c r="CK278" s="33" t="n">
        <f aca="false">IFERROR(AVERAGE(C278,D278,E278,F278,G278,H278,I278,N278,S278,X278,AC278,AH278,AM278,AR278,AW278,BB278,BG278,BL278,BQ278,BV278),"n/m")</f>
        <v>0.243946870744979</v>
      </c>
    </row>
    <row r="279" customFormat="false" ht="15" hidden="false" customHeight="true" outlineLevel="0" collapsed="false">
      <c r="B279" s="29" t="s">
        <v>423</v>
      </c>
      <c r="D279" s="36" t="n">
        <f aca="false">IFERROR(D277-C277,"n/a")</f>
        <v>17.724</v>
      </c>
      <c r="E279" s="36" t="n">
        <f aca="false">IFERROR(E277-D277,"n/a")</f>
        <v>25.94</v>
      </c>
      <c r="F279" s="36" t="n">
        <f aca="false">IFERROR(F277-E277,"n/a")</f>
        <v>9.423</v>
      </c>
      <c r="G279" s="36" t="n">
        <f aca="false">IFERROR(G277-F277,"n/a")</f>
        <v>-2.16800000000001</v>
      </c>
      <c r="H279" s="36" t="n">
        <f aca="false">IFERROR(H277-G277,"n/a")</f>
        <v>5.90600000000001</v>
      </c>
      <c r="I279" s="36" t="n">
        <f aca="false">IFERROR(I277-H277,"n/a")</f>
        <v>35.845</v>
      </c>
      <c r="N279" s="36" t="n">
        <f aca="false">IFERROR(N277-I277,"n/a")</f>
        <v>31.513</v>
      </c>
      <c r="S279" s="36" t="n">
        <f aca="false">IFERROR(S277-N277,"n/a")</f>
        <v>1.74200000000005</v>
      </c>
      <c r="X279" s="36" t="n">
        <f aca="false">IFERROR(X277-S277,"n/a")</f>
        <v>35.942</v>
      </c>
      <c r="AC279" s="36" t="n">
        <f aca="false">IFERROR(AC277-X277,"n/a")</f>
        <v>18.868</v>
      </c>
      <c r="AH279" s="36" t="n">
        <f aca="false">IFERROR(AH277-AC277,"n/a")</f>
        <v>49.6069999999999</v>
      </c>
      <c r="AM279" s="36" t="n">
        <f aca="false">IFERROR(AM277-AH277,"n/a")</f>
        <v>45.5409999999999</v>
      </c>
      <c r="AR279" s="36" t="n">
        <f aca="false">IFERROR(AR277-AM277,"n/a")</f>
        <v>78.3060000000002</v>
      </c>
      <c r="AW279" s="36" t="n">
        <f aca="false">IFERROR(AW277-AR277,"n/a")</f>
        <v>43.003</v>
      </c>
      <c r="BB279" s="36" t="n">
        <f aca="false">IFERROR(BB277-AW277,"n/a")</f>
        <v>15.043</v>
      </c>
      <c r="BG279" s="36" t="n">
        <f aca="false">IFERROR(BG277-BB277,"n/a")</f>
        <v>53.906</v>
      </c>
      <c r="BL279" s="36" t="n">
        <f aca="false">IFERROR(BL277-BG277,"n/a")</f>
        <v>430.916</v>
      </c>
      <c r="BQ279" s="36" t="n">
        <f aca="false">IFERROR(BQ277-BL277,"n/a")</f>
        <v>199.998</v>
      </c>
      <c r="BV279" s="36" t="n">
        <f aca="false">IFERROR(BV277-BQ277,"n/a")</f>
        <v>48.0830000000001</v>
      </c>
      <c r="CA279" s="42" t="n">
        <f aca="false">IFERROR(CA277-BV277,"n/a")</f>
        <v>140.085543610003</v>
      </c>
      <c r="CB279" s="42" t="n">
        <f aca="false">IFERROR(CB277-CA277,"n/a")</f>
        <v>190.605858719457</v>
      </c>
      <c r="CC279" s="42" t="n">
        <f aca="false">IFERROR(CC277-CB277,"n/a")</f>
        <v>173.055687187643</v>
      </c>
      <c r="CD279" s="42" t="n">
        <f aca="false">IFERROR(CD277-CC277,"n/a")</f>
        <v>175.283542185035</v>
      </c>
      <c r="CE279" s="42" t="n">
        <f aca="false">IFERROR(CE277-CD277,"n/a")</f>
        <v>190.769902018604</v>
      </c>
    </row>
    <row r="280" customFormat="false" ht="15" hidden="false" customHeight="true" outlineLevel="0" collapsed="false"/>
    <row r="281" customFormat="false" ht="15" hidden="false" customHeight="true" outlineLevel="0" collapsed="false">
      <c r="B281" s="11" t="s">
        <v>424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 t="s">
        <v>425</v>
      </c>
    </row>
    <row r="282" customFormat="false" ht="15" hidden="false" customHeight="true" outlineLevel="0" collapsed="false">
      <c r="B282" s="14" t="s">
        <v>426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5"/>
    </row>
    <row r="283" customFormat="false" ht="15" hidden="false" customHeight="true" outlineLevel="0" collapsed="false">
      <c r="B283" s="29" t="s">
        <v>427</v>
      </c>
      <c r="CA283" s="56" t="n">
        <f aca="false">BY118-BY117</f>
        <v>1.56700000000001</v>
      </c>
      <c r="CB283" s="56" t="n">
        <f aca="false">CA283</f>
        <v>1.56700000000001</v>
      </c>
      <c r="CC283" s="56" t="n">
        <f aca="false">CB283</f>
        <v>1.56700000000001</v>
      </c>
      <c r="CD283" s="56" t="n">
        <f aca="false">CC283</f>
        <v>1.56700000000001</v>
      </c>
      <c r="CE283" s="56" t="n">
        <f aca="false">CD283</f>
        <v>1.56700000000001</v>
      </c>
      <c r="CF283" s="19" t="s">
        <v>428</v>
      </c>
    </row>
    <row r="284" customFormat="false" ht="15" hidden="false" customHeight="true" outlineLevel="0" collapsed="false">
      <c r="B284" s="29" t="s">
        <v>429</v>
      </c>
      <c r="CB284" s="31" t="n">
        <v>0.1</v>
      </c>
      <c r="CC284" s="31" t="n">
        <v>0.1</v>
      </c>
      <c r="CD284" s="31" t="n">
        <v>0.1</v>
      </c>
      <c r="CE284" s="31" t="n">
        <v>0.1</v>
      </c>
    </row>
    <row r="285" customFormat="false" ht="15" hidden="false" customHeight="true" outlineLevel="0" collapsed="false">
      <c r="B285" s="29" t="s">
        <v>430</v>
      </c>
      <c r="C285" s="30" t="n">
        <f aca="false">IFERROR(-C201/C109,"")</f>
        <v>0.295310406431443</v>
      </c>
      <c r="D285" s="30" t="n">
        <f aca="false">IFERROR(-D201/D109,"")</f>
        <v>0.39604446901296</v>
      </c>
      <c r="E285" s="30" t="n">
        <f aca="false">IFERROR(-E201/E109,"")</f>
        <v>0.394998940453486</v>
      </c>
      <c r="F285" s="30" t="n">
        <f aca="false">IFERROR(-F201/F109,"")</f>
        <v>0.630199093238715</v>
      </c>
      <c r="G285" s="30" t="n">
        <f aca="false">IFERROR(-G201/G109,"")</f>
        <v>0.594821151748292</v>
      </c>
      <c r="H285" s="30" t="n">
        <f aca="false">IFERROR(-H201/H109,"")</f>
        <v>0.658021473070296</v>
      </c>
      <c r="I285" s="30" t="n">
        <f aca="false">IFERROR(-I201/I109,"")</f>
        <v>0.422240802675585</v>
      </c>
      <c r="N285" s="30" t="n">
        <f aca="false">IFERROR(-N201/N109,"")</f>
        <v>0.341935483870968</v>
      </c>
      <c r="S285" s="30" t="n">
        <f aca="false">IFERROR(-S201/S109,"")</f>
        <v>4.53183820584702</v>
      </c>
      <c r="X285" s="30" t="n">
        <f aca="false">IFERROR(-X201/X109,"")</f>
        <v>0.480148514851485</v>
      </c>
      <c r="AC285" s="30" t="n">
        <f aca="false">IFERROR(-AC201/AC109,"")</f>
        <v>0.952850987072853</v>
      </c>
      <c r="AH285" s="30" t="n">
        <f aca="false">IFERROR(-AH201/AH109,"")</f>
        <v>0.848950403690888</v>
      </c>
      <c r="AM285" s="30" t="n">
        <f aca="false">IFERROR(-AM201/AM109,"")</f>
        <v>0.493668014969947</v>
      </c>
      <c r="AR285" s="30" t="n">
        <f aca="false">IFERROR(-AR201/AR109,"")</f>
        <v>3.48151986183074</v>
      </c>
      <c r="AW285" s="30" t="n">
        <f aca="false">IFERROR(-AW201/AW109,"")</f>
        <v>0.81880115221069</v>
      </c>
      <c r="BB285" s="30" t="n">
        <f aca="false">IFERROR(-BB201/BB109,"")</f>
        <v>1.09495653535907</v>
      </c>
      <c r="BG285" s="30" t="n">
        <f aca="false">IFERROR(-BG201/BG109,"")</f>
        <v>0.644243606860429</v>
      </c>
      <c r="BL285" s="30" t="n">
        <f aca="false">IFERROR(-BL201/BL109,"")</f>
        <v>0.897124083654106</v>
      </c>
      <c r="BQ285" s="30" t="n">
        <f aca="false">IFERROR(-BQ201/BQ109,"")</f>
        <v>0.763012206238744</v>
      </c>
      <c r="BV285" s="30" t="n">
        <f aca="false">IFERROR(-BV201/BV109,"")</f>
        <v>0.697565661875329</v>
      </c>
      <c r="CA285" s="31" t="n">
        <v>0.7</v>
      </c>
      <c r="CB285" s="23" t="n">
        <f aca="false">CA285</f>
        <v>0.7</v>
      </c>
      <c r="CC285" s="23" t="n">
        <f aca="false">CA285</f>
        <v>0.7</v>
      </c>
      <c r="CD285" s="23" t="n">
        <f aca="false">CA285</f>
        <v>0.7</v>
      </c>
      <c r="CE285" s="23" t="n">
        <f aca="false">CA285</f>
        <v>0.7</v>
      </c>
      <c r="CF285" s="19" t="s">
        <v>431</v>
      </c>
    </row>
    <row r="286" customFormat="false" ht="15" hidden="false" customHeight="true" outlineLevel="0" collapsed="false">
      <c r="B286" s="14" t="s">
        <v>432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5"/>
    </row>
    <row r="287" customFormat="false" ht="15" hidden="false" customHeight="true" outlineLevel="0" collapsed="false">
      <c r="B287" s="16" t="s">
        <v>433</v>
      </c>
      <c r="C287" s="53" t="n">
        <f aca="false">IF(ISNUMBER(C252),N(C247)+C252,"")</f>
        <v>55.061</v>
      </c>
      <c r="D287" s="53" t="n">
        <f aca="false">IF(ISNUMBER(D252),N(D247)+D252,"")</f>
        <v>55.952</v>
      </c>
      <c r="E287" s="53" t="n">
        <f aca="false">IF(ISNUMBER(E252),N(E247)+E252,"")</f>
        <v>37.601</v>
      </c>
      <c r="F287" s="53" t="n">
        <f aca="false">IF(ISNUMBER(F252),N(F247)+F252,"")</f>
        <v>55.431</v>
      </c>
      <c r="G287" s="53" t="n">
        <f aca="false">IF(ISNUMBER(G252),N(G247)+G252,"")</f>
        <v>14.221</v>
      </c>
      <c r="H287" s="53" t="n">
        <f aca="false">IF(ISNUMBER(H252),N(H247)+H252,"")</f>
        <v>40.158</v>
      </c>
      <c r="I287" s="53" t="n">
        <f aca="false">IF(ISNUMBER(I252),N(I247)+I252,"")</f>
        <v>131.82</v>
      </c>
      <c r="J287" s="53" t="n">
        <f aca="false">IF(ISNUMBER(J252),N(J247)+J252,"")</f>
        <v>254.881</v>
      </c>
      <c r="K287" s="53" t="n">
        <f aca="false">IF(ISNUMBER(K252),N(K247)+K252,"")</f>
        <v>228.546</v>
      </c>
      <c r="L287" s="53" t="n">
        <f aca="false">IF(ISNUMBER(L252),N(L247)+L252,"")</f>
        <v>319.539</v>
      </c>
      <c r="M287" s="53" t="n">
        <f aca="false">IF(ISNUMBER(M252),N(M247)+M252,"")</f>
        <v>377.515</v>
      </c>
      <c r="N287" s="53" t="n">
        <f aca="false">IF(ISNUMBER(N252),N(N247)+N252,"")</f>
        <v>377.515</v>
      </c>
      <c r="O287" s="53" t="n">
        <f aca="false">IF(ISNUMBER(O252),N(O247)+O252,"")</f>
        <v>379.285</v>
      </c>
      <c r="P287" s="53" t="n">
        <f aca="false">IF(ISNUMBER(P252),N(P247)+P252,"")</f>
        <v>436.593</v>
      </c>
      <c r="Q287" s="53" t="n">
        <f aca="false">IF(ISNUMBER(Q252),N(Q247)+Q252,"")</f>
        <v>386.333</v>
      </c>
      <c r="R287" s="53" t="n">
        <f aca="false">IF(ISNUMBER(R252),N(R247)+R252,"")</f>
        <v>329.109</v>
      </c>
      <c r="S287" s="53" t="n">
        <f aca="false">IF(ISNUMBER(S252),N(S247)+S252,"")</f>
        <v>329.109</v>
      </c>
      <c r="T287" s="53" t="n">
        <f aca="false">IF(ISNUMBER(T252),N(T247)+T252,"")</f>
        <v>354.915</v>
      </c>
      <c r="U287" s="53" t="n">
        <f aca="false">IF(ISNUMBER(U252),N(U247)+U252,"")</f>
        <v>326.817</v>
      </c>
      <c r="V287" s="53" t="n">
        <f aca="false">IF(ISNUMBER(V252),N(V247)+V252,"")</f>
        <v>299.469</v>
      </c>
      <c r="W287" s="53" t="n">
        <f aca="false">IF(ISNUMBER(W252),N(W247)+W252,"")</f>
        <v>367.598</v>
      </c>
      <c r="X287" s="53" t="n">
        <f aca="false">IF(ISNUMBER(X252),N(X247)+X252,"")</f>
        <v>367.598</v>
      </c>
      <c r="Y287" s="53" t="n">
        <f aca="false">IF(ISNUMBER(Y252),N(Y247)+Y252,"")</f>
        <v>594.921</v>
      </c>
      <c r="Z287" s="53" t="n">
        <f aca="false">IF(ISNUMBER(Z252),N(Z247)+Z252,"")</f>
        <v>562.93</v>
      </c>
      <c r="AA287" s="53" t="n">
        <f aca="false">IF(ISNUMBER(AA252),N(AA247)+AA252,"")</f>
        <v>509.905</v>
      </c>
      <c r="AB287" s="53" t="n">
        <f aca="false">IF(ISNUMBER(AB252),N(AB247)+AB252,"")</f>
        <v>458.225</v>
      </c>
      <c r="AC287" s="53" t="n">
        <f aca="false">IF(ISNUMBER(AC252),N(AC247)+AC252,"")</f>
        <v>458.225</v>
      </c>
      <c r="AD287" s="53" t="n">
        <f aca="false">IF(ISNUMBER(AD252),N(AD247)+AD252,"")</f>
        <v>417.329</v>
      </c>
      <c r="AE287" s="53" t="n">
        <f aca="false">IF(ISNUMBER(AE252),N(AE247)+AE252,"")</f>
        <v>460.872</v>
      </c>
      <c r="AF287" s="53" t="n">
        <f aca="false">IF(ISNUMBER(AF252),N(AF247)+AF252,"")</f>
        <v>434.762</v>
      </c>
      <c r="AG287" s="53" t="n">
        <f aca="false">IF(ISNUMBER(AG252),N(AG247)+AG252,"")</f>
        <v>673.979</v>
      </c>
      <c r="AH287" s="53" t="n">
        <f aca="false">IF(ISNUMBER(AH252),N(AH247)+AH252,"")</f>
        <v>673.979</v>
      </c>
      <c r="AI287" s="53" t="n">
        <f aca="false">IF(ISNUMBER(AI252),N(AI247)+AI252,"")</f>
        <v>669.012</v>
      </c>
      <c r="AJ287" s="53" t="n">
        <f aca="false">IF(ISNUMBER(AJ252),N(AJ247)+AJ252,"")</f>
        <v>683.842</v>
      </c>
      <c r="AK287" s="53" t="n">
        <f aca="false">IF(ISNUMBER(AK252),N(AK247)+AK252,"")</f>
        <v>623.818</v>
      </c>
      <c r="AL287" s="53" t="n">
        <f aca="false">IF(ISNUMBER(AL252),N(AL247)+AL252,"")</f>
        <v>532.47</v>
      </c>
      <c r="AM287" s="53" t="n">
        <f aca="false">IF(ISNUMBER(AM252),N(AM247)+AM252,"")</f>
        <v>532.47</v>
      </c>
      <c r="AN287" s="53" t="n">
        <f aca="false">IF(ISNUMBER(AN252),N(AN247)+AN252,"")</f>
        <v>608.521</v>
      </c>
      <c r="AO287" s="53" t="n">
        <f aca="false">IF(ISNUMBER(AO252),N(AO247)+AO252,"")</f>
        <v>556.383</v>
      </c>
      <c r="AP287" s="53" t="n">
        <f aca="false">IF(ISNUMBER(AP252),N(AP247)+AP252,"")</f>
        <v>640.164</v>
      </c>
      <c r="AQ287" s="53" t="n">
        <f aca="false">IF(ISNUMBER(AQ252),N(AQ247)+AQ252,"")</f>
        <v>561.955</v>
      </c>
      <c r="AR287" s="53" t="n">
        <f aca="false">IF(ISNUMBER(AR252),N(AR247)+AR252,"")</f>
        <v>561.955</v>
      </c>
      <c r="AS287" s="53" t="n">
        <f aca="false">IF(ISNUMBER(AS252),N(AS247)+AS252,"")</f>
        <v>568.796</v>
      </c>
      <c r="AT287" s="53" t="n">
        <f aca="false">IF(ISNUMBER(AT252),N(AT247)+AT252,"")</f>
        <v>740.213</v>
      </c>
      <c r="AU287" s="53" t="n">
        <f aca="false">IF(ISNUMBER(AU252),N(AU247)+AU252,"")</f>
        <v>740.089</v>
      </c>
      <c r="AV287" s="53" t="n">
        <f aca="false">IF(ISNUMBER(AV252),N(AV247)+AV252,"")</f>
        <v>739.831</v>
      </c>
      <c r="AW287" s="53" t="n">
        <f aca="false">IF(ISNUMBER(AW252),N(AW247)+AW252,"")</f>
        <v>739.831</v>
      </c>
      <c r="AX287" s="53" t="n">
        <f aca="false">IF(ISNUMBER(AX252),N(AX247)+AX252,"")</f>
        <v>669.684</v>
      </c>
      <c r="AY287" s="53" t="n">
        <f aca="false">IF(ISNUMBER(AY252),N(AY247)+AY252,"")</f>
        <v>584.463</v>
      </c>
      <c r="AZ287" s="53" t="n">
        <f aca="false">IF(ISNUMBER(AZ252),N(AZ247)+AZ252,"")</f>
        <v>386.873</v>
      </c>
      <c r="BA287" s="53" t="n">
        <f aca="false">IF(ISNUMBER(BA252),N(BA247)+BA252,"")</f>
        <v>236.498</v>
      </c>
      <c r="BB287" s="53" t="n">
        <f aca="false">IF(ISNUMBER(BB252),N(BB247)+BB252,"")</f>
        <v>236.498</v>
      </c>
      <c r="BC287" s="53" t="n">
        <f aca="false">IF(ISNUMBER(BC252),N(BC247)+BC252,"")</f>
        <v>237.134</v>
      </c>
      <c r="BD287" s="53" t="n">
        <f aca="false">IF(ISNUMBER(BD252),N(BD247)+BD252,"")</f>
        <v>265.876</v>
      </c>
      <c r="BE287" s="53" t="n">
        <f aca="false">IF(ISNUMBER(BE252),N(BE247)+BE252,"")</f>
        <v>245.757</v>
      </c>
      <c r="BF287" s="53" t="n">
        <f aca="false">IF(ISNUMBER(BF252),N(BF247)+BF252,"")</f>
        <v>290.274</v>
      </c>
      <c r="BG287" s="53" t="n">
        <f aca="false">IF(ISNUMBER(BG252),N(BG247)+BG252,"")</f>
        <v>290.274</v>
      </c>
      <c r="BH287" s="53" t="n">
        <f aca="false">IF(ISNUMBER(BH252),N(BH247)+BH252,"")</f>
        <v>782.789</v>
      </c>
      <c r="BI287" s="53" t="n">
        <f aca="false">IF(ISNUMBER(BI252),N(BI247)+BI252,"")</f>
        <v>737.397</v>
      </c>
      <c r="BJ287" s="53" t="n">
        <f aca="false">IF(ISNUMBER(BJ252),N(BJ247)+BJ252,"")</f>
        <v>1215.261</v>
      </c>
      <c r="BK287" s="53" t="n">
        <f aca="false">IF(ISNUMBER(BK252),N(BK247)+BK252,"")</f>
        <v>2478.078</v>
      </c>
      <c r="BL287" s="53" t="n">
        <f aca="false">IF(ISNUMBER(BL252),N(BL247)+BL252,"")</f>
        <v>2478.078</v>
      </c>
      <c r="BM287" s="53" t="n">
        <f aca="false">IF(ISNUMBER(BM252),N(BM247)+BM252,"")</f>
        <v>2500.465</v>
      </c>
      <c r="BN287" s="53" t="n">
        <f aca="false">IF(ISNUMBER(BN252),N(BN247)+BN252,"")</f>
        <v>2389.649</v>
      </c>
      <c r="BO287" s="53" t="n">
        <f aca="false">IF(ISNUMBER(BO252),N(BO247)+BO252,"")</f>
        <v>2259.097</v>
      </c>
      <c r="BP287" s="53" t="n">
        <f aca="false">IF(ISNUMBER(BP252),N(BP247)+BP252,"")</f>
        <v>2229.374</v>
      </c>
      <c r="BQ287" s="53" t="n">
        <f aca="false">IF(ISNUMBER(BQ252),N(BQ247)+BQ252,"")</f>
        <v>2229.374</v>
      </c>
      <c r="BR287" s="53" t="n">
        <f aca="false">IF(ISNUMBER(BR252),N(BR247)+BR252,"")</f>
        <v>2353.631</v>
      </c>
      <c r="BS287" s="53" t="n">
        <f aca="false">IF(ISNUMBER(BS252),N(BS247)+BS252,"")</f>
        <v>2278.151</v>
      </c>
      <c r="BT287" s="53" t="n">
        <f aca="false">IF(ISNUMBER(BT252),N(BT247)+BT252,"")</f>
        <v>2447.623</v>
      </c>
      <c r="BU287" s="53" t="n">
        <f aca="false">IF(ISNUMBER(BU252),N(BU247)+BU252,"")</f>
        <v>2167.945</v>
      </c>
      <c r="BV287" s="53" t="n">
        <f aca="false">IF(ISNUMBER(BV252),N(BV247)+BV252,"")</f>
        <v>2167.945</v>
      </c>
      <c r="BW287" s="53" t="n">
        <f aca="false">IF(ISNUMBER(BW252),N(BW247)+BW252,"")</f>
        <v>2507.681</v>
      </c>
      <c r="BX287" s="53" t="n">
        <f aca="false">IF(ISNUMBER(BX252),N(BX247)+BX252,"")</f>
        <v>2587.29</v>
      </c>
      <c r="BY287" s="53" t="n">
        <f aca="false">IF(ISNUMBER(BY252),N(BY247)+BY252,"")</f>
        <v>2541.173</v>
      </c>
      <c r="CA287" s="18" t="n">
        <f aca="false">CA291+CA293+CA295</f>
        <v>2396.173</v>
      </c>
      <c r="CB287" s="18" t="n">
        <f aca="false">CB291+CB293+CB295</f>
        <v>2396.173</v>
      </c>
      <c r="CC287" s="18" t="n">
        <f aca="false">CC291+CC293+CC295</f>
        <v>2396.173</v>
      </c>
      <c r="CD287" s="18" t="n">
        <f aca="false">CD291+CD293+CD295</f>
        <v>2396.173</v>
      </c>
      <c r="CE287" s="18" t="n">
        <f aca="false">CE291+CE293+CE295</f>
        <v>2531.83764226797</v>
      </c>
      <c r="CF287" s="19" t="s">
        <v>434</v>
      </c>
    </row>
    <row r="288" customFormat="false" ht="15" hidden="false" customHeight="true" outlineLevel="0" collapsed="false">
      <c r="B288" s="29" t="s">
        <v>435</v>
      </c>
      <c r="CA288" s="46" t="n">
        <v>0</v>
      </c>
      <c r="CB288" s="46" t="n">
        <v>0</v>
      </c>
      <c r="CC288" s="46" t="n">
        <v>-600</v>
      </c>
      <c r="CD288" s="46" t="n">
        <v>0</v>
      </c>
      <c r="CE288" s="46" t="n">
        <v>0</v>
      </c>
      <c r="CF288" s="19" t="s">
        <v>436</v>
      </c>
    </row>
    <row r="289" customFormat="false" ht="15" hidden="false" customHeight="true" outlineLevel="0" collapsed="false">
      <c r="B289" s="29" t="s">
        <v>437</v>
      </c>
      <c r="CA289" s="31" t="n">
        <v>1</v>
      </c>
      <c r="CB289" s="31" t="n">
        <v>1</v>
      </c>
      <c r="CC289" s="31" t="n">
        <v>1</v>
      </c>
      <c r="CD289" s="31" t="n">
        <v>1</v>
      </c>
      <c r="CE289" s="31" t="n">
        <v>1</v>
      </c>
    </row>
    <row r="290" customFormat="false" ht="15" hidden="false" customHeight="true" outlineLevel="0" collapsed="false">
      <c r="B290" s="29" t="s">
        <v>438</v>
      </c>
      <c r="CA290" s="42" t="n">
        <f aca="false">-CA288*CA289</f>
        <v>-0</v>
      </c>
      <c r="CB290" s="42" t="n">
        <f aca="false">-CB288*CB289</f>
        <v>-0</v>
      </c>
      <c r="CC290" s="42" t="n">
        <f aca="false">-CC288*CC289</f>
        <v>600</v>
      </c>
      <c r="CD290" s="42" t="n">
        <f aca="false">-CD288*CD289</f>
        <v>-0</v>
      </c>
      <c r="CE290" s="42" t="n">
        <f aca="false">-CE288*CE289</f>
        <v>-0</v>
      </c>
    </row>
    <row r="291" customFormat="false" ht="15" hidden="false" customHeight="true" outlineLevel="0" collapsed="false">
      <c r="B291" s="29" t="s">
        <v>439</v>
      </c>
      <c r="BL291" s="35" t="n">
        <v>1200</v>
      </c>
      <c r="BQ291" s="35" t="n">
        <v>1200</v>
      </c>
      <c r="BV291" s="35" t="n">
        <v>1200</v>
      </c>
      <c r="BY291" s="35" t="n">
        <v>2400</v>
      </c>
      <c r="CA291" s="42" t="n">
        <f aca="false">BY291+CA288+CA290</f>
        <v>2400</v>
      </c>
      <c r="CB291" s="42" t="n">
        <f aca="false">CA291+CB288+CB290</f>
        <v>2400</v>
      </c>
      <c r="CC291" s="42" t="n">
        <f aca="false">CB291+CC288+CC290</f>
        <v>2400</v>
      </c>
      <c r="CD291" s="42" t="n">
        <f aca="false">CC291+CD288+CD290</f>
        <v>2400</v>
      </c>
      <c r="CE291" s="42" t="n">
        <f aca="false">CD291+CE288+CE290</f>
        <v>2400</v>
      </c>
    </row>
    <row r="292" customFormat="false" ht="15" hidden="false" customHeight="true" outlineLevel="0" collapsed="false">
      <c r="B292" s="29" t="s">
        <v>440</v>
      </c>
      <c r="CA292" s="31" t="n">
        <v>0.0545</v>
      </c>
      <c r="CB292" s="23" t="n">
        <f aca="false">CA292</f>
        <v>0.0545</v>
      </c>
      <c r="CC292" s="23" t="n">
        <f aca="false">CB292</f>
        <v>0.0545</v>
      </c>
      <c r="CD292" s="23" t="n">
        <f aca="false">CC292</f>
        <v>0.0545</v>
      </c>
      <c r="CE292" s="23" t="n">
        <f aca="false">CD292</f>
        <v>0.0545</v>
      </c>
      <c r="CF292" s="19" t="s">
        <v>441</v>
      </c>
    </row>
    <row r="293" customFormat="false" ht="15" hidden="false" customHeight="true" outlineLevel="0" collapsed="false">
      <c r="B293" s="29" t="s">
        <v>442</v>
      </c>
      <c r="BL293" s="35" t="n">
        <v>1250</v>
      </c>
      <c r="BQ293" s="35" t="n">
        <v>1015</v>
      </c>
      <c r="BV293" s="35" t="n">
        <v>960</v>
      </c>
      <c r="BY293" s="35" t="n">
        <v>145</v>
      </c>
      <c r="CA293" s="42" t="n">
        <f aca="false">MAX(0,BY293+CA297-CA296)</f>
        <v>0</v>
      </c>
      <c r="CB293" s="42" t="n">
        <f aca="false">MAX(0,CA293+CB297-CB296)</f>
        <v>0</v>
      </c>
      <c r="CC293" s="42" t="n">
        <f aca="false">MAX(0,CB293+CC297-CC296)</f>
        <v>0</v>
      </c>
      <c r="CD293" s="42" t="n">
        <f aca="false">MAX(0,CC293+CD297-CD296)</f>
        <v>0</v>
      </c>
      <c r="CE293" s="42" t="n">
        <f aca="false">MAX(0,CD293+CE297-CE296)</f>
        <v>135.664642267975</v>
      </c>
      <c r="CF293" s="19" t="s">
        <v>443</v>
      </c>
    </row>
    <row r="294" customFormat="false" ht="15" hidden="false" customHeight="true" outlineLevel="0" collapsed="false">
      <c r="B294" s="29" t="s">
        <v>444</v>
      </c>
      <c r="CA294" s="31" t="n">
        <v>0.046</v>
      </c>
      <c r="CB294" s="31" t="n">
        <v>0.048</v>
      </c>
      <c r="CC294" s="31" t="n">
        <v>0.048</v>
      </c>
      <c r="CD294" s="31" t="n">
        <v>0.048</v>
      </c>
      <c r="CE294" s="31" t="n">
        <v>0.048</v>
      </c>
      <c r="CF294" s="19" t="s">
        <v>445</v>
      </c>
    </row>
    <row r="295" customFormat="false" ht="15" hidden="false" customHeight="true" outlineLevel="0" collapsed="false">
      <c r="B295" s="29" t="s">
        <v>446</v>
      </c>
      <c r="BL295" s="66" t="n">
        <f aca="false">BL287-BL291-BL293</f>
        <v>28.078</v>
      </c>
      <c r="BQ295" s="66" t="n">
        <f aca="false">BQ287-BQ291-BQ293</f>
        <v>14.3739999999998</v>
      </c>
      <c r="BV295" s="66" t="n">
        <f aca="false">BV287-BV291-BV293</f>
        <v>7.94500000000016</v>
      </c>
      <c r="BY295" s="66" t="n">
        <f aca="false">BY287-BY291-BY293</f>
        <v>-3.82700000000023</v>
      </c>
      <c r="CA295" s="42" t="n">
        <f aca="false">BY295</f>
        <v>-3.82700000000023</v>
      </c>
      <c r="CB295" s="42" t="n">
        <f aca="false">CA295</f>
        <v>-3.82700000000023</v>
      </c>
      <c r="CC295" s="42" t="n">
        <f aca="false">CB295</f>
        <v>-3.82700000000023</v>
      </c>
      <c r="CD295" s="42" t="n">
        <f aca="false">CC295</f>
        <v>-3.82700000000023</v>
      </c>
      <c r="CE295" s="42" t="n">
        <f aca="false">CD295</f>
        <v>-3.82700000000023</v>
      </c>
    </row>
    <row r="296" customFormat="false" ht="15" hidden="false" customHeight="true" outlineLevel="0" collapsed="false">
      <c r="B296" s="29" t="s">
        <v>447</v>
      </c>
      <c r="CA296" s="42" t="n">
        <f aca="false">BV210+CA193+CA197+CA200+CA201+CA202+CA203+CA204+CA205+CA207+SUM(BW198,BX198,BY198)+SUM(BW199,BX199,BY199)+CA288+CA290</f>
        <v>499.092035560619</v>
      </c>
      <c r="CB296" s="42" t="n">
        <f aca="false">CA210+CB193+CB197+CB200+CB201+CB202+CB203+CB204+CB205+CB207+CB288+CB290</f>
        <v>575.017211658767</v>
      </c>
      <c r="CC296" s="42" t="n">
        <f aca="false">CB210+CC193+CC197+CC200+CC201+CC202+CC203+CC204+CC205+CC207+CC288+CC290</f>
        <v>426.213718309018</v>
      </c>
      <c r="CD296" s="42" t="n">
        <f aca="false">CC210+CD193+CD197+CD200+CD201+CD202+CD203+CD204+CD205+CD207+CD288+CD290</f>
        <v>252.682498898235</v>
      </c>
      <c r="CE296" s="42" t="n">
        <f aca="false">CD210+CE193+CE197+CE200+CE201+CE202+CE203+CE204+CE205+CE207+CE288+CE290</f>
        <v>64.3353577320253</v>
      </c>
    </row>
    <row r="297" customFormat="false" ht="15" hidden="false" customHeight="true" outlineLevel="0" collapsed="false">
      <c r="B297" s="29" t="s">
        <v>448</v>
      </c>
      <c r="CA297" s="46" t="n">
        <v>200</v>
      </c>
      <c r="CB297" s="42" t="n">
        <f aca="false">CA297</f>
        <v>200</v>
      </c>
      <c r="CC297" s="42" t="n">
        <f aca="false">CB297</f>
        <v>200</v>
      </c>
      <c r="CD297" s="42" t="n">
        <f aca="false">CC297</f>
        <v>200</v>
      </c>
      <c r="CE297" s="42" t="n">
        <f aca="false">CD297</f>
        <v>200</v>
      </c>
      <c r="CF297" s="19" t="s">
        <v>449</v>
      </c>
    </row>
    <row r="298" customFormat="false" ht="15" hidden="false" customHeight="true" outlineLevel="0" collapsed="false">
      <c r="B298" s="29" t="s">
        <v>450</v>
      </c>
      <c r="D298" s="36" t="n">
        <f aca="false">IFERROR(D287-C287,"")</f>
        <v>0.890999999999998</v>
      </c>
      <c r="E298" s="36" t="n">
        <f aca="false">IFERROR(E287-D287,"")</f>
        <v>-18.351</v>
      </c>
      <c r="F298" s="36" t="n">
        <f aca="false">IFERROR(F287-E287,"")</f>
        <v>17.83</v>
      </c>
      <c r="G298" s="36" t="n">
        <f aca="false">IFERROR(G287-F287,"")</f>
        <v>-41.21</v>
      </c>
      <c r="H298" s="36" t="n">
        <f aca="false">IFERROR(H287-G287,"")</f>
        <v>25.937</v>
      </c>
      <c r="I298" s="36" t="n">
        <f aca="false">IFERROR(I287-H287,"")</f>
        <v>91.662</v>
      </c>
      <c r="N298" s="36" t="n">
        <f aca="false">IFERROR(N287-I287,"")</f>
        <v>245.695</v>
      </c>
      <c r="O298" s="36" t="n">
        <f aca="false">IFERROR(O287-J287,"")</f>
        <v>124.404</v>
      </c>
      <c r="P298" s="36" t="n">
        <f aca="false">IFERROR(P287-K287,"")</f>
        <v>208.047</v>
      </c>
      <c r="Q298" s="36" t="n">
        <f aca="false">IFERROR(Q287-L287,"")</f>
        <v>66.794</v>
      </c>
      <c r="R298" s="36" t="n">
        <f aca="false">IFERROR(R287-M287,"")</f>
        <v>-48.406</v>
      </c>
      <c r="S298" s="36" t="n">
        <f aca="false">IFERROR(S287-N287,"")</f>
        <v>-48.406</v>
      </c>
      <c r="T298" s="36" t="n">
        <f aca="false">IFERROR(T287-O287,"")</f>
        <v>-24.37</v>
      </c>
      <c r="U298" s="36" t="n">
        <f aca="false">IFERROR(U287-P287,"")</f>
        <v>-109.776</v>
      </c>
      <c r="V298" s="36" t="n">
        <f aca="false">IFERROR(V287-Q287,"")</f>
        <v>-86.864</v>
      </c>
      <c r="W298" s="36" t="n">
        <f aca="false">IFERROR(W287-R287,"")</f>
        <v>38.489</v>
      </c>
      <c r="X298" s="36" t="n">
        <f aca="false">IFERROR(X287-S287,"")</f>
        <v>38.489</v>
      </c>
      <c r="Y298" s="36" t="n">
        <f aca="false">IFERROR(Y287-T287,"")</f>
        <v>240.006</v>
      </c>
      <c r="Z298" s="36" t="n">
        <f aca="false">IFERROR(Z287-U287,"")</f>
        <v>236.113</v>
      </c>
      <c r="AA298" s="36" t="n">
        <f aca="false">IFERROR(AA287-V287,"")</f>
        <v>210.436</v>
      </c>
      <c r="AB298" s="36" t="n">
        <f aca="false">IFERROR(AB287-W287,"")</f>
        <v>90.627</v>
      </c>
      <c r="AC298" s="36" t="n">
        <f aca="false">IFERROR(AC287-X287,"")</f>
        <v>90.627</v>
      </c>
      <c r="AD298" s="36" t="n">
        <f aca="false">IFERROR(AD287-Y287,"")</f>
        <v>-177.592</v>
      </c>
      <c r="AE298" s="36" t="n">
        <f aca="false">IFERROR(AE287-Z287,"")</f>
        <v>-102.058</v>
      </c>
      <c r="AF298" s="36" t="n">
        <f aca="false">IFERROR(AF287-AA287,"")</f>
        <v>-75.143</v>
      </c>
      <c r="AG298" s="36" t="n">
        <f aca="false">IFERROR(AG287-AB287,"")</f>
        <v>215.754</v>
      </c>
      <c r="AH298" s="36" t="n">
        <f aca="false">IFERROR(AH287-AC287,"")</f>
        <v>215.754</v>
      </c>
      <c r="AI298" s="36" t="n">
        <f aca="false">IFERROR(AI287-AD287,"")</f>
        <v>251.683</v>
      </c>
      <c r="AJ298" s="36" t="n">
        <f aca="false">IFERROR(AJ287-AE287,"")</f>
        <v>222.97</v>
      </c>
      <c r="AK298" s="36" t="n">
        <f aca="false">IFERROR(AK287-AF287,"")</f>
        <v>189.056</v>
      </c>
      <c r="AL298" s="36" t="n">
        <f aca="false">IFERROR(AL287-AG287,"")</f>
        <v>-141.509</v>
      </c>
      <c r="AM298" s="36" t="n">
        <f aca="false">IFERROR(AM287-AH287,"")</f>
        <v>-141.509</v>
      </c>
      <c r="AN298" s="36" t="n">
        <f aca="false">IFERROR(AN287-AI287,"")</f>
        <v>-60.4910000000001</v>
      </c>
      <c r="AO298" s="36" t="n">
        <f aca="false">IFERROR(AO287-AJ287,"")</f>
        <v>-127.459</v>
      </c>
      <c r="AP298" s="36" t="n">
        <f aca="false">IFERROR(AP287-AK287,"")</f>
        <v>16.346</v>
      </c>
      <c r="AQ298" s="36" t="n">
        <f aca="false">IFERROR(AQ287-AL287,"")</f>
        <v>29.4849999999999</v>
      </c>
      <c r="AR298" s="36" t="n">
        <f aca="false">IFERROR(AR287-AM287,"")</f>
        <v>29.4849999999999</v>
      </c>
      <c r="AS298" s="36" t="n">
        <f aca="false">IFERROR(AS287-AN287,"")</f>
        <v>-39.7249999999999</v>
      </c>
      <c r="AT298" s="36" t="n">
        <f aca="false">IFERROR(AT287-AO287,"")</f>
        <v>183.83</v>
      </c>
      <c r="AU298" s="36" t="n">
        <f aca="false">IFERROR(AU287-AP287,"")</f>
        <v>99.925</v>
      </c>
      <c r="AV298" s="36" t="n">
        <f aca="false">IFERROR(AV287-AQ287,"")</f>
        <v>177.876</v>
      </c>
      <c r="AW298" s="36" t="n">
        <f aca="false">IFERROR(AW287-AR287,"")</f>
        <v>177.876</v>
      </c>
      <c r="AX298" s="36" t="n">
        <f aca="false">IFERROR(AX287-AS287,"")</f>
        <v>100.888</v>
      </c>
      <c r="AY298" s="36" t="n">
        <f aca="false">IFERROR(AY287-AT287,"")</f>
        <v>-155.75</v>
      </c>
      <c r="AZ298" s="36" t="n">
        <f aca="false">IFERROR(AZ287-AU287,"")</f>
        <v>-353.216</v>
      </c>
      <c r="BA298" s="36" t="n">
        <f aca="false">IFERROR(BA287-AV287,"")</f>
        <v>-503.333</v>
      </c>
      <c r="BB298" s="36" t="n">
        <f aca="false">IFERROR(BB287-AW287,"")</f>
        <v>-503.333</v>
      </c>
      <c r="BC298" s="36" t="n">
        <f aca="false">IFERROR(BC287-AX287,"")</f>
        <v>-432.55</v>
      </c>
      <c r="BD298" s="36" t="n">
        <f aca="false">IFERROR(BD287-AY287,"")</f>
        <v>-318.587</v>
      </c>
      <c r="BE298" s="36" t="n">
        <f aca="false">IFERROR(BE287-AZ287,"")</f>
        <v>-141.116</v>
      </c>
      <c r="BF298" s="36" t="n">
        <f aca="false">IFERROR(BF287-BA287,"")</f>
        <v>53.776</v>
      </c>
      <c r="BG298" s="36" t="n">
        <f aca="false">IFERROR(BG287-BB287,"")</f>
        <v>53.776</v>
      </c>
      <c r="BH298" s="36" t="n">
        <f aca="false">IFERROR(BH287-BC287,"")</f>
        <v>545.655</v>
      </c>
      <c r="BI298" s="36" t="n">
        <f aca="false">IFERROR(BI287-BD287,"")</f>
        <v>471.521</v>
      </c>
      <c r="BJ298" s="36" t="n">
        <f aca="false">IFERROR(BJ287-BE287,"")</f>
        <v>969.504</v>
      </c>
      <c r="BK298" s="36" t="n">
        <f aca="false">IFERROR(BK287-BF287,"")</f>
        <v>2187.804</v>
      </c>
      <c r="BL298" s="36" t="n">
        <f aca="false">IFERROR(BL287-BG287,"")</f>
        <v>2187.804</v>
      </c>
      <c r="BM298" s="36" t="n">
        <f aca="false">IFERROR(BM287-BH287,"")</f>
        <v>1717.676</v>
      </c>
      <c r="BN298" s="36" t="n">
        <f aca="false">IFERROR(BN287-BI287,"")</f>
        <v>1652.252</v>
      </c>
      <c r="BO298" s="36" t="n">
        <f aca="false">IFERROR(BO287-BJ287,"")</f>
        <v>1043.836</v>
      </c>
      <c r="BP298" s="36" t="n">
        <f aca="false">IFERROR(BP287-BK287,"")</f>
        <v>-248.704</v>
      </c>
      <c r="BQ298" s="36" t="n">
        <f aca="false">IFERROR(BQ287-BL287,"")</f>
        <v>-248.704</v>
      </c>
      <c r="BR298" s="36" t="n">
        <f aca="false">IFERROR(BR287-BM287,"")</f>
        <v>-146.834</v>
      </c>
      <c r="BS298" s="36" t="n">
        <f aca="false">IFERROR(BS287-BN287,"")</f>
        <v>-111.498</v>
      </c>
      <c r="BT298" s="36" t="n">
        <f aca="false">IFERROR(BT287-BO287,"")</f>
        <v>188.526</v>
      </c>
      <c r="BU298" s="36" t="n">
        <f aca="false">IFERROR(BU287-BP287,"")</f>
        <v>-61.4289999999996</v>
      </c>
      <c r="BV298" s="36" t="n">
        <f aca="false">IFERROR(BV287-BQ287,"")</f>
        <v>-61.4289999999996</v>
      </c>
      <c r="BW298" s="36" t="n">
        <f aca="false">IFERROR(BW287-BR287,"")</f>
        <v>154.05</v>
      </c>
      <c r="BX298" s="36" t="n">
        <f aca="false">IFERROR(BX287-BS287,"")</f>
        <v>309.139</v>
      </c>
      <c r="BY298" s="36" t="n">
        <f aca="false">IFERROR(BY287-BT287,"")</f>
        <v>93.5499999999997</v>
      </c>
      <c r="CA298" s="42" t="n">
        <f aca="false">IFERROR(CA287-BV287,"")</f>
        <v>228.228</v>
      </c>
      <c r="CB298" s="42" t="n">
        <f aca="false">IFERROR(CB287-CA287,"")</f>
        <v>0</v>
      </c>
      <c r="CC298" s="42" t="n">
        <f aca="false">IFERROR(CC287-CB287,"")</f>
        <v>0</v>
      </c>
      <c r="CD298" s="42" t="n">
        <f aca="false">IFERROR(CD287-CC287,"")</f>
        <v>0</v>
      </c>
      <c r="CE298" s="42" t="n">
        <f aca="false">IFERROR(CE287-CD287,"")</f>
        <v>135.664642267975</v>
      </c>
    </row>
    <row r="299" customFormat="false" ht="15" hidden="false" customHeight="true" outlineLevel="0" collapsed="false">
      <c r="B299" s="29" t="s">
        <v>451</v>
      </c>
      <c r="D299" s="30" t="n">
        <f aca="false">IFERROR(D103/C287,"")</f>
        <v>0.059806396542017</v>
      </c>
      <c r="E299" s="30" t="n">
        <f aca="false">IFERROR(E103/D287,"")</f>
        <v>0.0413568773234201</v>
      </c>
      <c r="F299" s="30" t="n">
        <f aca="false">IFERROR(F103/E287,"")</f>
        <v>0.0163559479801069</v>
      </c>
      <c r="G299" s="30" t="n">
        <f aca="false">IFERROR(G103/F287,"")</f>
        <v>0.00916454691418159</v>
      </c>
      <c r="H299" s="30" t="n">
        <f aca="false">IFERROR(H103/G287,"")</f>
        <v>0.00998523310597004</v>
      </c>
      <c r="I299" s="30" t="n">
        <f aca="false">IFERROR(I103/H287,"")</f>
        <v>0.0605607848996464</v>
      </c>
      <c r="N299" s="30" t="n">
        <f aca="false">IFERROR(N103/I287,"")</f>
        <v>0.0281975421028676</v>
      </c>
      <c r="S299" s="30" t="n">
        <f aca="false">IFERROR(S103/N287,"")</f>
        <v>0.0144126723441453</v>
      </c>
      <c r="X299" s="30" t="n">
        <f aca="false">IFERROR(X103/S287,"")</f>
        <v>0.0140561333783032</v>
      </c>
      <c r="AC299" s="30" t="n">
        <f aca="false">IFERROR(AC103/X287,"")</f>
        <v>0.0225028427793405</v>
      </c>
      <c r="AH299" s="30" t="n">
        <f aca="false">IFERROR(AH103/AC287,"")</f>
        <v>0.0213650499208904</v>
      </c>
      <c r="AM299" s="30" t="n">
        <f aca="false">IFERROR(AM103/AH287,"")</f>
        <v>0.0295276262316778</v>
      </c>
      <c r="AR299" s="30" t="n">
        <f aca="false">IFERROR(AR103/AM287,"")</f>
        <v>0.0407440794786561</v>
      </c>
      <c r="AW299" s="30" t="n">
        <f aca="false">IFERROR(AW103/AR287,"")</f>
        <v>0.0234164657312418</v>
      </c>
      <c r="BB299" s="30" t="n">
        <f aca="false">IFERROR(BB103/AW287,"")</f>
        <v>0.0098468434007226</v>
      </c>
      <c r="BG299" s="30" t="n">
        <f aca="false">IFERROR(BG103/BB287,"")</f>
        <v>0.0270023425145244</v>
      </c>
      <c r="BL299" s="30" t="n">
        <f aca="false">IFERROR(BL103/BG287,"")</f>
        <v>0.251431406188636</v>
      </c>
      <c r="BQ299" s="30" t="n">
        <f aca="false">IFERROR(BQ103/BL287,"")</f>
        <v>0.060253551340999</v>
      </c>
      <c r="BV299" s="30" t="n">
        <f aca="false">IFERROR(BV103/BQ287,"")</f>
        <v>0.0582571609788219</v>
      </c>
    </row>
    <row r="300" customFormat="false" ht="15" hidden="false" customHeight="true" outlineLevel="0" collapsed="false">
      <c r="B300" s="14" t="s">
        <v>452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5"/>
    </row>
    <row r="301" customFormat="false" ht="15" hidden="false" customHeight="true" outlineLevel="0" collapsed="false">
      <c r="B301" s="67" t="s">
        <v>453</v>
      </c>
      <c r="CB301" s="64" t="n">
        <f aca="false">CHOOSE(MATCH($CF$2,{"Bull","Base","Bear"},0),$CO$50,$CP$50,$CQ$50)</f>
        <v>1</v>
      </c>
      <c r="CC301" s="64" t="n">
        <f aca="false">CHOOSE(MATCH($CF$2,{"Bull","Base","Bear"},0),$CO$51,$CP$51,$CQ$51)</f>
        <v>1</v>
      </c>
      <c r="CD301" s="64" t="n">
        <f aca="false">CHOOSE(MATCH($CF$2,{"Bull","Base","Bear"},0),$CO$52,$CP$52,$CQ$52)</f>
        <v>1</v>
      </c>
      <c r="CE301" s="64" t="n">
        <f aca="false">CHOOSE(MATCH($CF$2,{"Bull","Base","Bear"},0),$CO$53,$CP$53,$CQ$53)</f>
        <v>1</v>
      </c>
      <c r="CF301" s="19" t="s">
        <v>454</v>
      </c>
    </row>
    <row r="302" customFormat="false" ht="15" hidden="false" customHeight="true" outlineLevel="0" collapsed="false">
      <c r="B302" s="29" t="s">
        <v>455</v>
      </c>
      <c r="CB302" s="42" t="n">
        <f aca="false">CA287-CA210-CB193-CB197-CB200-CB201-CB202-CB204-CB205-CB207</f>
        <v>1821.15578834123</v>
      </c>
      <c r="CC302" s="42" t="n">
        <f aca="false">CB287-CB210-CC193-CC197-CC200-CC201-CC202-CC204-CC205-CC207</f>
        <v>1434.89839324595</v>
      </c>
      <c r="CD302" s="42" t="n">
        <f aca="false">CC287-CC210-CD193-CD197-CD200-CD201-CD202-CD204-CD205-CD207</f>
        <v>1558.84461313816</v>
      </c>
      <c r="CE302" s="42" t="n">
        <f aca="false">CD287-CD210-CE193-CE197-CE200-CE201-CE202-CE204-CE205-CE207</f>
        <v>1609.86187130408</v>
      </c>
    </row>
    <row r="303" customFormat="false" ht="15" hidden="false" customHeight="true" outlineLevel="0" collapsed="false">
      <c r="B303" s="29" t="s">
        <v>456</v>
      </c>
      <c r="CB303" s="42" t="n">
        <f aca="false">CB301*CB140</f>
        <v>1768.12610188809</v>
      </c>
      <c r="CC303" s="42" t="n">
        <f aca="false">CC301*CC140</f>
        <v>1969.95928169098</v>
      </c>
      <c r="CD303" s="42" t="n">
        <f aca="false">CD301*CD140</f>
        <v>2143.49050110176</v>
      </c>
      <c r="CE303" s="42" t="n">
        <f aca="false">CE301*CE140</f>
        <v>2331.83764226798</v>
      </c>
    </row>
    <row r="304" customFormat="false" ht="15" hidden="false" customHeight="true" outlineLevel="0" collapsed="false">
      <c r="B304" s="29" t="s">
        <v>457</v>
      </c>
      <c r="CB304" s="42" t="n">
        <f aca="false">MAX(0,CB303-CB302)</f>
        <v>0</v>
      </c>
      <c r="CC304" s="42" t="n">
        <f aca="false">MAX(0,CC303-CC302)</f>
        <v>535.060888445034</v>
      </c>
      <c r="CD304" s="42" t="n">
        <f aca="false">MAX(0,CD303-CD302)</f>
        <v>584.645887963604</v>
      </c>
      <c r="CE304" s="42" t="n">
        <f aca="false">MAX(0,CE303-CE302)</f>
        <v>721.975770963892</v>
      </c>
      <c r="CF304" s="19" t="s">
        <v>458</v>
      </c>
    </row>
    <row r="305" customFormat="false" ht="15" hidden="false" customHeight="true" outlineLevel="0" collapsed="false">
      <c r="B305" s="14" t="s">
        <v>459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5"/>
    </row>
    <row r="306" customFormat="false" ht="15" hidden="false" customHeight="true" outlineLevel="0" collapsed="false">
      <c r="B306" s="29" t="s">
        <v>460</v>
      </c>
      <c r="C306" s="30" t="n">
        <f aca="false">IF(AND(ISNUMBER(C114),ISNUMBER(C98)),IFERROR(C114/C98,""),"")</f>
        <v>0.0269384736989724</v>
      </c>
      <c r="D306" s="30" t="n">
        <f aca="false">IF(AND(ISNUMBER(D114),ISNUMBER(D98)),IFERROR(D114/D98,""),"")</f>
        <v>0.023954371126389</v>
      </c>
      <c r="E306" s="30" t="n">
        <f aca="false">IF(AND(ISNUMBER(E114),ISNUMBER(E98)),IFERROR(E114/E98,""),"")</f>
        <v>0.0258471323798354</v>
      </c>
      <c r="F306" s="30" t="n">
        <f aca="false">IF(AND(ISNUMBER(F114),ISNUMBER(F98)),IFERROR(F114/F98,""),"")</f>
        <v>0.0278044050113692</v>
      </c>
      <c r="G306" s="30" t="n">
        <f aca="false">IF(AND(ISNUMBER(G114),ISNUMBER(G98)),IFERROR(G114/G98,""),"")</f>
        <v>0.0285193348675894</v>
      </c>
      <c r="H306" s="30" t="n">
        <f aca="false">IF(AND(ISNUMBER(H114),ISNUMBER(H98)),IFERROR(H114/H98,""),"")</f>
        <v>0.024242669870609</v>
      </c>
      <c r="I306" s="30" t="n">
        <f aca="false">IF(AND(ISNUMBER(I114),ISNUMBER(I98)),IFERROR(I114/I98,""),"")</f>
        <v>0.0341629269390771</v>
      </c>
      <c r="J306" s="30" t="n">
        <f aca="false">IF(AND(ISNUMBER(J114),ISNUMBER(J98)),IFERROR(J114/J98,""),"")</f>
        <v>0.037599889140376</v>
      </c>
      <c r="K306" s="30" t="n">
        <f aca="false">IF(AND(ISNUMBER(K114),ISNUMBER(K98)),IFERROR(K114/K98,""),"")</f>
        <v>0.0347695491948104</v>
      </c>
      <c r="L306" s="30" t="n">
        <f aca="false">IF(AND(ISNUMBER(L114),ISNUMBER(L98)),IFERROR(L114/L98,""),"")</f>
        <v>0.0355440922686452</v>
      </c>
      <c r="M306" s="30" t="n">
        <f aca="false">IF(AND(ISNUMBER(M114),ISNUMBER(M98)),IFERROR(M114/M98,""),"")</f>
        <v>0.0378880129146285</v>
      </c>
      <c r="N306" s="30" t="n">
        <f aca="false">IF(AND(ISNUMBER(N114),ISNUMBER(N98)),IFERROR(N114/N98,""),"")</f>
        <v>0.0364706267217972</v>
      </c>
      <c r="O306" s="30" t="n">
        <f aca="false">IF(AND(ISNUMBER(O114),ISNUMBER(O98)),IFERROR(O114/O98,""),"")</f>
        <v>0.0451605165913367</v>
      </c>
      <c r="P306" s="30" t="n">
        <f aca="false">IF(AND(ISNUMBER(P114),ISNUMBER(P98)),IFERROR(P114/P98,""),"")</f>
        <v>0.0428335553728847</v>
      </c>
      <c r="Q306" s="30" t="n">
        <f aca="false">IF(AND(ISNUMBER(Q114),ISNUMBER(Q98)),IFERROR(Q114/Q98,""),"")</f>
        <v>0.0416829880081091</v>
      </c>
      <c r="R306" s="30" t="n">
        <f aca="false">IF(AND(ISNUMBER(R114),ISNUMBER(R98)),IFERROR(R114/R98,""),"")</f>
        <v>0.0393090208505148</v>
      </c>
      <c r="S306" s="30" t="n">
        <f aca="false">IF(AND(ISNUMBER(S114),ISNUMBER(S98)),IFERROR(S114/S98,""),"")</f>
        <v>0.0421765751635372</v>
      </c>
      <c r="T306" s="30" t="n">
        <f aca="false">IF(AND(ISNUMBER(T114),ISNUMBER(T98)),IFERROR(T114/T98,""),"")</f>
        <v>0.0406585006618566</v>
      </c>
      <c r="U306" s="30" t="n">
        <f aca="false">IF(AND(ISNUMBER(U114),ISNUMBER(U98)),IFERROR(U114/U98,""),"")</f>
        <v>0.0419907968197213</v>
      </c>
      <c r="V306" s="30" t="n">
        <f aca="false">IF(AND(ISNUMBER(V114),ISNUMBER(V98)),IFERROR(V114/V98,""),"")</f>
        <v>0.0397010353896861</v>
      </c>
      <c r="W306" s="30" t="n">
        <f aca="false">IF(AND(ISNUMBER(W114),ISNUMBER(W98)),IFERROR(W114/W98,""),"")</f>
        <v>0.0390693457306981</v>
      </c>
      <c r="X306" s="30" t="n">
        <f aca="false">IF(AND(ISNUMBER(X114),ISNUMBER(X98)),IFERROR(X114/X98,""),"")</f>
        <v>0.0403037736991944</v>
      </c>
      <c r="Y306" s="30" t="n">
        <f aca="false">IF(AND(ISNUMBER(Y114),ISNUMBER(Y98)),IFERROR(Y114/Y98,""),"")</f>
        <v>0.04545974064991</v>
      </c>
      <c r="Z306" s="30" t="n">
        <f aca="false">IF(AND(ISNUMBER(Z114),ISNUMBER(Z98)),IFERROR(Z114/Z98,""),"")</f>
        <v>0.0435251306153179</v>
      </c>
      <c r="AA306" s="30" t="n">
        <f aca="false">IF(AND(ISNUMBER(AA114),ISNUMBER(AA98)),IFERROR(AA114/AA98,""),"")</f>
        <v>0.0433043888520686</v>
      </c>
      <c r="AB306" s="30" t="n">
        <f aca="false">IF(AND(ISNUMBER(AB114),ISNUMBER(AB98)),IFERROR(AB114/AB98,""),"")</f>
        <v>0.0431435264066237</v>
      </c>
      <c r="AC306" s="30" t="n">
        <f aca="false">IF(AND(ISNUMBER(AC114),ISNUMBER(AC98)),IFERROR(AC114/AC98,""),"")</f>
        <v>0.043797747224721</v>
      </c>
      <c r="AD306" s="30" t="n">
        <f aca="false">IF(AND(ISNUMBER(AD114),ISNUMBER(AD98)),IFERROR(AD114/AD98,""),"")</f>
        <v>0.044398891192434</v>
      </c>
      <c r="AE306" s="30" t="n">
        <f aca="false">IF(AND(ISNUMBER(AE114),ISNUMBER(AE98)),IFERROR(AE114/AE98,""),"")</f>
        <v>0.041374502586415</v>
      </c>
      <c r="AF306" s="30" t="n">
        <f aca="false">IF(AND(ISNUMBER(AF114),ISNUMBER(AF98)),IFERROR(AF114/AF98,""),"")</f>
        <v>0.0419182630906769</v>
      </c>
      <c r="AG306" s="30" t="n">
        <f aca="false">IF(AND(ISNUMBER(AG114),ISNUMBER(AG98)),IFERROR(AG114/AG98,""),"")</f>
        <v>0.0425213188232389</v>
      </c>
      <c r="AH306" s="30" t="n">
        <f aca="false">IF(AND(ISNUMBER(AH114),ISNUMBER(AH98)),IFERROR(AH114/AH98,""),"")</f>
        <v>0.042512098204829</v>
      </c>
      <c r="AI306" s="30" t="n">
        <f aca="false">IF(AND(ISNUMBER(AI114),ISNUMBER(AI98)),IFERROR(AI114/AI98,""),"")</f>
        <v>0.0470413689077916</v>
      </c>
      <c r="AJ306" s="30" t="n">
        <f aca="false">IF(AND(ISNUMBER(AJ114),ISNUMBER(AJ98)),IFERROR(AJ114/AJ98,""),"")</f>
        <v>0.0442752239887414</v>
      </c>
      <c r="AK306" s="30" t="n">
        <f aca="false">IF(AND(ISNUMBER(AK114),ISNUMBER(AK98)),IFERROR(AK114/AK98,""),"")</f>
        <v>0.0417195298663661</v>
      </c>
      <c r="AL306" s="30" t="n">
        <f aca="false">IF(AND(ISNUMBER(AL114),ISNUMBER(AL98)),IFERROR(AL114/AL98,""),"")</f>
        <v>0.0412427340820829</v>
      </c>
      <c r="AM306" s="30" t="n">
        <f aca="false">IF(AND(ISNUMBER(AM114),ISNUMBER(AM98)),IFERROR(AM114/AM98,""),"")</f>
        <v>0.0434213242685438</v>
      </c>
      <c r="AN306" s="30" t="n">
        <f aca="false">IF(AND(ISNUMBER(AN114),ISNUMBER(AN98)),IFERROR(AN114/AN98,""),"")</f>
        <v>0.0429843868659175</v>
      </c>
      <c r="AO306" s="30" t="n">
        <f aca="false">IF(AND(ISNUMBER(AO114),ISNUMBER(AO98)),IFERROR(AO114/AO98,""),"")</f>
        <v>0.0397771347896239</v>
      </c>
      <c r="AP306" s="30" t="n">
        <f aca="false">IF(AND(ISNUMBER(AP114),ISNUMBER(AP98)),IFERROR(AP114/AP98,""),"")</f>
        <v>0.0397088990915307</v>
      </c>
      <c r="AQ306" s="30" t="n">
        <f aca="false">IF(AND(ISNUMBER(AQ114),ISNUMBER(AQ98)),IFERROR(AQ114/AQ98,""),"")</f>
        <v>0.0402766980161727</v>
      </c>
      <c r="AR306" s="30" t="n">
        <f aca="false">IF(AND(ISNUMBER(AR114),ISNUMBER(AR98)),IFERROR(AR114/AR98,""),"")</f>
        <v>0.0406183551942527</v>
      </c>
      <c r="AS306" s="30" t="n">
        <f aca="false">IF(AND(ISNUMBER(AS114),ISNUMBER(AS98)),IFERROR(AS114/AS98,""),"")</f>
        <v>0.0426309811861143</v>
      </c>
      <c r="AT306" s="30" t="n">
        <f aca="false">IF(AND(ISNUMBER(AT114),ISNUMBER(AT98)),IFERROR(AT114/AT98,""),"")</f>
        <v>0.0463381081970155</v>
      </c>
      <c r="AU306" s="30" t="n">
        <f aca="false">IF(AND(ISNUMBER(AU114),ISNUMBER(AU98)),IFERROR(AU114/AU98,""),"")</f>
        <v>0.0567842447141637</v>
      </c>
      <c r="AV306" s="30" t="n">
        <f aca="false">IF(AND(ISNUMBER(AV114),ISNUMBER(AV98)),IFERROR(AV114/AV98,""),"")</f>
        <v>0.0547728883236582</v>
      </c>
      <c r="AW306" s="30" t="n">
        <f aca="false">IF(AND(ISNUMBER(AW114),ISNUMBER(AW98)),IFERROR(AW114/AW98,""),"")</f>
        <v>0.0495582283021518</v>
      </c>
      <c r="AX306" s="30" t="n">
        <f aca="false">IF(AND(ISNUMBER(AX114),ISNUMBER(AX98)),IFERROR(AX114/AX98,""),"")</f>
        <v>0.0550440055323976</v>
      </c>
      <c r="AY306" s="30" t="n">
        <f aca="false">IF(AND(ISNUMBER(AY114),ISNUMBER(AY98)),IFERROR(AY114/AY98,""),"")</f>
        <v>0.0491073628900399</v>
      </c>
      <c r="AZ306" s="30" t="n">
        <f aca="false">IF(AND(ISNUMBER(AZ114),ISNUMBER(AZ98)),IFERROR(AZ114/AZ98,""),"")</f>
        <v>0.0485407254927317</v>
      </c>
      <c r="BA306" s="30" t="n">
        <f aca="false">IF(AND(ISNUMBER(BA114),ISNUMBER(BA98)),IFERROR(BA114/BA98,""),"")</f>
        <v>0.0475107082144077</v>
      </c>
      <c r="BB306" s="30" t="n">
        <f aca="false">IF(AND(ISNUMBER(BB114),ISNUMBER(BB98)),IFERROR(BB114/BB98,""),"")</f>
        <v>0.0498579071888993</v>
      </c>
      <c r="BC306" s="30" t="n">
        <f aca="false">IF(AND(ISNUMBER(BC114),ISNUMBER(BC98)),IFERROR(BC114/BC98,""),"")</f>
        <v>0.0473586856547356</v>
      </c>
      <c r="BD306" s="30" t="n">
        <f aca="false">IF(AND(ISNUMBER(BD114),ISNUMBER(BD98)),IFERROR(BD114/BD98,""),"")</f>
        <v>0.0435865504358655</v>
      </c>
      <c r="BE306" s="30" t="n">
        <f aca="false">IF(AND(ISNUMBER(BE114),ISNUMBER(BE98)),IFERROR(BE114/BE98,""),"")</f>
        <v>0.0418223511398913</v>
      </c>
      <c r="BF306" s="30" t="n">
        <f aca="false">IF(AND(ISNUMBER(BF114),ISNUMBER(BF98)),IFERROR(BF114/BF98,""),"")</f>
        <v>0.0423316787995499</v>
      </c>
      <c r="BG306" s="30" t="n">
        <f aca="false">IF(AND(ISNUMBER(BG114),ISNUMBER(BG98)),IFERROR(BG114/BG98,""),"")</f>
        <v>0.0436227144411005</v>
      </c>
      <c r="BH306" s="30" t="n">
        <f aca="false">IF(AND(ISNUMBER(BH114),ISNUMBER(BH98)),IFERROR(BH114/BH98,""),"")</f>
        <v>0.0435808443989918</v>
      </c>
      <c r="BI306" s="30" t="n">
        <f aca="false">IF(AND(ISNUMBER(BI114),ISNUMBER(BI98)),IFERROR(BI114/BI98,""),"")</f>
        <v>0.0432134752072063</v>
      </c>
      <c r="BJ306" s="30" t="n">
        <f aca="false">IF(AND(ISNUMBER(BJ114),ISNUMBER(BJ98)),IFERROR(BJ114/BJ98,""),"")</f>
        <v>0.0408506270559495</v>
      </c>
      <c r="BK306" s="30" t="n">
        <f aca="false">IF(AND(ISNUMBER(BK114),ISNUMBER(BK98)),IFERROR(BK114/BK98,""),"")</f>
        <v>0.0466956485524541</v>
      </c>
      <c r="BL306" s="30" t="n">
        <f aca="false">IF(AND(ISNUMBER(BL114),ISNUMBER(BL98)),IFERROR(BL114/BL98,""),"")</f>
        <v>0.0438134769490972</v>
      </c>
      <c r="BM306" s="30" t="n">
        <f aca="false">IF(AND(ISNUMBER(BM114),ISNUMBER(BM98)),IFERROR(BM114/BM98,""),"")</f>
        <v>0.048535024314926</v>
      </c>
      <c r="BN306" s="30" t="n">
        <f aca="false">IF(AND(ISNUMBER(BN114),ISNUMBER(BN98)),IFERROR(BN114/BN98,""),"")</f>
        <v>0.0448306721303754</v>
      </c>
      <c r="BO306" s="30" t="n">
        <f aca="false">IF(AND(ISNUMBER(BO114),ISNUMBER(BO98)),IFERROR(BO114/BO98,""),"")</f>
        <v>0.0446562646763</v>
      </c>
      <c r="BP306" s="30" t="n">
        <f aca="false">IF(AND(ISNUMBER(BP114),ISNUMBER(BP98)),IFERROR(BP114/BP98,""),"")</f>
        <v>0.0440826111190581</v>
      </c>
      <c r="BQ306" s="30" t="n">
        <f aca="false">IF(AND(ISNUMBER(BQ114),ISNUMBER(BQ98)),IFERROR(BQ114/BQ98,""),"")</f>
        <v>0.0454499854705005</v>
      </c>
      <c r="BR306" s="30" t="n">
        <f aca="false">IF(AND(ISNUMBER(BR114),ISNUMBER(BR98)),IFERROR(BR114/BR98,""),"")</f>
        <v>0.0448689699889927</v>
      </c>
      <c r="BS306" s="30" t="n">
        <f aca="false">IF(AND(ISNUMBER(BS114),ISNUMBER(BS98)),IFERROR(BS114/BS98,""),"")</f>
        <v>0.0445218706163123</v>
      </c>
      <c r="BT306" s="30" t="n">
        <f aca="false">IF(AND(ISNUMBER(BT114),ISNUMBER(BT98)),IFERROR(BT114/BT98,""),"")</f>
        <v>0.0433664955546009</v>
      </c>
      <c r="BU306" s="30" t="n">
        <f aca="false">IF(AND(ISNUMBER(BU114),ISNUMBER(BU98)),IFERROR(BU114/BU98,""),"")</f>
        <v>0.0423404450596199</v>
      </c>
      <c r="BV306" s="30" t="n">
        <f aca="false">IF(AND(ISNUMBER(BV114),ISNUMBER(BV98)),IFERROR(BV114/BV98,""),"")</f>
        <v>0.0437177427913751</v>
      </c>
      <c r="BW306" s="30" t="n">
        <f aca="false">IF(AND(ISNUMBER(BW114),ISNUMBER(BW98)),IFERROR(BW114/BW98,""),"")</f>
        <v>0.0432791269508613</v>
      </c>
      <c r="BX306" s="30" t="n">
        <f aca="false">IF(AND(ISNUMBER(BX114),ISNUMBER(BX98)),IFERROR(BX114/BX98,""),"")</f>
        <v>0.0411670166669938</v>
      </c>
      <c r="BY306" s="30" t="n">
        <f aca="false">IF(AND(ISNUMBER(BY114),ISNUMBER(BY98)),IFERROR(BY114/BY98,""),"")</f>
        <v>0.0415717773610276</v>
      </c>
      <c r="BZ306" s="23" t="n">
        <f aca="false">IF(AND(ISNUMBER(BZ114),ISNUMBER(BZ98)),IFERROR(BZ114/BZ98,""),"")</f>
        <v>0.0412260661926827</v>
      </c>
      <c r="CA306" s="23" t="n">
        <f aca="false">IF(AND(ISNUMBER(CA114),ISNUMBER(CA98)),IFERROR(CA114/CA98,""),"")</f>
        <v>0.0417453874079365</v>
      </c>
      <c r="CB306" s="23" t="n">
        <f aca="false">IF(AND(ISNUMBER(CB114),ISNUMBER(CB98)),IFERROR(CB114/CB98,""),"")</f>
        <v>0.0406616165791236</v>
      </c>
      <c r="CC306" s="23" t="n">
        <f aca="false">IF(AND(ISNUMBER(CC114),ISNUMBER(CC98)),IFERROR(CC114/CC98,""),"")</f>
        <v>0.0389064199535347</v>
      </c>
      <c r="CD306" s="23" t="n">
        <f aca="false">IF(AND(ISNUMBER(CD114),ISNUMBER(CD98)),IFERROR(CD114/CD98,""),"")</f>
        <v>0.0377246281826707</v>
      </c>
      <c r="CE306" s="23" t="n">
        <f aca="false">IF(AND(ISNUMBER(CE114),ISNUMBER(CE98)),IFERROR(CE114/CE98,""),"")</f>
        <v>0.0366743069880057</v>
      </c>
      <c r="CH306" s="33" t="n">
        <f aca="false">IFERROR(AVERAGE(CA306,CB306,CC306,CD306,CE306),"n/m")</f>
        <v>0.0391424718222542</v>
      </c>
      <c r="CI306" s="33" t="n">
        <f aca="false">IFERROR(AVERAGE(BB306,BG306,BL306,BQ306,BV306),"n/m")</f>
        <v>0.0452923653681945</v>
      </c>
      <c r="CJ306" s="33" t="n">
        <f aca="false">IFERROR(AVERAGE(AC306,AH306,AM306,AR306,AW306,BB306,BG306,BL306,BQ306,BV306),"n/m")</f>
        <v>0.0446369580035471</v>
      </c>
      <c r="CK306" s="33" t="n">
        <f aca="false">IFERROR(AVERAGE(C306,D306,E306,F306,G306,H306,I306,N306,S306,X306,AC306,AH306,AM306,AR306,AW306,BB306,BG306,BL306,BQ306,BV306),"n/m")</f>
        <v>0.0378394934756921</v>
      </c>
    </row>
    <row r="307" customFormat="false" ht="15" hidden="false" customHeight="true" outlineLevel="0" collapsed="false">
      <c r="B307" s="29" t="s">
        <v>461</v>
      </c>
      <c r="C307" s="30" t="str">
        <f aca="false">IF(AND(ISNUMBER(C93),ISNUMBER(C98)),IFERROR(C93/C98,""),"")</f>
        <v/>
      </c>
      <c r="D307" s="30" t="str">
        <f aca="false">IF(AND(ISNUMBER(D93),ISNUMBER(D98)),IFERROR(D93/D98,""),"")</f>
        <v/>
      </c>
      <c r="E307" s="30" t="str">
        <f aca="false">IF(AND(ISNUMBER(E93),ISNUMBER(E98)),IFERROR(E93/E98,""),"")</f>
        <v/>
      </c>
      <c r="F307" s="30" t="str">
        <f aca="false">IF(AND(ISNUMBER(F93),ISNUMBER(F98)),IFERROR(F93/F98,""),"")</f>
        <v/>
      </c>
      <c r="G307" s="30" t="n">
        <f aca="false">IF(AND(ISNUMBER(G93),ISNUMBER(G98)),IFERROR(G93/G98,""),"")</f>
        <v>0.0110207124566465</v>
      </c>
      <c r="H307" s="30" t="n">
        <f aca="false">IF(AND(ISNUMBER(H93),ISNUMBER(H98)),IFERROR(H93/H98,""),"")</f>
        <v>0.00993605624853737</v>
      </c>
      <c r="I307" s="30" t="n">
        <f aca="false">IF(AND(ISNUMBER(I93),ISNUMBER(I98)),IFERROR(I93/I98,""),"")</f>
        <v>0.0180532168715112</v>
      </c>
      <c r="J307" s="30" t="n">
        <f aca="false">IF(AND(ISNUMBER(J93),ISNUMBER(J98)),IFERROR(J93/J98,""),"")</f>
        <v>0.0207861795002079</v>
      </c>
      <c r="K307" s="30" t="n">
        <f aca="false">IF(AND(ISNUMBER(K93),ISNUMBER(K98)),IFERROR(K93/K98,""),"")</f>
        <v>0.0185101048345028</v>
      </c>
      <c r="L307" s="30" t="n">
        <f aca="false">IF(AND(ISNUMBER(L93),ISNUMBER(L98)),IFERROR(L93/L98,""),"")</f>
        <v>0.020214649631457</v>
      </c>
      <c r="M307" s="30" t="n">
        <f aca="false">IF(AND(ISNUMBER(M93),ISNUMBER(M98)),IFERROR(M93/M98,""),"")</f>
        <v>0.0219186851572231</v>
      </c>
      <c r="N307" s="30" t="n">
        <f aca="false">IF(AND(ISNUMBER(N93),ISNUMBER(N98)),IFERROR(N93/N98,""),"")</f>
        <v>0.02042117179856</v>
      </c>
      <c r="O307" s="30" t="n">
        <f aca="false">IF(AND(ISNUMBER(O93),ISNUMBER(O98)),IFERROR(O93/O98,""),"")</f>
        <v>0.0266091010621154</v>
      </c>
      <c r="P307" s="30" t="n">
        <f aca="false">IF(AND(ISNUMBER(P93),ISNUMBER(P98)),IFERROR(P93/P98,""),"")</f>
        <v>0.0248022903143513</v>
      </c>
      <c r="Q307" s="30" t="n">
        <f aca="false">IF(AND(ISNUMBER(Q93),ISNUMBER(Q98)),IFERROR(Q93/Q98,""),"")</f>
        <v>0.0240525031783665</v>
      </c>
      <c r="R307" s="30" t="n">
        <f aca="false">IF(AND(ISNUMBER(R93),ISNUMBER(R98)),IFERROR(R93/R98,""),"")</f>
        <v>0.0225854912173238</v>
      </c>
      <c r="S307" s="30" t="n">
        <f aca="false">IF(AND(ISNUMBER(S93),ISNUMBER(S98)),IFERROR(S93/S98,""),"")</f>
        <v>0.02446324375547</v>
      </c>
      <c r="T307" s="30" t="n">
        <f aca="false">IF(AND(ISNUMBER(T93),ISNUMBER(T98)),IFERROR(T93/T98,""),"")</f>
        <v>0.0227454928500848</v>
      </c>
      <c r="U307" s="30" t="n">
        <f aca="false">IF(AND(ISNUMBER(U93),ISNUMBER(U98)),IFERROR(U93/U98,""),"")</f>
        <v>0.0240202318981817</v>
      </c>
      <c r="V307" s="30" t="n">
        <f aca="false">IF(AND(ISNUMBER(V93),ISNUMBER(V98)),IFERROR(V93/V98,""),"")</f>
        <v>0.0219729000898891</v>
      </c>
      <c r="W307" s="30" t="n">
        <f aca="false">IF(AND(ISNUMBER(W93),ISNUMBER(W98)),IFERROR(W93/W98,""),"")</f>
        <v>0.0222105929315549</v>
      </c>
      <c r="X307" s="30" t="n">
        <f aca="false">IF(AND(ISNUMBER(X93),ISNUMBER(X98)),IFERROR(X93/X98,""),"")</f>
        <v>0.0227148827912048</v>
      </c>
      <c r="Y307" s="30" t="n">
        <f aca="false">IF(AND(ISNUMBER(Y93),ISNUMBER(Y98)),IFERROR(Y93/Y98,""),"")</f>
        <v>0.0271040763877777</v>
      </c>
      <c r="Z307" s="30" t="n">
        <f aca="false">IF(AND(ISNUMBER(Z93),ISNUMBER(Z98)),IFERROR(Z93/Z98,""),"")</f>
        <v>0.0265223243822865</v>
      </c>
      <c r="AA307" s="30" t="n">
        <f aca="false">IF(AND(ISNUMBER(AA93),ISNUMBER(AA98)),IFERROR(AA93/AA98,""),"")</f>
        <v>0.026398265577785</v>
      </c>
      <c r="AB307" s="30" t="n">
        <f aca="false">IF(AND(ISNUMBER(AB93),ISNUMBER(AB98)),IFERROR(AB93/AB98,""),"")</f>
        <v>0.0258740046077749</v>
      </c>
      <c r="AC307" s="30" t="n">
        <f aca="false">IF(AND(ISNUMBER(AC93),ISNUMBER(AC98)),IFERROR(AC93/AC98,""),"")</f>
        <v>0.0264485292728544</v>
      </c>
      <c r="AD307" s="30" t="n">
        <f aca="false">IF(AND(ISNUMBER(AD93),ISNUMBER(AD98)),IFERROR(AD93/AD98,""),"")</f>
        <v>0.0267884180856763</v>
      </c>
      <c r="AE307" s="30" t="n">
        <f aca="false">IF(AND(ISNUMBER(AE93),ISNUMBER(AE98)),IFERROR(AE93/AE98,""),"")</f>
        <v>0.0246841915384761</v>
      </c>
      <c r="AF307" s="30" t="n">
        <f aca="false">IF(AND(ISNUMBER(AF93),ISNUMBER(AF98)),IFERROR(AF93/AF98,""),"")</f>
        <v>0.0252873563218391</v>
      </c>
      <c r="AG307" s="30" t="n">
        <f aca="false">IF(AND(ISNUMBER(AG93),ISNUMBER(AG98)),IFERROR(AG93/AG98,""),"")</f>
        <v>0.0268265815812964</v>
      </c>
      <c r="AH307" s="30" t="n">
        <f aca="false">IF(AND(ISNUMBER(AH93),ISNUMBER(AH98)),IFERROR(AH93/AH98,""),"")</f>
        <v>0.0259048158692246</v>
      </c>
      <c r="AI307" s="30" t="n">
        <f aca="false">IF(AND(ISNUMBER(AI93),ISNUMBER(AI98)),IFERROR(AI93/AI98,""),"")</f>
        <v>0.0306619519794268</v>
      </c>
      <c r="AJ307" s="30" t="n">
        <f aca="false">IF(AND(ISNUMBER(AJ93),ISNUMBER(AJ98)),IFERROR(AJ93/AJ98,""),"")</f>
        <v>0.0287968936512139</v>
      </c>
      <c r="AK307" s="30" t="n">
        <f aca="false">IF(AND(ISNUMBER(AK93),ISNUMBER(AK98)),IFERROR(AK93/AK98,""),"")</f>
        <v>0.0272634573069286</v>
      </c>
      <c r="AL307" s="30" t="n">
        <f aca="false">IF(AND(ISNUMBER(AL93),ISNUMBER(AL98)),IFERROR(AL93/AL98,""),"")</f>
        <v>0.0264215196987108</v>
      </c>
      <c r="AM307" s="30" t="n">
        <f aca="false">IF(AND(ISNUMBER(AM93),ISNUMBER(AM98)),IFERROR(AM93/AM98,""),"")</f>
        <v>0.0281821500674178</v>
      </c>
      <c r="AN307" s="30" t="n">
        <f aca="false">IF(AND(ISNUMBER(AN93),ISNUMBER(AN98)),IFERROR(AN93/AN98,""),"")</f>
        <v>0.0274592080592776</v>
      </c>
      <c r="AO307" s="30" t="n">
        <f aca="false">IF(AND(ISNUMBER(AO93),ISNUMBER(AO98)),IFERROR(AO93/AO98,""),"")</f>
        <v>0.0254049273923297</v>
      </c>
      <c r="AP307" s="30" t="n">
        <f aca="false">IF(AND(ISNUMBER(AP93),ISNUMBER(AP98)),IFERROR(AP93/AP98,""),"")</f>
        <v>0.0257362057694186</v>
      </c>
      <c r="AQ307" s="30" t="n">
        <f aca="false">IF(AND(ISNUMBER(AQ93),ISNUMBER(AQ98)),IFERROR(AQ93/AQ98,""),"")</f>
        <v>0.0260373867327512</v>
      </c>
      <c r="AR307" s="30" t="n">
        <f aca="false">IF(AND(ISNUMBER(AR93),ISNUMBER(AR98)),IFERROR(AR93/AR98,""),"")</f>
        <v>0.0261231621966223</v>
      </c>
      <c r="AS307" s="30" t="n">
        <f aca="false">IF(AND(ISNUMBER(AS93),ISNUMBER(AS98)),IFERROR(AS93/AS98,""),"")</f>
        <v>0.0270603920794035</v>
      </c>
      <c r="AT307" s="30" t="n">
        <f aca="false">IF(AND(ISNUMBER(AT93),ISNUMBER(AT98)),IFERROR(AT93/AT98,""),"")</f>
        <v>0.0296915919392668</v>
      </c>
      <c r="AU307" s="30" t="n">
        <f aca="false">IF(AND(ISNUMBER(AU93),ISNUMBER(AU98)),IFERROR(AU93/AU98,""),"")</f>
        <v>0.0367485313527083</v>
      </c>
      <c r="AV307" s="30" t="n">
        <f aca="false">IF(AND(ISNUMBER(AV93),ISNUMBER(AV98)),IFERROR(AV93/AV98,""),"")</f>
        <v>0.0366044235037942</v>
      </c>
      <c r="AW307" s="30" t="n">
        <f aca="false">IF(AND(ISNUMBER(AW93),ISNUMBER(AW98)),IFERROR(AW93/AW98,""),"")</f>
        <v>0.0321207111995519</v>
      </c>
      <c r="AX307" s="30" t="n">
        <f aca="false">IF(AND(ISNUMBER(AX93),ISNUMBER(AX98)),IFERROR(AX93/AX98,""),"")</f>
        <v>0.0363721638087398</v>
      </c>
      <c r="AY307" s="30" t="n">
        <f aca="false">IF(AND(ISNUMBER(AY93),ISNUMBER(AY98)),IFERROR(AY93/AY98,""),"")</f>
        <v>0.0323582291691221</v>
      </c>
      <c r="AZ307" s="30" t="n">
        <f aca="false">IF(AND(ISNUMBER(AZ93),ISNUMBER(AZ98)),IFERROR(AZ93/AZ98,""),"")</f>
        <v>0.0322233929112776</v>
      </c>
      <c r="BA307" s="30" t="n">
        <f aca="false">IF(AND(ISNUMBER(BA93),ISNUMBER(BA98)),IFERROR(BA93/BA98,""),"")</f>
        <v>0.0310155431057159</v>
      </c>
      <c r="BB307" s="30" t="n">
        <f aca="false">IF(AND(ISNUMBER(BB93),ISNUMBER(BB98)),IFERROR(BB93/BB98,""),"")</f>
        <v>0.0328566175800592</v>
      </c>
      <c r="BC307" s="30" t="n">
        <f aca="false">IF(AND(ISNUMBER(BC93),ISNUMBER(BC98)),IFERROR(BC93/BC98,""),"")</f>
        <v>0.030590831316038</v>
      </c>
      <c r="BD307" s="30" t="n">
        <f aca="false">IF(AND(ISNUMBER(BD93),ISNUMBER(BD98)),IFERROR(BD93/BD98,""),"")</f>
        <v>0.028210158255276</v>
      </c>
      <c r="BE307" s="30" t="n">
        <f aca="false">IF(AND(ISNUMBER(BE93),ISNUMBER(BE98)),IFERROR(BE93/BE98,""),"")</f>
        <v>0.0266887668385049</v>
      </c>
      <c r="BF307" s="30" t="n">
        <f aca="false">IF(AND(ISNUMBER(BF93),ISNUMBER(BF98)),IFERROR(BF93/BF98,""),"")</f>
        <v>0.0280494326141087</v>
      </c>
      <c r="BG307" s="30" t="n">
        <f aca="false">IF(AND(ISNUMBER(BG93),ISNUMBER(BG98)),IFERROR(BG93/BG98,""),"")</f>
        <v>0.0283020320406173</v>
      </c>
      <c r="BH307" s="30" t="n">
        <f aca="false">IF(AND(ISNUMBER(BH93),ISNUMBER(BH98)),IFERROR(BH93/BH98,""),"")</f>
        <v>0.0286673699298616</v>
      </c>
      <c r="BI307" s="30" t="n">
        <f aca="false">IF(AND(ISNUMBER(BI93),ISNUMBER(BI98)),IFERROR(BI93/BI98,""),"")</f>
        <v>0.0277680452313834</v>
      </c>
      <c r="BJ307" s="30" t="n">
        <f aca="false">IF(AND(ISNUMBER(BJ93),ISNUMBER(BJ98)),IFERROR(BJ93/BJ98,""),"")</f>
        <v>0.0257296286356934</v>
      </c>
      <c r="BK307" s="30" t="n">
        <f aca="false">IF(AND(ISNUMBER(BK93),ISNUMBER(BK98)),IFERROR(BK93/BK98,""),"")</f>
        <v>0.0324631292534441</v>
      </c>
      <c r="BL307" s="30" t="n">
        <f aca="false">IF(AND(ISNUMBER(BL93),ISNUMBER(BL98)),IFERROR(BL93/BL98,""),"")</f>
        <v>0.0289410246605157</v>
      </c>
      <c r="BM307" s="30" t="n">
        <f aca="false">IF(AND(ISNUMBER(BM93),ISNUMBER(BM98)),IFERROR(BM93/BM98,""),"")</f>
        <v>0.0336917074890418</v>
      </c>
      <c r="BN307" s="30" t="n">
        <f aca="false">IF(AND(ISNUMBER(BN93),ISNUMBER(BN98)),IFERROR(BN93/BN98,""),"")</f>
        <v>0.0320286373698837</v>
      </c>
      <c r="BO307" s="30" t="n">
        <f aca="false">IF(AND(ISNUMBER(BO93),ISNUMBER(BO98)),IFERROR(BO93/BO98,""),"")</f>
        <v>0.0309399080469964</v>
      </c>
      <c r="BP307" s="30" t="n">
        <f aca="false">IF(AND(ISNUMBER(BP93),ISNUMBER(BP98)),IFERROR(BP93/BP98,""),"")</f>
        <v>0.0303847918197827</v>
      </c>
      <c r="BQ307" s="30" t="n">
        <f aca="false">IF(AND(ISNUMBER(BQ93),ISNUMBER(BQ98)),IFERROR(BQ93/BQ98,""),"")</f>
        <v>0.031703082872066</v>
      </c>
      <c r="BR307" s="30" t="n">
        <f aca="false">IF(AND(ISNUMBER(BR93),ISNUMBER(BR98)),IFERROR(BR93/BR98,""),"")</f>
        <v>0.0312553993216996</v>
      </c>
      <c r="BS307" s="30" t="n">
        <f aca="false">IF(AND(ISNUMBER(BS93),ISNUMBER(BS98)),IFERROR(BS93/BS98,""),"")</f>
        <v>0.0316991856588512</v>
      </c>
      <c r="BT307" s="30" t="n">
        <f aca="false">IF(AND(ISNUMBER(BT93),ISNUMBER(BT98)),IFERROR(BT93/BT98,""),"")</f>
        <v>0.0302372535162789</v>
      </c>
      <c r="BU307" s="30" t="n">
        <f aca="false">IF(AND(ISNUMBER(BU93),ISNUMBER(BU98)),IFERROR(BU93/BU98,""),"")</f>
        <v>0.0299319255406144</v>
      </c>
      <c r="BV307" s="30" t="n">
        <f aca="false">IF(AND(ISNUMBER(BV93),ISNUMBER(BV98)),IFERROR(BV93/BV98,""),"")</f>
        <v>0.0307466325859902</v>
      </c>
      <c r="BW307" s="30" t="n">
        <f aca="false">IF(AND(ISNUMBER(BW93),ISNUMBER(BW98)),IFERROR(BW93/BW98,""),"")</f>
        <v>0.0304603328406509</v>
      </c>
      <c r="BX307" s="30" t="n">
        <f aca="false">IF(AND(ISNUMBER(BX93),ISNUMBER(BX98)),IFERROR(BX93/BX98,""),"")</f>
        <v>0.0296573485894224</v>
      </c>
      <c r="BY307" s="30" t="n">
        <f aca="false">IF(AND(ISNUMBER(BY93),ISNUMBER(BY98)),IFERROR(BY93/BY98,""),"")</f>
        <v>0.0306429354941439</v>
      </c>
      <c r="BZ307" s="23" t="n">
        <f aca="false">IF(AND(ISNUMBER(BZ93),ISNUMBER(BZ98)),IFERROR(BZ93/BZ98,""),"")</f>
        <v>0.0295343680923158</v>
      </c>
      <c r="CA307" s="23" t="n">
        <f aca="false">IF(AND(ISNUMBER(CA93),ISNUMBER(CA98)),IFERROR(CA93/CA98,""),"")</f>
        <v>0.0300536893075697</v>
      </c>
      <c r="CB307" s="23" t="n">
        <f aca="false">IF(AND(ISNUMBER(CB93),ISNUMBER(CB98)),IFERROR(CB93/CB98,""),"")</f>
        <v>0.0275642123407337</v>
      </c>
      <c r="CC307" s="23" t="n">
        <f aca="false">IF(AND(ISNUMBER(CC93),ISNUMBER(CC98)),IFERROR(CC93/CC98,""),"")</f>
        <v>0.0238018554049329</v>
      </c>
      <c r="CD307" s="23" t="n">
        <f aca="false">IF(AND(ISNUMBER(CD93),ISNUMBER(CD98)),IFERROR(CD93/CD98,""),"")</f>
        <v>0.0207332379211636</v>
      </c>
      <c r="CE307" s="23" t="n">
        <f aca="false">IF(AND(ISNUMBER(CE93),ISNUMBER(CE98)),IFERROR(CE93/CE98,""),"")</f>
        <v>0.0179119702346478</v>
      </c>
      <c r="CH307" s="33" t="n">
        <f aca="false">IFERROR(AVERAGE(CA307,CB307,CC307,CD307,CE307),"n/m")</f>
        <v>0.0240129930418095</v>
      </c>
      <c r="CI307" s="33" t="n">
        <f aca="false">IFERROR(AVERAGE(BB307,BG307,BL307,BQ307,BV307),"n/m")</f>
        <v>0.0305098779478497</v>
      </c>
      <c r="CJ307" s="33" t="n">
        <f aca="false">IFERROR(AVERAGE(AC307,AH307,AM307,AR307,AW307,BB307,BG307,BL307,BQ307,BV307),"n/m")</f>
        <v>0.0291328758344919</v>
      </c>
      <c r="CK307" s="33" t="n">
        <f aca="false">IFERROR(AVERAGE(C307,D307,E307,F307,G307,H307,I307,N307,S307,X307,AC307,AH307,AM307,AR307,AW307,BB307,BG307,BL307,BQ307,BV307),"n/m")</f>
        <v>0.0248711276416781</v>
      </c>
    </row>
    <row r="308" customFormat="false" ht="15" hidden="false" customHeight="true" outlineLevel="0" collapsed="false"/>
    <row r="309" customFormat="false" ht="15" hidden="false" customHeight="true" outlineLevel="0" collapsed="false">
      <c r="B309" s="11" t="s">
        <v>462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 t="s">
        <v>463</v>
      </c>
    </row>
    <row r="310" customFormat="false" ht="15" hidden="false" customHeight="true" outlineLevel="0" collapsed="false">
      <c r="B310" s="65" t="s">
        <v>464</v>
      </c>
    </row>
    <row r="311" customFormat="false" ht="15" hidden="false" customHeight="true" outlineLevel="0" collapsed="false">
      <c r="B311" s="29" t="s">
        <v>465</v>
      </c>
      <c r="C311" s="36" t="n">
        <f aca="false">C145</f>
        <v>67.506</v>
      </c>
      <c r="D311" s="36" t="n">
        <f aca="false">D145</f>
        <v>86.109</v>
      </c>
      <c r="E311" s="36" t="n">
        <f aca="false">E145</f>
        <v>106.986</v>
      </c>
      <c r="F311" s="36" t="n">
        <f aca="false">F145</f>
        <v>88.76</v>
      </c>
      <c r="G311" s="36" t="n">
        <f aca="false">G145</f>
        <v>111.001</v>
      </c>
      <c r="H311" s="36" t="n">
        <f aca="false">H145</f>
        <v>142.332</v>
      </c>
      <c r="I311" s="36" t="n">
        <f aca="false">I145</f>
        <v>163.726</v>
      </c>
      <c r="N311" s="36" t="n">
        <f aca="false">N145</f>
        <v>182.838</v>
      </c>
      <c r="S311" s="36" t="n">
        <f aca="false">S145</f>
        <v>190.887</v>
      </c>
      <c r="X311" s="36" t="n">
        <f aca="false">X145</f>
        <v>229.883</v>
      </c>
      <c r="AC311" s="36" t="n">
        <f aca="false">AC145</f>
        <v>271.485</v>
      </c>
      <c r="AH311" s="36" t="n">
        <f aca="false">AH145</f>
        <v>308.85</v>
      </c>
      <c r="AM311" s="36" t="n">
        <f aca="false">AM145</f>
        <v>376.187</v>
      </c>
      <c r="AR311" s="36" t="n">
        <f aca="false">AR145</f>
        <v>462.166</v>
      </c>
      <c r="AW311" s="36" t="n">
        <f aca="false">AW145</f>
        <v>378.529</v>
      </c>
      <c r="BB311" s="36" t="n">
        <f aca="false">BB145</f>
        <v>395.589</v>
      </c>
      <c r="BG311" s="36" t="n">
        <f aca="false">BG145</f>
        <v>489.778</v>
      </c>
      <c r="BL311" s="36" t="n">
        <f aca="false">BL145</f>
        <v>640.124</v>
      </c>
      <c r="BQ311" s="36" t="n">
        <f aca="false">BQ145</f>
        <v>824.515</v>
      </c>
      <c r="BV311" s="36" t="n">
        <f aca="false">BV145</f>
        <v>1036.351</v>
      </c>
      <c r="CA311" s="42" t="n">
        <f aca="false">CA145</f>
        <v>1339.59944249592</v>
      </c>
      <c r="CB311" s="42" t="n">
        <f aca="false">CB145</f>
        <v>1516.16881662762</v>
      </c>
      <c r="CC311" s="42" t="n">
        <f aca="false">CC145</f>
        <v>1702.37590056206</v>
      </c>
      <c r="CD311" s="42" t="n">
        <f aca="false">CD145</f>
        <v>1858.00715381334</v>
      </c>
      <c r="CE311" s="42" t="n">
        <f aca="false">CE145</f>
        <v>2026.76390277266</v>
      </c>
    </row>
    <row r="312" customFormat="false" ht="15" hidden="false" customHeight="true" outlineLevel="0" collapsed="false">
      <c r="B312" s="29" t="s">
        <v>466</v>
      </c>
      <c r="C312" s="30" t="n">
        <f aca="false">C107</f>
        <v>0.326649266211337</v>
      </c>
      <c r="D312" s="30" t="n">
        <f aca="false">D107</f>
        <v>0.332423686244204</v>
      </c>
      <c r="E312" s="30" t="n">
        <f aca="false">E107</f>
        <v>0.344720285500355</v>
      </c>
      <c r="F312" s="30" t="n">
        <f aca="false">F107</f>
        <v>0.318743240935739</v>
      </c>
      <c r="G312" s="30" t="n">
        <f aca="false">G107</f>
        <v>0.336527440282426</v>
      </c>
      <c r="H312" s="30" t="n">
        <f aca="false">H107</f>
        <v>0.310076398777041</v>
      </c>
      <c r="I312" s="30" t="n">
        <f aca="false">I107</f>
        <v>0.338141771366527</v>
      </c>
      <c r="N312" s="30" t="n">
        <f aca="false">N107</f>
        <v>0.310907773247548</v>
      </c>
      <c r="S312" s="30" t="n">
        <f aca="false">S107</f>
        <v>0.301150212517374</v>
      </c>
      <c r="X312" s="30" t="n">
        <f aca="false">X107</f>
        <v>0.3173841147917</v>
      </c>
      <c r="AC312" s="30" t="n">
        <f aca="false">AC107</f>
        <v>0.31472476171951</v>
      </c>
      <c r="AH312" s="30" t="n">
        <f aca="false">AH107</f>
        <v>0.303060813532018</v>
      </c>
      <c r="AM312" s="30" t="n">
        <f aca="false">AM107</f>
        <v>0.198155414470397</v>
      </c>
      <c r="AR312" s="30" t="n">
        <f aca="false">AR107</f>
        <v>0.178375254944146</v>
      </c>
      <c r="AW312" s="30" t="n">
        <f aca="false">AW107</f>
        <v>0.0794836304833427</v>
      </c>
      <c r="BB312" s="30" t="n">
        <f aca="false">BB107</f>
        <v>0.14803982865617</v>
      </c>
      <c r="BG312" s="30" t="n">
        <f aca="false">BG107</f>
        <v>0.204471073656428</v>
      </c>
      <c r="BL312" s="30" t="n">
        <f aca="false">BL107</f>
        <v>0.199717981641793</v>
      </c>
      <c r="BQ312" s="30" t="n">
        <f aca="false">BQ107</f>
        <v>0.174885549583374</v>
      </c>
      <c r="BV312" s="30" t="n">
        <f aca="false">BV107</f>
        <v>0.165630728528998</v>
      </c>
      <c r="CA312" s="23" t="n">
        <f aca="false">CA107</f>
        <v>0.191123403128741</v>
      </c>
      <c r="CB312" s="23" t="n">
        <f aca="false">CB107</f>
        <v>0.205</v>
      </c>
      <c r="CC312" s="23" t="n">
        <f aca="false">CC107</f>
        <v>0.205</v>
      </c>
      <c r="CD312" s="23" t="n">
        <f aca="false">CD107</f>
        <v>0.205</v>
      </c>
      <c r="CE312" s="23" t="n">
        <f aca="false">CE107</f>
        <v>0.205</v>
      </c>
    </row>
    <row r="313" customFormat="false" ht="15" hidden="false" customHeight="true" outlineLevel="0" collapsed="false">
      <c r="B313" s="29" t="s">
        <v>467</v>
      </c>
      <c r="C313" s="36" t="n">
        <f aca="false">IFERROR(C311*(1-C312),"n/a")</f>
        <v>45.4552146351375</v>
      </c>
      <c r="D313" s="36" t="n">
        <f aca="false">IFERROR(D311*(1-D312),"n/a")</f>
        <v>57.4843288011978</v>
      </c>
      <c r="E313" s="36" t="n">
        <f aca="false">IFERROR(E311*(1-E312),"n/a")</f>
        <v>70.1057555354591</v>
      </c>
      <c r="F313" s="36" t="n">
        <f aca="false">IFERROR(F311*(1-F312),"n/a")</f>
        <v>60.4683499345438</v>
      </c>
      <c r="G313" s="36" t="n">
        <f aca="false">IFERROR(G311*(1-G312),"n/a")</f>
        <v>73.6461176012104</v>
      </c>
      <c r="H313" s="36" t="n">
        <f aca="false">IFERROR(H311*(1-H312),"n/a")</f>
        <v>98.1982060092661</v>
      </c>
      <c r="I313" s="36" t="n">
        <f aca="false">IFERROR(I311*(1-I312),"n/a")</f>
        <v>108.363400341244</v>
      </c>
      <c r="N313" s="36" t="n">
        <f aca="false">IFERROR(N311*(1-N312),"n/a")</f>
        <v>125.992244554965</v>
      </c>
      <c r="S313" s="36" t="n">
        <f aca="false">IFERROR(S311*(1-S312),"n/a")</f>
        <v>133.401339383196</v>
      </c>
      <c r="X313" s="36" t="n">
        <f aca="false">IFERROR(X311*(1-X312),"n/a")</f>
        <v>156.921787539339</v>
      </c>
      <c r="AC313" s="36" t="n">
        <f aca="false">IFERROR(AC311*(1-AC312),"n/a")</f>
        <v>186.041948064579</v>
      </c>
      <c r="AH313" s="36" t="n">
        <f aca="false">IFERROR(AH311*(1-AH312),"n/a")</f>
        <v>215.249667740636</v>
      </c>
      <c r="AM313" s="36" t="n">
        <f aca="false">IFERROR(AM311*(1-AM312),"n/a")</f>
        <v>301.643509096625</v>
      </c>
      <c r="AR313" s="36" t="n">
        <f aca="false">IFERROR(AR311*(1-AR312),"n/a")</f>
        <v>379.727021923484</v>
      </c>
      <c r="AW313" s="36" t="n">
        <f aca="false">IFERROR(AW311*(1-AW312),"n/a")</f>
        <v>348.442140836771</v>
      </c>
      <c r="BB313" s="36" t="n">
        <f aca="false">IFERROR(BB311*(1-BB312),"n/a")</f>
        <v>337.026072221734</v>
      </c>
      <c r="BG313" s="36" t="n">
        <f aca="false">IFERROR(BG311*(1-BG312),"n/a")</f>
        <v>389.632566486702</v>
      </c>
      <c r="BL313" s="36" t="n">
        <f aca="false">IFERROR(BL311*(1-BL312),"n/a")</f>
        <v>512.279726719529</v>
      </c>
      <c r="BQ313" s="36" t="n">
        <f aca="false">IFERROR(BQ311*(1-BQ312),"n/a")</f>
        <v>680.319241085264</v>
      </c>
      <c r="BV313" s="36" t="n">
        <f aca="false">IFERROR(BV311*(1-BV312),"n/a")</f>
        <v>864.699428858245</v>
      </c>
      <c r="CA313" s="42" t="n">
        <f aca="false">IFERROR(CA311*(1-CA312),"n/a")</f>
        <v>1083.57063821673</v>
      </c>
      <c r="CB313" s="42" t="n">
        <f aca="false">IFERROR(CB311*(1-CB312),"n/a")</f>
        <v>1205.35420921896</v>
      </c>
      <c r="CC313" s="42" t="n">
        <f aca="false">IFERROR(CC311*(1-CC312),"n/a")</f>
        <v>1353.38884094684</v>
      </c>
      <c r="CD313" s="42" t="n">
        <f aca="false">IFERROR(CD311*(1-CD312),"n/a")</f>
        <v>1477.11568728161</v>
      </c>
      <c r="CE313" s="42" t="n">
        <f aca="false">IFERROR(CE311*(1-CE312),"n/a")</f>
        <v>1611.27730270426</v>
      </c>
      <c r="CH313" s="20" t="n">
        <f aca="false">IFERROR((CE313/BV313)^(1/5)-1,"n/m")</f>
        <v>0.132559489935188</v>
      </c>
      <c r="CI313" s="20" t="n">
        <f aca="false">IFERROR((BV313/AW313)^(1/5)-1,"n/m")</f>
        <v>0.199352651909663</v>
      </c>
      <c r="CJ313" s="20" t="n">
        <f aca="false">IFERROR((BV313/X313)^(1/10)-1,"n/m")</f>
        <v>0.18609149714583</v>
      </c>
      <c r="CK313" s="20" t="n">
        <f aca="false">IFERROR((BV313/C313)^(1/19)-1,"n/m")</f>
        <v>0.167698179500456</v>
      </c>
    </row>
    <row r="314" customFormat="false" ht="15" hidden="false" customHeight="true" outlineLevel="0" collapsed="false">
      <c r="B314" s="29" t="s">
        <v>468</v>
      </c>
      <c r="C314" s="36" t="n">
        <f aca="false">IFERROR(C315+C316,"n/a")</f>
        <v>430.621</v>
      </c>
      <c r="D314" s="36" t="n">
        <f aca="false">IFERROR(D315+D316,"n/a")</f>
        <v>495.544</v>
      </c>
      <c r="E314" s="36" t="n">
        <f aca="false">IFERROR(E315+E316,"n/a")</f>
        <v>526.777</v>
      </c>
      <c r="F314" s="36" t="n">
        <f aca="false">IFERROR(F315+F316,"n/a")</f>
        <v>595.859</v>
      </c>
      <c r="G314" s="36" t="n">
        <f aca="false">IFERROR(G315+G316,"n/a")</f>
        <v>617.552</v>
      </c>
      <c r="H314" s="36" t="n">
        <f aca="false">IFERROR(H315+H316,"n/a")</f>
        <v>708.242</v>
      </c>
      <c r="I314" s="36" t="n">
        <f aca="false">IFERROR(I315+I316,"n/a")</f>
        <v>897.294</v>
      </c>
      <c r="N314" s="36" t="n">
        <f aca="false">IFERROR(N315+N316,"n/a")</f>
        <v>1144.469</v>
      </c>
      <c r="S314" s="36" t="n">
        <f aca="false">IFERROR(S315+S316,"n/a")</f>
        <v>1123.465</v>
      </c>
      <c r="X314" s="36" t="n">
        <f aca="false">IFERROR(X315+X316,"n/a")</f>
        <v>1318.548</v>
      </c>
      <c r="AC314" s="36" t="n">
        <f aca="false">IFERROR(AC315+AC316,"n/a")</f>
        <v>1562.475</v>
      </c>
      <c r="AH314" s="36" t="n">
        <f aca="false">IFERROR(AH315+AH316,"n/a")</f>
        <v>2001.328</v>
      </c>
      <c r="AM314" s="36" t="n">
        <f aca="false">IFERROR(AM315+AM316,"n/a")</f>
        <v>2107.925</v>
      </c>
      <c r="AR314" s="36" t="n">
        <f aca="false">IFERROR(AR315+AR316,"n/a")</f>
        <v>2387.878</v>
      </c>
      <c r="AW314" s="36" t="n">
        <f aca="false">IFERROR(AW315+AW316,"n/a")</f>
        <v>2564.794</v>
      </c>
      <c r="BB314" s="36" t="n">
        <f aca="false">IFERROR(BB315+BB316,"n/a")</f>
        <v>2677.726</v>
      </c>
      <c r="BG314" s="36" t="n">
        <f aca="false">IFERROR(BG315+BG316,"n/a")</f>
        <v>3126.677</v>
      </c>
      <c r="BL314" s="36" t="n">
        <f aca="false">IFERROR(BL315+BL316,"n/a")</f>
        <v>5864.988</v>
      </c>
      <c r="BQ314" s="36" t="n">
        <f aca="false">IFERROR(BQ315+BQ316,"n/a")</f>
        <v>6130.833</v>
      </c>
      <c r="BV314" s="36" t="n">
        <f aca="false">IFERROR(BV315+BV316,"n/a")</f>
        <v>6796.697</v>
      </c>
      <c r="CA314" s="42" t="n">
        <f aca="false">IFERROR(CA315+CA316,"n/a")</f>
        <v>7944.13165811243</v>
      </c>
      <c r="CB314" s="42" t="n">
        <f aca="false">IFERROR(CB315+CB316,"n/a")</f>
        <v>8781.92327858538</v>
      </c>
      <c r="CC314" s="42" t="n">
        <f aca="false">IFERROR(CC315+CC316,"n/a")</f>
        <v>9597.43742614933</v>
      </c>
      <c r="CD314" s="42" t="n">
        <f aca="false">IFERROR(CD315+CD316,"n/a")</f>
        <v>10508.3185640972</v>
      </c>
      <c r="CE314" s="42" t="n">
        <f aca="false">IFERROR(CE315+CE316,"n/a")</f>
        <v>11427.1100795475</v>
      </c>
    </row>
    <row r="315" customFormat="false" ht="15" hidden="false" customHeight="true" outlineLevel="0" collapsed="false">
      <c r="B315" s="29" t="s">
        <v>469</v>
      </c>
      <c r="C315" s="36" t="n">
        <f aca="false">IF(ISNUMBER(C263),C263+N(C256),"n/a")</f>
        <v>380.559</v>
      </c>
      <c r="D315" s="36" t="n">
        <f aca="false">IF(ISNUMBER(D263),D263+N(D256),"n/a")</f>
        <v>444.539</v>
      </c>
      <c r="E315" s="36" t="n">
        <f aca="false">IF(ISNUMBER(E263),E263+N(E256),"n/a")</f>
        <v>501.738</v>
      </c>
      <c r="F315" s="36" t="n">
        <f aca="false">IF(ISNUMBER(F263),F263+N(F256),"n/a")</f>
        <v>547.595</v>
      </c>
      <c r="G315" s="36" t="n">
        <f aca="false">IF(ISNUMBER(G263),G263+N(G256),"n/a")</f>
        <v>609.874</v>
      </c>
      <c r="H315" s="36" t="n">
        <f aca="false">IF(ISNUMBER(H263),H263+N(H256),"n/a")</f>
        <v>685.584</v>
      </c>
      <c r="I315" s="36" t="n">
        <f aca="false">IF(ISNUMBER(I263),I263+N(I256),"n/a")</f>
        <v>786.925</v>
      </c>
      <c r="N315" s="36" t="n">
        <f aca="false">IF(ISNUMBER(N263),N263+N(N256),"n/a")</f>
        <v>782.453</v>
      </c>
      <c r="S315" s="36" t="n">
        <f aca="false">IF(ISNUMBER(S263),S263+N(S256),"n/a")</f>
        <v>814.585</v>
      </c>
      <c r="X315" s="36" t="n">
        <f aca="false">IF(ISNUMBER(X263),X263+N(X256),"n/a")</f>
        <v>984.553</v>
      </c>
      <c r="AC315" s="36" t="n">
        <f aca="false">IF(ISNUMBER(AC263),AC263+N(AC256),"n/a")</f>
        <v>1147.205</v>
      </c>
      <c r="AH315" s="36" t="n">
        <f aca="false">IF(ISNUMBER(AH263),AH263+N(AH256),"n/a")</f>
        <v>1379.415</v>
      </c>
      <c r="AM315" s="36" t="n">
        <f aca="false">IF(ISNUMBER(AM263),AM263+N(AM256),"n/a")</f>
        <v>1635.054</v>
      </c>
      <c r="AR315" s="36" t="n">
        <f aca="false">IF(ISNUMBER(AR263),AR263+N(AR256),"n/a")</f>
        <v>1882.924</v>
      </c>
      <c r="AW315" s="36" t="n">
        <f aca="false">IF(ISNUMBER(AW263),AW263+N(AW256),"n/a")</f>
        <v>2231.815</v>
      </c>
      <c r="BB315" s="36" t="n">
        <f aca="false">IF(ISNUMBER(BB263),BB263+N(BB256),"n/a")</f>
        <v>2549.526</v>
      </c>
      <c r="BG315" s="36" t="n">
        <f aca="false">IF(ISNUMBER(BG263),BG263+N(BG256),"n/a")</f>
        <v>2975.907</v>
      </c>
      <c r="BL315" s="36" t="n">
        <f aca="false">IF(ISNUMBER(BL263),BL263+N(BL256),"n/a")</f>
        <v>3557.958</v>
      </c>
      <c r="BQ315" s="36" t="n">
        <f aca="false">IF(ISNUMBER(BQ263),BQ263+N(BQ256),"n/a")</f>
        <v>4063.562</v>
      </c>
      <c r="BV315" s="36" t="n">
        <f aca="false">IF(ISNUMBER(BV263),BV263+N(BV256),"n/a")</f>
        <v>4846.533</v>
      </c>
      <c r="CA315" s="42" t="n">
        <f aca="false">IF(ISNUMBER(CA263),CA263+N(CA256),"n/a")</f>
        <v>5902.05069367305</v>
      </c>
      <c r="CB315" s="42" t="n">
        <f aca="false">IF(ISNUMBER(CB263),CB263+N(CB256),"n/a")</f>
        <v>6960.76749024414</v>
      </c>
      <c r="CC315" s="42" t="n">
        <f aca="false">IF(ISNUMBER(CC263),CC263+N(CC256),"n/a")</f>
        <v>7627.47814445835</v>
      </c>
      <c r="CD315" s="42" t="n">
        <f aca="false">IF(ISNUMBER(CD263),CD263+N(CD256),"n/a")</f>
        <v>8364.82806299541</v>
      </c>
      <c r="CE315" s="42" t="n">
        <f aca="false">IF(ISNUMBER(CE263),CE263+N(CE256),"n/a")</f>
        <v>9095.27243727957</v>
      </c>
    </row>
    <row r="316" customFormat="false" ht="15" hidden="false" customHeight="true" outlineLevel="0" collapsed="false">
      <c r="B316" s="29" t="s">
        <v>470</v>
      </c>
      <c r="C316" s="36" t="n">
        <f aca="false">IFERROR(C287-C235,"n/a")</f>
        <v>50.062</v>
      </c>
      <c r="D316" s="36" t="n">
        <f aca="false">IFERROR(D287-D235,"n/a")</f>
        <v>51.005</v>
      </c>
      <c r="E316" s="36" t="n">
        <f aca="false">IFERROR(E287-E235,"n/a")</f>
        <v>25.039</v>
      </c>
      <c r="F316" s="36" t="n">
        <f aca="false">IFERROR(F287-F235,"n/a")</f>
        <v>48.264</v>
      </c>
      <c r="G316" s="36" t="n">
        <f aca="false">IFERROR(G287-G235,"n/a")</f>
        <v>7.678</v>
      </c>
      <c r="H316" s="36" t="n">
        <f aca="false">IFERROR(H287-H235,"n/a")</f>
        <v>22.658</v>
      </c>
      <c r="I316" s="36" t="n">
        <f aca="false">IFERROR(I287-I235,"n/a")</f>
        <v>110.369</v>
      </c>
      <c r="N316" s="36" t="n">
        <f aca="false">IFERROR(N287-N235,"n/a")</f>
        <v>362.016</v>
      </c>
      <c r="S316" s="36" t="n">
        <f aca="false">IFERROR(S287-S235,"n/a")</f>
        <v>308.88</v>
      </c>
      <c r="X316" s="36" t="n">
        <f aca="false">IFERROR(X287-X235,"n/a")</f>
        <v>333.995</v>
      </c>
      <c r="AC316" s="36" t="n">
        <f aca="false">IFERROR(AC287-AC235,"n/a")</f>
        <v>415.27</v>
      </c>
      <c r="AH316" s="36" t="n">
        <f aca="false">IFERROR(AH287-AH235,"n/a")</f>
        <v>621.913</v>
      </c>
      <c r="AM316" s="36" t="n">
        <f aca="false">IFERROR(AM287-AM235,"n/a")</f>
        <v>472.871</v>
      </c>
      <c r="AR316" s="36" t="n">
        <f aca="false">IFERROR(AR287-AR235,"n/a")</f>
        <v>504.954</v>
      </c>
      <c r="AW316" s="36" t="n">
        <f aca="false">IFERROR(AW287-AW235,"n/a")</f>
        <v>332.979</v>
      </c>
      <c r="BB316" s="36" t="n">
        <f aca="false">IFERROR(BB287-BB235,"n/a")</f>
        <v>128.2</v>
      </c>
      <c r="BG316" s="36" t="n">
        <f aca="false">IFERROR(BG287-BG235,"n/a")</f>
        <v>150.77</v>
      </c>
      <c r="BL316" s="36" t="n">
        <f aca="false">IFERROR(BL287-BL235,"n/a")</f>
        <v>2307.03</v>
      </c>
      <c r="BQ316" s="36" t="n">
        <f aca="false">IFERROR(BQ287-BQ235,"n/a")</f>
        <v>2067.271</v>
      </c>
      <c r="BV316" s="36" t="n">
        <f aca="false">IFERROR(BV287-BV235,"n/a")</f>
        <v>1950.164</v>
      </c>
      <c r="CA316" s="42" t="n">
        <f aca="false">IFERROR(CA287-CA235,"n/a")</f>
        <v>2042.08096443938</v>
      </c>
      <c r="CB316" s="42" t="n">
        <f aca="false">IFERROR(CB287-CB235,"n/a")</f>
        <v>1821.15578834123</v>
      </c>
      <c r="CC316" s="42" t="n">
        <f aca="false">IFERROR(CC287-CC235,"n/a")</f>
        <v>1969.95928169098</v>
      </c>
      <c r="CD316" s="42" t="n">
        <f aca="false">IFERROR(CD287-CD235,"n/a")</f>
        <v>2143.49050110176</v>
      </c>
      <c r="CE316" s="42" t="n">
        <f aca="false">IFERROR(CE287-CE235,"n/a")</f>
        <v>2331.83764226797</v>
      </c>
    </row>
    <row r="317" customFormat="false" ht="15" hidden="false" customHeight="true" outlineLevel="0" collapsed="false">
      <c r="B317" s="49" t="s">
        <v>471</v>
      </c>
      <c r="C317" s="68" t="n">
        <f aca="false">IFERROR(C313/C314,"n/a")</f>
        <v>0.105557357014956</v>
      </c>
      <c r="D317" s="68" t="n">
        <f aca="false">IFERROR(D313/D314,"n/a")</f>
        <v>0.116002471629558</v>
      </c>
      <c r="E317" s="68" t="n">
        <f aca="false">IFERROR(E313/E314,"n/a")</f>
        <v>0.133084313733248</v>
      </c>
      <c r="F317" s="68" t="n">
        <f aca="false">IFERROR(F313/F314,"n/a")</f>
        <v>0.101480971059502</v>
      </c>
      <c r="G317" s="68" t="n">
        <f aca="false">IFERROR(G313/G314,"n/a")</f>
        <v>0.119254925255218</v>
      </c>
      <c r="H317" s="68" t="n">
        <f aca="false">IFERROR(H313/H314,"n/a")</f>
        <v>0.138650639201383</v>
      </c>
      <c r="I317" s="68" t="n">
        <f aca="false">IFERROR(I313/I314,"n/a")</f>
        <v>0.120766883921261</v>
      </c>
      <c r="N317" s="68" t="n">
        <f aca="false">IFERROR(N313/N314,"n/a")</f>
        <v>0.110087948694954</v>
      </c>
      <c r="S317" s="68" t="n">
        <f aca="false">IFERROR(S313/S314,"n/a")</f>
        <v>0.118740983816315</v>
      </c>
      <c r="X317" s="68" t="n">
        <f aca="false">IFERROR(X313/X314,"n/a")</f>
        <v>0.119011054234916</v>
      </c>
      <c r="AC317" s="68" t="n">
        <f aca="false">IFERROR(AC313/AC314,"n/a")</f>
        <v>0.11906875186136</v>
      </c>
      <c r="AH317" s="68" t="n">
        <f aca="false">IFERROR(AH313/AH314,"n/a")</f>
        <v>0.1075534184005</v>
      </c>
      <c r="AM317" s="68" t="n">
        <f aca="false">IFERROR(AM313/AM314,"n/a")</f>
        <v>0.143099735093338</v>
      </c>
      <c r="AR317" s="68" t="n">
        <f aca="false">IFERROR(AR313/AR314,"n/a")</f>
        <v>0.159022790076999</v>
      </c>
      <c r="AW317" s="68" t="n">
        <f aca="false">IFERROR(AW313/AW314,"n/a")</f>
        <v>0.135855800051299</v>
      </c>
      <c r="BB317" s="68" t="n">
        <f aca="false">IFERROR(BB313/BB314,"n/a")</f>
        <v>0.125862792616472</v>
      </c>
      <c r="BG317" s="68" t="n">
        <f aca="false">IFERROR(BG313/BG314,"n/a")</f>
        <v>0.124615547588287</v>
      </c>
      <c r="BL317" s="68" t="n">
        <f aca="false">IFERROR(BL313/BL314,"n/a")</f>
        <v>0.0873454006588809</v>
      </c>
      <c r="BQ317" s="68" t="n">
        <f aca="false">IFERROR(BQ313/BQ314,"n/a")</f>
        <v>0.110966852479143</v>
      </c>
      <c r="BV317" s="68" t="n">
        <f aca="false">IFERROR(BV313/BV314,"n/a")</f>
        <v>0.127223477647782</v>
      </c>
      <c r="CA317" s="68" t="n">
        <f aca="false">IFERROR(CA313/CA314,"n/a")</f>
        <v>0.136398877164908</v>
      </c>
      <c r="CB317" s="68" t="n">
        <f aca="false">IFERROR(CB313/CB314,"n/a")</f>
        <v>0.13725401270109</v>
      </c>
      <c r="CC317" s="68" t="n">
        <f aca="false">IFERROR(CC313/CC314,"n/a")</f>
        <v>0.141015646245254</v>
      </c>
      <c r="CD317" s="68" t="n">
        <f aca="false">IFERROR(CD313/CD314,"n/a")</f>
        <v>0.140566321650006</v>
      </c>
      <c r="CE317" s="68" t="n">
        <f aca="false">IFERROR(CE313/CE314,"n/a")</f>
        <v>0.141004793993204</v>
      </c>
      <c r="CH317" s="33" t="n">
        <f aca="false">IFERROR(AVERAGE(CA317,CB317,CC317,CD317,CE317),"n/m")</f>
        <v>0.139247930350892</v>
      </c>
      <c r="CI317" s="33" t="n">
        <f aca="false">IFERROR(AVERAGE(BB317,BG317,BL317,BQ317,BV317),"n/m")</f>
        <v>0.115202814198113</v>
      </c>
      <c r="CJ317" s="33" t="n">
        <f aca="false">IFERROR(AVERAGE(AC317,AH317,AM317,AR317,AW317,BB317,BG317,BL317,BQ317,BV317),"n/m")</f>
        <v>0.124061456647406</v>
      </c>
      <c r="CK317" s="33" t="n">
        <f aca="false">IFERROR(AVERAGE(C317,D317,E317,F317,G317,H317,I317,N317,S317,X317,AC317,AH317,AM317,AR317,AW317,BB317,BG317,BL317,BQ317,BV317),"n/m")</f>
        <v>0.121162605751769</v>
      </c>
    </row>
    <row r="318" customFormat="false" ht="15" hidden="false" customHeight="true" outlineLevel="0" collapsed="false">
      <c r="B318" s="29" t="s">
        <v>472</v>
      </c>
      <c r="C318" s="30" t="n">
        <f aca="false">IFERROR(C311/C98,"n/a")</f>
        <v>0.172125755373671</v>
      </c>
      <c r="D318" s="30" t="n">
        <f aca="false">IFERROR(D311/D98,"n/a")</f>
        <v>0.169531268457486</v>
      </c>
      <c r="E318" s="30" t="n">
        <f aca="false">IFERROR(E311/E98,"n/a")</f>
        <v>0.183715207599593</v>
      </c>
      <c r="F318" s="30" t="n">
        <f aca="false">IFERROR(F311/F98,"n/a")</f>
        <v>0.164890692109917</v>
      </c>
      <c r="G318" s="30" t="n">
        <f aca="false">IFERROR(G311/G98,"n/a")</f>
        <v>0.179898544617678</v>
      </c>
      <c r="H318" s="30" t="n">
        <f aca="false">IFERROR(H311/H98,"n/a")</f>
        <v>0.18608141552195</v>
      </c>
      <c r="I318" s="30" t="n">
        <f aca="false">IFERROR(I311/I98,"n/a")</f>
        <v>0.182455616389201</v>
      </c>
      <c r="N318" s="30" t="n">
        <f aca="false">IFERROR(N311/N98,"n/a")</f>
        <v>0.181250786859472</v>
      </c>
      <c r="S318" s="30" t="n">
        <f aca="false">IFERROR(S311/S98,"n/a")</f>
        <v>0.168581776561386</v>
      </c>
      <c r="X318" s="30" t="n">
        <f aca="false">IFERROR(X311/X98,"n/a")</f>
        <v>0.193398718544094</v>
      </c>
      <c r="AC318" s="30" t="n">
        <f aca="false">IFERROR(AC311/AC98,"n/a")</f>
        <v>0.197263158506617</v>
      </c>
      <c r="AH318" s="30" t="n">
        <f aca="false">IFERROR(AH311/AH98,"n/a")</f>
        <v>0.202549427372406</v>
      </c>
      <c r="AM318" s="30" t="n">
        <f aca="false">IFERROR(AM311/AM98,"n/a")</f>
        <v>0.211611945856521</v>
      </c>
      <c r="AR318" s="30" t="n">
        <f aca="false">IFERROR(AR311/AR98,"n/a")</f>
        <v>0.224827511727451</v>
      </c>
      <c r="AW318" s="30" t="n">
        <f aca="false">IFERROR(AW311/AW98,"n/a")</f>
        <v>0.211822660098522</v>
      </c>
      <c r="BB318" s="30" t="n">
        <f aca="false">IFERROR(BB311/BB98,"n/a")</f>
        <v>0.212034526784307</v>
      </c>
      <c r="BG318" s="30" t="n">
        <f aca="false">IFERROR(BG311/BG98,"n/a")</f>
        <v>0.221787402380631</v>
      </c>
      <c r="BL318" s="30" t="n">
        <f aca="false">IFERROR(BL311/BL98,"n/a")</f>
        <v>0.21566757240731</v>
      </c>
      <c r="BQ318" s="30" t="n">
        <f aca="false">IFERROR(BQ311/BQ98,"n/a")</f>
        <v>0.213733993248254</v>
      </c>
      <c r="BV318" s="30" t="n">
        <f aca="false">IFERROR(BV311/BV98,"n/a")</f>
        <v>0.231068190189438</v>
      </c>
      <c r="CA318" s="23" t="n">
        <f aca="false">IFERROR(CA311/CA98,"n/a")</f>
        <v>0.246087441573141</v>
      </c>
      <c r="CB318" s="23" t="n">
        <f aca="false">IFERROR(CB311/CB98,"n/a")</f>
        <v>0.24468383610025</v>
      </c>
      <c r="CC318" s="23" t="n">
        <f aca="false">IFERROR(CC311/CC98,"n/a")</f>
        <v>0.247524160232257</v>
      </c>
      <c r="CD318" s="23" t="n">
        <f aca="false">IFERROR(CD311/CD98,"n/a")</f>
        <v>0.245522653787356</v>
      </c>
      <c r="CE318" s="23" t="n">
        <f aca="false">IFERROR(CE311/CE98,"n/a")</f>
        <v>0.243646541604849</v>
      </c>
    </row>
    <row r="319" customFormat="false" ht="15" hidden="false" customHeight="true" outlineLevel="0" collapsed="false">
      <c r="B319" s="29" t="s">
        <v>473</v>
      </c>
      <c r="C319" s="55" t="n">
        <f aca="false">IFERROR(C98/C314,"n/a")</f>
        <v>0.910754468546587</v>
      </c>
      <c r="D319" s="55" t="n">
        <f aca="false">IFERROR(D98/D314,"n/a")</f>
        <v>1.02498264533523</v>
      </c>
      <c r="E319" s="55" t="n">
        <f aca="false">IFERROR(E98/E314,"n/a")</f>
        <v>1.10549055862348</v>
      </c>
      <c r="F319" s="55" t="n">
        <f aca="false">IFERROR(F98/F314,"n/a")</f>
        <v>0.903394930679909</v>
      </c>
      <c r="G319" s="55" t="n">
        <f aca="false">IFERROR(G98/G314,"n/a")</f>
        <v>0.99913853408296</v>
      </c>
      <c r="H319" s="55" t="n">
        <f aca="false">IFERROR(H98/H314,"n/a")</f>
        <v>1.07998537223153</v>
      </c>
      <c r="I319" s="55" t="n">
        <f aca="false">IFERROR(I98/I314,"n/a")</f>
        <v>1.00005906648211</v>
      </c>
      <c r="N319" s="55" t="n">
        <f aca="false">IFERROR(N98/N314,"n/a")</f>
        <v>0.881419243334682</v>
      </c>
      <c r="S319" s="55" t="n">
        <f aca="false">IFERROR(S98/S314,"n/a")</f>
        <v>1.00787385454821</v>
      </c>
      <c r="X319" s="55" t="n">
        <f aca="false">IFERROR(X98/X314,"n/a")</f>
        <v>0.901482539884782</v>
      </c>
      <c r="AC319" s="55" t="n">
        <f aca="false">IFERROR(AC98/AC314,"n/a")</f>
        <v>0.88081921310741</v>
      </c>
      <c r="AH319" s="55" t="n">
        <f aca="false">IFERROR(AH98/AH314,"n/a")</f>
        <v>0.761900598002926</v>
      </c>
      <c r="AM319" s="55" t="n">
        <f aca="false">IFERROR(AM98/AM314,"n/a")</f>
        <v>0.843351162873442</v>
      </c>
      <c r="AR319" s="55" t="n">
        <f aca="false">IFERROR(AR98/AR314,"n/a")</f>
        <v>0.860867682519794</v>
      </c>
      <c r="AW319" s="55" t="n">
        <f aca="false">IFERROR(AW98/AW314,"n/a")</f>
        <v>0.696745625574608</v>
      </c>
      <c r="BB319" s="55" t="n">
        <f aca="false">IFERROR(BB98/BB314,"n/a")</f>
        <v>0.696741190099361</v>
      </c>
      <c r="BG319" s="55" t="n">
        <f aca="false">IFERROR(BG98/BG314,"n/a")</f>
        <v>0.706284019743645</v>
      </c>
      <c r="BL319" s="55" t="n">
        <f aca="false">IFERROR(BL98/BL314,"n/a")</f>
        <v>0.506071794179289</v>
      </c>
      <c r="BQ319" s="55" t="n">
        <f aca="false">IFERROR(BQ98/BQ314,"n/a")</f>
        <v>0.62922428322546</v>
      </c>
      <c r="BV319" s="55" t="n">
        <f aca="false">IFERROR(BV98/BV314,"n/a")</f>
        <v>0.659885823952429</v>
      </c>
      <c r="CA319" s="56" t="n">
        <f aca="false">IFERROR(CA98/CA314,"n/a")</f>
        <v>0.68523426844513</v>
      </c>
      <c r="CB319" s="56" t="n">
        <f aca="false">IFERROR(CB98/CB314,"n/a")</f>
        <v>0.705590363500686</v>
      </c>
      <c r="CC319" s="56" t="n">
        <f aca="false">IFERROR(CC98/CC314,"n/a")</f>
        <v>0.716609526969976</v>
      </c>
      <c r="CD319" s="56" t="n">
        <f aca="false">IFERROR(CD98/CD314,"n/a")</f>
        <v>0.720149364957133</v>
      </c>
      <c r="CE319" s="56" t="n">
        <f aca="false">IFERROR(CE98/CE314,"n/a")</f>
        <v>0.727958293919975</v>
      </c>
    </row>
    <row r="320" customFormat="false" ht="15" hidden="false" customHeight="true" outlineLevel="0" collapsed="false">
      <c r="B320" s="29" t="s">
        <v>474</v>
      </c>
      <c r="C320" s="30" t="n">
        <f aca="false">IFERROR(1-C312,"n/a")</f>
        <v>0.673350733788663</v>
      </c>
      <c r="D320" s="30" t="n">
        <f aca="false">IFERROR(1-D312,"n/a")</f>
        <v>0.667576313755796</v>
      </c>
      <c r="E320" s="30" t="n">
        <f aca="false">IFERROR(1-E312,"n/a")</f>
        <v>0.655279714499645</v>
      </c>
      <c r="F320" s="30" t="n">
        <f aca="false">IFERROR(1-F312,"n/a")</f>
        <v>0.681256759064261</v>
      </c>
      <c r="G320" s="30" t="n">
        <f aca="false">IFERROR(1-G312,"n/a")</f>
        <v>0.663472559717574</v>
      </c>
      <c r="H320" s="30" t="n">
        <f aca="false">IFERROR(1-H312,"n/a")</f>
        <v>0.689923601222959</v>
      </c>
      <c r="I320" s="30" t="n">
        <f aca="false">IFERROR(1-I312,"n/a")</f>
        <v>0.661858228633473</v>
      </c>
      <c r="N320" s="30" t="n">
        <f aca="false">IFERROR(1-N312,"n/a")</f>
        <v>0.689092226752452</v>
      </c>
      <c r="S320" s="30" t="n">
        <f aca="false">IFERROR(1-S312,"n/a")</f>
        <v>0.698849787482626</v>
      </c>
      <c r="X320" s="30" t="n">
        <f aca="false">IFERROR(1-X312,"n/a")</f>
        <v>0.6826158852083</v>
      </c>
      <c r="AC320" s="30" t="n">
        <f aca="false">IFERROR(1-AC312,"n/a")</f>
        <v>0.68527523828049</v>
      </c>
      <c r="AH320" s="30" t="n">
        <f aca="false">IFERROR(1-AH312,"n/a")</f>
        <v>0.696939186467982</v>
      </c>
      <c r="AM320" s="30" t="n">
        <f aca="false">IFERROR(1-AM312,"n/a")</f>
        <v>0.801844585529603</v>
      </c>
      <c r="AR320" s="30" t="n">
        <f aca="false">IFERROR(1-AR312,"n/a")</f>
        <v>0.821624745055854</v>
      </c>
      <c r="AW320" s="30" t="n">
        <f aca="false">IFERROR(1-AW312,"n/a")</f>
        <v>0.920516369516657</v>
      </c>
      <c r="BB320" s="30" t="n">
        <f aca="false">IFERROR(1-BB312,"n/a")</f>
        <v>0.85196017134383</v>
      </c>
      <c r="BG320" s="30" t="n">
        <f aca="false">IFERROR(1-BG312,"n/a")</f>
        <v>0.795528926343573</v>
      </c>
      <c r="BL320" s="30" t="n">
        <f aca="false">IFERROR(1-BL312,"n/a")</f>
        <v>0.800282018358207</v>
      </c>
      <c r="BQ320" s="30" t="n">
        <f aca="false">IFERROR(1-BQ312,"n/a")</f>
        <v>0.825114450416626</v>
      </c>
      <c r="BV320" s="30" t="n">
        <f aca="false">IFERROR(1-BV312,"n/a")</f>
        <v>0.834369271471002</v>
      </c>
      <c r="CA320" s="23" t="n">
        <f aca="false">IFERROR(1-CA312,"n/a")</f>
        <v>0.808876596871259</v>
      </c>
      <c r="CB320" s="23" t="n">
        <f aca="false">IFERROR(1-CB312,"n/a")</f>
        <v>0.795</v>
      </c>
      <c r="CC320" s="23" t="n">
        <f aca="false">IFERROR(1-CC312,"n/a")</f>
        <v>0.795</v>
      </c>
      <c r="CD320" s="23" t="n">
        <f aca="false">IFERROR(1-CD312,"n/a")</f>
        <v>0.795</v>
      </c>
      <c r="CE320" s="23" t="n">
        <f aca="false">IFERROR(1-CE312,"n/a")</f>
        <v>0.795</v>
      </c>
    </row>
    <row r="321" customFormat="false" ht="15" hidden="false" customHeight="true" outlineLevel="0" collapsed="false">
      <c r="B321" s="51" t="s">
        <v>475</v>
      </c>
      <c r="C321" s="30" t="n">
        <f aca="false">IFERROR(C318*C319*C320,"n/a")</f>
        <v>0.105557357014956</v>
      </c>
      <c r="D321" s="30" t="n">
        <f aca="false">IFERROR(D318*D319*D320,"n/a")</f>
        <v>0.116002471629558</v>
      </c>
      <c r="E321" s="30" t="n">
        <f aca="false">IFERROR(E318*E319*E320,"n/a")</f>
        <v>0.133084313733248</v>
      </c>
      <c r="F321" s="30" t="n">
        <f aca="false">IFERROR(F318*F319*F320,"n/a")</f>
        <v>0.101480971059502</v>
      </c>
      <c r="G321" s="30" t="n">
        <f aca="false">IFERROR(G318*G319*G320,"n/a")</f>
        <v>0.119254925255218</v>
      </c>
      <c r="H321" s="30" t="n">
        <f aca="false">IFERROR(H318*H319*H320,"n/a")</f>
        <v>0.138650639201383</v>
      </c>
      <c r="I321" s="30" t="n">
        <f aca="false">IFERROR(I318*I319*I320,"n/a")</f>
        <v>0.120766883921261</v>
      </c>
      <c r="N321" s="30" t="n">
        <f aca="false">IFERROR(N318*N319*N320,"n/a")</f>
        <v>0.110087948694954</v>
      </c>
      <c r="S321" s="30" t="n">
        <f aca="false">IFERROR(S318*S319*S320,"n/a")</f>
        <v>0.118740983816315</v>
      </c>
      <c r="X321" s="30" t="n">
        <f aca="false">IFERROR(X318*X319*X320,"n/a")</f>
        <v>0.119011054234916</v>
      </c>
      <c r="AC321" s="30" t="n">
        <f aca="false">IFERROR(AC318*AC319*AC320,"n/a")</f>
        <v>0.11906875186136</v>
      </c>
      <c r="AH321" s="30" t="n">
        <f aca="false">IFERROR(AH318*AH319*AH320,"n/a")</f>
        <v>0.1075534184005</v>
      </c>
      <c r="AM321" s="30" t="n">
        <f aca="false">IFERROR(AM318*AM319*AM320,"n/a")</f>
        <v>0.143099735093338</v>
      </c>
      <c r="AR321" s="30" t="n">
        <f aca="false">IFERROR(AR318*AR319*AR320,"n/a")</f>
        <v>0.159022790076999</v>
      </c>
      <c r="AW321" s="30" t="n">
        <f aca="false">IFERROR(AW318*AW319*AW320,"n/a")</f>
        <v>0.135855800051299</v>
      </c>
      <c r="BB321" s="30" t="n">
        <f aca="false">IFERROR(BB318*BB319*BB320,"n/a")</f>
        <v>0.125862792616472</v>
      </c>
      <c r="BG321" s="30" t="n">
        <f aca="false">IFERROR(BG318*BG319*BG320,"n/a")</f>
        <v>0.124615547588287</v>
      </c>
      <c r="BL321" s="30" t="n">
        <f aca="false">IFERROR(BL318*BL319*BL320,"n/a")</f>
        <v>0.0873454006588809</v>
      </c>
      <c r="BQ321" s="30" t="n">
        <f aca="false">IFERROR(BQ318*BQ319*BQ320,"n/a")</f>
        <v>0.110966852479143</v>
      </c>
      <c r="BV321" s="30" t="n">
        <f aca="false">IFERROR(BV318*BV319*BV320,"n/a")</f>
        <v>0.127223477647782</v>
      </c>
      <c r="CA321" s="23" t="n">
        <f aca="false">IFERROR(CA318*CA319*CA320,"n/a")</f>
        <v>0.136398877164908</v>
      </c>
      <c r="CB321" s="23" t="n">
        <f aca="false">IFERROR(CB318*CB319*CB320,"n/a")</f>
        <v>0.13725401270109</v>
      </c>
      <c r="CC321" s="23" t="n">
        <f aca="false">IFERROR(CC318*CC319*CC320,"n/a")</f>
        <v>0.141015646245254</v>
      </c>
      <c r="CD321" s="23" t="n">
        <f aca="false">IFERROR(CD318*CD319*CD320,"n/a")</f>
        <v>0.140566321650006</v>
      </c>
      <c r="CE321" s="23" t="n">
        <f aca="false">IFERROR(CE318*CE319*CE320,"n/a")</f>
        <v>0.141004793993204</v>
      </c>
    </row>
    <row r="322" customFormat="false" ht="15" hidden="false" customHeight="true" outlineLevel="0" collapsed="false">
      <c r="B322" s="65" t="s">
        <v>476</v>
      </c>
    </row>
    <row r="323" customFormat="false" ht="15" hidden="false" customHeight="true" outlineLevel="0" collapsed="false">
      <c r="B323" s="29" t="s">
        <v>467</v>
      </c>
      <c r="C323" s="36" t="n">
        <f aca="false">C313</f>
        <v>45.4552146351375</v>
      </c>
      <c r="D323" s="36" t="n">
        <f aca="false">D313</f>
        <v>57.4843288011978</v>
      </c>
      <c r="E323" s="36" t="n">
        <f aca="false">E313</f>
        <v>70.1057555354591</v>
      </c>
      <c r="F323" s="36" t="n">
        <f aca="false">F313</f>
        <v>60.4683499345438</v>
      </c>
      <c r="G323" s="36" t="n">
        <f aca="false">G313</f>
        <v>73.6461176012104</v>
      </c>
      <c r="H323" s="36" t="n">
        <f aca="false">H313</f>
        <v>98.1982060092661</v>
      </c>
      <c r="I323" s="36" t="n">
        <f aca="false">I313</f>
        <v>108.363400341244</v>
      </c>
      <c r="N323" s="36" t="n">
        <f aca="false">N313</f>
        <v>125.992244554965</v>
      </c>
      <c r="S323" s="36" t="n">
        <f aca="false">S313</f>
        <v>133.401339383196</v>
      </c>
      <c r="X323" s="36" t="n">
        <f aca="false">X313</f>
        <v>156.921787539339</v>
      </c>
      <c r="AC323" s="36" t="n">
        <f aca="false">AC313</f>
        <v>186.041948064579</v>
      </c>
      <c r="AH323" s="36" t="n">
        <f aca="false">AH313</f>
        <v>215.249667740636</v>
      </c>
      <c r="AM323" s="36" t="n">
        <f aca="false">AM313</f>
        <v>301.643509096625</v>
      </c>
      <c r="AR323" s="36" t="n">
        <f aca="false">AR313</f>
        <v>379.727021923484</v>
      </c>
      <c r="AW323" s="36" t="n">
        <f aca="false">AW313</f>
        <v>348.442140836771</v>
      </c>
      <c r="BB323" s="36" t="n">
        <f aca="false">BB313</f>
        <v>337.026072221734</v>
      </c>
      <c r="BG323" s="36" t="n">
        <f aca="false">BG313</f>
        <v>389.632566486702</v>
      </c>
      <c r="BL323" s="36" t="n">
        <f aca="false">BL313</f>
        <v>512.279726719529</v>
      </c>
      <c r="BQ323" s="36" t="n">
        <f aca="false">BQ313</f>
        <v>680.319241085264</v>
      </c>
      <c r="BV323" s="36" t="n">
        <f aca="false">BV313</f>
        <v>864.699428858245</v>
      </c>
      <c r="CA323" s="42" t="n">
        <f aca="false">CA313</f>
        <v>1083.57063821673</v>
      </c>
      <c r="CB323" s="42" t="n">
        <f aca="false">CB313</f>
        <v>1205.35420921896</v>
      </c>
      <c r="CC323" s="42" t="n">
        <f aca="false">CC313</f>
        <v>1353.38884094684</v>
      </c>
      <c r="CD323" s="42" t="n">
        <f aca="false">CD313</f>
        <v>1477.11568728161</v>
      </c>
      <c r="CE323" s="42" t="n">
        <f aca="false">CE313</f>
        <v>1611.27730270426</v>
      </c>
    </row>
    <row r="324" customFormat="false" ht="15" hidden="false" customHeight="true" outlineLevel="0" collapsed="false">
      <c r="B324" s="29" t="s">
        <v>477</v>
      </c>
      <c r="C324" s="36" t="n">
        <f aca="false">C245</f>
        <v>534.815</v>
      </c>
      <c r="D324" s="36" t="n">
        <f aca="false">D245</f>
        <v>631.302</v>
      </c>
      <c r="E324" s="36" t="n">
        <f aca="false">E245</f>
        <v>676.542</v>
      </c>
      <c r="F324" s="36" t="n">
        <f aca="false">F245</f>
        <v>732.91</v>
      </c>
      <c r="G324" s="36" t="n">
        <f aca="false">G245</f>
        <v>781.643</v>
      </c>
      <c r="H324" s="36" t="n">
        <f aca="false">H245</f>
        <v>941.069</v>
      </c>
      <c r="I324" s="36" t="n">
        <f aca="false">I245</f>
        <v>1192.846</v>
      </c>
      <c r="N324" s="36" t="n">
        <f aca="false">N245</f>
        <v>1533.015</v>
      </c>
      <c r="S324" s="36" t="n">
        <f aca="false">S245</f>
        <v>1489.214</v>
      </c>
      <c r="X324" s="36" t="n">
        <f aca="false">X245</f>
        <v>1736.387</v>
      </c>
      <c r="AC324" s="36" t="n">
        <f aca="false">AC245</f>
        <v>2039.475</v>
      </c>
      <c r="AH324" s="36" t="n">
        <f aca="false">AH245</f>
        <v>2512.431</v>
      </c>
      <c r="AM324" s="36" t="n">
        <f aca="false">AM245</f>
        <v>2653.396</v>
      </c>
      <c r="AR324" s="36" t="n">
        <f aca="false">AR245</f>
        <v>2969.211</v>
      </c>
      <c r="AW324" s="36" t="n">
        <f aca="false">AW245</f>
        <v>3547.711</v>
      </c>
      <c r="BB324" s="36" t="n">
        <f aca="false">BB245</f>
        <v>3498.407</v>
      </c>
      <c r="BG324" s="36" t="n">
        <f aca="false">BG245</f>
        <v>4095.496</v>
      </c>
      <c r="BL324" s="36" t="n">
        <f aca="false">BL245</f>
        <v>7195.063</v>
      </c>
      <c r="BQ324" s="36" t="n">
        <f aca="false">BQ245</f>
        <v>7592.822</v>
      </c>
      <c r="BV324" s="36" t="n">
        <f aca="false">BV245</f>
        <v>8500.434</v>
      </c>
      <c r="CA324" s="42" t="n">
        <f aca="false">CA245</f>
        <v>10072.690455883</v>
      </c>
      <c r="CB324" s="42" t="n">
        <f aca="false">CB245</f>
        <v>11268.8628492803</v>
      </c>
      <c r="CC324" s="42" t="n">
        <f aca="false">CC245</f>
        <v>12060.0884980934</v>
      </c>
      <c r="CD324" s="42" t="n">
        <f aca="false">CD245</f>
        <v>12923.5563712793</v>
      </c>
      <c r="CE324" s="42" t="n">
        <f aca="false">CE245</f>
        <v>13926.9259061392</v>
      </c>
    </row>
    <row r="325" customFormat="false" ht="15" hidden="false" customHeight="true" outlineLevel="0" collapsed="false">
      <c r="B325" s="29" t="s">
        <v>478</v>
      </c>
      <c r="C325" s="36" t="n">
        <f aca="false">-(C242+C243)</f>
        <v>-297.127</v>
      </c>
      <c r="D325" s="36" t="n">
        <f aca="false">-(D242+D243)</f>
        <v>-345.835</v>
      </c>
      <c r="E325" s="36" t="n">
        <f aca="false">-(E242+E243)</f>
        <v>-348.376</v>
      </c>
      <c r="F325" s="36" t="n">
        <f aca="false">-(F242+F243)</f>
        <v>-406.831</v>
      </c>
      <c r="G325" s="36" t="n">
        <f aca="false">-(G242+G243)</f>
        <v>-434.503</v>
      </c>
      <c r="H325" s="36" t="n">
        <f aca="false">-(H242+H243)</f>
        <v>-521.559</v>
      </c>
      <c r="I325" s="36" t="n">
        <f aca="false">-(I242+I243)</f>
        <v>-696.438</v>
      </c>
      <c r="N325" s="36" t="n">
        <f aca="false">-(N242+N243)</f>
        <v>-930.047</v>
      </c>
      <c r="S325" s="36" t="n">
        <f aca="false">-(S242+S243)</f>
        <v>-887.081</v>
      </c>
      <c r="X325" s="36" t="n">
        <f aca="false">-(X242+X243)</f>
        <v>-1039.232</v>
      </c>
      <c r="AC325" s="36" t="n">
        <f aca="false">-(AC242+AC243)</f>
        <v>-1232.58</v>
      </c>
      <c r="AH325" s="36" t="n">
        <f aca="false">-(AH242+AH243)</f>
        <v>-1619.387</v>
      </c>
      <c r="AM325" s="36" t="n">
        <f aca="false">-(AM242+AM243)</f>
        <v>-1621.192</v>
      </c>
      <c r="AR325" s="36" t="n">
        <f aca="false">-(AR242+AR243)</f>
        <v>-1819.396</v>
      </c>
      <c r="AW325" s="36" t="n">
        <f aca="false">-(AW242+AW243)</f>
        <v>-1962.208</v>
      </c>
      <c r="BB325" s="36" t="n">
        <f aca="false">-(BB242+BB243)</f>
        <v>-2032.702</v>
      </c>
      <c r="BG325" s="36" t="n">
        <f aca="false">-(BG242+BG243)</f>
        <v>-2405.752</v>
      </c>
      <c r="BL325" s="36" t="n">
        <f aca="false">-(BL242+BL243)</f>
        <v>-4631.608</v>
      </c>
      <c r="BQ325" s="36" t="n">
        <f aca="false">-(BQ242+BQ243)</f>
        <v>-4715.069</v>
      </c>
      <c r="BV325" s="36" t="n">
        <f aca="false">-(BV242+BV243)</f>
        <v>-5133.064</v>
      </c>
      <c r="CA325" s="42" t="n">
        <f aca="false">-(CA242+CA243)</f>
        <v>-6089.485</v>
      </c>
      <c r="CB325" s="42" t="n">
        <f aca="false">-(CB242+CB243)</f>
        <v>-6667.01833333333</v>
      </c>
      <c r="CC325" s="42" t="n">
        <f aca="false">-(CC242+CC243)</f>
        <v>-7228.31833333333</v>
      </c>
      <c r="CD325" s="42" t="n">
        <f aca="false">-(CD242+CD243)</f>
        <v>-7866.62666666667</v>
      </c>
      <c r="CE325" s="42" t="n">
        <f aca="false">-(CE242+CE243)</f>
        <v>-8486.585</v>
      </c>
    </row>
    <row r="326" customFormat="false" ht="15" hidden="false" customHeight="true" outlineLevel="0" collapsed="false">
      <c r="B326" s="29" t="s">
        <v>479</v>
      </c>
      <c r="C326" s="36" t="n">
        <f aca="false">-(C251-N(C247))</f>
        <v>-65.464</v>
      </c>
      <c r="D326" s="36" t="n">
        <f aca="false">-(D251-N(D247))</f>
        <v>-85.151</v>
      </c>
      <c r="E326" s="36" t="n">
        <f aca="false">-(E251-N(E247))</f>
        <v>-81.008</v>
      </c>
      <c r="F326" s="36" t="n">
        <f aca="false">-(F251-N(F247))</f>
        <v>-65.276</v>
      </c>
      <c r="G326" s="36" t="n">
        <f aca="false">-(G251-N(G247))</f>
        <v>-81.684</v>
      </c>
      <c r="H326" s="36" t="n">
        <f aca="false">-(H251-N(H247))</f>
        <v>-123.055</v>
      </c>
      <c r="I326" s="36" t="n">
        <f aca="false">-(I251-N(I247))</f>
        <v>-130.888</v>
      </c>
      <c r="N326" s="36" t="n">
        <f aca="false">-(N251-N(N247))</f>
        <v>-160.589</v>
      </c>
      <c r="S326" s="36" t="n">
        <f aca="false">-(S251-N(S247))</f>
        <v>-151.802</v>
      </c>
      <c r="X326" s="36" t="n">
        <f aca="false">-(X251-N(X247))</f>
        <v>-168.03</v>
      </c>
      <c r="AC326" s="36" t="n">
        <f aca="false">-(AC251-N(AC247))</f>
        <v>-214.01</v>
      </c>
      <c r="AH326" s="36" t="n">
        <f aca="false">-(AH251-N(AH247))</f>
        <v>-248.986</v>
      </c>
      <c r="AM326" s="36" t="n">
        <f aca="false">-(AM251-N(AM247))</f>
        <v>-281.57</v>
      </c>
      <c r="AR326" s="36" t="n">
        <f aca="false">-(AR251-N(AR247))</f>
        <v>-288.232</v>
      </c>
      <c r="AW326" s="36" t="n">
        <f aca="false">-(AW251-N(AW247))</f>
        <v>-240.116</v>
      </c>
      <c r="BB326" s="36" t="n">
        <f aca="false">-(BB251-N(BB247))</f>
        <v>-293.365</v>
      </c>
      <c r="BG326" s="36" t="n">
        <f aca="false">-(BG251-N(BG247))</f>
        <v>-419.205</v>
      </c>
      <c r="BL326" s="36" t="n">
        <f aca="false">-(BL251-N(BL247))</f>
        <v>-647.541</v>
      </c>
      <c r="BQ326" s="36" t="n">
        <f aca="false">-(BQ251-N(BQ247))</f>
        <v>-659.744</v>
      </c>
      <c r="BV326" s="36" t="n">
        <f aca="false">-(BV251-N(BV247))</f>
        <v>-828.646</v>
      </c>
      <c r="CA326" s="42" t="n">
        <f aca="false">-(CA251-N(CA247))</f>
        <v>-1021.41976220996</v>
      </c>
      <c r="CB326" s="42" t="n">
        <f aca="false">-(CB251-N(CB247))</f>
        <v>-1158.87535903614</v>
      </c>
      <c r="CC326" s="42" t="n">
        <f aca="false">-(CC251-N(CC247))</f>
        <v>-1283.39035363508</v>
      </c>
      <c r="CD326" s="42" t="n">
        <f aca="false">-(CD251-N(CD247))</f>
        <v>-1409.50830828391</v>
      </c>
      <c r="CE326" s="42" t="n">
        <f aca="false">-(CE251-N(CE247))</f>
        <v>-1546.7688265917</v>
      </c>
    </row>
    <row r="327" customFormat="false" ht="15" hidden="false" customHeight="true" outlineLevel="0" collapsed="false">
      <c r="B327" s="29" t="s">
        <v>480</v>
      </c>
      <c r="C327" s="36" t="n">
        <f aca="false">SUM(C324:C326)</f>
        <v>172.224</v>
      </c>
      <c r="D327" s="36" t="n">
        <f aca="false">SUM(D324:D326)</f>
        <v>200.316</v>
      </c>
      <c r="E327" s="36" t="n">
        <f aca="false">SUM(E324:E326)</f>
        <v>247.158</v>
      </c>
      <c r="F327" s="36" t="n">
        <f aca="false">SUM(F324:F326)</f>
        <v>260.803</v>
      </c>
      <c r="G327" s="36" t="n">
        <f aca="false">SUM(G324:G326)</f>
        <v>265.456</v>
      </c>
      <c r="H327" s="36" t="n">
        <f aca="false">SUM(H324:H326)</f>
        <v>296.455</v>
      </c>
      <c r="I327" s="36" t="n">
        <f aca="false">SUM(I324:I326)</f>
        <v>365.52</v>
      </c>
      <c r="N327" s="36" t="n">
        <f aca="false">SUM(N324:N326)</f>
        <v>442.379</v>
      </c>
      <c r="S327" s="36" t="n">
        <f aca="false">SUM(S324:S326)</f>
        <v>450.331</v>
      </c>
      <c r="X327" s="36" t="n">
        <f aca="false">SUM(X324:X326)</f>
        <v>529.125</v>
      </c>
      <c r="AC327" s="36" t="n">
        <f aca="false">SUM(AC324:AC326)</f>
        <v>592.885</v>
      </c>
      <c r="AH327" s="36" t="n">
        <f aca="false">SUM(AH324:AH326)</f>
        <v>644.058</v>
      </c>
      <c r="AM327" s="36" t="n">
        <f aca="false">SUM(AM324:AM326)</f>
        <v>750.634</v>
      </c>
      <c r="AR327" s="36" t="n">
        <f aca="false">SUM(AR324:AR326)</f>
        <v>861.583</v>
      </c>
      <c r="AW327" s="36" t="n">
        <f aca="false">SUM(AW324:AW326)</f>
        <v>1345.387</v>
      </c>
      <c r="BB327" s="36" t="n">
        <f aca="false">SUM(BB324:BB326)</f>
        <v>1172.34</v>
      </c>
      <c r="BG327" s="36" t="n">
        <f aca="false">SUM(BG324:BG326)</f>
        <v>1270.539</v>
      </c>
      <c r="BL327" s="36" t="n">
        <f aca="false">SUM(BL324:BL326)</f>
        <v>1915.914</v>
      </c>
      <c r="BQ327" s="36" t="n">
        <f aca="false">SUM(BQ324:BQ326)</f>
        <v>2218.009</v>
      </c>
      <c r="BV327" s="36" t="n">
        <f aca="false">SUM(BV324:BV326)</f>
        <v>2538.724</v>
      </c>
      <c r="CA327" s="42" t="n">
        <f aca="false">SUM(CA324:CA326)</f>
        <v>2961.78569367305</v>
      </c>
      <c r="CB327" s="42" t="n">
        <f aca="false">SUM(CB324:CB326)</f>
        <v>3442.96915691081</v>
      </c>
      <c r="CC327" s="42" t="n">
        <f aca="false">SUM(CC324:CC326)</f>
        <v>3548.37981112501</v>
      </c>
      <c r="CD327" s="42" t="n">
        <f aca="false">SUM(CD324:CD326)</f>
        <v>3647.42139632874</v>
      </c>
      <c r="CE327" s="42" t="n">
        <f aca="false">SUM(CE324:CE326)</f>
        <v>3893.57207954755</v>
      </c>
    </row>
    <row r="328" customFormat="false" ht="15" hidden="false" customHeight="true" outlineLevel="0" collapsed="false">
      <c r="B328" s="49" t="s">
        <v>481</v>
      </c>
      <c r="C328" s="68" t="n">
        <f aca="false">IFERROR(C323/C327,"n/a")</f>
        <v>0.263930779886296</v>
      </c>
      <c r="D328" s="68" t="n">
        <f aca="false">IFERROR(D323/D327,"n/a")</f>
        <v>0.286968234195959</v>
      </c>
      <c r="E328" s="68" t="n">
        <f aca="false">IFERROR(E323/E327,"n/a")</f>
        <v>0.283647527231403</v>
      </c>
      <c r="F328" s="68" t="n">
        <f aca="false">IFERROR(F323/F327,"n/a")</f>
        <v>0.231854502956422</v>
      </c>
      <c r="G328" s="68" t="n">
        <f aca="false">IFERROR(G323/G327,"n/a")</f>
        <v>0.277432484484097</v>
      </c>
      <c r="H328" s="68" t="n">
        <f aca="false">IFERROR(H323/H327,"n/a")</f>
        <v>0.331241524039959</v>
      </c>
      <c r="I328" s="68" t="n">
        <f aca="false">IFERROR(I323/I327,"n/a")</f>
        <v>0.296463669132316</v>
      </c>
      <c r="N328" s="68" t="n">
        <f aca="false">IFERROR(N323/N327,"n/a")</f>
        <v>0.284806115468783</v>
      </c>
      <c r="S328" s="68" t="n">
        <f aca="false">IFERROR(S323/S327,"n/a")</f>
        <v>0.296229527576818</v>
      </c>
      <c r="X328" s="68" t="n">
        <f aca="false">IFERROR(X323/X327,"n/a")</f>
        <v>0.296568462157977</v>
      </c>
      <c r="AC328" s="68" t="n">
        <f aca="false">IFERROR(AC323/AC327,"n/a")</f>
        <v>0.313790951136526</v>
      </c>
      <c r="AH328" s="68" t="n">
        <f aca="false">IFERROR(AH323/AH327,"n/a")</f>
        <v>0.334208514979453</v>
      </c>
      <c r="AM328" s="68" t="n">
        <f aca="false">IFERROR(AM323/AM327,"n/a")</f>
        <v>0.401851646870012</v>
      </c>
      <c r="AR328" s="68" t="n">
        <f aca="false">IFERROR(AR323/AR327,"n/a")</f>
        <v>0.440731794758582</v>
      </c>
      <c r="AW328" s="68" t="n">
        <f aca="false">IFERROR(AW323/AW327,"n/a")</f>
        <v>0.25899026884961</v>
      </c>
      <c r="BB328" s="68" t="n">
        <f aca="false">IFERROR(BB323/BB327,"n/a")</f>
        <v>0.287481508966455</v>
      </c>
      <c r="BG328" s="68" t="n">
        <f aca="false">IFERROR(BG323/BG327,"n/a")</f>
        <v>0.306667144012661</v>
      </c>
      <c r="BL328" s="68" t="n">
        <f aca="false">IFERROR(BL323/BL327,"n/a")</f>
        <v>0.267381378662888</v>
      </c>
      <c r="BQ328" s="68" t="n">
        <f aca="false">IFERROR(BQ323/BQ327,"n/a")</f>
        <v>0.306725194120161</v>
      </c>
      <c r="BV328" s="68" t="n">
        <f aca="false">IFERROR(BV323/BV327,"n/a")</f>
        <v>0.340603952559729</v>
      </c>
      <c r="CA328" s="68" t="n">
        <f aca="false">IFERROR(CA323/CA327,"n/a")</f>
        <v>0.365850453167982</v>
      </c>
      <c r="CB328" s="68" t="n">
        <f aca="false">IFERROR(CB323/CB327,"n/a")</f>
        <v>0.350091492048235</v>
      </c>
      <c r="CC328" s="68" t="n">
        <f aca="false">IFERROR(CC323/CC327,"n/a")</f>
        <v>0.381410365571251</v>
      </c>
      <c r="CD328" s="68" t="n">
        <f aca="false">IFERROR(CD323/CD327,"n/a")</f>
        <v>0.40497533100189</v>
      </c>
      <c r="CE328" s="68" t="n">
        <f aca="false">IFERROR(CE323/CE327,"n/a")</f>
        <v>0.413830094778032</v>
      </c>
      <c r="CH328" s="33" t="n">
        <f aca="false">IFERROR(AVERAGE(CA328,CB328,CC328,CD328,CE328),"n/m")</f>
        <v>0.383231547313478</v>
      </c>
      <c r="CI328" s="33" t="n">
        <f aca="false">IFERROR(AVERAGE(BB328,BG328,BL328,BQ328,BV328),"n/m")</f>
        <v>0.301771835664379</v>
      </c>
      <c r="CJ328" s="33" t="n">
        <f aca="false">IFERROR(AVERAGE(AC328,AH328,AM328,AR328,AW328,BB328,BG328,BL328,BQ328,BV328),"n/m")</f>
        <v>0.325843235491608</v>
      </c>
      <c r="CK328" s="33" t="n">
        <f aca="false">IFERROR(AVERAGE(C328,D328,E328,F328,G328,H328,I328,N328,S328,X328,AC328,AH328,AM328,AR328,AW328,BB328,BG328,BL328,BQ328,BV328),"n/m")</f>
        <v>0.305378759102305</v>
      </c>
    </row>
    <row r="329" customFormat="false" ht="15" hidden="false" customHeight="true" outlineLevel="0" collapsed="false">
      <c r="B329" s="65" t="s">
        <v>482</v>
      </c>
    </row>
    <row r="330" customFormat="false" ht="15" hidden="false" customHeight="true" outlineLevel="0" collapsed="false">
      <c r="B330" s="29" t="s">
        <v>229</v>
      </c>
      <c r="C330" s="36" t="n">
        <f aca="false">C111</f>
        <v>31.888</v>
      </c>
      <c r="D330" s="36" t="n">
        <f aca="false">D111</f>
        <v>39.005</v>
      </c>
      <c r="E330" s="36" t="n">
        <f aca="false">E111</f>
        <v>48.511</v>
      </c>
      <c r="F330" s="36" t="n">
        <f aca="false">F111</f>
        <v>44.626</v>
      </c>
      <c r="G330" s="36" t="n">
        <f aca="false">G111</f>
        <v>54.938</v>
      </c>
      <c r="H330" s="36" t="n">
        <f aca="false">H111</f>
        <v>72.82</v>
      </c>
      <c r="I330" s="36" t="n">
        <f aca="false">I111</f>
        <v>85.1470000000001</v>
      </c>
      <c r="N330" s="36" t="n">
        <f aca="false">N111</f>
        <v>102.396</v>
      </c>
      <c r="S330" s="36" t="n">
        <f aca="false">S111</f>
        <v>121.293</v>
      </c>
      <c r="X330" s="36" t="n">
        <f aca="false">X111</f>
        <v>133.364</v>
      </c>
      <c r="AC330" s="36" t="n">
        <f aca="false">AC111</f>
        <v>156.192</v>
      </c>
      <c r="AH330" s="36" t="n">
        <f aca="false">AH111</f>
        <v>185.985</v>
      </c>
      <c r="AM330" s="36" t="n">
        <f aca="false">AM111</f>
        <v>259.233</v>
      </c>
      <c r="AR330" s="36" t="n">
        <f aca="false">AR111</f>
        <v>327.896</v>
      </c>
      <c r="AW330" s="36" t="n">
        <f aca="false">AW111</f>
        <v>313.984</v>
      </c>
      <c r="BB330" s="36" t="n">
        <f aca="false">BB111</f>
        <v>304.22</v>
      </c>
      <c r="BG330" s="36" t="n">
        <f aca="false">BG111</f>
        <v>351.675</v>
      </c>
      <c r="BL330" s="36" t="n">
        <f aca="false">BL111</f>
        <v>403.596</v>
      </c>
      <c r="BQ330" s="36" t="n">
        <f aca="false">BQ111</f>
        <v>514.109</v>
      </c>
      <c r="BV330" s="36" t="n">
        <f aca="false">BV111</f>
        <v>690.385</v>
      </c>
      <c r="CA330" s="42" t="n">
        <f aca="false">CA111</f>
        <v>900.343841373962</v>
      </c>
      <c r="CB330" s="42" t="n">
        <f aca="false">CB111</f>
        <v>1023.54687092633</v>
      </c>
      <c r="CC330" s="42" t="n">
        <f aca="false">CC111</f>
        <v>1161.12155560081</v>
      </c>
      <c r="CD330" s="42" t="n">
        <f aca="false">CD111</f>
        <v>1276.10601343744</v>
      </c>
      <c r="CE330" s="42" t="n">
        <f aca="false">CE111</f>
        <v>1400.78793226789</v>
      </c>
    </row>
    <row r="331" customFormat="false" ht="15" hidden="false" customHeight="true" outlineLevel="0" collapsed="false">
      <c r="B331" s="29" t="s">
        <v>483</v>
      </c>
      <c r="C331" s="36" t="n">
        <f aca="false">C261</f>
        <v>317.258</v>
      </c>
      <c r="D331" s="36" t="n">
        <f aca="false">D261</f>
        <v>371.601</v>
      </c>
      <c r="E331" s="36" t="n">
        <f aca="false">E261</f>
        <v>417.76</v>
      </c>
      <c r="F331" s="36" t="n">
        <f aca="false">F261</f>
        <v>412.99</v>
      </c>
      <c r="G331" s="36" t="n">
        <f aca="false">G261</f>
        <v>469.112</v>
      </c>
      <c r="H331" s="36" t="n">
        <f aca="false">H261</f>
        <v>529.071</v>
      </c>
      <c r="I331" s="36" t="n">
        <f aca="false">I261</f>
        <v>616.673</v>
      </c>
      <c r="N331" s="36" t="n">
        <f aca="false">N261</f>
        <v>606.346</v>
      </c>
      <c r="S331" s="36" t="n">
        <f aca="false">S261</f>
        <v>699.484</v>
      </c>
      <c r="X331" s="36" t="n">
        <f aca="false">X261</f>
        <v>809.863</v>
      </c>
      <c r="AC331" s="36" t="n">
        <f aca="false">AC261</f>
        <v>963.379</v>
      </c>
      <c r="AH331" s="36" t="n">
        <f aca="false">AH261</f>
        <v>1161.08</v>
      </c>
      <c r="AM331" s="36" t="n">
        <f aca="false">AM261</f>
        <v>1398.251</v>
      </c>
      <c r="AR331" s="36" t="n">
        <f aca="false">AR261</f>
        <v>1666.542</v>
      </c>
      <c r="AW331" s="36" t="n">
        <f aca="false">AW261</f>
        <v>1980.177</v>
      </c>
      <c r="BB331" s="36" t="n">
        <f aca="false">BB261</f>
        <v>2263.071</v>
      </c>
      <c r="BG331" s="36" t="n">
        <f aca="false">BG261</f>
        <v>2606.136</v>
      </c>
      <c r="BL331" s="36" t="n">
        <f aca="false">BL261</f>
        <v>3145.995</v>
      </c>
      <c r="BQ331" s="36" t="n">
        <f aca="false">BQ261</f>
        <v>3636.877</v>
      </c>
      <c r="BV331" s="36" t="n">
        <f aca="false">BV261</f>
        <v>4305.319</v>
      </c>
      <c r="CA331" s="42" t="n">
        <f aca="false">CA261</f>
        <v>5201.41956871371</v>
      </c>
      <c r="CB331" s="42" t="n">
        <f aca="false">CB261</f>
        <v>6236.78996379701</v>
      </c>
      <c r="CC331" s="42" t="n">
        <f aca="false">CC261</f>
        <v>6877.01623240741</v>
      </c>
      <c r="CD331" s="42" t="n">
        <f aca="false">CD261</f>
        <v>7585.25904879122</v>
      </c>
      <c r="CE331" s="42" t="n">
        <f aca="false">CE261</f>
        <v>8283.75241194447</v>
      </c>
    </row>
    <row r="332" customFormat="false" ht="15" hidden="false" customHeight="true" outlineLevel="0" collapsed="false">
      <c r="B332" s="49" t="s">
        <v>484</v>
      </c>
      <c r="C332" s="68" t="n">
        <f aca="false">IFERROR(C330/C331,"n/a")</f>
        <v>0.100511255823336</v>
      </c>
      <c r="D332" s="68" t="n">
        <f aca="false">IFERROR(D330/D331,"n/a")</f>
        <v>0.104964733679403</v>
      </c>
      <c r="E332" s="68" t="n">
        <f aca="false">IFERROR(E330/E331,"n/a")</f>
        <v>0.116121696667943</v>
      </c>
      <c r="F332" s="68" t="n">
        <f aca="false">IFERROR(F330/F331,"n/a")</f>
        <v>0.108055885130391</v>
      </c>
      <c r="G332" s="68" t="n">
        <f aca="false">IFERROR(G330/G331,"n/a")</f>
        <v>0.117110626033868</v>
      </c>
      <c r="H332" s="68" t="n">
        <f aca="false">IFERROR(H330/H331,"n/a")</f>
        <v>0.137637481547845</v>
      </c>
      <c r="I332" s="68" t="n">
        <f aca="false">IFERROR(I330/I331,"n/a")</f>
        <v>0.138074798150722</v>
      </c>
      <c r="N332" s="68" t="n">
        <f aca="false">IFERROR(N330/N331,"n/a")</f>
        <v>0.168873877291183</v>
      </c>
      <c r="S332" s="68" t="n">
        <f aca="false">IFERROR(S330/S331,"n/a")</f>
        <v>0.17340353746476</v>
      </c>
      <c r="X332" s="68" t="n">
        <f aca="false">IFERROR(X330/X331,"n/a")</f>
        <v>0.164674765978937</v>
      </c>
      <c r="AC332" s="68" t="n">
        <f aca="false">IFERROR(AC330/AC331,"n/a")</f>
        <v>0.162129338505407</v>
      </c>
      <c r="AH332" s="68" t="n">
        <f aca="false">IFERROR(AH330/AH331,"n/a")</f>
        <v>0.160182760877804</v>
      </c>
      <c r="AM332" s="68" t="n">
        <f aca="false">IFERROR(AM330/AM331,"n/a")</f>
        <v>0.185398043698878</v>
      </c>
      <c r="AR332" s="68" t="n">
        <f aca="false">IFERROR(AR330/AR331,"n/a")</f>
        <v>0.196752317073317</v>
      </c>
      <c r="AW332" s="68" t="n">
        <f aca="false">IFERROR(AW330/AW331,"n/a")</f>
        <v>0.158563603152647</v>
      </c>
      <c r="BB332" s="68" t="n">
        <f aca="false">IFERROR(BB330/BB331,"n/a")</f>
        <v>0.134427952105789</v>
      </c>
      <c r="BG332" s="68" t="n">
        <f aca="false">IFERROR(BG330/BG331,"n/a")</f>
        <v>0.13494115426056</v>
      </c>
      <c r="BL332" s="68" t="n">
        <f aca="false">IFERROR(BL330/BL331,"n/a")</f>
        <v>0.128288824362404</v>
      </c>
      <c r="BQ332" s="68" t="n">
        <f aca="false">IFERROR(BQ330/BQ331,"n/a")</f>
        <v>0.141360018499388</v>
      </c>
      <c r="BV332" s="68" t="n">
        <f aca="false">IFERROR(BV330/BV331,"n/a")</f>
        <v>0.160356294156136</v>
      </c>
      <c r="CA332" s="68" t="n">
        <f aca="false">IFERROR(CA330/CA331,"n/a")</f>
        <v>0.173095792308217</v>
      </c>
      <c r="CB332" s="68" t="n">
        <f aca="false">IFERROR(CB330/CB331,"n/a")</f>
        <v>0.164114372436423</v>
      </c>
      <c r="CC332" s="68" t="n">
        <f aca="false">IFERROR(CC330/CC331,"n/a")</f>
        <v>0.168840892090543</v>
      </c>
      <c r="CD332" s="68" t="n">
        <f aca="false">IFERROR(CD330/CD331,"n/a")</f>
        <v>0.168234994379104</v>
      </c>
      <c r="CE332" s="68" t="n">
        <f aca="false">IFERROR(CE330/CE331,"n/a")</f>
        <v>0.169100651807033</v>
      </c>
      <c r="CH332" s="33" t="n">
        <f aca="false">IFERROR(AVERAGE(CA332,CB332,CC332,CD332,CE332),"n/m")</f>
        <v>0.168677340604264</v>
      </c>
      <c r="CI332" s="33" t="n">
        <f aca="false">IFERROR(AVERAGE(BB332,BG332,BL332,BQ332,BV332),"n/m")</f>
        <v>0.139874848676855</v>
      </c>
      <c r="CJ332" s="33" t="n">
        <f aca="false">IFERROR(AVERAGE(AC332,AH332,AM332,AR332,AW332,BB332,BG332,BL332,BQ332,BV332),"n/m")</f>
        <v>0.156240030669233</v>
      </c>
      <c r="CK332" s="33" t="n">
        <f aca="false">IFERROR(AVERAGE(C332,D332,E332,F332,G332,H332,I332,N332,S332,X332,AC332,AH332,AM332,AR332,AW332,BB332,BG332,BL332,BQ332,BV332),"n/m")</f>
        <v>0.144591448223036</v>
      </c>
    </row>
    <row r="333" customFormat="false" ht="15" hidden="false" customHeight="true" outlineLevel="0" collapsed="false">
      <c r="B333" s="65" t="s">
        <v>485</v>
      </c>
    </row>
    <row r="334" customFormat="false" ht="15" hidden="false" customHeight="true" outlineLevel="0" collapsed="false">
      <c r="B334" s="29" t="s">
        <v>486</v>
      </c>
      <c r="C334" s="36" t="n">
        <f aca="false">IFERROR(C287-C235,"n/a")</f>
        <v>50.062</v>
      </c>
      <c r="D334" s="36" t="n">
        <f aca="false">IFERROR(D287-D235,"n/a")</f>
        <v>51.005</v>
      </c>
      <c r="E334" s="36" t="n">
        <f aca="false">IFERROR(E287-E235,"n/a")</f>
        <v>25.039</v>
      </c>
      <c r="F334" s="36" t="n">
        <f aca="false">IFERROR(F287-F235,"n/a")</f>
        <v>48.264</v>
      </c>
      <c r="G334" s="36" t="n">
        <f aca="false">IFERROR(G287-G235,"n/a")</f>
        <v>7.678</v>
      </c>
      <c r="H334" s="36" t="n">
        <f aca="false">IFERROR(H287-H235,"n/a")</f>
        <v>22.658</v>
      </c>
      <c r="I334" s="36" t="n">
        <f aca="false">IFERROR(I287-I235,"n/a")</f>
        <v>110.369</v>
      </c>
      <c r="J334" s="36" t="n">
        <f aca="false">IFERROR(J287-J235,"n/a")</f>
        <v>235.792</v>
      </c>
      <c r="K334" s="36" t="n">
        <f aca="false">IFERROR(K287-K235,"n/a")</f>
        <v>211.668</v>
      </c>
      <c r="L334" s="36" t="n">
        <f aca="false">IFERROR(L287-L235,"n/a")</f>
        <v>306.768</v>
      </c>
      <c r="M334" s="36" t="n">
        <f aca="false">IFERROR(M287-M235,"n/a")</f>
        <v>362.016</v>
      </c>
      <c r="N334" s="36" t="n">
        <f aca="false">IFERROR(N287-N235,"n/a")</f>
        <v>362.016</v>
      </c>
      <c r="O334" s="36" t="n">
        <f aca="false">IFERROR(O287-O235,"n/a")</f>
        <v>364.046</v>
      </c>
      <c r="P334" s="36" t="n">
        <f aca="false">IFERROR(P287-P235,"n/a")</f>
        <v>415.191</v>
      </c>
      <c r="Q334" s="36" t="n">
        <f aca="false">IFERROR(Q287-Q235,"n/a")</f>
        <v>365.389</v>
      </c>
      <c r="R334" s="36" t="n">
        <f aca="false">IFERROR(R287-R235,"n/a")</f>
        <v>308.88</v>
      </c>
      <c r="S334" s="36" t="n">
        <f aca="false">IFERROR(S287-S235,"n/a")</f>
        <v>308.88</v>
      </c>
      <c r="T334" s="36" t="n">
        <f aca="false">IFERROR(T287-T235,"n/a")</f>
        <v>336.543</v>
      </c>
      <c r="U334" s="36" t="n">
        <f aca="false">IFERROR(U287-U235,"n/a")</f>
        <v>306.138</v>
      </c>
      <c r="V334" s="36" t="n">
        <f aca="false">IFERROR(V287-V235,"n/a")</f>
        <v>267.772</v>
      </c>
      <c r="W334" s="36" t="n">
        <f aca="false">IFERROR(W287-W235,"n/a")</f>
        <v>333.995</v>
      </c>
      <c r="X334" s="36" t="n">
        <f aca="false">IFERROR(X287-X235,"n/a")</f>
        <v>333.995</v>
      </c>
      <c r="Y334" s="36" t="n">
        <f aca="false">IFERROR(Y287-Y235,"n/a")</f>
        <v>565.035</v>
      </c>
      <c r="Z334" s="36" t="n">
        <f aca="false">IFERROR(Z287-Z235,"n/a")</f>
        <v>526.141</v>
      </c>
      <c r="AA334" s="36" t="n">
        <f aca="false">IFERROR(AA287-AA235,"n/a")</f>
        <v>482.714</v>
      </c>
      <c r="AB334" s="36" t="n">
        <f aca="false">IFERROR(AB287-AB235,"n/a")</f>
        <v>415.27</v>
      </c>
      <c r="AC334" s="36" t="n">
        <f aca="false">IFERROR(AC287-AC235,"n/a")</f>
        <v>415.27</v>
      </c>
      <c r="AD334" s="36" t="n">
        <f aca="false">IFERROR(AD287-AD235,"n/a")</f>
        <v>371.424</v>
      </c>
      <c r="AE334" s="36" t="n">
        <f aca="false">IFERROR(AE287-AE235,"n/a")</f>
        <v>424.14</v>
      </c>
      <c r="AF334" s="36" t="n">
        <f aca="false">IFERROR(AF287-AF235,"n/a")</f>
        <v>385.273</v>
      </c>
      <c r="AG334" s="36" t="n">
        <f aca="false">IFERROR(AG287-AG235,"n/a")</f>
        <v>621.913</v>
      </c>
      <c r="AH334" s="36" t="n">
        <f aca="false">IFERROR(AH287-AH235,"n/a")</f>
        <v>621.913</v>
      </c>
      <c r="AI334" s="36" t="n">
        <f aca="false">IFERROR(AI287-AI235,"n/a")</f>
        <v>603.324</v>
      </c>
      <c r="AJ334" s="36" t="n">
        <f aca="false">IFERROR(AJ287-AJ235,"n/a")</f>
        <v>635.615</v>
      </c>
      <c r="AK334" s="36" t="n">
        <f aca="false">IFERROR(AK287-AK235,"n/a")</f>
        <v>556.837</v>
      </c>
      <c r="AL334" s="36" t="n">
        <f aca="false">IFERROR(AL287-AL235,"n/a")</f>
        <v>472.871</v>
      </c>
      <c r="AM334" s="36" t="n">
        <f aca="false">IFERROR(AM287-AM235,"n/a")</f>
        <v>472.871</v>
      </c>
      <c r="AN334" s="36" t="n">
        <f aca="false">IFERROR(AN287-AN235,"n/a")</f>
        <v>550.665</v>
      </c>
      <c r="AO334" s="36" t="n">
        <f aca="false">IFERROR(AO287-AO235,"n/a")</f>
        <v>492.292</v>
      </c>
      <c r="AP334" s="36" t="n">
        <f aca="false">IFERROR(AP287-AP235,"n/a")</f>
        <v>581.141</v>
      </c>
      <c r="AQ334" s="36" t="n">
        <f aca="false">IFERROR(AQ287-AQ235,"n/a")</f>
        <v>504.954</v>
      </c>
      <c r="AR334" s="36" t="n">
        <f aca="false">IFERROR(AR287-AR235,"n/a")</f>
        <v>504.954</v>
      </c>
      <c r="AS334" s="36" t="n">
        <f aca="false">IFERROR(AS287-AS235,"n/a")</f>
        <v>504.825</v>
      </c>
      <c r="AT334" s="36" t="n">
        <f aca="false">IFERROR(AT287-AT235,"n/a")</f>
        <v>393.427</v>
      </c>
      <c r="AU334" s="36" t="n">
        <f aca="false">IFERROR(AU287-AU235,"n/a")</f>
        <v>344.811</v>
      </c>
      <c r="AV334" s="36" t="n">
        <f aca="false">IFERROR(AV287-AV235,"n/a")</f>
        <v>332.979</v>
      </c>
      <c r="AW334" s="36" t="n">
        <f aca="false">IFERROR(AW287-AW235,"n/a")</f>
        <v>332.979</v>
      </c>
      <c r="AX334" s="36" t="n">
        <f aca="false">IFERROR(AX287-AX235,"n/a")</f>
        <v>270.281</v>
      </c>
      <c r="AY334" s="36" t="n">
        <f aca="false">IFERROR(AY287-AY235,"n/a")</f>
        <v>199.019</v>
      </c>
      <c r="AZ334" s="36" t="n">
        <f aca="false">IFERROR(AZ287-AZ235,"n/a")</f>
        <v>117.057</v>
      </c>
      <c r="BA334" s="36" t="n">
        <f aca="false">IFERROR(BA287-BA235,"n/a")</f>
        <v>128.2</v>
      </c>
      <c r="BB334" s="36" t="n">
        <f aca="false">IFERROR(BB287-BB235,"n/a")</f>
        <v>128.2</v>
      </c>
      <c r="BC334" s="36" t="n">
        <f aca="false">IFERROR(BC287-BC235,"n/a")</f>
        <v>112.316</v>
      </c>
      <c r="BD334" s="36" t="n">
        <f aca="false">IFERROR(BD287-BD235,"n/a")</f>
        <v>148.558</v>
      </c>
      <c r="BE334" s="36" t="n">
        <f aca="false">IFERROR(BE287-BE235,"n/a")</f>
        <v>112.152</v>
      </c>
      <c r="BF334" s="36" t="n">
        <f aca="false">IFERROR(BF287-BF235,"n/a")</f>
        <v>150.77</v>
      </c>
      <c r="BG334" s="36" t="n">
        <f aca="false">IFERROR(BG287-BG235,"n/a")</f>
        <v>150.77</v>
      </c>
      <c r="BH334" s="36" t="n">
        <f aca="false">IFERROR(BH287-BH235,"n/a")</f>
        <v>640.17</v>
      </c>
      <c r="BI334" s="36" t="n">
        <f aca="false">IFERROR(BI287-BI235,"n/a")</f>
        <v>610.236</v>
      </c>
      <c r="BJ334" s="36" t="n">
        <f aca="false">IFERROR(BJ287-BJ235,"n/a")</f>
        <v>520.998</v>
      </c>
      <c r="BK334" s="36" t="n">
        <f aca="false">IFERROR(BK287-BK235,"n/a")</f>
        <v>2307.03</v>
      </c>
      <c r="BL334" s="36" t="n">
        <f aca="false">IFERROR(BL287-BL235,"n/a")</f>
        <v>2307.03</v>
      </c>
      <c r="BM334" s="36" t="n">
        <f aca="false">IFERROR(BM287-BM235,"n/a")</f>
        <v>2304.142</v>
      </c>
      <c r="BN334" s="36" t="n">
        <f aca="false">IFERROR(BN287-BN235,"n/a")</f>
        <v>2185.488</v>
      </c>
      <c r="BO334" s="36" t="n">
        <f aca="false">IFERROR(BO287-BO235,"n/a")</f>
        <v>2056.157</v>
      </c>
      <c r="BP334" s="36" t="n">
        <f aca="false">IFERROR(BP287-BP235,"n/a")</f>
        <v>2067.271</v>
      </c>
      <c r="BQ334" s="36" t="n">
        <f aca="false">IFERROR(BQ287-BQ235,"n/a")</f>
        <v>2067.271</v>
      </c>
      <c r="BR334" s="36" t="n">
        <f aca="false">IFERROR(BR287-BR235,"n/a")</f>
        <v>2188.164</v>
      </c>
      <c r="BS334" s="36" t="n">
        <f aca="false">IFERROR(BS287-BS235,"n/a")</f>
        <v>2035.842</v>
      </c>
      <c r="BT334" s="36" t="n">
        <f aca="false">IFERROR(BT287-BT235,"n/a")</f>
        <v>2185.735</v>
      </c>
      <c r="BU334" s="36" t="n">
        <f aca="false">IFERROR(BU287-BU235,"n/a")</f>
        <v>1950.164</v>
      </c>
      <c r="BV334" s="36" t="n">
        <f aca="false">IFERROR(BV287-BV235,"n/a")</f>
        <v>1950.164</v>
      </c>
      <c r="BW334" s="36" t="n">
        <f aca="false">IFERROR(BW287-BW235,"n/a")</f>
        <v>2246.71</v>
      </c>
      <c r="BX334" s="36" t="n">
        <f aca="false">IFERROR(BX287-BX235,"n/a")</f>
        <v>2376.955</v>
      </c>
      <c r="BY334" s="36" t="n">
        <f aca="false">IFERROR(BY287-BY235,"n/a")</f>
        <v>2300.214</v>
      </c>
      <c r="CA334" s="42" t="n">
        <f aca="false">IFERROR(CA287-CA235,"n/a")</f>
        <v>2042.08096443938</v>
      </c>
      <c r="CB334" s="42" t="n">
        <f aca="false">IFERROR(CB287-CB235,"n/a")</f>
        <v>1821.15578834123</v>
      </c>
      <c r="CC334" s="42" t="n">
        <f aca="false">IFERROR(CC287-CC235,"n/a")</f>
        <v>1969.95928169098</v>
      </c>
      <c r="CD334" s="42" t="n">
        <f aca="false">IFERROR(CD287-CD235,"n/a")</f>
        <v>2143.49050110176</v>
      </c>
      <c r="CE334" s="42" t="n">
        <f aca="false">IFERROR(CE287-CE235,"n/a")</f>
        <v>2331.83764226797</v>
      </c>
    </row>
    <row r="335" customFormat="false" ht="15" hidden="false" customHeight="true" outlineLevel="0" collapsed="false">
      <c r="B335" s="29" t="s">
        <v>487</v>
      </c>
      <c r="C335" s="36" t="n">
        <f aca="false">C147</f>
        <v>78.071</v>
      </c>
      <c r="D335" s="36" t="n">
        <f aca="false">D147</f>
        <v>98.276</v>
      </c>
      <c r="E335" s="36" t="n">
        <f aca="false">E147</f>
        <v>122.038</v>
      </c>
      <c r="F335" s="36" t="n">
        <f aca="false">F147</f>
        <v>103.727</v>
      </c>
      <c r="G335" s="36" t="n">
        <f aca="false">G147</f>
        <v>128.598</v>
      </c>
      <c r="H335" s="36" t="n">
        <f aca="false">H147</f>
        <v>160.875</v>
      </c>
      <c r="I335" s="36" t="n">
        <f aca="false">I147</f>
        <v>194.382</v>
      </c>
      <c r="J335" s="36" t="n">
        <f aca="false">J147</f>
        <v>0</v>
      </c>
      <c r="K335" s="36" t="n">
        <f aca="false">K147</f>
        <v>0</v>
      </c>
      <c r="L335" s="36" t="n">
        <f aca="false">L147</f>
        <v>0</v>
      </c>
      <c r="M335" s="36" t="n">
        <f aca="false">M147</f>
        <v>219.628</v>
      </c>
      <c r="N335" s="36" t="n">
        <f aca="false">N147</f>
        <v>219.628</v>
      </c>
      <c r="O335" s="36" t="n">
        <f aca="false">O147</f>
        <v>231.97</v>
      </c>
      <c r="P335" s="36" t="n">
        <f aca="false">P147</f>
        <v>239.261</v>
      </c>
      <c r="Q335" s="36" t="n">
        <f aca="false">Q147</f>
        <v>242.599</v>
      </c>
      <c r="R335" s="36" t="n">
        <f aca="false">R147</f>
        <v>238.644</v>
      </c>
      <c r="S335" s="36" t="n">
        <f aca="false">S147</f>
        <v>238.644</v>
      </c>
      <c r="T335" s="36" t="n">
        <f aca="false">T147</f>
        <v>240.624</v>
      </c>
      <c r="U335" s="36" t="n">
        <f aca="false">U147</f>
        <v>248.572</v>
      </c>
      <c r="V335" s="36" t="n">
        <f aca="false">V147</f>
        <v>258.163</v>
      </c>
      <c r="W335" s="36" t="n">
        <f aca="false">W147</f>
        <v>277.79</v>
      </c>
      <c r="X335" s="36" t="n">
        <f aca="false">X147</f>
        <v>277.79</v>
      </c>
      <c r="Y335" s="36" t="n">
        <f aca="false">Y147</f>
        <v>290.322</v>
      </c>
      <c r="Z335" s="36" t="n">
        <f aca="false">Z147</f>
        <v>306.469</v>
      </c>
      <c r="AA335" s="36" t="n">
        <f aca="false">AA147</f>
        <v>321.818</v>
      </c>
      <c r="AB335" s="36" t="n">
        <f aca="false">AB147</f>
        <v>331.762</v>
      </c>
      <c r="AC335" s="36" t="n">
        <f aca="false">AC147</f>
        <v>331.762</v>
      </c>
      <c r="AD335" s="36" t="n">
        <f aca="false">AD147</f>
        <v>342.522</v>
      </c>
      <c r="AE335" s="36" t="n">
        <f aca="false">AE147</f>
        <v>351.623</v>
      </c>
      <c r="AF335" s="36" t="n">
        <f aca="false">AF147</f>
        <v>358.189</v>
      </c>
      <c r="AG335" s="36" t="n">
        <f aca="false">AG147</f>
        <v>373.673</v>
      </c>
      <c r="AH335" s="36" t="n">
        <f aca="false">AH147</f>
        <v>373.673</v>
      </c>
      <c r="AI335" s="36" t="n">
        <f aca="false">AI147</f>
        <v>388.603</v>
      </c>
      <c r="AJ335" s="36" t="n">
        <f aca="false">AJ147</f>
        <v>406.426</v>
      </c>
      <c r="AK335" s="36" t="n">
        <f aca="false">AK147</f>
        <v>428.934</v>
      </c>
      <c r="AL335" s="36" t="n">
        <f aca="false">AL147</f>
        <v>444.758</v>
      </c>
      <c r="AM335" s="36" t="n">
        <f aca="false">AM147</f>
        <v>453.378</v>
      </c>
      <c r="AN335" s="36" t="n">
        <f aca="false">AN147</f>
        <v>468.523</v>
      </c>
      <c r="AO335" s="36" t="n">
        <f aca="false">AO147</f>
        <v>501.563</v>
      </c>
      <c r="AP335" s="36" t="n">
        <f aca="false">AP147</f>
        <v>527.693</v>
      </c>
      <c r="AQ335" s="36" t="n">
        <f aca="false">AQ147</f>
        <v>545.663</v>
      </c>
      <c r="AR335" s="36" t="n">
        <f aca="false">AR147</f>
        <v>545.663</v>
      </c>
      <c r="AS335" s="36" t="n">
        <f aca="false">AS147</f>
        <v>559.325</v>
      </c>
      <c r="AT335" s="36" t="n">
        <f aca="false">AT147</f>
        <v>546.625</v>
      </c>
      <c r="AU335" s="36" t="n">
        <f aca="false">AU147</f>
        <v>495.205</v>
      </c>
      <c r="AV335" s="36" t="n">
        <f aca="false">AV147</f>
        <v>467.09</v>
      </c>
      <c r="AW335" s="36" t="n">
        <f aca="false">AW147</f>
        <v>467.09</v>
      </c>
      <c r="AX335" s="36" t="n">
        <f aca="false">AX147</f>
        <v>438.345</v>
      </c>
      <c r="AY335" s="36" t="n">
        <f aca="false">AY147</f>
        <v>427.822</v>
      </c>
      <c r="AZ335" s="36" t="n">
        <f aca="false">AZ147</f>
        <v>462.335</v>
      </c>
      <c r="BA335" s="36" t="n">
        <f aca="false">BA147</f>
        <v>488.608</v>
      </c>
      <c r="BB335" s="36" t="n">
        <f aca="false">BB147</f>
        <v>488.608</v>
      </c>
      <c r="BC335" s="36" t="n">
        <f aca="false">BC147</f>
        <v>506.333</v>
      </c>
      <c r="BD335" s="36" t="n">
        <f aca="false">BD147</f>
        <v>531.053</v>
      </c>
      <c r="BE335" s="36" t="n">
        <f aca="false">BE147</f>
        <v>556.741</v>
      </c>
      <c r="BF335" s="36" t="n">
        <f aca="false">BF147</f>
        <v>586.111</v>
      </c>
      <c r="BG335" s="36" t="n">
        <f aca="false">BG147</f>
        <v>586.111</v>
      </c>
      <c r="BH335" s="36" t="n">
        <f aca="false">BH147</f>
        <v>627.524</v>
      </c>
      <c r="BI335" s="36" t="n">
        <f aca="false">BI147</f>
        <v>661.213</v>
      </c>
      <c r="BJ335" s="36" t="n">
        <f aca="false">BJ147</f>
        <v>693.662</v>
      </c>
      <c r="BK335" s="36" t="n">
        <f aca="false">BK147</f>
        <v>770.167</v>
      </c>
      <c r="BL335" s="36" t="n">
        <f aca="false">BL147</f>
        <v>770.167</v>
      </c>
      <c r="BM335" s="36" t="n">
        <f aca="false">BM147</f>
        <v>832.087</v>
      </c>
      <c r="BN335" s="36" t="n">
        <f aca="false">BN147</f>
        <v>899.504</v>
      </c>
      <c r="BO335" s="36" t="n">
        <f aca="false">BO147</f>
        <v>978.673</v>
      </c>
      <c r="BP335" s="36" t="n">
        <f aca="false">BP147</f>
        <v>999.846</v>
      </c>
      <c r="BQ335" s="36" t="n">
        <f aca="false">BQ147</f>
        <v>999.846</v>
      </c>
      <c r="BR335" s="36" t="n">
        <f aca="false">BR147</f>
        <v>1051.594</v>
      </c>
      <c r="BS335" s="36" t="n">
        <f aca="false">BS147</f>
        <v>1106.714</v>
      </c>
      <c r="BT335" s="36" t="n">
        <f aca="false">BT147</f>
        <v>1163.521</v>
      </c>
      <c r="BU335" s="36" t="n">
        <f aca="false">BU147</f>
        <v>1232.427</v>
      </c>
      <c r="BV335" s="36" t="n">
        <f aca="false">BV147</f>
        <v>1232.427</v>
      </c>
      <c r="BW335" s="36" t="n">
        <f aca="false">BW147</f>
        <v>1269.366</v>
      </c>
      <c r="BX335" s="36" t="n">
        <f aca="false">BX147</f>
        <v>1378.825</v>
      </c>
      <c r="BY335" s="36" t="n">
        <f aca="false">BY147</f>
        <v>1478.865</v>
      </c>
      <c r="CA335" s="42" t="n">
        <f aca="false">CA147</f>
        <v>1566.84426791634</v>
      </c>
      <c r="CB335" s="42" t="n">
        <f aca="false">CB147</f>
        <v>1768.12610188809</v>
      </c>
      <c r="CC335" s="42" t="n">
        <f aca="false">CC147</f>
        <v>1969.95928169098</v>
      </c>
      <c r="CD335" s="42" t="n">
        <f aca="false">CD147</f>
        <v>2143.49050110176</v>
      </c>
      <c r="CE335" s="42" t="n">
        <f aca="false">CE147</f>
        <v>2331.83764226798</v>
      </c>
    </row>
    <row r="336" customFormat="false" ht="15" hidden="false" customHeight="true" outlineLevel="0" collapsed="false">
      <c r="B336" s="49" t="s">
        <v>488</v>
      </c>
      <c r="C336" s="69" t="n">
        <f aca="false">IFERROR(C334/C335,"n/a")</f>
        <v>0.641236822891983</v>
      </c>
      <c r="D336" s="69" t="n">
        <f aca="false">IFERROR(D334/D335,"n/a")</f>
        <v>0.518997517196467</v>
      </c>
      <c r="E336" s="69" t="n">
        <f aca="false">IFERROR(E334/E335,"n/a")</f>
        <v>0.205173798325112</v>
      </c>
      <c r="F336" s="69" t="n">
        <f aca="false">IFERROR(F334/F335,"n/a")</f>
        <v>0.465298331196313</v>
      </c>
      <c r="G336" s="69" t="n">
        <f aca="false">IFERROR(G334/G335,"n/a")</f>
        <v>0.0597054386537894</v>
      </c>
      <c r="H336" s="69" t="n">
        <f aca="false">IFERROR(H334/H335,"n/a")</f>
        <v>0.140842268842269</v>
      </c>
      <c r="I336" s="69" t="n">
        <f aca="false">IFERROR(I334/I335,"n/a")</f>
        <v>0.567794343097612</v>
      </c>
      <c r="J336" s="69" t="str">
        <f aca="false">IFERROR(J334/J335,"n/a")</f>
        <v>n/a</v>
      </c>
      <c r="K336" s="69" t="str">
        <f aca="false">IFERROR(K334/K335,"n/a")</f>
        <v>n/a</v>
      </c>
      <c r="L336" s="69" t="str">
        <f aca="false">IFERROR(L334/L335,"n/a")</f>
        <v>n/a</v>
      </c>
      <c r="M336" s="69" t="n">
        <f aca="false">IFERROR(M334/M335,"n/a")</f>
        <v>1.64831442256907</v>
      </c>
      <c r="N336" s="69" t="n">
        <f aca="false">IFERROR(N334/N335,"n/a")</f>
        <v>1.64831442256907</v>
      </c>
      <c r="O336" s="69" t="n">
        <f aca="false">IFERROR(O334/O335,"n/a")</f>
        <v>1.56936672845627</v>
      </c>
      <c r="P336" s="69" t="n">
        <f aca="false">IFERROR(P334/P335,"n/a")</f>
        <v>1.73530579576279</v>
      </c>
      <c r="Q336" s="69" t="n">
        <f aca="false">IFERROR(Q334/Q335,"n/a")</f>
        <v>1.50614388352796</v>
      </c>
      <c r="R336" s="69" t="n">
        <f aca="false">IFERROR(R334/R335,"n/a")</f>
        <v>1.29431286770252</v>
      </c>
      <c r="S336" s="69" t="n">
        <f aca="false">IFERROR(S334/S335,"n/a")</f>
        <v>1.29431286770252</v>
      </c>
      <c r="T336" s="69" t="n">
        <f aca="false">IFERROR(T334/T335,"n/a")</f>
        <v>1.39862607221225</v>
      </c>
      <c r="U336" s="69" t="n">
        <f aca="false">IFERROR(U334/U335,"n/a")</f>
        <v>1.23158682393834</v>
      </c>
      <c r="V336" s="69" t="n">
        <f aca="false">IFERROR(V334/V335,"n/a")</f>
        <v>1.03722067066156</v>
      </c>
      <c r="W336" s="69" t="n">
        <f aca="false">IFERROR(W334/W335,"n/a")</f>
        <v>1.20232909751971</v>
      </c>
      <c r="X336" s="69" t="n">
        <f aca="false">IFERROR(X334/X335,"n/a")</f>
        <v>1.20232909751971</v>
      </c>
      <c r="Y336" s="69" t="n">
        <f aca="false">IFERROR(Y334/Y335,"n/a")</f>
        <v>1.94623555913779</v>
      </c>
      <c r="Z336" s="69" t="n">
        <f aca="false">IFERROR(Z334/Z335,"n/a")</f>
        <v>1.71678375300601</v>
      </c>
      <c r="AA336" s="69" t="n">
        <f aca="false">IFERROR(AA334/AA335,"n/a")</f>
        <v>1.49995960449695</v>
      </c>
      <c r="AB336" s="69" t="n">
        <f aca="false">IFERROR(AB334/AB335,"n/a")</f>
        <v>1.2517105635968</v>
      </c>
      <c r="AC336" s="69" t="n">
        <f aca="false">IFERROR(AC334/AC335,"n/a")</f>
        <v>1.2517105635968</v>
      </c>
      <c r="AD336" s="69" t="n">
        <f aca="false">IFERROR(AD334/AD335,"n/a")</f>
        <v>1.08437998143185</v>
      </c>
      <c r="AE336" s="69" t="n">
        <f aca="false">IFERROR(AE334/AE335,"n/a")</f>
        <v>1.2062350870108</v>
      </c>
      <c r="AF336" s="69" t="n">
        <f aca="false">IFERROR(AF334/AF335,"n/a")</f>
        <v>1.07561371231389</v>
      </c>
      <c r="AG336" s="69" t="n">
        <f aca="false">IFERROR(AG334/AG335,"n/a")</f>
        <v>1.66432415507677</v>
      </c>
      <c r="AH336" s="69" t="n">
        <f aca="false">IFERROR(AH334/AH335,"n/a")</f>
        <v>1.66432415507676</v>
      </c>
      <c r="AI336" s="69" t="n">
        <f aca="false">IFERROR(AI334/AI335,"n/a")</f>
        <v>1.55254591446798</v>
      </c>
      <c r="AJ336" s="69" t="n">
        <f aca="false">IFERROR(AJ334/AJ335,"n/a")</f>
        <v>1.56391323389744</v>
      </c>
      <c r="AK336" s="69" t="n">
        <f aca="false">IFERROR(AK334/AK335,"n/a")</f>
        <v>1.2981880662293</v>
      </c>
      <c r="AL336" s="69" t="n">
        <f aca="false">IFERROR(AL334/AL335,"n/a")</f>
        <v>1.06320965558798</v>
      </c>
      <c r="AM336" s="69" t="n">
        <f aca="false">IFERROR(AM334/AM335,"n/a")</f>
        <v>1.04299502843102</v>
      </c>
      <c r="AN336" s="69" t="n">
        <f aca="false">IFERROR(AN334/AN335,"n/a")</f>
        <v>1.17532116886471</v>
      </c>
      <c r="AO336" s="69" t="n">
        <f aca="false">IFERROR(AO334/AO335,"n/a")</f>
        <v>0.98151578166651</v>
      </c>
      <c r="AP336" s="69" t="n">
        <f aca="false">IFERROR(AP334/AP335,"n/a")</f>
        <v>1.10128616449337</v>
      </c>
      <c r="AQ336" s="69" t="n">
        <f aca="false">IFERROR(AQ334/AQ335,"n/a")</f>
        <v>0.92539534474575</v>
      </c>
      <c r="AR336" s="69" t="n">
        <f aca="false">IFERROR(AR334/AR335,"n/a")</f>
        <v>0.92539534474575</v>
      </c>
      <c r="AS336" s="69" t="n">
        <f aca="false">IFERROR(AS334/AS335,"n/a")</f>
        <v>0.902561122781925</v>
      </c>
      <c r="AT336" s="69" t="n">
        <f aca="false">IFERROR(AT334/AT335,"n/a")</f>
        <v>0.719738394694718</v>
      </c>
      <c r="AU336" s="69" t="n">
        <f aca="false">IFERROR(AU334/AU335,"n/a")</f>
        <v>0.696299512323179</v>
      </c>
      <c r="AV336" s="69" t="n">
        <f aca="false">IFERROR(AV334/AV335,"n/a")</f>
        <v>0.712879744802929</v>
      </c>
      <c r="AW336" s="69" t="n">
        <f aca="false">IFERROR(AW334/AW335,"n/a")</f>
        <v>0.712879744802929</v>
      </c>
      <c r="AX336" s="69" t="n">
        <f aca="false">IFERROR(AX334/AX335,"n/a")</f>
        <v>0.616594235134426</v>
      </c>
      <c r="AY336" s="69" t="n">
        <f aca="false">IFERROR(AY334/AY335,"n/a")</f>
        <v>0.465191130890884</v>
      </c>
      <c r="AZ336" s="69" t="n">
        <f aca="false">IFERROR(AZ334/AZ335,"n/a")</f>
        <v>0.253186542225875</v>
      </c>
      <c r="BA336" s="69" t="n">
        <f aca="false">IFERROR(BA334/BA335,"n/a")</f>
        <v>0.262378020826511</v>
      </c>
      <c r="BB336" s="69" t="n">
        <f aca="false">IFERROR(BB334/BB335,"n/a")</f>
        <v>0.262378020826511</v>
      </c>
      <c r="BC336" s="69" t="n">
        <f aca="false">IFERROR(BC334/BC335,"n/a")</f>
        <v>0.221822397513099</v>
      </c>
      <c r="BD336" s="69" t="n">
        <f aca="false">IFERROR(BD334/BD335,"n/a")</f>
        <v>0.279742323270935</v>
      </c>
      <c r="BE336" s="69" t="n">
        <f aca="false">IFERROR(BE334/BE335,"n/a")</f>
        <v>0.201443759306392</v>
      </c>
      <c r="BF336" s="69" t="n">
        <f aca="false">IFERROR(BF334/BF335,"n/a")</f>
        <v>0.257237963457434</v>
      </c>
      <c r="BG336" s="69" t="n">
        <f aca="false">IFERROR(BG334/BG335,"n/a")</f>
        <v>0.257237963457434</v>
      </c>
      <c r="BH336" s="69" t="n">
        <f aca="false">IFERROR(BH334/BH335,"n/a")</f>
        <v>1.02015221728571</v>
      </c>
      <c r="BI336" s="69" t="n">
        <f aca="false">IFERROR(BI334/BI335,"n/a")</f>
        <v>0.922903814655792</v>
      </c>
      <c r="BJ336" s="69" t="n">
        <f aca="false">IFERROR(BJ334/BJ335,"n/a")</f>
        <v>0.751083380666665</v>
      </c>
      <c r="BK336" s="69" t="n">
        <f aca="false">IFERROR(BK334/BK335,"n/a")</f>
        <v>2.99549318524424</v>
      </c>
      <c r="BL336" s="69" t="n">
        <f aca="false">IFERROR(BL334/BL335,"n/a")</f>
        <v>2.99549318524424</v>
      </c>
      <c r="BM336" s="69" t="n">
        <f aca="false">IFERROR(BM334/BM335,"n/a")</f>
        <v>2.76911188373331</v>
      </c>
      <c r="BN336" s="69" t="n">
        <f aca="false">IFERROR(BN334/BN335,"n/a")</f>
        <v>2.42965901207777</v>
      </c>
      <c r="BO336" s="69" t="n">
        <f aca="false">IFERROR(BO334/BO335,"n/a")</f>
        <v>2.10096426487703</v>
      </c>
      <c r="BP336" s="69" t="n">
        <f aca="false">IFERROR(BP334/BP335,"n/a")</f>
        <v>2.06758940876895</v>
      </c>
      <c r="BQ336" s="69" t="n">
        <f aca="false">IFERROR(BQ334/BQ335,"n/a")</f>
        <v>2.06758940876895</v>
      </c>
      <c r="BR336" s="69" t="n">
        <f aca="false">IFERROR(BR334/BR335,"n/a")</f>
        <v>2.08080685131334</v>
      </c>
      <c r="BS336" s="69" t="n">
        <f aca="false">IFERROR(BS334/BS335,"n/a")</f>
        <v>1.83953758604301</v>
      </c>
      <c r="BT336" s="69" t="n">
        <f aca="false">IFERROR(BT334/BT335,"n/a")</f>
        <v>1.8785522564698</v>
      </c>
      <c r="BU336" s="69" t="n">
        <f aca="false">IFERROR(BU334/BU335,"n/a")</f>
        <v>1.58237688723145</v>
      </c>
      <c r="BV336" s="69" t="n">
        <f aca="false">IFERROR(BV334/BV335,"n/a")</f>
        <v>1.58237688723146</v>
      </c>
      <c r="BW336" s="69" t="n">
        <f aca="false">IFERROR(BW334/BW335,"n/a")</f>
        <v>1.76994657175314</v>
      </c>
      <c r="BX336" s="69" t="n">
        <f aca="false">IFERROR(BX334/BX335,"n/a")</f>
        <v>1.72389897195075</v>
      </c>
      <c r="BY336" s="69" t="n">
        <f aca="false">IFERROR(BY334/BY335,"n/a")</f>
        <v>1.55539146575245</v>
      </c>
      <c r="CA336" s="69" t="n">
        <f aca="false">IFERROR(CA334/CA335,"n/a")</f>
        <v>1.3033081884743</v>
      </c>
      <c r="CB336" s="69" t="n">
        <f aca="false">IFERROR(CB334/CB335,"n/a")</f>
        <v>1.02999202737662</v>
      </c>
      <c r="CC336" s="69" t="n">
        <f aca="false">IFERROR(CC334/CC335,"n/a")</f>
        <v>1</v>
      </c>
      <c r="CD336" s="69" t="n">
        <f aca="false">IFERROR(CD334/CD335,"n/a")</f>
        <v>1</v>
      </c>
      <c r="CE336" s="69" t="n">
        <f aca="false">IFERROR(CE334/CE335,"n/a")</f>
        <v>1</v>
      </c>
    </row>
    <row r="337" customFormat="false" ht="15" hidden="false" customHeight="true" outlineLevel="0" collapsed="false"/>
    <row r="338" customFormat="false" ht="15" hidden="false" customHeight="true" outlineLevel="0" collapsed="false">
      <c r="B338" s="11" t="s">
        <v>489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 t="s">
        <v>490</v>
      </c>
    </row>
    <row r="339" customFormat="false" ht="15" hidden="false" customHeight="true" outlineLevel="0" collapsed="false">
      <c r="B339" s="67" t="s">
        <v>491</v>
      </c>
      <c r="CA339" s="59" t="n">
        <v>302.45</v>
      </c>
      <c r="CB339" s="56" t="n">
        <f aca="false">$CA$339</f>
        <v>302.45</v>
      </c>
      <c r="CC339" s="56" t="n">
        <f aca="false">$CA$339</f>
        <v>302.45</v>
      </c>
      <c r="CD339" s="56" t="n">
        <f aca="false">$CA$339</f>
        <v>302.45</v>
      </c>
      <c r="CE339" s="56" t="n">
        <f aca="false">$CA$339</f>
        <v>302.45</v>
      </c>
      <c r="CF339" s="19" t="s">
        <v>492</v>
      </c>
    </row>
    <row r="340" customFormat="false" ht="15" hidden="false" customHeight="true" outlineLevel="0" collapsed="false">
      <c r="B340" s="29" t="s">
        <v>493</v>
      </c>
      <c r="CA340" s="48" t="n">
        <f aca="false">CA229+CA283</f>
        <v>141.374405</v>
      </c>
      <c r="CB340" s="48" t="n">
        <f aca="false">CB229+CB283</f>
        <v>141.674405</v>
      </c>
      <c r="CC340" s="48" t="n">
        <f aca="false">CC229+CC283</f>
        <v>140.512348192728</v>
      </c>
      <c r="CD340" s="48" t="n">
        <f aca="false">CD229+CD283</f>
        <v>139.360031747321</v>
      </c>
      <c r="CE340" s="48" t="n">
        <f aca="false">CE229+CE283</f>
        <v>138.029616253798</v>
      </c>
    </row>
    <row r="341" customFormat="false" ht="15" hidden="false" customHeight="true" outlineLevel="0" collapsed="false">
      <c r="B341" s="29" t="s">
        <v>494</v>
      </c>
      <c r="CA341" s="42" t="n">
        <f aca="false">IFERROR(CA339*CA340,"n/a")</f>
        <v>42758.68879225</v>
      </c>
      <c r="CB341" s="42" t="n">
        <f aca="false">IFERROR(CB339*CB340,"n/a")</f>
        <v>42849.42379225</v>
      </c>
      <c r="CC341" s="42" t="n">
        <f aca="false">IFERROR(CC339*CC340,"n/a")</f>
        <v>42497.9597108905</v>
      </c>
      <c r="CD341" s="42" t="n">
        <f aca="false">IFERROR(CD339*CD340,"n/a")</f>
        <v>42149.4416019772</v>
      </c>
      <c r="CE341" s="42" t="n">
        <f aca="false">IFERROR(CE339*CE340,"n/a")</f>
        <v>41747.0574359613</v>
      </c>
    </row>
    <row r="342" customFormat="false" ht="15" hidden="false" customHeight="true" outlineLevel="0" collapsed="false">
      <c r="B342" s="29" t="s">
        <v>495</v>
      </c>
      <c r="CA342" s="42" t="n">
        <f aca="false">CA334</f>
        <v>2042.08096443938</v>
      </c>
      <c r="CB342" s="42" t="n">
        <f aca="false">CB334</f>
        <v>1821.15578834123</v>
      </c>
      <c r="CC342" s="42" t="n">
        <f aca="false">CC334</f>
        <v>1969.95928169098</v>
      </c>
      <c r="CD342" s="42" t="n">
        <f aca="false">CD334</f>
        <v>2143.49050110176</v>
      </c>
      <c r="CE342" s="42" t="n">
        <f aca="false">CE334</f>
        <v>2331.83764226797</v>
      </c>
    </row>
    <row r="343" customFormat="false" ht="15" hidden="false" customHeight="true" outlineLevel="0" collapsed="false">
      <c r="B343" s="29" t="s">
        <v>496</v>
      </c>
      <c r="CA343" s="42" t="n">
        <f aca="false">N(CA256)+N(CA262)</f>
        <v>700.631124959343</v>
      </c>
      <c r="CB343" s="42" t="n">
        <f aca="false">N(CB256)+N(CB262)</f>
        <v>723.977526447133</v>
      </c>
      <c r="CC343" s="42" t="n">
        <f aca="false">N(CC256)+N(CC262)</f>
        <v>750.46191205094</v>
      </c>
      <c r="CD343" s="42" t="n">
        <f aca="false">N(CD256)+N(CD262)</f>
        <v>779.569014204191</v>
      </c>
      <c r="CE343" s="42" t="n">
        <f aca="false">N(CE256)+N(CE262)</f>
        <v>811.520025335102</v>
      </c>
    </row>
    <row r="344" customFormat="false" ht="15" hidden="false" customHeight="true" outlineLevel="0" collapsed="false">
      <c r="B344" s="16" t="s">
        <v>497</v>
      </c>
      <c r="CA344" s="18" t="n">
        <f aca="false">IFERROR(CA341+CA342+CA343,"n/a")</f>
        <v>45501.4008816487</v>
      </c>
      <c r="CB344" s="18" t="n">
        <f aca="false">IFERROR(CB341+CB342+CB343,"n/a")</f>
        <v>45394.5571070384</v>
      </c>
      <c r="CC344" s="18" t="n">
        <f aca="false">IFERROR(CC341+CC342+CC343,"n/a")</f>
        <v>45218.3809046324</v>
      </c>
      <c r="CD344" s="18" t="n">
        <f aca="false">IFERROR(CD341+CD342+CD343,"n/a")</f>
        <v>45072.5011172831</v>
      </c>
      <c r="CE344" s="18" t="n">
        <f aca="false">IFERROR(CE341+CE342+CE343,"n/a")</f>
        <v>44890.4151035644</v>
      </c>
    </row>
    <row r="345" customFormat="false" ht="15" hidden="false" customHeight="true" outlineLevel="0" collapsed="false">
      <c r="B345" s="65" t="s">
        <v>498</v>
      </c>
    </row>
    <row r="346" customFormat="false" ht="15" hidden="false" customHeight="true" outlineLevel="0" collapsed="false">
      <c r="B346" s="29" t="s">
        <v>499</v>
      </c>
      <c r="CA346" s="64" t="n">
        <f aca="false">IFERROR(CA344/CA98,"n/a")</f>
        <v>8.35871005596728</v>
      </c>
      <c r="CB346" s="64" t="n">
        <f aca="false">IFERROR(CB344/CB98,"n/a")</f>
        <v>7.32590873074923</v>
      </c>
      <c r="CC346" s="64" t="n">
        <f aca="false">IFERROR(CC344/CC98,"n/a")</f>
        <v>6.57471816699596</v>
      </c>
      <c r="CD346" s="64" t="n">
        <f aca="false">IFERROR(CD344/CD98,"n/a")</f>
        <v>5.95601586594356</v>
      </c>
      <c r="CE346" s="64" t="n">
        <f aca="false">IFERROR(CE344/CE98,"n/a")</f>
        <v>5.39648173930222</v>
      </c>
    </row>
    <row r="347" customFormat="false" ht="15" hidden="false" customHeight="true" outlineLevel="0" collapsed="false">
      <c r="B347" s="29" t="s">
        <v>500</v>
      </c>
      <c r="CA347" s="64" t="n">
        <f aca="false">IFERROR(CA344/CA140,"n/a")</f>
        <v>29.0401553066652</v>
      </c>
      <c r="CB347" s="64" t="n">
        <f aca="false">IFERROR(CB344/CB140,"n/a")</f>
        <v>25.6738232971981</v>
      </c>
      <c r="CC347" s="64" t="n">
        <f aca="false">IFERROR(CC344/CC140,"n/a")</f>
        <v>22.9539672849571</v>
      </c>
      <c r="CD347" s="64" t="n">
        <f aca="false">IFERROR(CD344/CD140,"n/a")</f>
        <v>21.0276187807297</v>
      </c>
      <c r="CE347" s="64" t="n">
        <f aca="false">IFERROR(CE344/CE140,"n/a")</f>
        <v>19.2510894797561</v>
      </c>
    </row>
    <row r="348" customFormat="false" ht="15" hidden="false" customHeight="true" outlineLevel="0" collapsed="false">
      <c r="B348" s="29" t="s">
        <v>501</v>
      </c>
      <c r="CA348" s="64" t="n">
        <f aca="false">IFERROR(CA344/CA145,"n/a")</f>
        <v>33.9664226769693</v>
      </c>
      <c r="CB348" s="64" t="n">
        <f aca="false">IFERROR(CB344/CB145,"n/a")</f>
        <v>29.9403052016387</v>
      </c>
      <c r="CC348" s="64" t="n">
        <f aca="false">IFERROR(CC344/CC145,"n/a")</f>
        <v>26.5619249483636</v>
      </c>
      <c r="CD348" s="64" t="n">
        <f aca="false">IFERROR(CD344/CD145,"n/a")</f>
        <v>24.2585186094559</v>
      </c>
      <c r="CE348" s="64" t="n">
        <f aca="false">IFERROR(CE344/CE145,"n/a")</f>
        <v>22.1488132101392</v>
      </c>
    </row>
    <row r="349" customFormat="false" ht="15" hidden="false" customHeight="true" outlineLevel="0" collapsed="false">
      <c r="B349" s="29" t="s">
        <v>502</v>
      </c>
      <c r="CA349" s="64" t="n">
        <f aca="false">IFERROR(CA344/CA314,"n/a")</f>
        <v>5.72767457034569</v>
      </c>
      <c r="CB349" s="64" t="n">
        <f aca="false">IFERROR(CB344/CB314,"n/a")</f>
        <v>5.16909060430219</v>
      </c>
      <c r="CC349" s="64" t="n">
        <f aca="false">IFERROR(CC344/CC314,"n/a")</f>
        <v>4.71150567561188</v>
      </c>
      <c r="CD349" s="64" t="n">
        <f aca="false">IFERROR(CD344/CD314,"n/a")</f>
        <v>4.28922104353386</v>
      </c>
      <c r="CE349" s="64" t="n">
        <f aca="false">IFERROR(CE344/CE314,"n/a")</f>
        <v>3.92841364011274</v>
      </c>
    </row>
    <row r="350" customFormat="false" ht="15" hidden="false" customHeight="true" outlineLevel="0" collapsed="false">
      <c r="B350" s="29" t="s">
        <v>503</v>
      </c>
      <c r="CA350" s="64" t="n">
        <f aca="false">IFERROR(CA339/CA120,"n/a")</f>
        <v>47.4190658897028</v>
      </c>
      <c r="CB350" s="64" t="n">
        <f aca="false">IFERROR(CB339/CB120,"n/a")</f>
        <v>41.819341652143</v>
      </c>
      <c r="CC350" s="64" t="n">
        <f aca="false">IFERROR(CC339/CC120,"n/a")</f>
        <v>36.7521312008449</v>
      </c>
      <c r="CD350" s="64" t="n">
        <f aca="false">IFERROR(CD339/CD120,"n/a")</f>
        <v>33.1662888590477</v>
      </c>
      <c r="CE350" s="64" t="n">
        <f aca="false">IFERROR(CE339/CE120,"n/a")</f>
        <v>29.9461813973901</v>
      </c>
    </row>
    <row r="351" customFormat="false" ht="15" hidden="false" customHeight="true" outlineLevel="0" collapsed="false">
      <c r="B351" s="29" t="s">
        <v>504</v>
      </c>
      <c r="CA351" s="64" t="n">
        <f aca="false">IFERROR(CA339/CA163,"n/a")</f>
        <v>47.0818182933887</v>
      </c>
      <c r="CB351" s="64" t="n">
        <f aca="false">IFERROR(CB339/CB163,"n/a")</f>
        <v>41.819341652143</v>
      </c>
      <c r="CC351" s="64" t="n">
        <f aca="false">IFERROR(CC339/CC163,"n/a")</f>
        <v>36.7521312008449</v>
      </c>
      <c r="CD351" s="64" t="n">
        <f aca="false">IFERROR(CD339/CD163,"n/a")</f>
        <v>33.1662888590477</v>
      </c>
      <c r="CE351" s="64" t="n">
        <f aca="false">IFERROR(CE339/CE163,"n/a")</f>
        <v>29.9461813973901</v>
      </c>
    </row>
    <row r="352" customFormat="false" ht="15" hidden="false" customHeight="true" outlineLevel="0" collapsed="false">
      <c r="B352" s="29" t="s">
        <v>505</v>
      </c>
      <c r="CA352" s="23" t="n">
        <f aca="false">IFERROR(CA214/CA341,"n/a")</f>
        <v>0.0241531492889528</v>
      </c>
      <c r="CB352" s="23" t="n">
        <f aca="false">IFERROR(CB214/CB341,"n/a")</f>
        <v>0.0259781349137843</v>
      </c>
      <c r="CC352" s="23" t="n">
        <f aca="false">IFERROR(CC214/CC341,"n/a")</f>
        <v>0.0303287410243652</v>
      </c>
      <c r="CD352" s="23" t="n">
        <f aca="false">IFERROR(CD214/CD341,"n/a")</f>
        <v>0.03375582135334</v>
      </c>
      <c r="CE352" s="23" t="n">
        <f aca="false">IFERROR(CE214/CE341,"n/a")</f>
        <v>0.0372492711876239</v>
      </c>
    </row>
    <row r="353" customFormat="false" ht="15" hidden="false" customHeight="true" outlineLevel="0" collapsed="false">
      <c r="B353" s="29" t="s">
        <v>506</v>
      </c>
      <c r="CA353" s="23" t="n">
        <f aca="false">IFERROR(CA123/CA339,"n/a")</f>
        <v>0.000826582906265499</v>
      </c>
      <c r="CB353" s="23" t="n">
        <f aca="false">IFERROR(CB123/CB339,"n/a")</f>
        <v>0.000892709538766738</v>
      </c>
      <c r="CC353" s="23" t="n">
        <f aca="false">IFERROR(CC123/CC339,"n/a")</f>
        <v>0.000964126301868078</v>
      </c>
      <c r="CD353" s="23" t="n">
        <f aca="false">IFERROR(CD123/CD339,"n/a")</f>
        <v>0.00104125640601752</v>
      </c>
      <c r="CE353" s="23" t="n">
        <f aca="false">IFERROR(CE123/CE339,"n/a")</f>
        <v>0.00112455691849893</v>
      </c>
    </row>
    <row r="354" customFormat="false" ht="15" hidden="false" customHeight="true" outlineLevel="0" collapsed="false"/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6" activeCellId="0" sqref="H26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2.14"/>
    <col collapsed="false" customWidth="true" hidden="false" outlineLevel="0" max="2" min="2" style="1" width="63.86"/>
    <col collapsed="false" customWidth="true" hidden="false" outlineLevel="0" max="8" min="3" style="1" width="11.86"/>
    <col collapsed="false" customWidth="true" hidden="false" outlineLevel="0" max="9" min="9" style="1" width="13.29"/>
    <col collapsed="false" customWidth="true" hidden="false" outlineLevel="0" max="12" min="10" style="1" width="12.57"/>
    <col collapsed="false" customWidth="true" hidden="false" outlineLevel="0" max="13" min="13" style="1" width="3.86"/>
    <col collapsed="false" customWidth="true" hidden="false" outlineLevel="0" max="14" min="14" style="1" width="63.86"/>
    <col collapsed="false" customWidth="true" hidden="false" outlineLevel="0" max="20" min="15" style="1" width="11.86"/>
    <col collapsed="false" customWidth="true" hidden="false" outlineLevel="0" max="21" min="21" style="1" width="13.29"/>
    <col collapsed="false" customWidth="true" hidden="false" outlineLevel="0" max="24" min="22" style="1" width="12.57"/>
    <col collapsed="false" customWidth="true" hidden="false" outlineLevel="0" max="25" min="25" style="1" width="3.86"/>
    <col collapsed="false" customWidth="true" hidden="false" outlineLevel="0" max="26" min="26" style="1" width="63.86"/>
    <col collapsed="false" customWidth="true" hidden="false" outlineLevel="0" max="32" min="27" style="1" width="11.86"/>
    <col collapsed="false" customWidth="true" hidden="false" outlineLevel="0" max="33" min="33" style="1" width="13.29"/>
    <col collapsed="false" customWidth="true" hidden="false" outlineLevel="0" max="36" min="34" style="1" width="12.57"/>
  </cols>
  <sheetData>
    <row r="2" customFormat="false" ht="19.5" hidden="false" customHeight="true" outlineLevel="0" collapsed="false">
      <c r="B2" s="70" t="s">
        <v>507</v>
      </c>
      <c r="J2" s="71" t="s">
        <v>508</v>
      </c>
      <c r="K2" s="72" t="n">
        <f aca="false">Model!$CA$339</f>
        <v>302.45</v>
      </c>
    </row>
    <row r="3" customFormat="false" ht="15" hidden="false" customHeight="true" outlineLevel="0" collapsed="false">
      <c r="B3" s="73" t="s">
        <v>509</v>
      </c>
      <c r="J3" s="71" t="s">
        <v>510</v>
      </c>
      <c r="K3" s="74" t="n">
        <f aca="true">TODAY()</f>
        <v>46301</v>
      </c>
    </row>
    <row r="5" customFormat="false" ht="15" hidden="false" customHeight="true" outlineLevel="0" collapsed="false">
      <c r="B5" s="75" t="s">
        <v>511</v>
      </c>
      <c r="C5" s="76" t="str">
        <f aca="false">Model!$CF$2</f>
        <v>Base</v>
      </c>
      <c r="N5" s="77" t="s">
        <v>511</v>
      </c>
      <c r="O5" s="78" t="s">
        <v>80</v>
      </c>
      <c r="P5" s="73" t="s">
        <v>512</v>
      </c>
      <c r="Z5" s="77" t="s">
        <v>511</v>
      </c>
      <c r="AA5" s="78" t="s">
        <v>81</v>
      </c>
      <c r="AB5" s="73" t="s">
        <v>513</v>
      </c>
    </row>
    <row r="7" customFormat="false" ht="31.5" hidden="false" customHeight="true" outlineLevel="0" collapsed="false">
      <c r="B7" s="79" t="s">
        <v>514</v>
      </c>
      <c r="C7" s="80" t="s">
        <v>515</v>
      </c>
      <c r="D7" s="80" t="s">
        <v>64</v>
      </c>
      <c r="E7" s="80" t="s">
        <v>65</v>
      </c>
      <c r="F7" s="80" t="s">
        <v>66</v>
      </c>
      <c r="G7" s="80" t="s">
        <v>67</v>
      </c>
      <c r="H7" s="80" t="s">
        <v>68</v>
      </c>
      <c r="I7" s="80" t="s">
        <v>516</v>
      </c>
      <c r="J7" s="81" t="s">
        <v>517</v>
      </c>
      <c r="K7" s="81" t="s">
        <v>518</v>
      </c>
      <c r="L7" s="81" t="s">
        <v>519</v>
      </c>
      <c r="N7" s="79" t="s">
        <v>514</v>
      </c>
      <c r="O7" s="80" t="s">
        <v>515</v>
      </c>
      <c r="P7" s="80" t="s">
        <v>64</v>
      </c>
      <c r="Q7" s="80" t="s">
        <v>65</v>
      </c>
      <c r="R7" s="80" t="s">
        <v>66</v>
      </c>
      <c r="S7" s="80" t="s">
        <v>67</v>
      </c>
      <c r="T7" s="80" t="s">
        <v>68</v>
      </c>
      <c r="U7" s="80" t="s">
        <v>516</v>
      </c>
      <c r="V7" s="81" t="s">
        <v>517</v>
      </c>
      <c r="W7" s="81" t="s">
        <v>518</v>
      </c>
      <c r="X7" s="81" t="s">
        <v>519</v>
      </c>
      <c r="Z7" s="79" t="s">
        <v>514</v>
      </c>
      <c r="AA7" s="80" t="s">
        <v>515</v>
      </c>
      <c r="AB7" s="80" t="s">
        <v>64</v>
      </c>
      <c r="AC7" s="80" t="s">
        <v>65</v>
      </c>
      <c r="AD7" s="80" t="s">
        <v>66</v>
      </c>
      <c r="AE7" s="80" t="s">
        <v>67</v>
      </c>
      <c r="AF7" s="80" t="s">
        <v>68</v>
      </c>
      <c r="AG7" s="80" t="s">
        <v>516</v>
      </c>
      <c r="AH7" s="81" t="s">
        <v>517</v>
      </c>
      <c r="AI7" s="81" t="s">
        <v>518</v>
      </c>
      <c r="AJ7" s="81" t="s">
        <v>519</v>
      </c>
    </row>
    <row r="9" customFormat="false" ht="15" hidden="false" customHeight="true" outlineLevel="0" collapsed="false">
      <c r="B9" s="82" t="s">
        <v>209</v>
      </c>
      <c r="C9" s="83" t="n">
        <f aca="false">Model!BV98</f>
        <v>4485.044</v>
      </c>
      <c r="D9" s="84" t="n">
        <f aca="false">Model!CA98</f>
        <v>5443.59124517847</v>
      </c>
      <c r="E9" s="84" t="n">
        <f aca="false">Model!CB98</f>
        <v>6196.44043837219</v>
      </c>
      <c r="F9" s="84" t="n">
        <f aca="false">Model!CC98</f>
        <v>6877.61509407681</v>
      </c>
      <c r="G9" s="84" t="n">
        <f aca="false">Model!CD98</f>
        <v>7567.55894070183</v>
      </c>
      <c r="H9" s="84" t="n">
        <f aca="false">Model!CE98</f>
        <v>8318.45955794318</v>
      </c>
      <c r="I9" s="85" t="n">
        <f aca="false">IFERROR((H9/C9)^(1/5)-1,"n/m")</f>
        <v>0.131501776910332</v>
      </c>
      <c r="N9" s="82" t="s">
        <v>209</v>
      </c>
      <c r="O9" s="83" t="n">
        <v>4485.044</v>
      </c>
      <c r="P9" s="84" t="n">
        <v>5443.59124517847</v>
      </c>
      <c r="Q9" s="84" t="n">
        <v>6409.74817572754</v>
      </c>
      <c r="R9" s="84" t="n">
        <v>7398.23935413018</v>
      </c>
      <c r="S9" s="84" t="n">
        <v>8435.33867303313</v>
      </c>
      <c r="T9" s="84" t="n">
        <v>9577.74233525792</v>
      </c>
      <c r="U9" s="85" t="n">
        <v>0.16385610295672</v>
      </c>
      <c r="Z9" s="82" t="s">
        <v>209</v>
      </c>
      <c r="AA9" s="83" t="n">
        <v>4485.044</v>
      </c>
      <c r="AB9" s="84" t="n">
        <v>5443.59124517847</v>
      </c>
      <c r="AC9" s="84" t="n">
        <v>5983.13270101684</v>
      </c>
      <c r="AD9" s="84" t="n">
        <v>6366.78929826476</v>
      </c>
      <c r="AE9" s="84" t="n">
        <v>6731.77085053784</v>
      </c>
      <c r="AF9" s="84" t="n">
        <v>7128.17236421383</v>
      </c>
      <c r="AG9" s="85" t="n">
        <v>0.0970901022310724</v>
      </c>
    </row>
    <row r="10" customFormat="false" ht="15" hidden="false" customHeight="true" outlineLevel="0" collapsed="false">
      <c r="B10" s="86" t="s">
        <v>520</v>
      </c>
      <c r="C10" s="87"/>
      <c r="D10" s="88" t="n">
        <f aca="false">IFERROR(D9/C9-1,"")</f>
        <v>0.213720811920344</v>
      </c>
      <c r="E10" s="88" t="n">
        <f aca="false">IFERROR(E9/D9-1,"")</f>
        <v>0.138300096257326</v>
      </c>
      <c r="F10" s="88" t="n">
        <f aca="false">IFERROR(F9/E9-1,"")</f>
        <v>0.109929993272648</v>
      </c>
      <c r="G10" s="88" t="n">
        <f aca="false">IFERROR(G9/F9-1,"")</f>
        <v>0.100317310170384</v>
      </c>
      <c r="H10" s="88" t="n">
        <f aca="false">IFERROR(H9/G9-1,"")</f>
        <v>0.0992262661084356</v>
      </c>
      <c r="N10" s="86" t="s">
        <v>520</v>
      </c>
      <c r="O10" s="87"/>
      <c r="P10" s="88" t="n">
        <v>0.213720811920344</v>
      </c>
      <c r="Q10" s="88" t="n">
        <v>0.177485209126388</v>
      </c>
      <c r="R10" s="88" t="n">
        <v>0.154216850850063</v>
      </c>
      <c r="S10" s="88" t="n">
        <v>0.14018190940578</v>
      </c>
      <c r="T10" s="88" t="n">
        <v>0.13543068115059</v>
      </c>
      <c r="Z10" s="86" t="s">
        <v>520</v>
      </c>
      <c r="AA10" s="87"/>
      <c r="AB10" s="88" t="n">
        <v>0.213720811920344</v>
      </c>
      <c r="AC10" s="88" t="n">
        <v>0.0991149833882647</v>
      </c>
      <c r="AD10" s="88" t="n">
        <v>0.0641230299275706</v>
      </c>
      <c r="AE10" s="88" t="n">
        <v>0.0573258412010822</v>
      </c>
      <c r="AF10" s="88" t="n">
        <v>0.0588851763491498</v>
      </c>
    </row>
    <row r="11" customFormat="false" ht="15" hidden="false" customHeight="true" outlineLevel="0" collapsed="false">
      <c r="B11" s="82" t="s">
        <v>521</v>
      </c>
      <c r="C11" s="89" t="n">
        <f aca="false">Model!BV12</f>
        <v>0.181075748080781</v>
      </c>
      <c r="D11" s="90" t="n">
        <f aca="false">Model!CA12</f>
        <v>0.181091369166102</v>
      </c>
      <c r="E11" s="90" t="n">
        <f aca="false">Model!CB12</f>
        <v>0.11</v>
      </c>
      <c r="F11" s="90" t="n">
        <f aca="false">Model!CC12</f>
        <v>0.08</v>
      </c>
      <c r="G11" s="90" t="n">
        <f aca="false">Model!CD12</f>
        <v>0.07</v>
      </c>
      <c r="H11" s="90" t="n">
        <f aca="false">Model!CE12</f>
        <v>0.07</v>
      </c>
      <c r="N11" s="82" t="s">
        <v>521</v>
      </c>
      <c r="O11" s="89" t="n">
        <v>0.181075748080781</v>
      </c>
      <c r="P11" s="90" t="n">
        <v>0.181091369166102</v>
      </c>
      <c r="Q11" s="90" t="n">
        <v>0.14</v>
      </c>
      <c r="R11" s="90" t="n">
        <v>0.11</v>
      </c>
      <c r="S11" s="90" t="n">
        <v>0.1</v>
      </c>
      <c r="T11" s="90" t="n">
        <v>0.1</v>
      </c>
      <c r="Z11" s="82" t="s">
        <v>521</v>
      </c>
      <c r="AA11" s="89" t="n">
        <v>0.181075748080781</v>
      </c>
      <c r="AB11" s="90" t="n">
        <v>0.181091369166102</v>
      </c>
      <c r="AC11" s="90" t="n">
        <v>0.08</v>
      </c>
      <c r="AD11" s="90" t="n">
        <v>0.05</v>
      </c>
      <c r="AE11" s="90" t="n">
        <v>0.04</v>
      </c>
      <c r="AF11" s="90" t="n">
        <v>0.04</v>
      </c>
    </row>
    <row r="12" customFormat="false" ht="15" hidden="false" customHeight="true" outlineLevel="0" collapsed="false">
      <c r="B12" s="82" t="s">
        <v>522</v>
      </c>
      <c r="C12" s="83" t="n">
        <f aca="false">Model!BV140</f>
        <v>1232.427</v>
      </c>
      <c r="D12" s="84" t="n">
        <f aca="false">Model!CA140</f>
        <v>1566.84426791634</v>
      </c>
      <c r="E12" s="84" t="n">
        <f aca="false">Model!CB140</f>
        <v>1768.12610188809</v>
      </c>
      <c r="F12" s="84" t="n">
        <f aca="false">Model!CC140</f>
        <v>1969.95928169098</v>
      </c>
      <c r="G12" s="84" t="n">
        <f aca="false">Model!CD140</f>
        <v>2143.49050110176</v>
      </c>
      <c r="H12" s="84" t="n">
        <f aca="false">Model!CE140</f>
        <v>2331.83764226798</v>
      </c>
      <c r="I12" s="85" t="n">
        <f aca="false">IFERROR((H12/C12)^(1/5)-1,"n/m")</f>
        <v>0.136023776031104</v>
      </c>
      <c r="N12" s="82" t="s">
        <v>522</v>
      </c>
      <c r="O12" s="83" t="n">
        <v>1232.427</v>
      </c>
      <c r="P12" s="84" t="n">
        <v>1566.84426791634</v>
      </c>
      <c r="Q12" s="84" t="n">
        <v>1918.02237246263</v>
      </c>
      <c r="R12" s="84" t="n">
        <v>2211.11192068516</v>
      </c>
      <c r="S12" s="84" t="n">
        <v>2485.70663569723</v>
      </c>
      <c r="T12" s="84" t="n">
        <v>2787.74013655681</v>
      </c>
      <c r="U12" s="85" t="n">
        <v>0.177330016643958</v>
      </c>
      <c r="Z12" s="82" t="s">
        <v>522</v>
      </c>
      <c r="AA12" s="83" t="n">
        <v>1232.427</v>
      </c>
      <c r="AB12" s="84" t="n">
        <v>1566.84426791634</v>
      </c>
      <c r="AC12" s="84" t="n">
        <v>1623.18287867755</v>
      </c>
      <c r="AD12" s="84" t="n">
        <v>1742.25425476412</v>
      </c>
      <c r="AE12" s="84" t="n">
        <v>1827.25753104865</v>
      </c>
      <c r="AF12" s="84" t="n">
        <v>1919.21232636453</v>
      </c>
      <c r="AG12" s="85" t="n">
        <v>0.0926280964197492</v>
      </c>
    </row>
    <row r="13" customFormat="false" ht="15" hidden="false" customHeight="true" outlineLevel="0" collapsed="false">
      <c r="B13" s="86" t="s">
        <v>523</v>
      </c>
      <c r="C13" s="91" t="n">
        <f aca="false">IFERROR(C12/C9,"")</f>
        <v>0.274785932980814</v>
      </c>
      <c r="D13" s="92" t="n">
        <f aca="false">IFERROR(D12/D9,"")</f>
        <v>0.287832828981077</v>
      </c>
      <c r="E13" s="92" t="n">
        <f aca="false">IFERROR(E12/E9,"")</f>
        <v>0.285345452679373</v>
      </c>
      <c r="F13" s="92" t="n">
        <f aca="false">IFERROR(F12/F9,"")</f>
        <v>0.286430580185792</v>
      </c>
      <c r="G13" s="92" t="n">
        <f aca="false">IFERROR(G12/G9,"")</f>
        <v>0.283247281970026</v>
      </c>
      <c r="H13" s="92" t="n">
        <f aca="false">IFERROR(H12/H9,"")</f>
        <v>0.280320848592855</v>
      </c>
      <c r="J13" s="93" t="n">
        <f aca="false">IFERROR(AVERAGE(Model!C141,Model!D141,Model!E141,Model!F141,Model!G141,Model!H141,Model!I141,Model!N141,Model!S141,Model!X141,Model!AC141,Model!AH141,Model!AM141,Model!AR141,Model!AW141,Model!BB141,Model!BG141,Model!BL141,Model!BQ141,Model!BV141),"")</f>
        <v>0.234054302005987</v>
      </c>
      <c r="K13" s="93" t="n">
        <f aca="false">IFERROR(MIN(Model!C141,Model!D141,Model!E141,Model!F141,Model!G141,Model!H141,Model!I141,Model!N141,Model!S141,Model!X141,Model!AC141,Model!AH141,Model!AM141,Model!AR141,Model!AW141,Model!BB141,Model!BG141,Model!BL141,Model!BQ141,Model!BV141),"")</f>
        <v>0.192695097121286</v>
      </c>
      <c r="L13" s="93" t="n">
        <f aca="false">IFERROR(MAX(Model!C141,Model!D141,Model!E141,Model!F141,Model!G141,Model!H141,Model!I141,Model!N141,Model!S141,Model!X141,Model!AC141,Model!AH141,Model!AM141,Model!AR141,Model!AW141,Model!BB141,Model!BG141,Model!BL141,Model!BQ141,Model!BV141),"")</f>
        <v>0.274785932980814</v>
      </c>
      <c r="N13" s="86" t="s">
        <v>523</v>
      </c>
      <c r="O13" s="91" t="n">
        <v>0.274785932980814</v>
      </c>
      <c r="P13" s="92" t="n">
        <v>0.287832828981077</v>
      </c>
      <c r="Q13" s="92" t="n">
        <v>0.299235214844446</v>
      </c>
      <c r="R13" s="92" t="n">
        <v>0.298870016884594</v>
      </c>
      <c r="S13" s="92" t="n">
        <v>0.294677751782956</v>
      </c>
      <c r="T13" s="92" t="n">
        <v>0.291064432407466</v>
      </c>
      <c r="V13" s="93" t="n">
        <v>0.234054302005987</v>
      </c>
      <c r="W13" s="93" t="n">
        <v>0.192695097121286</v>
      </c>
      <c r="X13" s="93" t="n">
        <v>0.274785932980814</v>
      </c>
      <c r="Z13" s="86" t="s">
        <v>523</v>
      </c>
      <c r="AA13" s="91" t="n">
        <v>0.274785932980814</v>
      </c>
      <c r="AB13" s="92" t="n">
        <v>0.287832828981077</v>
      </c>
      <c r="AC13" s="92" t="n">
        <v>0.271293143540287</v>
      </c>
      <c r="AD13" s="92" t="n">
        <v>0.273647229890105</v>
      </c>
      <c r="AE13" s="92" t="n">
        <v>0.27143786852202</v>
      </c>
      <c r="AF13" s="92" t="n">
        <v>0.269243254554241</v>
      </c>
      <c r="AH13" s="93" t="n">
        <v>0.234054302005987</v>
      </c>
      <c r="AI13" s="93" t="n">
        <v>0.192695097121286</v>
      </c>
      <c r="AJ13" s="93" t="n">
        <v>0.274785932980814</v>
      </c>
    </row>
    <row r="15" customFormat="false" ht="15" hidden="false" customHeight="true" outlineLevel="0" collapsed="false">
      <c r="B15" s="82" t="s">
        <v>524</v>
      </c>
      <c r="C15" s="83" t="n">
        <f aca="false">Model!BV102</f>
        <v>1018.998</v>
      </c>
      <c r="D15" s="84" t="n">
        <f aca="false">Model!CA102</f>
        <v>1326.84910916258</v>
      </c>
      <c r="E15" s="84" t="n">
        <f aca="false">Model!CB102</f>
        <v>1511.39148329429</v>
      </c>
      <c r="F15" s="84" t="n">
        <f aca="false">Model!CC102</f>
        <v>1697.59856722873</v>
      </c>
      <c r="G15" s="84" t="n">
        <f aca="false">Model!CD102</f>
        <v>1853.22982048001</v>
      </c>
      <c r="H15" s="84" t="n">
        <f aca="false">Model!CE102</f>
        <v>2021.98656943932</v>
      </c>
      <c r="I15" s="85" t="n">
        <f aca="false">IFERROR((H15/C15)^(1/5)-1,"n/m")</f>
        <v>0.146887942678089</v>
      </c>
      <c r="N15" s="82" t="s">
        <v>524</v>
      </c>
      <c r="O15" s="83" t="n">
        <v>1018.998</v>
      </c>
      <c r="P15" s="84" t="n">
        <v>1326.84910916258</v>
      </c>
      <c r="Q15" s="84" t="n">
        <v>1655.32806102056</v>
      </c>
      <c r="R15" s="84" t="n">
        <v>1921.82771510226</v>
      </c>
      <c r="S15" s="84" t="n">
        <v>2166.5712782875</v>
      </c>
      <c r="T15" s="84" t="n">
        <v>2435.98605800038</v>
      </c>
      <c r="U15" s="85" t="n">
        <v>0.190420215425631</v>
      </c>
      <c r="Z15" s="82" t="s">
        <v>524</v>
      </c>
      <c r="AA15" s="83" t="n">
        <v>1018.998</v>
      </c>
      <c r="AB15" s="84" t="n">
        <v>1326.84910916258</v>
      </c>
      <c r="AC15" s="84" t="n">
        <v>1372.40795293201</v>
      </c>
      <c r="AD15" s="84" t="n">
        <v>1486.69944985161</v>
      </c>
      <c r="AE15" s="84" t="n">
        <v>1565.48762750887</v>
      </c>
      <c r="AF15" s="84" t="n">
        <v>1650.43631226063</v>
      </c>
      <c r="AG15" s="85" t="n">
        <v>0.101247885989299</v>
      </c>
    </row>
    <row r="16" customFormat="false" ht="15" hidden="false" customHeight="true" outlineLevel="0" collapsed="false">
      <c r="B16" s="86" t="s">
        <v>525</v>
      </c>
      <c r="C16" s="87"/>
      <c r="D16" s="88" t="n">
        <f aca="false">IFERROR(D15/C15-1,"")</f>
        <v>0.302111593116554</v>
      </c>
      <c r="E16" s="88" t="n">
        <f aca="false">IFERROR(E15/D15-1,"")</f>
        <v>0.13908316541598</v>
      </c>
      <c r="F16" s="88" t="n">
        <f aca="false">IFERROR(F15/E15-1,"")</f>
        <v>0.123202417105445</v>
      </c>
      <c r="G16" s="88" t="n">
        <f aca="false">IFERROR(G15/F15-1,"")</f>
        <v>0.0916773000729763</v>
      </c>
      <c r="H16" s="88" t="n">
        <f aca="false">IFERROR(H15/G15-1,"")</f>
        <v>0.091060885754366</v>
      </c>
      <c r="N16" s="86" t="s">
        <v>525</v>
      </c>
      <c r="O16" s="87"/>
      <c r="P16" s="88" t="n">
        <v>0.302111593116554</v>
      </c>
      <c r="Q16" s="88" t="n">
        <v>0.247563155139242</v>
      </c>
      <c r="R16" s="88" t="n">
        <v>0.160995068202609</v>
      </c>
      <c r="S16" s="88" t="n">
        <v>0.127349377502453</v>
      </c>
      <c r="T16" s="88" t="n">
        <v>0.124350757536966</v>
      </c>
      <c r="Z16" s="86" t="s">
        <v>525</v>
      </c>
      <c r="AA16" s="87"/>
      <c r="AB16" s="88" t="n">
        <v>0.302111593116554</v>
      </c>
      <c r="AC16" s="88" t="n">
        <v>0.0343361151278023</v>
      </c>
      <c r="AD16" s="88" t="n">
        <v>0.0832780782677813</v>
      </c>
      <c r="AE16" s="88" t="n">
        <v>0.0529953634308016</v>
      </c>
      <c r="AF16" s="88" t="n">
        <v>0.054263402187942</v>
      </c>
    </row>
    <row r="17" customFormat="false" ht="15" hidden="false" customHeight="true" outlineLevel="0" collapsed="false">
      <c r="B17" s="86" t="s">
        <v>526</v>
      </c>
      <c r="C17" s="91" t="n">
        <f aca="false">IFERROR(C15/C9,"")</f>
        <v>0.22719910886047</v>
      </c>
      <c r="D17" s="92" t="n">
        <f aca="false">IFERROR(D15/D9,"")</f>
        <v>0.243745176557444</v>
      </c>
      <c r="E17" s="92" t="n">
        <f aca="false">IFERROR(E15/E9,"")</f>
        <v>0.243912855828455</v>
      </c>
      <c r="F17" s="92" t="n">
        <f aca="false">IFERROR(F15/F9,"")</f>
        <v>0.246829539601706</v>
      </c>
      <c r="G17" s="92" t="n">
        <f aca="false">IFERROR(G15/G9,"")</f>
        <v>0.244891362591507</v>
      </c>
      <c r="H17" s="92" t="n">
        <f aca="false">IFERROR(H15/H9,"")</f>
        <v>0.24307223655473</v>
      </c>
      <c r="J17" s="93" t="n">
        <f aca="false">IFERROR(AVERAGE(Model!C179,Model!D179,Model!E179,Model!F179,Model!G179,Model!H179,Model!I179,Model!N179,Model!S179,Model!X179,Model!AC179,Model!AH179,Model!AM179,Model!AR179,Model!AW179,Model!BB179,Model!BG179,Model!BL179,Model!BQ179,Model!BV179),"")</f>
        <v>0.195302141032149</v>
      </c>
      <c r="K17" s="93" t="n">
        <f aca="false">IFERROR(MIN(Model!C179,Model!D179,Model!E179,Model!F179,Model!G179,Model!H179,Model!I179,Model!N179,Model!S179,Model!X179,Model!AC179,Model!AH179,Model!AM179,Model!AR179,Model!AW179,Model!BB179,Model!BG179,Model!BL179,Model!BQ179,Model!BV179),"")</f>
        <v>0.163952546554312</v>
      </c>
      <c r="L17" s="93" t="n">
        <f aca="false">IFERROR(MAX(Model!C179,Model!D179,Model!E179,Model!F179,Model!G179,Model!H179,Model!I179,Model!N179,Model!S179,Model!X179,Model!AC179,Model!AH179,Model!AM179,Model!AR179,Model!AW179,Model!BB179,Model!BG179,Model!BL179,Model!BQ179,Model!BV179),"")</f>
        <v>0.22719910886047</v>
      </c>
      <c r="N17" s="86" t="s">
        <v>526</v>
      </c>
      <c r="O17" s="91" t="n">
        <v>0.22719910886047</v>
      </c>
      <c r="P17" s="92" t="n">
        <v>0.243745176557444</v>
      </c>
      <c r="Q17" s="92" t="n">
        <v>0.258251652894721</v>
      </c>
      <c r="R17" s="92" t="n">
        <v>0.259768253379011</v>
      </c>
      <c r="S17" s="92" t="n">
        <v>0.256844610781757</v>
      </c>
      <c r="T17" s="92" t="n">
        <v>0.254338232615942</v>
      </c>
      <c r="V17" s="93" t="n">
        <v>0.195302141032149</v>
      </c>
      <c r="W17" s="93" t="n">
        <v>0.163952546554312</v>
      </c>
      <c r="X17" s="93" t="n">
        <v>0.22719910886047</v>
      </c>
      <c r="Z17" s="86" t="s">
        <v>526</v>
      </c>
      <c r="AA17" s="91" t="n">
        <v>0.22719910886047</v>
      </c>
      <c r="AB17" s="92" t="n">
        <v>0.243745176557444</v>
      </c>
      <c r="AC17" s="92" t="n">
        <v>0.229379494240328</v>
      </c>
      <c r="AD17" s="92" t="n">
        <v>0.233508504868663</v>
      </c>
      <c r="AE17" s="92" t="n">
        <v>0.232552126664233</v>
      </c>
      <c r="AF17" s="92" t="n">
        <v>0.231537093652007</v>
      </c>
      <c r="AH17" s="93" t="n">
        <v>0.195302141032149</v>
      </c>
      <c r="AI17" s="93" t="n">
        <v>0.163952546554312</v>
      </c>
      <c r="AJ17" s="93" t="n">
        <v>0.22719910886047</v>
      </c>
    </row>
    <row r="19" customFormat="false" ht="15" hidden="false" customHeight="true" outlineLevel="0" collapsed="false">
      <c r="B19" s="82" t="s">
        <v>527</v>
      </c>
      <c r="C19" s="83" t="n">
        <f aca="false">Model!BV161</f>
        <v>674.875050987405</v>
      </c>
      <c r="D19" s="84" t="n">
        <f aca="false">Model!CA161</f>
        <v>906.793014480817</v>
      </c>
      <c r="E19" s="84" t="n">
        <f aca="false">Model!CB161</f>
        <v>1023.54687092633</v>
      </c>
      <c r="F19" s="84" t="n">
        <f aca="false">Model!CC161</f>
        <v>1161.12155560081</v>
      </c>
      <c r="G19" s="84" t="n">
        <f aca="false">Model!CD161</f>
        <v>1276.10601343744</v>
      </c>
      <c r="H19" s="84" t="n">
        <f aca="false">Model!CE161</f>
        <v>1400.78793226789</v>
      </c>
      <c r="I19" s="85" t="n">
        <f aca="false">IFERROR((H19/C19)^(1/5)-1,"n/m")</f>
        <v>0.157256966044089</v>
      </c>
      <c r="N19" s="82" t="s">
        <v>527</v>
      </c>
      <c r="O19" s="83" t="n">
        <v>674.875050987405</v>
      </c>
      <c r="P19" s="84" t="n">
        <v>906.793014480817</v>
      </c>
      <c r="Q19" s="84" t="n">
        <v>1129.89099530341</v>
      </c>
      <c r="R19" s="84" t="n">
        <v>1302.64213192146</v>
      </c>
      <c r="S19" s="84" t="n">
        <v>1467.87406254623</v>
      </c>
      <c r="T19" s="84" t="n">
        <v>1652.31757771293</v>
      </c>
      <c r="U19" s="85" t="n">
        <v>0.196118010883759</v>
      </c>
      <c r="Z19" s="82" t="s">
        <v>527</v>
      </c>
      <c r="AA19" s="83" t="n">
        <v>674.875050987405</v>
      </c>
      <c r="AB19" s="84" t="n">
        <v>906.793014480817</v>
      </c>
      <c r="AC19" s="84" t="n">
        <v>920.862188042462</v>
      </c>
      <c r="AD19" s="84" t="n">
        <v>1005.30374803824</v>
      </c>
      <c r="AE19" s="84" t="n">
        <v>1063.51452320451</v>
      </c>
      <c r="AF19" s="84" t="n">
        <v>1126.27684282899</v>
      </c>
      <c r="AG19" s="85" t="n">
        <v>0.107858658516135</v>
      </c>
    </row>
    <row r="21" customFormat="false" ht="15" hidden="false" customHeight="true" outlineLevel="0" collapsed="false">
      <c r="B21" s="82" t="s">
        <v>528</v>
      </c>
      <c r="C21" s="94" t="n">
        <f aca="false">Model!BV118</f>
        <v>140.771</v>
      </c>
      <c r="D21" s="95" t="n">
        <f aca="false">Model!CA118</f>
        <v>141.15875</v>
      </c>
      <c r="E21" s="95" t="n">
        <f aca="false">Model!CB118</f>
        <v>141.524405</v>
      </c>
      <c r="F21" s="95" t="n">
        <f aca="false">Model!CC118</f>
        <v>141.093376596364</v>
      </c>
      <c r="G21" s="95" t="n">
        <f aca="false">Model!CD118</f>
        <v>139.936189970024</v>
      </c>
      <c r="H21" s="95" t="n">
        <f aca="false">Model!CE118</f>
        <v>138.69482400056</v>
      </c>
      <c r="I21" s="85" t="n">
        <f aca="false">IFERROR((H21/C21)^(1/5)-1,"n/m")</f>
        <v>-0.00296727848603684</v>
      </c>
      <c r="N21" s="82" t="s">
        <v>528</v>
      </c>
      <c r="O21" s="94" t="n">
        <v>140.771</v>
      </c>
      <c r="P21" s="95" t="n">
        <v>141.15875</v>
      </c>
      <c r="Q21" s="95" t="n">
        <v>140.450284696463</v>
      </c>
      <c r="R21" s="95" t="n">
        <v>138.984908862786</v>
      </c>
      <c r="S21" s="95" t="n">
        <v>137.906134704195</v>
      </c>
      <c r="T21" s="95" t="n">
        <v>136.641291460002</v>
      </c>
      <c r="U21" s="85" t="n">
        <v>-0.00593735881537261</v>
      </c>
      <c r="Z21" s="82" t="s">
        <v>528</v>
      </c>
      <c r="AA21" s="94" t="n">
        <v>140.771</v>
      </c>
      <c r="AB21" s="95" t="n">
        <v>141.15875</v>
      </c>
      <c r="AC21" s="95" t="n">
        <v>141.524405</v>
      </c>
      <c r="AD21" s="95" t="n">
        <v>141.708771942974</v>
      </c>
      <c r="AE21" s="95" t="n">
        <v>141.028000455836</v>
      </c>
      <c r="AF21" s="95" t="n">
        <v>139.608085889587</v>
      </c>
      <c r="AG21" s="85" t="n">
        <v>-0.00165769372642866</v>
      </c>
    </row>
    <row r="23" customFormat="false" ht="15" hidden="false" customHeight="true" outlineLevel="0" collapsed="false">
      <c r="B23" s="82" t="s">
        <v>529</v>
      </c>
      <c r="C23" s="96" t="n">
        <f aca="false">Model!BV163</f>
        <v>4.79413409713226</v>
      </c>
      <c r="D23" s="97" t="n">
        <f aca="false">Model!CA163</f>
        <v>6.42392352213955</v>
      </c>
      <c r="E23" s="97" t="n">
        <f aca="false">Model!CB163</f>
        <v>7.23229941101909</v>
      </c>
      <c r="F23" s="97" t="n">
        <f aca="false">Model!CC163</f>
        <v>8.22945473140471</v>
      </c>
      <c r="G23" s="97" t="n">
        <f aca="false">Model!CD163</f>
        <v>9.11919935586922</v>
      </c>
      <c r="H23" s="97" t="n">
        <f aca="false">Model!CE163</f>
        <v>10.0997852108904</v>
      </c>
      <c r="I23" s="85" t="n">
        <f aca="false">IFERROR((H23/C23)^(1/5)-1,"n/m")</f>
        <v>0.160701089415431</v>
      </c>
      <c r="N23" s="82" t="s">
        <v>529</v>
      </c>
      <c r="O23" s="96" t="n">
        <v>4.79413409713226</v>
      </c>
      <c r="P23" s="97" t="n">
        <v>6.42392352213955</v>
      </c>
      <c r="Q23" s="97" t="n">
        <v>8.04477540038663</v>
      </c>
      <c r="R23" s="97" t="n">
        <v>9.37254369974441</v>
      </c>
      <c r="S23" s="97" t="n">
        <v>10.6440084459968</v>
      </c>
      <c r="T23" s="97" t="n">
        <v>12.0923738355957</v>
      </c>
      <c r="U23" s="85" t="n">
        <v>0.203262210375738</v>
      </c>
      <c r="Z23" s="82" t="s">
        <v>529</v>
      </c>
      <c r="AA23" s="96" t="n">
        <v>4.79413409713226</v>
      </c>
      <c r="AB23" s="97" t="n">
        <v>6.42392352213955</v>
      </c>
      <c r="AC23" s="97" t="n">
        <v>6.50673774634461</v>
      </c>
      <c r="AD23" s="97" t="n">
        <v>7.09415327120885</v>
      </c>
      <c r="AE23" s="97" t="n">
        <v>7.54115863351234</v>
      </c>
      <c r="AF23" s="97" t="n">
        <v>8.06741841385708</v>
      </c>
      <c r="AG23" s="85" t="n">
        <v>0.109698198257616</v>
      </c>
    </row>
    <row r="24" customFormat="false" ht="15" hidden="false" customHeight="true" outlineLevel="0" collapsed="false">
      <c r="B24" s="86" t="s">
        <v>530</v>
      </c>
      <c r="C24" s="87"/>
      <c r="D24" s="88" t="n">
        <f aca="false">IFERROR(D23/C23-1,"")</f>
        <v>0.339954909893362</v>
      </c>
      <c r="E24" s="88" t="n">
        <f aca="false">IFERROR(E23/D23-1,"")</f>
        <v>0.125838342578882</v>
      </c>
      <c r="F24" s="88" t="n">
        <f aca="false">IFERROR(F23/E23-1,"")</f>
        <v>0.137875281942333</v>
      </c>
      <c r="G24" s="88" t="n">
        <f aca="false">IFERROR(G23/F23-1,"")</f>
        <v>0.108117081083042</v>
      </c>
      <c r="H24" s="88" t="n">
        <f aca="false">IFERROR(H23/G23-1,"")</f>
        <v>0.107529818874945</v>
      </c>
      <c r="N24" s="86" t="s">
        <v>530</v>
      </c>
      <c r="O24" s="87"/>
      <c r="P24" s="88" t="n">
        <v>0.339954909893362</v>
      </c>
      <c r="Q24" s="88" t="n">
        <v>0.252314940030175</v>
      </c>
      <c r="R24" s="88" t="n">
        <v>0.165047280163219</v>
      </c>
      <c r="S24" s="88" t="n">
        <v>0.135658449507905</v>
      </c>
      <c r="T24" s="88" t="n">
        <v>0.136073303299903</v>
      </c>
      <c r="Z24" s="86" t="s">
        <v>530</v>
      </c>
      <c r="AA24" s="87"/>
      <c r="AB24" s="88" t="n">
        <v>0.339954909893362</v>
      </c>
      <c r="AC24" s="88" t="n">
        <v>0.0128915333315607</v>
      </c>
      <c r="AD24" s="88" t="n">
        <v>0.0902780391286315</v>
      </c>
      <c r="AE24" s="88" t="n">
        <v>0.063010389713122</v>
      </c>
      <c r="AF24" s="88" t="n">
        <v>0.0697850033290743</v>
      </c>
    </row>
    <row r="26" customFormat="false" ht="15" hidden="false" customHeight="true" outlineLevel="0" collapsed="false">
      <c r="B26" s="86" t="s">
        <v>531</v>
      </c>
      <c r="C26" s="98"/>
      <c r="D26" s="98"/>
      <c r="E26" s="98"/>
      <c r="F26" s="98" t="n">
        <v>42</v>
      </c>
      <c r="G26" s="98" t="n">
        <v>42</v>
      </c>
      <c r="H26" s="98" t="n">
        <v>42</v>
      </c>
      <c r="N26" s="86" t="s">
        <v>531</v>
      </c>
      <c r="O26" s="98"/>
      <c r="P26" s="98"/>
      <c r="Q26" s="98"/>
      <c r="R26" s="98" t="n">
        <v>48</v>
      </c>
      <c r="S26" s="98" t="n">
        <v>48</v>
      </c>
      <c r="T26" s="98" t="n">
        <v>48</v>
      </c>
      <c r="Z26" s="86" t="s">
        <v>531</v>
      </c>
      <c r="AA26" s="98"/>
      <c r="AB26" s="98"/>
      <c r="AC26" s="98"/>
      <c r="AD26" s="98" t="n">
        <v>34</v>
      </c>
      <c r="AE26" s="98" t="n">
        <v>34</v>
      </c>
      <c r="AF26" s="98" t="n">
        <v>34</v>
      </c>
    </row>
    <row r="27" customFormat="false" ht="15" hidden="false" customHeight="true" outlineLevel="0" collapsed="false">
      <c r="B27" s="75" t="s">
        <v>532</v>
      </c>
      <c r="C27" s="99"/>
      <c r="D27" s="99"/>
      <c r="E27" s="99"/>
      <c r="F27" s="99" t="n">
        <f aca="false">F26*F23</f>
        <v>345.637098718998</v>
      </c>
      <c r="G27" s="99" t="n">
        <f aca="false">G26*G23</f>
        <v>383.006372946507</v>
      </c>
      <c r="H27" s="99" t="n">
        <f aca="false">H26*H23</f>
        <v>424.190978857395</v>
      </c>
      <c r="N27" s="75" t="s">
        <v>532</v>
      </c>
      <c r="O27" s="99"/>
      <c r="P27" s="99"/>
      <c r="Q27" s="99"/>
      <c r="R27" s="99" t="n">
        <v>449.882097587732</v>
      </c>
      <c r="S27" s="99" t="n">
        <v>510.912405407848</v>
      </c>
      <c r="T27" s="99" t="n">
        <v>580.433944108593</v>
      </c>
      <c r="Z27" s="75" t="s">
        <v>532</v>
      </c>
      <c r="AA27" s="99"/>
      <c r="AB27" s="99"/>
      <c r="AC27" s="99"/>
      <c r="AD27" s="99" t="n">
        <v>241.201211221101</v>
      </c>
      <c r="AE27" s="99" t="n">
        <v>256.39939353942</v>
      </c>
      <c r="AF27" s="99" t="n">
        <v>274.292226071141</v>
      </c>
    </row>
    <row r="28" customFormat="false" ht="15" hidden="false" customHeight="true" outlineLevel="0" collapsed="false">
      <c r="B28" s="1" t="s">
        <v>533</v>
      </c>
      <c r="E28" s="100"/>
      <c r="F28" s="100" t="n">
        <f aca="false">IFERROR(F27/$K$2-1,"")</f>
        <v>0.142790870289297</v>
      </c>
      <c r="G28" s="100" t="n">
        <f aca="false">IFERROR(G27/$K$2-1,"")</f>
        <v>0.266346083473325</v>
      </c>
      <c r="H28" s="100" t="n">
        <f aca="false">IFERROR(H27/$K$2-1,"")</f>
        <v>0.402516048462208</v>
      </c>
      <c r="N28" s="1" t="s">
        <v>533</v>
      </c>
      <c r="O28" s="100"/>
      <c r="P28" s="100"/>
      <c r="Q28" s="100"/>
      <c r="R28" s="100" t="n">
        <v>0.487459406803544</v>
      </c>
      <c r="S28" s="100" t="n">
        <v>0.689245843636461</v>
      </c>
      <c r="T28" s="100" t="n">
        <v>0.919107105665706</v>
      </c>
      <c r="Z28" s="1" t="s">
        <v>533</v>
      </c>
      <c r="AA28" s="100"/>
      <c r="AB28" s="100"/>
      <c r="AC28" s="100"/>
      <c r="AD28" s="100" t="n">
        <v>-0.202508807336416</v>
      </c>
      <c r="AE28" s="100" t="n">
        <v>-0.152258576493901</v>
      </c>
      <c r="AF28" s="100" t="n">
        <v>-0.0930989384323337</v>
      </c>
    </row>
    <row r="29" customFormat="false" ht="15" hidden="false" customHeight="true" outlineLevel="0" collapsed="false">
      <c r="B29" s="76" t="s">
        <v>534</v>
      </c>
      <c r="C29" s="101"/>
      <c r="D29" s="101"/>
      <c r="E29" s="101"/>
      <c r="F29" s="101" t="n">
        <f aca="false">IFERROR((F27/$K$2)^(1/((DATE(2028-1,10,31)-$K$3)/365.25))-1,"")</f>
        <v>0.133151824169592</v>
      </c>
      <c r="G29" s="101" t="n">
        <f aca="false">IFERROR((G27/$K$2)^(1/((DATE(2029-1,10,31)-$K$3)/365.25))-1,"")</f>
        <v>0.120847819314623</v>
      </c>
      <c r="H29" s="101" t="n">
        <f aca="false">IFERROR((H27/$K$2)^(1/((DATE(2030-1,10,31)-$K$3)/365.25))-1,"")</f>
        <v>0.116519390204503</v>
      </c>
      <c r="N29" s="76" t="s">
        <v>534</v>
      </c>
      <c r="O29" s="101"/>
      <c r="P29" s="101"/>
      <c r="Q29" s="101"/>
      <c r="R29" s="101" t="n">
        <v>0.450445749772522</v>
      </c>
      <c r="S29" s="101" t="n">
        <v>0.288268451263561</v>
      </c>
      <c r="T29" s="101" t="n">
        <v>0.2366330392816</v>
      </c>
      <c r="Z29" s="76" t="s">
        <v>534</v>
      </c>
      <c r="AA29" s="101"/>
      <c r="AB29" s="101"/>
      <c r="AC29" s="101"/>
      <c r="AD29" s="101" t="n">
        <v>-0.190973920979137</v>
      </c>
      <c r="AE29" s="101" t="n">
        <v>-0.0767027420892611</v>
      </c>
      <c r="AF29" s="101" t="n">
        <v>-0.0313386955302324</v>
      </c>
    </row>
    <row r="31" customFormat="false" ht="15" hidden="false" customHeight="true" outlineLevel="0" collapsed="false">
      <c r="B31" s="82" t="s">
        <v>535</v>
      </c>
      <c r="C31" s="83" t="n">
        <f aca="false">Model!BV214</f>
        <v>861.38</v>
      </c>
      <c r="D31" s="84" t="n">
        <f aca="false">Model!CA214</f>
        <v>1032.75699379909</v>
      </c>
      <c r="E31" s="84" t="n">
        <f aca="false">Model!CB214</f>
        <v>1113.14811225299</v>
      </c>
      <c r="F31" s="84" t="n">
        <f aca="false">Model!CC214</f>
        <v>1288.9096141355</v>
      </c>
      <c r="G31" s="84" t="n">
        <f aca="false">Model!CD214</f>
        <v>1422.78902085938</v>
      </c>
      <c r="H31" s="84" t="n">
        <f aca="false">Model!CE214</f>
        <v>1555.04746371743</v>
      </c>
      <c r="I31" s="85" t="n">
        <f aca="false">IFERROR((H31/C31)^(1/5)-1,"n/m")</f>
        <v>0.125407417090176</v>
      </c>
      <c r="N31" s="82" t="s">
        <v>535</v>
      </c>
      <c r="O31" s="83" t="n">
        <v>861.38</v>
      </c>
      <c r="P31" s="84" t="n">
        <v>1032.75699379909</v>
      </c>
      <c r="Q31" s="84" t="n">
        <v>1177.63906911134</v>
      </c>
      <c r="R31" s="84" t="n">
        <v>1375.8734087886</v>
      </c>
      <c r="S31" s="84" t="n">
        <v>1562.87332190938</v>
      </c>
      <c r="T31" s="84" t="n">
        <v>1758.06668883798</v>
      </c>
      <c r="U31" s="85" t="n">
        <v>0.153368569514485</v>
      </c>
      <c r="Z31" s="82" t="s">
        <v>535</v>
      </c>
      <c r="AA31" s="83" t="n">
        <v>861.38</v>
      </c>
      <c r="AB31" s="84" t="n">
        <v>1032.75699379909</v>
      </c>
      <c r="AC31" s="84" t="n">
        <v>1052.59482804902</v>
      </c>
      <c r="AD31" s="84" t="n">
        <v>1184.11140184481</v>
      </c>
      <c r="AE31" s="84" t="n">
        <v>1254.78773400517</v>
      </c>
      <c r="AF31" s="84" t="n">
        <v>1318.17444499947</v>
      </c>
      <c r="AG31" s="85" t="n">
        <v>0.0888188246517676</v>
      </c>
    </row>
    <row r="32" customFormat="false" ht="15" hidden="false" customHeight="true" outlineLevel="0" collapsed="false">
      <c r="B32" s="86" t="s">
        <v>536</v>
      </c>
      <c r="C32" s="91" t="n">
        <f aca="false">IFERROR(C31/C9,"")</f>
        <v>0.192056086852214</v>
      </c>
      <c r="D32" s="92" t="n">
        <f aca="false">IFERROR(D31/D9,"")</f>
        <v>0.189719791087148</v>
      </c>
      <c r="E32" s="92" t="n">
        <f aca="false">IFERROR(E31/E9,"")</f>
        <v>0.179643155344428</v>
      </c>
      <c r="F32" s="92" t="n">
        <f aca="false">IFERROR(F31/F9,"")</f>
        <v>0.187406476882596</v>
      </c>
      <c r="G32" s="92" t="n">
        <f aca="false">IFERROR(G31/G9,"")</f>
        <v>0.188011620657087</v>
      </c>
      <c r="H32" s="92" t="n">
        <f aca="false">IFERROR(H31/H9,"")</f>
        <v>0.186939354923297</v>
      </c>
      <c r="J32" s="93" t="n">
        <f aca="false">IFERROR(AVERAGE(Model!C216,Model!D216,Model!E216,Model!F216,Model!G216,Model!H216,Model!I216,Model!N216,Model!S216,Model!X216,Model!AC216,Model!AH216,Model!AM216,Model!AR216,Model!AW216,Model!BB216,Model!BG216,Model!BL216,Model!BQ216,Model!BV216),"")</f>
        <v>0.152104799419276</v>
      </c>
      <c r="K32" s="93" t="n">
        <f aca="false">IFERROR(MIN(Model!C216,Model!D216,Model!E216,Model!F216,Model!G216,Model!H216,Model!I216,Model!N216,Model!S216,Model!X216,Model!AC216,Model!AH216,Model!AM216,Model!AR216,Model!AW216,Model!BB216,Model!BG216,Model!BL216,Model!BQ216,Model!BV216),"")</f>
        <v>0.0877375355368126</v>
      </c>
      <c r="L32" s="93" t="n">
        <f aca="false">IFERROR(MAX(Model!C216,Model!D216,Model!E216,Model!F216,Model!G216,Model!H216,Model!I216,Model!N216,Model!S216,Model!X216,Model!AC216,Model!AH216,Model!AM216,Model!AR216,Model!AW216,Model!BB216,Model!BG216,Model!BL216,Model!BQ216,Model!BV216),"")</f>
        <v>0.218633722145575</v>
      </c>
      <c r="N32" s="86" t="s">
        <v>536</v>
      </c>
      <c r="O32" s="91" t="n">
        <v>0.192056086852214</v>
      </c>
      <c r="P32" s="92" t="n">
        <v>0.189719791087148</v>
      </c>
      <c r="Q32" s="92" t="n">
        <v>0.183726261442038</v>
      </c>
      <c r="R32" s="92" t="n">
        <v>0.185973086693998</v>
      </c>
      <c r="S32" s="92" t="n">
        <v>0.185276890767376</v>
      </c>
      <c r="T32" s="92" t="n">
        <v>0.183557526116163</v>
      </c>
      <c r="V32" s="93" t="n">
        <v>0.152104799419276</v>
      </c>
      <c r="W32" s="93" t="n">
        <v>0.0877375355368126</v>
      </c>
      <c r="X32" s="93" t="n">
        <v>0.218633722145575</v>
      </c>
      <c r="Z32" s="86" t="s">
        <v>536</v>
      </c>
      <c r="AA32" s="91" t="n">
        <v>0.192056086852214</v>
      </c>
      <c r="AB32" s="92" t="n">
        <v>0.189719791087148</v>
      </c>
      <c r="AC32" s="92" t="n">
        <v>0.175927040339608</v>
      </c>
      <c r="AD32" s="92" t="n">
        <v>0.185982501756032</v>
      </c>
      <c r="AE32" s="92" t="n">
        <v>0.186397867940636</v>
      </c>
      <c r="AF32" s="92" t="n">
        <v>0.184924603060556</v>
      </c>
      <c r="AH32" s="93" t="n">
        <v>0.152104799419276</v>
      </c>
      <c r="AI32" s="93" t="n">
        <v>0.0877375355368126</v>
      </c>
      <c r="AJ32" s="93" t="n">
        <v>0.218633722145575</v>
      </c>
    </row>
    <row r="33" customFormat="false" ht="15" hidden="false" customHeight="true" outlineLevel="0" collapsed="false">
      <c r="B33" s="86" t="s">
        <v>537</v>
      </c>
      <c r="C33" s="102" t="n">
        <f aca="false">IFERROR(C31/C21,"")</f>
        <v>6.11901599050941</v>
      </c>
      <c r="D33" s="103" t="n">
        <f aca="false">IFERROR(D31/D21,"")</f>
        <v>7.31628038502103</v>
      </c>
      <c r="E33" s="103" t="n">
        <f aca="false">IFERROR(E31/E21,"")</f>
        <v>7.86541453576851</v>
      </c>
      <c r="F33" s="103" t="n">
        <f aca="false">IFERROR(F31/F21,"")</f>
        <v>9.13515322425645</v>
      </c>
      <c r="G33" s="103" t="n">
        <f aca="false">IFERROR(G31/G21,"")</f>
        <v>10.1674128841449</v>
      </c>
      <c r="H33" s="103" t="n">
        <f aca="false">IFERROR(H31/H21,"")</f>
        <v>11.2120079096186</v>
      </c>
      <c r="N33" s="86" t="s">
        <v>537</v>
      </c>
      <c r="O33" s="102" t="n">
        <v>6.11901599050941</v>
      </c>
      <c r="P33" s="103" t="n">
        <v>7.31628038502103</v>
      </c>
      <c r="Q33" s="103" t="n">
        <v>8.3847396369215</v>
      </c>
      <c r="R33" s="103" t="n">
        <v>9.89944462349462</v>
      </c>
      <c r="S33" s="103" t="n">
        <v>11.3328774333477</v>
      </c>
      <c r="T33" s="103" t="n">
        <v>12.8662915144695</v>
      </c>
      <c r="Z33" s="86" t="s">
        <v>537</v>
      </c>
      <c r="AA33" s="102" t="n">
        <v>6.11901599050941</v>
      </c>
      <c r="AB33" s="103" t="n">
        <v>7.31628038502103</v>
      </c>
      <c r="AC33" s="103" t="n">
        <v>7.43754992680603</v>
      </c>
      <c r="AD33" s="103" t="n">
        <v>8.35594992186735</v>
      </c>
      <c r="AE33" s="103" t="n">
        <v>8.89743689160592</v>
      </c>
      <c r="AF33" s="103" t="n">
        <v>9.44196345505364</v>
      </c>
    </row>
    <row r="34" customFormat="false" ht="15" hidden="false" customHeight="true" outlineLevel="0" collapsed="false">
      <c r="B34" s="86" t="s">
        <v>538</v>
      </c>
      <c r="E34" s="104"/>
      <c r="F34" s="104" t="n">
        <f aca="false">IFERROR(F33/F$27,"")</f>
        <v>0.0264298978845535</v>
      </c>
      <c r="G34" s="104" t="n">
        <f aca="false">IFERROR(G33/G$27,"")</f>
        <v>0.0265463282136169</v>
      </c>
      <c r="H34" s="104" t="n">
        <f aca="false">IFERROR(H33/H$27,"")</f>
        <v>0.0264315095521818</v>
      </c>
      <c r="N34" s="86" t="s">
        <v>538</v>
      </c>
      <c r="Q34" s="104"/>
      <c r="R34" s="104" t="n">
        <v>0.0220045311351029</v>
      </c>
      <c r="S34" s="104" t="n">
        <v>0.0221816446682304</v>
      </c>
      <c r="T34" s="104" t="n">
        <v>0.0221666765788984</v>
      </c>
      <c r="Z34" s="86" t="s">
        <v>538</v>
      </c>
      <c r="AC34" s="104"/>
      <c r="AD34" s="104" t="n">
        <v>0.0346430678335513</v>
      </c>
      <c r="AE34" s="104" t="n">
        <v>0.0347014740120203</v>
      </c>
      <c r="AF34" s="104" t="n">
        <v>0.0344230078639005</v>
      </c>
    </row>
    <row r="35" customFormat="false" ht="15" hidden="false" customHeight="true" outlineLevel="0" collapsed="false">
      <c r="B35" s="82" t="s">
        <v>539</v>
      </c>
      <c r="C35" s="83" t="n">
        <f aca="false">Model!BV140</f>
        <v>1232.427</v>
      </c>
      <c r="D35" s="84" t="n">
        <f aca="false">Model!CA140</f>
        <v>1566.84426791634</v>
      </c>
      <c r="E35" s="84" t="n">
        <f aca="false">Model!CB140</f>
        <v>1768.12610188809</v>
      </c>
      <c r="F35" s="84" t="n">
        <f aca="false">Model!CC140</f>
        <v>1969.95928169098</v>
      </c>
      <c r="G35" s="84" t="n">
        <f aca="false">Model!CD140</f>
        <v>2143.49050110176</v>
      </c>
      <c r="H35" s="84" t="n">
        <f aca="false">Model!CE140</f>
        <v>2331.83764226798</v>
      </c>
      <c r="I35" s="85" t="n">
        <f aca="false">IFERROR((H35/C35)^(1/5)-1,"n/m")</f>
        <v>0.136023776031104</v>
      </c>
      <c r="N35" s="82" t="s">
        <v>539</v>
      </c>
      <c r="O35" s="83" t="n">
        <v>1232.427</v>
      </c>
      <c r="P35" s="84" t="n">
        <v>1566.84426791634</v>
      </c>
      <c r="Q35" s="84" t="n">
        <v>1918.02237246263</v>
      </c>
      <c r="R35" s="84" t="n">
        <v>2211.11192068516</v>
      </c>
      <c r="S35" s="84" t="n">
        <v>2485.70663569723</v>
      </c>
      <c r="T35" s="84" t="n">
        <v>2787.74013655681</v>
      </c>
      <c r="U35" s="85" t="n">
        <v>0.177330016643958</v>
      </c>
      <c r="Z35" s="82" t="s">
        <v>539</v>
      </c>
      <c r="AA35" s="83" t="n">
        <v>1232.427</v>
      </c>
      <c r="AB35" s="84" t="n">
        <v>1566.84426791634</v>
      </c>
      <c r="AC35" s="84" t="n">
        <v>1623.18287867755</v>
      </c>
      <c r="AD35" s="84" t="n">
        <v>1742.25425476412</v>
      </c>
      <c r="AE35" s="84" t="n">
        <v>1827.25753104865</v>
      </c>
      <c r="AF35" s="84" t="n">
        <v>1919.21232636453</v>
      </c>
      <c r="AG35" s="85" t="n">
        <v>0.0926280964197492</v>
      </c>
    </row>
    <row r="36" customFormat="false" ht="15" hidden="false" customHeight="true" outlineLevel="0" collapsed="false">
      <c r="B36" s="86" t="s">
        <v>540</v>
      </c>
      <c r="C36" s="91" t="n">
        <f aca="false">IFERROR(C35/C9,"")</f>
        <v>0.274785932980814</v>
      </c>
      <c r="D36" s="92" t="n">
        <f aca="false">IFERROR(D35/D9,"")</f>
        <v>0.287832828981077</v>
      </c>
      <c r="E36" s="92" t="n">
        <f aca="false">IFERROR(E35/E9,"")</f>
        <v>0.285345452679373</v>
      </c>
      <c r="F36" s="92" t="n">
        <f aca="false">IFERROR(F35/F9,"")</f>
        <v>0.286430580185792</v>
      </c>
      <c r="G36" s="92" t="n">
        <f aca="false">IFERROR(G35/G9,"")</f>
        <v>0.283247281970026</v>
      </c>
      <c r="H36" s="92" t="n">
        <f aca="false">IFERROR(H35/H9,"")</f>
        <v>0.280320848592855</v>
      </c>
      <c r="J36" s="93" t="n">
        <f aca="false">IFERROR(AVERAGE(Model!C141,Model!D141,Model!E141,Model!F141,Model!G141,Model!H141,Model!I141,Model!N141,Model!S141,Model!X141,Model!AC141,Model!AH141,Model!AM141,Model!AR141,Model!AW141,Model!BB141,Model!BG141,Model!BL141,Model!BQ141,Model!BV141),"")</f>
        <v>0.234054302005987</v>
      </c>
      <c r="K36" s="93" t="n">
        <f aca="false">IFERROR(MIN(Model!C141,Model!D141,Model!E141,Model!F141,Model!G141,Model!H141,Model!I141,Model!N141,Model!S141,Model!X141,Model!AC141,Model!AH141,Model!AM141,Model!AR141,Model!AW141,Model!BB141,Model!BG141,Model!BL141,Model!BQ141,Model!BV141),"")</f>
        <v>0.192695097121286</v>
      </c>
      <c r="L36" s="93" t="n">
        <f aca="false">IFERROR(MAX(Model!C141,Model!D141,Model!E141,Model!F141,Model!G141,Model!H141,Model!I141,Model!N141,Model!S141,Model!X141,Model!AC141,Model!AH141,Model!AM141,Model!AR141,Model!AW141,Model!BB141,Model!BG141,Model!BL141,Model!BQ141,Model!BV141),"")</f>
        <v>0.274785932980814</v>
      </c>
      <c r="N36" s="86" t="s">
        <v>540</v>
      </c>
      <c r="O36" s="91" t="n">
        <v>0.274785932980814</v>
      </c>
      <c r="P36" s="92" t="n">
        <v>0.287832828981077</v>
      </c>
      <c r="Q36" s="92" t="n">
        <v>0.299235214844446</v>
      </c>
      <c r="R36" s="92" t="n">
        <v>0.298870016884594</v>
      </c>
      <c r="S36" s="92" t="n">
        <v>0.294677751782956</v>
      </c>
      <c r="T36" s="92" t="n">
        <v>0.291064432407466</v>
      </c>
      <c r="V36" s="93" t="n">
        <v>0.234054302005987</v>
      </c>
      <c r="W36" s="93" t="n">
        <v>0.192695097121286</v>
      </c>
      <c r="X36" s="93" t="n">
        <v>0.274785932980814</v>
      </c>
      <c r="Z36" s="86" t="s">
        <v>540</v>
      </c>
      <c r="AA36" s="91" t="n">
        <v>0.274785932980814</v>
      </c>
      <c r="AB36" s="92" t="n">
        <v>0.287832828981077</v>
      </c>
      <c r="AC36" s="92" t="n">
        <v>0.271293143540287</v>
      </c>
      <c r="AD36" s="92" t="n">
        <v>0.273647229890105</v>
      </c>
      <c r="AE36" s="92" t="n">
        <v>0.27143786852202</v>
      </c>
      <c r="AF36" s="92" t="n">
        <v>0.269243254554241</v>
      </c>
      <c r="AH36" s="93" t="n">
        <v>0.234054302005987</v>
      </c>
      <c r="AI36" s="93" t="n">
        <v>0.192695097121286</v>
      </c>
      <c r="AJ36" s="93" t="n">
        <v>0.274785932980814</v>
      </c>
    </row>
    <row r="38" customFormat="false" ht="15" hidden="false" customHeight="true" outlineLevel="0" collapsed="false">
      <c r="B38" s="82" t="s">
        <v>541</v>
      </c>
      <c r="C38" s="83" t="n">
        <f aca="false">Model!BV334</f>
        <v>1950.164</v>
      </c>
      <c r="D38" s="84" t="n">
        <f aca="false">Model!CA334</f>
        <v>2042.08096443938</v>
      </c>
      <c r="E38" s="84" t="n">
        <f aca="false">Model!CB334</f>
        <v>1821.15578834123</v>
      </c>
      <c r="F38" s="84" t="n">
        <f aca="false">Model!CC334</f>
        <v>1969.95928169098</v>
      </c>
      <c r="G38" s="84" t="n">
        <f aca="false">Model!CD334</f>
        <v>2143.49050110176</v>
      </c>
      <c r="H38" s="84" t="n">
        <f aca="false">Model!CE334</f>
        <v>2331.83764226797</v>
      </c>
      <c r="I38" s="1" t="n">
        <f aca="false">IFERROR((H38/C38)^(1/5)-1,"n/m")</f>
        <v>0.036395299783925</v>
      </c>
      <c r="N38" s="82" t="s">
        <v>541</v>
      </c>
      <c r="O38" s="83" t="n">
        <v>1950.164</v>
      </c>
      <c r="P38" s="84" t="n">
        <v>2042.08096443938</v>
      </c>
      <c r="Q38" s="84" t="n">
        <v>2877.03355869394</v>
      </c>
      <c r="R38" s="84" t="n">
        <v>3316.66788102774</v>
      </c>
      <c r="S38" s="84" t="n">
        <v>3728.55995354584</v>
      </c>
      <c r="T38" s="84" t="n">
        <v>4181.61020483521</v>
      </c>
      <c r="U38" s="1" t="n">
        <v>0.164808369100092</v>
      </c>
      <c r="Z38" s="82" t="s">
        <v>541</v>
      </c>
      <c r="AA38" s="83" t="n">
        <v>1950.164</v>
      </c>
      <c r="AB38" s="84" t="n">
        <v>2042.08096443938</v>
      </c>
      <c r="AC38" s="84" t="n">
        <v>1476.24401591731</v>
      </c>
      <c r="AD38" s="84" t="n">
        <v>871.127127382059</v>
      </c>
      <c r="AE38" s="84" t="n">
        <v>913.628765524327</v>
      </c>
      <c r="AF38" s="84" t="n">
        <v>959.606163182264</v>
      </c>
      <c r="AG38" s="1" t="n">
        <v>-0.132230505912953</v>
      </c>
    </row>
    <row r="39" customFormat="false" ht="15" hidden="false" customHeight="true" outlineLevel="0" collapsed="false">
      <c r="B39" s="86" t="s">
        <v>542</v>
      </c>
      <c r="C39" s="105" t="n">
        <f aca="false">IFERROR(C38/C35,"")</f>
        <v>1.58237688723146</v>
      </c>
      <c r="D39" s="106" t="n">
        <f aca="false">IFERROR(D38/D35,"")</f>
        <v>1.3033081884743</v>
      </c>
      <c r="E39" s="106" t="n">
        <f aca="false">IFERROR(E38/E35,"")</f>
        <v>1.02999202737662</v>
      </c>
      <c r="F39" s="106" t="n">
        <f aca="false">IFERROR(F38/F35,"")</f>
        <v>1</v>
      </c>
      <c r="G39" s="106" t="n">
        <f aca="false">IFERROR(G38/G35,"")</f>
        <v>1</v>
      </c>
      <c r="H39" s="106" t="n">
        <f aca="false">IFERROR(H38/H35,"")</f>
        <v>1</v>
      </c>
      <c r="N39" s="86" t="s">
        <v>542</v>
      </c>
      <c r="O39" s="105" t="n">
        <v>1.58237688723146</v>
      </c>
      <c r="P39" s="106" t="n">
        <v>1.3033081884743</v>
      </c>
      <c r="Q39" s="106" t="n">
        <v>1.5</v>
      </c>
      <c r="R39" s="106" t="n">
        <v>1.5</v>
      </c>
      <c r="S39" s="106" t="n">
        <v>1.5</v>
      </c>
      <c r="T39" s="106" t="n">
        <v>1.5</v>
      </c>
      <c r="Z39" s="86" t="s">
        <v>542</v>
      </c>
      <c r="AA39" s="105" t="n">
        <v>1.58237688723146</v>
      </c>
      <c r="AB39" s="106" t="n">
        <v>1.3033081884743</v>
      </c>
      <c r="AC39" s="106" t="n">
        <v>0.909474856659432</v>
      </c>
      <c r="AD39" s="106" t="n">
        <v>0.5</v>
      </c>
      <c r="AE39" s="106" t="n">
        <v>0.5</v>
      </c>
      <c r="AF39" s="106" t="n">
        <v>0.5</v>
      </c>
    </row>
    <row r="41" customFormat="false" ht="15" hidden="false" customHeight="true" outlineLevel="0" collapsed="false">
      <c r="B41" s="82" t="s">
        <v>543</v>
      </c>
      <c r="C41" s="89" t="n">
        <f aca="false">Model!BV317</f>
        <v>0.127223477647782</v>
      </c>
      <c r="D41" s="90" t="n">
        <f aca="false">Model!CA317</f>
        <v>0.136398877164908</v>
      </c>
      <c r="E41" s="90" t="n">
        <f aca="false">Model!CB317</f>
        <v>0.13725401270109</v>
      </c>
      <c r="F41" s="90" t="n">
        <f aca="false">Model!CC317</f>
        <v>0.141015646245254</v>
      </c>
      <c r="G41" s="90" t="n">
        <f aca="false">Model!CD317</f>
        <v>0.140566321650006</v>
      </c>
      <c r="H41" s="90" t="n">
        <f aca="false">Model!CE317</f>
        <v>0.141004793993204</v>
      </c>
      <c r="J41" s="93" t="n">
        <f aca="false">IFERROR(AVERAGE(Model!C317,Model!D317,Model!E317,Model!F317,Model!G317,Model!H317,Model!I317,Model!N317,Model!S317,Model!X317,Model!AC317,Model!AH317,Model!AM317,Model!AR317,Model!AW317,Model!BB317,Model!BG317,Model!BL317,Model!BQ317,Model!BV317),"")</f>
        <v>0.121162605751769</v>
      </c>
      <c r="K41" s="93" t="n">
        <f aca="false">IFERROR(MIN(Model!C317,Model!D317,Model!E317,Model!F317,Model!G317,Model!H317,Model!I317,Model!N317,Model!S317,Model!X317,Model!AC317,Model!AH317,Model!AM317,Model!AR317,Model!AW317,Model!BB317,Model!BG317,Model!BL317,Model!BQ317,Model!BV317),"")</f>
        <v>0.0873454006588809</v>
      </c>
      <c r="L41" s="93" t="n">
        <f aca="false">IFERROR(MAX(Model!C317,Model!D317,Model!E317,Model!F317,Model!G317,Model!H317,Model!I317,Model!N317,Model!S317,Model!X317,Model!AC317,Model!AH317,Model!AM317,Model!AR317,Model!AW317,Model!BB317,Model!BG317,Model!BL317,Model!BQ317,Model!BV317),"")</f>
        <v>0.159022790076999</v>
      </c>
      <c r="N41" s="82" t="s">
        <v>543</v>
      </c>
      <c r="O41" s="89" t="n">
        <v>0.127223477647782</v>
      </c>
      <c r="P41" s="90" t="n">
        <v>0.136398877164908</v>
      </c>
      <c r="Q41" s="90" t="n">
        <v>0.142933234112563</v>
      </c>
      <c r="R41" s="90" t="n">
        <v>0.145614076031871</v>
      </c>
      <c r="S41" s="90" t="n">
        <v>0.145028367696535</v>
      </c>
      <c r="T41" s="90" t="n">
        <v>0.145904558655615</v>
      </c>
      <c r="V41" s="93" t="n">
        <v>0.121162605751769</v>
      </c>
      <c r="W41" s="93" t="n">
        <v>0.0873454006588809</v>
      </c>
      <c r="X41" s="93" t="n">
        <v>0.159022790076999</v>
      </c>
      <c r="Z41" s="82" t="s">
        <v>543</v>
      </c>
      <c r="AA41" s="89" t="n">
        <v>0.127223477647782</v>
      </c>
      <c r="AB41" s="90" t="n">
        <v>0.136398877164908</v>
      </c>
      <c r="AC41" s="90" t="n">
        <v>0.13143166135032</v>
      </c>
      <c r="AD41" s="90" t="n">
        <v>0.136622424061226</v>
      </c>
      <c r="AE41" s="90" t="n">
        <v>0.136847434295932</v>
      </c>
      <c r="AF41" s="90" t="n">
        <v>0.137458408939308</v>
      </c>
      <c r="AH41" s="93" t="n">
        <v>0.121162605751769</v>
      </c>
      <c r="AI41" s="93" t="n">
        <v>0.0873454006588809</v>
      </c>
      <c r="AJ41" s="93" t="n">
        <v>0.159022790076999</v>
      </c>
    </row>
    <row r="42" customFormat="false" ht="15" hidden="false" customHeight="true" outlineLevel="0" collapsed="false">
      <c r="B42" s="82" t="s">
        <v>544</v>
      </c>
      <c r="C42" s="89" t="n">
        <f aca="false">Model!BV328</f>
        <v>0.340603952559729</v>
      </c>
      <c r="D42" s="90" t="n">
        <f aca="false">Model!CA328</f>
        <v>0.365850453167982</v>
      </c>
      <c r="E42" s="90" t="n">
        <f aca="false">Model!CB328</f>
        <v>0.350091492048235</v>
      </c>
      <c r="F42" s="90" t="n">
        <f aca="false">Model!CC328</f>
        <v>0.381410365571251</v>
      </c>
      <c r="G42" s="90" t="n">
        <f aca="false">Model!CD328</f>
        <v>0.40497533100189</v>
      </c>
      <c r="H42" s="90" t="n">
        <f aca="false">Model!CE328</f>
        <v>0.413830094778032</v>
      </c>
      <c r="J42" s="93" t="n">
        <f aca="false">IFERROR(AVERAGE(Model!C328,Model!D328,Model!E328,Model!F328,Model!G328,Model!H328,Model!I328,Model!N328,Model!S328,Model!X328,Model!AC328,Model!AH328,Model!AM328,Model!AR328,Model!AW328,Model!BB328,Model!BG328,Model!BL328,Model!BQ328,Model!BV328),"")</f>
        <v>0.305378759102305</v>
      </c>
      <c r="K42" s="93" t="n">
        <f aca="false">IFERROR(MIN(Model!C328,Model!D328,Model!E328,Model!F328,Model!G328,Model!H328,Model!I328,Model!N328,Model!S328,Model!X328,Model!AC328,Model!AH328,Model!AM328,Model!AR328,Model!AW328,Model!BB328,Model!BG328,Model!BL328,Model!BQ328,Model!BV328),"")</f>
        <v>0.231854502956422</v>
      </c>
      <c r="L42" s="93" t="n">
        <f aca="false">IFERROR(MAX(Model!C328,Model!D328,Model!E328,Model!F328,Model!G328,Model!H328,Model!I328,Model!N328,Model!S328,Model!X328,Model!AC328,Model!AH328,Model!AM328,Model!AR328,Model!AW328,Model!BB328,Model!BG328,Model!BL328,Model!BQ328,Model!BV328),"")</f>
        <v>0.440731794758582</v>
      </c>
      <c r="N42" s="82" t="s">
        <v>544</v>
      </c>
      <c r="O42" s="89" t="n">
        <v>0.340603952559729</v>
      </c>
      <c r="P42" s="90" t="n">
        <v>0.365850453167982</v>
      </c>
      <c r="Q42" s="90" t="n">
        <v>0.419587667261813</v>
      </c>
      <c r="R42" s="90" t="n">
        <v>0.436787643486075</v>
      </c>
      <c r="S42" s="90" t="n">
        <v>0.442442721744817</v>
      </c>
      <c r="T42" s="90" t="n">
        <v>0.447206838047123</v>
      </c>
      <c r="V42" s="93" t="n">
        <v>0.305378759102305</v>
      </c>
      <c r="W42" s="93" t="n">
        <v>0.231854502956422</v>
      </c>
      <c r="X42" s="93" t="n">
        <v>0.440731794758582</v>
      </c>
      <c r="Z42" s="82" t="s">
        <v>544</v>
      </c>
      <c r="AA42" s="89" t="n">
        <v>0.340603952559729</v>
      </c>
      <c r="AB42" s="90" t="n">
        <v>0.365850453167982</v>
      </c>
      <c r="AC42" s="90" t="n">
        <v>0.295079118542479</v>
      </c>
      <c r="AD42" s="90" t="n">
        <v>0.265543022669154</v>
      </c>
      <c r="AE42" s="90" t="n">
        <v>0.272642547261361</v>
      </c>
      <c r="AF42" s="90" t="n">
        <v>0.279814768438938</v>
      </c>
      <c r="AH42" s="93" t="n">
        <v>0.305378759102305</v>
      </c>
      <c r="AI42" s="93" t="n">
        <v>0.231854502956422</v>
      </c>
      <c r="AJ42" s="93" t="n">
        <v>0.440731794758582</v>
      </c>
    </row>
    <row r="44" customFormat="false" ht="15" hidden="false" customHeight="true" outlineLevel="0" collapsed="false">
      <c r="B44" s="86" t="s">
        <v>545</v>
      </c>
      <c r="E44" s="107"/>
      <c r="F44" s="107" t="n">
        <f aca="false">F27*F21</f>
        <v>48767.1053352342</v>
      </c>
      <c r="G44" s="107" t="n">
        <f aca="false">G27*G21</f>
        <v>53596.4525643724</v>
      </c>
      <c r="H44" s="107" t="n">
        <f aca="false">H27*H21</f>
        <v>58833.0931552514</v>
      </c>
      <c r="N44" s="86" t="s">
        <v>545</v>
      </c>
      <c r="Q44" s="107"/>
      <c r="R44" s="107" t="n">
        <v>62526.8223322301</v>
      </c>
      <c r="S44" s="107" t="n">
        <v>70457.955002219</v>
      </c>
      <c r="T44" s="107" t="n">
        <v>79311.2437302207</v>
      </c>
      <c r="Z44" s="86" t="s">
        <v>545</v>
      </c>
      <c r="AC44" s="107"/>
      <c r="AD44" s="107" t="n">
        <v>34180.3274333001</v>
      </c>
      <c r="AE44" s="107" t="n">
        <v>36159.4937889534</v>
      </c>
      <c r="AF44" s="107" t="n">
        <v>38293.4126561857</v>
      </c>
    </row>
    <row r="45" customFormat="false" ht="15" hidden="false" customHeight="true" outlineLevel="0" collapsed="false">
      <c r="B45" s="86" t="s">
        <v>546</v>
      </c>
      <c r="E45" s="107"/>
      <c r="F45" s="107" t="n">
        <f aca="false">F38+Model!CC343</f>
        <v>2720.42119374192</v>
      </c>
      <c r="G45" s="107" t="n">
        <f aca="false">G38+Model!CD343</f>
        <v>2923.05951530596</v>
      </c>
      <c r="H45" s="107" t="n">
        <f aca="false">H38+Model!CE343</f>
        <v>3143.35766760308</v>
      </c>
      <c r="N45" s="86" t="s">
        <v>546</v>
      </c>
      <c r="Q45" s="107"/>
      <c r="R45" s="107" t="n">
        <v>4072.78341674898</v>
      </c>
      <c r="S45" s="107" t="n">
        <v>4518.15668897678</v>
      </c>
      <c r="T45" s="107" t="n">
        <v>5008.89516994118</v>
      </c>
      <c r="Z45" s="86" t="s">
        <v>546</v>
      </c>
      <c r="AC45" s="107"/>
      <c r="AD45" s="107" t="n">
        <v>1615.69277508109</v>
      </c>
      <c r="AE45" s="107" t="n">
        <v>1682.45244942286</v>
      </c>
      <c r="AF45" s="107" t="n">
        <v>1754.11944870626</v>
      </c>
    </row>
    <row r="46" customFormat="false" ht="15" hidden="false" customHeight="true" outlineLevel="0" collapsed="false">
      <c r="B46" s="86" t="s">
        <v>547</v>
      </c>
      <c r="E46" s="107"/>
      <c r="F46" s="107" t="n">
        <f aca="false">F44+F45</f>
        <v>51487.5265289761</v>
      </c>
      <c r="G46" s="107" t="n">
        <f aca="false">G44+G45</f>
        <v>56519.5120796783</v>
      </c>
      <c r="H46" s="107" t="n">
        <f aca="false">H44+H45</f>
        <v>61976.4508228545</v>
      </c>
      <c r="N46" s="86" t="s">
        <v>547</v>
      </c>
      <c r="Q46" s="107"/>
      <c r="R46" s="107" t="n">
        <v>66599.6057489791</v>
      </c>
      <c r="S46" s="107" t="n">
        <v>74976.1116911957</v>
      </c>
      <c r="T46" s="107" t="n">
        <v>84320.1389001619</v>
      </c>
      <c r="Z46" s="86" t="s">
        <v>547</v>
      </c>
      <c r="AC46" s="107"/>
      <c r="AD46" s="107" t="n">
        <v>35796.0202083812</v>
      </c>
      <c r="AE46" s="107" t="n">
        <v>37841.9462383763</v>
      </c>
      <c r="AF46" s="107" t="n">
        <v>40047.532104892</v>
      </c>
    </row>
    <row r="47" customFormat="false" ht="15" hidden="false" customHeight="true" outlineLevel="0" collapsed="false">
      <c r="B47" s="86" t="s">
        <v>548</v>
      </c>
      <c r="E47" s="108"/>
      <c r="F47" s="108" t="n">
        <f aca="false">IFERROR(F46/F35,"")</f>
        <v>26.1363404855658</v>
      </c>
      <c r="G47" s="108" t="n">
        <f aca="false">IFERROR(G46/G35,"")</f>
        <v>26.3679787946935</v>
      </c>
      <c r="H47" s="108" t="n">
        <f aca="false">IFERROR(H46/H35,"")</f>
        <v>26.5783730820022</v>
      </c>
      <c r="N47" s="86" t="s">
        <v>548</v>
      </c>
      <c r="Q47" s="108"/>
      <c r="R47" s="108" t="n">
        <v>30.1204136823349</v>
      </c>
      <c r="S47" s="108" t="n">
        <v>30.1628963830502</v>
      </c>
      <c r="T47" s="108" t="n">
        <v>30.2467714958207</v>
      </c>
      <c r="Z47" s="86" t="s">
        <v>548</v>
      </c>
      <c r="AC47" s="108"/>
      <c r="AD47" s="108" t="n">
        <v>20.5458073128526</v>
      </c>
      <c r="AE47" s="108" t="n">
        <v>20.7096950459189</v>
      </c>
      <c r="AF47" s="108" t="n">
        <v>20.8666501120031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61" activeCellId="0" sqref="D6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55.29"/>
    <col collapsed="false" customWidth="true" hidden="false" outlineLevel="0" max="14" min="3" style="1" width="12.57"/>
    <col collapsed="false" customWidth="true" hidden="false" outlineLevel="0" max="15" min="15" style="1" width="2.28"/>
    <col collapsed="false" customWidth="true" hidden="false" outlineLevel="0" max="17" min="16" style="1" width="14.86"/>
  </cols>
  <sheetData>
    <row r="1" customFormat="false" ht="15" hidden="false" customHeight="false" outlineLevel="0" collapsed="false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customFormat="false" ht="24" hidden="false" customHeight="true" outlineLevel="0" collapsed="false">
      <c r="A2" s="109"/>
      <c r="B2" s="110" t="s">
        <v>549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09"/>
      <c r="P2" s="109"/>
      <c r="Q2" s="109"/>
    </row>
    <row r="3" customFormat="false" ht="15" hidden="false" customHeight="true" outlineLevel="0" collapsed="false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customFormat="false" ht="15.75" hidden="false" customHeight="true" outlineLevel="0" collapsed="false">
      <c r="A4" s="109"/>
      <c r="B4" s="15" t="s">
        <v>550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9"/>
      <c r="P4" s="109"/>
      <c r="Q4" s="109"/>
    </row>
    <row r="5" customFormat="false" ht="15.75" hidden="false" customHeight="true" outlineLevel="0" collapsed="false">
      <c r="A5" s="109"/>
      <c r="B5" s="24" t="s">
        <v>551</v>
      </c>
      <c r="C5" s="112" t="n">
        <v>0.045</v>
      </c>
      <c r="D5" s="113" t="s">
        <v>552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</row>
    <row r="6" customFormat="false" ht="15.75" hidden="false" customHeight="true" outlineLevel="0" collapsed="false">
      <c r="A6" s="109"/>
      <c r="B6" s="24" t="s">
        <v>553</v>
      </c>
      <c r="C6" s="112" t="n">
        <v>0.05</v>
      </c>
      <c r="D6" s="113" t="s">
        <v>554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</row>
    <row r="7" customFormat="false" ht="15.75" hidden="false" customHeight="true" outlineLevel="0" collapsed="false">
      <c r="A7" s="109"/>
      <c r="B7" s="24" t="s">
        <v>555</v>
      </c>
      <c r="C7" s="114" t="n">
        <v>1.1</v>
      </c>
      <c r="D7" s="113" t="s">
        <v>556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customFormat="false" ht="15.75" hidden="false" customHeight="true" outlineLevel="0" collapsed="false">
      <c r="A8" s="109"/>
      <c r="B8" s="24" t="s">
        <v>557</v>
      </c>
      <c r="C8" s="115" t="n">
        <f aca="false">C5+C7*C6</f>
        <v>0.1</v>
      </c>
      <c r="D8" s="113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customFormat="false" ht="15.75" hidden="false" customHeight="true" outlineLevel="0" collapsed="false">
      <c r="A9" s="109"/>
      <c r="B9" s="24" t="s">
        <v>558</v>
      </c>
      <c r="C9" s="112" t="n">
        <v>0.054</v>
      </c>
      <c r="D9" s="113" t="s">
        <v>559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</row>
    <row r="10" customFormat="false" ht="15.75" hidden="false" customHeight="true" outlineLevel="0" collapsed="false">
      <c r="A10" s="109"/>
      <c r="B10" s="24" t="s">
        <v>560</v>
      </c>
      <c r="C10" s="112" t="n">
        <v>0.205</v>
      </c>
      <c r="D10" s="113" t="s">
        <v>561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customFormat="false" ht="15.75" hidden="false" customHeight="true" outlineLevel="0" collapsed="false">
      <c r="A11" s="109"/>
      <c r="B11" s="24" t="s">
        <v>562</v>
      </c>
      <c r="C11" s="115" t="n">
        <f aca="false">C9*(1-C10)</f>
        <v>0.04293</v>
      </c>
      <c r="D11" s="113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</row>
    <row r="12" customFormat="false" ht="15.75" hidden="false" customHeight="true" outlineLevel="0" collapsed="false">
      <c r="A12" s="109"/>
      <c r="B12" s="24" t="s">
        <v>563</v>
      </c>
      <c r="C12" s="112" t="n">
        <v>0.05</v>
      </c>
      <c r="D12" s="113" t="s">
        <v>564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customFormat="false" ht="15.75" hidden="false" customHeight="true" outlineLevel="0" collapsed="false">
      <c r="A13" s="109"/>
      <c r="B13" s="116" t="s">
        <v>565</v>
      </c>
      <c r="C13" s="117" t="n">
        <f aca="false">C8*(1-C12)+C11*C12</f>
        <v>0.0971465</v>
      </c>
      <c r="D13" s="113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</row>
    <row r="14" customFormat="false" ht="15" hidden="false" customHeight="true" outlineLevel="0" collapsed="false">
      <c r="A14" s="109"/>
      <c r="B14" s="109"/>
      <c r="C14" s="109"/>
      <c r="D14" s="113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</row>
    <row r="15" customFormat="false" ht="15.75" hidden="false" customHeight="true" outlineLevel="0" collapsed="false">
      <c r="A15" s="109"/>
      <c r="B15" s="24" t="s">
        <v>566</v>
      </c>
      <c r="C15" s="118" t="n">
        <f aca="true">TODAY()</f>
        <v>46301</v>
      </c>
      <c r="D15" s="113" t="s">
        <v>567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</row>
    <row r="16" customFormat="false" ht="15.75" hidden="false" customHeight="true" outlineLevel="0" collapsed="false">
      <c r="A16" s="109"/>
      <c r="B16" s="15" t="s">
        <v>568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09"/>
      <c r="P16" s="119"/>
      <c r="Q16" s="119"/>
    </row>
    <row r="17" customFormat="false" ht="15.75" hidden="false" customHeight="true" outlineLevel="0" collapsed="false">
      <c r="A17" s="109"/>
      <c r="B17" s="111"/>
      <c r="C17" s="111"/>
      <c r="D17" s="9" t="s">
        <v>65</v>
      </c>
      <c r="E17" s="9" t="s">
        <v>66</v>
      </c>
      <c r="F17" s="9" t="s">
        <v>67</v>
      </c>
      <c r="G17" s="9" t="s">
        <v>68</v>
      </c>
      <c r="H17" s="9" t="s">
        <v>569</v>
      </c>
      <c r="I17" s="9" t="s">
        <v>570</v>
      </c>
      <c r="J17" s="9" t="s">
        <v>571</v>
      </c>
      <c r="K17" s="9" t="s">
        <v>572</v>
      </c>
      <c r="L17" s="9" t="s">
        <v>573</v>
      </c>
      <c r="M17" s="9" t="s">
        <v>574</v>
      </c>
      <c r="N17" s="9" t="s">
        <v>575</v>
      </c>
      <c r="O17" s="109"/>
      <c r="P17" s="120" t="s">
        <v>576</v>
      </c>
      <c r="Q17" s="120" t="s">
        <v>577</v>
      </c>
    </row>
    <row r="18" customFormat="false" ht="15.75" hidden="false" customHeight="true" outlineLevel="0" collapsed="false">
      <c r="A18" s="109"/>
      <c r="B18" s="24" t="s">
        <v>578</v>
      </c>
      <c r="C18" s="109"/>
      <c r="D18" s="121" t="n">
        <f aca="false">Model!CB145-Model!CB139</f>
        <v>1516.16881662762</v>
      </c>
      <c r="E18" s="121" t="n">
        <f aca="false">Model!CC145-Model!CC139</f>
        <v>1702.37590056206</v>
      </c>
      <c r="F18" s="121" t="n">
        <f aca="false">Model!CD145-Model!CD139</f>
        <v>1858.00715381334</v>
      </c>
      <c r="G18" s="121" t="n">
        <f aca="false">Model!CE145-Model!CE139</f>
        <v>2026.76390277266</v>
      </c>
      <c r="H18" s="121" t="n">
        <f aca="false">G18*(1+H$26)</f>
        <v>2229.44029304992</v>
      </c>
      <c r="I18" s="41" t="n">
        <f aca="false">H18*(1+I$26)</f>
        <v>2434.54880001052</v>
      </c>
      <c r="J18" s="41" t="n">
        <f aca="false">I18*(1+J$26)</f>
        <v>2639.0508992114</v>
      </c>
      <c r="K18" s="41" t="n">
        <f aca="false">J18*(1+K$26)</f>
        <v>2839.61876755147</v>
      </c>
      <c r="L18" s="41" t="n">
        <f aca="false">K18*(1+L$26)</f>
        <v>3032.71284374497</v>
      </c>
      <c r="M18" s="41" t="n">
        <f aca="false">L18*(1+M$26)</f>
        <v>3214.67561436966</v>
      </c>
      <c r="N18" s="109"/>
      <c r="O18" s="109"/>
      <c r="P18" s="122" t="n">
        <f aca="false">(G18/D18)^(1/(COLUMNS(D18:G18)-1))-1</f>
        <v>0.101586318789047</v>
      </c>
      <c r="Q18" s="122" t="n">
        <f aca="false">(M18/D18)^(1/(COLUMNS(D18:M18)-1))-1</f>
        <v>0.0870900247390434</v>
      </c>
    </row>
    <row r="19" customFormat="false" ht="15.75" hidden="false" customHeight="true" outlineLevel="0" collapsed="false">
      <c r="A19" s="109"/>
      <c r="B19" s="24" t="s">
        <v>579</v>
      </c>
      <c r="C19" s="109"/>
      <c r="D19" s="123" t="n">
        <f aca="false">1-$C$10</f>
        <v>0.795</v>
      </c>
      <c r="E19" s="123" t="n">
        <f aca="false">1-$C$10</f>
        <v>0.795</v>
      </c>
      <c r="F19" s="123" t="n">
        <f aca="false">1-$C$10</f>
        <v>0.795</v>
      </c>
      <c r="G19" s="123" t="n">
        <f aca="false">1-$C$10</f>
        <v>0.795</v>
      </c>
      <c r="H19" s="123" t="n">
        <f aca="false">1-$C$10</f>
        <v>0.795</v>
      </c>
      <c r="I19" s="123" t="n">
        <f aca="false">1-$C$10</f>
        <v>0.795</v>
      </c>
      <c r="J19" s="123" t="n">
        <f aca="false">1-$C$10</f>
        <v>0.795</v>
      </c>
      <c r="K19" s="123" t="n">
        <f aca="false">1-$C$10</f>
        <v>0.795</v>
      </c>
      <c r="L19" s="123" t="n">
        <f aca="false">1-$C$10</f>
        <v>0.795</v>
      </c>
      <c r="M19" s="123" t="n">
        <f aca="false">1-$C$10</f>
        <v>0.795</v>
      </c>
      <c r="N19" s="109"/>
      <c r="O19" s="109"/>
      <c r="P19" s="122"/>
      <c r="Q19" s="122"/>
    </row>
    <row r="20" customFormat="false" ht="15.75" hidden="false" customHeight="true" outlineLevel="0" collapsed="false">
      <c r="A20" s="109"/>
      <c r="B20" s="116" t="s">
        <v>580</v>
      </c>
      <c r="C20" s="109"/>
      <c r="D20" s="41" t="n">
        <f aca="false">D18*D19</f>
        <v>1205.35420921896</v>
      </c>
      <c r="E20" s="41" t="n">
        <f aca="false">E18*E19</f>
        <v>1353.38884094684</v>
      </c>
      <c r="F20" s="41" t="n">
        <f aca="false">F18*F19</f>
        <v>1477.11568728161</v>
      </c>
      <c r="G20" s="41" t="n">
        <f aca="false">G18*G19</f>
        <v>1611.27730270426</v>
      </c>
      <c r="H20" s="41" t="n">
        <f aca="false">H18*H19</f>
        <v>1772.40503297469</v>
      </c>
      <c r="I20" s="41" t="n">
        <f aca="false">I18*I19</f>
        <v>1935.46629600836</v>
      </c>
      <c r="J20" s="41" t="n">
        <f aca="false">J18*J19</f>
        <v>2098.04546487306</v>
      </c>
      <c r="K20" s="41" t="n">
        <f aca="false">K18*K19</f>
        <v>2257.49692020342</v>
      </c>
      <c r="L20" s="41" t="n">
        <f aca="false">L18*L19</f>
        <v>2411.00671077725</v>
      </c>
      <c r="M20" s="41" t="n">
        <f aca="false">M18*M19</f>
        <v>2555.66711342388</v>
      </c>
      <c r="N20" s="109"/>
      <c r="O20" s="109"/>
      <c r="P20" s="122"/>
      <c r="Q20" s="122"/>
    </row>
    <row r="21" customFormat="false" ht="15.75" hidden="false" customHeight="true" outlineLevel="0" collapsed="false">
      <c r="A21" s="109"/>
      <c r="B21" s="24" t="s">
        <v>581</v>
      </c>
      <c r="C21" s="109"/>
      <c r="D21" s="121" t="n">
        <f aca="false">Model!CB114</f>
        <v>251.957285260466</v>
      </c>
      <c r="E21" s="121" t="n">
        <f aca="false">Model!CC114</f>
        <v>267.583381128922</v>
      </c>
      <c r="F21" s="121" t="n">
        <f aca="false">Model!CD114</f>
        <v>285.483347288422</v>
      </c>
      <c r="G21" s="121" t="n">
        <f aca="false">Model!CE114</f>
        <v>305.073739495318</v>
      </c>
      <c r="H21" s="121" t="n">
        <f aca="false">G21*(1+H$26)</f>
        <v>335.58111344485</v>
      </c>
      <c r="I21" s="41" t="n">
        <f aca="false">H21*(1+I$26)</f>
        <v>366.454575881776</v>
      </c>
      <c r="J21" s="41" t="n">
        <f aca="false">I21*(1+J$26)</f>
        <v>397.236760255845</v>
      </c>
      <c r="K21" s="41" t="n">
        <f aca="false">J21*(1+K$26)</f>
        <v>427.42675403529</v>
      </c>
      <c r="L21" s="41" t="n">
        <f aca="false">K21*(1+L$26)</f>
        <v>456.491773309689</v>
      </c>
      <c r="M21" s="41" t="n">
        <f aca="false">L21*(1+M$26)</f>
        <v>483.881279708271</v>
      </c>
      <c r="N21" s="109"/>
      <c r="O21" s="109"/>
      <c r="P21" s="122"/>
      <c r="Q21" s="122"/>
    </row>
    <row r="22" customFormat="false" ht="15.75" hidden="false" customHeight="true" outlineLevel="0" collapsed="false">
      <c r="A22" s="109"/>
      <c r="B22" s="24" t="s">
        <v>582</v>
      </c>
      <c r="C22" s="109"/>
      <c r="D22" s="121" t="n">
        <f aca="false">Model!CB194+Model!CB195</f>
        <v>-899.143047013955</v>
      </c>
      <c r="E22" s="121" t="n">
        <f aca="false">Model!CC194+Model!CC195</f>
        <v>-910.041841505229</v>
      </c>
      <c r="F22" s="121" t="n">
        <f aca="false">Model!CD194+Model!CD195</f>
        <v>-1021.08094305123</v>
      </c>
      <c r="G22" s="121" t="n">
        <f aca="false">Model!CE194+Model!CE195</f>
        <v>-1033.09535292709</v>
      </c>
      <c r="H22" s="121" t="n">
        <f aca="false">Model!CE194*(1+H$26)</f>
        <v>-146.4048882198</v>
      </c>
      <c r="I22" s="41" t="n">
        <f aca="false">H22*(1+I$26)</f>
        <v>-159.874137936022</v>
      </c>
      <c r="J22" s="41" t="n">
        <f aca="false">I22*(1+J$26)</f>
        <v>-173.303565522647</v>
      </c>
      <c r="K22" s="41" t="n">
        <f aca="false">J22*(1+K$26)</f>
        <v>-186.474636502369</v>
      </c>
      <c r="L22" s="41" t="n">
        <f aca="false">K22*(1+L$26)</f>
        <v>-199.15491178453</v>
      </c>
      <c r="M22" s="41" t="n">
        <f aca="false">L22*(1+M$26)</f>
        <v>-211.104206491601</v>
      </c>
      <c r="N22" s="109"/>
      <c r="O22" s="109"/>
      <c r="P22" s="122"/>
      <c r="Q22" s="122"/>
    </row>
    <row r="23" customFormat="false" ht="15.75" hidden="false" customHeight="true" outlineLevel="0" collapsed="false">
      <c r="A23" s="109"/>
      <c r="B23" s="24" t="s">
        <v>583</v>
      </c>
      <c r="C23" s="109"/>
      <c r="D23" s="121" t="n">
        <f aca="false">Model!CB192</f>
        <v>-190.605858719457</v>
      </c>
      <c r="E23" s="121" t="n">
        <f aca="false">Model!CC192</f>
        <v>-173.055687187643</v>
      </c>
      <c r="F23" s="121" t="n">
        <f aca="false">Model!CD192</f>
        <v>-175.283542185035</v>
      </c>
      <c r="G23" s="121" t="n">
        <f aca="false">Model!CE192</f>
        <v>-190.769902018604</v>
      </c>
      <c r="H23" s="121" t="n">
        <f aca="false">G23*(1+H$26)</f>
        <v>-209.846892220464</v>
      </c>
      <c r="I23" s="41" t="n">
        <f aca="false">H23*(1+I$26)</f>
        <v>-229.152806304747</v>
      </c>
      <c r="J23" s="41" t="n">
        <f aca="false">I23*(1+J$26)</f>
        <v>-248.401642034346</v>
      </c>
      <c r="K23" s="41" t="n">
        <f aca="false">J23*(1+K$26)</f>
        <v>-267.280166828956</v>
      </c>
      <c r="L23" s="41" t="n">
        <f aca="false">K23*(1+L$26)</f>
        <v>-285.455218173325</v>
      </c>
      <c r="M23" s="41" t="n">
        <f aca="false">L23*(1+M$26)</f>
        <v>-302.582531263725</v>
      </c>
      <c r="N23" s="109"/>
      <c r="O23" s="109"/>
      <c r="P23" s="122"/>
      <c r="Q23" s="122"/>
    </row>
    <row r="24" customFormat="false" ht="15.75" hidden="false" customHeight="true" outlineLevel="0" collapsed="false">
      <c r="A24" s="109"/>
      <c r="B24" s="124" t="s">
        <v>584</v>
      </c>
      <c r="C24" s="125"/>
      <c r="D24" s="126" t="n">
        <f aca="false">D20+D21+D22+D23</f>
        <v>367.562588746013</v>
      </c>
      <c r="E24" s="126" t="n">
        <f aca="false">E20+E21+E22+E23</f>
        <v>537.874693382888</v>
      </c>
      <c r="F24" s="126" t="n">
        <f aca="false">F20+F21+F22+F23</f>
        <v>566.234549333765</v>
      </c>
      <c r="G24" s="126" t="n">
        <f aca="false">G20+G21+G22+G23</f>
        <v>692.485787253886</v>
      </c>
      <c r="H24" s="126" t="n">
        <f aca="false">H20+H21+H22+H23</f>
        <v>1751.73436597927</v>
      </c>
      <c r="I24" s="126" t="n">
        <f aca="false">I20+I21+I22+I23</f>
        <v>1912.89392764937</v>
      </c>
      <c r="J24" s="126" t="n">
        <f aca="false">J20+J21+J22+J23</f>
        <v>2073.57701757192</v>
      </c>
      <c r="K24" s="126" t="n">
        <f aca="false">K20+K21+K22+K23</f>
        <v>2231.16887090738</v>
      </c>
      <c r="L24" s="126" t="n">
        <f aca="false">L20+L21+L22+L23</f>
        <v>2382.88835412908</v>
      </c>
      <c r="M24" s="126" t="n">
        <f aca="false">M20+M21+M22+M23</f>
        <v>2525.86165537683</v>
      </c>
      <c r="N24" s="126" t="n">
        <f aca="false">M24*(1+$C$27)</f>
        <v>2626.8961215919</v>
      </c>
      <c r="O24" s="109"/>
      <c r="P24" s="127" t="n">
        <f aca="false">(G24/D24)^(1/(COLUMNS(D24:G24)-1))-1</f>
        <v>0.235074592187379</v>
      </c>
      <c r="Q24" s="127" t="n">
        <f aca="false">(M24/D24)^(1/(COLUMNS(D24:M24)-1))-1</f>
        <v>0.23882138977816</v>
      </c>
    </row>
    <row r="25" customFormat="false" ht="15.75" hidden="false" customHeight="true" outlineLevel="0" collapsed="false">
      <c r="A25" s="109"/>
      <c r="B25" s="116" t="s">
        <v>585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28" t="n">
        <f aca="false">N24/($C$13-$C$27)</f>
        <v>45967.7516836884</v>
      </c>
      <c r="O25" s="109"/>
      <c r="P25" s="109"/>
      <c r="Q25" s="109"/>
    </row>
    <row r="26" customFormat="false" ht="15.75" hidden="false" customHeight="true" outlineLevel="0" collapsed="false">
      <c r="A26" s="109"/>
      <c r="B26" s="24" t="s">
        <v>586</v>
      </c>
      <c r="C26" s="109"/>
      <c r="D26" s="109"/>
      <c r="E26" s="109"/>
      <c r="F26" s="109"/>
      <c r="G26" s="109"/>
      <c r="H26" s="109" t="n">
        <v>0.1</v>
      </c>
      <c r="I26" s="129" t="n">
        <f aca="false">H26+($M$26-$H$26)/5</f>
        <v>0.092</v>
      </c>
      <c r="J26" s="130" t="n">
        <f aca="false">I26+($M$26-$H$26)/5</f>
        <v>0.084</v>
      </c>
      <c r="K26" s="130" t="n">
        <f aca="false">J26+($M$26-$H$26)/5</f>
        <v>0.076</v>
      </c>
      <c r="L26" s="130" t="n">
        <f aca="false">K26+($M$26-$H$26)/5</f>
        <v>0.068</v>
      </c>
      <c r="M26" s="129" t="n">
        <v>0.06</v>
      </c>
      <c r="N26" s="109"/>
      <c r="O26" s="109"/>
      <c r="P26" s="109"/>
      <c r="Q26" s="109"/>
    </row>
    <row r="27" customFormat="false" ht="15.75" hidden="false" customHeight="true" outlineLevel="0" collapsed="false">
      <c r="A27" s="109"/>
      <c r="B27" s="24" t="s">
        <v>587</v>
      </c>
      <c r="C27" s="131" t="n">
        <v>0.04</v>
      </c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</row>
    <row r="28" customFormat="false" ht="15" hidden="false" customHeight="true" outlineLevel="0" collapsed="false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</row>
    <row r="29" customFormat="false" ht="15.75" hidden="false" customHeight="true" outlineLevel="0" collapsed="false">
      <c r="A29" s="109"/>
      <c r="B29" s="24" t="s">
        <v>588</v>
      </c>
      <c r="C29" s="109"/>
      <c r="D29" s="123" t="n">
        <f aca="false">(DATE(2027,10,31)-$C$15)/365.25</f>
        <v>1.06776180698152</v>
      </c>
      <c r="E29" s="123" t="n">
        <f aca="false">(DATE(2028,10,31)-$C$15)/365.25</f>
        <v>2.06981519507187</v>
      </c>
      <c r="F29" s="123" t="n">
        <f aca="false">(DATE(2029,10,31)-$C$15)/365.25</f>
        <v>3.06913073237509</v>
      </c>
      <c r="G29" s="123" t="n">
        <f aca="false">(DATE(2030,10,31)-$C$15)/365.25</f>
        <v>4.0684462696783</v>
      </c>
      <c r="H29" s="123" t="n">
        <f aca="false">(DATE(2031,10,31)-$C$15)/365.25</f>
        <v>5.06776180698152</v>
      </c>
      <c r="I29" s="123" t="n">
        <f aca="false">(DATE(2032,10,31)-$C$15)/365.25</f>
        <v>6.06981519507187</v>
      </c>
      <c r="J29" s="123" t="n">
        <f aca="false">(DATE(2033,10,31)-$C$15)/365.25</f>
        <v>7.06913073237509</v>
      </c>
      <c r="K29" s="123" t="n">
        <f aca="false">(DATE(2034,10,31)-$C$15)/365.25</f>
        <v>8.0684462696783</v>
      </c>
      <c r="L29" s="123" t="n">
        <f aca="false">(DATE(2035,10,31)-$C$15)/365.25</f>
        <v>9.06776180698152</v>
      </c>
      <c r="M29" s="123" t="n">
        <f aca="false">(DATE(2036,10,31)-$C$15)/365.25</f>
        <v>10.0698151950719</v>
      </c>
      <c r="N29" s="123" t="n">
        <f aca="false">M29</f>
        <v>10.0698151950719</v>
      </c>
      <c r="O29" s="109"/>
      <c r="P29" s="109"/>
      <c r="Q29" s="109"/>
    </row>
    <row r="30" customFormat="false" ht="15.75" hidden="false" customHeight="true" outlineLevel="0" collapsed="false">
      <c r="A30" s="109"/>
      <c r="B30" s="24" t="s">
        <v>589</v>
      </c>
      <c r="C30" s="109"/>
      <c r="D30" s="132" t="n">
        <f aca="false">1/(1+$C$13)^D29</f>
        <v>0.905747146408306</v>
      </c>
      <c r="E30" s="132" t="n">
        <f aca="false">1/(1+$C$13)^E29</f>
        <v>0.825390894501239</v>
      </c>
      <c r="F30" s="132" t="n">
        <f aca="false">1/(1+$C$13)^F29</f>
        <v>0.752354652862195</v>
      </c>
      <c r="G30" s="132" t="n">
        <f aca="false">1/(1+$C$13)^G29</f>
        <v>0.685781158302496</v>
      </c>
      <c r="H30" s="132" t="n">
        <f aca="false">1/(1+$C$13)^H29</f>
        <v>0.625098542680051</v>
      </c>
      <c r="I30" s="132" t="n">
        <f aca="false">1/(1+$C$13)^I29</f>
        <v>0.569640928309942</v>
      </c>
      <c r="J30" s="132" t="n">
        <f aca="false">1/(1+$C$13)^J29</f>
        <v>0.519235195990015</v>
      </c>
      <c r="K30" s="132" t="n">
        <f aca="false">1/(1+$C$13)^K29</f>
        <v>0.473289708228438</v>
      </c>
      <c r="L30" s="132" t="n">
        <f aca="false">1/(1+$C$13)^L29</f>
        <v>0.431409792026633</v>
      </c>
      <c r="M30" s="132" t="n">
        <f aca="false">1/(1+$C$13)^M29</f>
        <v>0.39313589399589</v>
      </c>
      <c r="N30" s="132" t="n">
        <f aca="false">1/(1+$C$13)^N29</f>
        <v>0.39313589399589</v>
      </c>
      <c r="O30" s="109"/>
      <c r="P30" s="109"/>
      <c r="Q30" s="109"/>
    </row>
    <row r="31" customFormat="false" ht="15.75" hidden="false" customHeight="true" outlineLevel="0" collapsed="false">
      <c r="A31" s="109"/>
      <c r="B31" s="133" t="s">
        <v>590</v>
      </c>
      <c r="C31" s="134"/>
      <c r="D31" s="135" t="n">
        <f aca="false">D24*D30</f>
        <v>332.918765883151</v>
      </c>
      <c r="E31" s="135" t="n">
        <f aca="false">E24*E30</f>
        <v>443.956874300881</v>
      </c>
      <c r="F31" s="135" t="n">
        <f aca="false">F24*F30</f>
        <v>426.009197802586</v>
      </c>
      <c r="G31" s="135" t="n">
        <f aca="false">G24*G30</f>
        <v>474.893705290986</v>
      </c>
      <c r="H31" s="135" t="n">
        <f aca="false">H24*H30</f>
        <v>1095.00659933621</v>
      </c>
      <c r="I31" s="135" t="n">
        <f aca="false">I24*I30</f>
        <v>1089.66267270464</v>
      </c>
      <c r="J31" s="135" t="n">
        <f aca="false">J24*J30</f>
        <v>1076.67416911934</v>
      </c>
      <c r="K31" s="135" t="n">
        <f aca="false">K24*K30</f>
        <v>1055.98926392013</v>
      </c>
      <c r="L31" s="135" t="n">
        <f aca="false">L24*L30</f>
        <v>1028.00136927751</v>
      </c>
      <c r="M31" s="135" t="n">
        <f aca="false">M24*M30</f>
        <v>993.006879996509</v>
      </c>
      <c r="N31" s="135" t="n">
        <f aca="false">N25*N30</f>
        <v>18071.5731531479</v>
      </c>
      <c r="O31" s="109"/>
      <c r="P31" s="109"/>
      <c r="Q31" s="109"/>
    </row>
    <row r="32" customFormat="false" ht="15" hidden="false" customHeight="true" outlineLevel="0" collapsed="false">
      <c r="A32" s="109"/>
      <c r="B32" s="109"/>
      <c r="C32" s="109"/>
      <c r="D32" s="113" t="s">
        <v>591</v>
      </c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</row>
    <row r="33" customFormat="false" ht="15.75" hidden="false" customHeight="true" outlineLevel="0" collapsed="false">
      <c r="A33" s="109"/>
      <c r="B33" s="15" t="s">
        <v>592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09"/>
      <c r="P33" s="109"/>
      <c r="Q33" s="109"/>
    </row>
    <row r="34" customFormat="false" ht="15.75" hidden="false" customHeight="true" outlineLevel="0" collapsed="false">
      <c r="A34" s="109"/>
      <c r="B34" s="24" t="s">
        <v>593</v>
      </c>
      <c r="C34" s="109"/>
      <c r="D34" s="121" t="n">
        <f aca="false">Model!CA314</f>
        <v>7944.13165811243</v>
      </c>
      <c r="E34" s="41" t="n">
        <f aca="false">D38</f>
        <v>8781.92327858538</v>
      </c>
      <c r="F34" s="41" t="n">
        <f aca="false">E38</f>
        <v>9597.43742614933</v>
      </c>
      <c r="G34" s="41" t="n">
        <f aca="false">F38</f>
        <v>10508.3185640972</v>
      </c>
      <c r="H34" s="41" t="n">
        <f aca="false">G38</f>
        <v>11427.1100795475</v>
      </c>
      <c r="I34" s="41" t="n">
        <f aca="false">H38</f>
        <v>11447.780746543</v>
      </c>
      <c r="J34" s="41" t="n">
        <f aca="false">I38</f>
        <v>11470.353114902</v>
      </c>
      <c r="K34" s="41" t="n">
        <f aca="false">J38</f>
        <v>11494.8215622031</v>
      </c>
      <c r="L34" s="41" t="n">
        <f aca="false">K38</f>
        <v>11521.1496114991</v>
      </c>
      <c r="M34" s="41" t="n">
        <f aca="false">L38</f>
        <v>11549.2679681473</v>
      </c>
      <c r="N34" s="41"/>
      <c r="O34" s="109"/>
      <c r="P34" s="109"/>
      <c r="Q34" s="109"/>
    </row>
    <row r="35" customFormat="false" ht="15.75" hidden="false" customHeight="true" outlineLevel="0" collapsed="false">
      <c r="A35" s="109"/>
      <c r="B35" s="24" t="s">
        <v>594</v>
      </c>
      <c r="C35" s="109"/>
      <c r="D35" s="41" t="n">
        <f aca="false">-D22</f>
        <v>899.143047013955</v>
      </c>
      <c r="E35" s="41" t="n">
        <f aca="false">-E22</f>
        <v>910.041841505229</v>
      </c>
      <c r="F35" s="41" t="n">
        <f aca="false">-F22</f>
        <v>1021.08094305123</v>
      </c>
      <c r="G35" s="41" t="n">
        <f aca="false">-G22</f>
        <v>1033.09535292709</v>
      </c>
      <c r="H35" s="41" t="n">
        <f aca="false">-H22</f>
        <v>146.4048882198</v>
      </c>
      <c r="I35" s="41" t="n">
        <f aca="false">-I22</f>
        <v>159.874137936022</v>
      </c>
      <c r="J35" s="41" t="n">
        <f aca="false">-J22</f>
        <v>173.303565522647</v>
      </c>
      <c r="K35" s="41" t="n">
        <f aca="false">-K22</f>
        <v>186.474636502369</v>
      </c>
      <c r="L35" s="41" t="n">
        <f aca="false">-L22</f>
        <v>199.15491178453</v>
      </c>
      <c r="M35" s="41" t="n">
        <f aca="false">-M22</f>
        <v>211.104206491601</v>
      </c>
      <c r="N35" s="41"/>
      <c r="O35" s="109"/>
      <c r="P35" s="109"/>
      <c r="Q35" s="109"/>
    </row>
    <row r="36" customFormat="false" ht="15.75" hidden="false" customHeight="true" outlineLevel="0" collapsed="false">
      <c r="A36" s="109"/>
      <c r="B36" s="24" t="s">
        <v>595</v>
      </c>
      <c r="C36" s="109"/>
      <c r="D36" s="41" t="n">
        <f aca="false">-D21</f>
        <v>-251.957285260466</v>
      </c>
      <c r="E36" s="41" t="n">
        <f aca="false">-E21</f>
        <v>-267.583381128922</v>
      </c>
      <c r="F36" s="41" t="n">
        <f aca="false">-F21</f>
        <v>-285.483347288422</v>
      </c>
      <c r="G36" s="41" t="n">
        <f aca="false">-G21</f>
        <v>-305.073739495318</v>
      </c>
      <c r="H36" s="41" t="n">
        <f aca="false">-H21</f>
        <v>-335.58111344485</v>
      </c>
      <c r="I36" s="41" t="n">
        <f aca="false">-I21</f>
        <v>-366.454575881776</v>
      </c>
      <c r="J36" s="41" t="n">
        <f aca="false">-J21</f>
        <v>-397.236760255845</v>
      </c>
      <c r="K36" s="41" t="n">
        <f aca="false">-K21</f>
        <v>-427.42675403529</v>
      </c>
      <c r="L36" s="41" t="n">
        <f aca="false">-L21</f>
        <v>-456.491773309689</v>
      </c>
      <c r="M36" s="41" t="n">
        <f aca="false">-M21</f>
        <v>-483.881279708271</v>
      </c>
      <c r="N36" s="41"/>
      <c r="O36" s="109"/>
      <c r="P36" s="109"/>
      <c r="Q36" s="109"/>
    </row>
    <row r="37" customFormat="false" ht="15.75" hidden="false" customHeight="true" outlineLevel="0" collapsed="false">
      <c r="A37" s="109"/>
      <c r="B37" s="24" t="s">
        <v>596</v>
      </c>
      <c r="C37" s="109"/>
      <c r="D37" s="41" t="n">
        <f aca="false">-D23</f>
        <v>190.605858719457</v>
      </c>
      <c r="E37" s="41" t="n">
        <f aca="false">-E23</f>
        <v>173.055687187643</v>
      </c>
      <c r="F37" s="41" t="n">
        <f aca="false">-F23</f>
        <v>175.283542185035</v>
      </c>
      <c r="G37" s="41" t="n">
        <f aca="false">-G23</f>
        <v>190.769902018604</v>
      </c>
      <c r="H37" s="41" t="n">
        <f aca="false">-H23</f>
        <v>209.846892220464</v>
      </c>
      <c r="I37" s="41" t="n">
        <f aca="false">-I23</f>
        <v>229.152806304747</v>
      </c>
      <c r="J37" s="41" t="n">
        <f aca="false">-J23</f>
        <v>248.401642034346</v>
      </c>
      <c r="K37" s="41" t="n">
        <f aca="false">-K23</f>
        <v>267.280166828956</v>
      </c>
      <c r="L37" s="41" t="n">
        <f aca="false">-L23</f>
        <v>285.455218173325</v>
      </c>
      <c r="M37" s="41" t="n">
        <f aca="false">-M23</f>
        <v>302.582531263725</v>
      </c>
      <c r="N37" s="41"/>
      <c r="O37" s="109"/>
      <c r="P37" s="109"/>
      <c r="Q37" s="109"/>
    </row>
    <row r="38" customFormat="false" ht="15.75" hidden="false" customHeight="true" outlineLevel="0" collapsed="false">
      <c r="A38" s="109"/>
      <c r="B38" s="136" t="s">
        <v>597</v>
      </c>
      <c r="C38" s="136"/>
      <c r="D38" s="137" t="n">
        <f aca="false">SUM(D34:D37)</f>
        <v>8781.92327858538</v>
      </c>
      <c r="E38" s="137" t="n">
        <f aca="false">SUM(E34:E37)</f>
        <v>9597.43742614933</v>
      </c>
      <c r="F38" s="137" t="n">
        <f aca="false">SUM(F34:F37)</f>
        <v>10508.3185640972</v>
      </c>
      <c r="G38" s="137" t="n">
        <f aca="false">SUM(G34:G37)</f>
        <v>11427.1100795475</v>
      </c>
      <c r="H38" s="137" t="n">
        <f aca="false">SUM(H34:H37)</f>
        <v>11447.780746543</v>
      </c>
      <c r="I38" s="137" t="n">
        <f aca="false">SUM(I34:I37)</f>
        <v>11470.353114902</v>
      </c>
      <c r="J38" s="137" t="n">
        <f aca="false">SUM(J34:J37)</f>
        <v>11494.8215622031</v>
      </c>
      <c r="K38" s="137" t="n">
        <f aca="false">SUM(K34:K37)</f>
        <v>11521.1496114991</v>
      </c>
      <c r="L38" s="137" t="n">
        <f aca="false">SUM(L34:L37)</f>
        <v>11549.2679681473</v>
      </c>
      <c r="M38" s="137" t="n">
        <f aca="false">SUM(M34:M37)</f>
        <v>11579.0734261944</v>
      </c>
      <c r="N38" s="138"/>
      <c r="O38" s="109"/>
      <c r="P38" s="109"/>
      <c r="Q38" s="109"/>
    </row>
    <row r="39" customFormat="false" ht="15.75" hidden="false" customHeight="true" outlineLevel="0" collapsed="false">
      <c r="A39" s="109"/>
      <c r="B39" s="24" t="s">
        <v>598</v>
      </c>
      <c r="C39" s="109"/>
      <c r="D39" s="41" t="n">
        <f aca="false">D20</f>
        <v>1205.35420921896</v>
      </c>
      <c r="E39" s="41" t="n">
        <f aca="false">E20</f>
        <v>1353.38884094684</v>
      </c>
      <c r="F39" s="41" t="n">
        <f aca="false">F20</f>
        <v>1477.11568728161</v>
      </c>
      <c r="G39" s="41" t="n">
        <f aca="false">G20</f>
        <v>1611.27730270426</v>
      </c>
      <c r="H39" s="41" t="n">
        <f aca="false">H20</f>
        <v>1772.40503297469</v>
      </c>
      <c r="I39" s="41" t="n">
        <f aca="false">I20</f>
        <v>1935.46629600836</v>
      </c>
      <c r="J39" s="41" t="n">
        <f aca="false">J20</f>
        <v>2098.04546487306</v>
      </c>
      <c r="K39" s="41" t="n">
        <f aca="false">K20</f>
        <v>2257.49692020342</v>
      </c>
      <c r="L39" s="41" t="n">
        <f aca="false">L20</f>
        <v>2411.00671077725</v>
      </c>
      <c r="M39" s="41" t="n">
        <f aca="false">M20</f>
        <v>2555.66711342388</v>
      </c>
      <c r="N39" s="41"/>
      <c r="O39" s="109"/>
      <c r="P39" s="109"/>
      <c r="Q39" s="109"/>
    </row>
    <row r="40" customFormat="false" ht="15.75" hidden="false" customHeight="true" outlineLevel="0" collapsed="false">
      <c r="A40" s="109"/>
      <c r="B40" s="139" t="s">
        <v>599</v>
      </c>
      <c r="C40" s="139"/>
      <c r="D40" s="140" t="n">
        <f aca="false">IFERROR(D39/AVERAGE(D34,D38),"")</f>
        <v>0.144128931033743</v>
      </c>
      <c r="E40" s="140" t="n">
        <f aca="false">IFERROR(E39/AVERAGE(E34,E38),"")</f>
        <v>0.147272678597378</v>
      </c>
      <c r="F40" s="140" t="n">
        <f aca="false">IFERROR(F39/AVERAGE(F34,F38),"")</f>
        <v>0.146934607979742</v>
      </c>
      <c r="G40" s="140" t="n">
        <f aca="false">IFERROR(G39/AVERAGE(G34,G38),"")</f>
        <v>0.146910947479578</v>
      </c>
      <c r="H40" s="140" t="n">
        <f aca="false">IFERROR(H39/AVERAGE(H34,H38),"")</f>
        <v>0.154965114058873</v>
      </c>
      <c r="I40" s="140" t="n">
        <f aca="false">IFERROR(I39/AVERAGE(I34,I38),"")</f>
        <v>0.168902608537808</v>
      </c>
      <c r="J40" s="140" t="n">
        <f aca="false">IFERROR(J39/AVERAGE(J34,J38),"")</f>
        <v>0.182715393579365</v>
      </c>
      <c r="K40" s="140" t="n">
        <f aca="false">IFERROR(K39/AVERAGE(K34,K38),"")</f>
        <v>0.196167861279111</v>
      </c>
      <c r="L40" s="140" t="n">
        <f aca="false">IFERROR(L39/AVERAGE(L34,L38),"")</f>
        <v>0.209012836673084</v>
      </c>
      <c r="M40" s="140" t="n">
        <f aca="false">IFERROR(M39/AVERAGE(M34,M38),"")</f>
        <v>0.220998736558699</v>
      </c>
      <c r="N40" s="140"/>
      <c r="O40" s="109"/>
      <c r="P40" s="109"/>
      <c r="Q40" s="109"/>
    </row>
    <row r="41" customFormat="false" ht="15.75" hidden="false" customHeight="true" outlineLevel="0" collapsed="false">
      <c r="A41" s="109"/>
      <c r="B41" s="24" t="s">
        <v>600</v>
      </c>
      <c r="C41" s="109"/>
      <c r="D41" s="38" t="n">
        <f aca="false">IFERROR(SUM(D35:D37)/D39,"")</f>
        <v>0.695058443456065</v>
      </c>
      <c r="E41" s="38" t="n">
        <f aca="false">IFERROR(SUM(E35:E37)/E39,"")</f>
        <v>0.60257194598517</v>
      </c>
      <c r="F41" s="38" t="n">
        <f aca="false">IFERROR(SUM(F35:F37)/F39,"")</f>
        <v>0.616662016246116</v>
      </c>
      <c r="G41" s="38" t="n">
        <f aca="false">IFERROR(SUM(G35:G37)/G39,"")</f>
        <v>0.570225568192599</v>
      </c>
      <c r="H41" s="38" t="n">
        <f aca="false">IFERROR(SUM(H35:H37)/H39,"")</f>
        <v>0.0116624962188929</v>
      </c>
      <c r="I41" s="38" t="n">
        <f aca="false">IFERROR(SUM(I35:I37)/I39,"")</f>
        <v>0.011662496218893</v>
      </c>
      <c r="J41" s="38" t="n">
        <f aca="false">IFERROR(SUM(J35:J37)/J39,"")</f>
        <v>0.011662496218893</v>
      </c>
      <c r="K41" s="38" t="n">
        <f aca="false">IFERROR(SUM(K35:K37)/K39,"")</f>
        <v>0.011662496218893</v>
      </c>
      <c r="L41" s="38" t="n">
        <f aca="false">IFERROR(SUM(L35:L37)/L39,"")</f>
        <v>0.011662496218893</v>
      </c>
      <c r="M41" s="38" t="n">
        <f aca="false">IFERROR(SUM(M35:M37)/M39,"")</f>
        <v>0.011662496218893</v>
      </c>
      <c r="N41" s="38"/>
      <c r="O41" s="109"/>
      <c r="P41" s="109"/>
      <c r="Q41" s="109"/>
    </row>
    <row r="42" customFormat="false" ht="15.75" hidden="false" customHeight="true" outlineLevel="0" collapsed="false">
      <c r="A42" s="109"/>
      <c r="B42" s="24" t="s">
        <v>601</v>
      </c>
      <c r="C42" s="109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 t="n">
        <f aca="false">IFERROR($C$27/M41,"")</f>
        <v>3.42979746781833</v>
      </c>
      <c r="O42" s="109"/>
      <c r="P42" s="109"/>
      <c r="Q42" s="109"/>
    </row>
    <row r="43" customFormat="false" ht="15" hidden="false" customHeight="true" outlineLevel="0" collapsed="false">
      <c r="A43" s="109"/>
      <c r="B43" s="109"/>
      <c r="C43" s="109"/>
      <c r="D43" s="113" t="s">
        <v>602</v>
      </c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</row>
    <row r="44" customFormat="false" ht="15.75" hidden="false" customHeight="true" outlineLevel="0" collapsed="false">
      <c r="A44" s="109"/>
      <c r="B44" s="15" t="s">
        <v>603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09"/>
      <c r="P44" s="109"/>
      <c r="Q44" s="109"/>
    </row>
    <row r="45" customFormat="false" ht="15.75" hidden="false" customHeight="true" outlineLevel="0" collapsed="false">
      <c r="A45" s="109"/>
      <c r="B45" s="24" t="s">
        <v>604</v>
      </c>
      <c r="C45" s="41" t="n">
        <f aca="false">SUM(D31:M31)</f>
        <v>8016.11949763194</v>
      </c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</row>
    <row r="46" customFormat="false" ht="15.75" hidden="false" customHeight="true" outlineLevel="0" collapsed="false">
      <c r="A46" s="109"/>
      <c r="B46" s="24" t="s">
        <v>605</v>
      </c>
      <c r="C46" s="41" t="n">
        <f aca="false">N31</f>
        <v>18071.5731531479</v>
      </c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</row>
    <row r="47" customFormat="false" ht="15.75" hidden="false" customHeight="true" outlineLevel="0" collapsed="false">
      <c r="A47" s="109"/>
      <c r="B47" s="116" t="s">
        <v>606</v>
      </c>
      <c r="C47" s="126" t="n">
        <f aca="false">C45+C46</f>
        <v>26087.6926507799</v>
      </c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</row>
    <row r="48" customFormat="false" ht="15.75" hidden="false" customHeight="true" outlineLevel="0" collapsed="false">
      <c r="A48" s="109"/>
      <c r="B48" s="24" t="s">
        <v>607</v>
      </c>
      <c r="C48" s="121" t="n">
        <f aca="false">Model!CA342+Model!CA343</f>
        <v>2742.71208939873</v>
      </c>
      <c r="D48" s="113" t="s">
        <v>608</v>
      </c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</row>
    <row r="49" customFormat="false" ht="15.75" hidden="false" customHeight="true" outlineLevel="0" collapsed="false">
      <c r="A49" s="109"/>
      <c r="B49" s="116" t="s">
        <v>609</v>
      </c>
      <c r="C49" s="138" t="n">
        <f aca="false">C47-C48</f>
        <v>23344.9805613812</v>
      </c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</row>
    <row r="50" customFormat="false" ht="15.75" hidden="false" customHeight="true" outlineLevel="0" collapsed="false">
      <c r="A50" s="109"/>
      <c r="B50" s="24" t="s">
        <v>610</v>
      </c>
      <c r="C50" s="141" t="n">
        <f aca="false">Model!CA340</f>
        <v>141.374405</v>
      </c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</row>
    <row r="51" customFormat="false" ht="15.75" hidden="false" customHeight="true" outlineLevel="0" collapsed="false">
      <c r="A51" s="109"/>
      <c r="B51" s="116" t="s">
        <v>611</v>
      </c>
      <c r="C51" s="142" t="n">
        <f aca="false">C49/C50</f>
        <v>165.12876260297</v>
      </c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</row>
    <row r="52" customFormat="false" ht="15.75" hidden="false" customHeight="true" outlineLevel="0" collapsed="false">
      <c r="A52" s="109"/>
      <c r="B52" s="24" t="s">
        <v>612</v>
      </c>
      <c r="C52" s="143" t="n">
        <f aca="false">Model!CA339</f>
        <v>302.45</v>
      </c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</row>
    <row r="53" customFormat="false" ht="15.75" hidden="false" customHeight="true" outlineLevel="0" collapsed="false">
      <c r="A53" s="109"/>
      <c r="B53" s="116" t="s">
        <v>613</v>
      </c>
      <c r="C53" s="144" t="n">
        <f aca="false">C51/C52-1</f>
        <v>-0.454029549998445</v>
      </c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</row>
    <row r="54" customFormat="false" ht="15.75" hidden="false" customHeight="true" outlineLevel="0" collapsed="false">
      <c r="A54" s="109"/>
      <c r="B54" s="24" t="s">
        <v>614</v>
      </c>
      <c r="C54" s="38" t="n">
        <f aca="false">1-((1+C13)/(1+H54))^H55</f>
        <v>0.131638930292819</v>
      </c>
      <c r="D54" s="145" t="s">
        <v>615</v>
      </c>
      <c r="E54" s="146" t="s">
        <v>616</v>
      </c>
      <c r="F54" s="109"/>
      <c r="G54" s="109"/>
      <c r="H54" s="129" t="n">
        <v>0.15</v>
      </c>
      <c r="I54" s="109"/>
      <c r="J54" s="109"/>
      <c r="K54" s="109"/>
      <c r="L54" s="109"/>
      <c r="M54" s="109"/>
      <c r="N54" s="109"/>
      <c r="O54" s="109"/>
      <c r="P54" s="109"/>
      <c r="Q54" s="109"/>
    </row>
    <row r="55" customFormat="false" ht="15.75" hidden="false" customHeight="true" outlineLevel="0" collapsed="false">
      <c r="A55" s="109"/>
      <c r="B55" s="116" t="s">
        <v>617</v>
      </c>
      <c r="C55" s="147" t="n">
        <f aca="false">C51*(1-C54)</f>
        <v>143.391388933338</v>
      </c>
      <c r="D55" s="38" t="n">
        <f aca="false">C55/C52-1</f>
        <v>-0.525900516008139</v>
      </c>
      <c r="E55" s="146" t="s">
        <v>618</v>
      </c>
      <c r="F55" s="109"/>
      <c r="G55" s="109"/>
      <c r="H55" s="148" t="n">
        <v>3</v>
      </c>
      <c r="I55" s="109"/>
      <c r="J55" s="109"/>
      <c r="K55" s="109"/>
      <c r="L55" s="109"/>
      <c r="M55" s="109"/>
      <c r="N55" s="109"/>
      <c r="O55" s="109"/>
      <c r="P55" s="109"/>
      <c r="Q55" s="109"/>
    </row>
    <row r="56" customFormat="false" ht="15" hidden="false" customHeight="true" outlineLevel="0" collapsed="false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</row>
    <row r="57" customFormat="false" ht="15" hidden="false" customHeight="true" outlineLevel="0" collapsed="false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</row>
    <row r="58" customFormat="false" ht="15.75" hidden="false" customHeight="true" outlineLevel="0" collapsed="false">
      <c r="A58" s="109"/>
      <c r="B58" s="15" t="s">
        <v>619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09"/>
      <c r="P58" s="109"/>
      <c r="Q58" s="109"/>
    </row>
    <row r="59" customFormat="false" ht="15" hidden="false" customHeight="true" outlineLevel="0" collapsed="false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</row>
    <row r="60" customFormat="false" ht="15.75" hidden="false" customHeight="true" outlineLevel="0" collapsed="false">
      <c r="A60" s="109"/>
      <c r="B60" s="116"/>
      <c r="C60" s="109"/>
      <c r="D60" s="149" t="s">
        <v>620</v>
      </c>
      <c r="E60" s="149"/>
      <c r="F60" s="149"/>
      <c r="G60" s="149"/>
      <c r="H60" s="149"/>
      <c r="I60" s="109"/>
      <c r="J60" s="109"/>
      <c r="K60" s="109"/>
      <c r="L60" s="109"/>
      <c r="M60" s="109"/>
      <c r="N60" s="109"/>
      <c r="O60" s="109"/>
      <c r="P60" s="109"/>
      <c r="Q60" s="109"/>
    </row>
    <row r="61" customFormat="false" ht="15.75" hidden="false" customHeight="true" outlineLevel="0" collapsed="false">
      <c r="A61" s="109"/>
      <c r="B61" s="150" t="s">
        <v>621</v>
      </c>
      <c r="C61" s="151"/>
      <c r="D61" s="152" t="n">
        <f aca="false">F61-0.01</f>
        <v>0.0871465</v>
      </c>
      <c r="E61" s="152" t="n">
        <f aca="false">F61-0.005</f>
        <v>0.0921465</v>
      </c>
      <c r="F61" s="152" t="n">
        <f aca="false">$C$13</f>
        <v>0.0971465</v>
      </c>
      <c r="G61" s="152" t="n">
        <f aca="false">F61+0.005</f>
        <v>0.1021465</v>
      </c>
      <c r="H61" s="153" t="n">
        <f aca="false">F61+0.01</f>
        <v>0.1071465</v>
      </c>
      <c r="I61" s="109"/>
      <c r="J61" s="109"/>
      <c r="K61" s="109"/>
      <c r="L61" s="109"/>
      <c r="M61" s="109"/>
      <c r="N61" s="109"/>
      <c r="O61" s="109"/>
      <c r="P61" s="109"/>
      <c r="Q61" s="109"/>
    </row>
    <row r="62" customFormat="false" ht="15.75" hidden="false" customHeight="true" outlineLevel="0" collapsed="false">
      <c r="A62" s="109"/>
      <c r="B62" s="154" t="n">
        <f aca="false">B64-0.01</f>
        <v>0.03</v>
      </c>
      <c r="C62" s="109"/>
      <c r="D62" s="155" t="n">
        <f aca="false" t="array" ref="D62:D62">IFERROR((SUMPRODUCT($D$24:$M$24/(1+D$61)^$D$29:$M$29)+($M$24*(1+$B62)/(D$61-$B62))/(1+D$61)^$M$29-$C$48)/$C$50,"")</f>
        <v>179.622307704671</v>
      </c>
      <c r="E62" s="155" t="n">
        <f aca="false" t="array" ref="E62:E62">IFERROR((SUMPRODUCT($D$24:$M$24/(1+E$61)^$D$29:$M$29)+($M$24*(1+$B62)/(E$61-$B62))/(1+E$61)^$M$29-$C$48)/$C$50,"")</f>
        <v>160.907135146136</v>
      </c>
      <c r="F62" s="155" t="n">
        <f aca="false" t="array" ref="F62:F62">IFERROR((SUMPRODUCT($D$24:$M$24/(1+F$61)^$D$29:$M$29)+($M$24*(1+$B62)/(F$61-$B62))/(1+F$61)^$M$29-$C$48)/$C$50,"")</f>
        <v>145.045555233465</v>
      </c>
      <c r="G62" s="155" t="n">
        <f aca="false" t="array" ref="G62:G62">IFERROR((SUMPRODUCT($D$24:$M$24/(1+G$61)^$D$29:$M$29)+($M$24*(1+$B62)/(G$61-$B62))/(1+G$61)^$M$29-$C$48)/$C$50,"")</f>
        <v>131.442217679454</v>
      </c>
      <c r="H62" s="156" t="n">
        <f aca="false" t="array" ref="H62:H62">IFERROR((SUMPRODUCT($D$24:$M$24/(1+H$61)^$D$29:$M$29)+($M$24*(1+$B62)/(H$61-$B62))/(1+H$61)^$M$29-$C$48)/$C$50,"")</f>
        <v>119.656191616753</v>
      </c>
      <c r="I62" s="109"/>
      <c r="J62" s="109"/>
      <c r="K62" s="109"/>
      <c r="L62" s="109"/>
      <c r="M62" s="109"/>
      <c r="N62" s="109"/>
      <c r="O62" s="109"/>
      <c r="P62" s="109"/>
      <c r="Q62" s="109"/>
    </row>
    <row r="63" customFormat="false" ht="15.75" hidden="false" customHeight="true" outlineLevel="0" collapsed="false">
      <c r="A63" s="109"/>
      <c r="B63" s="154" t="n">
        <f aca="false">B64-0.005</f>
        <v>0.035</v>
      </c>
      <c r="C63" s="109"/>
      <c r="D63" s="155" t="n">
        <f aca="false" t="array" ref="D63:D63">IFERROR((SUMPRODUCT($D$24:$M$24/(1+D$61)^$D$29:$M$29)+($M$24*(1+$B63)/(D$61-$B63))/(1+D$61)^$M$29-$C$48)/$C$50,"")</f>
        <v>193.672034074813</v>
      </c>
      <c r="E63" s="155" t="n">
        <f aca="false" t="array" ref="E63:E63">IFERROR((SUMPRODUCT($D$24:$M$24/(1+E$61)^$D$29:$M$29)+($M$24*(1+$B63)/(E$61-$B63))/(1+E$61)^$M$29-$C$48)/$C$50,"")</f>
        <v>172.215551483521</v>
      </c>
      <c r="F63" s="155" t="n">
        <f aca="false" t="array" ref="F63:F63">IFERROR((SUMPRODUCT($D$24:$M$24/(1+F$61)^$D$29:$M$29)+($M$24*(1+$B63)/(F$61-$B63))/(1+F$61)^$M$29-$C$48)/$C$50,"")</f>
        <v>154.279261153681</v>
      </c>
      <c r="G63" s="155" t="n">
        <f aca="false" t="array" ref="G63:G63">IFERROR((SUMPRODUCT($D$24:$M$24/(1+G$61)^$D$29:$M$29)+($M$24*(1+$B63)/(G$61-$B63))/(1+G$61)^$M$29-$C$48)/$C$50,"")</f>
        <v>139.074725317859</v>
      </c>
      <c r="H63" s="156" t="n">
        <f aca="false" t="array" ref="H63:H63">IFERROR((SUMPRODUCT($D$24:$M$24/(1+H$61)^$D$29:$M$29)+($M$24*(1+$B63)/(H$61-$B63))/(1+H$61)^$M$29-$C$48)/$C$50,"")</f>
        <v>126.032146995721</v>
      </c>
      <c r="I63" s="109"/>
      <c r="J63" s="109"/>
      <c r="K63" s="109"/>
      <c r="L63" s="109"/>
      <c r="M63" s="109"/>
      <c r="N63" s="109"/>
      <c r="O63" s="109"/>
      <c r="P63" s="109"/>
      <c r="Q63" s="109"/>
    </row>
    <row r="64" customFormat="false" ht="15.75" hidden="false" customHeight="true" outlineLevel="0" collapsed="false">
      <c r="A64" s="109"/>
      <c r="B64" s="154" t="n">
        <f aca="false">$C$27</f>
        <v>0.04</v>
      </c>
      <c r="C64" s="109"/>
      <c r="D64" s="155" t="n">
        <f aca="false" t="array" ref="D64:D64">IFERROR((SUMPRODUCT($D$24:$M$24/(1+D$61)^$D$29:$M$29)+($M$24*(1+$B64)/(D$61-$B64))/(1+D$61)^$M$29-$C$48)/$C$50,"")</f>
        <v>210.701775158696</v>
      </c>
      <c r="E64" s="155" t="n">
        <f aca="false" t="array" ref="E64:E64">IFERROR((SUMPRODUCT($D$24:$M$24/(1+E$61)^$D$29:$M$29)+($M$24*(1+$B64)/(E$61-$B64))/(1+E$61)^$M$29-$C$48)/$C$50,"")</f>
        <v>185.692553696733</v>
      </c>
      <c r="F64" s="157" t="n">
        <f aca="false" t="array" ref="F64:F64">IFERROR((SUMPRODUCT($D$24:$M$24/(1+F$61)^$D$29:$M$29)+($M$24*(1+$B64)/(F$61-$B64))/(1+F$61)^$M$29-$C$48)/$C$50,"")</f>
        <v>165.12876260297</v>
      </c>
      <c r="G64" s="155" t="n">
        <f aca="false" t="array" ref="G64:G64">IFERROR((SUMPRODUCT($D$24:$M$24/(1+G$61)^$D$29:$M$29)+($M$24*(1+$B64)/(G$61-$B64))/(1+G$61)^$M$29-$C$48)/$C$50,"")</f>
        <v>147.935380581378</v>
      </c>
      <c r="H64" s="156" t="n">
        <f aca="false" t="array" ref="H64:H64">IFERROR((SUMPRODUCT($D$24:$M$24/(1+H$61)^$D$29:$M$29)+($M$24*(1+$B64)/(H$61-$B64))/(1+H$61)^$M$29-$C$48)/$C$50,"")</f>
        <v>133.357661231661</v>
      </c>
      <c r="I64" s="109"/>
      <c r="J64" s="109"/>
      <c r="K64" s="109"/>
      <c r="L64" s="109"/>
      <c r="M64" s="109"/>
      <c r="N64" s="109"/>
      <c r="O64" s="109"/>
      <c r="P64" s="109"/>
      <c r="Q64" s="109"/>
    </row>
    <row r="65" customFormat="false" ht="15.75" hidden="false" customHeight="true" outlineLevel="0" collapsed="false">
      <c r="A65" s="109"/>
      <c r="B65" s="154" t="n">
        <f aca="false">B64+0.005</f>
        <v>0.045</v>
      </c>
      <c r="C65" s="109"/>
      <c r="D65" s="155" t="n">
        <f aca="false" t="array" ref="D65:D65">IFERROR((SUMPRODUCT($D$24:$M$24/(1+D$61)^$D$29:$M$29)+($M$24*(1+$B65)/(D$61-$B65))/(1+D$61)^$M$29-$C$48)/$C$50,"")</f>
        <v>231.772122481266</v>
      </c>
      <c r="E65" s="155" t="n">
        <f aca="false" t="array" ref="E65:E65">IFERROR((SUMPRODUCT($D$24:$M$24/(1+E$61)^$D$29:$M$29)+($M$24*(1+$B65)/(E$61-$B65))/(1+E$61)^$M$29-$C$48)/$C$50,"")</f>
        <v>202.02809306821</v>
      </c>
      <c r="F65" s="155" t="n">
        <f aca="false" t="array" ref="F65:F65">IFERROR((SUMPRODUCT($D$24:$M$24/(1+F$61)^$D$29:$M$29)+($M$24*(1+$B65)/(F$61-$B65))/(1+F$61)^$M$29-$C$48)/$C$50,"")</f>
        <v>178.058845001947</v>
      </c>
      <c r="G65" s="155" t="n">
        <f aca="false" t="array" ref="G65:G65">IFERROR((SUMPRODUCT($D$24:$M$24/(1+G$61)^$D$29:$M$29)+($M$24*(1+$B65)/(G$61-$B65))/(1+G$61)^$M$29-$C$48)/$C$50,"")</f>
        <v>158.346551670628</v>
      </c>
      <c r="H65" s="156" t="n">
        <f aca="false" t="array" ref="H65:H65">IFERROR((SUMPRODUCT($D$24:$M$24/(1+H$61)^$D$29:$M$29)+($M$24*(1+$B65)/(H$61-$B65))/(1+H$61)^$M$29-$C$48)/$C$50,"")</f>
        <v>141.8619247513</v>
      </c>
      <c r="I65" s="109"/>
      <c r="J65" s="109"/>
      <c r="K65" s="109"/>
      <c r="L65" s="109"/>
      <c r="M65" s="109"/>
      <c r="N65" s="109"/>
      <c r="O65" s="109"/>
      <c r="P65" s="109"/>
      <c r="Q65" s="109"/>
    </row>
    <row r="66" customFormat="false" ht="15.75" hidden="false" customHeight="true" outlineLevel="0" collapsed="false">
      <c r="A66" s="109"/>
      <c r="B66" s="158" t="n">
        <f aca="false">B64+0.01</f>
        <v>0.05</v>
      </c>
      <c r="C66" s="159"/>
      <c r="D66" s="160" t="n">
        <f aca="false" t="array" ref="D66:D66">IFERROR((SUMPRODUCT($D$24:$M$24/(1+D$61)^$D$29:$M$29)+($M$24*(1+$B66)/(D$61-$B66))/(1+D$61)^$M$29-$C$48)/$C$50,"")</f>
        <v>258.514699306635</v>
      </c>
      <c r="E66" s="160" t="n">
        <f aca="false" t="array" ref="E66:E66">IFERROR((SUMPRODUCT($D$24:$M$24/(1+E$61)^$D$29:$M$29)+($M$24*(1+$B66)/(E$61-$B66))/(1+E$61)^$M$29-$C$48)/$C$50,"")</f>
        <v>222.239527086094</v>
      </c>
      <c r="F66" s="160" t="n">
        <f aca="false" t="array" ref="F66:F66">IFERROR((SUMPRODUCT($D$24:$M$24/(1+F$61)^$D$29:$M$29)+($M$24*(1+$B66)/(F$61-$B66))/(1+F$61)^$M$29-$C$48)/$C$50,"")</f>
        <v>193.731460229231</v>
      </c>
      <c r="G66" s="160" t="n">
        <f aca="false" t="array" ref="G66:G66">IFERROR((SUMPRODUCT($D$24:$M$24/(1+G$61)^$D$29:$M$29)+($M$24*(1+$B66)/(G$61-$B66))/(1+G$61)^$M$29-$C$48)/$C$50,"")</f>
        <v>170.754246225355</v>
      </c>
      <c r="H66" s="161" t="n">
        <f aca="false" t="array" ref="H66:H66">IFERROR((SUMPRODUCT($D$24:$M$24/(1+H$61)^$D$29:$M$29)+($M$24*(1+$B66)/(H$61-$B66))/(1+H$61)^$M$29-$C$48)/$C$50,"")</f>
        <v>151.854339517233</v>
      </c>
      <c r="I66" s="109"/>
      <c r="J66" s="109"/>
      <c r="K66" s="109"/>
      <c r="L66" s="109"/>
      <c r="M66" s="109"/>
      <c r="N66" s="109"/>
      <c r="O66" s="109"/>
      <c r="P66" s="109"/>
      <c r="Q66" s="109"/>
    </row>
    <row r="67" customFormat="false" ht="15" hidden="false" customHeight="true" outlineLevel="0" collapsed="false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</row>
    <row r="68" customFormat="false" ht="15" hidden="false" customHeight="true" outlineLevel="0" collapsed="false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</row>
    <row r="69" customFormat="false" ht="15.75" hidden="false" customHeight="true" outlineLevel="0" collapsed="false">
      <c r="A69" s="109"/>
      <c r="B69" s="15" t="s">
        <v>622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09"/>
      <c r="P69" s="109"/>
      <c r="Q69" s="109"/>
    </row>
    <row r="70" customFormat="false" ht="15" hidden="false" customHeight="true" outlineLevel="0" collapsed="false">
      <c r="A70" s="109"/>
      <c r="B70" s="113" t="s">
        <v>623</v>
      </c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</row>
    <row r="71" customFormat="false" ht="15" hidden="false" customHeight="true" outlineLevel="0" collapsed="false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</row>
    <row r="72" customFormat="false" ht="15.75" hidden="false" customHeight="true" outlineLevel="0" collapsed="false">
      <c r="A72" s="109"/>
      <c r="B72" s="15" t="s">
        <v>624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09"/>
      <c r="P72" s="109"/>
      <c r="Q72" s="109"/>
    </row>
    <row r="73" customFormat="false" ht="15" hidden="false" customHeight="true" outlineLevel="0" collapsed="false">
      <c r="A73" s="109"/>
      <c r="B73" s="113" t="s">
        <v>625</v>
      </c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</row>
    <row r="74" customFormat="false" ht="15" hidden="false" customHeight="true" outlineLevel="0" collapsed="false">
      <c r="A74" s="109"/>
      <c r="B74" s="113" t="s">
        <v>626</v>
      </c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</row>
    <row r="75" customFormat="false" ht="15" hidden="false" customHeight="true" outlineLevel="0" collapsed="false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</row>
    <row r="76" customFormat="false" ht="15.75" hidden="false" customHeight="true" outlineLevel="0" collapsed="false">
      <c r="A76" s="109"/>
      <c r="B76" s="15" t="s">
        <v>627</v>
      </c>
      <c r="C76" s="162" t="s">
        <v>628</v>
      </c>
      <c r="D76" s="15" t="s">
        <v>629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09"/>
      <c r="P76" s="109"/>
      <c r="Q76" s="109"/>
    </row>
    <row r="77" customFormat="false" ht="15.75" hidden="false" customHeight="true" outlineLevel="0" collapsed="false">
      <c r="A77" s="109"/>
      <c r="B77" s="24" t="s">
        <v>630</v>
      </c>
      <c r="C77" s="163" t="n">
        <f aca="false">$C$13</f>
        <v>0.0971465</v>
      </c>
      <c r="D77" s="113" t="s">
        <v>631</v>
      </c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</row>
    <row r="78" customFormat="false" ht="15.75" hidden="false" customHeight="true" outlineLevel="0" collapsed="false">
      <c r="A78" s="109"/>
      <c r="B78" s="24" t="s">
        <v>632</v>
      </c>
      <c r="C78" s="164" t="n">
        <v>0.1</v>
      </c>
      <c r="D78" s="113" t="s">
        <v>633</v>
      </c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</row>
    <row r="79" customFormat="false" ht="15.75" hidden="false" customHeight="true" outlineLevel="0" collapsed="false">
      <c r="A79" s="109"/>
      <c r="B79" s="24" t="s">
        <v>634</v>
      </c>
      <c r="C79" s="164" t="n">
        <v>0.15</v>
      </c>
      <c r="D79" s="113" t="s">
        <v>635</v>
      </c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</row>
    <row r="80" customFormat="false" ht="15.75" hidden="false" customHeight="true" outlineLevel="0" collapsed="false">
      <c r="A80" s="109"/>
      <c r="B80" s="24" t="s">
        <v>636</v>
      </c>
      <c r="C80" s="165" t="n">
        <v>15</v>
      </c>
      <c r="D80" s="113" t="s">
        <v>637</v>
      </c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</row>
    <row r="81" customFormat="false" ht="15" hidden="false" customHeight="true" outlineLevel="0" collapsed="false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</row>
    <row r="82" customFormat="false" ht="15.75" hidden="false" customHeight="true" outlineLevel="0" collapsed="false">
      <c r="A82" s="109"/>
      <c r="B82" s="15" t="s">
        <v>638</v>
      </c>
      <c r="C82" s="162" t="s">
        <v>628</v>
      </c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</row>
    <row r="83" customFormat="false" ht="15.75" hidden="false" customHeight="true" outlineLevel="0" collapsed="false">
      <c r="A83" s="109"/>
      <c r="B83" s="24" t="s">
        <v>639</v>
      </c>
      <c r="C83" s="166" t="n">
        <f aca="false">1/C77</f>
        <v>10.2937316321226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</row>
    <row r="84" customFormat="false" ht="15.75" hidden="false" customHeight="true" outlineLevel="0" collapsed="false">
      <c r="A84" s="109"/>
      <c r="B84" s="24" t="s">
        <v>640</v>
      </c>
      <c r="C84" s="167" t="n">
        <f aca="false">1-C77/C79</f>
        <v>0.352356666666667</v>
      </c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</row>
    <row r="85" customFormat="false" ht="15.75" hidden="false" customHeight="true" outlineLevel="0" collapsed="false">
      <c r="A85" s="109"/>
      <c r="B85" s="24" t="s">
        <v>641</v>
      </c>
      <c r="C85" s="167" t="n">
        <f aca="false">C78*C84/(C77*(C77-C78))</f>
        <v>-127.109338197159</v>
      </c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</row>
    <row r="86" customFormat="false" ht="15.75" hidden="false" customHeight="true" outlineLevel="0" collapsed="false">
      <c r="A86" s="109"/>
      <c r="B86" s="24" t="s">
        <v>642</v>
      </c>
      <c r="C86" s="168" t="n">
        <f aca="false">1-((1+C78)/(1+C77))^C80</f>
        <v>-0.0397308908756537</v>
      </c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</row>
    <row r="87" customFormat="false" ht="15.75" hidden="false" customHeight="true" outlineLevel="0" collapsed="false">
      <c r="A87" s="109"/>
      <c r="B87" s="24" t="s">
        <v>643</v>
      </c>
      <c r="C87" s="166" t="n">
        <f aca="false">C85*C86</f>
        <v>5.0501672451879</v>
      </c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</row>
    <row r="88" customFormat="false" ht="15.75" hidden="false" customHeight="true" outlineLevel="0" collapsed="false">
      <c r="A88" s="109"/>
      <c r="B88" s="11" t="s">
        <v>644</v>
      </c>
      <c r="C88" s="169" t="n">
        <f aca="false">C83+C87</f>
        <v>15.3438988773105</v>
      </c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</row>
    <row r="89" customFormat="false" ht="15" hidden="false" customHeight="true" outlineLevel="0" collapsed="false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</row>
    <row r="90" customFormat="false" ht="15.75" hidden="false" customHeight="true" outlineLevel="0" collapsed="false">
      <c r="A90" s="109"/>
      <c r="B90" s="15" t="s">
        <v>645</v>
      </c>
      <c r="C90" s="162" t="s">
        <v>646</v>
      </c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</row>
    <row r="91" customFormat="false" ht="15.75" hidden="false" customHeight="true" outlineLevel="0" collapsed="false">
      <c r="A91" s="109"/>
      <c r="B91" s="24" t="s">
        <v>647</v>
      </c>
      <c r="C91" s="170" t="n">
        <f aca="false">Model!CC145-Model!CC139</f>
        <v>1702.37590056206</v>
      </c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</row>
    <row r="92" customFormat="false" ht="15.75" hidden="false" customHeight="true" outlineLevel="0" collapsed="false">
      <c r="A92" s="109"/>
      <c r="B92" s="24" t="s">
        <v>648</v>
      </c>
      <c r="C92" s="171" t="n">
        <f aca="false">$C$10</f>
        <v>0.205</v>
      </c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</row>
    <row r="93" customFormat="false" ht="15.75" hidden="false" customHeight="true" outlineLevel="0" collapsed="false">
      <c r="A93" s="109"/>
      <c r="B93" s="24" t="s">
        <v>649</v>
      </c>
      <c r="C93" s="36" t="n">
        <f aca="false">C91*(1-C92)</f>
        <v>1353.38884094684</v>
      </c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</row>
    <row r="94" customFormat="false" ht="15.75" hidden="false" customHeight="true" outlineLevel="0" collapsed="false">
      <c r="A94" s="109"/>
      <c r="B94" s="24" t="s">
        <v>650</v>
      </c>
      <c r="C94" s="63" t="n">
        <f aca="false">C88</f>
        <v>15.3438988773105</v>
      </c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</row>
    <row r="95" customFormat="false" ht="15.75" hidden="false" customHeight="true" outlineLevel="0" collapsed="false">
      <c r="A95" s="109"/>
      <c r="B95" s="24" t="s">
        <v>651</v>
      </c>
      <c r="C95" s="36" t="n">
        <f aca="false">C93*C94</f>
        <v>20766.2615171688</v>
      </c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</row>
    <row r="96" customFormat="false" ht="15.75" hidden="false" customHeight="true" outlineLevel="0" collapsed="false">
      <c r="A96" s="109"/>
      <c r="B96" s="24" t="s">
        <v>652</v>
      </c>
      <c r="C96" s="170" t="n">
        <f aca="false">Model!CB342+Model!CB343</f>
        <v>2545.13331478837</v>
      </c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</row>
    <row r="97" customFormat="false" ht="15.75" hidden="false" customHeight="true" outlineLevel="0" collapsed="false">
      <c r="A97" s="109"/>
      <c r="B97" s="24" t="s">
        <v>653</v>
      </c>
      <c r="C97" s="36" t="n">
        <f aca="false">C95-C96</f>
        <v>18221.1282023804</v>
      </c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</row>
    <row r="98" customFormat="false" ht="15.75" hidden="false" customHeight="true" outlineLevel="0" collapsed="false">
      <c r="A98" s="109"/>
      <c r="B98" s="24" t="s">
        <v>654</v>
      </c>
      <c r="C98" s="172" t="n">
        <f aca="false">Model!CC340</f>
        <v>140.512348192728</v>
      </c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</row>
    <row r="99" customFormat="false" ht="15.75" hidden="false" customHeight="true" outlineLevel="0" collapsed="false">
      <c r="A99" s="109"/>
      <c r="B99" s="11" t="s">
        <v>655</v>
      </c>
      <c r="C99" s="173" t="n">
        <f aca="false">C97/C98</f>
        <v>129.676348283556</v>
      </c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</row>
    <row r="100" customFormat="false" ht="15" hidden="false" customHeight="true" outlineLevel="0" collapsed="false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</row>
    <row r="101" customFormat="false" ht="15.75" hidden="false" customHeight="true" outlineLevel="0" collapsed="false">
      <c r="A101" s="109"/>
      <c r="B101" s="24" t="s">
        <v>612</v>
      </c>
      <c r="C101" s="174" t="n">
        <f aca="false">C52</f>
        <v>302.45</v>
      </c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</row>
    <row r="102" customFormat="false" ht="15.75" hidden="false" customHeight="true" outlineLevel="0" collapsed="false">
      <c r="A102" s="109"/>
      <c r="B102" s="116" t="s">
        <v>613</v>
      </c>
      <c r="C102" s="175" t="n">
        <f aca="false">C99/C101-1</f>
        <v>-0.571246988647526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</row>
    <row r="103" customFormat="false" ht="15" hidden="false" customHeight="true" outlineLevel="0" collapsed="false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</row>
    <row r="104" customFormat="false" ht="15.75" hidden="false" customHeight="true" outlineLevel="0" collapsed="false">
      <c r="A104" s="109"/>
      <c r="B104" s="15" t="s">
        <v>656</v>
      </c>
      <c r="C104" s="162" t="s">
        <v>646</v>
      </c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</row>
    <row r="105" customFormat="false" ht="15.75" hidden="false" customHeight="true" outlineLevel="0" collapsed="false">
      <c r="A105" s="109"/>
      <c r="B105" s="24" t="s">
        <v>657</v>
      </c>
      <c r="C105" s="36" t="n">
        <f aca="false">C52*C50</f>
        <v>42758.68879225</v>
      </c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</row>
    <row r="106" customFormat="false" ht="15.75" hidden="false" customHeight="true" outlineLevel="0" collapsed="false">
      <c r="A106" s="109"/>
      <c r="B106" s="24" t="s">
        <v>658</v>
      </c>
      <c r="C106" s="36" t="n">
        <f aca="false">C48</f>
        <v>2742.71208939873</v>
      </c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</row>
    <row r="107" customFormat="false" ht="15.75" hidden="false" customHeight="true" outlineLevel="0" collapsed="false">
      <c r="A107" s="109"/>
      <c r="B107" s="24" t="s">
        <v>659</v>
      </c>
      <c r="C107" s="36" t="n">
        <f aca="false">C105+C106</f>
        <v>45501.4008816487</v>
      </c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</row>
    <row r="108" customFormat="false" ht="15.75" hidden="false" customHeight="true" outlineLevel="0" collapsed="false">
      <c r="A108" s="109"/>
      <c r="B108" s="11" t="s">
        <v>660</v>
      </c>
      <c r="C108" s="176" t="n">
        <f aca="false">C107/C93</f>
        <v>33.6203458348421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</row>
    <row r="109" customFormat="false" ht="15" hidden="false" customHeight="true" outlineLevel="0" collapsed="false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</row>
    <row r="110" customFormat="false" ht="15.75" hidden="false" customHeight="true" outlineLevel="0" collapsed="false">
      <c r="A110" s="109"/>
      <c r="B110" s="116" t="s">
        <v>661</v>
      </c>
      <c r="C110" s="177" t="n">
        <f aca="false">C88-C108</f>
        <v>-18.2764469575315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</row>
    <row r="111" customFormat="false" ht="15.75" hidden="false" customHeight="true" outlineLevel="0" collapsed="false">
      <c r="A111" s="109"/>
      <c r="B111" s="24" t="s">
        <v>662</v>
      </c>
      <c r="C111" s="30" t="n">
        <f aca="false">C88/C108-1</f>
        <v>-0.543612699503851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</row>
    <row r="112" customFormat="false" ht="15" hidden="false" customHeight="true" outlineLevel="0" collapsed="false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</row>
    <row r="113" customFormat="false" ht="15" hidden="false" customHeight="true" outlineLevel="0" collapsed="false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</row>
    <row r="114" customFormat="false" ht="15" hidden="false" customHeight="true" outlineLevel="0" collapsed="false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</row>
    <row r="115" customFormat="false" ht="15" hidden="false" customHeight="true" outlineLevel="0" collapsed="false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</row>
    <row r="116" customFormat="false" ht="15" hidden="false" customHeight="false" outlineLevel="0" collapsed="false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</row>
    <row r="117" customFormat="false" ht="15" hidden="false" customHeight="true" outlineLevel="0" collapsed="false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</row>
    <row r="118" customFormat="false" ht="15" hidden="false" customHeight="true" outlineLevel="0" collapsed="false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</row>
    <row r="119" customFormat="false" ht="15" hidden="false" customHeight="false" outlineLevel="0" collapsed="false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</row>
    <row r="120" customFormat="false" ht="15" hidden="false" customHeight="false" outlineLevel="0" collapsed="false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</row>
    <row r="121" customFormat="false" ht="15" hidden="false" customHeight="false" outlineLevel="0" collapsed="false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</row>
    <row r="122" customFormat="false" ht="15" hidden="false" customHeight="false" outlineLevel="0" collapsed="false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</row>
    <row r="123" customFormat="false" ht="15" hidden="false" customHeight="false" outlineLevel="0" collapsed="false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</row>
    <row r="124" customFormat="false" ht="15" hidden="false" customHeight="false" outlineLevel="0" collapsed="false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</row>
    <row r="125" customFormat="false" ht="15" hidden="false" customHeight="false" outlineLevel="0" collapsed="false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</row>
    <row r="126" customFormat="false" ht="15" hidden="false" customHeight="false" outlineLevel="0" collapsed="false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</row>
    <row r="127" customFormat="false" ht="15" hidden="false" customHeight="false" outlineLevel="0" collapsed="false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</row>
    <row r="128" customFormat="false" ht="15" hidden="false" customHeight="false" outlineLevel="0" collapsed="false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</row>
    <row r="129" customFormat="false" ht="15" hidden="false" customHeight="false" outlineLevel="0" collapsed="false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</row>
    <row r="130" customFormat="false" ht="15" hidden="false" customHeight="false" outlineLevel="0" collapsed="false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</row>
  </sheetData>
  <mergeCells count="1">
    <mergeCell ref="D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2" min="2" style="1" width="30"/>
  </cols>
  <sheetData>
    <row r="2" customFormat="false" ht="17.25" hidden="false" customHeight="true" outlineLevel="0" collapsed="false">
      <c r="B2" s="178" t="s">
        <v>663</v>
      </c>
    </row>
    <row r="3" customFormat="false" ht="15" hidden="false" customHeight="true" outlineLevel="0" collapsed="false">
      <c r="B3" s="73" t="s">
        <v>664</v>
      </c>
    </row>
    <row r="7" customFormat="false" ht="15" hidden="false" customHeight="true" outlineLevel="0" collapsed="false">
      <c r="C7" s="75" t="n">
        <v>2006</v>
      </c>
      <c r="D7" s="75" t="n">
        <v>2007</v>
      </c>
      <c r="E7" s="75" t="n">
        <v>2008</v>
      </c>
      <c r="F7" s="75" t="n">
        <v>2009</v>
      </c>
      <c r="G7" s="75" t="n">
        <v>2010</v>
      </c>
      <c r="H7" s="75" t="n">
        <v>2011</v>
      </c>
      <c r="I7" s="75" t="n">
        <v>2012</v>
      </c>
      <c r="J7" s="75" t="n">
        <v>2013</v>
      </c>
      <c r="K7" s="75" t="n">
        <v>2014</v>
      </c>
      <c r="L7" s="75" t="n">
        <v>2015</v>
      </c>
      <c r="M7" s="75" t="n">
        <v>2016</v>
      </c>
      <c r="N7" s="75" t="n">
        <v>2017</v>
      </c>
      <c r="O7" s="75" t="n">
        <v>2018</v>
      </c>
      <c r="P7" s="75" t="n">
        <v>2019</v>
      </c>
      <c r="Q7" s="75" t="n">
        <v>2020</v>
      </c>
      <c r="R7" s="75" t="n">
        <v>2021</v>
      </c>
      <c r="S7" s="75" t="n">
        <v>2022</v>
      </c>
      <c r="T7" s="75" t="n">
        <v>2023</v>
      </c>
      <c r="U7" s="75" t="n">
        <v>2024</v>
      </c>
      <c r="V7" s="75" t="n">
        <v>2025</v>
      </c>
    </row>
    <row r="8" customFormat="false" ht="15" hidden="false" customHeight="true" outlineLevel="0" collapsed="false">
      <c r="B8" s="1" t="s">
        <v>665</v>
      </c>
      <c r="C8" s="179" t="n">
        <f aca="false">IFERROR(Model!C12+0,0)</f>
        <v>0</v>
      </c>
      <c r="D8" s="179" t="n">
        <f aca="false">IFERROR(Model!D12+0,0)</f>
        <v>0.384685578258282</v>
      </c>
      <c r="E8" s="179" t="n">
        <f aca="false">IFERROR(Model!E12+0,0)</f>
        <v>0.137789748144752</v>
      </c>
      <c r="F8" s="179" t="n">
        <f aca="false">IFERROR(Model!F12+0,0)</f>
        <v>-0.0947482887296536</v>
      </c>
      <c r="G8" s="179" t="n">
        <f aca="false">IFERROR(Model!G12+0,0)</f>
        <v>0.0427744466052809</v>
      </c>
      <c r="H8" s="179" t="n">
        <f aca="false">IFERROR(Model!H12+0,0)</f>
        <v>0.308548590109546</v>
      </c>
      <c r="I8" s="179" t="n">
        <f aca="false">IFERROR(Model!I12+0,0)</f>
        <v>0.057012804806853</v>
      </c>
      <c r="J8" s="179" t="n">
        <f aca="false">IFERROR(Model!N12+0,0)</f>
        <v>0.166261342217157</v>
      </c>
      <c r="K8" s="179" t="n">
        <f aca="false">IFERROR(Model!S12+0,0)</f>
        <v>0.146813942160241</v>
      </c>
      <c r="L8" s="179" t="n">
        <f aca="false">IFERROR(Model!X12+0,0)</f>
        <v>0.0614826147317584</v>
      </c>
      <c r="M8" s="179" t="n">
        <f aca="false">IFERROR(Model!AC12+0,0)</f>
        <v>0.0817216252933184</v>
      </c>
      <c r="N8" s="179" t="n">
        <f aca="false">IFERROR(Model!AH12+0,0)</f>
        <v>0.104661650701588</v>
      </c>
      <c r="O8" s="179" t="n">
        <f aca="false">IFERROR(Model!AM12+0,0)</f>
        <v>0.134771689025777</v>
      </c>
      <c r="P8" s="179" t="n">
        <f aca="false">IFERROR(Model!AR12+0,0)</f>
        <v>0.129557524703148</v>
      </c>
      <c r="Q8" s="179" t="n">
        <f aca="false">IFERROR(Model!AW12+0,0)</f>
        <v>-0.254293922751723</v>
      </c>
      <c r="R8" s="179" t="n">
        <f aca="false">IFERROR(Model!BB12+0,0)</f>
        <v>0.00246212203128859</v>
      </c>
      <c r="S8" s="179" t="n">
        <f aca="false">IFERROR(Model!BG12+0,0)</f>
        <v>0.35392826362949</v>
      </c>
      <c r="T8" s="179" t="n">
        <f aca="false">IFERROR(Model!BL12+0,0)</f>
        <v>0.410267747599609</v>
      </c>
      <c r="U8" s="179" t="n">
        <f aca="false">IFERROR(Model!BQ12+0,0)</f>
        <v>0.491004612512252</v>
      </c>
      <c r="V8" s="179" t="n">
        <f aca="false">IFERROR(Model!BV12+0,0)</f>
        <v>0.181075748080781</v>
      </c>
    </row>
    <row r="9" customFormat="false" ht="15" hidden="false" customHeight="true" outlineLevel="0" collapsed="false">
      <c r="B9" s="1" t="s">
        <v>666</v>
      </c>
      <c r="C9" s="179" t="n">
        <f aca="false">IFERROR(Model!C31+0,0)</f>
        <v>0</v>
      </c>
      <c r="D9" s="179" t="n">
        <f aca="false">IFERROR(Model!D31+0,0)</f>
        <v>0.0783682979629807</v>
      </c>
      <c r="E9" s="179" t="n">
        <f aca="false">IFERROR(Model!E31+0,0)</f>
        <v>0.177441851090418</v>
      </c>
      <c r="F9" s="179" t="n">
        <f aca="false">IFERROR(Model!F31+0,0)</f>
        <v>-0.0182958560433841</v>
      </c>
      <c r="G9" s="179" t="n">
        <f aca="false">IFERROR(Model!G31+0,0)</f>
        <v>0.434366542979103</v>
      </c>
      <c r="H9" s="179" t="n">
        <f aca="false">IFERROR(Model!H31+0,0)</f>
        <v>0.107577024819108</v>
      </c>
      <c r="I9" s="179" t="n">
        <f aca="false">IFERROR(Model!I31+0,0)</f>
        <v>0.455839417660721</v>
      </c>
      <c r="J9" s="179" t="n">
        <f aca="false">IFERROR(Model!N31+0,0)</f>
        <v>0.0555944245743341</v>
      </c>
      <c r="K9" s="179" t="n">
        <f aca="false">IFERROR(Model!S31+0,0)</f>
        <v>0.0839092314153236</v>
      </c>
      <c r="L9" s="179" t="n">
        <f aca="false">IFERROR(Model!X31+0,0)</f>
        <v>0.0305162834340176</v>
      </c>
      <c r="M9" s="179" t="n">
        <f aca="false">IFERROR(Model!AC31+0,0)</f>
        <v>0.307661222255756</v>
      </c>
      <c r="N9" s="179" t="n">
        <f aca="false">IFERROR(Model!AH31+0,0)</f>
        <v>0.123200566430393</v>
      </c>
      <c r="O9" s="179" t="n">
        <f aca="false">IFERROR(Model!AM31+0,0)</f>
        <v>0.222139410477118</v>
      </c>
      <c r="P9" s="179" t="n">
        <f aca="false">IFERROR(Model!AR31+0,0)</f>
        <v>0.189070810897843</v>
      </c>
      <c r="Q9" s="179" t="n">
        <f aca="false">IFERROR(Model!AW31+0,0)</f>
        <v>0.048488835525007</v>
      </c>
      <c r="R9" s="179" t="n">
        <f aca="false">IFERROR(Model!BB31+0,0)</f>
        <v>0.0962105722713595</v>
      </c>
      <c r="S9" s="179" t="n">
        <f aca="false">IFERROR(Model!BG31+0,0)</f>
        <v>0.0138713679535432</v>
      </c>
      <c r="T9" s="179" t="n">
        <f aca="false">IFERROR(Model!BL31+0,0)</f>
        <v>0.259900768657292</v>
      </c>
      <c r="U9" s="179" t="n">
        <f aca="false">IFERROR(Model!BQ31+0,0)</f>
        <v>0.0313445236863197</v>
      </c>
      <c r="V9" s="179" t="n">
        <f aca="false">IFERROR(Model!BV31+0,0)</f>
        <v>0.118305574592482</v>
      </c>
    </row>
    <row r="11" customFormat="false" ht="15" hidden="false" customHeight="true" outlineLevel="0" collapsed="false">
      <c r="C11" s="75" t="n">
        <f aca="false">C7</f>
        <v>2006</v>
      </c>
      <c r="D11" s="75" t="n">
        <f aca="false">D7</f>
        <v>2007</v>
      </c>
      <c r="E11" s="75" t="n">
        <f aca="false">E7</f>
        <v>2008</v>
      </c>
      <c r="F11" s="75" t="n">
        <f aca="false">F7</f>
        <v>2009</v>
      </c>
      <c r="G11" s="75" t="n">
        <f aca="false">G7</f>
        <v>2010</v>
      </c>
      <c r="H11" s="75" t="n">
        <f aca="false">H7</f>
        <v>2011</v>
      </c>
      <c r="I11" s="75" t="n">
        <f aca="false">I7</f>
        <v>2012</v>
      </c>
      <c r="J11" s="75" t="n">
        <f aca="false">J7</f>
        <v>2013</v>
      </c>
      <c r="K11" s="75" t="n">
        <f aca="false">K7</f>
        <v>2014</v>
      </c>
      <c r="L11" s="75" t="n">
        <f aca="false">L7</f>
        <v>2015</v>
      </c>
      <c r="M11" s="75" t="n">
        <f aca="false">M7</f>
        <v>2016</v>
      </c>
      <c r="N11" s="75" t="n">
        <f aca="false">N7</f>
        <v>2017</v>
      </c>
      <c r="O11" s="75" t="n">
        <f aca="false">O7</f>
        <v>2018</v>
      </c>
      <c r="P11" s="75" t="n">
        <f aca="false">P7</f>
        <v>2019</v>
      </c>
      <c r="Q11" s="75" t="n">
        <f aca="false">Q7</f>
        <v>2020</v>
      </c>
      <c r="R11" s="75" t="n">
        <f aca="false">R7</f>
        <v>2021</v>
      </c>
      <c r="S11" s="75" t="n">
        <f aca="false">S7</f>
        <v>2022</v>
      </c>
      <c r="T11" s="75" t="n">
        <f aca="false">T7</f>
        <v>2023</v>
      </c>
      <c r="U11" s="75" t="n">
        <f aca="false">U7</f>
        <v>2024</v>
      </c>
      <c r="V11" s="75" t="n">
        <f aca="false">V7</f>
        <v>2025</v>
      </c>
    </row>
    <row r="12" customFormat="false" ht="15" hidden="false" customHeight="true" outlineLevel="0" collapsed="false">
      <c r="B12" s="1" t="s">
        <v>667</v>
      </c>
      <c r="C12" s="180" t="n">
        <f aca="false">Model!C140</f>
        <v>78.071</v>
      </c>
      <c r="D12" s="180" t="n">
        <f aca="false">Model!D140</f>
        <v>98.276</v>
      </c>
      <c r="E12" s="180" t="n">
        <f aca="false">Model!E140</f>
        <v>122.038</v>
      </c>
      <c r="F12" s="180" t="n">
        <f aca="false">Model!F140</f>
        <v>103.727</v>
      </c>
      <c r="G12" s="180" t="n">
        <f aca="false">Model!G140</f>
        <v>128.598</v>
      </c>
      <c r="H12" s="180" t="n">
        <f aca="false">Model!H140</f>
        <v>160.875</v>
      </c>
      <c r="I12" s="180" t="n">
        <f aca="false">Model!I140</f>
        <v>194.382</v>
      </c>
      <c r="J12" s="180" t="n">
        <f aca="false">Model!N140</f>
        <v>219.628</v>
      </c>
      <c r="K12" s="180" t="n">
        <f aca="false">Model!S140</f>
        <v>238.644</v>
      </c>
      <c r="L12" s="180" t="n">
        <f aca="false">Model!X140</f>
        <v>277.79</v>
      </c>
      <c r="M12" s="180" t="n">
        <f aca="false">Model!AC140</f>
        <v>331.762</v>
      </c>
      <c r="N12" s="180" t="n">
        <f aca="false">Model!AH140</f>
        <v>373.673</v>
      </c>
      <c r="O12" s="180" t="n">
        <f aca="false">Model!AM140</f>
        <v>453.378</v>
      </c>
      <c r="P12" s="180" t="n">
        <f aca="false">Model!AR140</f>
        <v>545.663</v>
      </c>
      <c r="Q12" s="180" t="n">
        <f aca="false">Model!AW140</f>
        <v>467.09</v>
      </c>
      <c r="R12" s="180" t="n">
        <f aca="false">Model!BB140</f>
        <v>488.608</v>
      </c>
      <c r="S12" s="180" t="n">
        <f aca="false">Model!BG140</f>
        <v>586.111</v>
      </c>
      <c r="T12" s="180" t="n">
        <f aca="false">Model!BL140</f>
        <v>770.167</v>
      </c>
      <c r="U12" s="180" t="n">
        <f aca="false">Model!BQ140</f>
        <v>999.846</v>
      </c>
      <c r="V12" s="180" t="n">
        <f aca="false">Model!BV140</f>
        <v>1232.427</v>
      </c>
    </row>
    <row r="13" customFormat="false" ht="15" hidden="false" customHeight="true" outlineLevel="0" collapsed="false">
      <c r="B13" s="1" t="s">
        <v>524</v>
      </c>
      <c r="C13" s="180" t="n">
        <f aca="false">Model!C102</f>
        <v>66.867</v>
      </c>
      <c r="D13" s="180" t="n">
        <f aca="false">Model!D102</f>
        <v>86.014</v>
      </c>
      <c r="E13" s="180" t="n">
        <f aca="false">Model!E102</f>
        <v>105.788</v>
      </c>
      <c r="F13" s="180" t="n">
        <f aca="false">Model!F102</f>
        <v>88.255</v>
      </c>
      <c r="G13" s="180" t="n">
        <f aca="false">Model!G102</f>
        <v>109.173</v>
      </c>
      <c r="H13" s="180" t="n">
        <f aca="false">Model!H102</f>
        <v>138.431</v>
      </c>
      <c r="I13" s="180" t="n">
        <f aca="false">Model!I102</f>
        <v>163.294</v>
      </c>
      <c r="J13" s="180" t="n">
        <f aca="false">Model!N102</f>
        <v>183.59</v>
      </c>
      <c r="K13" s="180" t="n">
        <f aca="false">Model!S102</f>
        <v>203.388</v>
      </c>
      <c r="L13" s="180" t="n">
        <f aca="false">Model!X102</f>
        <v>229.656</v>
      </c>
      <c r="M13" s="180" t="n">
        <f aca="false">Model!AC102</f>
        <v>265.345</v>
      </c>
      <c r="N13" s="180" t="n">
        <f aca="false">Model!AH102</f>
        <v>306.658</v>
      </c>
      <c r="O13" s="180" t="n">
        <f aca="false">Model!AM102</f>
        <v>376.245</v>
      </c>
      <c r="P13" s="180" t="n">
        <f aca="false">Model!AR102</f>
        <v>457.097</v>
      </c>
      <c r="Q13" s="180" t="n">
        <f aca="false">Model!AW102</f>
        <v>376.648</v>
      </c>
      <c r="R13" s="180" t="n">
        <f aca="false">Model!BB102</f>
        <v>392.9</v>
      </c>
      <c r="S13" s="180" t="n">
        <f aca="false">Model!BG102</f>
        <v>496.844</v>
      </c>
      <c r="T13" s="180" t="n">
        <f aca="false">Model!BL102</f>
        <v>625.339</v>
      </c>
      <c r="U13" s="180" t="n">
        <f aca="false">Model!BQ102</f>
        <v>824.455</v>
      </c>
      <c r="V13" s="180" t="n">
        <f aca="false">Model!BV102</f>
        <v>1018.998</v>
      </c>
    </row>
    <row r="14" customFormat="false" ht="15" hidden="false" customHeight="true" outlineLevel="0" collapsed="false">
      <c r="B14" s="1" t="s">
        <v>668</v>
      </c>
      <c r="C14" s="179" t="n">
        <f aca="false">Model!C141</f>
        <v>0.199064229072643</v>
      </c>
      <c r="D14" s="179" t="n">
        <f aca="false">Model!D141</f>
        <v>0.193485639583875</v>
      </c>
      <c r="E14" s="179" t="n">
        <f aca="false">Model!E141</f>
        <v>0.209562339979428</v>
      </c>
      <c r="F14" s="179" t="n">
        <f aca="false">Model!F141</f>
        <v>0.192695097121286</v>
      </c>
      <c r="G14" s="179" t="n">
        <f aca="false">Model!G141</f>
        <v>0.208417879485268</v>
      </c>
      <c r="H14" s="179" t="n">
        <f aca="false">Model!H141</f>
        <v>0.210324085392559</v>
      </c>
      <c r="I14" s="179" t="n">
        <f aca="false">Model!I141</f>
        <v>0.216618543328278</v>
      </c>
      <c r="J14" s="179" t="n">
        <f aca="false">Model!N141</f>
        <v>0.217721413581269</v>
      </c>
      <c r="K14" s="179" t="n">
        <f aca="false">Model!S141</f>
        <v>0.210758351724924</v>
      </c>
      <c r="L14" s="179" t="n">
        <f aca="false">Model!X141</f>
        <v>0.233702492243288</v>
      </c>
      <c r="M14" s="179" t="n">
        <f aca="false">Model!AC141</f>
        <v>0.241060905731338</v>
      </c>
      <c r="N14" s="179" t="n">
        <f aca="false">Model!AH141</f>
        <v>0.245061525577235</v>
      </c>
      <c r="O14" s="179" t="n">
        <f aca="false">Model!AM141</f>
        <v>0.255033270125065</v>
      </c>
      <c r="P14" s="179" t="n">
        <f aca="false">Model!AR141</f>
        <v>0.265445866921704</v>
      </c>
      <c r="Q14" s="179" t="n">
        <f aca="false">Model!AW141</f>
        <v>0.261380888400674</v>
      </c>
      <c r="R14" s="179" t="n">
        <f aca="false">Model!BB141</f>
        <v>0.261892433973207</v>
      </c>
      <c r="S14" s="179" t="n">
        <f aca="false">Model!BG141</f>
        <v>0.265410116821732</v>
      </c>
      <c r="T14" s="179" t="n">
        <f aca="false">Model!BL141</f>
        <v>0.259481049356408</v>
      </c>
      <c r="U14" s="179" t="n">
        <f aca="false">Model!BQ141</f>
        <v>0.259183978718755</v>
      </c>
      <c r="V14" s="179" t="n">
        <f aca="false">Model!BV141</f>
        <v>0.274785932980814</v>
      </c>
    </row>
    <row r="15" customFormat="false" ht="15" hidden="false" customHeight="true" outlineLevel="0" collapsed="false">
      <c r="B15" s="1" t="s">
        <v>669</v>
      </c>
      <c r="C15" s="179" t="n">
        <f aca="false">Model!C179</f>
        <v>0.170496443050562</v>
      </c>
      <c r="D15" s="179" t="n">
        <f aca="false">Model!D179</f>
        <v>0.169344232601728</v>
      </c>
      <c r="E15" s="179" t="n">
        <f aca="false">Model!E179</f>
        <v>0.181658014894899</v>
      </c>
      <c r="F15" s="179" t="n">
        <f aca="false">Model!F179</f>
        <v>0.163952546554312</v>
      </c>
      <c r="G15" s="179" t="n">
        <f aca="false">Model!G179</f>
        <v>0.176935917798451</v>
      </c>
      <c r="H15" s="179" t="n">
        <f aca="false">Model!H179</f>
        <v>0.180981342439642</v>
      </c>
      <c r="I15" s="179" t="n">
        <f aca="false">Model!I179</f>
        <v>0.181974197272627</v>
      </c>
      <c r="J15" s="179" t="n">
        <f aca="false">Model!N179</f>
        <v>0.181996258762021</v>
      </c>
      <c r="K15" s="179" t="n">
        <f aca="false">Model!S179</f>
        <v>0.179622029636734</v>
      </c>
      <c r="L15" s="179" t="n">
        <f aca="false">Model!X179</f>
        <v>0.193207745270257</v>
      </c>
      <c r="M15" s="179" t="n">
        <f aca="false">Model!AC179</f>
        <v>0.192801785711691</v>
      </c>
      <c r="N15" s="179" t="n">
        <f aca="false">Model!AH179</f>
        <v>0.201111874046195</v>
      </c>
      <c r="O15" s="179" t="n">
        <f aca="false">Model!AM179</f>
        <v>0.211644571898515</v>
      </c>
      <c r="P15" s="179" t="n">
        <f aca="false">Model!AR179</f>
        <v>0.222361621426247</v>
      </c>
      <c r="Q15" s="179" t="n">
        <f aca="false">Model!AW179</f>
        <v>0.210770063273324</v>
      </c>
      <c r="R15" s="179" t="n">
        <f aca="false">Model!BB179</f>
        <v>0.210593230786383</v>
      </c>
      <c r="S15" s="179" t="n">
        <f aca="false">Model!BG179</f>
        <v>0.224987116915015</v>
      </c>
      <c r="T15" s="179" t="n">
        <f aca="false">Model!BL179</f>
        <v>0.210686279629595</v>
      </c>
      <c r="U15" s="179" t="n">
        <f aca="false">Model!BQ179</f>
        <v>0.213718439814302</v>
      </c>
      <c r="V15" s="179" t="n">
        <f aca="false">Model!BV179</f>
        <v>0.22719910886047</v>
      </c>
    </row>
    <row r="17" customFormat="false" ht="15" hidden="false" customHeight="true" outlineLevel="0" collapsed="false">
      <c r="C17" s="75" t="n">
        <f aca="false">C7</f>
        <v>2006</v>
      </c>
      <c r="D17" s="75" t="n">
        <f aca="false">D7</f>
        <v>2007</v>
      </c>
      <c r="E17" s="75" t="n">
        <f aca="false">E7</f>
        <v>2008</v>
      </c>
      <c r="F17" s="75" t="n">
        <f aca="false">F7</f>
        <v>2009</v>
      </c>
      <c r="G17" s="75" t="n">
        <f aca="false">G7</f>
        <v>2010</v>
      </c>
      <c r="H17" s="75" t="n">
        <f aca="false">H7</f>
        <v>2011</v>
      </c>
      <c r="I17" s="75" t="n">
        <f aca="false">I7</f>
        <v>2012</v>
      </c>
      <c r="J17" s="75" t="n">
        <f aca="false">J7</f>
        <v>2013</v>
      </c>
      <c r="K17" s="75" t="n">
        <f aca="false">K7</f>
        <v>2014</v>
      </c>
      <c r="L17" s="75" t="n">
        <f aca="false">L7</f>
        <v>2015</v>
      </c>
      <c r="M17" s="75" t="n">
        <f aca="false">M7</f>
        <v>2016</v>
      </c>
      <c r="N17" s="75" t="n">
        <f aca="false">N7</f>
        <v>2017</v>
      </c>
      <c r="O17" s="75" t="n">
        <f aca="false">O7</f>
        <v>2018</v>
      </c>
      <c r="P17" s="75" t="n">
        <f aca="false">P7</f>
        <v>2019</v>
      </c>
      <c r="Q17" s="75" t="n">
        <f aca="false">Q7</f>
        <v>2020</v>
      </c>
      <c r="R17" s="75" t="n">
        <f aca="false">R7</f>
        <v>2021</v>
      </c>
      <c r="S17" s="75" t="n">
        <f aca="false">S7</f>
        <v>2022</v>
      </c>
      <c r="T17" s="75" t="n">
        <f aca="false">T7</f>
        <v>2023</v>
      </c>
      <c r="U17" s="75" t="n">
        <f aca="false">U7</f>
        <v>2024</v>
      </c>
      <c r="V17" s="75" t="n">
        <f aca="false">V7</f>
        <v>2025</v>
      </c>
    </row>
    <row r="18" customFormat="false" ht="15" hidden="false" customHeight="true" outlineLevel="0" collapsed="false">
      <c r="B18" s="1" t="s">
        <v>543</v>
      </c>
      <c r="C18" s="179" t="n">
        <f aca="false">IFERROR(Model!C317+0,NA())</f>
        <v>0.105557357014956</v>
      </c>
      <c r="D18" s="179" t="n">
        <f aca="false">IFERROR(Model!D317+0,NA())</f>
        <v>0.116002471629558</v>
      </c>
      <c r="E18" s="179" t="n">
        <f aca="false">IFERROR(Model!E317+0,NA())</f>
        <v>0.133084313733248</v>
      </c>
      <c r="F18" s="179" t="n">
        <f aca="false">IFERROR(Model!F317+0,NA())</f>
        <v>0.101480971059502</v>
      </c>
      <c r="G18" s="179" t="n">
        <f aca="false">IFERROR(Model!G317+0,NA())</f>
        <v>0.119254925255218</v>
      </c>
      <c r="H18" s="179" t="n">
        <f aca="false">IFERROR(Model!H317+0,NA())</f>
        <v>0.138650639201383</v>
      </c>
      <c r="I18" s="179" t="n">
        <f aca="false">IFERROR(Model!I317+0,NA())</f>
        <v>0.120766883921261</v>
      </c>
      <c r="J18" s="179" t="n">
        <f aca="false">IFERROR(Model!N317+0,NA())</f>
        <v>0.110087948694954</v>
      </c>
      <c r="K18" s="179" t="n">
        <f aca="false">IFERROR(Model!S317+0,NA())</f>
        <v>0.118740983816315</v>
      </c>
      <c r="L18" s="179" t="n">
        <f aca="false">IFERROR(Model!X317+0,NA())</f>
        <v>0.119011054234916</v>
      </c>
      <c r="M18" s="179" t="n">
        <f aca="false">IFERROR(Model!AC317+0,NA())</f>
        <v>0.11906875186136</v>
      </c>
      <c r="N18" s="179" t="n">
        <f aca="false">IFERROR(Model!AH317+0,NA())</f>
        <v>0.1075534184005</v>
      </c>
      <c r="O18" s="179" t="n">
        <f aca="false">IFERROR(Model!AM317+0,NA())</f>
        <v>0.143099735093338</v>
      </c>
      <c r="P18" s="179" t="n">
        <f aca="false">IFERROR(Model!AR317+0,NA())</f>
        <v>0.159022790076999</v>
      </c>
      <c r="Q18" s="179" t="n">
        <f aca="false">IFERROR(Model!AW317+0,NA())</f>
        <v>0.135855800051299</v>
      </c>
      <c r="R18" s="179" t="n">
        <f aca="false">IFERROR(Model!BB317+0,NA())</f>
        <v>0.125862792616472</v>
      </c>
      <c r="S18" s="179" t="n">
        <f aca="false">IFERROR(Model!BG317+0,NA())</f>
        <v>0.124615547588287</v>
      </c>
      <c r="T18" s="179" t="n">
        <f aca="false">IFERROR(Model!BL317+0,NA())</f>
        <v>0.0873454006588809</v>
      </c>
      <c r="U18" s="179" t="n">
        <f aca="false">IFERROR(Model!BQ317+0,NA())</f>
        <v>0.110966852479143</v>
      </c>
      <c r="V18" s="179" t="n">
        <f aca="false">IFERROR(Model!BV317+0,NA())</f>
        <v>0.127223477647782</v>
      </c>
    </row>
    <row r="19" customFormat="false" ht="15" hidden="false" customHeight="true" outlineLevel="0" collapsed="false">
      <c r="B19" s="1" t="s">
        <v>544</v>
      </c>
      <c r="C19" s="179" t="n">
        <f aca="false">IFERROR(Model!C328+0,NA())</f>
        <v>0.263930779886296</v>
      </c>
      <c r="D19" s="179" t="n">
        <f aca="false">IFERROR(Model!D328+0,NA())</f>
        <v>0.286968234195959</v>
      </c>
      <c r="E19" s="179" t="n">
        <f aca="false">IFERROR(Model!E328+0,NA())</f>
        <v>0.283647527231403</v>
      </c>
      <c r="F19" s="179" t="n">
        <f aca="false">IFERROR(Model!F328+0,NA())</f>
        <v>0.231854502956422</v>
      </c>
      <c r="G19" s="179" t="n">
        <f aca="false">IFERROR(Model!G328+0,NA())</f>
        <v>0.277432484484097</v>
      </c>
      <c r="H19" s="179" t="n">
        <f aca="false">IFERROR(Model!H328+0,NA())</f>
        <v>0.331241524039959</v>
      </c>
      <c r="I19" s="179" t="n">
        <f aca="false">IFERROR(Model!I328+0,NA())</f>
        <v>0.296463669132316</v>
      </c>
      <c r="J19" s="179" t="n">
        <f aca="false">IFERROR(Model!N328+0,NA())</f>
        <v>0.284806115468783</v>
      </c>
      <c r="K19" s="179" t="n">
        <f aca="false">IFERROR(Model!S328+0,NA())</f>
        <v>0.296229527576818</v>
      </c>
      <c r="L19" s="179" t="n">
        <f aca="false">IFERROR(Model!X328+0,NA())</f>
        <v>0.296568462157977</v>
      </c>
      <c r="M19" s="179" t="n">
        <f aca="false">IFERROR(Model!AC328+0,NA())</f>
        <v>0.313790951136526</v>
      </c>
      <c r="N19" s="179" t="n">
        <f aca="false">IFERROR(Model!AH328+0,NA())</f>
        <v>0.334208514979453</v>
      </c>
      <c r="O19" s="179" t="n">
        <f aca="false">IFERROR(Model!AM328+0,NA())</f>
        <v>0.401851646870012</v>
      </c>
      <c r="P19" s="179" t="n">
        <f aca="false">IFERROR(Model!AR328+0,NA())</f>
        <v>0.440731794758582</v>
      </c>
      <c r="Q19" s="179" t="n">
        <f aca="false">IFERROR(Model!AW328+0,NA())</f>
        <v>0.25899026884961</v>
      </c>
      <c r="R19" s="179" t="n">
        <f aca="false">IFERROR(Model!BB328+0,NA())</f>
        <v>0.287481508966455</v>
      </c>
      <c r="S19" s="179" t="n">
        <f aca="false">IFERROR(Model!BG328+0,NA())</f>
        <v>0.306667144012661</v>
      </c>
      <c r="T19" s="179" t="n">
        <f aca="false">IFERROR(Model!BL328+0,NA())</f>
        <v>0.267381378662888</v>
      </c>
      <c r="U19" s="179" t="n">
        <f aca="false">IFERROR(Model!BQ328+0,NA())</f>
        <v>0.306725194120161</v>
      </c>
      <c r="V19" s="179" t="n">
        <f aca="false">IFERROR(Model!BV328+0,NA())</f>
        <v>0.340603952559729</v>
      </c>
    </row>
    <row r="20" customFormat="false" ht="15" hidden="false" customHeight="true" outlineLevel="0" collapsed="false">
      <c r="B20" s="1" t="s">
        <v>670</v>
      </c>
      <c r="C20" s="179" t="n">
        <f aca="false">IFERROR(Model!C141+0,NA())</f>
        <v>0.199064229072643</v>
      </c>
      <c r="D20" s="179" t="n">
        <f aca="false">IFERROR(Model!D141+0,NA())</f>
        <v>0.193485639583875</v>
      </c>
      <c r="E20" s="179" t="n">
        <f aca="false">IFERROR(Model!E141+0,NA())</f>
        <v>0.209562339979428</v>
      </c>
      <c r="F20" s="179" t="n">
        <f aca="false">IFERROR(Model!F141+0,NA())</f>
        <v>0.192695097121286</v>
      </c>
      <c r="G20" s="179" t="n">
        <f aca="false">IFERROR(Model!G141+0,NA())</f>
        <v>0.208417879485268</v>
      </c>
      <c r="H20" s="179" t="n">
        <f aca="false">IFERROR(Model!H141+0,NA())</f>
        <v>0.210324085392559</v>
      </c>
      <c r="I20" s="179" t="n">
        <f aca="false">IFERROR(Model!I141+0,NA())</f>
        <v>0.216618543328278</v>
      </c>
      <c r="J20" s="179" t="n">
        <f aca="false">IFERROR(Model!N141+0,NA())</f>
        <v>0.217721413581269</v>
      </c>
      <c r="K20" s="179" t="n">
        <f aca="false">IFERROR(Model!S141+0,NA())</f>
        <v>0.210758351724924</v>
      </c>
      <c r="L20" s="179" t="n">
        <f aca="false">IFERROR(Model!X141+0,NA())</f>
        <v>0.233702492243288</v>
      </c>
      <c r="M20" s="179" t="n">
        <f aca="false">IFERROR(Model!AC141+0,NA())</f>
        <v>0.241060905731338</v>
      </c>
      <c r="N20" s="179" t="n">
        <f aca="false">IFERROR(Model!AH141+0,NA())</f>
        <v>0.245061525577235</v>
      </c>
      <c r="O20" s="179" t="n">
        <f aca="false">IFERROR(Model!AM141+0,NA())</f>
        <v>0.255033270125065</v>
      </c>
      <c r="P20" s="179" t="n">
        <f aca="false">IFERROR(Model!AR141+0,NA())</f>
        <v>0.265445866921704</v>
      </c>
      <c r="Q20" s="179" t="n">
        <f aca="false">IFERROR(Model!AW141+0,NA())</f>
        <v>0.261380888400674</v>
      </c>
      <c r="R20" s="179" t="n">
        <f aca="false">IFERROR(Model!BB141+0,NA())</f>
        <v>0.261892433973207</v>
      </c>
      <c r="S20" s="179" t="n">
        <f aca="false">IFERROR(Model!BG141+0,NA())</f>
        <v>0.265410116821732</v>
      </c>
      <c r="T20" s="179" t="n">
        <f aca="false">IFERROR(Model!BL141+0,NA())</f>
        <v>0.259481049356408</v>
      </c>
      <c r="U20" s="179" t="n">
        <f aca="false">IFERROR(Model!BQ141+0,NA())</f>
        <v>0.259183978718755</v>
      </c>
      <c r="V20" s="179" t="n">
        <f aca="false">IFERROR(Model!BV141+0,NA())</f>
        <v>0.274785932980814</v>
      </c>
    </row>
    <row r="21" customFormat="false" ht="15" hidden="false" customHeight="true" outlineLevel="0" collapsed="false">
      <c r="B21" s="1" t="s">
        <v>671</v>
      </c>
      <c r="C21" s="179" t="n">
        <f aca="false">IFERROR(Model!C216+0,NA())</f>
        <v>0.0941992401642061</v>
      </c>
      <c r="D21" s="179" t="n">
        <f aca="false">IFERROR(Model!D216+0,NA())</f>
        <v>0.0877375355368126</v>
      </c>
      <c r="E21" s="179" t="n">
        <f aca="false">IFERROR(Model!E216+0,NA())</f>
        <v>0.10252821771212</v>
      </c>
      <c r="F21" s="179" t="n">
        <f aca="false">IFERROR(Model!F216+0,NA())</f>
        <v>0.121799158827114</v>
      </c>
      <c r="G21" s="179" t="n">
        <f aca="false">IFERROR(Model!G216+0,NA())</f>
        <v>0.150465138893391</v>
      </c>
      <c r="H21" s="179" t="n">
        <f aca="false">IFERROR(Model!H216+0,NA())</f>
        <v>0.151749726431609</v>
      </c>
      <c r="I21" s="179" t="n">
        <f aca="false">IFERROR(Model!I216+0,NA())</f>
        <v>0.137430670632431</v>
      </c>
      <c r="J21" s="179" t="n">
        <f aca="false">IFERROR(Model!N216+0,NA())</f>
        <v>0.112522639248104</v>
      </c>
      <c r="K21" s="179" t="n">
        <f aca="false">IFERROR(Model!S216+0,NA())</f>
        <v>0.153914428103233</v>
      </c>
      <c r="L21" s="179" t="n">
        <f aca="false">IFERROR(Model!X216+0,NA())</f>
        <v>0.130075514365901</v>
      </c>
      <c r="M21" s="179" t="n">
        <f aca="false">IFERROR(Model!AC216+0,NA())</f>
        <v>0.158633773609309</v>
      </c>
      <c r="N21" s="179" t="n">
        <f aca="false">IFERROR(Model!AH216+0,NA())</f>
        <v>0.163224605246676</v>
      </c>
      <c r="O21" s="179" t="n">
        <f aca="false">IFERROR(Model!AM216+0,NA())</f>
        <v>0.161226649176108</v>
      </c>
      <c r="P21" s="179" t="n">
        <f aca="false">IFERROR(Model!AR216+0,NA())</f>
        <v>0.198691701444849</v>
      </c>
      <c r="Q21" s="179" t="n">
        <f aca="false">IFERROR(Model!AW216+0,NA())</f>
        <v>0.216106913843187</v>
      </c>
      <c r="R21" s="179" t="n">
        <f aca="false">IFERROR(Model!BB216+0,NA())</f>
        <v>0.218633722145575</v>
      </c>
      <c r="S21" s="179" t="n">
        <f aca="false">IFERROR(Model!BG216+0,NA())</f>
        <v>0.197377918618752</v>
      </c>
      <c r="T21" s="179" t="n">
        <f aca="false">IFERROR(Model!BL216+0,NA())</f>
        <v>0.134530618020589</v>
      </c>
      <c r="U21" s="179" t="n">
        <f aca="false">IFERROR(Model!BQ216+0,NA())</f>
        <v>0.159191729513341</v>
      </c>
      <c r="V21" s="179" t="n">
        <f aca="false">IFERROR(Model!BV216+0,NA())</f>
        <v>0.192056086852214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2026-10-04T02:35:31Z</dcterms:created>
  <dc:creator>openpyxl</dc:creator>
  <dc:description/>
  <dc:language>en-US</dc:language>
  <cp:lastModifiedBy/>
  <dcterms:modified xsi:type="dcterms:W3CDTF">2026-10-06T01:29:23Z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